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1.bin" ContentType="application/vnd.ms-office.activeX"/>
  <Override PartName="/xl/activeX/activeX2.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07" codeName="{00000000-0000-0000-0000-000000000000}"/>
  <workbookPr codeName="ThisWorkbook"/>
  <mc:AlternateContent xmlns:mc="http://schemas.openxmlformats.org/markup-compatibility/2006">
    <mc:Choice Requires="x15">
      <x15ac:absPath xmlns:x15ac="http://schemas.microsoft.com/office/spreadsheetml/2010/11/ac" url="\\PUUPAMLANFST\Global\NBRE\RMS update VL1 04-11\"/>
    </mc:Choice>
  </mc:AlternateContent>
  <xr:revisionPtr revIDLastSave="9" documentId="13_ncr:1_{87988B75-9A0D-4585-8812-3047DC018BF2}" xr6:coauthVersionLast="47" xr6:coauthVersionMax="47" xr10:uidLastSave="{D8592FC7-955B-48A2-9237-8B4EDB5A5A74}"/>
  <bookViews>
    <workbookView xWindow="-30828" yWindow="-2844" windowWidth="30936" windowHeight="16896" tabRatio="787" firstSheet="2" activeTab="4" xr2:uid="{00000000-000D-0000-FFFF-FFFF00000000}"/>
  </bookViews>
  <sheets>
    <sheet name="Version control" sheetId="5" r:id="rId1"/>
    <sheet name="General info" sheetId="17" r:id="rId2"/>
    <sheet name="Download list" sheetId="1" r:id="rId3"/>
    <sheet name="Sheet1" sheetId="20" r:id="rId4"/>
    <sheet name="P5 parameters" sheetId="10" r:id="rId5"/>
    <sheet name="StatusTags" sheetId="14" r:id="rId6"/>
    <sheet name="RMS generation settings" sheetId="9" r:id="rId7"/>
    <sheet name="ComponentTypes" sheetId="19" r:id="rId8"/>
    <sheet name="General" sheetId="3" r:id="rId9"/>
    <sheet name="Template history" sheetId="18" r:id="rId10"/>
  </sheets>
  <definedNames>
    <definedName name="__01_P5_ListVersion">'P5 parameters'!$B$3</definedName>
    <definedName name="__01_Px_ListVersion">'Download list'!$B$3</definedName>
    <definedName name="__02_P5_PfizerNr">'P5 parameters'!$C$3</definedName>
    <definedName name="__02_Px_PfizerNr">'Download list'!$C$3</definedName>
    <definedName name="__03_P5_IsDownloadbaar">'P5 parameters'!$D$3</definedName>
    <definedName name="__03_Px_IsDownloadbaar">'Download list'!$D$3</definedName>
    <definedName name="__04_P5_IsDeleted">'P5 parameters'!$E$3</definedName>
    <definedName name="__04_Px_IsDeleted">'Download list'!$E$3</definedName>
    <definedName name="__05_P5_Description_EN">'P5 parameters'!$F$3</definedName>
    <definedName name="__05_Px_Description_EN">'Download list'!$F$3</definedName>
    <definedName name="__07_P5_Description_NL">'P5 parameters'!$H$3</definedName>
    <definedName name="__07_Px_Description_NL">'Download list'!$H$3</definedName>
    <definedName name="__08_P5_DL_Address">'P5 parameters'!$I$3</definedName>
    <definedName name="__08_Px_DL_Address">'Download list'!$I$3</definedName>
    <definedName name="__09_P5_DL_DataType">'P5 parameters'!$K$3</definedName>
    <definedName name="__09_Px_DL_DataType">'Download list'!$K$3</definedName>
    <definedName name="__10_P5_ReadbackDB">'P5 parameters'!$M$3</definedName>
    <definedName name="__10_Px_ReadbackDB">'Download list'!$M$3</definedName>
    <definedName name="__11_P5_ReadbackAddress">'P5 parameters'!$N$3</definedName>
    <definedName name="__11_Px_ReadbackAddress">'Download list'!$N$3</definedName>
    <definedName name="__12_P5_ReadbackType">'P5 parameters'!$P$3</definedName>
    <definedName name="__12_Px_ReadbackType">'Download list'!$P$3</definedName>
    <definedName name="__14_P5_tag_scada">'P5 parameters'!$U$3</definedName>
    <definedName name="__14_Px_tag_scada">'Download list'!$U$3</definedName>
    <definedName name="__15_P5_tag_uldl">'P5 parameters'!$V$3</definedName>
    <definedName name="__15_Px_tag_uldl">'Download list'!$V$3</definedName>
    <definedName name="__16_P5_ComponentType">'P5 parameters'!$W$3</definedName>
    <definedName name="__16_Px_ComponentType">'Download list'!$W$3</definedName>
    <definedName name="__17_P5_VU">'P5 parameters'!$X$3</definedName>
    <definedName name="__17_Px_VU">'Download list'!$X$3</definedName>
    <definedName name="__18_P5_class">'P5 parameters'!$Y$3</definedName>
    <definedName name="__18_Px_class">'Download list'!$Y$3</definedName>
    <definedName name="__19_P5_group">'P5 parameters'!$Z$3</definedName>
    <definedName name="__19_Px_group">'Download list'!$Z$3</definedName>
    <definedName name="__20_P5_sequence">'P5 parameters'!$AA$3</definedName>
    <definedName name="__20_Px_sequence">'Download list'!$AA$3</definedName>
    <definedName name="__21_P5_DataOwner">'P5 parameters'!$AB$3</definedName>
    <definedName name="__21_Px_DataOwner">'Download list'!$AB$3</definedName>
    <definedName name="__22_P5_authorization">'P5 parameters'!$AC$3</definedName>
    <definedName name="__22_Px_authorization">'Download list'!$AC$3</definedName>
    <definedName name="__23_P5_authorization_actual_value">'P5 parameters'!$AD$3</definedName>
    <definedName name="__23_Px_authorization_actual_value">'Download list'!$AD$3</definedName>
    <definedName name="__24_P5_unit">'P5 parameters'!$AE$3</definedName>
    <definedName name="__24_Px_unit">'Download list'!$AE$3</definedName>
    <definedName name="__26_P5_range_min">'P5 parameters'!$AF$3</definedName>
    <definedName name="__26_Px_range_min">'Download list'!$AF$3</definedName>
    <definedName name="__27_P5_range_max">'P5 parameters'!$AG$3</definedName>
    <definedName name="__27_Px_range_max">'Download list'!$AG$3</definedName>
    <definedName name="__28_P5_initial_value">'P5 parameters'!$AH$3</definedName>
    <definedName name="__28_Px_initial_value">'Download list'!$AH$3</definedName>
    <definedName name="__29_P5_VQS_reference">'P5 parameters'!$AI$3</definedName>
    <definedName name="__29_Px_VQS_reference">'Download list'!$AI$3</definedName>
    <definedName name="__30_P5_DownloadTag">'P5 parameters'!$R$3</definedName>
    <definedName name="__30_Px_DownloadTag">'Download list'!$R$3</definedName>
    <definedName name="__31_P5_ReadbackTag">'P5 parameters'!$S$3</definedName>
    <definedName name="__31_Px_ReadbackTag">'Download list'!$S$3</definedName>
    <definedName name="__32_P5_StatusTag">'P5 parameters'!$T$3</definedName>
    <definedName name="__32_Px_StatusTag">'Download list'!$T$3</definedName>
    <definedName name="_xlnm._FilterDatabase" localSheetId="2" hidden="1">'Download list'!$A$3:$AP$137</definedName>
    <definedName name="_xlnm._FilterDatabase" localSheetId="4" hidden="1">'P5 parameters'!$A$3:$AK$3</definedName>
    <definedName name="_xlnm.Print_Area" localSheetId="2">'Download list'!$B$3:$AJ$137</definedName>
    <definedName name="_xlnm.Print_Area" localSheetId="4">'P5 parameters'!$B$3:$AJ$24</definedName>
    <definedName name="_xlnm.Print_Titles" localSheetId="2">'Download list'!$3:$3</definedName>
    <definedName name="_xlnm.Print_Titles" localSheetId="4">'P5 parameters'!$3:$3</definedName>
    <definedName name="authorization" localSheetId="4">'P5 parameters'!$AD$3</definedName>
    <definedName name="authorization">'Download list'!$AD$3</definedName>
    <definedName name="class" localSheetId="4">'P5 parameters'!$Y$3</definedName>
    <definedName name="class">'Download list'!$Y$3</definedName>
    <definedName name="ComponentType" localSheetId="4">'P5 parameters'!$W$3</definedName>
    <definedName name="ComponentType">'Download list'!$W$3</definedName>
    <definedName name="DataOwner" localSheetId="4">'P5 parameters'!$AB$3</definedName>
    <definedName name="DataOwner">'Download list'!$AB$3</definedName>
    <definedName name="db12_plctype" localSheetId="4">'P5 parameters'!$L$3</definedName>
    <definedName name="db12_plctype">'Download list'!$L$3</definedName>
    <definedName name="db12_symbolic" localSheetId="4">'P5 parameters'!$J$3</definedName>
    <definedName name="db12_symbolic">'Download list'!$J$3</definedName>
    <definedName name="description_en" localSheetId="4">'P5 parameters'!$F$3</definedName>
    <definedName name="description_en">'Download list'!$F$2</definedName>
    <definedName name="description_nl" localSheetId="4">'P5 parameters'!$H$3</definedName>
    <definedName name="description_nl">'Download list'!$H$3</definedName>
    <definedName name="Description_sup" localSheetId="4">'P5 parameters'!$G$3</definedName>
    <definedName name="Description_sup">'Download list'!$G$3</definedName>
    <definedName name="DL_Address" localSheetId="4">'P5 parameters'!$I$3</definedName>
    <definedName name="DL_Address">'Download list'!$I$3</definedName>
    <definedName name="DL_DataType" localSheetId="4">'P5 parameters'!$K$3</definedName>
    <definedName name="DL_DataType">'Download list'!$K$3</definedName>
    <definedName name="DownloadData">'Download list'!$A$3:$AK$137</definedName>
    <definedName name="DownloadP5Data">'P5 parameters'!$A$3:$AK$23</definedName>
    <definedName name="group" localSheetId="4">'P5 parameters'!$Z$3</definedName>
    <definedName name="group">'Download list'!$Z$3</definedName>
    <definedName name="initial_value" localSheetId="4">'P5 parameters'!$AH$3</definedName>
    <definedName name="initial_value">'Download list'!$AH$3</definedName>
    <definedName name="IsDeleted" localSheetId="4">'P5 parameters'!$E$3</definedName>
    <definedName name="IsDeleted">'Download list'!$E$3</definedName>
    <definedName name="IsDownloadbaar" localSheetId="4">'P5 parameters'!$D$3</definedName>
    <definedName name="IsDownloadbaar">'Download list'!$D$3</definedName>
    <definedName name="iv" localSheetId="4">'P5 parameters'!$W$3</definedName>
    <definedName name="iv">'Download list'!$W$3</definedName>
    <definedName name="ListVersion" localSheetId="4">'P5 parameters'!$B$3</definedName>
    <definedName name="ListVersion">'Download list'!$B$3</definedName>
    <definedName name="pfizernr" localSheetId="4">'P5 parameters'!$C$3</definedName>
    <definedName name="pfizernr">'Download list'!$C$3</definedName>
    <definedName name="PfizerTools">General!$H$4</definedName>
    <definedName name="range_max" localSheetId="4">'P5 parameters'!$AG$3</definedName>
    <definedName name="range_max">'Download list'!$AG$3</definedName>
    <definedName name="range_min" localSheetId="4">'P5 parameters'!$AF$3</definedName>
    <definedName name="range_min">'Download list'!$AF$3</definedName>
    <definedName name="readback_plctype" localSheetId="4">'P5 parameters'!$Q$3</definedName>
    <definedName name="readback_plctype">'Download list'!$Q$3</definedName>
    <definedName name="readback_symbolic" localSheetId="4">'P5 parameters'!$O$3</definedName>
    <definedName name="readback_symbolic">'Download list'!$O$3</definedName>
    <definedName name="ReadbackAddress" localSheetId="4">'P5 parameters'!$N$3</definedName>
    <definedName name="ReadbackAddress">'Download list'!$N$3</definedName>
    <definedName name="ReadbackDB" localSheetId="4">'P5 parameters'!$M$3</definedName>
    <definedName name="ReadbackDB">'Download list'!$M$3</definedName>
    <definedName name="ReadbackType" localSheetId="4">'P5 parameters'!$P$3</definedName>
    <definedName name="ReadbackType">'Download list'!$P$3</definedName>
    <definedName name="sequence" localSheetId="4">'P5 parameters'!$AA$3</definedName>
    <definedName name="sequence">'Download list'!$AA$3</definedName>
    <definedName name="settingsgen">'RMS generation settings'!$A$4:$C$26</definedName>
    <definedName name="special_remarks" localSheetId="4">'P5 parameters'!$AJ$3</definedName>
    <definedName name="special_remarks">'Download list'!$AJ$3</definedName>
    <definedName name="StatusTag" localSheetId="4">'P5 parameters'!$T$3</definedName>
    <definedName name="StatusTag">'Download list'!$T$3</definedName>
    <definedName name="Statustags">StatusTags!$A$3:$F$13</definedName>
    <definedName name="tag_scada" localSheetId="4">'P5 parameters'!$U$3</definedName>
    <definedName name="tag_scada">'Download list'!$U$3</definedName>
    <definedName name="tag_uldl" localSheetId="4">'P5 parameters'!$V$3</definedName>
    <definedName name="tag_uldl">'Download list'!$V$3</definedName>
    <definedName name="unit" localSheetId="4">'P5 parameters'!$AE$3</definedName>
    <definedName name="unit">'Download list'!$AE$3</definedName>
    <definedName name="VQS" localSheetId="4">'P5 parameters'!$AI$3</definedName>
    <definedName name="VQS">'Download list'!$AI$3</definedName>
    <definedName name="VU" localSheetId="4">'P5 parameters'!$X$3</definedName>
    <definedName name="VU">'Download list'!$X$3</definedName>
    <definedName name="Z_5E8D4A93_237D_11D1_AB2C_00609709CD69_.wvu.PrintTitles" localSheetId="2">'Download list'!$3:$3</definedName>
    <definedName name="Z_5E8D4A93_237D_11D1_AB2C_00609709CD69_.wvu.PrintTitles" localSheetId="4">'P5 parameters'!$3:$3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5" i="1" l="1"/>
  <c r="AH84" i="1"/>
  <c r="AH103" i="1" l="1"/>
  <c r="U103" i="1"/>
  <c r="AH102" i="1"/>
  <c r="U102" i="1"/>
  <c r="AH101" i="1"/>
  <c r="U101" i="1"/>
  <c r="AH100" i="1"/>
  <c r="U100" i="1"/>
  <c r="AH99" i="1"/>
  <c r="U99" i="1"/>
  <c r="AH98" i="1"/>
  <c r="U98" i="1"/>
  <c r="AH97" i="1"/>
  <c r="U97" i="1"/>
  <c r="AH96" i="1"/>
  <c r="U96" i="1"/>
  <c r="AH95" i="1"/>
  <c r="U95" i="1"/>
  <c r="AH94" i="1"/>
  <c r="U94" i="1"/>
  <c r="AH93" i="1"/>
  <c r="U93" i="1"/>
  <c r="AH118" i="1" l="1"/>
  <c r="U118" i="1"/>
  <c r="AH117" i="1"/>
  <c r="U117" i="1"/>
  <c r="AH116" i="1"/>
  <c r="U116" i="1"/>
  <c r="AH115" i="1"/>
  <c r="U115" i="1"/>
  <c r="AH114" i="1"/>
  <c r="U114" i="1"/>
  <c r="AH113" i="1"/>
  <c r="U113" i="1"/>
  <c r="AH112" i="1"/>
  <c r="U112" i="1"/>
  <c r="AH111" i="1"/>
  <c r="U111" i="1"/>
  <c r="AH110" i="1"/>
  <c r="U110" i="1"/>
  <c r="AH109" i="1"/>
  <c r="U109" i="1"/>
  <c r="AH108" i="1"/>
  <c r="U108" i="1"/>
  <c r="AH107" i="1"/>
  <c r="U107" i="1"/>
  <c r="AH105" i="1"/>
  <c r="U105" i="1"/>
  <c r="AH104" i="1"/>
  <c r="U104" i="1"/>
  <c r="AH92" i="1"/>
  <c r="U92" i="1"/>
  <c r="AH91" i="1"/>
  <c r="U91" i="1"/>
  <c r="AH90" i="1"/>
  <c r="U90" i="1"/>
  <c r="AH83" i="1"/>
  <c r="U83" i="1"/>
  <c r="AH82" i="1"/>
  <c r="U82" i="1"/>
  <c r="AH81" i="1"/>
  <c r="U81" i="1"/>
  <c r="AH74" i="1"/>
  <c r="U74" i="1"/>
  <c r="AH71" i="1"/>
  <c r="U71" i="1"/>
  <c r="AH70" i="1"/>
  <c r="U70" i="1"/>
  <c r="AH69" i="1"/>
  <c r="U69" i="1"/>
  <c r="AH68" i="1"/>
  <c r="U68" i="1"/>
  <c r="AH67" i="1"/>
  <c r="U67" i="1"/>
  <c r="AH66" i="1"/>
  <c r="U66" i="1"/>
  <c r="AH65" i="1"/>
  <c r="U65" i="1"/>
  <c r="AH64" i="1"/>
  <c r="U64" i="1"/>
  <c r="AH63" i="1"/>
  <c r="U63" i="1"/>
  <c r="AH62" i="1"/>
  <c r="U62" i="1"/>
  <c r="AH61" i="1"/>
  <c r="U61" i="1"/>
  <c r="AH60" i="1"/>
  <c r="U60" i="1"/>
  <c r="AH59" i="1"/>
  <c r="U59" i="1"/>
  <c r="AH58" i="1"/>
  <c r="U58" i="1"/>
  <c r="AH57" i="1"/>
  <c r="U57" i="1"/>
  <c r="AH56" i="1"/>
  <c r="U56" i="1"/>
  <c r="AH55" i="1"/>
  <c r="U55" i="1"/>
  <c r="AH54" i="1"/>
  <c r="U54" i="1"/>
  <c r="AH53" i="1"/>
  <c r="U53" i="1"/>
  <c r="AH52" i="1"/>
  <c r="U52" i="1"/>
  <c r="AH51" i="1"/>
  <c r="U51" i="1"/>
  <c r="AH50" i="1"/>
  <c r="U50" i="1"/>
  <c r="AH49" i="1"/>
  <c r="U49" i="1"/>
  <c r="AH48" i="1"/>
  <c r="U48" i="1"/>
  <c r="AH47" i="1"/>
  <c r="U47" i="1"/>
  <c r="AH46" i="1"/>
  <c r="U46" i="1"/>
  <c r="AH45" i="1"/>
  <c r="U45" i="1"/>
  <c r="AH44" i="1"/>
  <c r="U44" i="1"/>
  <c r="AH43" i="1"/>
  <c r="U43" i="1"/>
  <c r="AH42" i="1"/>
  <c r="U42" i="1"/>
  <c r="AH41" i="1"/>
  <c r="U41" i="1"/>
  <c r="AH40" i="1"/>
  <c r="U40" i="1"/>
  <c r="AH39" i="1"/>
  <c r="U39" i="1"/>
  <c r="AH38" i="1"/>
  <c r="U38" i="1"/>
  <c r="AH37" i="1"/>
  <c r="U37" i="1"/>
  <c r="AH36" i="1"/>
  <c r="U36" i="1"/>
  <c r="AH35" i="1"/>
  <c r="U35" i="1"/>
  <c r="AH34" i="1"/>
  <c r="U34" i="1"/>
  <c r="AH33" i="1"/>
  <c r="U33" i="1"/>
  <c r="AH32" i="1"/>
  <c r="U32" i="1"/>
  <c r="AH31" i="1"/>
  <c r="U31" i="1"/>
  <c r="AH30" i="1"/>
  <c r="U30" i="1"/>
  <c r="AH29" i="1"/>
  <c r="U29" i="1"/>
  <c r="AH28" i="1"/>
  <c r="U28" i="1"/>
  <c r="AH25" i="1"/>
  <c r="AH23" i="1"/>
  <c r="AH20" i="1"/>
  <c r="AH16" i="1"/>
  <c r="AH15" i="1"/>
  <c r="V13" i="1"/>
  <c r="V12" i="1"/>
  <c r="V11" i="1"/>
  <c r="V6" i="1"/>
  <c r="C4" i="3" l="1"/>
  <c r="C9" i="3" l="1"/>
  <c r="C8" i="3"/>
  <c r="C7" i="3"/>
  <c r="C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3" authorId="0" shapeId="0" xr:uid="{B7166C67-680C-4A61-8208-CBF564AB9B05}">
      <text>
        <r>
          <rPr>
            <sz val="9"/>
            <color indexed="81"/>
            <rFont val="Tahoma"/>
            <family val="2"/>
          </rPr>
          <t>The new Version control template (and CRF / PCN column on the other tab pages) makes it easier to trace each modification within a DB list update back to the corresponding CRF / PCN number and initiator.  This is especially useful in post-project phase software updates where a DB list is updated with the scope &amp; changes from multiple CRF's or PCN's at once.</t>
        </r>
      </text>
    </comment>
    <comment ref="E3" authorId="0" shapeId="0" xr:uid="{ED0F56D3-882F-4755-80B2-192EDA23610D}">
      <text>
        <r>
          <rPr>
            <b/>
            <sz val="9"/>
            <color indexed="81"/>
            <rFont val="Tahoma"/>
            <family val="2"/>
          </rPr>
          <t>In the project phase (when only 1 CRF is applicable) :</t>
        </r>
        <r>
          <rPr>
            <sz val="9"/>
            <color indexed="81"/>
            <rFont val="Tahoma"/>
            <family val="2"/>
          </rPr>
          <t xml:space="preserve">
=&gt; Use your project CRF on the Version control tab page. It is not needed to fill in the CRF / PCN column on all the other tab pages.
</t>
        </r>
        <r>
          <rPr>
            <b/>
            <sz val="9"/>
            <color indexed="81"/>
            <rFont val="Tahoma"/>
            <family val="2"/>
          </rPr>
          <t>Post-project / update phase (when only 1 CRF or PCN is used for a DB list update) :</t>
        </r>
        <r>
          <rPr>
            <sz val="9"/>
            <color indexed="81"/>
            <rFont val="Tahoma"/>
            <family val="2"/>
          </rPr>
          <t xml:space="preserve">
=&gt; Use your CRF or PCN on the Version control tab page. It is not needed to fill in the CRF / PCN column on all the other tab pages.
</t>
        </r>
        <r>
          <rPr>
            <b/>
            <sz val="9"/>
            <color indexed="81"/>
            <rFont val="Tahoma"/>
            <family val="2"/>
          </rPr>
          <t xml:space="preserve">
Post-project / update phase (when multiple CRFs or PCNs are used for the same DB list update) :</t>
        </r>
        <r>
          <rPr>
            <sz val="9"/>
            <color indexed="81"/>
            <rFont val="Tahoma"/>
            <family val="2"/>
          </rPr>
          <t xml:space="preserve">
=&gt; On the Version control tab page: For each CRF or PCN the corresponding initiator needs to add a line to the DB list version.
=&gt; On all the other tab pages, for each modification the CRF / PCN column needs to be filled in so that each modification can be linked to the correct CRF number.
=&gt; If a CRF or PCN number is not yet known at the time of making changes in the DB list, then temporary use your own initials instead of the CRF / PCN number.  Later, update this to the real CRF / PCN number.</t>
        </r>
      </text>
    </comment>
    <comment ref="F3" authorId="0" shapeId="0" xr:uid="{F3FAC142-3330-4E1B-955F-86F3AFA72F7C}">
      <text>
        <r>
          <rPr>
            <sz val="9"/>
            <color indexed="81"/>
            <rFont val="Tahoma"/>
            <family val="2"/>
          </rPr>
          <t>WO number (if applicable) is supplied by the production department</t>
        </r>
      </text>
    </comment>
    <comment ref="G3" authorId="0" shapeId="0" xr:uid="{5EEB0F88-1B59-4E96-9983-A3E13DE97934}">
      <text>
        <r>
          <rPr>
            <sz val="9"/>
            <color indexed="81"/>
            <rFont val="Tahoma"/>
            <family val="2"/>
          </rPr>
          <t>=&gt; "</t>
        </r>
        <r>
          <rPr>
            <b/>
            <sz val="9"/>
            <color indexed="81"/>
            <rFont val="Tahoma"/>
            <family val="2"/>
          </rPr>
          <t>Yes</t>
        </r>
        <r>
          <rPr>
            <sz val="9"/>
            <color indexed="81"/>
            <rFont val="Tahoma"/>
            <family val="2"/>
          </rPr>
          <t>" means this discipline is in scope and needs to be updated once the changes of this DB list version go live.
=&gt; "</t>
        </r>
        <r>
          <rPr>
            <b/>
            <sz val="9"/>
            <color indexed="81"/>
            <rFont val="Tahoma"/>
            <family val="2"/>
          </rPr>
          <t>No</t>
        </r>
        <r>
          <rPr>
            <sz val="9"/>
            <color indexed="81"/>
            <rFont val="Tahoma"/>
            <family val="2"/>
          </rPr>
          <t>" means this discipline is in not in scope and no update is required.
=&gt; "</t>
        </r>
        <r>
          <rPr>
            <b/>
            <sz val="9"/>
            <color indexed="81"/>
            <rFont val="Tahoma"/>
            <family val="2"/>
          </rPr>
          <t>Future</t>
        </r>
        <r>
          <rPr>
            <sz val="9"/>
            <color indexed="81"/>
            <rFont val="Tahoma"/>
            <family val="2"/>
          </rPr>
          <t xml:space="preserve">" means this discipline is in scope and the required changes are already prepared in this DB list, but the update will not be done yet once the changes of this DB list go live.  That means, somwhere in the future this discipline still needs to be updated.
This can be used for example if a certain change has impact on both SCADA and PI/TRT but you only want to update SCADA now and do PI/TRT later.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6" authorId="0" shapeId="0" xr:uid="{267949BB-AD4B-441C-A55B-874FE8EE2267}">
      <text>
        <r>
          <rPr>
            <b/>
            <sz val="9"/>
            <color indexed="81"/>
            <rFont val="Tahoma"/>
            <family val="2"/>
          </rPr>
          <t xml:space="preserve">During project phase: </t>
        </r>
        <r>
          <rPr>
            <sz val="9"/>
            <color indexed="81"/>
            <rFont val="Tahoma"/>
            <family val="2"/>
          </rPr>
          <t xml:space="preserve">
=&gt; Link or reference to where the PLC software can be found
</t>
        </r>
        <r>
          <rPr>
            <b/>
            <sz val="9"/>
            <color indexed="81"/>
            <rFont val="Tahoma"/>
            <family val="2"/>
          </rPr>
          <t xml:space="preserve">Post-project phase: </t>
        </r>
        <r>
          <rPr>
            <sz val="9"/>
            <color indexed="81"/>
            <rFont val="Tahoma"/>
            <family val="2"/>
          </rPr>
          <t xml:space="preserve">
=&gt; Location (path) in VersionDog where the software can be found</t>
        </r>
      </text>
    </comment>
    <comment ref="A24" authorId="0" shapeId="0" xr:uid="{47404128-D071-4A4C-AB63-7A5E8190E36A}">
      <text>
        <r>
          <rPr>
            <sz val="9"/>
            <color indexed="81"/>
            <rFont val="Tahoma"/>
            <family val="2"/>
          </rPr>
          <t>If 1 or more SCADA clients are preferred to be used for PA for support (for example clients located on a technical platform, a supervisor room or any other non-production area) then write them down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Van Weyenberg, Mathias</author>
    <author>Tom Van Kerckhove</author>
    <author>tc={9C9FA1FE-0A46-4982-B250-3FBBAA03EF1A}</author>
    <author>lknaepk</author>
    <author>tc={6FA76E5A-6AF2-4511-9F6E-5279ECD82BE7}</author>
    <author>tc={0EC2F871-54C3-4EC0-B851-CBAADA7932D4}</author>
  </authors>
  <commentList>
    <comment ref="F3" authorId="0" shapeId="0" xr:uid="{B75E3575-7C4A-4F3A-967C-2D667438A3F4}">
      <text>
        <r>
          <rPr>
            <b/>
            <sz val="9"/>
            <color indexed="81"/>
            <rFont val="Tahoma"/>
            <family val="2"/>
          </rPr>
          <t>Van Weyenberg, Mathias:</t>
        </r>
        <r>
          <rPr>
            <sz val="9"/>
            <color indexed="81"/>
            <rFont val="Tahoma"/>
            <family val="2"/>
          </rPr>
          <t xml:space="preserve">
Description in English</t>
        </r>
      </text>
    </comment>
    <comment ref="G3" authorId="0" shapeId="0" xr:uid="{5128CE4F-5010-4B3F-ABB5-E905E2609E99}">
      <text>
        <r>
          <rPr>
            <b/>
            <sz val="9"/>
            <color indexed="81"/>
            <rFont val="Tahoma"/>
            <family val="2"/>
          </rPr>
          <t>Van Weyenberg, Mathias:</t>
        </r>
        <r>
          <rPr>
            <sz val="9"/>
            <color indexed="81"/>
            <rFont val="Tahoma"/>
            <family val="2"/>
          </rPr>
          <t xml:space="preserve">
Description language supplier
</t>
        </r>
      </text>
    </comment>
    <comment ref="H3" authorId="1" shapeId="0" xr:uid="{7F1B69A7-0139-46E0-AFC6-D2D1168EA765}">
      <text>
        <r>
          <rPr>
            <b/>
            <sz val="8"/>
            <color indexed="81"/>
            <rFont val="Tahoma"/>
            <family val="2"/>
          </rPr>
          <t>Translation:</t>
        </r>
        <r>
          <rPr>
            <sz val="8"/>
            <color indexed="81"/>
            <rFont val="Tahoma"/>
            <family val="2"/>
          </rPr>
          <t xml:space="preserve">
max. 75 characters</t>
        </r>
      </text>
    </comment>
    <comment ref="T3" authorId="2" shapeId="0" xr:uid="{9C9FA1FE-0A46-4982-B250-3FBBAA03EF1A}">
      <text>
        <t>[Threaded comment]
Your version of Excel allows you to read this threaded comment; however, any edits to it will get removed if the file is opened in a newer version of Excel. Learn more: https://go.microsoft.com/fwlink/?linkid=870924
Comment:
    All fields marked in pink: Is it really necessary to interlock these while the line is running? If so, why?</t>
      </text>
    </comment>
    <comment ref="X3" authorId="3" shapeId="0" xr:uid="{DE7D6D0D-52A4-486D-8249-D6B6D1F23181}">
      <text>
        <r>
          <rPr>
            <sz val="8"/>
            <color indexed="81"/>
            <rFont val="Tahoma"/>
            <family val="2"/>
          </rPr>
          <t xml:space="preserve">UV name of name of 
</t>
        </r>
      </text>
    </comment>
    <comment ref="AG30" authorId="4" shapeId="0" xr:uid="{6FA76E5A-6AF2-4511-9F6E-5279ECD82BE7}">
      <text>
        <t>[Threaded comment]
Your version of Excel allows you to read this threaded comment; however, any edits to it will get removed if the file is opened in a newer version of Excel. Learn more: https://go.microsoft.com/fwlink/?linkid=870924
Comment:
    to review</t>
      </text>
    </comment>
    <comment ref="AG31" authorId="5" shapeId="0" xr:uid="{0EC2F871-54C3-4EC0-B851-CBAADA7932D4}">
      <text>
        <t>[Threaded comment]
Your version of Excel allows you to read this threaded comment; however, any edits to it will get removed if the file is opened in a newer version of Excel. Learn more: https://go.microsoft.com/fwlink/?linkid=870924
Comment:
    to review</t>
      </text>
    </comment>
    <comment ref="C137" authorId="1" shapeId="0" xr:uid="{08F5F3EA-5B9F-46DC-844E-401B29F04129}">
      <text>
        <r>
          <rPr>
            <b/>
            <sz val="8"/>
            <color indexed="81"/>
            <rFont val="Tahoma"/>
            <family val="2"/>
          </rPr>
          <t xml:space="preserve">Attention!
</t>
        </r>
        <r>
          <rPr>
            <sz val="8"/>
            <color indexed="81"/>
            <rFont val="Tahoma"/>
            <family val="2"/>
          </rPr>
          <t>Insert line before this one to add parameters.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Tom Van Kerckhove</author>
    <author>lknaepk</author>
    <author>tc={2BF1E3F9-5F5D-49D8-95A7-5BADFE9C3951}</author>
  </authors>
  <commentList>
    <comment ref="H3" authorId="0" shapeId="0" xr:uid="{00000000-0006-0000-0200-000001000000}">
      <text>
        <r>
          <rPr>
            <b/>
            <sz val="8"/>
            <color indexed="81"/>
            <rFont val="Tahoma"/>
            <family val="2"/>
          </rPr>
          <t>Translation:</t>
        </r>
        <r>
          <rPr>
            <sz val="8"/>
            <color indexed="81"/>
            <rFont val="Tahoma"/>
            <family val="2"/>
          </rPr>
          <t xml:space="preserve">
max. 75 characters</t>
        </r>
      </text>
    </comment>
    <comment ref="X3" authorId="1" shapeId="0" xr:uid="{00000000-0006-0000-0200-000003000000}">
      <text>
        <r>
          <rPr>
            <sz val="8"/>
            <color indexed="81"/>
            <rFont val="Tahoma"/>
            <family val="2"/>
          </rPr>
          <t xml:space="preserve">UV name of name of 
</t>
        </r>
      </text>
    </comment>
    <comment ref="F4" authorId="2" shapeId="0" xr:uid="{2BF1E3F9-5F5D-49D8-95A7-5BADFE9C3951}">
      <text>
        <t>[Threaded comment]
Your version of Excel allows you to read this threaded comment; however, any edits to it will get removed if the file is opened in a newer version of Excel. Learn more: https://go.microsoft.com/fwlink/?linkid=870924
Comment:
    Please complete these rows</t>
      </text>
    </comment>
    <comment ref="C24" authorId="0" shapeId="0" xr:uid="{00000000-0006-0000-0200-000004000000}">
      <text>
        <r>
          <rPr>
            <b/>
            <sz val="8"/>
            <color indexed="81"/>
            <rFont val="Tahoma"/>
            <family val="2"/>
          </rPr>
          <t xml:space="preserve">Attention!
</t>
        </r>
        <r>
          <rPr>
            <sz val="8"/>
            <color indexed="81"/>
            <rFont val="Tahoma"/>
            <family val="2"/>
          </rPr>
          <t>Insert line before this one to add parameters.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Van Weyenberg, Mathias</author>
    <author>tc={A96686F7-CE57-4AF4-96FF-F34C5EF058A5}</author>
  </authors>
  <commentList>
    <comment ref="C3" authorId="0" shapeId="0" xr:uid="{19618933-0BF1-43B7-BE66-E68EFA97D091}">
      <text>
        <r>
          <rPr>
            <b/>
            <sz val="9"/>
            <color indexed="81"/>
            <rFont val="Tahoma"/>
            <family val="2"/>
          </rPr>
          <t>Van Weyenberg, Mathias:</t>
        </r>
        <r>
          <rPr>
            <sz val="9"/>
            <color indexed="81"/>
            <rFont val="Tahoma"/>
            <family val="2"/>
          </rPr>
          <t xml:space="preserve">
Description of the statustag if wanted</t>
        </r>
      </text>
    </comment>
    <comment ref="A14" authorId="1" shapeId="0" xr:uid="{A96686F7-CE57-4AF4-96FF-F34C5EF058A5}">
      <text>
        <t>[Threaded comment]
Your version of Excel allows you to read this threaded comment; however, any edits to it will get removed if the file is opened in a newer version of Excel. Learn more: https://go.microsoft.com/fwlink/?linkid=870924
Comment:
    Please add VU3923_machine active statustag</t>
      </text>
    </comment>
  </commentList>
</comments>
</file>

<file path=xl/sharedStrings.xml><?xml version="1.0" encoding="utf-8"?>
<sst xmlns="http://schemas.openxmlformats.org/spreadsheetml/2006/main" count="2227" uniqueCount="994">
  <si>
    <t>Version control</t>
  </si>
  <si>
    <t>Document
Version</t>
  </si>
  <si>
    <t>Initiator</t>
  </si>
  <si>
    <t>Date</t>
  </si>
  <si>
    <t>Description</t>
  </si>
  <si>
    <t>CRF / PCN number</t>
  </si>
  <si>
    <t>WO number
(for EV)</t>
  </si>
  <si>
    <t>Discipline in scope?</t>
  </si>
  <si>
    <t>(Yes/No/Future)</t>
  </si>
  <si>
    <t>PLC</t>
  </si>
  <si>
    <t>SCADA</t>
  </si>
  <si>
    <t>PI/TRT</t>
  </si>
  <si>
    <t>RMS</t>
  </si>
  <si>
    <t>ULDL</t>
  </si>
  <si>
    <t>EBR</t>
  </si>
  <si>
    <t>A1</t>
  </si>
  <si>
    <t>B&amp;S</t>
  </si>
  <si>
    <t>Initial Version</t>
  </si>
  <si>
    <t>gQTR PR#6103643</t>
  </si>
  <si>
    <t>N/A</t>
  </si>
  <si>
    <t>n/a</t>
  </si>
  <si>
    <t>A2</t>
  </si>
  <si>
    <t>Review</t>
  </si>
  <si>
    <t>A3</t>
  </si>
  <si>
    <t>Marnix Van Rompaey</t>
  </si>
  <si>
    <t>Review before JOIN</t>
  </si>
  <si>
    <t>A4</t>
  </si>
  <si>
    <t>Mathieu Paelinck</t>
  </si>
  <si>
    <t>Update</t>
  </si>
  <si>
    <t>Yes</t>
  </si>
  <si>
    <t>A5</t>
  </si>
  <si>
    <t>new LAF parameters</t>
  </si>
  <si>
    <t>Marnix Van Rompaey &amp; Elisa Ots</t>
  </si>
  <si>
    <t>Review of new parameters &amp; statustag change + Change parameters of ULDL Tag Names</t>
  </si>
  <si>
    <t>A7</t>
  </si>
  <si>
    <t xml:space="preserve">Femke Pinxten </t>
  </si>
  <si>
    <t>Parameter class change for LAF parameters</t>
  </si>
  <si>
    <t>A8</t>
  </si>
  <si>
    <t>Elke Fransen</t>
  </si>
  <si>
    <t>Component types</t>
  </si>
  <si>
    <t>21011-73201-PCN0-A1</t>
  </si>
  <si>
    <t>No</t>
  </si>
  <si>
    <t>Vivek Mukherjee</t>
  </si>
  <si>
    <t>13/07/2023</t>
  </si>
  <si>
    <t>Vial type - change from P2 to P3</t>
  </si>
  <si>
    <t>Bausch&amp;Stroebel</t>
  </si>
  <si>
    <t>Update see details</t>
  </si>
  <si>
    <t>Cristina Pascual</t>
  </si>
  <si>
    <t>Change parametes description HEPA filter of LF for HEPA filtered air unit</t>
  </si>
  <si>
    <t>Update of rights for changing actual and original values</t>
  </si>
  <si>
    <t>A9</t>
  </si>
  <si>
    <t>Jan Zink</t>
  </si>
  <si>
    <t>Update new parameter 81</t>
  </si>
  <si>
    <t>class change from P2 towards P3 "Maximum pressure of compressed air (M1)"</t>
  </si>
  <si>
    <t>B1</t>
  </si>
  <si>
    <t>Joerie De Boeck</t>
  </si>
  <si>
    <t>Changed SUP To EE to be Sop complient</t>
  </si>
  <si>
    <t>21011-73270-PCN0-A1</t>
  </si>
  <si>
    <t>B2</t>
  </si>
  <si>
    <t>Change description of parameter, tagname, component type and measuring units</t>
  </si>
  <si>
    <t>General info</t>
  </si>
  <si>
    <t>Machine name</t>
  </si>
  <si>
    <t>IFC - VL1 - Vial washer</t>
  </si>
  <si>
    <t>Machine number</t>
  </si>
  <si>
    <t>CU number</t>
  </si>
  <si>
    <t>PLC software location</t>
  </si>
  <si>
    <t>DB list location (project phase)</t>
  </si>
  <si>
    <t>DB list location (machine folder)</t>
  </si>
  <si>
    <t>VU name</t>
  </si>
  <si>
    <t>VU number</t>
  </si>
  <si>
    <t>VU 1</t>
  </si>
  <si>
    <t>Wasmachine</t>
  </si>
  <si>
    <t>VU 2</t>
  </si>
  <si>
    <t>VU 3</t>
  </si>
  <si>
    <t>VU 4</t>
  </si>
  <si>
    <t>VU 5</t>
  </si>
  <si>
    <t>VU 6</t>
  </si>
  <si>
    <t>VU 7</t>
  </si>
  <si>
    <t>VU 8</t>
  </si>
  <si>
    <t>VU 9</t>
  </si>
  <si>
    <t>VU 10</t>
  </si>
  <si>
    <t>SCADA server(s)</t>
  </si>
  <si>
    <t>SCADA client(s)</t>
  </si>
  <si>
    <t>SCADA client for PA support</t>
  </si>
  <si>
    <t>WinCC version</t>
  </si>
  <si>
    <t>OPC server (main)</t>
  </si>
  <si>
    <t>OPC server (backup)</t>
  </si>
  <si>
    <t>OPC project / SCoreS7 location</t>
  </si>
  <si>
    <t>ENG-station(s) for WinCC</t>
  </si>
  <si>
    <t>ENG-station(s) for PLC</t>
  </si>
  <si>
    <t>VMP number SCADA</t>
  </si>
  <si>
    <t>VMP number RMS</t>
  </si>
  <si>
    <t>B0198</t>
  </si>
  <si>
    <t>VMP number ULDL</t>
  </si>
  <si>
    <t>B0182</t>
  </si>
  <si>
    <t>VMP number PI</t>
  </si>
  <si>
    <t>B0183</t>
  </si>
  <si>
    <t>VMP number TRT</t>
  </si>
  <si>
    <t>B0199</t>
  </si>
  <si>
    <t>Project team</t>
  </si>
  <si>
    <t>PE name</t>
  </si>
  <si>
    <t>Company</t>
  </si>
  <si>
    <t>engineering</t>
  </si>
  <si>
    <t>process automation</t>
  </si>
  <si>
    <t>Download list</t>
  </si>
  <si>
    <t>DB "Lpar_DLData"</t>
  </si>
  <si>
    <t>DB Readback ("Lvis_Data" if applicable)</t>
  </si>
  <si>
    <t>DB "Lpar_DLStat"</t>
  </si>
  <si>
    <t>CRF / PCN</t>
  </si>
  <si>
    <t>Version</t>
  </si>
  <si>
    <t>PfizerNR</t>
  </si>
  <si>
    <t>IsDownloadbaar</t>
  </si>
  <si>
    <t>IsDeleted?</t>
  </si>
  <si>
    <t>Description (EN)</t>
  </si>
  <si>
    <t>Description (Supplier)</t>
  </si>
  <si>
    <t>Description (NL)</t>
  </si>
  <si>
    <t>DB12 address</t>
  </si>
  <si>
    <t>symbolic</t>
  </si>
  <si>
    <t>DB12 Type</t>
  </si>
  <si>
    <t>PLC Data Type</t>
  </si>
  <si>
    <t>Readback DB</t>
  </si>
  <si>
    <t>Readback Address</t>
  </si>
  <si>
    <t>Symbolic</t>
  </si>
  <si>
    <t>Readback Type</t>
  </si>
  <si>
    <t>Downloadtag</t>
  </si>
  <si>
    <t>Readbacktag</t>
  </si>
  <si>
    <t>StatusTag</t>
  </si>
  <si>
    <t>Tag name</t>
  </si>
  <si>
    <t xml:space="preserve">UL/DL Tag name </t>
  </si>
  <si>
    <t>Component Type</t>
  </si>
  <si>
    <t>VU</t>
  </si>
  <si>
    <t>Class</t>
  </si>
  <si>
    <t>Group</t>
  </si>
  <si>
    <t>Seq</t>
  </si>
  <si>
    <t>DataOwner</t>
  </si>
  <si>
    <t>Auth original value</t>
  </si>
  <si>
    <t>Auth actual value</t>
  </si>
  <si>
    <t>Unit</t>
  </si>
  <si>
    <t>Range Min</t>
  </si>
  <si>
    <t>Range Max</t>
  </si>
  <si>
    <t>Initial values</t>
  </si>
  <si>
    <t>VQS reference</t>
  </si>
  <si>
    <t>Special remarks</t>
  </si>
  <si>
    <t>Pass / Fail</t>
  </si>
  <si>
    <t/>
  </si>
  <si>
    <t>Handling</t>
  </si>
  <si>
    <t>NA</t>
  </si>
  <si>
    <t>DBW0</t>
  </si>
  <si>
    <t>.VU1.Gen.Handling</t>
  </si>
  <si>
    <t>Word</t>
  </si>
  <si>
    <t>typeLPar_GenDL</t>
  </si>
  <si>
    <t>New_recipe</t>
  </si>
  <si>
    <t>Pfizer/Machine const.</t>
  </si>
  <si>
    <t>Shop Order Number</t>
  </si>
  <si>
    <t>SON</t>
  </si>
  <si>
    <t>DBB2</t>
  </si>
  <si>
    <t>.VU1.Gen.SON</t>
  </si>
  <si>
    <t>String[10]</t>
  </si>
  <si>
    <t>L</t>
  </si>
  <si>
    <t>P1</t>
  </si>
  <si>
    <t>Lot</t>
  </si>
  <si>
    <t>VERANTW_MACHSTELLER;SUPERVISOR;PE;DEVELOPER</t>
  </si>
  <si>
    <t>PE;DEVELOPER</t>
  </si>
  <si>
    <t>0000000000</t>
  </si>
  <si>
    <t>Machine constructor</t>
  </si>
  <si>
    <t xml:space="preserve">Item Number </t>
  </si>
  <si>
    <t>INR</t>
  </si>
  <si>
    <t>DBB14</t>
  </si>
  <si>
    <t>.VU1.Gen.INR</t>
  </si>
  <si>
    <t>String[15]</t>
  </si>
  <si>
    <t xml:space="preserve">Not approved recipe downloaded </t>
  </si>
  <si>
    <t>DBB31</t>
  </si>
  <si>
    <t>.VU1.Gen.WarnULDL</t>
  </si>
  <si>
    <t>Byte</t>
  </si>
  <si>
    <t>UL_DL_Warning</t>
  </si>
  <si>
    <t>Fill in when symbolic program</t>
  </si>
  <si>
    <t>Version of RMS recipe</t>
  </si>
  <si>
    <t>Version des RMS-Rezepts</t>
  </si>
  <si>
    <t>Receptversie</t>
  </si>
  <si>
    <t>DBB32</t>
  </si>
  <si>
    <t>.VU1.Gen.RecipeVersion</t>
  </si>
  <si>
    <t>String[6]</t>
  </si>
  <si>
    <t>RCPVER</t>
  </si>
  <si>
    <t>3920_RCPVER</t>
  </si>
  <si>
    <t>Algemeen</t>
  </si>
  <si>
    <t>Fill in when Absolute program</t>
  </si>
  <si>
    <t>Mode</t>
  </si>
  <si>
    <t>DBW40</t>
  </si>
  <si>
    <t>.VU1.Gen.Mode</t>
  </si>
  <si>
    <t>INT</t>
  </si>
  <si>
    <t>3920_MODE</t>
  </si>
  <si>
    <t>Mode Production = 1 (PRD)
Mode Maintenance = 16 (MNT)</t>
  </si>
  <si>
    <t>Item description</t>
  </si>
  <si>
    <t>Artikelbeschreibung</t>
  </si>
  <si>
    <t>Item beschrijving</t>
  </si>
  <si>
    <t>DBB42</t>
  </si>
  <si>
    <t>.VU1.Gen.ItemDescription</t>
  </si>
  <si>
    <t>String[40]</t>
  </si>
  <si>
    <t>IDESCR</t>
  </si>
  <si>
    <t>3920_IDESCR</t>
  </si>
  <si>
    <t>Lot Number</t>
  </si>
  <si>
    <t>Chargennummer</t>
  </si>
  <si>
    <t>LNR</t>
  </si>
  <si>
    <t>DBB84</t>
  </si>
  <si>
    <t>.VU1.Gen.LNR</t>
  </si>
  <si>
    <t>xxx</t>
  </si>
  <si>
    <t>Virtual Unit</t>
  </si>
  <si>
    <t>DBW96</t>
  </si>
  <si>
    <t>.VU1.Gen.VU</t>
  </si>
  <si>
    <t>UL/DL alarms (Area only used in DB15 for passing UL/DL alarms to FC248)</t>
  </si>
  <si>
    <t>UL/DL Alarm</t>
  </si>
  <si>
    <t>DBW98</t>
  </si>
  <si>
    <t>.VU1.Gen.AlmULDL</t>
  </si>
  <si>
    <t>UL_DL_alarms</t>
  </si>
  <si>
    <t xml:space="preserve">Production speed main drive </t>
  </si>
  <si>
    <t>Leistung Hauptantrieb Produktion</t>
  </si>
  <si>
    <t>Hoofdaandrijving - setpunt snelheid productie (% van Maximum Snelheid)</t>
  </si>
  <si>
    <t>DBD200</t>
  </si>
  <si>
    <t>VU1.Spec.100</t>
  </si>
  <si>
    <t>Real</t>
  </si>
  <si>
    <t>33M1_SP_Productie</t>
  </si>
  <si>
    <t>3920_33M1_SP_Productie</t>
  </si>
  <si>
    <t>VT</t>
  </si>
  <si>
    <t>P4</t>
  </si>
  <si>
    <t>Transport</t>
  </si>
  <si>
    <t>EE</t>
  </si>
  <si>
    <t>TECHNIEKER1;TECHNIEKER2;VERANTW_MACHSTELLER;SUPERVISOR;PE;DEVELOPER</t>
  </si>
  <si>
    <t>%</t>
  </si>
  <si>
    <t>Slow speed main drive</t>
  </si>
  <si>
    <t>Leistung Hauptantrieb Langsam</t>
  </si>
  <si>
    <t>Hoofdaandrijving - setpunt snelheid traag (% van Maximum Snelheid)</t>
  </si>
  <si>
    <t>DBD204</t>
  </si>
  <si>
    <t>VU1.Spec.101</t>
  </si>
  <si>
    <t>33M1_SP_Slow</t>
  </si>
  <si>
    <t>3920_33M1_SP_Slow</t>
  </si>
  <si>
    <t>E</t>
  </si>
  <si>
    <t>Spare</t>
  </si>
  <si>
    <t>Reserve</t>
  </si>
  <si>
    <t>DBD208</t>
  </si>
  <si>
    <t>VU1.Spec.102</t>
  </si>
  <si>
    <t>DBD212</t>
  </si>
  <si>
    <t>VU1.Spec.103</t>
  </si>
  <si>
    <t>DBD216</t>
  </si>
  <si>
    <t>VU1.Spec.104</t>
  </si>
  <si>
    <t>Infeed rotary transfer table speed</t>
  </si>
  <si>
    <t>Leistung Umlenkdrehteller Einlauf</t>
  </si>
  <si>
    <t>Kleine invoerdraaitafels - setpunt snelheid</t>
  </si>
  <si>
    <t>DBD220</t>
  </si>
  <si>
    <t>VU1.Spec.105</t>
  </si>
  <si>
    <t>DB59010</t>
  </si>
  <si>
    <t>DBD4232</t>
  </si>
  <si>
    <t>REAL</t>
  </si>
  <si>
    <t>40M1_SP</t>
  </si>
  <si>
    <t>3920_40M1_SP</t>
  </si>
  <si>
    <t>DBD224</t>
  </si>
  <si>
    <t>VU1.Spec.106</t>
  </si>
  <si>
    <t>DBD228</t>
  </si>
  <si>
    <t>VU1.Spec.107</t>
  </si>
  <si>
    <t>Infeed rotary table speed</t>
  </si>
  <si>
    <t>Leistung Einlaufdrehteller</t>
  </si>
  <si>
    <t>Grote invoerdraaitafel - setpunt snelheid</t>
  </si>
  <si>
    <t>DBD232</t>
  </si>
  <si>
    <t>VU1.Spec.108</t>
  </si>
  <si>
    <t>DBD4184</t>
  </si>
  <si>
    <t>39M1_SP</t>
  </si>
  <si>
    <t>3920_39M1_SP</t>
  </si>
  <si>
    <t>VU1.Spec.109</t>
  </si>
  <si>
    <t>Max. main drive speed</t>
  </si>
  <si>
    <t>Max. Leistung Hauptantrieb</t>
  </si>
  <si>
    <t>Hoofdaandrijving - maximum snelheid (100% = 606 rpm)</t>
  </si>
  <si>
    <t>DBD240</t>
  </si>
  <si>
    <t>VU1.Spec.110</t>
  </si>
  <si>
    <t>S7:[7000]3920_machine_active</t>
  </si>
  <si>
    <t>33M1_BL</t>
  </si>
  <si>
    <t>3920_33M1_BL</t>
  </si>
  <si>
    <t>P3</t>
  </si>
  <si>
    <t>TECHNIEKER2;SUPERVISOR;PE;DEVELOPER</t>
  </si>
  <si>
    <t>VU1.Spec.111</t>
  </si>
  <si>
    <t>Vial type</t>
  </si>
  <si>
    <t>Objekttyp</t>
  </si>
  <si>
    <t>Vial Type</t>
  </si>
  <si>
    <t>DBB248</t>
  </si>
  <si>
    <t>VU1.Spec.112</t>
  </si>
  <si>
    <t>Vial_Type</t>
  </si>
  <si>
    <t>3920_Vial_Type</t>
  </si>
  <si>
    <t>SUPERVISOR;PE;DEVELOPER</t>
  </si>
  <si>
    <t>2 ml Vial</t>
  </si>
  <si>
    <t>Container shortage at infeed on</t>
  </si>
  <si>
    <t xml:space="preserve">Objektmangel Einlauf ein </t>
  </si>
  <si>
    <t>Tijdsvertraging minimum lading - grote invoerdraaitafel AAN</t>
  </si>
  <si>
    <t>DBD300</t>
  </si>
  <si>
    <t>VU1.Spec.200</t>
  </si>
  <si>
    <t>3920_39M1_TimeOn_MinAcc</t>
  </si>
  <si>
    <t>Sec</t>
  </si>
  <si>
    <t>Container shortage at infeed off</t>
  </si>
  <si>
    <t>Objektmangel Einlauf aus</t>
  </si>
  <si>
    <t>Tijdsvertraging minimum lading - grote invoerdraaitafel UIT</t>
  </si>
  <si>
    <t>DBD304</t>
  </si>
  <si>
    <t>VU1.Spec.201</t>
  </si>
  <si>
    <t>3920_39M1_TimeOff_MinAcc</t>
  </si>
  <si>
    <t>Container build-up on infeed rotary table on</t>
  </si>
  <si>
    <t>Objektstau Einflaudrehteller ein</t>
  </si>
  <si>
    <t>Afstand tot accumulatiesensor - Max. accumulatie aan</t>
  </si>
  <si>
    <t>DBD308</t>
  </si>
  <si>
    <t>VU1.Spec.202</t>
  </si>
  <si>
    <t>3920_39M1_DistOn_MaxAcc</t>
  </si>
  <si>
    <t>mm</t>
  </si>
  <si>
    <t>Container build-up on infeed rotary table off</t>
  </si>
  <si>
    <t>Objektstau Einflaudrehteller aus</t>
  </si>
  <si>
    <t>Afstand tot accumulatiesensor - Max. accumulatie uit</t>
  </si>
  <si>
    <t>DBD312</t>
  </si>
  <si>
    <t>VU1.Spec.203</t>
  </si>
  <si>
    <t>3920_39M1_DistOff_MaxAcc</t>
  </si>
  <si>
    <t>Required air pressure (M1)</t>
  </si>
  <si>
    <t>Solldruck M1 Luft</t>
  </si>
  <si>
    <t>Druk farma perslucht (CADI) - setpunt</t>
  </si>
  <si>
    <t>DBD316</t>
  </si>
  <si>
    <t>VU1.Spec.204</t>
  </si>
  <si>
    <t>3920_45Y1_SP</t>
  </si>
  <si>
    <t>Vials Drogen</t>
  </si>
  <si>
    <t>Required WFI pressure (M4)</t>
  </si>
  <si>
    <t>Solldruck M4 WFI</t>
  </si>
  <si>
    <t>Druk WFI - setpunt</t>
  </si>
  <si>
    <t>DBD320</t>
  </si>
  <si>
    <t>VU1.Spec.205</t>
  </si>
  <si>
    <t>3920_45Y3_SP</t>
  </si>
  <si>
    <t>Vials Wassen</t>
  </si>
  <si>
    <t>Rinsing time for heating the supply lines</t>
  </si>
  <si>
    <t>Anwärmen Spülzeit</t>
  </si>
  <si>
    <t>Spoeltijd voor opwarmen leidingen</t>
  </si>
  <si>
    <t>DBW324</t>
  </si>
  <si>
    <t>VU1.Spec.206</t>
  </si>
  <si>
    <t>3920_Time_Heat_Sup_line</t>
  </si>
  <si>
    <t>Pause during heating the supply lines</t>
  </si>
  <si>
    <t>Anwärmen Pausenzeit</t>
  </si>
  <si>
    <t>Pauze tussen spoelbeurten voor opwarmen leidingen</t>
  </si>
  <si>
    <t>DBW326</t>
  </si>
  <si>
    <t>VU1.Spec.207</t>
  </si>
  <si>
    <t>3920_Pause_Heat_Sup_line</t>
  </si>
  <si>
    <t>Total time for heating the supply lines</t>
  </si>
  <si>
    <t>Anwärmen Gesamtzeit</t>
  </si>
  <si>
    <t>Maximum tijd (spoelbeurten + pauzes) voor opwarmen leidingen</t>
  </si>
  <si>
    <t>DBW328</t>
  </si>
  <si>
    <t>VU1.Spec.208</t>
  </si>
  <si>
    <t>3920_Max_Time_Heat_line</t>
  </si>
  <si>
    <t>After-run time infeed rotary table</t>
  </si>
  <si>
    <t>Nachlaufzeit Einlaufdrehteller</t>
  </si>
  <si>
    <t>Nalooptijd grote invoerdraaitafel</t>
  </si>
  <si>
    <t>DBW330</t>
  </si>
  <si>
    <t>VU1.Spec.209</t>
  </si>
  <si>
    <t>3920_Time_Inf_Rot_table</t>
  </si>
  <si>
    <t>After-run time exterior rinsing</t>
  </si>
  <si>
    <t>Nachlaufzeit Außenwaschen</t>
  </si>
  <si>
    <t>Nalooptijd wassen extern</t>
  </si>
  <si>
    <t>DBW332</t>
  </si>
  <si>
    <t>VU1.Spec.210</t>
  </si>
  <si>
    <t>3920_Time_ext_rinsing</t>
  </si>
  <si>
    <t>Number of containers filling reject bin</t>
  </si>
  <si>
    <t>Anzahl Objekte bis Schlechtauslaufbehälter voll</t>
  </si>
  <si>
    <t>Aantal vials voor volle reject bin</t>
  </si>
  <si>
    <t>DBW334</t>
  </si>
  <si>
    <t>VU1.Spec.211</t>
  </si>
  <si>
    <t>3920_Nr_vials_reject_bin</t>
  </si>
  <si>
    <t>Reject</t>
  </si>
  <si>
    <t>Number</t>
  </si>
  <si>
    <t>Minimum pressure of compressed air (M1) purging lines</t>
  </si>
  <si>
    <t>Druck M1 Luft Untergrenze Leitungen ausblasen</t>
  </si>
  <si>
    <t>Druk farma perslucht (CADI) - minimum tijdens leidingen Droogblazen</t>
  </si>
  <si>
    <t>DBD336</t>
  </si>
  <si>
    <t>VU1.Spec.212</t>
  </si>
  <si>
    <t>3920_46PT1_Min_Purging</t>
  </si>
  <si>
    <t>Leidingen</t>
  </si>
  <si>
    <t>Bar</t>
  </si>
  <si>
    <t>Max. container interior blow-cleaning time</t>
  </si>
  <si>
    <t>Max. Zeit Objekte ausblasen</t>
  </si>
  <si>
    <t>Maximum tijd vials droogblazen</t>
  </si>
  <si>
    <t>DBD340</t>
  </si>
  <si>
    <t>VU1.Spec.213</t>
  </si>
  <si>
    <t>3920_Max_Time_vials_M1</t>
  </si>
  <si>
    <t>P2</t>
  </si>
  <si>
    <t>SMC</t>
  </si>
  <si>
    <t>Max. container interior rinsing time</t>
  </si>
  <si>
    <t>Max. Zeit Objekte auswaschen</t>
  </si>
  <si>
    <t>Maximum tijd vials wassen</t>
  </si>
  <si>
    <t>DBD344</t>
  </si>
  <si>
    <t>VU1.Spec.214</t>
  </si>
  <si>
    <t>3920_Max_Time_vials_M4</t>
  </si>
  <si>
    <t>Required gripper position at infeed</t>
  </si>
  <si>
    <t>Sollposition Durchtransportzangen Einlauf</t>
  </si>
  <si>
    <t>Formaat aanpassing grijper bij invoer - setpunt positie</t>
  </si>
  <si>
    <t>DBD348</t>
  </si>
  <si>
    <t>VU1.Spec.215</t>
  </si>
  <si>
    <t>DBD4424</t>
  </si>
  <si>
    <t>3920_42M1_SP</t>
  </si>
  <si>
    <t>TECHNIEKER1;TECHNIEKER2;PE;DEVELOPER</t>
  </si>
  <si>
    <t>Inc</t>
  </si>
  <si>
    <t>Required gripper position at discharge</t>
  </si>
  <si>
    <t>Sollposition Durchtransportzangen Auslauf</t>
  </si>
  <si>
    <t>Formaat aanpassing grijper bij uitvoer - setpunt positie</t>
  </si>
  <si>
    <t>DBD352</t>
  </si>
  <si>
    <t>VU1.Spec.216</t>
  </si>
  <si>
    <t>DBD4472</t>
  </si>
  <si>
    <t>3920_43M1_SP</t>
  </si>
  <si>
    <t>Duration Media request</t>
  </si>
  <si>
    <t>Dauer Medienanforderung</t>
  </si>
  <si>
    <t>Maximale duur WFI-aanvraag</t>
  </si>
  <si>
    <t>DBW356</t>
  </si>
  <si>
    <t>VU1.Spec.217</t>
  </si>
  <si>
    <t>3920_Max_Time_M4_req</t>
  </si>
  <si>
    <t>Needle position at blow-cleaning start (M1)</t>
  </si>
  <si>
    <t>Position Start Objekte ausblasen, M1 Luft</t>
  </si>
  <si>
    <t>Naaldpositie bij start droogblazen met farma perslucht (CADI)</t>
  </si>
  <si>
    <t>DBD358</t>
  </si>
  <si>
    <t>VU1.Spec.218</t>
  </si>
  <si>
    <t>3920_35M1_StartCADI</t>
  </si>
  <si>
    <t>Needle position at blow-cleaning stop (M1)</t>
  </si>
  <si>
    <t>Position Ende Objekte ausblasen, M1 Luft</t>
  </si>
  <si>
    <t>Naaldpositie bij stop droogblazen met farma perslucht (CADI)</t>
  </si>
  <si>
    <t>DBD362</t>
  </si>
  <si>
    <t>VU1.Spec.219</t>
  </si>
  <si>
    <t>3920_35M1_StopCADI</t>
  </si>
  <si>
    <t>Needle position at rinsing start (M4 WFI)</t>
  </si>
  <si>
    <t>Position Start Objekte auswaschen, M4 WFI</t>
  </si>
  <si>
    <t>Naaldpositie bij start wassen met WFI</t>
  </si>
  <si>
    <t>DBD366</t>
  </si>
  <si>
    <t>VU1.Spec.220</t>
  </si>
  <si>
    <t>3920_35M1_StartWFI</t>
  </si>
  <si>
    <t>Needle position at rinsing stop (M4 WFI)</t>
  </si>
  <si>
    <t>Position Ende Objekte auswaschen, M4 WFI</t>
  </si>
  <si>
    <t>Naaldpositie bij stop wassen met WFI</t>
  </si>
  <si>
    <t>DBD370</t>
  </si>
  <si>
    <t>VU1.Spec.221</t>
  </si>
  <si>
    <t>3920_35M1_StopWFI</t>
  </si>
  <si>
    <t>Minimum pressure of compressed air (M1)</t>
  </si>
  <si>
    <t>Druck M1 Luft Untergrenze</t>
  </si>
  <si>
    <t>Druk farma perslucht  (CADI) - alarm limiet laag</t>
  </si>
  <si>
    <t>DBD374</t>
  </si>
  <si>
    <t>VU1.Spec.222</t>
  </si>
  <si>
    <t>3920_46PT1_OL</t>
  </si>
  <si>
    <t>Maximum pressure of compressed air (M1)</t>
  </si>
  <si>
    <t>Druck M1 Luft Obergrenze</t>
  </si>
  <si>
    <t>Druk farma perslucht  (CADI) - alarm limiet hoog</t>
  </si>
  <si>
    <t>DBD378</t>
  </si>
  <si>
    <t>VU1.Spec.223</t>
  </si>
  <si>
    <t>3920_46PT1_BL</t>
  </si>
  <si>
    <t>Minimum pressure of WFI (M4)</t>
  </si>
  <si>
    <t>Druck M4 WFI Untergrenze</t>
  </si>
  <si>
    <t>Druk WFI - alarm limiet laag</t>
  </si>
  <si>
    <t>DBD382</t>
  </si>
  <si>
    <t>VU1.Spec.224</t>
  </si>
  <si>
    <t>3920_46PT3_OL</t>
  </si>
  <si>
    <t>Maximum pressure of WFI (M4)</t>
  </si>
  <si>
    <t>Druck M4 WFI Obergrenze</t>
  </si>
  <si>
    <t>Druk WFI - alarm limiet hoog</t>
  </si>
  <si>
    <t>DBD386</t>
  </si>
  <si>
    <t>VU1.Spec.225</t>
  </si>
  <si>
    <t>3920_46PT3_BL</t>
  </si>
  <si>
    <t>Minimum temperature of WFI (M4)</t>
  </si>
  <si>
    <t>Temperatur M4 WFI Untergrenze</t>
  </si>
  <si>
    <t>Temperatuur WFI - alarm limiet laag</t>
  </si>
  <si>
    <t>DBD390</t>
  </si>
  <si>
    <t>VU1.Spec.226</t>
  </si>
  <si>
    <t>3920_47TE1_OL</t>
  </si>
  <si>
    <t xml:space="preserve">°C </t>
  </si>
  <si>
    <t>Maximum temperature of WFI (M4)</t>
  </si>
  <si>
    <t>Temperatur M4 WFI Obergrenze</t>
  </si>
  <si>
    <t>Temperatuur WFI - alarm limiet hoog</t>
  </si>
  <si>
    <t>DBD394</t>
  </si>
  <si>
    <t>VU1.Spec.227</t>
  </si>
  <si>
    <t>3920_47TE1_BL</t>
  </si>
  <si>
    <t>Guard rinsing Time</t>
  </si>
  <si>
    <t>Zeit Scheiben spülen</t>
  </si>
  <si>
    <t>Tijd deuren spoelen</t>
  </si>
  <si>
    <t>DBW398</t>
  </si>
  <si>
    <t>VU1.Spec.228</t>
  </si>
  <si>
    <t>3920_Guard_rinsing_Time</t>
  </si>
  <si>
    <t>Maximum standstill time purging</t>
  </si>
  <si>
    <t>Maximale Stillstandszeit bis Leitungen ausblasen</t>
  </si>
  <si>
    <t>Maximum stilstandtijd voor Droogblazen leidingen</t>
  </si>
  <si>
    <t>DBW400</t>
  </si>
  <si>
    <t>VU1.Spec.229</t>
  </si>
  <si>
    <t>3920_Max_Time_Till_purge</t>
  </si>
  <si>
    <t>E; SMC</t>
  </si>
  <si>
    <t xml:space="preserve">Min </t>
  </si>
  <si>
    <t>Cleaning needle set-up position</t>
  </si>
  <si>
    <t>Einrichtmass Reinigungsnadeln</t>
  </si>
  <si>
    <t>Naaldpositie setup</t>
  </si>
  <si>
    <t>DBD402</t>
  </si>
  <si>
    <t>VU1.Spec.230</t>
  </si>
  <si>
    <t>3920_35M1_SP_PosSetup</t>
  </si>
  <si>
    <t>Naaldpositie</t>
  </si>
  <si>
    <t>Cleaning needle basic position</t>
  </si>
  <si>
    <t>Grundposition Reinigungsnadeln</t>
  </si>
  <si>
    <t>Naaldpositie basis (tijdens horizontale beweging)</t>
  </si>
  <si>
    <t>DBD406</t>
  </si>
  <si>
    <t>VU1.Spec.231</t>
  </si>
  <si>
    <t>3920_35M1_SP_PosBasis</t>
  </si>
  <si>
    <t>Distance cleaning needles rise</t>
  </si>
  <si>
    <t>Weg Reinigungsnadeln auf</t>
  </si>
  <si>
    <t>Naaldpositie boven</t>
  </si>
  <si>
    <t>DBD410</t>
  </si>
  <si>
    <t>VU1.Spec.232</t>
  </si>
  <si>
    <t>3920_35M1_SP_PosUp</t>
  </si>
  <si>
    <t>Speed cleaning needles rise</t>
  </si>
  <si>
    <t>Geschwindigkeit Reinigungsnadeln auf</t>
  </si>
  <si>
    <t>Snelheid naalden van naaldpositie basis naar naaldpositie boven</t>
  </si>
  <si>
    <t>DBD414</t>
  </si>
  <si>
    <t>VU1.Spec.233</t>
  </si>
  <si>
    <t>3920_35M1_Speed_Up</t>
  </si>
  <si>
    <t>mm/s</t>
  </si>
  <si>
    <t>Delay before cleaning needles up</t>
  </si>
  <si>
    <t>Verweilzeit Reinigungsnadeln oben</t>
  </si>
  <si>
    <t>Vertraging op naaldpositie boven</t>
  </si>
  <si>
    <t>DBD418</t>
  </si>
  <si>
    <t>VU1.Spec.234</t>
  </si>
  <si>
    <t>3920_35M1_Delay_Dwn</t>
  </si>
  <si>
    <t>ms</t>
  </si>
  <si>
    <t>Speed cleaning needles down</t>
  </si>
  <si>
    <t>Geschwindigkeit Reinigungsnadeln ab</t>
  </si>
  <si>
    <t>Snelheid naalden van naaldpositie boven naar naaldpositie intermediair</t>
  </si>
  <si>
    <t>DBD422</t>
  </si>
  <si>
    <t>VU1.Spec.235</t>
  </si>
  <si>
    <t>3920_35M1_Speed_Dwn</t>
  </si>
  <si>
    <t>Cleaning needle speed change position</t>
  </si>
  <si>
    <t>Position Reinigungsnadeln auf Grundpositionsgeschwindigkeit</t>
  </si>
  <si>
    <t xml:space="preserve">Naaldpositie intermediair </t>
  </si>
  <si>
    <t>DBD426</t>
  </si>
  <si>
    <t>VU1.Spec.236</t>
  </si>
  <si>
    <t>3920_35M1_SP_PosSpeedDwn</t>
  </si>
  <si>
    <t>Speed cleaning needles to basic position</t>
  </si>
  <si>
    <t>Geschwindigkeit Reinigungsnadeln auf Grundposition</t>
  </si>
  <si>
    <t>Snelheid naalden van naaldpositie intermediair naar naaldpositie basis</t>
  </si>
  <si>
    <t>DBD430</t>
  </si>
  <si>
    <t>VU1.Spec.237</t>
  </si>
  <si>
    <t>3920_35M1_Speed_PosBasis</t>
  </si>
  <si>
    <t>Number of verification faults at good discharge for consecutive fault</t>
  </si>
  <si>
    <t>Anzahl Objekte Summenfehler Gutobjekt fehlt an Gutauslauf</t>
  </si>
  <si>
    <t>Aantal opeenvolgende ontbrekende goede vials voor herhalingsfout</t>
  </si>
  <si>
    <t>DBW434</t>
  </si>
  <si>
    <t>VU1.Spec.238</t>
  </si>
  <si>
    <t>3920_NrFaults_good_disch</t>
  </si>
  <si>
    <t>Stuks</t>
  </si>
  <si>
    <t>0 = OFF, 1 = ON</t>
  </si>
  <si>
    <t>Cleaning station</t>
  </si>
  <si>
    <t>Reinigungsstation</t>
  </si>
  <si>
    <t>Wassen activeren  (Ja/Nee - 1/0)</t>
  </si>
  <si>
    <t>DBX436.0</t>
  </si>
  <si>
    <t>VU1.Spec.239</t>
  </si>
  <si>
    <t>BOOL</t>
  </si>
  <si>
    <t>3920_Wassen_activeren</t>
  </si>
  <si>
    <t>0 = Blowing, 1 = Washing/Blowing</t>
  </si>
  <si>
    <t>Start blow-cleaning (M1)</t>
  </si>
  <si>
    <t>Start Objekte ausblasen, M1 Luft</t>
  </si>
  <si>
    <t>Start droogblazen met farma perslucht (CADI) activeren (Down/Up - 1/0)</t>
  </si>
  <si>
    <t>DBX436.1</t>
  </si>
  <si>
    <t>VU1.Spec.240</t>
  </si>
  <si>
    <t>3920_StartCADI</t>
  </si>
  <si>
    <t>0 = Up, 1 = Down</t>
  </si>
  <si>
    <t>Stop blow-cleaning (M1)</t>
  </si>
  <si>
    <t>Ende Objekte ausblasen, M1 Luft</t>
  </si>
  <si>
    <t>Stop droogblazen met farma perslucht (CADI) activeren (Down/Up - 1/0)</t>
  </si>
  <si>
    <t>DBX436.2</t>
  </si>
  <si>
    <t>VU1.Spec.241</t>
  </si>
  <si>
    <t>3920_StopCADI</t>
  </si>
  <si>
    <t>Start rinsing with WFI (M4)</t>
  </si>
  <si>
    <t>Start Objekte auswaschen, M4 WFI</t>
  </si>
  <si>
    <t>Start wassen met WFI activeren(Down/Up - 1/0)</t>
  </si>
  <si>
    <t>DBX436.3</t>
  </si>
  <si>
    <t>VU1.Spec.242</t>
  </si>
  <si>
    <t>3920_StartWFI</t>
  </si>
  <si>
    <t>Stop rinsing with WFI (M4)</t>
  </si>
  <si>
    <t>Ende Objekte auswaschen, M4 WFI</t>
  </si>
  <si>
    <t>Stop wassen met WFI activeren (Down/Up - 1/0)</t>
  </si>
  <si>
    <t>DBX436.4</t>
  </si>
  <si>
    <t>VU1.Spec.243</t>
  </si>
  <si>
    <t>3920_StopWFI</t>
  </si>
  <si>
    <t>DBX436.5</t>
  </si>
  <si>
    <t>VU1.Spec.244</t>
  </si>
  <si>
    <t>DBX436.6</t>
  </si>
  <si>
    <t>VU1.Spec.245</t>
  </si>
  <si>
    <t>Halved position machine operation</t>
  </si>
  <si>
    <t>Halbstelliger betrieb</t>
  </si>
  <si>
    <t>Gebruik halve capaciteit (J/N - 1/0)</t>
  </si>
  <si>
    <t>DBX436.7</t>
  </si>
  <si>
    <t>VU1.Spec.246</t>
  </si>
  <si>
    <t>3920_Halve_Capaciteit</t>
  </si>
  <si>
    <t>1 = half capacity, 0 = full capacity</t>
  </si>
  <si>
    <t>DBX437.0</t>
  </si>
  <si>
    <t>VU1.Spec.247</t>
  </si>
  <si>
    <t>DBX437.1</t>
  </si>
  <si>
    <t>VU1.Spec.248</t>
  </si>
  <si>
    <t>DBX437.2</t>
  </si>
  <si>
    <t>VU1.Spec.249</t>
  </si>
  <si>
    <t>DBX437.3</t>
  </si>
  <si>
    <t>VU1.Spec.250</t>
  </si>
  <si>
    <t>DBX437.4</t>
  </si>
  <si>
    <t>VU1.Spec.251</t>
  </si>
  <si>
    <t>DBX437.5</t>
  </si>
  <si>
    <t>VU1.Spec.252</t>
  </si>
  <si>
    <t>Suppress pharmaceutical alarms</t>
  </si>
  <si>
    <t>Pharmazeutische Alarme unterdrücken</t>
  </si>
  <si>
    <t>Deactiveren farma alarmen (J/N - 1/0)</t>
  </si>
  <si>
    <t>DBX437.6</t>
  </si>
  <si>
    <t>VU1.Spec.253</t>
  </si>
  <si>
    <t>3920_Pharma_alarm_YN</t>
  </si>
  <si>
    <t>E;SMC</t>
  </si>
  <si>
    <t>Enable Service functions</t>
  </si>
  <si>
    <t>Tasten für Servicefunktionen freigeben</t>
  </si>
  <si>
    <t>Servicefuncties vrijgeven (J/N - 1/0)</t>
  </si>
  <si>
    <t>DBX437.7</t>
  </si>
  <si>
    <t>VU1.Spec.254</t>
  </si>
  <si>
    <t>3920_serv_func_YN</t>
  </si>
  <si>
    <t>Required height adjustment position infeed rotary table</t>
  </si>
  <si>
    <t>Sollposition Höhenverstellung Einlaufdrehteller</t>
  </si>
  <si>
    <t>Draaitafelhoogte - setpunt</t>
  </si>
  <si>
    <t>DBD438</t>
  </si>
  <si>
    <t>VU1.Spec.255</t>
  </si>
  <si>
    <t>3920_39M2_Height</t>
  </si>
  <si>
    <t>TECHNIEKER1;TECHNIEKER2;SUPERVISOR;PE;DEVELOPER</t>
  </si>
  <si>
    <t>Maximum pressure of compressed air (M1) purging lines</t>
  </si>
  <si>
    <t>Druck M1 Luft Obergrenze Leitungen ausblasen</t>
  </si>
  <si>
    <t>Maximum druk farma perslucht (CADI) tijdens droogblazen leidingen</t>
  </si>
  <si>
    <t>DBD442</t>
  </si>
  <si>
    <t>VU1.Spec.256</t>
  </si>
  <si>
    <t>46PT1_Max_Purging</t>
  </si>
  <si>
    <t>3920_46PT1_Max_Purging</t>
  </si>
  <si>
    <t>DBD446</t>
  </si>
  <si>
    <t>VU1.Spec.257</t>
  </si>
  <si>
    <t>VU1.Spec.258</t>
  </si>
  <si>
    <t>VU1.Spec.259</t>
  </si>
  <si>
    <t>VU1.Spec.260</t>
  </si>
  <si>
    <t>VU1.Spec.261</t>
  </si>
  <si>
    <t>Purging M4 supply line to interior/exterior rinsing station 1st pulse time</t>
  </si>
  <si>
    <t>Medienstrang M4 -&gt; entleeren 1. Impuls</t>
  </si>
  <si>
    <t>Droogblazen WFI leiding naar intern/extern wasstation - 1ste pulstijd Droogblazen</t>
  </si>
  <si>
    <t>DBW500</t>
  </si>
  <si>
    <t>VU1.Spec.300</t>
  </si>
  <si>
    <t>3920_Purge_IN/EX_1e_Time</t>
  </si>
  <si>
    <t>TECHNIEKER2;VERANTW_MACHSTELLER;SUPERVISOR;PE;DEVELOPER</t>
  </si>
  <si>
    <t>Purging M4 supply line to interior/exterior rinsing station pause time</t>
  </si>
  <si>
    <t>Medienstrang M4 -&gt; entleeren Pause</t>
  </si>
  <si>
    <t>Droogblazen WFI leiding naar intern/extern wasstation - pauzetijd Droogblazen</t>
  </si>
  <si>
    <t>DBW502</t>
  </si>
  <si>
    <t>VU1.Spec.301</t>
  </si>
  <si>
    <t>3920_Purge_IN/EX_Pause</t>
  </si>
  <si>
    <t>Purging M4 supply line to interior/exterior rinsing station 2nd pulse time</t>
  </si>
  <si>
    <t>Medienstrang M4 -&gt; entleeren 2. Impuls</t>
  </si>
  <si>
    <t>Droogblazen WFI leiding naar intern/extern wasstation - 2de pulstijd Droogblazen</t>
  </si>
  <si>
    <t>DBW504</t>
  </si>
  <si>
    <t>VU1.Spec.302</t>
  </si>
  <si>
    <t>3920_Purge_IN/EX_2e_Time</t>
  </si>
  <si>
    <t>Purging supply line for rinsing guard 1st pulse time</t>
  </si>
  <si>
    <t>Leitung Verkleidung spülen -&gt; ausblasen 1. Impuls</t>
  </si>
  <si>
    <t>Droogblazen leiding voor spoelen deuren - 1ste pulstijd Droogblazen</t>
  </si>
  <si>
    <t>DBW506</t>
  </si>
  <si>
    <t>VU1.Spec.303</t>
  </si>
  <si>
    <t>3920_Purge_Guard_1e_Time</t>
  </si>
  <si>
    <t>Purging supply line for rinsing guard pause time</t>
  </si>
  <si>
    <t>Leitung Verkleidung spülen -&gt; ausblasen Pause</t>
  </si>
  <si>
    <t>Droogblazen leiding voor spoelen deuren - pausetijd Droogblazen</t>
  </si>
  <si>
    <t>DBW508</t>
  </si>
  <si>
    <t>VU1.Spec.304</t>
  </si>
  <si>
    <t>3920_Purge_Guard_Pause</t>
  </si>
  <si>
    <t>Purging supply line for rinsing guard 2nd pulse time</t>
  </si>
  <si>
    <t>Leitung Verkleidung spülen -&gt; ausblasen 2. Impuls</t>
  </si>
  <si>
    <t>Droogblazen leiding voor spoelen deuren - 2ste pulstijd Droogblazen</t>
  </si>
  <si>
    <t>DBW510</t>
  </si>
  <si>
    <t>VU1.Spec.305</t>
  </si>
  <si>
    <t>3920_Purge_Guard_2e_Time</t>
  </si>
  <si>
    <t>Purging M4 supply line to interior rinsing station 1st pulse time</t>
  </si>
  <si>
    <t>Medienstrang Innenwaschstation M4 -&gt; ausblasen 1. Impuls</t>
  </si>
  <si>
    <t>Droogblazen WFI leiding naar intern wasstation - 1ste pulstijd Droogblazen</t>
  </si>
  <si>
    <t>DBW512</t>
  </si>
  <si>
    <t>VU1.Spec.306</t>
  </si>
  <si>
    <t>3920_Purge_IN_RS_1e_time</t>
  </si>
  <si>
    <t>Purging M4 supply line to interior rinsing station pause time</t>
  </si>
  <si>
    <t>Medienstrang Innenwaschstation M4 -&gt; ausblasen Pause</t>
  </si>
  <si>
    <t>Droogblazen WFI leiding naar intern wasstation - pausetijd Droogblazen</t>
  </si>
  <si>
    <t>DBW514</t>
  </si>
  <si>
    <t>VU1.Spec.307</t>
  </si>
  <si>
    <t>3920_Purge_IN_Pause_RS</t>
  </si>
  <si>
    <t>Purging M4 supply line to interior rinsing station 2nd pulse time</t>
  </si>
  <si>
    <t>Medienstrang Innenwaschstation M4 -&gt; ausblasen 2. Impuls</t>
  </si>
  <si>
    <t>Droogblazen WFI leiding naar intern wasstation - 2de pulstijd Droogblazen</t>
  </si>
  <si>
    <t>DBW516</t>
  </si>
  <si>
    <t>VU1.Spec.308</t>
  </si>
  <si>
    <t>3920_Purge_IN_RS_2e_Time</t>
  </si>
  <si>
    <t>Purging M4 supply line to exterior rinsing station 1st pulse time</t>
  </si>
  <si>
    <t>Medienstrang Außenwaschstation M4 -&gt; ausblasen 1. Impuls</t>
  </si>
  <si>
    <t>Droogblazen WFI leiding naar extern wasstation - 1ste pulstijd Droogblazen</t>
  </si>
  <si>
    <t>DBW518</t>
  </si>
  <si>
    <t>VU1.Spec.309</t>
  </si>
  <si>
    <t>3920_Purge_EX_RS_1e_Time</t>
  </si>
  <si>
    <t>Purging M4 supply line to exterior rinsing station pause time</t>
  </si>
  <si>
    <t>Medienstrang Außenwaschstation M4 -&gt; ausblasen Pause</t>
  </si>
  <si>
    <t>Droogblazen WFI leiding naar extern wasstation - pausetijd Droogblazen</t>
  </si>
  <si>
    <t>DBW520</t>
  </si>
  <si>
    <t>VU1.Spec.310</t>
  </si>
  <si>
    <t>3920_Purge_EX_Pause_RS</t>
  </si>
  <si>
    <t>Purging M4 supply line to exterior rinsing station 2nd pulse time</t>
  </si>
  <si>
    <t>Medienstrang Außenwaschstation M4 -&gt; ausblasen 2. Impuls</t>
  </si>
  <si>
    <t>Droogblazen WFI leiding naar extern wasstation - 2de pulstijd Droogblazen</t>
  </si>
  <si>
    <t>DBW522</t>
  </si>
  <si>
    <t>VU1.Spec.311</t>
  </si>
  <si>
    <t>3920_Purge_EX_RS_2e_Time</t>
  </si>
  <si>
    <t>Venting</t>
  </si>
  <si>
    <t>Entlüften</t>
  </si>
  <si>
    <t>Tijd ontluchten na Droogblazen</t>
  </si>
  <si>
    <t>DBW524</t>
  </si>
  <si>
    <t>VU1.Spec.312</t>
  </si>
  <si>
    <t>3920_Time_Venting</t>
  </si>
  <si>
    <t>Purging Drain</t>
  </si>
  <si>
    <t>Ablauf ausblasen</t>
  </si>
  <si>
    <t>Droogblazen WFI leiding naar nevendrain</t>
  </si>
  <si>
    <t>DBW526</t>
  </si>
  <si>
    <t>VU1.Spec.313</t>
  </si>
  <si>
    <t>3920_Purging_Drain</t>
  </si>
  <si>
    <t>Minimum pressure of compressed air (M1) purging drain</t>
  </si>
  <si>
    <t>Min Druck</t>
  </si>
  <si>
    <t>Minimum druk perslucht Droogblazen drain</t>
  </si>
  <si>
    <t>DBD528</t>
  </si>
  <si>
    <t>VU1.Spec.314</t>
  </si>
  <si>
    <t>3920_Min_P_PurgeM1_Drain</t>
  </si>
  <si>
    <t>Required air pressure (M1) purging drain</t>
  </si>
  <si>
    <t>Solldruck M1 Luft Ablauf ausblasen</t>
  </si>
  <si>
    <t>Vereiste druk perslucht Droogblazen drain</t>
  </si>
  <si>
    <t>DBD532</t>
  </si>
  <si>
    <t>VU1.Spec.315</t>
  </si>
  <si>
    <t>3920_Req_P_M1_Purging</t>
  </si>
  <si>
    <t>VU1.Spec.316</t>
  </si>
  <si>
    <t>Warning: Pressure of compressed air too low (M1)</t>
  </si>
  <si>
    <t>Warnung Druck M1 Luft zu niedrig</t>
  </si>
  <si>
    <t>Druk Farma perslucht (CADI) - Waarschuwingslimiet te laag</t>
  </si>
  <si>
    <t>DBD550</t>
  </si>
  <si>
    <t>VU1.Spec.350</t>
  </si>
  <si>
    <t>3920_WARN_P_CADI_Low</t>
  </si>
  <si>
    <t>CADI</t>
  </si>
  <si>
    <t>Warning: Pressure of compressed air too high (M1)</t>
  </si>
  <si>
    <t>Warnung Druck M1 Luft zu hoch</t>
  </si>
  <si>
    <t>Druk Farma perslucht (CADI) - Waarschuwingslimiet te hoog</t>
  </si>
  <si>
    <t>DBD554</t>
  </si>
  <si>
    <t>VU1.Spec.351</t>
  </si>
  <si>
    <t>3920_WARN_P_CADI_High</t>
  </si>
  <si>
    <t>Warning: Pressure of WFI too low (M4)</t>
  </si>
  <si>
    <t>Warnung Druck M4 WFI zu niedrig</t>
  </si>
  <si>
    <t>Druk WFI - Waarschuwingslimiet te laag</t>
  </si>
  <si>
    <t>DBD558</t>
  </si>
  <si>
    <t>VU1.Spec.352</t>
  </si>
  <si>
    <t>3920_WARN_P_WFI_Low</t>
  </si>
  <si>
    <t>WFI</t>
  </si>
  <si>
    <t>Warning: Pressure of WFI too high (M4)</t>
  </si>
  <si>
    <t>Warnung Druck M4 WFI zu hoch</t>
  </si>
  <si>
    <t>Druk WFI - Waarschuwingslimiet te hoog</t>
  </si>
  <si>
    <t>DBD562</t>
  </si>
  <si>
    <t>VU1.Spec.353</t>
  </si>
  <si>
    <t>3920_WARN_P_WFI_High</t>
  </si>
  <si>
    <t>Warning: Temperature of WFI too low (M4)</t>
  </si>
  <si>
    <t>Warnung Temperatur M4 WFI zu niedrig</t>
  </si>
  <si>
    <t xml:space="preserve">Temperatuur WFI- Waarschuwingslimiet te laag </t>
  </si>
  <si>
    <t>DBD566</t>
  </si>
  <si>
    <t>VU1.Spec.354</t>
  </si>
  <si>
    <t>3920_WARN_T_WFI_Low</t>
  </si>
  <si>
    <t>Warning: Temperature of WFI too high (M4)</t>
  </si>
  <si>
    <t>Warnung Temperatur M4 WFI zu hoch</t>
  </si>
  <si>
    <t>Temperatuur WFI - Waarschuwingslimiet te hoog</t>
  </si>
  <si>
    <t>DBD570</t>
  </si>
  <si>
    <t>VU1.Spec.355</t>
  </si>
  <si>
    <t>3920_WARN_T_WFI_High</t>
  </si>
  <si>
    <t>Min. flow velocity LF</t>
  </si>
  <si>
    <t>Strömungsgeschwindigkeit minimal LF</t>
  </si>
  <si>
    <t>Minimum debiet 'HEPA filtered air unit'</t>
  </si>
  <si>
    <t>DBD574</t>
  </si>
  <si>
    <t>VU1.Spec.356</t>
  </si>
  <si>
    <t>3920_21FET1_ALL</t>
  </si>
  <si>
    <t>LAF</t>
  </si>
  <si>
    <t>m/s</t>
  </si>
  <si>
    <t>Max. flow velocity LF</t>
  </si>
  <si>
    <t>Strömungsgeschwindigkeit maximal LF</t>
  </si>
  <si>
    <t>Maximum debiet 'HEPA filtered air unit'</t>
  </si>
  <si>
    <t>DBD578</t>
  </si>
  <si>
    <t>VU1.Spec.357</t>
  </si>
  <si>
    <t>3920_21FET1_AHH</t>
  </si>
  <si>
    <t>Offset flow velocity LF</t>
  </si>
  <si>
    <t>Offset Strömungsgeschwindigkeit LF</t>
  </si>
  <si>
    <t>Offset debiet 'HEPA filtered air unit'</t>
  </si>
  <si>
    <t>DBD582</t>
  </si>
  <si>
    <t>VU1.Spec.358</t>
  </si>
  <si>
    <t>3920_21FET1_Offset</t>
  </si>
  <si>
    <t>Min. differential pressure at HEPA filtered air unit</t>
  </si>
  <si>
    <t>Min Differenzdruck HEPA-Filter LF</t>
  </si>
  <si>
    <t>Verschildruk HEPA filtered air unit  - Alarmlimiet Laag</t>
  </si>
  <si>
    <t>DBD586</t>
  </si>
  <si>
    <t>VU1.Spec.359</t>
  </si>
  <si>
    <t>3920_61dPT1_ALL</t>
  </si>
  <si>
    <t>Pa</t>
  </si>
  <si>
    <t>Max. differential pressure at HEPA filtered air unit</t>
  </si>
  <si>
    <t>Max Differenzdruck HEPA-Filter LF</t>
  </si>
  <si>
    <t>Verschildruk HEPA filtered air unit - Alarmlimiet Hoog</t>
  </si>
  <si>
    <t>DBD590</t>
  </si>
  <si>
    <t>VU1.Spec.360</t>
  </si>
  <si>
    <t>3920_61dPT1_AHH</t>
  </si>
  <si>
    <t>Container build-up on infeed belt</t>
  </si>
  <si>
    <t>Objekstau Einlaufband</t>
  </si>
  <si>
    <t>Drempelwaarde maximum accumulatie invoerband 2</t>
  </si>
  <si>
    <t>DBD594</t>
  </si>
  <si>
    <t>VU1.Spec.361</t>
  </si>
  <si>
    <t>3920_36ZS2_MaxAcc</t>
  </si>
  <si>
    <t>end</t>
  </si>
  <si>
    <t>Std.des.</t>
  </si>
  <si>
    <t>Std.desc.</t>
  </si>
  <si>
    <t>Std</t>
  </si>
  <si>
    <t>Dataownner</t>
  </si>
  <si>
    <t>Std.d.</t>
  </si>
  <si>
    <t>DINT</t>
  </si>
  <si>
    <t>.VU1.Spec.machine_active</t>
  </si>
  <si>
    <t>None</t>
  </si>
  <si>
    <t>Default</t>
  </si>
  <si>
    <t>OPERATOR</t>
  </si>
  <si>
    <t>Linked to DB12</t>
  </si>
  <si>
    <t>BYTE</t>
  </si>
  <si>
    <t>typeLPar_SpecDL_VUX</t>
  </si>
  <si>
    <t>.VU2.Spec.machine_active</t>
  </si>
  <si>
    <t>TECHNIEKER1</t>
  </si>
  <si>
    <t>st/min</t>
  </si>
  <si>
    <t>Linked to structure in DB10</t>
  </si>
  <si>
    <t>typeLPar_SpecDL_VUY</t>
  </si>
  <si>
    <t>ECO</t>
  </si>
  <si>
    <t>TECHNIEKER2</t>
  </si>
  <si>
    <t>Linked to DB12, When active to be copied in structure DB10</t>
  </si>
  <si>
    <t>DWORD</t>
  </si>
  <si>
    <t>SUP</t>
  </si>
  <si>
    <t>VERANTW_MACHSTELLER</t>
  </si>
  <si>
    <t>PROD</t>
  </si>
  <si>
    <t>SUPERVISOR</t>
  </si>
  <si>
    <t>PA</t>
  </si>
  <si>
    <t>PE</t>
  </si>
  <si>
    <t>WORD</t>
  </si>
  <si>
    <t>DEVELOPER</t>
  </si>
  <si>
    <t>Kg</t>
  </si>
  <si>
    <t>String</t>
  </si>
  <si>
    <t>QA</t>
  </si>
  <si>
    <t>Uur</t>
  </si>
  <si>
    <t>P5 parameters</t>
  </si>
  <si>
    <t>DB "Lpar_MachinePar"</t>
  </si>
  <si>
    <t>A3_Draft</t>
  </si>
  <si>
    <t>Hiperface offset - current position of needle lift</t>
  </si>
  <si>
    <t>Hiperface aktuelle Position Nadelhub</t>
  </si>
  <si>
    <t>Op neer beweging naalden - Actuele positie</t>
  </si>
  <si>
    <t>Hiperface offset - absolute position of needle lift</t>
  </si>
  <si>
    <t>Hiperface absolute Position Nadelhub</t>
  </si>
  <si>
    <t>Op neer beweging naalden - Absolute positie</t>
  </si>
  <si>
    <t>Hiperface offset - offset position of needle lift</t>
  </si>
  <si>
    <t>Hipferface offset Position Nadelhub</t>
  </si>
  <si>
    <t>Op neer beweging naalden - Offset positie</t>
  </si>
  <si>
    <t>Threshold container build-up on infeed belt 2</t>
  </si>
  <si>
    <t>Drempelwaarde accumulatie meting aan aanvoerband 2</t>
  </si>
  <si>
    <t>P5</t>
  </si>
  <si>
    <t>Linked to DB19</t>
  </si>
  <si>
    <t>Linked to DB19, When active to be copied in structure DB10</t>
  </si>
  <si>
    <t>STRING</t>
  </si>
  <si>
    <t>stuks</t>
  </si>
  <si>
    <t>Status Tags</t>
  </si>
  <si>
    <t>Description (Optional)</t>
  </si>
  <si>
    <t>DB16 address</t>
  </si>
  <si>
    <t>DB16 Name</t>
  </si>
  <si>
    <t>Parameterchange disabled while machine is active</t>
  </si>
  <si>
    <t>DBD0</t>
  </si>
  <si>
    <t>3920_machine_active</t>
  </si>
  <si>
    <t>Status 2</t>
  </si>
  <si>
    <t>DBD4</t>
  </si>
  <si>
    <t>.VU1.Spec.Stat2</t>
  </si>
  <si>
    <t>S7:[CU]VU_STAT02</t>
  </si>
  <si>
    <t>Status 3</t>
  </si>
  <si>
    <t>DBD8</t>
  </si>
  <si>
    <t>.VU1.Spec.Stat3</t>
  </si>
  <si>
    <t>S7:[CU]VU_STAT03</t>
  </si>
  <si>
    <t>Status 4</t>
  </si>
  <si>
    <t>DBD12</t>
  </si>
  <si>
    <t>.VU1.Spec.Stat4</t>
  </si>
  <si>
    <t>S7:[CU]VU_STAT04</t>
  </si>
  <si>
    <t>Status 5</t>
  </si>
  <si>
    <t>DBD16</t>
  </si>
  <si>
    <t>.VU1.Spec.Stat5</t>
  </si>
  <si>
    <t>S7:[CU]VU_STAT05</t>
  </si>
  <si>
    <t>Status 6</t>
  </si>
  <si>
    <t>DBD20</t>
  </si>
  <si>
    <t>.VU1.Spec.Stat6</t>
  </si>
  <si>
    <t>S7:[CU]VU_STAT06</t>
  </si>
  <si>
    <t>Status 7</t>
  </si>
  <si>
    <t>DBD24</t>
  </si>
  <si>
    <t>.VU1.Spec.Stat7</t>
  </si>
  <si>
    <t>S7:[CU]VU_STAT07</t>
  </si>
  <si>
    <t>Status 8</t>
  </si>
  <si>
    <t>DBD28</t>
  </si>
  <si>
    <t>.VU1.Spec.Stat8</t>
  </si>
  <si>
    <t>S7:[CU]VU_STAT08</t>
  </si>
  <si>
    <t>Status 9</t>
  </si>
  <si>
    <t>DBD32</t>
  </si>
  <si>
    <t>.VU1.Spec.Stat9</t>
  </si>
  <si>
    <t>S7:[CU]VU_STAT09</t>
  </si>
  <si>
    <t>Status 10</t>
  </si>
  <si>
    <t>DBD36</t>
  </si>
  <si>
    <t>.VU1.Spec.Stat10</t>
  </si>
  <si>
    <t>S7:[CU]VU_STAT10</t>
  </si>
  <si>
    <t>RMS generator settings</t>
  </si>
  <si>
    <t>Value</t>
  </si>
  <si>
    <t>comment</t>
  </si>
  <si>
    <t>CU number of the unit</t>
  </si>
  <si>
    <t>VU number of the unit; for multiple VU's fill them in separated by ";"</t>
  </si>
  <si>
    <t>Unit name</t>
  </si>
  <si>
    <t>IFC Vial washer</t>
  </si>
  <si>
    <t>Header text for the VU in the scores7 file, for multiple VU's fill them in separated by ";"</t>
  </si>
  <si>
    <t>RMS version</t>
  </si>
  <si>
    <t>2.0.9.8</t>
  </si>
  <si>
    <t>Version of RMS. At this moment only support for the "new" RMS version (&gt; 2.0)</t>
  </si>
  <si>
    <t>Generate csv</t>
  </si>
  <si>
    <t>Saves the import file for RMS as a csv file in the same folder as the DB12 list</t>
  </si>
  <si>
    <t>Generate scores7</t>
  </si>
  <si>
    <t>Saves the contents for the scores7 file in a txt file in the same folder as the DB12 list</t>
  </si>
  <si>
    <t>scores7 include</t>
  </si>
  <si>
    <t>Define whether the the scores7 file will be included into an existing scores7 file (TRUE) or not (FALSE)</t>
  </si>
  <si>
    <t>Authorizations RMS type</t>
  </si>
  <si>
    <t>Define whether the used authorization codes are in the RMS format (R1, R2,...) - TRUE or in the old scada security rights format (6.1, 6.2,..., 11.1, 11.2,...) - FALSE  (see document AUT0)</t>
  </si>
  <si>
    <t>RMS online</t>
  </si>
  <si>
    <t>Define whether the RMS application is online (connected to Pfizer Oracle).  If online the authorisation codes range from 101 to 110, if offline from 66 to 75</t>
  </si>
  <si>
    <t>Direct download</t>
  </si>
  <si>
    <t>Only for offline RMS.  Define whether parameters should be downloaded directly to the address they are linked to (DB10 or DB12) as defined in the interface list.   If FALSE all parameters will be downloaded to DB15 (= default FC248 functionality)</t>
  </si>
  <si>
    <t>RFU</t>
  </si>
  <si>
    <t>DB59010,X4.5</t>
  </si>
  <si>
    <t>Bit command for upload as defined in the DB10 interface list.  Mind the syntax! (example : DB10,X4.5) for multiple VU's fill them in separated by ";"</t>
  </si>
  <si>
    <t>EnRFU</t>
  </si>
  <si>
    <t>DB59010,X2.5</t>
  </si>
  <si>
    <t>RFD</t>
  </si>
  <si>
    <t>DB59010,X4.4</t>
  </si>
  <si>
    <t>EnRFD</t>
  </si>
  <si>
    <t>DB59010,X2.4</t>
  </si>
  <si>
    <t>Download DB (UL/DL)</t>
  </si>
  <si>
    <t>DB59015</t>
  </si>
  <si>
    <t>Download DB used by UL/DL application.  Standard equal to "DB15"</t>
  </si>
  <si>
    <t>Download DB (RMS)</t>
  </si>
  <si>
    <t>DB59012</t>
  </si>
  <si>
    <t>Download DB used by RMS.  Standard equal to "DB12"</t>
  </si>
  <si>
    <t>P5 parameter DB</t>
  </si>
  <si>
    <t>DB59019</t>
  </si>
  <si>
    <t>DB used to store P5 parameters for visualisation on RMS.  Standard equal to "DB19"</t>
  </si>
  <si>
    <t>Faceplate DB</t>
  </si>
  <si>
    <t>DB used for faceplate structures.  Standard equal to "DB10"</t>
  </si>
  <si>
    <t>StatusTag DB</t>
  </si>
  <si>
    <t>DB59016</t>
  </si>
  <si>
    <t>DB used for statustags</t>
  </si>
  <si>
    <t>VU volgorde</t>
  </si>
  <si>
    <t>;</t>
  </si>
  <si>
    <t>Suffix for OPC tagnames. If only one VU fill in ";", for multiple fill them in separeted by ";"</t>
  </si>
  <si>
    <t>VU Offset DB12</t>
  </si>
  <si>
    <t>Offset for start of VU, for multiple VU's fill them in separated by ";"</t>
  </si>
  <si>
    <t>VU Offset DB10</t>
  </si>
  <si>
    <t>Component</t>
  </si>
  <si>
    <t>Mnemonic</t>
  </si>
  <si>
    <t>Uniek</t>
  </si>
  <si>
    <t>Basis</t>
  </si>
  <si>
    <t>Override</t>
  </si>
  <si>
    <t>Sequence</t>
  </si>
  <si>
    <t>Equipment</t>
  </si>
  <si>
    <t>x</t>
  </si>
  <si>
    <t>Product</t>
  </si>
  <si>
    <t>P</t>
  </si>
  <si>
    <t>Stop Type</t>
  </si>
  <si>
    <t>ST</t>
  </si>
  <si>
    <t>Cap Type</t>
  </si>
  <si>
    <t>CT</t>
  </si>
  <si>
    <t>Mediafill</t>
  </si>
  <si>
    <t>MF</t>
  </si>
  <si>
    <t># Download parameters</t>
  </si>
  <si>
    <t>*This is the number of Download parameters on the condition that all descriptions are not empty, 'Reserved' or 'N/A'</t>
  </si>
  <si>
    <t># P1 parameters</t>
  </si>
  <si>
    <t># P2 parameters</t>
  </si>
  <si>
    <t># P3 parameters</t>
  </si>
  <si>
    <t># P4 parameters</t>
  </si>
  <si>
    <t>Current Version</t>
  </si>
  <si>
    <t>Template history</t>
  </si>
  <si>
    <t>initial version - empty list</t>
  </si>
  <si>
    <t>- Removed VU_PLC (DBW100)
- New template for RMS+</t>
  </si>
  <si>
    <t>Joerie De Boeck
Ivan Daems</t>
  </si>
  <si>
    <t>24/01/2020
26/02/2020</t>
  </si>
  <si>
    <t>- Changed scripting for better generation files conform ULDL/RMS
- Change P&amp;ID column to WO-Nr</t>
  </si>
  <si>
    <t>Joerie De Boeck
Mathieu Paelinck</t>
  </si>
  <si>
    <t>- Changes scripting generation files RMS &amp; UL/DL
- Added Document properties for Header texts
- Added function for activating different views
- Adding extra tab and functions for authorisation actual value.</t>
  </si>
  <si>
    <t>Ivan Daems</t>
  </si>
  <si>
    <t>- Added new tab pages "Version control", "Template history" and "General info" to replace "Distribution list".
- Replaced "implementation date" from version control table with "discipline in scope".
- Updated layout of Version control to allow multiple CRF/PCN numbers in the same version.
- Added CRF/PCN column to relevant data tab pages.
- Added Pass / fail column.</t>
  </si>
  <si>
    <t>A6</t>
  </si>
  <si>
    <t>Quick fix macro's for EN / NL column + StatusTag generation</t>
  </si>
  <si>
    <t>- Add PE level in Security tab
- Extra checkbox added on tab General to turn off PfizerTools
- Revision of Macro's (except RMS generation)</t>
  </si>
  <si>
    <t>- Button hidden columns bugfix</t>
  </si>
  <si>
    <t>Opkuis ifv RMS versie 2.1.0.0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</si>
</sst>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yyyy;@"/>
  </numFmts>
  <fonts count="46">
    <font>
      <sz val="8"/>
      <name val="Arial"/>
      <family val="2"/>
    </font>
    <font>
      <sz val="11"/>
      <color theme="1"/>
      <name val="Calibri"/>
      <family val="2"/>
      <scheme val="minor"/>
    </font>
    <font>
      <sz val="10"/>
      <name val="Arial"/>
      <family val="2"/>
    </font>
    <font>
      <sz val="8"/>
      <color indexed="81"/>
      <name val="Tahoma"/>
      <family val="2"/>
    </font>
    <font>
      <b/>
      <sz val="8"/>
      <color indexed="81"/>
      <name val="Tahoma"/>
      <family val="2"/>
    </font>
    <font>
      <sz val="11"/>
      <name val="Arial"/>
      <family val="2"/>
    </font>
    <font>
      <b/>
      <i/>
      <sz val="11"/>
      <name val="Arial"/>
      <family val="2"/>
    </font>
    <font>
      <b/>
      <sz val="11"/>
      <name val="Arial"/>
      <family val="2"/>
    </font>
    <font>
      <sz val="6"/>
      <name val="Arial"/>
      <family val="2"/>
    </font>
    <font>
      <sz val="7"/>
      <name val="Arial"/>
      <family val="2"/>
    </font>
    <font>
      <i/>
      <sz val="8"/>
      <name val="Arial"/>
      <family val="2"/>
    </font>
    <font>
      <sz val="8"/>
      <name val="Arial"/>
      <family val="2"/>
    </font>
    <font>
      <i/>
      <sz val="10"/>
      <name val="Arial"/>
      <family val="2"/>
    </font>
    <font>
      <sz val="8"/>
      <color indexed="9"/>
      <name val="Arial"/>
      <family val="2"/>
    </font>
    <font>
      <sz val="8"/>
      <color indexed="10"/>
      <name val="Arial"/>
      <family val="2"/>
    </font>
    <font>
      <b/>
      <u/>
      <sz val="16"/>
      <name val="Arial"/>
      <family val="2"/>
    </font>
    <font>
      <sz val="10"/>
      <color indexed="9"/>
      <name val="Arial"/>
      <family val="2"/>
    </font>
    <font>
      <sz val="9"/>
      <name val="Arial"/>
      <family val="2"/>
    </font>
    <font>
      <sz val="9"/>
      <color indexed="9"/>
      <name val="Arial"/>
      <family val="2"/>
    </font>
    <font>
      <i/>
      <sz val="9"/>
      <name val="Arial"/>
      <family val="2"/>
    </font>
    <font>
      <sz val="9"/>
      <color indexed="8"/>
      <name val="Arial"/>
      <family val="2"/>
    </font>
    <font>
      <b/>
      <sz val="14"/>
      <name val="Arial"/>
      <family val="2"/>
    </font>
    <font>
      <b/>
      <sz val="8"/>
      <name val="Arial"/>
      <family val="2"/>
    </font>
    <font>
      <b/>
      <sz val="12"/>
      <name val="Arial"/>
      <family val="2"/>
    </font>
    <font>
      <b/>
      <u/>
      <sz val="8"/>
      <name val="Arial"/>
      <family val="2"/>
    </font>
    <font>
      <sz val="9"/>
      <color theme="1"/>
      <name val="Arial"/>
      <family val="2"/>
    </font>
    <font>
      <sz val="10"/>
      <name val="Marlett"/>
      <charset val="2"/>
    </font>
    <font>
      <b/>
      <sz val="11"/>
      <color rgb="FFFA7D00"/>
      <name val="Calibri"/>
      <family val="2"/>
      <scheme val="minor"/>
    </font>
    <font>
      <strike/>
      <sz val="9"/>
      <color theme="1"/>
      <name val="Arial"/>
      <family val="2"/>
    </font>
    <font>
      <b/>
      <sz val="9"/>
      <color indexed="81"/>
      <name val="Tahoma"/>
      <family val="2"/>
    </font>
    <font>
      <sz val="9"/>
      <color indexed="81"/>
      <name val="Tahoma"/>
      <family val="2"/>
    </font>
    <font>
      <b/>
      <sz val="10"/>
      <name val="Arial"/>
      <family val="2"/>
    </font>
    <font>
      <sz val="10"/>
      <color theme="0"/>
      <name val="Arial"/>
      <family val="2"/>
    </font>
    <font>
      <sz val="11"/>
      <color theme="1"/>
      <name val="Arial"/>
      <family val="2"/>
    </font>
    <font>
      <strike/>
      <sz val="10"/>
      <name val="Arial"/>
      <family val="2"/>
    </font>
    <font>
      <sz val="10"/>
      <color rgb="FFFF0000"/>
      <name val="Arial"/>
      <family val="2"/>
    </font>
    <font>
      <sz val="9"/>
      <color rgb="FFFF0000"/>
      <name val="Arial"/>
      <family val="2"/>
    </font>
    <font>
      <strike/>
      <sz val="9"/>
      <color rgb="FFFF0000"/>
      <name val="Arial"/>
      <family val="2"/>
    </font>
    <font>
      <sz val="8"/>
      <color theme="1"/>
      <name val="Arial"/>
      <family val="2"/>
    </font>
    <font>
      <b/>
      <sz val="8"/>
      <color theme="0"/>
      <name val="Arial"/>
      <family val="2"/>
    </font>
    <font>
      <sz val="11"/>
      <name val="Calibri"/>
      <family val="2"/>
      <scheme val="minor"/>
    </font>
    <font>
      <sz val="10"/>
      <color indexed="10"/>
      <name val="Arial"/>
      <family val="2"/>
    </font>
    <font>
      <sz val="9"/>
      <color indexed="10"/>
      <name val="Arial"/>
      <family val="2"/>
    </font>
    <font>
      <strike/>
      <sz val="10"/>
      <color indexed="10"/>
      <name val="Arial"/>
      <family val="2"/>
    </font>
    <font>
      <strike/>
      <sz val="9"/>
      <color indexed="10"/>
      <name val="Arial"/>
      <family val="2"/>
    </font>
    <font>
      <strike/>
      <sz val="9"/>
      <name val="Arial"/>
      <family val="2"/>
    </font>
  </fonts>
  <fills count="16">
    <fill>
      <patternFill patternType="none"/>
    </fill>
    <fill>
      <patternFill patternType="gray125"/>
    </fill>
    <fill>
      <patternFill patternType="solid">
        <fgColor indexed="23"/>
        <bgColor indexed="64"/>
      </patternFill>
    </fill>
    <fill>
      <patternFill patternType="solid">
        <fgColor indexed="12"/>
        <bgColor indexed="64"/>
      </patternFill>
    </fill>
    <fill>
      <patternFill patternType="solid">
        <fgColor theme="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F2F2F2"/>
      </patternFill>
    </fill>
    <fill>
      <patternFill patternType="solid">
        <fgColor rgb="FF0000FF"/>
        <bgColor indexed="64"/>
      </patternFill>
    </fill>
    <fill>
      <patternFill patternType="solid">
        <fgColor rgb="FF7030A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diagonal/>
    </border>
    <border>
      <left style="thin">
        <color auto="1"/>
      </left>
      <right style="thin">
        <color auto="1"/>
      </right>
      <top style="thin">
        <color auto="1"/>
      </top>
      <bottom style="thin">
        <color auto="1"/>
      </bottom>
      <diagonal/>
    </border>
    <border>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style="medium">
        <color indexed="64"/>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diagonal/>
    </border>
    <border>
      <left style="medium">
        <color indexed="64"/>
      </left>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medium">
        <color indexed="64"/>
      </right>
      <top/>
      <bottom/>
      <diagonal/>
    </border>
  </borders>
  <cellStyleXfs count="54">
    <xf numFmtId="0" fontId="0" fillId="0" borderId="1"/>
    <xf numFmtId="0" fontId="27" fillId="10" borderId="36" applyNumberFormat="0" applyAlignment="0" applyProtection="0"/>
    <xf numFmtId="0" fontId="11" fillId="0" borderId="27"/>
    <xf numFmtId="0" fontId="11" fillId="0" borderId="27"/>
    <xf numFmtId="0" fontId="1" fillId="0" borderId="0"/>
    <xf numFmtId="0" fontId="11" fillId="0" borderId="27"/>
    <xf numFmtId="0" fontId="2" fillId="0" borderId="0"/>
    <xf numFmtId="0" fontId="11" fillId="0" borderId="27"/>
    <xf numFmtId="0" fontId="11" fillId="0" borderId="27"/>
    <xf numFmtId="0" fontId="11" fillId="0" borderId="27"/>
    <xf numFmtId="0" fontId="11" fillId="0" borderId="27"/>
    <xf numFmtId="0" fontId="33" fillId="0" borderId="0"/>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 fillId="0" borderId="0"/>
    <xf numFmtId="0" fontId="11" fillId="0" borderId="27"/>
    <xf numFmtId="0" fontId="11" fillId="0" borderId="27"/>
    <xf numFmtId="0" fontId="11" fillId="0" borderId="27"/>
    <xf numFmtId="0" fontId="11" fillId="0" borderId="27"/>
  </cellStyleXfs>
  <cellXfs count="425">
    <xf numFmtId="0" fontId="0" fillId="0" borderId="1" xfId="0"/>
    <xf numFmtId="0" fontId="5" fillId="0" borderId="0" xfId="0" applyFont="1" applyBorder="1"/>
    <xf numFmtId="0" fontId="5" fillId="0" borderId="7" xfId="0" applyFont="1" applyBorder="1"/>
    <xf numFmtId="0" fontId="5" fillId="0" borderId="8" xfId="0" applyFont="1" applyBorder="1"/>
    <xf numFmtId="0" fontId="12" fillId="0" borderId="9" xfId="0" applyFont="1" applyBorder="1"/>
    <xf numFmtId="0" fontId="12" fillId="0" borderId="10" xfId="0" applyFont="1" applyBorder="1"/>
    <xf numFmtId="0" fontId="12" fillId="0" borderId="11" xfId="0" applyFont="1" applyBorder="1"/>
    <xf numFmtId="0" fontId="12" fillId="0" borderId="12" xfId="0" applyFont="1" applyBorder="1"/>
    <xf numFmtId="0" fontId="8" fillId="0" borderId="0" xfId="0" applyFont="1" applyBorder="1" applyAlignment="1">
      <alignment horizontal="left"/>
    </xf>
    <xf numFmtId="0" fontId="8" fillId="0" borderId="0" xfId="0" applyFont="1" applyBorder="1" applyAlignment="1">
      <alignment horizontal="left" vertical="top" wrapText="1"/>
    </xf>
    <xf numFmtId="0" fontId="17" fillId="0" borderId="0" xfId="0" applyFont="1" applyBorder="1"/>
    <xf numFmtId="0" fontId="19" fillId="0" borderId="13" xfId="0" applyFont="1" applyBorder="1"/>
    <xf numFmtId="0" fontId="17" fillId="0" borderId="6" xfId="0" applyFont="1" applyBorder="1"/>
    <xf numFmtId="0" fontId="17" fillId="0" borderId="4" xfId="0" applyFont="1" applyBorder="1"/>
    <xf numFmtId="0" fontId="17" fillId="0" borderId="0" xfId="0" applyFont="1" applyBorder="1" applyAlignment="1">
      <alignment vertical="top"/>
    </xf>
    <xf numFmtId="0" fontId="5" fillId="0" borderId="1" xfId="0" applyFont="1"/>
    <xf numFmtId="0" fontId="0" fillId="0" borderId="0" xfId="0" applyBorder="1"/>
    <xf numFmtId="0" fontId="9" fillId="0" borderId="0" xfId="0" applyFont="1" applyBorder="1" applyAlignment="1">
      <alignment vertical="top" wrapText="1"/>
    </xf>
    <xf numFmtId="0" fontId="17" fillId="0" borderId="1" xfId="0" applyFont="1"/>
    <xf numFmtId="0" fontId="17" fillId="0" borderId="0" xfId="0" applyFont="1" applyBorder="1" applyAlignment="1">
      <alignment vertical="top" wrapText="1"/>
    </xf>
    <xf numFmtId="0" fontId="20" fillId="0" borderId="0" xfId="0" applyFont="1" applyBorder="1"/>
    <xf numFmtId="0" fontId="17" fillId="0" borderId="6" xfId="0" applyFont="1" applyBorder="1" applyAlignment="1">
      <alignment horizontal="center"/>
    </xf>
    <xf numFmtId="0" fontId="17" fillId="0" borderId="1" xfId="0" applyFont="1" applyAlignment="1">
      <alignment horizontal="left"/>
    </xf>
    <xf numFmtId="0" fontId="17" fillId="0" borderId="1" xfId="0" applyFont="1" applyAlignment="1">
      <alignment horizontal="center"/>
    </xf>
    <xf numFmtId="0" fontId="17" fillId="0" borderId="6" xfId="0" applyFont="1" applyBorder="1" applyAlignment="1">
      <alignment horizontal="left"/>
    </xf>
    <xf numFmtId="49" fontId="17" fillId="0" borderId="1" xfId="0" applyNumberFormat="1" applyFont="1" applyAlignment="1">
      <alignment horizontal="left"/>
    </xf>
    <xf numFmtId="0" fontId="17" fillId="0" borderId="5" xfId="0" applyFont="1" applyBorder="1"/>
    <xf numFmtId="0" fontId="19" fillId="0" borderId="14" xfId="0" applyFont="1" applyBorder="1"/>
    <xf numFmtId="0" fontId="17" fillId="0" borderId="20" xfId="0" applyFont="1" applyBorder="1"/>
    <xf numFmtId="0" fontId="17" fillId="0" borderId="2" xfId="0" applyFont="1" applyBorder="1"/>
    <xf numFmtId="0" fontId="21" fillId="0" borderId="0" xfId="0" applyFont="1" applyBorder="1"/>
    <xf numFmtId="0" fontId="22" fillId="0" borderId="0" xfId="0" applyFont="1" applyBorder="1"/>
    <xf numFmtId="0" fontId="9" fillId="0" borderId="1" xfId="0" applyFont="1" applyAlignment="1">
      <alignment horizontal="center"/>
    </xf>
    <xf numFmtId="22" fontId="0" fillId="0" borderId="0" xfId="0" applyNumberFormat="1" applyBorder="1" applyAlignment="1">
      <alignment horizontal="left"/>
    </xf>
    <xf numFmtId="0" fontId="24" fillId="0" borderId="0" xfId="0" applyFont="1" applyBorder="1" applyAlignment="1">
      <alignment horizontal="right"/>
    </xf>
    <xf numFmtId="0" fontId="17" fillId="0" borderId="0" xfId="0" applyFont="1" applyBorder="1" applyAlignment="1">
      <alignment horizontal="center"/>
    </xf>
    <xf numFmtId="0" fontId="19" fillId="0" borderId="13" xfId="0" applyFont="1" applyBorder="1" applyAlignment="1">
      <alignment horizontal="center"/>
    </xf>
    <xf numFmtId="0" fontId="17" fillId="0" borderId="4" xfId="0" applyFont="1" applyBorder="1" applyAlignment="1">
      <alignment horizontal="center"/>
    </xf>
    <xf numFmtId="0" fontId="17" fillId="0" borderId="0" xfId="0" applyFont="1" applyBorder="1" applyAlignment="1">
      <alignment horizontal="center" vertical="top" wrapText="1"/>
    </xf>
    <xf numFmtId="0" fontId="19" fillId="0" borderId="28" xfId="0" applyFont="1" applyBorder="1"/>
    <xf numFmtId="0" fontId="17" fillId="0" borderId="12" xfId="0" applyFont="1" applyBorder="1"/>
    <xf numFmtId="0" fontId="17" fillId="0" borderId="29" xfId="0" applyFont="1" applyBorder="1"/>
    <xf numFmtId="0" fontId="17" fillId="0" borderId="30" xfId="0" applyFont="1" applyBorder="1"/>
    <xf numFmtId="0" fontId="0" fillId="0" borderId="0" xfId="0" applyBorder="1" applyAlignment="1">
      <alignment horizontal="right"/>
    </xf>
    <xf numFmtId="0" fontId="0" fillId="0" borderId="0" xfId="0" applyBorder="1" applyAlignment="1">
      <alignment horizontal="left"/>
    </xf>
    <xf numFmtId="0" fontId="17" fillId="0" borderId="27" xfId="0" applyFont="1" applyBorder="1"/>
    <xf numFmtId="0" fontId="0" fillId="0" borderId="0" xfId="0" applyBorder="1" applyAlignment="1">
      <alignment horizontal="center"/>
    </xf>
    <xf numFmtId="0" fontId="17" fillId="0" borderId="27" xfId="0" applyFont="1" applyBorder="1" applyAlignment="1">
      <alignment horizontal="center"/>
    </xf>
    <xf numFmtId="0" fontId="17" fillId="0" borderId="27" xfId="0" applyFont="1" applyBorder="1" applyAlignment="1">
      <alignment horizontal="left"/>
    </xf>
    <xf numFmtId="49" fontId="17" fillId="0" borderId="27" xfId="0" applyNumberFormat="1" applyFont="1" applyBorder="1" applyAlignment="1">
      <alignment horizontal="left"/>
    </xf>
    <xf numFmtId="0" fontId="17" fillId="0" borderId="34" xfId="0" applyFont="1" applyBorder="1"/>
    <xf numFmtId="0" fontId="17" fillId="0" borderId="13" xfId="0" applyFont="1" applyBorder="1"/>
    <xf numFmtId="0" fontId="17" fillId="0" borderId="28" xfId="0" applyFont="1" applyBorder="1"/>
    <xf numFmtId="0" fontId="17" fillId="0" borderId="35" xfId="0" applyFont="1" applyBorder="1"/>
    <xf numFmtId="0" fontId="19" fillId="0" borderId="35" xfId="0" applyFont="1" applyBorder="1"/>
    <xf numFmtId="0" fontId="0" fillId="0" borderId="0" xfId="0" applyBorder="1" applyProtection="1">
      <protection locked="0"/>
    </xf>
    <xf numFmtId="0" fontId="2" fillId="0" borderId="0" xfId="0" applyFont="1" applyBorder="1" applyProtection="1">
      <protection locked="0"/>
    </xf>
    <xf numFmtId="0" fontId="2" fillId="0" borderId="27" xfId="0" applyFont="1" applyBorder="1" applyAlignment="1" applyProtection="1">
      <alignment horizontal="center" vertical="center"/>
      <protection locked="0"/>
    </xf>
    <xf numFmtId="14" fontId="2" fillId="0" borderId="27" xfId="0" applyNumberFormat="1" applyFont="1" applyBorder="1" applyAlignment="1" applyProtection="1">
      <alignment horizontal="center" vertical="center"/>
      <protection locked="0"/>
    </xf>
    <xf numFmtId="0" fontId="2" fillId="0" borderId="27" xfId="0" applyFont="1" applyBorder="1" applyAlignment="1" applyProtection="1">
      <alignment horizontal="center" vertical="center" wrapText="1"/>
      <protection locked="0"/>
    </xf>
    <xf numFmtId="14" fontId="2" fillId="0" borderId="27" xfId="0" applyNumberFormat="1" applyFont="1" applyBorder="1" applyAlignment="1" applyProtection="1">
      <alignment horizontal="center" vertical="center" wrapText="1"/>
      <protection locked="0"/>
    </xf>
    <xf numFmtId="0" fontId="2" fillId="0" borderId="1" xfId="0" applyFont="1" applyProtection="1">
      <protection locked="0"/>
    </xf>
    <xf numFmtId="0" fontId="2" fillId="0" borderId="6" xfId="0" applyFont="1" applyBorder="1" applyProtection="1">
      <protection locked="0"/>
    </xf>
    <xf numFmtId="0" fontId="2" fillId="0" borderId="1" xfId="0" applyFont="1" applyAlignment="1" applyProtection="1">
      <alignment horizontal="center"/>
      <protection locked="0"/>
    </xf>
    <xf numFmtId="0" fontId="2" fillId="0" borderId="27" xfId="0" applyFont="1" applyBorder="1" applyProtection="1">
      <protection locked="0"/>
    </xf>
    <xf numFmtId="0" fontId="2" fillId="0" borderId="24" xfId="0" applyFont="1" applyBorder="1" applyProtection="1">
      <protection locked="0"/>
    </xf>
    <xf numFmtId="0" fontId="17" fillId="0" borderId="0" xfId="0" applyFont="1" applyBorder="1" applyProtection="1">
      <protection locked="0"/>
    </xf>
    <xf numFmtId="0" fontId="17" fillId="5" borderId="0" xfId="0" applyFont="1" applyFill="1" applyBorder="1"/>
    <xf numFmtId="0" fontId="23" fillId="5" borderId="0" xfId="0" applyFont="1" applyFill="1" applyBorder="1" applyAlignment="1">
      <alignment vertical="center"/>
    </xf>
    <xf numFmtId="0" fontId="17" fillId="5" borderId="0" xfId="0" applyFont="1" applyFill="1" applyBorder="1" applyAlignment="1">
      <alignment horizontal="center"/>
    </xf>
    <xf numFmtId="0" fontId="20" fillId="5" borderId="0" xfId="0" applyFont="1" applyFill="1" applyBorder="1"/>
    <xf numFmtId="0" fontId="0" fillId="5" borderId="0" xfId="0" applyFill="1" applyBorder="1"/>
    <xf numFmtId="0" fontId="18" fillId="2" borderId="16" xfId="0" applyFont="1" applyFill="1" applyBorder="1" applyAlignment="1">
      <alignment vertical="top"/>
    </xf>
    <xf numFmtId="0" fontId="18" fillId="2" borderId="17" xfId="0" applyFont="1" applyFill="1" applyBorder="1" applyAlignment="1">
      <alignment vertical="top" wrapText="1"/>
    </xf>
    <xf numFmtId="0" fontId="18" fillId="3" borderId="17" xfId="0" applyFont="1" applyFill="1" applyBorder="1" applyAlignment="1">
      <alignment vertical="top"/>
    </xf>
    <xf numFmtId="0" fontId="17" fillId="2" borderId="17" xfId="0" applyFont="1" applyFill="1" applyBorder="1" applyAlignment="1">
      <alignment vertical="top"/>
    </xf>
    <xf numFmtId="0" fontId="18" fillId="3" borderId="31" xfId="0" applyFont="1" applyFill="1" applyBorder="1" applyAlignment="1">
      <alignment horizontal="centerContinuous" vertical="top" wrapText="1"/>
    </xf>
    <xf numFmtId="0" fontId="18" fillId="3" borderId="32" xfId="0" applyFont="1" applyFill="1" applyBorder="1" applyAlignment="1">
      <alignment horizontal="centerContinuous" vertical="top" wrapText="1"/>
    </xf>
    <xf numFmtId="0" fontId="18" fillId="3" borderId="28" xfId="0" applyFont="1" applyFill="1" applyBorder="1" applyAlignment="1">
      <alignment horizontal="centerContinuous" vertical="top" wrapText="1"/>
    </xf>
    <xf numFmtId="0" fontId="13" fillId="3" borderId="32" xfId="0" applyFont="1" applyFill="1" applyBorder="1" applyAlignment="1">
      <alignment horizontal="centerContinuous" vertical="top" wrapText="1"/>
    </xf>
    <xf numFmtId="0" fontId="13" fillId="3" borderId="28" xfId="0" applyFont="1" applyFill="1" applyBorder="1" applyAlignment="1">
      <alignment horizontal="centerContinuous" vertical="top" wrapText="1"/>
    </xf>
    <xf numFmtId="0" fontId="13" fillId="3" borderId="33" xfId="0" applyFont="1" applyFill="1" applyBorder="1" applyAlignment="1">
      <alignment horizontal="centerContinuous" vertical="top" wrapText="1"/>
    </xf>
    <xf numFmtId="0" fontId="18" fillId="2" borderId="17" xfId="0" applyFont="1" applyFill="1" applyBorder="1" applyAlignment="1">
      <alignment vertical="top"/>
    </xf>
    <xf numFmtId="0" fontId="18" fillId="2" borderId="17" xfId="0" applyFont="1" applyFill="1" applyBorder="1" applyAlignment="1">
      <alignment horizontal="left" vertical="top"/>
    </xf>
    <xf numFmtId="0" fontId="18" fillId="2" borderId="21" xfId="0" applyFont="1" applyFill="1" applyBorder="1" applyAlignment="1">
      <alignment vertical="top"/>
    </xf>
    <xf numFmtId="0" fontId="18" fillId="3" borderId="17" xfId="0" applyFont="1" applyFill="1" applyBorder="1" applyAlignment="1">
      <alignment vertical="top" wrapText="1"/>
    </xf>
    <xf numFmtId="0" fontId="18" fillId="2" borderId="17" xfId="0" applyFont="1" applyFill="1" applyBorder="1" applyAlignment="1">
      <alignment horizontal="left" vertical="top" wrapText="1"/>
    </xf>
    <xf numFmtId="0" fontId="18" fillId="2" borderId="22" xfId="0" applyFont="1" applyFill="1" applyBorder="1" applyAlignment="1">
      <alignment horizontal="left" vertical="top" wrapText="1"/>
    </xf>
    <xf numFmtId="0" fontId="18" fillId="3" borderId="13" xfId="0" applyFont="1" applyFill="1" applyBorder="1" applyAlignment="1">
      <alignment horizontal="center" vertical="center"/>
    </xf>
    <xf numFmtId="0" fontId="18" fillId="3" borderId="13" xfId="0" applyFont="1" applyFill="1" applyBorder="1" applyAlignment="1">
      <alignment horizontal="center" vertical="center" wrapText="1"/>
    </xf>
    <xf numFmtId="0" fontId="18" fillId="8" borderId="17" xfId="0" applyFont="1" applyFill="1" applyBorder="1" applyAlignment="1">
      <alignment horizontal="center" vertical="center" wrapText="1"/>
    </xf>
    <xf numFmtId="0" fontId="2" fillId="0" borderId="17" xfId="0" applyFont="1" applyBorder="1" applyProtection="1">
      <protection locked="0"/>
    </xf>
    <xf numFmtId="0" fontId="2" fillId="0" borderId="3" xfId="0" applyFont="1" applyBorder="1" applyProtection="1">
      <protection locked="0"/>
    </xf>
    <xf numFmtId="0" fontId="2" fillId="0" borderId="4" xfId="0" applyFont="1" applyBorder="1" applyAlignment="1" applyProtection="1">
      <alignment horizontal="right"/>
      <protection locked="0"/>
    </xf>
    <xf numFmtId="0" fontId="2" fillId="0" borderId="4" xfId="0" applyFont="1" applyBorder="1" applyProtection="1">
      <protection locked="0"/>
    </xf>
    <xf numFmtId="0" fontId="2" fillId="0" borderId="4" xfId="0" applyFont="1" applyBorder="1" applyAlignment="1" applyProtection="1">
      <alignment horizontal="center"/>
      <protection locked="0"/>
    </xf>
    <xf numFmtId="1" fontId="2" fillId="0" borderId="4" xfId="0" applyNumberFormat="1" applyFont="1" applyBorder="1" applyProtection="1">
      <protection locked="0"/>
    </xf>
    <xf numFmtId="49" fontId="2" fillId="0" borderId="4" xfId="0" applyNumberFormat="1" applyFont="1" applyBorder="1" applyProtection="1">
      <protection locked="0"/>
    </xf>
    <xf numFmtId="0" fontId="2" fillId="0" borderId="37" xfId="0" applyFont="1" applyBorder="1" applyProtection="1">
      <protection locked="0"/>
    </xf>
    <xf numFmtId="0" fontId="2" fillId="0" borderId="5" xfId="0" applyFont="1" applyBorder="1" applyProtection="1">
      <protection locked="0"/>
    </xf>
    <xf numFmtId="0" fontId="17" fillId="0" borderId="0" xfId="0" applyFont="1" applyBorder="1" applyAlignment="1" applyProtection="1">
      <alignment vertical="top"/>
      <protection locked="0"/>
    </xf>
    <xf numFmtId="0" fontId="17" fillId="0" borderId="25" xfId="0" applyFont="1" applyBorder="1" applyProtection="1">
      <protection locked="0"/>
    </xf>
    <xf numFmtId="0" fontId="2" fillId="4" borderId="27" xfId="0" applyFont="1" applyFill="1" applyBorder="1" applyAlignment="1" applyProtection="1">
      <alignment horizontal="center" vertical="center"/>
      <protection locked="0"/>
    </xf>
    <xf numFmtId="0" fontId="17" fillId="0" borderId="27" xfId="0" applyFont="1" applyBorder="1" applyProtection="1">
      <protection locked="0"/>
    </xf>
    <xf numFmtId="0" fontId="17" fillId="0" borderId="1" xfId="0" applyFont="1" applyProtection="1">
      <protection locked="0"/>
    </xf>
    <xf numFmtId="0" fontId="17" fillId="0" borderId="27" xfId="0" applyFont="1" applyBorder="1" applyAlignment="1" applyProtection="1">
      <alignment horizontal="left"/>
      <protection locked="0"/>
    </xf>
    <xf numFmtId="0" fontId="17" fillId="0" borderId="1" xfId="0" applyFont="1" applyAlignment="1" applyProtection="1">
      <alignment horizontal="left"/>
      <protection locked="0"/>
    </xf>
    <xf numFmtId="0" fontId="25" fillId="0" borderId="27" xfId="0" applyFont="1" applyBorder="1" applyProtection="1">
      <protection locked="0"/>
    </xf>
    <xf numFmtId="0" fontId="28" fillId="0" borderId="27" xfId="0" applyFont="1" applyBorder="1" applyProtection="1">
      <protection locked="0"/>
    </xf>
    <xf numFmtId="0" fontId="25" fillId="0" borderId="25" xfId="0" applyFont="1" applyBorder="1" applyProtection="1">
      <protection locked="0"/>
    </xf>
    <xf numFmtId="0" fontId="25" fillId="0" borderId="2" xfId="0" applyFont="1" applyBorder="1" applyProtection="1">
      <protection locked="0"/>
    </xf>
    <xf numFmtId="0" fontId="26" fillId="4" borderId="8" xfId="0" applyFont="1" applyFill="1" applyBorder="1" applyAlignment="1" applyProtection="1">
      <alignment horizontal="center" vertical="center"/>
      <protection locked="0"/>
    </xf>
    <xf numFmtId="0" fontId="17" fillId="0" borderId="24" xfId="0" applyFont="1" applyBorder="1" applyProtection="1">
      <protection locked="0"/>
    </xf>
    <xf numFmtId="0" fontId="17" fillId="0" borderId="24" xfId="0" applyFont="1" applyBorder="1" applyAlignment="1" applyProtection="1">
      <alignment horizontal="left"/>
      <protection locked="0"/>
    </xf>
    <xf numFmtId="0" fontId="25" fillId="0" borderId="24" xfId="0" applyFont="1" applyBorder="1" applyProtection="1">
      <protection locked="0"/>
    </xf>
    <xf numFmtId="0" fontId="25" fillId="0" borderId="7" xfId="0" applyFont="1" applyBorder="1" applyProtection="1">
      <protection locked="0"/>
    </xf>
    <xf numFmtId="0" fontId="25" fillId="0" borderId="26" xfId="0" applyFont="1" applyBorder="1" applyProtection="1">
      <protection locked="0"/>
    </xf>
    <xf numFmtId="0" fontId="26" fillId="0" borderId="8" xfId="0" applyFont="1" applyBorder="1" applyAlignment="1" applyProtection="1">
      <alignment horizontal="center" vertical="center"/>
      <protection locked="0"/>
    </xf>
    <xf numFmtId="0" fontId="17" fillId="0" borderId="7" xfId="0" applyFont="1" applyBorder="1" applyProtection="1">
      <protection locked="0"/>
    </xf>
    <xf numFmtId="0" fontId="17" fillId="0" borderId="26" xfId="0" applyFont="1" applyBorder="1" applyProtection="1">
      <protection locked="0"/>
    </xf>
    <xf numFmtId="0" fontId="17" fillId="0" borderId="19" xfId="0" applyFont="1" applyBorder="1" applyProtection="1">
      <protection locked="0"/>
    </xf>
    <xf numFmtId="0" fontId="17" fillId="0" borderId="4" xfId="0" applyFont="1" applyBorder="1" applyAlignment="1" applyProtection="1">
      <alignment horizontal="right"/>
      <protection locked="0"/>
    </xf>
    <xf numFmtId="0" fontId="17" fillId="0" borderId="4" xfId="0" applyFont="1" applyBorder="1" applyProtection="1">
      <protection locked="0"/>
    </xf>
    <xf numFmtId="0" fontId="0" fillId="0" borderId="4" xfId="0" applyBorder="1" applyProtection="1">
      <protection locked="0"/>
    </xf>
    <xf numFmtId="1" fontId="17" fillId="0" borderId="4" xfId="0" applyNumberFormat="1" applyFont="1" applyBorder="1" applyProtection="1">
      <protection locked="0"/>
    </xf>
    <xf numFmtId="49" fontId="17" fillId="0" borderId="4" xfId="0" applyNumberFormat="1" applyFont="1" applyBorder="1" applyProtection="1">
      <protection locked="0"/>
    </xf>
    <xf numFmtId="0" fontId="17" fillId="0" borderId="37" xfId="0" applyFont="1" applyBorder="1" applyProtection="1">
      <protection locked="0"/>
    </xf>
    <xf numFmtId="0" fontId="17" fillId="0" borderId="5" xfId="0" applyFont="1" applyBorder="1" applyProtection="1">
      <protection locked="0"/>
    </xf>
    <xf numFmtId="0" fontId="17" fillId="0" borderId="15" xfId="0" applyFont="1" applyBorder="1" applyProtection="1">
      <protection locked="0"/>
    </xf>
    <xf numFmtId="0" fontId="17" fillId="0" borderId="13" xfId="0" applyFont="1" applyBorder="1" applyProtection="1">
      <protection locked="0"/>
    </xf>
    <xf numFmtId="0" fontId="19" fillId="0" borderId="28" xfId="0" applyFont="1" applyBorder="1" applyProtection="1">
      <protection locked="0"/>
    </xf>
    <xf numFmtId="0" fontId="19" fillId="0" borderId="13" xfId="0" applyFont="1" applyBorder="1" applyProtection="1">
      <protection locked="0"/>
    </xf>
    <xf numFmtId="0" fontId="19" fillId="0" borderId="14" xfId="0" applyFont="1" applyBorder="1" applyProtection="1">
      <protection locked="0"/>
    </xf>
    <xf numFmtId="0" fontId="19" fillId="0" borderId="35" xfId="0" applyFont="1" applyBorder="1" applyProtection="1">
      <protection locked="0"/>
    </xf>
    <xf numFmtId="0" fontId="17" fillId="0" borderId="12" xfId="0" applyFont="1" applyBorder="1" applyProtection="1">
      <protection locked="0"/>
    </xf>
    <xf numFmtId="0" fontId="19" fillId="0" borderId="6" xfId="0" applyFont="1" applyBorder="1" applyProtection="1">
      <protection locked="0"/>
    </xf>
    <xf numFmtId="0" fontId="17" fillId="0" borderId="6" xfId="0" applyFont="1" applyBorder="1" applyProtection="1">
      <protection locked="0"/>
    </xf>
    <xf numFmtId="0" fontId="17" fillId="0" borderId="6" xfId="0" applyFont="1" applyBorder="1" applyAlignment="1" applyProtection="1">
      <alignment horizontal="right"/>
      <protection locked="0"/>
    </xf>
    <xf numFmtId="0" fontId="17" fillId="0" borderId="6" xfId="0" applyFont="1" applyBorder="1" applyAlignment="1" applyProtection="1">
      <alignment horizontal="center"/>
      <protection locked="0"/>
    </xf>
    <xf numFmtId="0" fontId="17" fillId="0" borderId="6" xfId="0" applyFont="1" applyBorder="1" applyAlignment="1" applyProtection="1">
      <alignment horizontal="left"/>
      <protection locked="0"/>
    </xf>
    <xf numFmtId="0" fontId="9" fillId="0" borderId="6" xfId="0" applyFont="1" applyBorder="1" applyAlignment="1" applyProtection="1">
      <alignment horizontal="center"/>
      <protection locked="0"/>
    </xf>
    <xf numFmtId="0" fontId="17" fillId="0" borderId="20" xfId="0" applyFont="1" applyBorder="1" applyProtection="1">
      <protection locked="0"/>
    </xf>
    <xf numFmtId="0" fontId="17" fillId="0" borderId="0" xfId="0" applyFont="1" applyBorder="1" applyAlignment="1" applyProtection="1">
      <alignment horizontal="right"/>
      <protection locked="0"/>
    </xf>
    <xf numFmtId="0" fontId="17" fillId="0" borderId="35" xfId="0" applyFont="1" applyBorder="1" applyProtection="1">
      <protection locked="0"/>
    </xf>
    <xf numFmtId="0" fontId="17" fillId="0" borderId="29" xfId="0" applyFont="1" applyBorder="1" applyProtection="1">
      <protection locked="0"/>
    </xf>
    <xf numFmtId="0" fontId="17" fillId="0" borderId="27" xfId="0" applyFont="1" applyBorder="1" applyAlignment="1" applyProtection="1">
      <alignment horizontal="right"/>
      <protection locked="0"/>
    </xf>
    <xf numFmtId="0" fontId="17" fillId="0" borderId="1" xfId="0" applyFont="1" applyAlignment="1" applyProtection="1">
      <alignment horizontal="center"/>
      <protection locked="0"/>
    </xf>
    <xf numFmtId="0" fontId="9" fillId="0" borderId="1" xfId="0" applyFont="1" applyAlignment="1" applyProtection="1">
      <alignment horizontal="center"/>
      <protection locked="0"/>
    </xf>
    <xf numFmtId="0" fontId="17" fillId="0" borderId="2" xfId="0" applyFont="1" applyBorder="1" applyProtection="1">
      <protection locked="0"/>
    </xf>
    <xf numFmtId="49" fontId="17" fillId="0" borderId="1" xfId="0" applyNumberFormat="1" applyFont="1" applyAlignment="1" applyProtection="1">
      <alignment horizontal="left"/>
      <protection locked="0"/>
    </xf>
    <xf numFmtId="49" fontId="17" fillId="0" borderId="27" xfId="0" applyNumberFormat="1" applyFont="1" applyBorder="1" applyAlignment="1" applyProtection="1">
      <alignment horizontal="left"/>
      <protection locked="0"/>
    </xf>
    <xf numFmtId="0" fontId="17" fillId="0" borderId="30" xfId="0" applyFont="1" applyBorder="1" applyProtection="1">
      <protection locked="0"/>
    </xf>
    <xf numFmtId="0" fontId="17" fillId="0" borderId="0" xfId="0" applyFont="1" applyBorder="1" applyAlignment="1" applyProtection="1">
      <alignment vertical="top" wrapText="1"/>
      <protection locked="0"/>
    </xf>
    <xf numFmtId="0" fontId="9" fillId="0" borderId="0" xfId="0" applyFont="1" applyBorder="1" applyAlignment="1" applyProtection="1">
      <alignment vertical="top" wrapText="1"/>
      <protection locked="0"/>
    </xf>
    <xf numFmtId="0" fontId="19" fillId="0" borderId="0" xfId="0" applyFont="1" applyBorder="1" applyProtection="1">
      <protection locked="0"/>
    </xf>
    <xf numFmtId="0" fontId="20" fillId="0" borderId="0" xfId="0" applyFont="1" applyBorder="1" applyProtection="1">
      <protection locked="0"/>
    </xf>
    <xf numFmtId="0" fontId="17" fillId="6" borderId="0" xfId="0" applyFont="1" applyFill="1" applyBorder="1"/>
    <xf numFmtId="0" fontId="23" fillId="6" borderId="0" xfId="0" applyFont="1" applyFill="1" applyBorder="1" applyAlignment="1">
      <alignment vertical="center"/>
    </xf>
    <xf numFmtId="0" fontId="20" fillId="6" borderId="0" xfId="0" applyFont="1" applyFill="1" applyBorder="1"/>
    <xf numFmtId="0" fontId="0" fillId="6" borderId="0" xfId="0" applyFill="1" applyBorder="1"/>
    <xf numFmtId="0" fontId="18" fillId="2" borderId="13" xfId="0" applyFont="1" applyFill="1" applyBorder="1" applyAlignment="1">
      <alignment vertical="top" wrapText="1"/>
    </xf>
    <xf numFmtId="0" fontId="18" fillId="3" borderId="13" xfId="0" applyFont="1" applyFill="1" applyBorder="1" applyAlignment="1">
      <alignment vertical="top"/>
    </xf>
    <xf numFmtId="0" fontId="18" fillId="2" borderId="13" xfId="0" applyFont="1" applyFill="1" applyBorder="1" applyAlignment="1">
      <alignment vertical="top"/>
    </xf>
    <xf numFmtId="0" fontId="18" fillId="2" borderId="13" xfId="0" applyFont="1" applyFill="1" applyBorder="1" applyAlignment="1">
      <alignment horizontal="left" vertical="top"/>
    </xf>
    <xf numFmtId="0" fontId="18" fillId="3" borderId="13" xfId="0" applyFont="1" applyFill="1" applyBorder="1" applyAlignment="1">
      <alignment vertical="top" wrapText="1"/>
    </xf>
    <xf numFmtId="0" fontId="18" fillId="2" borderId="13" xfId="0" applyFont="1" applyFill="1" applyBorder="1" applyAlignment="1">
      <alignment horizontal="left" vertical="top" wrapText="1"/>
    </xf>
    <xf numFmtId="0" fontId="14" fillId="0" borderId="1" xfId="0" applyFont="1"/>
    <xf numFmtId="0" fontId="18" fillId="11" borderId="41" xfId="0" applyFont="1" applyFill="1" applyBorder="1" applyAlignment="1">
      <alignment vertical="top" wrapText="1"/>
    </xf>
    <xf numFmtId="0" fontId="13" fillId="3" borderId="48" xfId="0" applyFont="1" applyFill="1" applyBorder="1" applyAlignment="1">
      <alignment horizontal="centerContinuous" vertical="top" wrapText="1"/>
    </xf>
    <xf numFmtId="0" fontId="2" fillId="0" borderId="49" xfId="0" applyFont="1" applyBorder="1" applyAlignment="1" applyProtection="1">
      <alignment horizontal="center"/>
      <protection locked="0"/>
    </xf>
    <xf numFmtId="0" fontId="15" fillId="0" borderId="0" xfId="0" applyFont="1" applyBorder="1" applyAlignment="1" applyProtection="1">
      <alignment horizontal="left" vertical="center"/>
      <protection locked="0"/>
    </xf>
    <xf numFmtId="0" fontId="0" fillId="0" borderId="0" xfId="0" applyBorder="1" applyAlignment="1" applyProtection="1">
      <alignment horizontal="left" vertical="center"/>
      <protection locked="0"/>
    </xf>
    <xf numFmtId="0" fontId="0" fillId="0" borderId="0" xfId="0" applyBorder="1" applyAlignment="1" applyProtection="1">
      <alignment horizontal="left"/>
      <protection locked="0"/>
    </xf>
    <xf numFmtId="0" fontId="2" fillId="0" borderId="0" xfId="0" applyFont="1" applyBorder="1" applyAlignment="1" applyProtection="1">
      <alignment horizontal="left"/>
      <protection locked="0"/>
    </xf>
    <xf numFmtId="0" fontId="15"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16" fillId="2" borderId="38" xfId="0" applyFont="1" applyFill="1" applyBorder="1" applyAlignment="1" applyProtection="1">
      <alignment horizontal="center" vertical="center"/>
      <protection locked="0"/>
    </xf>
    <xf numFmtId="0" fontId="16" fillId="2" borderId="21" xfId="0" applyFont="1" applyFill="1" applyBorder="1" applyAlignment="1" applyProtection="1">
      <alignment horizontal="center" vertical="center"/>
      <protection locked="0"/>
    </xf>
    <xf numFmtId="0" fontId="2" fillId="0" borderId="0" xfId="0" applyFont="1" applyBorder="1" applyAlignment="1" applyProtection="1">
      <alignment horizontal="center" vertical="center"/>
      <protection locked="0"/>
    </xf>
    <xf numFmtId="0" fontId="2" fillId="0" borderId="27" xfId="0" applyFont="1" applyBorder="1" applyAlignment="1" applyProtection="1">
      <alignment horizontal="left" vertical="center" wrapText="1"/>
      <protection locked="0"/>
    </xf>
    <xf numFmtId="0" fontId="2" fillId="0" borderId="27" xfId="0" quotePrefix="1" applyFont="1" applyBorder="1" applyAlignment="1" applyProtection="1">
      <alignment horizontal="left" vertical="center" wrapText="1"/>
      <protection locked="0"/>
    </xf>
    <xf numFmtId="14" fontId="2" fillId="0" borderId="27" xfId="0" quotePrefix="1" applyNumberFormat="1" applyFont="1" applyBorder="1" applyAlignment="1" applyProtection="1">
      <alignment horizontal="left" wrapText="1"/>
      <protection locked="0"/>
    </xf>
    <xf numFmtId="0" fontId="2" fillId="0" borderId="27" xfId="0" applyFont="1" applyBorder="1" applyAlignment="1" applyProtection="1">
      <alignment horizontal="left"/>
      <protection locked="0"/>
    </xf>
    <xf numFmtId="0" fontId="16" fillId="2" borderId="52" xfId="0" applyFont="1" applyFill="1" applyBorder="1" applyAlignment="1" applyProtection="1">
      <alignment horizontal="center" vertical="center"/>
      <protection locked="0"/>
    </xf>
    <xf numFmtId="0" fontId="2" fillId="0" borderId="0" xfId="0" applyFont="1" applyBorder="1" applyAlignment="1" applyProtection="1">
      <alignment horizontal="left" vertical="center"/>
      <protection locked="0"/>
    </xf>
    <xf numFmtId="0" fontId="15" fillId="0" borderId="0" xfId="0" applyFont="1" applyBorder="1" applyAlignment="1">
      <alignment horizontal="left" vertical="center"/>
    </xf>
    <xf numFmtId="0" fontId="0" fillId="0" borderId="0" xfId="0" applyBorder="1" applyAlignment="1">
      <alignment horizontal="left" vertical="center"/>
    </xf>
    <xf numFmtId="0" fontId="2" fillId="0" borderId="0" xfId="0" applyFont="1" applyBorder="1"/>
    <xf numFmtId="0" fontId="2" fillId="0" borderId="0" xfId="0" applyFont="1" applyBorder="1" applyAlignment="1">
      <alignment horizontal="left"/>
    </xf>
    <xf numFmtId="0" fontId="2" fillId="0" borderId="0" xfId="0" applyFont="1" applyBorder="1" applyAlignment="1">
      <alignment horizontal="left" vertical="center"/>
    </xf>
    <xf numFmtId="0" fontId="2" fillId="7" borderId="53" xfId="0" applyFont="1" applyFill="1" applyBorder="1" applyAlignment="1">
      <alignment horizontal="left"/>
    </xf>
    <xf numFmtId="0" fontId="2" fillId="0" borderId="42" xfId="0" applyFont="1" applyBorder="1" applyAlignment="1">
      <alignment horizontal="left"/>
    </xf>
    <xf numFmtId="0" fontId="2" fillId="7" borderId="54" xfId="0" applyFont="1" applyFill="1" applyBorder="1" applyAlignment="1">
      <alignment horizontal="left"/>
    </xf>
    <xf numFmtId="0" fontId="2" fillId="0" borderId="44" xfId="0" applyFont="1" applyBorder="1" applyAlignment="1">
      <alignment horizontal="left"/>
    </xf>
    <xf numFmtId="0" fontId="2" fillId="7" borderId="55" xfId="0" applyFont="1" applyFill="1" applyBorder="1" applyAlignment="1">
      <alignment horizontal="left"/>
    </xf>
    <xf numFmtId="0" fontId="2" fillId="0" borderId="46" xfId="0" applyFont="1" applyBorder="1" applyAlignment="1">
      <alignment horizontal="left"/>
    </xf>
    <xf numFmtId="0" fontId="2" fillId="7" borderId="15" xfId="0" applyFont="1" applyFill="1" applyBorder="1" applyAlignment="1">
      <alignment horizontal="left" vertical="center"/>
    </xf>
    <xf numFmtId="0" fontId="2" fillId="7" borderId="56" xfId="0" applyFont="1" applyFill="1" applyBorder="1" applyAlignment="1">
      <alignment horizontal="left" vertical="center"/>
    </xf>
    <xf numFmtId="0" fontId="2" fillId="0" borderId="57" xfId="0" applyFont="1" applyBorder="1" applyAlignment="1">
      <alignment horizontal="left"/>
    </xf>
    <xf numFmtId="0" fontId="2" fillId="0" borderId="58" xfId="0" applyFont="1" applyBorder="1" applyAlignment="1">
      <alignment horizontal="left" vertical="center"/>
    </xf>
    <xf numFmtId="0" fontId="2" fillId="7" borderId="59" xfId="0" applyFont="1" applyFill="1" applyBorder="1" applyAlignment="1">
      <alignment horizontal="left"/>
    </xf>
    <xf numFmtId="0" fontId="2" fillId="0" borderId="19" xfId="0" applyFont="1" applyBorder="1" applyAlignment="1">
      <alignment horizontal="left"/>
    </xf>
    <xf numFmtId="0" fontId="2" fillId="0" borderId="46" xfId="0" applyFont="1" applyBorder="1" applyAlignment="1">
      <alignment horizontal="left" vertical="center"/>
    </xf>
    <xf numFmtId="0" fontId="31" fillId="7" borderId="53" xfId="0" applyFont="1" applyFill="1" applyBorder="1" applyAlignment="1">
      <alignment horizontal="left"/>
    </xf>
    <xf numFmtId="0" fontId="18" fillId="2" borderId="40" xfId="0" applyFont="1" applyFill="1" applyBorder="1" applyAlignment="1">
      <alignment vertical="top"/>
    </xf>
    <xf numFmtId="0" fontId="2" fillId="0" borderId="43" xfId="0" applyFont="1" applyBorder="1" applyProtection="1">
      <protection locked="0"/>
    </xf>
    <xf numFmtId="0" fontId="2" fillId="0" borderId="45" xfId="0" applyFont="1" applyBorder="1" applyProtection="1">
      <protection locked="0"/>
    </xf>
    <xf numFmtId="0" fontId="18" fillId="2" borderId="60" xfId="0" applyFont="1" applyFill="1" applyBorder="1" applyAlignment="1">
      <alignment vertical="top"/>
    </xf>
    <xf numFmtId="0" fontId="17" fillId="0" borderId="43" xfId="0" applyFont="1" applyBorder="1" applyProtection="1">
      <protection locked="0"/>
    </xf>
    <xf numFmtId="0" fontId="17" fillId="0" borderId="45" xfId="0" applyFont="1" applyBorder="1" applyProtection="1">
      <protection locked="0"/>
    </xf>
    <xf numFmtId="0" fontId="16" fillId="2" borderId="51" xfId="0" applyFont="1" applyFill="1" applyBorder="1" applyAlignment="1" applyProtection="1">
      <alignment horizontal="center" vertical="center"/>
      <protection locked="0"/>
    </xf>
    <xf numFmtId="0" fontId="16" fillId="2" borderId="50" xfId="0" applyFont="1" applyFill="1" applyBorder="1" applyAlignment="1" applyProtection="1">
      <alignment horizontal="center" vertical="center"/>
      <protection locked="0"/>
    </xf>
    <xf numFmtId="0" fontId="18" fillId="2" borderId="60" xfId="0" applyFont="1" applyFill="1" applyBorder="1" applyAlignment="1">
      <alignment horizontal="left" vertical="top"/>
    </xf>
    <xf numFmtId="0" fontId="18" fillId="3" borderId="13" xfId="0" applyFont="1" applyFill="1" applyBorder="1" applyAlignment="1">
      <alignment horizontal="left" vertical="top"/>
    </xf>
    <xf numFmtId="0" fontId="18" fillId="9" borderId="17" xfId="0" applyFont="1" applyFill="1" applyBorder="1" applyAlignment="1">
      <alignment horizontal="left" vertical="top" wrapText="1"/>
    </xf>
    <xf numFmtId="0" fontId="18" fillId="8" borderId="13" xfId="0" applyFont="1" applyFill="1" applyBorder="1" applyAlignment="1">
      <alignment horizontal="left" vertical="top" wrapText="1"/>
    </xf>
    <xf numFmtId="0" fontId="18" fillId="3" borderId="13" xfId="0" applyFont="1" applyFill="1" applyBorder="1" applyAlignment="1">
      <alignment horizontal="left" vertical="top" wrapText="1"/>
    </xf>
    <xf numFmtId="0" fontId="18" fillId="9" borderId="13" xfId="0" applyFont="1" applyFill="1" applyBorder="1" applyAlignment="1">
      <alignment horizontal="left" vertical="top" wrapText="1"/>
    </xf>
    <xf numFmtId="0" fontId="18" fillId="11" borderId="13" xfId="0" applyFont="1" applyFill="1" applyBorder="1" applyAlignment="1">
      <alignment horizontal="left" vertical="top" wrapText="1"/>
    </xf>
    <xf numFmtId="0" fontId="17" fillId="0" borderId="0" xfId="0" applyFont="1" applyBorder="1" applyAlignment="1">
      <alignment horizontal="left" vertical="top"/>
    </xf>
    <xf numFmtId="0" fontId="18" fillId="3" borderId="31" xfId="0" applyFont="1" applyFill="1" applyBorder="1" applyAlignment="1">
      <alignment vertical="top"/>
    </xf>
    <xf numFmtId="0" fontId="18" fillId="3" borderId="31" xfId="0" applyFont="1" applyFill="1" applyBorder="1" applyAlignment="1">
      <alignment horizontal="left" vertical="top"/>
    </xf>
    <xf numFmtId="0" fontId="10" fillId="0" borderId="31" xfId="0" applyFont="1" applyBorder="1" applyProtection="1">
      <protection locked="0"/>
    </xf>
    <xf numFmtId="0" fontId="9" fillId="0" borderId="11" xfId="0" applyFont="1" applyBorder="1" applyProtection="1">
      <protection locked="0"/>
    </xf>
    <xf numFmtId="0" fontId="9" fillId="0" borderId="25" xfId="0" applyFont="1" applyBorder="1" applyProtection="1">
      <protection locked="0"/>
    </xf>
    <xf numFmtId="0" fontId="9" fillId="0" borderId="37" xfId="0" applyFont="1" applyBorder="1" applyProtection="1">
      <protection locked="0"/>
    </xf>
    <xf numFmtId="0" fontId="10" fillId="0" borderId="13" xfId="0" applyFont="1" applyBorder="1" applyProtection="1">
      <protection locked="0"/>
    </xf>
    <xf numFmtId="0" fontId="9" fillId="0" borderId="6" xfId="0" applyFont="1" applyBorder="1" applyProtection="1">
      <protection locked="0"/>
    </xf>
    <xf numFmtId="0" fontId="9" fillId="0" borderId="27" xfId="0" applyFont="1" applyBorder="1" applyProtection="1">
      <protection locked="0"/>
    </xf>
    <xf numFmtId="0" fontId="9" fillId="0" borderId="4" xfId="0" applyFont="1" applyBorder="1" applyProtection="1">
      <protection locked="0"/>
    </xf>
    <xf numFmtId="0" fontId="32" fillId="2" borderId="0" xfId="0" applyFont="1" applyFill="1" applyBorder="1"/>
    <xf numFmtId="0" fontId="11" fillId="0" borderId="0" xfId="0" applyFont="1" applyBorder="1"/>
    <xf numFmtId="0" fontId="2" fillId="3" borderId="0" xfId="0" applyFont="1" applyFill="1" applyBorder="1"/>
    <xf numFmtId="0" fontId="13" fillId="8" borderId="0" xfId="0" applyFont="1" applyFill="1" applyBorder="1" applyAlignment="1" applyProtection="1">
      <alignment vertical="center" wrapText="1"/>
      <protection locked="0"/>
    </xf>
    <xf numFmtId="0" fontId="11" fillId="9" borderId="0" xfId="0" applyFont="1" applyFill="1" applyBorder="1"/>
    <xf numFmtId="0" fontId="13" fillId="12" borderId="17" xfId="0" applyFont="1" applyFill="1" applyBorder="1" applyAlignment="1" applyProtection="1">
      <alignment horizontal="left" vertical="top" wrapText="1"/>
      <protection locked="0"/>
    </xf>
    <xf numFmtId="0" fontId="18" fillId="2" borderId="21" xfId="0" applyFont="1" applyFill="1" applyBorder="1" applyAlignment="1">
      <alignment horizontal="left" vertical="top" wrapText="1"/>
    </xf>
    <xf numFmtId="0" fontId="18" fillId="2" borderId="21" xfId="0" applyFont="1" applyFill="1" applyBorder="1" applyAlignment="1">
      <alignment horizontal="left" vertical="top"/>
    </xf>
    <xf numFmtId="0" fontId="18" fillId="3" borderId="17" xfId="0" applyFont="1" applyFill="1" applyBorder="1" applyAlignment="1">
      <alignment horizontal="left" vertical="top" wrapText="1"/>
    </xf>
    <xf numFmtId="0" fontId="18" fillId="3" borderId="17" xfId="0" applyFont="1" applyFill="1" applyBorder="1" applyAlignment="1">
      <alignment horizontal="left" vertical="top"/>
    </xf>
    <xf numFmtId="0" fontId="18" fillId="12" borderId="18" xfId="0" applyFont="1" applyFill="1" applyBorder="1" applyAlignment="1">
      <alignment vertical="top"/>
    </xf>
    <xf numFmtId="0" fontId="10" fillId="0" borderId="31" xfId="0" applyFont="1" applyBorder="1"/>
    <xf numFmtId="0" fontId="9" fillId="0" borderId="11" xfId="0" applyFont="1" applyBorder="1"/>
    <xf numFmtId="0" fontId="9" fillId="0" borderId="25" xfId="0" applyFont="1" applyBorder="1"/>
    <xf numFmtId="0" fontId="9" fillId="0" borderId="37" xfId="0" applyFont="1" applyBorder="1"/>
    <xf numFmtId="0" fontId="10" fillId="0" borderId="13" xfId="0" applyFont="1" applyBorder="1"/>
    <xf numFmtId="0" fontId="9" fillId="0" borderId="6" xfId="0" applyFont="1" applyBorder="1"/>
    <xf numFmtId="0" fontId="9" fillId="0" borderId="27" xfId="0" applyFont="1" applyBorder="1"/>
    <xf numFmtId="0" fontId="9" fillId="0" borderId="4" xfId="0" applyFont="1" applyBorder="1"/>
    <xf numFmtId="0" fontId="18" fillId="3" borderId="22" xfId="0" applyFont="1" applyFill="1" applyBorder="1" applyAlignment="1">
      <alignment vertical="top"/>
    </xf>
    <xf numFmtId="0" fontId="18" fillId="3" borderId="22" xfId="0" applyFont="1" applyFill="1" applyBorder="1" applyAlignment="1">
      <alignment horizontal="left" vertical="top"/>
    </xf>
    <xf numFmtId="0" fontId="18" fillId="12" borderId="17" xfId="0" applyFont="1" applyFill="1" applyBorder="1" applyAlignment="1" applyProtection="1">
      <alignment horizontal="left" vertical="top" wrapText="1"/>
      <protection locked="0"/>
    </xf>
    <xf numFmtId="0" fontId="15" fillId="0" borderId="0" xfId="0" applyFont="1" applyBorder="1" applyAlignment="1" applyProtection="1">
      <alignment horizontal="left" vertical="top"/>
      <protection locked="0"/>
    </xf>
    <xf numFmtId="0" fontId="0" fillId="0" borderId="0" xfId="0" applyBorder="1" applyAlignment="1" applyProtection="1">
      <alignment horizontal="center" vertical="top"/>
      <protection locked="0"/>
    </xf>
    <xf numFmtId="164" fontId="0" fillId="0" borderId="0" xfId="0" applyNumberFormat="1" applyBorder="1" applyAlignment="1" applyProtection="1">
      <alignment horizontal="center" vertical="top"/>
      <protection locked="0"/>
    </xf>
    <xf numFmtId="0" fontId="0" fillId="0" borderId="0" xfId="0" applyBorder="1" applyAlignment="1" applyProtection="1">
      <alignment horizontal="left" vertical="top"/>
      <protection locked="0"/>
    </xf>
    <xf numFmtId="0" fontId="2" fillId="0" borderId="0" xfId="0" applyFont="1" applyBorder="1" applyAlignment="1" applyProtection="1">
      <alignment horizontal="center" vertical="top"/>
      <protection locked="0"/>
    </xf>
    <xf numFmtId="0" fontId="2" fillId="0" borderId="0" xfId="0" applyFont="1" applyBorder="1" applyAlignment="1" applyProtection="1">
      <alignment horizontal="left" vertical="top"/>
      <protection locked="0"/>
    </xf>
    <xf numFmtId="0" fontId="16" fillId="2" borderId="41" xfId="0" applyFont="1" applyFill="1" applyBorder="1" applyAlignment="1" applyProtection="1">
      <alignment vertical="center"/>
      <protection locked="0"/>
    </xf>
    <xf numFmtId="0" fontId="16" fillId="2" borderId="42" xfId="0" applyFont="1" applyFill="1" applyBorder="1" applyAlignment="1" applyProtection="1">
      <alignment vertical="center"/>
      <protection locked="0"/>
    </xf>
    <xf numFmtId="0" fontId="2" fillId="0" borderId="47" xfId="0" applyFont="1" applyBorder="1" applyAlignment="1" applyProtection="1">
      <alignment horizontal="center" vertical="top"/>
      <protection locked="0"/>
    </xf>
    <xf numFmtId="0" fontId="2" fillId="0" borderId="66" xfId="0" applyFont="1" applyBorder="1" applyAlignment="1" applyProtection="1">
      <alignment horizontal="center" vertical="top"/>
      <protection locked="0"/>
    </xf>
    <xf numFmtId="164" fontId="2" fillId="0" borderId="17" xfId="0" applyNumberFormat="1" applyFont="1" applyBorder="1" applyAlignment="1" applyProtection="1">
      <alignment horizontal="center" vertical="top"/>
      <protection locked="0"/>
    </xf>
    <xf numFmtId="0" fontId="2" fillId="0" borderId="17" xfId="0" applyFont="1" applyBorder="1" applyAlignment="1" applyProtection="1">
      <alignment horizontal="left" vertical="top"/>
      <protection locked="0"/>
    </xf>
    <xf numFmtId="0" fontId="2" fillId="0" borderId="17" xfId="0" applyFont="1" applyBorder="1" applyAlignment="1" applyProtection="1">
      <alignment horizontal="center" vertical="top"/>
      <protection locked="0"/>
    </xf>
    <xf numFmtId="0" fontId="2" fillId="0" borderId="22" xfId="0" applyFont="1" applyBorder="1" applyAlignment="1" applyProtection="1">
      <alignment horizontal="center" vertical="top"/>
      <protection locked="0"/>
    </xf>
    <xf numFmtId="0" fontId="2" fillId="0" borderId="16" xfId="0" applyFont="1" applyBorder="1" applyAlignment="1" applyProtection="1">
      <alignment horizontal="center" vertical="top"/>
      <protection locked="0"/>
    </xf>
    <xf numFmtId="0" fontId="2" fillId="0" borderId="21" xfId="0" applyFont="1" applyBorder="1" applyAlignment="1" applyProtection="1">
      <alignment horizontal="center" vertical="top"/>
      <protection locked="0"/>
    </xf>
    <xf numFmtId="0" fontId="2" fillId="0" borderId="39" xfId="0" applyFont="1" applyBorder="1" applyAlignment="1" applyProtection="1">
      <alignment horizontal="center" vertical="top"/>
      <protection locked="0"/>
    </xf>
    <xf numFmtId="0" fontId="2" fillId="0" borderId="67" xfId="0" applyFont="1" applyBorder="1" applyAlignment="1" applyProtection="1">
      <alignment horizontal="center" vertical="top"/>
      <protection locked="0"/>
    </xf>
    <xf numFmtId="0" fontId="2" fillId="0" borderId="29" xfId="0" applyFont="1" applyBorder="1" applyAlignment="1" applyProtection="1">
      <alignment horizontal="center" vertical="top"/>
      <protection locked="0"/>
    </xf>
    <xf numFmtId="164" fontId="2" fillId="0" borderId="27" xfId="0" applyNumberFormat="1" applyFont="1" applyBorder="1" applyAlignment="1" applyProtection="1">
      <alignment horizontal="center" vertical="top"/>
      <protection locked="0"/>
    </xf>
    <xf numFmtId="0" fontId="2" fillId="0" borderId="27" xfId="0" applyFont="1" applyBorder="1" applyAlignment="1" applyProtection="1">
      <alignment horizontal="left" vertical="top"/>
      <protection locked="0"/>
    </xf>
    <xf numFmtId="0" fontId="2" fillId="0" borderId="27" xfId="0" applyFont="1" applyBorder="1" applyAlignment="1" applyProtection="1">
      <alignment horizontal="center" vertical="top"/>
      <protection locked="0"/>
    </xf>
    <xf numFmtId="0" fontId="2" fillId="0" borderId="25" xfId="0" applyFont="1" applyBorder="1" applyAlignment="1" applyProtection="1">
      <alignment horizontal="center" vertical="top"/>
      <protection locked="0"/>
    </xf>
    <xf numFmtId="0" fontId="2" fillId="0" borderId="3" xfId="0" applyFont="1" applyBorder="1" applyAlignment="1" applyProtection="1">
      <alignment horizontal="center" vertical="top"/>
      <protection locked="0"/>
    </xf>
    <xf numFmtId="0" fontId="2" fillId="0" borderId="24" xfId="0" applyFont="1" applyBorder="1" applyAlignment="1" applyProtection="1">
      <alignment horizontal="center" vertical="top"/>
      <protection locked="0"/>
    </xf>
    <xf numFmtId="0" fontId="2" fillId="0" borderId="26" xfId="0" applyFont="1" applyBorder="1" applyAlignment="1" applyProtection="1">
      <alignment horizontal="center" vertical="top"/>
      <protection locked="0"/>
    </xf>
    <xf numFmtId="0" fontId="2" fillId="0" borderId="63" xfId="0" applyFont="1" applyBorder="1" applyAlignment="1" applyProtection="1">
      <alignment horizontal="center" vertical="top"/>
      <protection locked="0"/>
    </xf>
    <xf numFmtId="0" fontId="2" fillId="0" borderId="30" xfId="0" applyFont="1" applyBorder="1" applyAlignment="1" applyProtection="1">
      <alignment horizontal="center" vertical="top"/>
      <protection locked="0"/>
    </xf>
    <xf numFmtId="164" fontId="2" fillId="0" borderId="4" xfId="0" applyNumberFormat="1" applyFont="1" applyBorder="1" applyAlignment="1" applyProtection="1">
      <alignment horizontal="center" vertical="top"/>
      <protection locked="0"/>
    </xf>
    <xf numFmtId="0" fontId="2" fillId="0" borderId="4" xfId="0" applyFont="1" applyBorder="1" applyAlignment="1" applyProtection="1">
      <alignment horizontal="left" vertical="top"/>
      <protection locked="0"/>
    </xf>
    <xf numFmtId="0" fontId="2" fillId="0" borderId="4" xfId="0" applyFont="1" applyBorder="1" applyAlignment="1" applyProtection="1">
      <alignment horizontal="center" vertical="top"/>
      <protection locked="0"/>
    </xf>
    <xf numFmtId="0" fontId="2" fillId="0" borderId="37" xfId="0" applyFont="1" applyBorder="1" applyAlignment="1" applyProtection="1">
      <alignment horizontal="center" vertical="top"/>
      <protection locked="0"/>
    </xf>
    <xf numFmtId="0" fontId="2" fillId="0" borderId="19" xfId="0" applyFont="1" applyBorder="1" applyAlignment="1" applyProtection="1">
      <alignment horizontal="center" vertical="top"/>
      <protection locked="0"/>
    </xf>
    <xf numFmtId="0" fontId="2" fillId="0" borderId="5" xfId="0" applyFont="1" applyBorder="1" applyAlignment="1" applyProtection="1">
      <alignment horizontal="center" vertical="top"/>
      <protection locked="0"/>
    </xf>
    <xf numFmtId="164" fontId="2" fillId="0" borderId="0" xfId="0" applyNumberFormat="1" applyFont="1" applyBorder="1" applyAlignment="1" applyProtection="1">
      <alignment horizontal="center" vertical="top"/>
      <protection locked="0"/>
    </xf>
    <xf numFmtId="0" fontId="2" fillId="0" borderId="43" xfId="0" applyFont="1" applyBorder="1" applyAlignment="1">
      <alignment horizontal="left"/>
    </xf>
    <xf numFmtId="0" fontId="2" fillId="0" borderId="56" xfId="0" applyFont="1" applyBorder="1" applyAlignment="1">
      <alignment horizontal="left" vertical="center"/>
    </xf>
    <xf numFmtId="0" fontId="2" fillId="7" borderId="21" xfId="0" applyFont="1" applyFill="1" applyBorder="1" applyAlignment="1" applyProtection="1">
      <alignment horizontal="center" vertical="top"/>
      <protection locked="0"/>
    </xf>
    <xf numFmtId="0" fontId="2" fillId="7" borderId="24" xfId="0" applyFont="1" applyFill="1" applyBorder="1" applyAlignment="1" applyProtection="1">
      <alignment horizontal="center" vertical="top"/>
      <protection locked="0"/>
    </xf>
    <xf numFmtId="0" fontId="2" fillId="7" borderId="4" xfId="0" applyFont="1" applyFill="1" applyBorder="1" applyAlignment="1" applyProtection="1">
      <alignment horizontal="center" vertical="top"/>
      <protection locked="0"/>
    </xf>
    <xf numFmtId="0" fontId="18" fillId="3" borderId="21" xfId="0" applyFont="1" applyFill="1" applyBorder="1" applyAlignment="1">
      <alignment horizontal="left" vertical="top"/>
    </xf>
    <xf numFmtId="0" fontId="18" fillId="3" borderId="21" xfId="0" applyFont="1" applyFill="1" applyBorder="1" applyAlignment="1">
      <alignment horizontal="left" vertical="top" wrapText="1"/>
    </xf>
    <xf numFmtId="0" fontId="13" fillId="3" borderId="21" xfId="0" applyFont="1" applyFill="1" applyBorder="1" applyAlignment="1">
      <alignment horizontal="left" vertical="top" wrapText="1"/>
    </xf>
    <xf numFmtId="0" fontId="18" fillId="11" borderId="21" xfId="0" applyFont="1" applyFill="1" applyBorder="1" applyAlignment="1">
      <alignment horizontal="left" vertical="top" wrapText="1"/>
    </xf>
    <xf numFmtId="0" fontId="18" fillId="8" borderId="21" xfId="0" applyFont="1" applyFill="1" applyBorder="1" applyAlignment="1">
      <alignment horizontal="left" vertical="top" wrapText="1"/>
    </xf>
    <xf numFmtId="0" fontId="13" fillId="8" borderId="21" xfId="0" applyFont="1" applyFill="1" applyBorder="1" applyAlignment="1">
      <alignment horizontal="left" vertical="top" wrapText="1"/>
    </xf>
    <xf numFmtId="0" fontId="18" fillId="2" borderId="68" xfId="0" applyFont="1" applyFill="1" applyBorder="1" applyAlignment="1">
      <alignment horizontal="left" vertical="top"/>
    </xf>
    <xf numFmtId="0" fontId="2" fillId="0" borderId="69" xfId="0" applyFont="1" applyBorder="1" applyProtection="1">
      <protection locked="0"/>
    </xf>
    <xf numFmtId="0" fontId="18" fillId="2" borderId="27" xfId="0" applyFont="1" applyFill="1" applyBorder="1" applyAlignment="1">
      <alignment vertical="top" wrapText="1"/>
    </xf>
    <xf numFmtId="0" fontId="7" fillId="0" borderId="25" xfId="0" applyFont="1" applyBorder="1"/>
    <xf numFmtId="0" fontId="6" fillId="0" borderId="29" xfId="0" applyFont="1" applyBorder="1"/>
    <xf numFmtId="0" fontId="36" fillId="0" borderId="0" xfId="0" applyFont="1" applyBorder="1" applyProtection="1">
      <protection locked="0"/>
    </xf>
    <xf numFmtId="0" fontId="37" fillId="0" borderId="0" xfId="0" applyFont="1" applyBorder="1" applyProtection="1">
      <protection locked="0"/>
    </xf>
    <xf numFmtId="0" fontId="0" fillId="7" borderId="1" xfId="0" applyFill="1"/>
    <xf numFmtId="0" fontId="39" fillId="13" borderId="7" xfId="0" applyFont="1" applyFill="1" applyBorder="1"/>
    <xf numFmtId="0" fontId="39" fillId="13" borderId="7" xfId="0" applyFont="1" applyFill="1" applyBorder="1" applyAlignment="1">
      <alignment horizontal="center"/>
    </xf>
    <xf numFmtId="0" fontId="39" fillId="13" borderId="24" xfId="0" applyFont="1" applyFill="1" applyBorder="1"/>
    <xf numFmtId="0" fontId="38" fillId="0" borderId="70" xfId="0" applyFont="1" applyBorder="1"/>
    <xf numFmtId="0" fontId="38" fillId="0" borderId="71" xfId="0" applyFont="1" applyBorder="1" applyAlignment="1">
      <alignment horizontal="center"/>
    </xf>
    <xf numFmtId="0" fontId="38" fillId="0" borderId="72" xfId="0" applyFont="1" applyBorder="1" applyAlignment="1">
      <alignment horizontal="left"/>
    </xf>
    <xf numFmtId="0" fontId="40" fillId="0" borderId="27" xfId="1" applyFont="1" applyFill="1" applyBorder="1" applyProtection="1">
      <protection locked="0"/>
    </xf>
    <xf numFmtId="0" fontId="17" fillId="0" borderId="0" xfId="0" applyFont="1" applyBorder="1" applyAlignment="1" applyProtection="1">
      <alignment horizontal="left"/>
      <protection locked="0"/>
    </xf>
    <xf numFmtId="0" fontId="2" fillId="0" borderId="3" xfId="0" applyFont="1" applyBorder="1" applyAlignment="1">
      <alignment horizontal="left"/>
    </xf>
    <xf numFmtId="0" fontId="2" fillId="0" borderId="58" xfId="0" applyFont="1" applyBorder="1" applyAlignment="1">
      <alignment horizontal="left"/>
    </xf>
    <xf numFmtId="0" fontId="2" fillId="0" borderId="73" xfId="0" applyFont="1" applyBorder="1" applyAlignment="1">
      <alignment horizontal="left"/>
    </xf>
    <xf numFmtId="0" fontId="34" fillId="0" borderId="74" xfId="0" applyFont="1" applyBorder="1" applyProtection="1">
      <protection locked="0"/>
    </xf>
    <xf numFmtId="0" fontId="26" fillId="0" borderId="12" xfId="0" applyFont="1" applyBorder="1" applyAlignment="1" applyProtection="1">
      <alignment horizontal="center" vertical="center"/>
      <protection locked="0"/>
    </xf>
    <xf numFmtId="0" fontId="26" fillId="0" borderId="29" xfId="0" applyFont="1" applyBorder="1" applyAlignment="1" applyProtection="1">
      <alignment horizontal="center" vertical="center"/>
      <protection locked="0"/>
    </xf>
    <xf numFmtId="0" fontId="38" fillId="14" borderId="70" xfId="0" applyFont="1" applyFill="1" applyBorder="1"/>
    <xf numFmtId="0" fontId="38" fillId="14" borderId="71" xfId="0" applyFont="1" applyFill="1" applyBorder="1" applyAlignment="1">
      <alignment horizontal="center"/>
    </xf>
    <xf numFmtId="0" fontId="38" fillId="14" borderId="72" xfId="0" applyFont="1" applyFill="1" applyBorder="1"/>
    <xf numFmtId="0" fontId="38" fillId="0" borderId="72" xfId="0" applyFont="1" applyBorder="1"/>
    <xf numFmtId="0" fontId="38" fillId="14" borderId="72" xfId="0" applyFont="1" applyFill="1" applyBorder="1" applyAlignment="1">
      <alignment wrapText="1"/>
    </xf>
    <xf numFmtId="0" fontId="2" fillId="12" borderId="27" xfId="0" applyFont="1" applyFill="1" applyBorder="1" applyAlignment="1" applyProtection="1">
      <alignment horizontal="center" vertical="center"/>
      <protection locked="0"/>
    </xf>
    <xf numFmtId="0" fontId="38" fillId="14" borderId="75" xfId="0" applyFont="1" applyFill="1" applyBorder="1"/>
    <xf numFmtId="0" fontId="38" fillId="14" borderId="76" xfId="0" applyFont="1" applyFill="1" applyBorder="1" applyAlignment="1">
      <alignment horizontal="center"/>
    </xf>
    <xf numFmtId="0" fontId="38" fillId="14" borderId="77" xfId="0" applyFont="1" applyFill="1" applyBorder="1"/>
    <xf numFmtId="0" fontId="2" fillId="0" borderId="16" xfId="0" applyFont="1" applyBorder="1" applyProtection="1">
      <protection locked="0"/>
    </xf>
    <xf numFmtId="0" fontId="2" fillId="0" borderId="61" xfId="0" applyFont="1" applyBorder="1" applyAlignment="1" applyProtection="1">
      <alignment horizontal="center" vertical="top"/>
      <protection locked="0"/>
    </xf>
    <xf numFmtId="164" fontId="2" fillId="0" borderId="21" xfId="0" applyNumberFormat="1" applyFont="1" applyBorder="1" applyAlignment="1" applyProtection="1">
      <alignment horizontal="center" vertical="top"/>
      <protection locked="0"/>
    </xf>
    <xf numFmtId="0" fontId="2" fillId="0" borderId="21" xfId="0" applyFont="1" applyBorder="1" applyAlignment="1" applyProtection="1">
      <alignment horizontal="left" vertical="top"/>
      <protection locked="0"/>
    </xf>
    <xf numFmtId="0" fontId="2" fillId="0" borderId="62" xfId="0" applyFont="1" applyBorder="1" applyAlignment="1" applyProtection="1">
      <alignment horizontal="center" vertical="top"/>
      <protection locked="0"/>
    </xf>
    <xf numFmtId="0" fontId="2" fillId="0" borderId="38" xfId="0" applyFont="1" applyBorder="1" applyAlignment="1" applyProtection="1">
      <alignment horizontal="center" vertical="top"/>
      <protection locked="0"/>
    </xf>
    <xf numFmtId="0" fontId="2" fillId="7" borderId="49" xfId="0" applyFont="1" applyFill="1" applyBorder="1" applyAlignment="1" applyProtection="1">
      <alignment horizontal="center" vertical="top"/>
      <protection locked="0"/>
    </xf>
    <xf numFmtId="0" fontId="2" fillId="0" borderId="49" xfId="0" applyFont="1" applyBorder="1" applyAlignment="1" applyProtection="1">
      <alignment horizontal="center" vertical="top"/>
      <protection locked="0"/>
    </xf>
    <xf numFmtId="0" fontId="2" fillId="0" borderId="78" xfId="0" applyFont="1" applyBorder="1" applyAlignment="1" applyProtection="1">
      <alignment horizontal="center" vertical="top"/>
      <protection locked="0"/>
    </xf>
    <xf numFmtId="0" fontId="2" fillId="0" borderId="15" xfId="0" applyFont="1" applyBorder="1" applyAlignment="1" applyProtection="1">
      <alignment horizontal="center" vertical="top"/>
      <protection locked="0"/>
    </xf>
    <xf numFmtId="164" fontId="2" fillId="0" borderId="13" xfId="0" applyNumberFormat="1" applyFont="1" applyBorder="1" applyAlignment="1" applyProtection="1">
      <alignment horizontal="center" vertical="top"/>
      <protection locked="0"/>
    </xf>
    <xf numFmtId="0" fontId="2" fillId="0" borderId="13" xfId="0" applyFont="1" applyBorder="1" applyAlignment="1" applyProtection="1">
      <alignment horizontal="left" vertical="top"/>
      <protection locked="0"/>
    </xf>
    <xf numFmtId="0" fontId="2" fillId="0" borderId="13" xfId="0" applyFont="1" applyBorder="1" applyAlignment="1" applyProtection="1">
      <alignment horizontal="center" vertical="top"/>
      <protection locked="0"/>
    </xf>
    <xf numFmtId="0" fontId="2" fillId="0" borderId="31" xfId="0" applyFont="1" applyBorder="1" applyAlignment="1" applyProtection="1">
      <alignment horizontal="center" vertical="top"/>
      <protection locked="0"/>
    </xf>
    <xf numFmtId="0" fontId="2" fillId="0" borderId="14" xfId="0" applyFont="1" applyBorder="1" applyAlignment="1" applyProtection="1">
      <alignment horizontal="center" vertical="top"/>
      <protection locked="0"/>
    </xf>
    <xf numFmtId="0" fontId="2" fillId="0" borderId="48" xfId="0" applyFont="1" applyBorder="1" applyAlignment="1" applyProtection="1">
      <alignment horizontal="center" vertical="top"/>
      <protection locked="0"/>
    </xf>
    <xf numFmtId="0" fontId="2" fillId="0" borderId="28" xfId="0" applyFont="1" applyBorder="1" applyAlignment="1" applyProtection="1">
      <alignment horizontal="center" vertical="top"/>
      <protection locked="0"/>
    </xf>
    <xf numFmtId="0" fontId="2" fillId="7" borderId="13" xfId="0" applyFont="1" applyFill="1" applyBorder="1" applyAlignment="1" applyProtection="1">
      <alignment horizontal="center" vertical="top"/>
      <protection locked="0"/>
    </xf>
    <xf numFmtId="0" fontId="41" fillId="0" borderId="43" xfId="0" applyFont="1" applyBorder="1" applyProtection="1">
      <protection locked="0"/>
    </xf>
    <xf numFmtId="0" fontId="42" fillId="0" borderId="0" xfId="0" applyFont="1" applyBorder="1" applyProtection="1">
      <protection locked="0"/>
    </xf>
    <xf numFmtId="0" fontId="44" fillId="0" borderId="0" xfId="0" applyFont="1" applyBorder="1" applyProtection="1">
      <protection locked="0"/>
    </xf>
    <xf numFmtId="0" fontId="2" fillId="0" borderId="24" xfId="0" applyFont="1" applyBorder="1" applyAlignment="1" applyProtection="1">
      <alignment horizontal="center" vertical="center"/>
      <protection locked="0"/>
    </xf>
    <xf numFmtId="0" fontId="2" fillId="0" borderId="7" xfId="0" applyFont="1" applyBorder="1" applyAlignment="1" applyProtection="1">
      <alignment horizontal="center"/>
      <protection locked="0"/>
    </xf>
    <xf numFmtId="0" fontId="2" fillId="0" borderId="24" xfId="52" applyFont="1" applyBorder="1" applyAlignment="1" applyProtection="1">
      <alignment vertical="center"/>
      <protection locked="0"/>
    </xf>
    <xf numFmtId="0" fontId="2" fillId="0" borderId="24" xfId="0" applyFont="1" applyBorder="1" applyAlignment="1" applyProtection="1">
      <alignment vertical="center"/>
      <protection locked="0"/>
    </xf>
    <xf numFmtId="0" fontId="2" fillId="0" borderId="24" xfId="0" applyFont="1" applyBorder="1" applyAlignment="1" applyProtection="1">
      <alignment horizontal="right" vertical="center"/>
      <protection locked="0"/>
    </xf>
    <xf numFmtId="0" fontId="2" fillId="0" borderId="24" xfId="0" applyFont="1" applyBorder="1" applyAlignment="1" applyProtection="1">
      <alignment horizontal="left" vertical="center"/>
      <protection locked="0"/>
    </xf>
    <xf numFmtId="0" fontId="2" fillId="0" borderId="7" xfId="0" applyFont="1" applyBorder="1" applyAlignment="1" applyProtection="1">
      <alignment horizontal="right" vertical="center"/>
      <protection locked="0"/>
    </xf>
    <xf numFmtId="0" fontId="2" fillId="0" borderId="27" xfId="0" applyFont="1" applyBorder="1" applyAlignment="1" applyProtection="1">
      <alignment horizontal="left" vertical="center"/>
      <protection locked="0"/>
    </xf>
    <xf numFmtId="0" fontId="2" fillId="0" borderId="25" xfId="0" applyFont="1" applyBorder="1" applyAlignment="1" applyProtection="1">
      <alignment horizontal="center"/>
      <protection locked="0"/>
    </xf>
    <xf numFmtId="0" fontId="2" fillId="0" borderId="27" xfId="0" applyFont="1" applyBorder="1" applyAlignment="1" applyProtection="1">
      <alignment vertical="center"/>
      <protection locked="0"/>
    </xf>
    <xf numFmtId="0" fontId="2" fillId="0" borderId="27" xfId="0" applyFont="1" applyBorder="1" applyAlignment="1" applyProtection="1">
      <alignment horizontal="right" vertical="center"/>
      <protection locked="0"/>
    </xf>
    <xf numFmtId="0" fontId="2" fillId="0" borderId="25" xfId="0" applyFont="1" applyBorder="1" applyAlignment="1" applyProtection="1">
      <alignment horizontal="right" vertical="center"/>
      <protection locked="0"/>
    </xf>
    <xf numFmtId="0" fontId="2" fillId="0" borderId="2" xfId="0" applyFont="1" applyBorder="1" applyAlignment="1" applyProtection="1">
      <alignment horizontal="center"/>
      <protection locked="0"/>
    </xf>
    <xf numFmtId="0" fontId="2" fillId="0" borderId="7" xfId="0" applyFont="1" applyBorder="1" applyProtection="1">
      <protection locked="0"/>
    </xf>
    <xf numFmtId="0" fontId="34" fillId="0" borderId="26" xfId="0" applyFont="1" applyBorder="1" applyProtection="1">
      <protection locked="0"/>
    </xf>
    <xf numFmtId="0" fontId="2" fillId="0" borderId="8" xfId="0" applyFont="1" applyBorder="1"/>
    <xf numFmtId="0" fontId="2" fillId="0" borderId="24" xfId="50" applyFont="1" applyBorder="1" applyAlignment="1" applyProtection="1">
      <alignment horizontal="left" vertical="center"/>
      <protection locked="0"/>
    </xf>
    <xf numFmtId="0" fontId="2" fillId="0" borderId="24" xfId="51" applyFont="1" applyBorder="1" applyAlignment="1" applyProtection="1">
      <alignment horizontal="left" vertical="center"/>
      <protection locked="0"/>
    </xf>
    <xf numFmtId="0" fontId="2" fillId="0" borderId="24" xfId="51" applyFont="1" applyBorder="1" applyProtection="1">
      <protection locked="0"/>
    </xf>
    <xf numFmtId="2" fontId="2" fillId="0" borderId="24" xfId="53" applyNumberFormat="1" applyFont="1" applyBorder="1" applyAlignment="1" applyProtection="1">
      <alignment horizontal="right" vertical="center"/>
      <protection locked="0"/>
    </xf>
    <xf numFmtId="0" fontId="2" fillId="15" borderId="17" xfId="0" applyFont="1" applyFill="1" applyBorder="1" applyAlignment="1" applyProtection="1">
      <alignment horizontal="center" vertical="top"/>
      <protection locked="0"/>
    </xf>
    <xf numFmtId="0" fontId="2" fillId="15" borderId="27" xfId="0" applyFont="1" applyFill="1" applyBorder="1" applyAlignment="1" applyProtection="1">
      <alignment horizontal="center" vertical="top"/>
      <protection locked="0"/>
    </xf>
    <xf numFmtId="0" fontId="14" fillId="0" borderId="0" xfId="0" applyFont="1" applyBorder="1"/>
    <xf numFmtId="0" fontId="43" fillId="0" borderId="26" xfId="0" applyFont="1" applyBorder="1" applyProtection="1">
      <protection locked="0"/>
    </xf>
    <xf numFmtId="0" fontId="41" fillId="0" borderId="2" xfId="0" applyFont="1" applyBorder="1" applyProtection="1">
      <protection locked="0"/>
    </xf>
    <xf numFmtId="0" fontId="43" fillId="0" borderId="2" xfId="0" applyFont="1" applyBorder="1" applyProtection="1">
      <protection locked="0"/>
    </xf>
    <xf numFmtId="0" fontId="2" fillId="0" borderId="27" xfId="0" quotePrefix="1" applyFont="1" applyBorder="1" applyProtection="1">
      <protection locked="0"/>
    </xf>
    <xf numFmtId="0" fontId="2" fillId="0" borderId="6" xfId="0" quotePrefix="1" applyFont="1" applyBorder="1" applyProtection="1">
      <protection locked="0"/>
    </xf>
    <xf numFmtId="0" fontId="2" fillId="0" borderId="6" xfId="0" applyFont="1" applyBorder="1" applyAlignment="1" applyProtection="1">
      <alignment horizontal="center"/>
      <protection locked="0"/>
    </xf>
    <xf numFmtId="0" fontId="2" fillId="0" borderId="11" xfId="0" applyFont="1" applyBorder="1" applyAlignment="1" applyProtection="1">
      <alignment horizontal="center"/>
      <protection locked="0"/>
    </xf>
    <xf numFmtId="0" fontId="2" fillId="0" borderId="22" xfId="0" applyFont="1" applyBorder="1" applyProtection="1">
      <protection locked="0"/>
    </xf>
    <xf numFmtId="0" fontId="2" fillId="0" borderId="18" xfId="0" applyFont="1" applyBorder="1" applyProtection="1">
      <protection locked="0"/>
    </xf>
    <xf numFmtId="0" fontId="2" fillId="0" borderId="1" xfId="0" quotePrefix="1" applyFont="1" applyProtection="1">
      <protection locked="0"/>
    </xf>
    <xf numFmtId="0" fontId="2" fillId="0" borderId="25" xfId="0" quotePrefix="1" applyFont="1" applyBorder="1" applyProtection="1">
      <protection locked="0"/>
    </xf>
    <xf numFmtId="0" fontId="2" fillId="0" borderId="25" xfId="0" applyFont="1" applyBorder="1" applyProtection="1">
      <protection locked="0"/>
    </xf>
    <xf numFmtId="0" fontId="2" fillId="0" borderId="2" xfId="0" applyFont="1" applyBorder="1" applyProtection="1">
      <protection locked="0"/>
    </xf>
    <xf numFmtId="0" fontId="2" fillId="0" borderId="23" xfId="0" applyFont="1" applyBorder="1" applyAlignment="1" applyProtection="1">
      <alignment horizontal="center"/>
      <protection locked="0"/>
    </xf>
    <xf numFmtId="0" fontId="2" fillId="0" borderId="25" xfId="0" applyFont="1" applyBorder="1" applyAlignment="1" applyProtection="1">
      <alignment horizontal="left"/>
      <protection locked="0"/>
    </xf>
    <xf numFmtId="0" fontId="2" fillId="0" borderId="24" xfId="53" applyFont="1" applyBorder="1" applyAlignment="1" applyProtection="1">
      <alignment horizontal="right" vertical="center"/>
      <protection locked="0"/>
    </xf>
    <xf numFmtId="0" fontId="2" fillId="0" borderId="25" xfId="0" applyFont="1" applyBorder="1" applyAlignment="1" applyProtection="1">
      <alignment wrapText="1"/>
      <protection locked="0"/>
    </xf>
    <xf numFmtId="0" fontId="2" fillId="0" borderId="2" xfId="0" applyFont="1" applyBorder="1" applyAlignment="1" applyProtection="1">
      <alignment wrapText="1"/>
      <protection locked="0"/>
    </xf>
    <xf numFmtId="0" fontId="34" fillId="0" borderId="24" xfId="0" applyFont="1" applyBorder="1" applyProtection="1">
      <protection locked="0"/>
    </xf>
    <xf numFmtId="0" fontId="34" fillId="0" borderId="24" xfId="0" applyFont="1" applyBorder="1" applyAlignment="1" applyProtection="1">
      <alignment horizontal="center" vertical="center"/>
      <protection locked="0"/>
    </xf>
    <xf numFmtId="0" fontId="34" fillId="0" borderId="7" xfId="0" applyFont="1" applyBorder="1" applyAlignment="1" applyProtection="1">
      <alignment horizontal="right" vertical="center"/>
      <protection locked="0"/>
    </xf>
    <xf numFmtId="0" fontId="45" fillId="0" borderId="0" xfId="0" applyFont="1" applyBorder="1" applyProtection="1">
      <protection locked="0"/>
    </xf>
    <xf numFmtId="0" fontId="34" fillId="0" borderId="24" xfId="0" applyFont="1" applyBorder="1" applyAlignment="1" applyProtection="1">
      <alignment horizontal="left" vertical="center"/>
      <protection locked="0"/>
    </xf>
    <xf numFmtId="0" fontId="34" fillId="0" borderId="27" xfId="0" applyFont="1" applyBorder="1" applyProtection="1">
      <protection locked="0"/>
    </xf>
    <xf numFmtId="0" fontId="34" fillId="0" borderId="7" xfId="0" applyFont="1" applyBorder="1" applyAlignment="1" applyProtection="1">
      <alignment horizontal="center"/>
      <protection locked="0"/>
    </xf>
    <xf numFmtId="0" fontId="34" fillId="0" borderId="1" xfId="0" applyFont="1" applyProtection="1">
      <protection locked="0"/>
    </xf>
    <xf numFmtId="0" fontId="34" fillId="0" borderId="24" xfId="0" applyFont="1" applyBorder="1" applyAlignment="1" applyProtection="1">
      <alignment vertical="center"/>
      <protection locked="0"/>
    </xf>
    <xf numFmtId="0" fontId="34" fillId="0" borderId="24" xfId="0" applyFont="1" applyBorder="1" applyAlignment="1" applyProtection="1">
      <alignment horizontal="right" vertical="center"/>
      <protection locked="0"/>
    </xf>
    <xf numFmtId="0" fontId="34" fillId="0" borderId="7" xfId="0" applyFont="1" applyBorder="1" applyProtection="1">
      <protection locked="0"/>
    </xf>
    <xf numFmtId="0" fontId="35" fillId="7" borderId="24" xfId="0" applyFont="1" applyFill="1" applyBorder="1" applyAlignment="1" applyProtection="1">
      <alignment vertical="center"/>
      <protection locked="0"/>
    </xf>
    <xf numFmtId="0" fontId="35" fillId="7" borderId="25" xfId="0" applyFont="1" applyFill="1" applyBorder="1" applyAlignment="1" applyProtection="1">
      <alignment horizontal="center"/>
      <protection locked="0"/>
    </xf>
    <xf numFmtId="0" fontId="35" fillId="7" borderId="27" xfId="0" applyFont="1" applyFill="1" applyBorder="1" applyProtection="1">
      <protection locked="0"/>
    </xf>
    <xf numFmtId="0" fontId="35" fillId="7" borderId="24" xfId="0" applyFont="1" applyFill="1" applyBorder="1" applyProtection="1">
      <protection locked="0"/>
    </xf>
    <xf numFmtId="0" fontId="34" fillId="0" borderId="43" xfId="0" applyFont="1" applyBorder="1" applyProtection="1">
      <protection locked="0"/>
    </xf>
    <xf numFmtId="0" fontId="2" fillId="0" borderId="47" xfId="0" applyFont="1" applyBorder="1" applyAlignment="1" applyProtection="1">
      <alignment horizontal="center" vertical="center"/>
      <protection locked="0"/>
    </xf>
    <xf numFmtId="0" fontId="2" fillId="0" borderId="67" xfId="0" applyFont="1" applyBorder="1" applyAlignment="1" applyProtection="1">
      <alignment horizontal="center" vertical="center"/>
      <protection locked="0"/>
    </xf>
    <xf numFmtId="0" fontId="2" fillId="0" borderId="63" xfId="0" applyFont="1" applyBorder="1" applyAlignment="1" applyProtection="1">
      <alignment horizontal="center" vertical="center"/>
      <protection locked="0"/>
    </xf>
    <xf numFmtId="0" fontId="16" fillId="2" borderId="40" xfId="0" applyFont="1" applyFill="1" applyBorder="1" applyAlignment="1" applyProtection="1">
      <alignment horizontal="center" vertical="center"/>
      <protection locked="0"/>
    </xf>
    <xf numFmtId="0" fontId="16" fillId="2" borderId="41" xfId="0" applyFont="1" applyFill="1" applyBorder="1" applyAlignment="1" applyProtection="1">
      <alignment horizontal="center" vertical="center"/>
      <protection locked="0"/>
    </xf>
    <xf numFmtId="0" fontId="16" fillId="2" borderId="62" xfId="0" applyFont="1" applyFill="1" applyBorder="1" applyAlignment="1" applyProtection="1">
      <alignment horizontal="center" vertical="center" wrapText="1"/>
      <protection locked="0"/>
    </xf>
    <xf numFmtId="0" fontId="16" fillId="2" borderId="65" xfId="0" applyFont="1" applyFill="1" applyBorder="1" applyAlignment="1" applyProtection="1">
      <alignment horizontal="center" vertical="center" wrapText="1"/>
      <protection locked="0"/>
    </xf>
    <xf numFmtId="0" fontId="16" fillId="2" borderId="47" xfId="0" applyFont="1" applyFill="1" applyBorder="1" applyAlignment="1" applyProtection="1">
      <alignment horizontal="center" vertical="center" wrapText="1"/>
      <protection locked="0"/>
    </xf>
    <xf numFmtId="0" fontId="16" fillId="2" borderId="63" xfId="0" applyFont="1" applyFill="1" applyBorder="1" applyAlignment="1" applyProtection="1">
      <alignment horizontal="center" vertical="center"/>
      <protection locked="0"/>
    </xf>
    <xf numFmtId="0" fontId="16" fillId="2" borderId="61" xfId="0" applyFont="1" applyFill="1" applyBorder="1" applyAlignment="1" applyProtection="1">
      <alignment horizontal="center" vertical="center" wrapText="1"/>
      <protection locked="0"/>
    </xf>
    <xf numFmtId="0" fontId="16" fillId="2" borderId="64" xfId="0" applyFont="1" applyFill="1" applyBorder="1" applyAlignment="1" applyProtection="1">
      <alignment horizontal="center" vertical="center"/>
      <protection locked="0"/>
    </xf>
    <xf numFmtId="164" fontId="16" fillId="2" borderId="21" xfId="0" applyNumberFormat="1" applyFont="1" applyFill="1" applyBorder="1" applyAlignment="1" applyProtection="1">
      <alignment horizontal="center" vertical="center" wrapText="1"/>
      <protection locked="0"/>
    </xf>
    <xf numFmtId="164" fontId="16" fillId="2" borderId="51" xfId="0" applyNumberFormat="1" applyFont="1" applyFill="1" applyBorder="1" applyAlignment="1" applyProtection="1">
      <alignment horizontal="center" vertical="center"/>
      <protection locked="0"/>
    </xf>
    <xf numFmtId="0" fontId="16" fillId="2" borderId="21" xfId="0" applyFont="1" applyFill="1" applyBorder="1" applyAlignment="1" applyProtection="1">
      <alignment horizontal="center" vertical="center" wrapText="1"/>
      <protection locked="0"/>
    </xf>
    <xf numFmtId="0" fontId="16" fillId="2" borderId="51" xfId="0" applyFont="1" applyFill="1" applyBorder="1" applyAlignment="1" applyProtection="1">
      <alignment horizontal="center" vertical="center"/>
      <protection locked="0"/>
    </xf>
    <xf numFmtId="0" fontId="2" fillId="0" borderId="21" xfId="0" applyFont="1" applyBorder="1" applyAlignment="1" applyProtection="1">
      <alignment horizontal="center" vertical="center"/>
      <protection locked="0"/>
    </xf>
    <xf numFmtId="0" fontId="2" fillId="0" borderId="49" xfId="0" applyFont="1" applyBorder="1" applyAlignment="1" applyProtection="1">
      <alignment horizontal="center" vertical="center"/>
      <protection locked="0"/>
    </xf>
    <xf numFmtId="0" fontId="2" fillId="0" borderId="51" xfId="0" applyFont="1" applyBorder="1" applyAlignment="1" applyProtection="1">
      <alignment horizontal="center" vertical="center"/>
      <protection locked="0"/>
    </xf>
  </cellXfs>
  <cellStyles count="54">
    <cellStyle name="Berekening" xfId="1" builtinId="22"/>
    <cellStyle name="Normal 2" xfId="2" xr:uid="{FD3F2BF5-14DD-4296-8BD7-61DC9B58F5EA}"/>
    <cellStyle name="Normal 2 2" xfId="6" xr:uid="{E159F93C-BA5A-45EC-A5BC-910E167A7B42}"/>
    <cellStyle name="Normal 2 3" xfId="49" xr:uid="{9591E000-F7D1-44B5-ABA3-34B802B81E05}"/>
    <cellStyle name="Normal 2 4" xfId="4" xr:uid="{00000000-0005-0000-0000-000002000000}"/>
    <cellStyle name="Normal 3" xfId="5" xr:uid="{B0D55F05-DB56-482B-8931-E9AB698F480B}"/>
    <cellStyle name="Standaard" xfId="0" builtinId="0"/>
    <cellStyle name="Standaard 2" xfId="47" xr:uid="{7111800C-2F6C-44E2-AD65-DB22DD402F23}"/>
    <cellStyle name="Standaard 3" xfId="48" xr:uid="{D574A700-F0D1-4BCB-AD42-AC8F17193E12}"/>
    <cellStyle name="Standard 2" xfId="3" xr:uid="{00000000-0005-0000-0000-000037000000}"/>
    <cellStyle name="Standard 24 2 2" xfId="11" xr:uid="{53A34758-0FB7-48AB-A8F5-FDBF089A4D49}"/>
    <cellStyle name="Standard 3 14" xfId="15" xr:uid="{92E56B26-BCFD-4038-9BD1-FB518773D79B}"/>
    <cellStyle name="Standard 33" xfId="7" xr:uid="{D8C21093-3724-47CC-B0C4-A47806554744}"/>
    <cellStyle name="Standard 38" xfId="12" xr:uid="{8F1DAA5A-FE1D-493C-BE63-ACEB76EE1AAB}"/>
    <cellStyle name="Standard 39" xfId="13" xr:uid="{05F23C0E-DCA6-4FFD-9444-55CE4AF3987E}"/>
    <cellStyle name="Standard 4" xfId="50" xr:uid="{A4B59A1A-5661-47C4-BA2B-E00D7DB17068}"/>
    <cellStyle name="Standard 40" xfId="14" xr:uid="{CACD3DF9-F62C-4484-B7E9-4243A67459A6}"/>
    <cellStyle name="Standard 41" xfId="26" xr:uid="{48110E06-FDF4-473A-8009-BBE4F5256B58}"/>
    <cellStyle name="Standard 42" xfId="40" xr:uid="{0FEE7856-4F34-4226-A429-A53BD0E7C7BA}"/>
    <cellStyle name="Standard 43" xfId="16" xr:uid="{FD669483-3FBF-4898-9060-0F4DF02806C2}"/>
    <cellStyle name="Standard 44" xfId="27" xr:uid="{E04BD277-72A4-4F3F-823E-DB6C4BB3B6DB}"/>
    <cellStyle name="Standard 45" xfId="41" xr:uid="{6E6D451D-ACC0-4914-86C6-D4B4CA52E616}"/>
    <cellStyle name="Standard 46" xfId="17" xr:uid="{CE583D3A-EC4E-4382-971B-48837B882201}"/>
    <cellStyle name="Standard 47" xfId="18" xr:uid="{F98266C0-087D-4EA8-A971-9FEECA95A3E0}"/>
    <cellStyle name="Standard 48" xfId="19" xr:uid="{301DDD24-F7F4-4DC2-9F71-9246C3460224}"/>
    <cellStyle name="Standard 49" xfId="28" xr:uid="{4F65298E-E9D7-4F1D-8348-4AA7BD012089}"/>
    <cellStyle name="Standard 5" xfId="51" xr:uid="{840B1959-041B-46C8-A161-55C6488EB583}"/>
    <cellStyle name="Standard 50" xfId="29" xr:uid="{19CFBC5C-96A3-4945-96CF-9214884ACCAA}"/>
    <cellStyle name="Standard 51" xfId="8" xr:uid="{B7A4089C-66B2-46B1-92DD-A64BC890EF9C}"/>
    <cellStyle name="Standard 52" xfId="9" xr:uid="{B5E8021A-15F0-4643-871B-B6CFE6CCB62D}"/>
    <cellStyle name="Standard 53" xfId="10" xr:uid="{46F65080-240A-4918-88A3-5C2E34E231FB}"/>
    <cellStyle name="Standard 54" xfId="39" xr:uid="{CAC123EB-A01D-4FB7-9233-4F8CF07ABA57}"/>
    <cellStyle name="Standard 55" xfId="20" xr:uid="{4694F064-6748-47DC-BCA0-B2BFE0819EAF}"/>
    <cellStyle name="Standard 56" xfId="21" xr:uid="{C93991E2-ACF9-4757-B3BF-2A8FB436287A}"/>
    <cellStyle name="Standard 57" xfId="22" xr:uid="{076E6CA8-499D-4333-98D7-FC45F252F3AB}"/>
    <cellStyle name="Standard 6" xfId="52" xr:uid="{88AE6DDE-9922-45C5-A8DA-F6260B4FF38A}"/>
    <cellStyle name="Standard 60" xfId="23" xr:uid="{A8FB0D84-71EC-4D90-A418-864F991A99B2}"/>
    <cellStyle name="Standard 62" xfId="32" xr:uid="{714AAB06-8F5C-40C2-98D7-136EECA694A1}"/>
    <cellStyle name="Standard 63" xfId="33" xr:uid="{44E2671B-57D2-4140-8515-405B73FB3FE5}"/>
    <cellStyle name="Standard 64" xfId="34" xr:uid="{640F3707-7E9E-49A3-89A2-040DA61DFD86}"/>
    <cellStyle name="Standard 65" xfId="30" xr:uid="{FA3650BB-3673-47EA-B667-60DFCCB87A5B}"/>
    <cellStyle name="Standard 65 4" xfId="45" xr:uid="{58F7FDB6-68E9-4C8A-8D02-2715F9A89EB6}"/>
    <cellStyle name="Standard 66" xfId="42" xr:uid="{66A7081C-F5F3-4A10-A3F5-039A00DB35CF}"/>
    <cellStyle name="Standard 67" xfId="35" xr:uid="{3F052D0D-1933-4404-9B7D-EF17C2585EAA}"/>
    <cellStyle name="Standard 68" xfId="36" xr:uid="{A8EF55E7-B319-4392-A460-C980FE38BA92}"/>
    <cellStyle name="Standard 68 2" xfId="43" xr:uid="{1BC17DC5-DC19-4E35-90D7-CB02D10A2836}"/>
    <cellStyle name="Standard 69" xfId="37" xr:uid="{568282CC-8238-4BAC-A6D2-18693E1F2AE2}"/>
    <cellStyle name="Standard 7" xfId="53" xr:uid="{F2EDD879-DEFA-4171-A9D9-B69424CC362D}"/>
    <cellStyle name="Standard 70" xfId="38" xr:uid="{505330F0-307E-4CEA-98D3-E2828DBF8817}"/>
    <cellStyle name="Standard 72 6" xfId="46" xr:uid="{71DA82EC-8AB4-43C2-8453-6CFBF4522B38}"/>
    <cellStyle name="Standard 75" xfId="44" xr:uid="{3ABF2860-E284-46FC-AA99-A6E2E9193F58}"/>
    <cellStyle name="Standard 76" xfId="24" xr:uid="{B7847F10-8DDB-49F6-8610-1CF9F58F2B3A}"/>
    <cellStyle name="Standard 77" xfId="31" xr:uid="{0050A657-F78C-4258-9CFD-F7786B15D0BB}"/>
    <cellStyle name="Standard 78" xfId="25" xr:uid="{2BDC2310-FBE5-4347-A6E7-EA6F847EFFE2}"/>
  </cellStyles>
  <dxfs count="5">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33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H$4" lockText="1" noThreeD="1"/>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295275</xdr:colOff>
          <xdr:row>0</xdr:row>
          <xdr:rowOff>0</xdr:rowOff>
        </xdr:from>
        <xdr:to>
          <xdr:col>5</xdr:col>
          <xdr:colOff>1638300</xdr:colOff>
          <xdr:row>0</xdr:row>
          <xdr:rowOff>419100</xdr:rowOff>
        </xdr:to>
        <xdr:sp macro="" textlink="">
          <xdr:nvSpPr>
            <xdr:cNvPr id="1225" name="Visual" hidden="1">
              <a:extLst>
                <a:ext uri="{63B3BB69-23CF-44E3-9099-C40C66FF867C}">
                  <a14:compatExt spid="_x0000_s1225"/>
                </a:ext>
                <a:ext uri="{FF2B5EF4-FFF2-40B4-BE49-F238E27FC236}">
                  <a16:creationId xmlns:a16="http://schemas.microsoft.com/office/drawing/2014/main" id="{00000000-0008-0000-0200-0000C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138</xdr:row>
          <xdr:rowOff>0</xdr:rowOff>
        </xdr:from>
        <xdr:to>
          <xdr:col>28</xdr:col>
          <xdr:colOff>47625</xdr:colOff>
          <xdr:row>138</xdr:row>
          <xdr:rowOff>38100</xdr:rowOff>
        </xdr:to>
        <xdr:sp macro="" textlink="">
          <xdr:nvSpPr>
            <xdr:cNvPr id="1372" name="ListBoxAuthorization" hidden="1">
              <a:extLst>
                <a:ext uri="{63B3BB69-23CF-44E3-9099-C40C66FF867C}">
                  <a14:compatExt spid="_x0000_s1372"/>
                </a:ext>
                <a:ext uri="{FF2B5EF4-FFF2-40B4-BE49-F238E27FC236}">
                  <a16:creationId xmlns:a16="http://schemas.microsoft.com/office/drawing/2014/main" id="{00000000-0008-0000-0200-00005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285750</xdr:colOff>
          <xdr:row>0</xdr:row>
          <xdr:rowOff>0</xdr:rowOff>
        </xdr:from>
        <xdr:to>
          <xdr:col>5</xdr:col>
          <xdr:colOff>885825</xdr:colOff>
          <xdr:row>0</xdr:row>
          <xdr:rowOff>419100</xdr:rowOff>
        </xdr:to>
        <xdr:sp macro="" textlink="">
          <xdr:nvSpPr>
            <xdr:cNvPr id="4103" name="Visual"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171450</xdr:colOff>
          <xdr:row>0</xdr:row>
          <xdr:rowOff>95250</xdr:rowOff>
        </xdr:from>
        <xdr:to>
          <xdr:col>2</xdr:col>
          <xdr:colOff>57150</xdr:colOff>
          <xdr:row>2</xdr:row>
          <xdr:rowOff>38100</xdr:rowOff>
        </xdr:to>
        <xdr:sp macro="" textlink="">
          <xdr:nvSpPr>
            <xdr:cNvPr id="27649" name="Check Box 1" descr="Checkbox6" hidden="1">
              <a:extLst>
                <a:ext uri="{63B3BB69-23CF-44E3-9099-C40C66FF867C}">
                  <a14:compatExt spid="_x0000_s27649"/>
                </a:ext>
                <a:ext uri="{FF2B5EF4-FFF2-40B4-BE49-F238E27FC236}">
                  <a16:creationId xmlns:a16="http://schemas.microsoft.com/office/drawing/2014/main" id="{00000000-0008-0000-0800-00000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Turn on PfizerTools</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Fransen, Elke" id="{FD48C47C-6BA1-431B-85BA-869174B8B6A7}" userId="Fransen, Elke" providerId="None"/>
  <person displayName="Van Rompaey, Marnix" id="{CE0EAB49-2BAA-4329-B1D3-752DB8F52A61}" userId="S::VANROM02@pfizer.com::1941116f-b7f2-4f8f-aa91-2eff76e17ff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T3" dT="2022-05-24T20:02:14.90" personId="{FD48C47C-6BA1-431B-85BA-869174B8B6A7}" id="{9C9FA1FE-0A46-4982-B250-3FBBAA03EF1A}">
    <text>All fields marked in pink: Is it really necessary to interlock these while the line is running? If so, why?</text>
  </threadedComment>
  <threadedComment ref="AG30" dT="2023-03-10T10:47:38.52" personId="{CE0EAB49-2BAA-4329-B1D3-752DB8F52A61}" id="{6FA76E5A-6AF2-4511-9F6E-5279ECD82BE7}">
    <text>to review</text>
  </threadedComment>
  <threadedComment ref="AG31" dT="2023-03-10T10:47:48.74" personId="{CE0EAB49-2BAA-4329-B1D3-752DB8F52A61}" id="{0EC2F871-54C3-4EC0-B851-CBAADA7932D4}">
    <text>to review</text>
  </threadedComment>
</ThreadedComments>
</file>

<file path=xl/threadedComments/threadedComment2.xml><?xml version="1.0" encoding="utf-8"?>
<ThreadedComments xmlns="http://schemas.microsoft.com/office/spreadsheetml/2018/threadedcomments" xmlns:x="http://schemas.openxmlformats.org/spreadsheetml/2006/main">
  <threadedComment ref="F4" dT="2022-07-15T06:55:18.47" personId="{CE0EAB49-2BAA-4329-B1D3-752DB8F52A61}" id="{2BF1E3F9-5F5D-49D8-95A7-5BADFE9C3951}">
    <text>Please complete these rows</text>
  </threadedComment>
</ThreadedComments>
</file>

<file path=xl/threadedComments/threadedComment3.xml><?xml version="1.0" encoding="utf-8"?>
<ThreadedComments xmlns="http://schemas.microsoft.com/office/spreadsheetml/2018/threadedcomments" xmlns:x="http://schemas.openxmlformats.org/spreadsheetml/2006/main">
  <threadedComment ref="A14" dT="2022-05-31T09:52:32.43" personId="{CE0EAB49-2BAA-4329-B1D3-752DB8F52A61}" id="{A96686F7-CE57-4AF4-96FF-F34C5EF058A5}">
    <text>Please add VU3923_machine active statustag</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7/10/relationships/threadedComment" Target="../threadedComments/threadedComment2.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39"/>
  <sheetViews>
    <sheetView showGridLines="0" zoomScale="85" zoomScaleNormal="85" workbookViewId="0">
      <pane ySplit="4" topLeftCell="A5" activePane="bottomLeft" state="frozen"/>
      <selection pane="bottomLeft" activeCell="J62" sqref="J62"/>
    </sheetView>
  </sheetViews>
  <sheetFormatPr defaultColWidth="9.33203125" defaultRowHeight="12.75"/>
  <cols>
    <col min="1" max="1" width="29.5" style="256" bestFit="1" customWidth="1"/>
    <col min="2" max="2" width="34.6640625" style="256" bestFit="1" customWidth="1"/>
    <col min="3" max="3" width="15.6640625" style="286" customWidth="1"/>
    <col min="4" max="4" width="70.6640625" style="257" customWidth="1"/>
    <col min="5" max="5" width="25.6640625" style="256" customWidth="1"/>
    <col min="6" max="6" width="15.6640625" style="256" customWidth="1"/>
    <col min="7" max="12" width="9.33203125" style="256"/>
    <col min="13" max="16384" width="9.33203125" style="257"/>
  </cols>
  <sheetData>
    <row r="1" spans="1:12" ht="20.25">
      <c r="A1" s="252" t="s">
        <v>0</v>
      </c>
      <c r="B1" s="253"/>
      <c r="C1" s="254"/>
      <c r="D1" s="255"/>
      <c r="E1" s="253"/>
      <c r="F1" s="253"/>
    </row>
    <row r="2" spans="1:12" ht="21" thickBot="1">
      <c r="A2" s="252"/>
      <c r="B2" s="253"/>
      <c r="C2" s="254"/>
      <c r="D2" s="255"/>
      <c r="E2" s="253"/>
      <c r="F2" s="253"/>
    </row>
    <row r="3" spans="1:12" s="178" customFormat="1" ht="15" customHeight="1">
      <c r="A3" s="414" t="s">
        <v>1</v>
      </c>
      <c r="B3" s="416" t="s">
        <v>2</v>
      </c>
      <c r="C3" s="418" t="s">
        <v>3</v>
      </c>
      <c r="D3" s="420" t="s">
        <v>4</v>
      </c>
      <c r="E3" s="420" t="s">
        <v>5</v>
      </c>
      <c r="F3" s="412" t="s">
        <v>6</v>
      </c>
      <c r="G3" s="410" t="s">
        <v>7</v>
      </c>
      <c r="H3" s="411"/>
      <c r="I3" s="411"/>
      <c r="J3" s="258" t="s">
        <v>8</v>
      </c>
      <c r="K3" s="258"/>
      <c r="L3" s="259"/>
    </row>
    <row r="4" spans="1:12" s="178" customFormat="1" ht="15" customHeight="1" thickBot="1">
      <c r="A4" s="415"/>
      <c r="B4" s="417"/>
      <c r="C4" s="419"/>
      <c r="D4" s="421"/>
      <c r="E4" s="421"/>
      <c r="F4" s="413"/>
      <c r="G4" s="211" t="s">
        <v>9</v>
      </c>
      <c r="H4" s="210" t="s">
        <v>10</v>
      </c>
      <c r="I4" s="210" t="s">
        <v>11</v>
      </c>
      <c r="J4" s="210" t="s">
        <v>12</v>
      </c>
      <c r="K4" s="210" t="s">
        <v>13</v>
      </c>
      <c r="L4" s="183" t="s">
        <v>14</v>
      </c>
    </row>
    <row r="5" spans="1:12" ht="13.5" thickBot="1">
      <c r="A5" s="260" t="s">
        <v>15</v>
      </c>
      <c r="B5" s="261" t="s">
        <v>16</v>
      </c>
      <c r="C5" s="262">
        <v>44670</v>
      </c>
      <c r="D5" s="263" t="s">
        <v>17</v>
      </c>
      <c r="E5" s="264" t="s">
        <v>18</v>
      </c>
      <c r="F5" s="265" t="s">
        <v>19</v>
      </c>
      <c r="G5" s="266" t="s">
        <v>19</v>
      </c>
      <c r="H5" s="264" t="s">
        <v>19</v>
      </c>
      <c r="I5" s="289" t="s">
        <v>20</v>
      </c>
      <c r="J5" s="267" t="s">
        <v>19</v>
      </c>
      <c r="K5" s="267" t="s">
        <v>19</v>
      </c>
      <c r="L5" s="268" t="s">
        <v>19</v>
      </c>
    </row>
    <row r="6" spans="1:12" ht="13.5" thickBot="1">
      <c r="A6" s="260" t="s">
        <v>21</v>
      </c>
      <c r="B6" s="261" t="s">
        <v>16</v>
      </c>
      <c r="C6" s="262">
        <v>44699</v>
      </c>
      <c r="D6" s="263" t="s">
        <v>22</v>
      </c>
      <c r="E6" s="264" t="s">
        <v>18</v>
      </c>
      <c r="F6" s="265" t="s">
        <v>19</v>
      </c>
      <c r="G6" s="266" t="s">
        <v>19</v>
      </c>
      <c r="H6" s="264" t="s">
        <v>19</v>
      </c>
      <c r="I6" s="289" t="s">
        <v>20</v>
      </c>
      <c r="J6" s="267" t="s">
        <v>19</v>
      </c>
      <c r="K6" s="267" t="s">
        <v>19</v>
      </c>
      <c r="L6" s="268" t="s">
        <v>19</v>
      </c>
    </row>
    <row r="7" spans="1:12" ht="13.5" thickBot="1">
      <c r="A7" s="260" t="s">
        <v>23</v>
      </c>
      <c r="B7" s="261" t="s">
        <v>24</v>
      </c>
      <c r="C7" s="262">
        <v>44798</v>
      </c>
      <c r="D7" s="263" t="s">
        <v>25</v>
      </c>
      <c r="E7" s="264" t="s">
        <v>18</v>
      </c>
      <c r="F7" s="265" t="s">
        <v>19</v>
      </c>
      <c r="G7" s="266" t="s">
        <v>19</v>
      </c>
      <c r="H7" s="264" t="s">
        <v>19</v>
      </c>
      <c r="I7" s="289" t="s">
        <v>20</v>
      </c>
      <c r="J7" s="267" t="s">
        <v>19</v>
      </c>
      <c r="K7" s="267" t="s">
        <v>19</v>
      </c>
      <c r="L7" s="268" t="s">
        <v>19</v>
      </c>
    </row>
    <row r="8" spans="1:12" ht="13.5" thickBot="1">
      <c r="A8" s="260" t="s">
        <v>26</v>
      </c>
      <c r="B8" s="330" t="s">
        <v>27</v>
      </c>
      <c r="C8" s="331">
        <v>44803</v>
      </c>
      <c r="D8" s="332" t="s">
        <v>28</v>
      </c>
      <c r="E8" s="264" t="s">
        <v>18</v>
      </c>
      <c r="F8" s="333" t="s">
        <v>19</v>
      </c>
      <c r="G8" s="334" t="s">
        <v>19</v>
      </c>
      <c r="H8" s="267" t="s">
        <v>19</v>
      </c>
      <c r="I8" s="289" t="s">
        <v>20</v>
      </c>
      <c r="J8" s="267" t="s">
        <v>29</v>
      </c>
      <c r="K8" s="267" t="s">
        <v>19</v>
      </c>
      <c r="L8" s="268" t="s">
        <v>19</v>
      </c>
    </row>
    <row r="9" spans="1:12">
      <c r="A9" s="407" t="s">
        <v>30</v>
      </c>
      <c r="B9" s="330" t="s">
        <v>16</v>
      </c>
      <c r="C9" s="331">
        <v>44995</v>
      </c>
      <c r="D9" s="332" t="s">
        <v>31</v>
      </c>
      <c r="E9" s="264" t="s">
        <v>18</v>
      </c>
      <c r="F9" s="333" t="s">
        <v>19</v>
      </c>
      <c r="G9" s="334" t="s">
        <v>19</v>
      </c>
      <c r="H9" s="267" t="s">
        <v>19</v>
      </c>
      <c r="I9" s="289" t="s">
        <v>20</v>
      </c>
      <c r="J9" s="267" t="s">
        <v>29</v>
      </c>
      <c r="K9" s="267" t="s">
        <v>19</v>
      </c>
      <c r="L9" s="268" t="s">
        <v>19</v>
      </c>
    </row>
    <row r="10" spans="1:12" ht="13.5" thickBot="1">
      <c r="A10" s="409"/>
      <c r="B10" s="279" t="s">
        <v>32</v>
      </c>
      <c r="C10" s="280">
        <v>44998</v>
      </c>
      <c r="D10" s="281" t="s">
        <v>33</v>
      </c>
      <c r="E10" s="282" t="s">
        <v>18</v>
      </c>
      <c r="F10" s="283" t="s">
        <v>19</v>
      </c>
      <c r="G10" s="284" t="s">
        <v>19</v>
      </c>
      <c r="H10" s="282" t="s">
        <v>19</v>
      </c>
      <c r="I10" s="291" t="s">
        <v>20</v>
      </c>
      <c r="J10" s="282" t="s">
        <v>29</v>
      </c>
      <c r="K10" s="282" t="s">
        <v>19</v>
      </c>
      <c r="L10" s="282" t="s">
        <v>19</v>
      </c>
    </row>
    <row r="11" spans="1:12" ht="13.5" thickBot="1">
      <c r="A11" s="344" t="s">
        <v>34</v>
      </c>
      <c r="B11" s="345" t="s">
        <v>35</v>
      </c>
      <c r="C11" s="339">
        <v>45082</v>
      </c>
      <c r="D11" s="340" t="s">
        <v>36</v>
      </c>
      <c r="E11" s="341" t="s">
        <v>18</v>
      </c>
      <c r="F11" s="342" t="s">
        <v>19</v>
      </c>
      <c r="G11" s="338" t="s">
        <v>19</v>
      </c>
      <c r="H11" s="341" t="s">
        <v>19</v>
      </c>
      <c r="I11" s="346" t="s">
        <v>20</v>
      </c>
      <c r="J11" s="341" t="s">
        <v>29</v>
      </c>
      <c r="K11" s="341" t="s">
        <v>19</v>
      </c>
      <c r="L11" s="343" t="s">
        <v>19</v>
      </c>
    </row>
    <row r="12" spans="1:12">
      <c r="A12" s="407" t="s">
        <v>37</v>
      </c>
      <c r="B12" s="270" t="s">
        <v>38</v>
      </c>
      <c r="C12" s="271">
        <v>45107</v>
      </c>
      <c r="D12" s="272" t="s">
        <v>39</v>
      </c>
      <c r="E12" s="422" t="s">
        <v>40</v>
      </c>
      <c r="F12" s="274" t="s">
        <v>19</v>
      </c>
      <c r="G12" s="275" t="s">
        <v>41</v>
      </c>
      <c r="H12" s="273" t="s">
        <v>41</v>
      </c>
      <c r="I12" s="335" t="s">
        <v>20</v>
      </c>
      <c r="J12" s="336" t="s">
        <v>29</v>
      </c>
      <c r="K12" s="336" t="s">
        <v>19</v>
      </c>
      <c r="L12" s="337" t="s">
        <v>19</v>
      </c>
    </row>
    <row r="13" spans="1:12">
      <c r="A13" s="408"/>
      <c r="B13" s="270" t="s">
        <v>42</v>
      </c>
      <c r="C13" s="271" t="s">
        <v>43</v>
      </c>
      <c r="D13" s="272" t="s">
        <v>44</v>
      </c>
      <c r="E13" s="423"/>
      <c r="F13" s="274" t="s">
        <v>19</v>
      </c>
      <c r="G13" s="275" t="s">
        <v>41</v>
      </c>
      <c r="H13" s="273" t="s">
        <v>41</v>
      </c>
      <c r="I13" s="290" t="s">
        <v>20</v>
      </c>
      <c r="J13" s="276" t="s">
        <v>29</v>
      </c>
      <c r="K13" s="276" t="s">
        <v>19</v>
      </c>
      <c r="L13" s="277" t="s">
        <v>19</v>
      </c>
    </row>
    <row r="14" spans="1:12" ht="13.5" thickBot="1">
      <c r="A14" s="409"/>
      <c r="B14" s="279" t="s">
        <v>45</v>
      </c>
      <c r="C14" s="280">
        <v>45162</v>
      </c>
      <c r="D14" s="281" t="s">
        <v>46</v>
      </c>
      <c r="E14" s="424"/>
      <c r="F14" s="283" t="s">
        <v>19</v>
      </c>
      <c r="G14" s="284" t="s">
        <v>29</v>
      </c>
      <c r="H14" s="282" t="s">
        <v>41</v>
      </c>
      <c r="I14" s="291" t="s">
        <v>20</v>
      </c>
      <c r="J14" s="282" t="s">
        <v>29</v>
      </c>
      <c r="K14" s="282" t="s">
        <v>19</v>
      </c>
      <c r="L14" s="285" t="s">
        <v>19</v>
      </c>
    </row>
    <row r="15" spans="1:12">
      <c r="A15" s="260"/>
      <c r="B15" s="261" t="s">
        <v>47</v>
      </c>
      <c r="C15" s="262">
        <v>45406</v>
      </c>
      <c r="D15" s="263" t="s">
        <v>48</v>
      </c>
      <c r="E15" s="370"/>
      <c r="F15" s="265"/>
      <c r="G15" s="266"/>
      <c r="H15" s="264"/>
      <c r="I15" s="289" t="s">
        <v>20</v>
      </c>
      <c r="J15" s="267"/>
      <c r="K15" s="267"/>
      <c r="L15" s="268"/>
    </row>
    <row r="16" spans="1:12">
      <c r="A16" s="269"/>
      <c r="B16" s="270" t="s">
        <v>38</v>
      </c>
      <c r="C16" s="271">
        <v>45414</v>
      </c>
      <c r="D16" s="272" t="s">
        <v>49</v>
      </c>
      <c r="E16" s="371"/>
      <c r="F16" s="274"/>
      <c r="G16" s="275"/>
      <c r="H16" s="273"/>
      <c r="I16" s="290" t="s">
        <v>20</v>
      </c>
      <c r="J16" s="276"/>
      <c r="K16" s="276"/>
      <c r="L16" s="277"/>
    </row>
    <row r="17" spans="1:12">
      <c r="A17" s="269" t="s">
        <v>50</v>
      </c>
      <c r="B17" s="270" t="s">
        <v>51</v>
      </c>
      <c r="C17" s="271">
        <v>45420</v>
      </c>
      <c r="D17" s="272" t="s">
        <v>52</v>
      </c>
      <c r="E17" s="371"/>
      <c r="F17" s="274"/>
      <c r="G17" s="275"/>
      <c r="H17" s="273"/>
      <c r="I17" s="290" t="s">
        <v>20</v>
      </c>
      <c r="J17" s="276"/>
      <c r="K17" s="276"/>
      <c r="L17" s="277"/>
    </row>
    <row r="18" spans="1:12">
      <c r="A18" s="269"/>
      <c r="B18" s="270" t="s">
        <v>35</v>
      </c>
      <c r="C18" s="271">
        <v>45433</v>
      </c>
      <c r="D18" s="272" t="s">
        <v>53</v>
      </c>
      <c r="E18" s="273"/>
      <c r="F18" s="274"/>
      <c r="G18" s="275"/>
      <c r="H18" s="273"/>
      <c r="I18" s="290" t="s">
        <v>20</v>
      </c>
      <c r="J18" s="276"/>
      <c r="K18" s="276"/>
      <c r="L18" s="277"/>
    </row>
    <row r="19" spans="1:12" ht="13.5" thickBot="1">
      <c r="A19" s="278"/>
      <c r="B19" s="279"/>
      <c r="C19" s="280"/>
      <c r="D19" s="281"/>
      <c r="E19" s="282"/>
      <c r="F19" s="283"/>
      <c r="G19" s="284"/>
      <c r="H19" s="282"/>
      <c r="I19" s="291" t="s">
        <v>20</v>
      </c>
      <c r="J19" s="282"/>
      <c r="K19" s="282"/>
      <c r="L19" s="285"/>
    </row>
    <row r="20" spans="1:12">
      <c r="A20" s="260" t="s">
        <v>54</v>
      </c>
      <c r="B20" s="261" t="s">
        <v>55</v>
      </c>
      <c r="C20" s="262">
        <v>45453</v>
      </c>
      <c r="D20" s="263" t="s">
        <v>56</v>
      </c>
      <c r="E20" s="264" t="s">
        <v>57</v>
      </c>
      <c r="F20" s="265"/>
      <c r="G20" s="266"/>
      <c r="H20" s="264"/>
      <c r="I20" s="289" t="s">
        <v>20</v>
      </c>
      <c r="J20" s="267"/>
      <c r="K20" s="267"/>
      <c r="L20" s="268"/>
    </row>
    <row r="21" spans="1:12">
      <c r="A21" s="269"/>
      <c r="B21" s="270"/>
      <c r="C21" s="271"/>
      <c r="D21" s="272"/>
      <c r="E21" s="273"/>
      <c r="F21" s="274"/>
      <c r="G21" s="275"/>
      <c r="H21" s="273"/>
      <c r="I21" s="290" t="s">
        <v>20</v>
      </c>
      <c r="J21" s="276"/>
      <c r="K21" s="276"/>
      <c r="L21" s="277"/>
    </row>
    <row r="22" spans="1:12">
      <c r="A22" s="269"/>
      <c r="B22" s="270"/>
      <c r="C22" s="271"/>
      <c r="D22" s="272"/>
      <c r="E22" s="273"/>
      <c r="F22" s="274"/>
      <c r="G22" s="275"/>
      <c r="H22" s="273"/>
      <c r="I22" s="290" t="s">
        <v>20</v>
      </c>
      <c r="J22" s="276"/>
      <c r="K22" s="276"/>
      <c r="L22" s="277"/>
    </row>
    <row r="23" spans="1:12">
      <c r="A23" s="269"/>
      <c r="B23" s="270"/>
      <c r="C23" s="271"/>
      <c r="D23" s="272"/>
      <c r="E23" s="273"/>
      <c r="F23" s="274"/>
      <c r="G23" s="275"/>
      <c r="H23" s="273"/>
      <c r="I23" s="290" t="s">
        <v>20</v>
      </c>
      <c r="J23" s="276"/>
      <c r="K23" s="276"/>
      <c r="L23" s="277"/>
    </row>
    <row r="24" spans="1:12" ht="13.5" thickBot="1">
      <c r="A24" s="278"/>
      <c r="B24" s="279"/>
      <c r="C24" s="280"/>
      <c r="D24" s="281"/>
      <c r="E24" s="282"/>
      <c r="F24" s="283"/>
      <c r="G24" s="284"/>
      <c r="H24" s="282"/>
      <c r="I24" s="291" t="s">
        <v>20</v>
      </c>
      <c r="J24" s="282"/>
      <c r="K24" s="282"/>
      <c r="L24" s="285"/>
    </row>
    <row r="25" spans="1:12">
      <c r="A25" s="260" t="s">
        <v>58</v>
      </c>
      <c r="B25" s="261" t="s">
        <v>38</v>
      </c>
      <c r="C25" s="262">
        <v>45581</v>
      </c>
      <c r="D25" s="263" t="s">
        <v>59</v>
      </c>
      <c r="E25" s="264"/>
      <c r="F25" s="265"/>
      <c r="G25" s="266"/>
      <c r="H25" s="264"/>
      <c r="I25" s="289" t="s">
        <v>20</v>
      </c>
      <c r="J25" s="267"/>
      <c r="K25" s="267"/>
      <c r="L25" s="268"/>
    </row>
    <row r="26" spans="1:12">
      <c r="A26" s="269"/>
      <c r="B26" s="270"/>
      <c r="C26" s="271"/>
      <c r="D26" s="272"/>
      <c r="E26" s="273"/>
      <c r="F26" s="274"/>
      <c r="G26" s="275"/>
      <c r="H26" s="273"/>
      <c r="I26" s="290" t="s">
        <v>20</v>
      </c>
      <c r="J26" s="276"/>
      <c r="K26" s="276"/>
      <c r="L26" s="277"/>
    </row>
    <row r="27" spans="1:12">
      <c r="A27" s="269"/>
      <c r="B27" s="270"/>
      <c r="C27" s="271"/>
      <c r="D27" s="272"/>
      <c r="E27" s="273"/>
      <c r="F27" s="274"/>
      <c r="G27" s="275"/>
      <c r="H27" s="273"/>
      <c r="I27" s="290" t="s">
        <v>20</v>
      </c>
      <c r="J27" s="276"/>
      <c r="K27" s="276"/>
      <c r="L27" s="277"/>
    </row>
    <row r="28" spans="1:12">
      <c r="A28" s="269"/>
      <c r="B28" s="270"/>
      <c r="C28" s="271"/>
      <c r="D28" s="272"/>
      <c r="E28" s="273"/>
      <c r="F28" s="274"/>
      <c r="G28" s="275"/>
      <c r="H28" s="273"/>
      <c r="I28" s="290" t="s">
        <v>20</v>
      </c>
      <c r="J28" s="276"/>
      <c r="K28" s="276"/>
      <c r="L28" s="277"/>
    </row>
    <row r="29" spans="1:12" ht="13.5" thickBot="1">
      <c r="A29" s="278"/>
      <c r="B29" s="279"/>
      <c r="C29" s="280"/>
      <c r="D29" s="281"/>
      <c r="E29" s="282"/>
      <c r="F29" s="283"/>
      <c r="G29" s="284"/>
      <c r="H29" s="282"/>
      <c r="I29" s="291" t="s">
        <v>20</v>
      </c>
      <c r="J29" s="282"/>
      <c r="K29" s="282"/>
      <c r="L29" s="285"/>
    </row>
    <row r="30" spans="1:12">
      <c r="A30" s="260"/>
      <c r="B30" s="261"/>
      <c r="C30" s="262"/>
      <c r="D30" s="263"/>
      <c r="E30" s="264"/>
      <c r="F30" s="265"/>
      <c r="G30" s="266"/>
      <c r="H30" s="264"/>
      <c r="I30" s="289" t="s">
        <v>20</v>
      </c>
      <c r="J30" s="267"/>
      <c r="K30" s="267"/>
      <c r="L30" s="268"/>
    </row>
    <row r="31" spans="1:12">
      <c r="A31" s="269"/>
      <c r="B31" s="270"/>
      <c r="C31" s="271"/>
      <c r="D31" s="272"/>
      <c r="E31" s="273"/>
      <c r="F31" s="274"/>
      <c r="G31" s="275"/>
      <c r="H31" s="273"/>
      <c r="I31" s="290" t="s">
        <v>20</v>
      </c>
      <c r="J31" s="276"/>
      <c r="K31" s="276"/>
      <c r="L31" s="277"/>
    </row>
    <row r="32" spans="1:12">
      <c r="A32" s="269"/>
      <c r="B32" s="270"/>
      <c r="C32" s="271"/>
      <c r="D32" s="272"/>
      <c r="E32" s="273"/>
      <c r="F32" s="274"/>
      <c r="G32" s="275"/>
      <c r="H32" s="273"/>
      <c r="I32" s="290" t="s">
        <v>20</v>
      </c>
      <c r="J32" s="276"/>
      <c r="K32" s="276"/>
      <c r="L32" s="277"/>
    </row>
    <row r="33" spans="1:12">
      <c r="A33" s="269"/>
      <c r="B33" s="270"/>
      <c r="C33" s="271"/>
      <c r="D33" s="272"/>
      <c r="E33" s="273"/>
      <c r="F33" s="274"/>
      <c r="G33" s="275"/>
      <c r="H33" s="273"/>
      <c r="I33" s="290" t="s">
        <v>20</v>
      </c>
      <c r="J33" s="276"/>
      <c r="K33" s="276"/>
      <c r="L33" s="277"/>
    </row>
    <row r="34" spans="1:12" ht="13.5" thickBot="1">
      <c r="A34" s="278"/>
      <c r="B34" s="279"/>
      <c r="C34" s="280"/>
      <c r="D34" s="281"/>
      <c r="E34" s="282"/>
      <c r="F34" s="283"/>
      <c r="G34" s="284"/>
      <c r="H34" s="282"/>
      <c r="I34" s="291" t="s">
        <v>20</v>
      </c>
      <c r="J34" s="282"/>
      <c r="K34" s="282"/>
      <c r="L34" s="285"/>
    </row>
    <row r="35" spans="1:12">
      <c r="A35" s="260"/>
      <c r="B35" s="261"/>
      <c r="C35" s="262"/>
      <c r="D35" s="263"/>
      <c r="E35" s="264"/>
      <c r="F35" s="265"/>
      <c r="G35" s="266"/>
      <c r="H35" s="264"/>
      <c r="I35" s="289" t="s">
        <v>20</v>
      </c>
      <c r="J35" s="267"/>
      <c r="K35" s="267"/>
      <c r="L35" s="268"/>
    </row>
    <row r="36" spans="1:12">
      <c r="A36" s="269"/>
      <c r="B36" s="270"/>
      <c r="C36" s="271"/>
      <c r="D36" s="272"/>
      <c r="E36" s="273"/>
      <c r="F36" s="274"/>
      <c r="G36" s="275"/>
      <c r="H36" s="273"/>
      <c r="I36" s="290" t="s">
        <v>20</v>
      </c>
      <c r="J36" s="276"/>
      <c r="K36" s="276"/>
      <c r="L36" s="277"/>
    </row>
    <row r="37" spans="1:12">
      <c r="A37" s="269"/>
      <c r="B37" s="270"/>
      <c r="C37" s="271"/>
      <c r="D37" s="272"/>
      <c r="E37" s="273"/>
      <c r="F37" s="274"/>
      <c r="G37" s="275"/>
      <c r="H37" s="273"/>
      <c r="I37" s="290" t="s">
        <v>20</v>
      </c>
      <c r="J37" s="276"/>
      <c r="K37" s="276"/>
      <c r="L37" s="277"/>
    </row>
    <row r="38" spans="1:12">
      <c r="A38" s="269"/>
      <c r="B38" s="270"/>
      <c r="C38" s="271"/>
      <c r="D38" s="272"/>
      <c r="E38" s="273"/>
      <c r="F38" s="274"/>
      <c r="G38" s="275"/>
      <c r="H38" s="273"/>
      <c r="I38" s="290" t="s">
        <v>20</v>
      </c>
      <c r="J38" s="276"/>
      <c r="K38" s="276"/>
      <c r="L38" s="277"/>
    </row>
    <row r="39" spans="1:12" ht="13.5" thickBot="1">
      <c r="A39" s="278"/>
      <c r="B39" s="279"/>
      <c r="C39" s="280"/>
      <c r="D39" s="281"/>
      <c r="E39" s="282"/>
      <c r="F39" s="283"/>
      <c r="G39" s="284"/>
      <c r="H39" s="282"/>
      <c r="I39" s="291" t="s">
        <v>20</v>
      </c>
      <c r="J39" s="282"/>
      <c r="K39" s="282"/>
      <c r="L39" s="285"/>
    </row>
  </sheetData>
  <mergeCells count="10">
    <mergeCell ref="A12:A14"/>
    <mergeCell ref="A9:A10"/>
    <mergeCell ref="G3:I3"/>
    <mergeCell ref="F3:F4"/>
    <mergeCell ref="A3:A4"/>
    <mergeCell ref="B3:B4"/>
    <mergeCell ref="C3:C4"/>
    <mergeCell ref="D3:D4"/>
    <mergeCell ref="E3:E4"/>
    <mergeCell ref="E12:E14"/>
  </mergeCells>
  <phoneticPr fontId="11" type="noConversion"/>
  <pageMargins left="0.74803149606299213" right="0.74803149606299213" top="1.2083333333333333" bottom="0.98425196850393704" header="0.51181102362204722" footer="0.51181102362204722"/>
  <pageSetup paperSize="9" orientation="landscape" r:id="rId1"/>
  <headerFooter alignWithMargins="0">
    <oddHeader>&amp;C
DOWNLOAD LIST&amp;RFilename: &amp;F
Date: &amp;D&amp;L&amp;9Machine Number : 84130001
Machine Name : IFC - VL1 - Washer
CU Number : 7000
VU Number : 3920</oddHeader>
    <oddFooter>&amp;LBased on template :&amp;CDownloadList_CUxxxx_A3&amp;RPage &amp;P/&amp;N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0042E-65F3-4760-ABC9-84A8412BD50F}">
  <sheetPr codeName="Sheet10"/>
  <dimension ref="A1:E46"/>
  <sheetViews>
    <sheetView showGridLines="0" zoomScaleNormal="100" workbookViewId="0">
      <selection activeCell="C6" sqref="C6"/>
    </sheetView>
  </sheetViews>
  <sheetFormatPr defaultColWidth="9.33203125" defaultRowHeight="12.75"/>
  <cols>
    <col min="1" max="2" width="35.6640625" style="173" customWidth="1"/>
    <col min="3" max="3" width="35.6640625" style="184" customWidth="1"/>
    <col min="4" max="7" width="9.33203125" style="56" customWidth="1"/>
    <col min="8" max="16384" width="9.33203125" style="56"/>
  </cols>
  <sheetData>
    <row r="1" spans="1:5" s="187" customFormat="1" ht="20.25">
      <c r="A1" s="185" t="s">
        <v>60</v>
      </c>
      <c r="B1" s="44"/>
      <c r="C1" s="186"/>
      <c r="D1" s="16"/>
      <c r="E1" s="16"/>
    </row>
    <row r="2" spans="1:5" s="187" customFormat="1" ht="13.5" thickBot="1">
      <c r="A2" s="188"/>
      <c r="B2" s="188"/>
      <c r="C2" s="189"/>
    </row>
    <row r="3" spans="1:5" s="187" customFormat="1">
      <c r="A3" s="190" t="s">
        <v>61</v>
      </c>
      <c r="B3" s="191" t="s">
        <v>62</v>
      </c>
      <c r="C3" s="189"/>
    </row>
    <row r="4" spans="1:5" s="187" customFormat="1">
      <c r="A4" s="192" t="s">
        <v>63</v>
      </c>
      <c r="B4" s="193">
        <v>84130001</v>
      </c>
      <c r="C4" s="189"/>
    </row>
    <row r="5" spans="1:5" s="187" customFormat="1">
      <c r="A5" s="192" t="s">
        <v>64</v>
      </c>
      <c r="B5" s="193">
        <v>7000</v>
      </c>
      <c r="C5" s="189"/>
    </row>
    <row r="6" spans="1:5" s="187" customFormat="1">
      <c r="A6" s="192" t="s">
        <v>65</v>
      </c>
      <c r="B6" s="193"/>
      <c r="C6" s="189"/>
    </row>
    <row r="7" spans="1:5" s="187" customFormat="1">
      <c r="A7" s="192" t="s">
        <v>66</v>
      </c>
      <c r="B7" s="193"/>
      <c r="C7" s="189"/>
    </row>
    <row r="8" spans="1:5" s="187" customFormat="1" ht="13.5" thickBot="1">
      <c r="A8" s="194" t="s">
        <v>67</v>
      </c>
      <c r="B8" s="195"/>
      <c r="C8" s="189"/>
    </row>
    <row r="9" spans="1:5" ht="13.5" thickBot="1"/>
    <row r="10" spans="1:5" s="187" customFormat="1" ht="13.5" thickBot="1">
      <c r="A10" s="173"/>
      <c r="B10" s="196" t="s">
        <v>68</v>
      </c>
      <c r="C10" s="197" t="s">
        <v>69</v>
      </c>
    </row>
    <row r="11" spans="1:5" s="187" customFormat="1">
      <c r="A11" s="190" t="s">
        <v>70</v>
      </c>
      <c r="B11" s="198" t="s">
        <v>71</v>
      </c>
      <c r="C11" s="199">
        <v>3920</v>
      </c>
    </row>
    <row r="12" spans="1:5" s="187" customFormat="1">
      <c r="A12" s="200" t="s">
        <v>72</v>
      </c>
      <c r="B12" s="314" t="s">
        <v>19</v>
      </c>
      <c r="C12" s="315" t="s">
        <v>19</v>
      </c>
    </row>
    <row r="13" spans="1:5" s="187" customFormat="1">
      <c r="A13" s="200" t="s">
        <v>73</v>
      </c>
      <c r="B13" s="198" t="s">
        <v>19</v>
      </c>
      <c r="C13" s="315" t="s">
        <v>19</v>
      </c>
    </row>
    <row r="14" spans="1:5" s="187" customFormat="1">
      <c r="A14" s="200" t="s">
        <v>74</v>
      </c>
      <c r="B14" s="198" t="s">
        <v>19</v>
      </c>
      <c r="C14" s="315" t="s">
        <v>19</v>
      </c>
    </row>
    <row r="15" spans="1:5" s="187" customFormat="1">
      <c r="A15" s="200" t="s">
        <v>75</v>
      </c>
      <c r="B15" s="198" t="s">
        <v>19</v>
      </c>
      <c r="C15" s="315" t="s">
        <v>19</v>
      </c>
    </row>
    <row r="16" spans="1:5" s="187" customFormat="1">
      <c r="A16" s="200" t="s">
        <v>76</v>
      </c>
      <c r="B16" s="198" t="s">
        <v>19</v>
      </c>
      <c r="C16" s="315" t="s">
        <v>19</v>
      </c>
    </row>
    <row r="17" spans="1:3" s="187" customFormat="1">
      <c r="A17" s="200" t="s">
        <v>77</v>
      </c>
      <c r="B17" s="198" t="s">
        <v>19</v>
      </c>
      <c r="C17" s="315" t="s">
        <v>19</v>
      </c>
    </row>
    <row r="18" spans="1:3" s="187" customFormat="1">
      <c r="A18" s="200" t="s">
        <v>78</v>
      </c>
      <c r="B18" s="198" t="s">
        <v>19</v>
      </c>
      <c r="C18" s="315" t="s">
        <v>19</v>
      </c>
    </row>
    <row r="19" spans="1:3" s="187" customFormat="1">
      <c r="A19" s="200" t="s">
        <v>79</v>
      </c>
      <c r="B19" s="198" t="s">
        <v>19</v>
      </c>
      <c r="C19" s="315" t="s">
        <v>19</v>
      </c>
    </row>
    <row r="20" spans="1:3" s="187" customFormat="1" ht="13.5" thickBot="1">
      <c r="A20" s="194" t="s">
        <v>80</v>
      </c>
      <c r="B20" s="201" t="s">
        <v>19</v>
      </c>
      <c r="C20" s="316" t="s">
        <v>19</v>
      </c>
    </row>
    <row r="21" spans="1:3" ht="13.5" thickBot="1"/>
    <row r="22" spans="1:3" s="187" customFormat="1" ht="13.5" thickBot="1">
      <c r="A22" s="190" t="s">
        <v>81</v>
      </c>
      <c r="B22" s="191"/>
      <c r="C22" s="189"/>
    </row>
    <row r="23" spans="1:3" s="187" customFormat="1" ht="13.5" thickBot="1">
      <c r="A23" s="192" t="s">
        <v>82</v>
      </c>
      <c r="B23" s="287"/>
      <c r="C23" s="288"/>
    </row>
    <row r="24" spans="1:3" s="187" customFormat="1">
      <c r="A24" s="192" t="s">
        <v>83</v>
      </c>
      <c r="B24" s="193"/>
      <c r="C24" s="189"/>
    </row>
    <row r="25" spans="1:3" s="187" customFormat="1">
      <c r="A25" s="192" t="s">
        <v>84</v>
      </c>
      <c r="B25" s="193"/>
      <c r="C25" s="189"/>
    </row>
    <row r="26" spans="1:3" s="187" customFormat="1">
      <c r="A26" s="192" t="s">
        <v>85</v>
      </c>
      <c r="B26" s="193"/>
      <c r="C26" s="189"/>
    </row>
    <row r="27" spans="1:3" s="187" customFormat="1">
      <c r="A27" s="192" t="s">
        <v>86</v>
      </c>
      <c r="B27" s="193"/>
      <c r="C27" s="189"/>
    </row>
    <row r="28" spans="1:3" s="187" customFormat="1">
      <c r="A28" s="192" t="s">
        <v>87</v>
      </c>
      <c r="B28" s="193"/>
      <c r="C28" s="189"/>
    </row>
    <row r="29" spans="1:3" s="187" customFormat="1">
      <c r="A29" s="192" t="s">
        <v>88</v>
      </c>
      <c r="B29" s="193"/>
      <c r="C29" s="189"/>
    </row>
    <row r="30" spans="1:3" s="187" customFormat="1" ht="13.5" thickBot="1">
      <c r="A30" s="194" t="s">
        <v>89</v>
      </c>
      <c r="B30" s="195"/>
      <c r="C30" s="189"/>
    </row>
    <row r="31" spans="1:3" ht="13.5" thickBot="1"/>
    <row r="32" spans="1:3" s="187" customFormat="1">
      <c r="A32" s="190" t="s">
        <v>90</v>
      </c>
      <c r="B32" s="191"/>
      <c r="C32" s="189"/>
    </row>
    <row r="33" spans="1:3" s="187" customFormat="1">
      <c r="A33" s="192" t="s">
        <v>91</v>
      </c>
      <c r="B33" s="193" t="s">
        <v>92</v>
      </c>
      <c r="C33" s="189"/>
    </row>
    <row r="34" spans="1:3" s="187" customFormat="1">
      <c r="A34" s="192" t="s">
        <v>93</v>
      </c>
      <c r="B34" s="193" t="s">
        <v>94</v>
      </c>
      <c r="C34" s="189"/>
    </row>
    <row r="35" spans="1:3" s="187" customFormat="1">
      <c r="A35" s="192" t="s">
        <v>95</v>
      </c>
      <c r="B35" s="193" t="s">
        <v>96</v>
      </c>
      <c r="C35" s="189"/>
    </row>
    <row r="36" spans="1:3" s="187" customFormat="1" ht="13.5" thickBot="1">
      <c r="A36" s="194" t="s">
        <v>97</v>
      </c>
      <c r="B36" s="195" t="s">
        <v>98</v>
      </c>
      <c r="C36" s="189"/>
    </row>
    <row r="37" spans="1:3" ht="13.5" thickBot="1"/>
    <row r="38" spans="1:3" ht="13.5" thickBot="1">
      <c r="A38" s="203" t="s">
        <v>99</v>
      </c>
      <c r="B38" s="196" t="s">
        <v>100</v>
      </c>
      <c r="C38" s="197" t="s">
        <v>101</v>
      </c>
    </row>
    <row r="39" spans="1:3">
      <c r="A39" s="190" t="s">
        <v>102</v>
      </c>
      <c r="B39" s="198"/>
      <c r="C39" s="199"/>
    </row>
    <row r="40" spans="1:3">
      <c r="A40" s="200" t="s">
        <v>103</v>
      </c>
      <c r="B40" s="198"/>
      <c r="C40" s="199"/>
    </row>
    <row r="41" spans="1:3">
      <c r="A41" s="200" t="s">
        <v>9</v>
      </c>
      <c r="B41" s="198"/>
      <c r="C41" s="199"/>
    </row>
    <row r="42" spans="1:3">
      <c r="A42" s="200" t="s">
        <v>10</v>
      </c>
      <c r="B42" s="198"/>
      <c r="C42" s="199"/>
    </row>
    <row r="43" spans="1:3">
      <c r="A43" s="200" t="s">
        <v>11</v>
      </c>
      <c r="B43" s="198"/>
      <c r="C43" s="199"/>
    </row>
    <row r="44" spans="1:3">
      <c r="A44" s="200" t="s">
        <v>12</v>
      </c>
      <c r="B44" s="198"/>
      <c r="C44" s="199"/>
    </row>
    <row r="45" spans="1:3">
      <c r="A45" s="200" t="s">
        <v>13</v>
      </c>
      <c r="B45" s="198"/>
      <c r="C45" s="199"/>
    </row>
    <row r="46" spans="1:3" ht="13.5" thickBot="1">
      <c r="A46" s="194" t="s">
        <v>14</v>
      </c>
      <c r="B46" s="201"/>
      <c r="C46" s="202"/>
    </row>
  </sheetData>
  <pageMargins left="0.74803149606299213" right="0.74803149606299213" top="1.2083333333333333" bottom="0.98425196850393704" header="0.51181102362204722" footer="0.51181102362204722"/>
  <pageSetup paperSize="9" orientation="landscape" r:id="rId1"/>
  <headerFooter alignWithMargins="0">
    <oddHeader>&amp;C
DOWNLOAD LIST&amp;RFilename: &amp;F
Date: &amp;D&amp;L&amp;9Machine Number : 84130001
Machine Name : IFC - VL1 - Washer
CU Number : 7000
VU Number : 3920</oddHeader>
    <oddFooter>&amp;LBased on template :&amp;CDownloadList_CUxxxx_A3&amp;RPage &amp;P/&amp;N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pageSetUpPr fitToPage="1"/>
  </sheetPr>
  <dimension ref="A1:AP154"/>
  <sheetViews>
    <sheetView showGridLines="0" topLeftCell="N1" zoomScale="70" zoomScaleNormal="70" workbookViewId="0">
      <selection activeCell="AD27" sqref="AD27"/>
    </sheetView>
  </sheetViews>
  <sheetFormatPr defaultColWidth="13.6640625" defaultRowHeight="12"/>
  <cols>
    <col min="1" max="1" width="15.6640625" style="10" bestFit="1" customWidth="1"/>
    <col min="2" max="2" width="12.6640625" style="10" bestFit="1" customWidth="1"/>
    <col min="3" max="3" width="19.6640625" style="10" bestFit="1" customWidth="1"/>
    <col min="4" max="4" width="14" style="10" bestFit="1" customWidth="1"/>
    <col min="5" max="5" width="15.33203125" style="10" bestFit="1" customWidth="1"/>
    <col min="6" max="6" width="83.6640625" style="10" bestFit="1" customWidth="1"/>
    <col min="7" max="7" width="70.33203125" style="10" bestFit="1" customWidth="1"/>
    <col min="8" max="8" width="89.83203125" style="10" bestFit="1" customWidth="1"/>
    <col min="9" max="9" width="13.1640625" style="10" bestFit="1" customWidth="1"/>
    <col min="10" max="10" width="29.33203125" style="10" bestFit="1" customWidth="1"/>
    <col min="11" max="11" width="15.83203125" style="35" bestFit="1" customWidth="1"/>
    <col min="12" max="12" width="25.83203125" style="35" bestFit="1" customWidth="1"/>
    <col min="13" max="13" width="18.1640625" style="10" customWidth="1"/>
    <col min="14" max="14" width="20.33203125" style="10" bestFit="1" customWidth="1"/>
    <col min="15" max="15" width="12.33203125" style="10" bestFit="1" customWidth="1"/>
    <col min="16" max="16" width="13.1640625" style="10" bestFit="1" customWidth="1"/>
    <col min="17" max="17" width="17.33203125" style="10" bestFit="1" customWidth="1"/>
    <col min="18" max="18" width="18" style="10" bestFit="1" customWidth="1"/>
    <col min="19" max="19" width="18.33203125" style="10" bestFit="1" customWidth="1"/>
    <col min="20" max="20" width="35.33203125" style="10" bestFit="1" customWidth="1"/>
    <col min="21" max="21" width="29.5" style="10" bestFit="1" customWidth="1"/>
    <col min="22" max="22" width="36.33203125" style="20" bestFit="1" customWidth="1"/>
    <col min="23" max="23" width="19.6640625" style="20" bestFit="1" customWidth="1"/>
    <col min="24" max="24" width="13" style="10" bestFit="1" customWidth="1"/>
    <col min="25" max="25" width="10.6640625" style="10" bestFit="1" customWidth="1"/>
    <col min="26" max="26" width="16" style="10" bestFit="1" customWidth="1"/>
    <col min="27" max="27" width="9.1640625" style="10" bestFit="1" customWidth="1"/>
    <col min="28" max="28" width="16" style="10" bestFit="1" customWidth="1"/>
    <col min="29" max="29" width="66.6640625" style="10" bestFit="1" customWidth="1"/>
    <col min="30" max="30" width="101.83203125" style="10" bestFit="1" customWidth="1"/>
    <col min="31" max="31" width="9.83203125" style="10" bestFit="1" customWidth="1"/>
    <col min="32" max="32" width="16" style="10" bestFit="1" customWidth="1"/>
    <col min="33" max="33" width="16.33203125" style="10" bestFit="1" customWidth="1"/>
    <col min="34" max="34" width="15.1640625" style="16" bestFit="1" customWidth="1"/>
    <col min="35" max="35" width="14.5" style="16" bestFit="1" customWidth="1"/>
    <col min="36" max="36" width="61.83203125" style="10" bestFit="1" customWidth="1"/>
    <col min="37" max="37" width="11" style="10" bestFit="1" customWidth="1"/>
    <col min="38" max="39" width="9.33203125" style="10" customWidth="1"/>
    <col min="40" max="40" width="33.6640625" style="10" bestFit="1" customWidth="1"/>
    <col min="41" max="43" width="9.33203125" style="10" customWidth="1"/>
    <col min="44" max="16384" width="13.6640625" style="10"/>
  </cols>
  <sheetData>
    <row r="1" spans="1:42" s="67" customFormat="1" ht="36.75" customHeight="1" thickBot="1">
      <c r="C1" s="68" t="s">
        <v>104</v>
      </c>
      <c r="D1" s="68"/>
      <c r="E1" s="68"/>
      <c r="K1" s="69"/>
      <c r="L1" s="69"/>
      <c r="V1" s="70"/>
      <c r="W1" s="70"/>
      <c r="AH1" s="71"/>
      <c r="AI1" s="71"/>
    </row>
    <row r="2" spans="1:42" s="14" customFormat="1" ht="12.75" thickBot="1">
      <c r="A2" s="204"/>
      <c r="B2" s="82"/>
      <c r="C2" s="73"/>
      <c r="D2" s="73"/>
      <c r="E2" s="73"/>
      <c r="F2" s="74"/>
      <c r="G2" s="74"/>
      <c r="H2" s="75"/>
      <c r="I2" s="76" t="s">
        <v>105</v>
      </c>
      <c r="J2" s="77"/>
      <c r="K2" s="78"/>
      <c r="L2" s="77"/>
      <c r="M2" s="76" t="s">
        <v>106</v>
      </c>
      <c r="N2" s="77"/>
      <c r="O2" s="79"/>
      <c r="P2" s="80"/>
      <c r="Q2" s="81"/>
      <c r="R2" s="81"/>
      <c r="S2" s="81"/>
      <c r="T2" s="168" t="s">
        <v>107</v>
      </c>
      <c r="U2" s="167"/>
      <c r="V2" s="300"/>
      <c r="W2" s="73"/>
      <c r="X2" s="82"/>
      <c r="Y2" s="82"/>
      <c r="Z2" s="83"/>
      <c r="AA2" s="82"/>
      <c r="AB2" s="82"/>
      <c r="AC2" s="84"/>
      <c r="AD2" s="84"/>
      <c r="AE2" s="85"/>
      <c r="AF2" s="74"/>
      <c r="AG2" s="74"/>
      <c r="AH2" s="86"/>
      <c r="AI2" s="87"/>
      <c r="AJ2" s="249"/>
      <c r="AK2" s="240"/>
    </row>
    <row r="3" spans="1:42" s="219" customFormat="1" ht="30" customHeight="1" thickBot="1">
      <c r="A3" s="298" t="s">
        <v>108</v>
      </c>
      <c r="B3" s="237" t="s">
        <v>109</v>
      </c>
      <c r="C3" s="236" t="s">
        <v>110</v>
      </c>
      <c r="D3" s="236" t="s">
        <v>111</v>
      </c>
      <c r="E3" s="236" t="s">
        <v>112</v>
      </c>
      <c r="F3" s="292" t="s">
        <v>113</v>
      </c>
      <c r="G3" s="292" t="s">
        <v>114</v>
      </c>
      <c r="H3" s="237" t="s">
        <v>115</v>
      </c>
      <c r="I3" s="293" t="s">
        <v>116</v>
      </c>
      <c r="J3" s="296" t="s">
        <v>117</v>
      </c>
      <c r="K3" s="293" t="s">
        <v>118</v>
      </c>
      <c r="L3" s="296" t="s">
        <v>119</v>
      </c>
      <c r="M3" s="293" t="s">
        <v>120</v>
      </c>
      <c r="N3" s="294" t="s">
        <v>121</v>
      </c>
      <c r="O3" s="297" t="s">
        <v>122</v>
      </c>
      <c r="P3" s="294" t="s">
        <v>123</v>
      </c>
      <c r="Q3" s="297" t="s">
        <v>119</v>
      </c>
      <c r="R3" s="295" t="s">
        <v>124</v>
      </c>
      <c r="S3" s="295" t="s">
        <v>125</v>
      </c>
      <c r="T3" s="295" t="s">
        <v>126</v>
      </c>
      <c r="U3" s="295" t="s">
        <v>127</v>
      </c>
      <c r="V3" s="236" t="s">
        <v>128</v>
      </c>
      <c r="W3" s="236" t="s">
        <v>129</v>
      </c>
      <c r="X3" s="237" t="s">
        <v>130</v>
      </c>
      <c r="Y3" s="237" t="s">
        <v>131</v>
      </c>
      <c r="Z3" s="237" t="s">
        <v>132</v>
      </c>
      <c r="AA3" s="237" t="s">
        <v>133</v>
      </c>
      <c r="AB3" s="237" t="s">
        <v>134</v>
      </c>
      <c r="AC3" s="237" t="s">
        <v>135</v>
      </c>
      <c r="AD3" s="237" t="s">
        <v>136</v>
      </c>
      <c r="AE3" s="238" t="s">
        <v>137</v>
      </c>
      <c r="AF3" s="239" t="s">
        <v>138</v>
      </c>
      <c r="AG3" s="239" t="s">
        <v>139</v>
      </c>
      <c r="AH3" s="86" t="s">
        <v>140</v>
      </c>
      <c r="AI3" s="87" t="s">
        <v>141</v>
      </c>
      <c r="AJ3" s="250" t="s">
        <v>142</v>
      </c>
      <c r="AK3" s="251" t="s">
        <v>143</v>
      </c>
    </row>
    <row r="4" spans="1:42" s="66" customFormat="1" ht="12.75">
      <c r="A4" s="299"/>
      <c r="B4" s="91" t="s">
        <v>30</v>
      </c>
      <c r="C4" s="62">
        <v>1</v>
      </c>
      <c r="D4" s="376" t="s">
        <v>144</v>
      </c>
      <c r="E4" s="377" t="s">
        <v>144</v>
      </c>
      <c r="F4" s="62" t="s">
        <v>145</v>
      </c>
      <c r="G4" s="62"/>
      <c r="H4" s="62" t="s">
        <v>146</v>
      </c>
      <c r="I4" s="62" t="s">
        <v>147</v>
      </c>
      <c r="J4" s="62" t="s">
        <v>148</v>
      </c>
      <c r="K4" s="378" t="s">
        <v>149</v>
      </c>
      <c r="L4" s="378" t="s">
        <v>150</v>
      </c>
      <c r="M4" s="62"/>
      <c r="N4" s="62"/>
      <c r="O4" s="62"/>
      <c r="P4" s="62"/>
      <c r="Q4" s="62"/>
      <c r="R4" s="62"/>
      <c r="S4" s="62"/>
      <c r="T4" s="62"/>
      <c r="U4" s="62" t="s">
        <v>151</v>
      </c>
      <c r="V4" s="62"/>
      <c r="W4" s="379"/>
      <c r="X4" s="62"/>
      <c r="Y4" s="62" t="s">
        <v>146</v>
      </c>
      <c r="Z4" s="62"/>
      <c r="AA4" s="62"/>
      <c r="AB4" s="62"/>
      <c r="AC4" s="62"/>
      <c r="AD4" s="62"/>
      <c r="AE4" s="91"/>
      <c r="AF4" s="91">
        <v>0</v>
      </c>
      <c r="AG4" s="91">
        <v>1</v>
      </c>
      <c r="AH4" s="91"/>
      <c r="AI4" s="380"/>
      <c r="AJ4" s="380"/>
      <c r="AK4" s="381"/>
      <c r="AM4" s="230"/>
      <c r="AN4" s="187" t="s">
        <v>152</v>
      </c>
      <c r="AO4" s="231"/>
      <c r="AP4" s="231"/>
    </row>
    <row r="5" spans="1:42" s="66" customFormat="1" ht="12.75">
      <c r="A5" s="205"/>
      <c r="B5" s="64" t="s">
        <v>23</v>
      </c>
      <c r="C5" s="61">
        <v>2</v>
      </c>
      <c r="D5" s="64" t="b">
        <v>1</v>
      </c>
      <c r="E5" s="64"/>
      <c r="F5" s="61" t="s">
        <v>153</v>
      </c>
      <c r="G5" s="64"/>
      <c r="H5" s="61" t="s">
        <v>154</v>
      </c>
      <c r="I5" s="61" t="s">
        <v>155</v>
      </c>
      <c r="J5" s="62" t="s">
        <v>156</v>
      </c>
      <c r="K5" s="63" t="s">
        <v>157</v>
      </c>
      <c r="L5" s="378" t="s">
        <v>150</v>
      </c>
      <c r="M5" s="61"/>
      <c r="N5" s="64"/>
      <c r="O5" s="64"/>
      <c r="P5" s="61"/>
      <c r="Q5" s="64"/>
      <c r="R5" s="64"/>
      <c r="S5" s="64"/>
      <c r="T5" s="64"/>
      <c r="U5" s="61" t="s">
        <v>154</v>
      </c>
      <c r="V5" s="64" t="str">
        <f>_xlfn.CONCAT($AH$12,"_",U5)</f>
        <v>3920_SON</v>
      </c>
      <c r="W5" s="379" t="s">
        <v>158</v>
      </c>
      <c r="X5" s="61">
        <v>3920</v>
      </c>
      <c r="Y5" s="61" t="s">
        <v>159</v>
      </c>
      <c r="Z5" s="61" t="s">
        <v>160</v>
      </c>
      <c r="AA5" s="61">
        <v>1</v>
      </c>
      <c r="AB5" s="64" t="s">
        <v>146</v>
      </c>
      <c r="AC5" s="64" t="s">
        <v>161</v>
      </c>
      <c r="AD5" s="61" t="s">
        <v>162</v>
      </c>
      <c r="AE5" s="61" t="s">
        <v>146</v>
      </c>
      <c r="AF5" s="61">
        <v>-999</v>
      </c>
      <c r="AG5" s="61">
        <v>999</v>
      </c>
      <c r="AH5" s="382" t="s">
        <v>163</v>
      </c>
      <c r="AI5" s="383"/>
      <c r="AJ5" s="384"/>
      <c r="AK5" s="385"/>
      <c r="AM5" s="232"/>
      <c r="AN5" s="187" t="s">
        <v>164</v>
      </c>
      <c r="AO5" s="231"/>
      <c r="AP5" s="231"/>
    </row>
    <row r="6" spans="1:42" s="66" customFormat="1" ht="12.75">
      <c r="A6" s="205"/>
      <c r="B6" s="64" t="s">
        <v>23</v>
      </c>
      <c r="C6" s="61">
        <v>3</v>
      </c>
      <c r="D6" s="64" t="b">
        <v>1</v>
      </c>
      <c r="E6" s="64"/>
      <c r="F6" s="61" t="s">
        <v>165</v>
      </c>
      <c r="G6" s="64" t="s">
        <v>130</v>
      </c>
      <c r="H6" s="61" t="s">
        <v>166</v>
      </c>
      <c r="I6" s="61" t="s">
        <v>167</v>
      </c>
      <c r="J6" s="62" t="s">
        <v>168</v>
      </c>
      <c r="K6" s="63" t="s">
        <v>169</v>
      </c>
      <c r="L6" s="378" t="s">
        <v>150</v>
      </c>
      <c r="M6" s="61"/>
      <c r="N6" s="64"/>
      <c r="O6" s="64"/>
      <c r="P6" s="61"/>
      <c r="Q6" s="64"/>
      <c r="R6" s="64"/>
      <c r="S6" s="64"/>
      <c r="T6" s="64"/>
      <c r="U6" s="61" t="s">
        <v>166</v>
      </c>
      <c r="V6" s="64" t="str">
        <f>_xlfn.CONCAT($AH$12,"_",U6)</f>
        <v>3920_INR</v>
      </c>
      <c r="W6" s="358" t="s">
        <v>158</v>
      </c>
      <c r="X6" s="61">
        <v>3920</v>
      </c>
      <c r="Y6" s="61" t="s">
        <v>159</v>
      </c>
      <c r="Z6" s="61" t="s">
        <v>160</v>
      </c>
      <c r="AA6" s="61">
        <v>2</v>
      </c>
      <c r="AB6" s="64" t="s">
        <v>146</v>
      </c>
      <c r="AC6" s="64" t="s">
        <v>161</v>
      </c>
      <c r="AD6" s="61" t="s">
        <v>162</v>
      </c>
      <c r="AE6" s="61" t="s">
        <v>146</v>
      </c>
      <c r="AF6" s="61">
        <v>-999</v>
      </c>
      <c r="AG6" s="61">
        <v>999</v>
      </c>
      <c r="AH6" s="61" t="s">
        <v>166</v>
      </c>
      <c r="AI6" s="384"/>
      <c r="AJ6" s="384"/>
      <c r="AK6" s="385"/>
      <c r="AM6" s="231"/>
      <c r="AN6" s="231"/>
      <c r="AO6" s="231"/>
      <c r="AP6" s="231"/>
    </row>
    <row r="7" spans="1:42" s="66" customFormat="1" ht="12.75">
      <c r="A7" s="205"/>
      <c r="B7" s="64" t="s">
        <v>15</v>
      </c>
      <c r="C7" s="61">
        <v>4</v>
      </c>
      <c r="D7" s="64"/>
      <c r="E7" s="64"/>
      <c r="F7" s="61" t="s">
        <v>170</v>
      </c>
      <c r="G7" s="64"/>
      <c r="H7" s="61" t="s">
        <v>146</v>
      </c>
      <c r="I7" s="61" t="s">
        <v>171</v>
      </c>
      <c r="J7" s="62" t="s">
        <v>172</v>
      </c>
      <c r="K7" s="63" t="s">
        <v>173</v>
      </c>
      <c r="L7" s="378" t="s">
        <v>150</v>
      </c>
      <c r="M7" s="61"/>
      <c r="N7" s="64"/>
      <c r="O7" s="64"/>
      <c r="P7" s="61"/>
      <c r="Q7" s="64"/>
      <c r="R7" s="64"/>
      <c r="S7" s="64"/>
      <c r="T7" s="64"/>
      <c r="U7" s="61" t="s">
        <v>174</v>
      </c>
      <c r="V7" s="64"/>
      <c r="W7" s="358"/>
      <c r="X7" s="61"/>
      <c r="Y7" s="61" t="s">
        <v>146</v>
      </c>
      <c r="Z7" s="61"/>
      <c r="AA7" s="61"/>
      <c r="AB7" s="64"/>
      <c r="AC7" s="64"/>
      <c r="AD7" s="61"/>
      <c r="AE7" s="61"/>
      <c r="AF7" s="61"/>
      <c r="AG7" s="61"/>
      <c r="AH7" s="61"/>
      <c r="AI7" s="384"/>
      <c r="AJ7" s="384"/>
      <c r="AK7" s="385"/>
      <c r="AM7" s="233"/>
      <c r="AN7" s="187" t="s">
        <v>175</v>
      </c>
      <c r="AO7" s="231"/>
      <c r="AP7" s="231"/>
    </row>
    <row r="8" spans="1:42" s="66" customFormat="1" ht="12.75">
      <c r="A8" s="205"/>
      <c r="B8" s="64" t="s">
        <v>23</v>
      </c>
      <c r="C8" s="61">
        <v>5</v>
      </c>
      <c r="D8" s="64"/>
      <c r="E8" s="64"/>
      <c r="F8" s="61" t="s">
        <v>176</v>
      </c>
      <c r="G8" s="64" t="s">
        <v>177</v>
      </c>
      <c r="H8" s="61" t="s">
        <v>178</v>
      </c>
      <c r="I8" s="61" t="s">
        <v>179</v>
      </c>
      <c r="J8" s="62" t="s">
        <v>180</v>
      </c>
      <c r="K8" s="63" t="s">
        <v>181</v>
      </c>
      <c r="L8" s="378" t="s">
        <v>150</v>
      </c>
      <c r="M8" s="61"/>
      <c r="N8" s="64"/>
      <c r="O8" s="64"/>
      <c r="P8" s="61"/>
      <c r="Q8" s="64"/>
      <c r="R8" s="64"/>
      <c r="S8" s="64"/>
      <c r="T8" s="64"/>
      <c r="U8" s="61" t="s">
        <v>182</v>
      </c>
      <c r="V8" s="64" t="s">
        <v>183</v>
      </c>
      <c r="W8" s="358" t="s">
        <v>158</v>
      </c>
      <c r="X8" s="61">
        <v>3920</v>
      </c>
      <c r="Y8" s="61" t="s">
        <v>159</v>
      </c>
      <c r="Z8" s="61" t="s">
        <v>184</v>
      </c>
      <c r="AA8" s="61">
        <v>3</v>
      </c>
      <c r="AB8" s="64" t="s">
        <v>146</v>
      </c>
      <c r="AC8" s="64" t="s">
        <v>161</v>
      </c>
      <c r="AD8" s="61" t="s">
        <v>162</v>
      </c>
      <c r="AE8" s="61"/>
      <c r="AF8" s="61">
        <v>-999</v>
      </c>
      <c r="AG8" s="61">
        <v>999</v>
      </c>
      <c r="AH8" s="61">
        <v>1</v>
      </c>
      <c r="AI8" s="384"/>
      <c r="AJ8" s="384"/>
      <c r="AK8" s="385"/>
      <c r="AM8" s="234"/>
      <c r="AN8" s="187" t="s">
        <v>185</v>
      </c>
      <c r="AO8" s="231"/>
      <c r="AP8" s="231"/>
    </row>
    <row r="9" spans="1:42" s="348" customFormat="1" ht="25.5">
      <c r="A9" s="347"/>
      <c r="B9" s="64" t="s">
        <v>50</v>
      </c>
      <c r="C9" s="61">
        <v>6</v>
      </c>
      <c r="D9" s="64" t="b">
        <v>1</v>
      </c>
      <c r="E9" s="64"/>
      <c r="F9" s="61" t="s">
        <v>186</v>
      </c>
      <c r="G9" s="64" t="s">
        <v>186</v>
      </c>
      <c r="H9" s="61" t="s">
        <v>186</v>
      </c>
      <c r="I9" s="61" t="s">
        <v>187</v>
      </c>
      <c r="J9" s="62" t="s">
        <v>188</v>
      </c>
      <c r="K9" s="386" t="s">
        <v>189</v>
      </c>
      <c r="L9" s="378" t="s">
        <v>150</v>
      </c>
      <c r="M9" s="61"/>
      <c r="N9" s="64"/>
      <c r="O9" s="64"/>
      <c r="P9" s="61"/>
      <c r="Q9" s="64"/>
      <c r="R9" s="64"/>
      <c r="S9" s="64"/>
      <c r="T9" s="64"/>
      <c r="U9" s="61" t="s">
        <v>186</v>
      </c>
      <c r="V9" s="64" t="s">
        <v>190</v>
      </c>
      <c r="W9" s="358" t="s">
        <v>158</v>
      </c>
      <c r="X9" s="61">
        <v>3920</v>
      </c>
      <c r="Y9" s="61" t="s">
        <v>159</v>
      </c>
      <c r="Z9" s="61" t="s">
        <v>160</v>
      </c>
      <c r="AA9" s="61">
        <v>4</v>
      </c>
      <c r="AB9" s="64" t="s">
        <v>146</v>
      </c>
      <c r="AC9" s="64" t="s">
        <v>161</v>
      </c>
      <c r="AD9" s="61" t="s">
        <v>162</v>
      </c>
      <c r="AE9" s="61"/>
      <c r="AF9" s="61">
        <v>0</v>
      </c>
      <c r="AG9" s="61">
        <v>999</v>
      </c>
      <c r="AH9" s="61">
        <v>1</v>
      </c>
      <c r="AI9" s="384"/>
      <c r="AJ9" s="389" t="s">
        <v>191</v>
      </c>
      <c r="AK9" s="390"/>
      <c r="AM9" s="372"/>
      <c r="AN9" s="372"/>
      <c r="AO9" s="372"/>
      <c r="AP9" s="372"/>
    </row>
    <row r="10" spans="1:42" s="66" customFormat="1" ht="12.75">
      <c r="A10" s="205"/>
      <c r="B10" s="64" t="s">
        <v>23</v>
      </c>
      <c r="C10" s="61">
        <v>7</v>
      </c>
      <c r="D10" s="64" t="b">
        <v>1</v>
      </c>
      <c r="E10" s="64"/>
      <c r="F10" s="61" t="s">
        <v>192</v>
      </c>
      <c r="G10" s="64" t="s">
        <v>193</v>
      </c>
      <c r="H10" s="61" t="s">
        <v>194</v>
      </c>
      <c r="I10" s="61" t="s">
        <v>195</v>
      </c>
      <c r="J10" s="62" t="s">
        <v>196</v>
      </c>
      <c r="K10" s="63" t="s">
        <v>197</v>
      </c>
      <c r="L10" s="378" t="s">
        <v>150</v>
      </c>
      <c r="M10" s="61"/>
      <c r="N10" s="64"/>
      <c r="O10" s="64"/>
      <c r="P10" s="61"/>
      <c r="Q10" s="64"/>
      <c r="R10" s="64"/>
      <c r="S10" s="64"/>
      <c r="T10" s="64"/>
      <c r="U10" s="61" t="s">
        <v>198</v>
      </c>
      <c r="V10" s="64" t="s">
        <v>199</v>
      </c>
      <c r="W10" s="358" t="s">
        <v>158</v>
      </c>
      <c r="X10" s="61">
        <v>3920</v>
      </c>
      <c r="Y10" s="61" t="s">
        <v>159</v>
      </c>
      <c r="Z10" s="61" t="s">
        <v>160</v>
      </c>
      <c r="AA10" s="61">
        <v>5</v>
      </c>
      <c r="AB10" s="64" t="s">
        <v>146</v>
      </c>
      <c r="AC10" s="64" t="s">
        <v>161</v>
      </c>
      <c r="AD10" s="61" t="s">
        <v>162</v>
      </c>
      <c r="AE10" s="61" t="s">
        <v>146</v>
      </c>
      <c r="AF10" s="61">
        <v>-999</v>
      </c>
      <c r="AG10" s="61">
        <v>999</v>
      </c>
      <c r="AH10" s="61" t="s">
        <v>4</v>
      </c>
      <c r="AI10" s="384"/>
      <c r="AJ10" s="384"/>
      <c r="AK10" s="385"/>
      <c r="AM10" s="231"/>
      <c r="AN10" s="231"/>
      <c r="AO10" s="231"/>
      <c r="AP10" s="231"/>
    </row>
    <row r="11" spans="1:42" s="66" customFormat="1" ht="12.75">
      <c r="A11" s="205"/>
      <c r="B11" s="64" t="s">
        <v>23</v>
      </c>
      <c r="C11" s="61">
        <v>8</v>
      </c>
      <c r="D11" s="64" t="b">
        <v>1</v>
      </c>
      <c r="E11" s="64"/>
      <c r="F11" s="61" t="s">
        <v>200</v>
      </c>
      <c r="G11" s="64" t="s">
        <v>201</v>
      </c>
      <c r="H11" s="61" t="s">
        <v>202</v>
      </c>
      <c r="I11" s="61" t="s">
        <v>203</v>
      </c>
      <c r="J11" s="62" t="s">
        <v>204</v>
      </c>
      <c r="K11" s="63" t="s">
        <v>157</v>
      </c>
      <c r="L11" s="378" t="s">
        <v>150</v>
      </c>
      <c r="M11" s="61"/>
      <c r="N11" s="64"/>
      <c r="O11" s="64"/>
      <c r="P11" s="61"/>
      <c r="Q11" s="64"/>
      <c r="R11" s="64"/>
      <c r="S11" s="64"/>
      <c r="T11" s="64"/>
      <c r="U11" s="61" t="s">
        <v>202</v>
      </c>
      <c r="V11" s="64" t="str">
        <f>_xlfn.CONCAT($AH$12,"_",U11)</f>
        <v>3920_LNR</v>
      </c>
      <c r="W11" s="358" t="s">
        <v>158</v>
      </c>
      <c r="X11" s="61">
        <v>3920</v>
      </c>
      <c r="Y11" s="61" t="s">
        <v>159</v>
      </c>
      <c r="Z11" s="61" t="s">
        <v>160</v>
      </c>
      <c r="AA11" s="61">
        <v>6</v>
      </c>
      <c r="AB11" s="64" t="s">
        <v>146</v>
      </c>
      <c r="AC11" s="64" t="s">
        <v>161</v>
      </c>
      <c r="AD11" s="61" t="s">
        <v>162</v>
      </c>
      <c r="AE11" s="61" t="s">
        <v>146</v>
      </c>
      <c r="AF11" s="61">
        <v>-999</v>
      </c>
      <c r="AG11" s="61">
        <v>999</v>
      </c>
      <c r="AH11" s="61" t="s">
        <v>205</v>
      </c>
      <c r="AI11" s="384"/>
      <c r="AJ11" s="384"/>
      <c r="AK11" s="385"/>
    </row>
    <row r="12" spans="1:42" s="66" customFormat="1" ht="12.75">
      <c r="A12" s="205"/>
      <c r="B12" s="64" t="s">
        <v>23</v>
      </c>
      <c r="C12" s="61">
        <v>9</v>
      </c>
      <c r="D12" s="64" t="b">
        <v>1</v>
      </c>
      <c r="E12" s="64"/>
      <c r="F12" s="61" t="s">
        <v>206</v>
      </c>
      <c r="G12" s="64" t="s">
        <v>130</v>
      </c>
      <c r="H12" s="61" t="s">
        <v>130</v>
      </c>
      <c r="I12" s="61" t="s">
        <v>207</v>
      </c>
      <c r="J12" s="62" t="s">
        <v>208</v>
      </c>
      <c r="K12" s="386" t="s">
        <v>189</v>
      </c>
      <c r="L12" s="378" t="s">
        <v>150</v>
      </c>
      <c r="M12" s="61"/>
      <c r="N12" s="64"/>
      <c r="O12" s="64"/>
      <c r="P12" s="61"/>
      <c r="Q12" s="64"/>
      <c r="R12" s="64"/>
      <c r="S12" s="64"/>
      <c r="T12" s="64"/>
      <c r="U12" s="61" t="s">
        <v>130</v>
      </c>
      <c r="V12" s="64" t="str">
        <f>_xlfn.CONCAT($AH$12,"_",U12)</f>
        <v>3920_VU</v>
      </c>
      <c r="W12" s="358" t="s">
        <v>158</v>
      </c>
      <c r="X12" s="61">
        <v>3920</v>
      </c>
      <c r="Y12" s="61" t="s">
        <v>159</v>
      </c>
      <c r="Z12" s="61" t="s">
        <v>160</v>
      </c>
      <c r="AA12" s="61">
        <v>7</v>
      </c>
      <c r="AB12" s="64" t="s">
        <v>146</v>
      </c>
      <c r="AC12" s="64" t="s">
        <v>161</v>
      </c>
      <c r="AD12" s="61" t="s">
        <v>162</v>
      </c>
      <c r="AE12" s="61"/>
      <c r="AF12" s="61">
        <v>0</v>
      </c>
      <c r="AG12" s="61">
        <v>9999</v>
      </c>
      <c r="AH12" s="61">
        <v>3920</v>
      </c>
      <c r="AI12" s="384"/>
      <c r="AJ12" s="384"/>
      <c r="AK12" s="385"/>
    </row>
    <row r="13" spans="1:42" s="66" customFormat="1" ht="12.75" customHeight="1">
      <c r="A13" s="205"/>
      <c r="B13" s="64" t="s">
        <v>23</v>
      </c>
      <c r="C13" s="61">
        <v>10</v>
      </c>
      <c r="D13" s="64"/>
      <c r="E13" s="64"/>
      <c r="F13" s="61" t="s">
        <v>209</v>
      </c>
      <c r="G13" s="64"/>
      <c r="H13" s="64" t="s">
        <v>210</v>
      </c>
      <c r="I13" s="61" t="s">
        <v>211</v>
      </c>
      <c r="J13" s="62" t="s">
        <v>212</v>
      </c>
      <c r="K13" s="63" t="s">
        <v>149</v>
      </c>
      <c r="L13" s="378" t="s">
        <v>150</v>
      </c>
      <c r="M13" s="61"/>
      <c r="N13" s="64"/>
      <c r="O13" s="64"/>
      <c r="P13" s="61"/>
      <c r="Q13" s="65"/>
      <c r="R13" s="65"/>
      <c r="S13" s="65"/>
      <c r="T13" s="65"/>
      <c r="U13" s="65" t="s">
        <v>213</v>
      </c>
      <c r="V13" s="387" t="str">
        <f>_xlfn.CONCAT($AH$12,"_",U13)</f>
        <v>3920_UL_DL_alarms</v>
      </c>
      <c r="W13" s="358" t="s">
        <v>158</v>
      </c>
      <c r="X13" s="61">
        <v>3920</v>
      </c>
      <c r="Y13" s="61" t="s">
        <v>146</v>
      </c>
      <c r="Z13" s="61" t="s">
        <v>184</v>
      </c>
      <c r="AA13" s="61">
        <v>5</v>
      </c>
      <c r="AB13" s="64" t="s">
        <v>146</v>
      </c>
      <c r="AC13" s="64" t="s">
        <v>161</v>
      </c>
      <c r="AD13" s="61" t="s">
        <v>162</v>
      </c>
      <c r="AE13" s="61"/>
      <c r="AF13" s="61"/>
      <c r="AG13" s="61"/>
      <c r="AH13" s="61"/>
      <c r="AI13" s="384"/>
      <c r="AJ13" s="384"/>
      <c r="AK13" s="385"/>
    </row>
    <row r="14" spans="1:42" s="303" customFormat="1" ht="12.75" customHeight="1">
      <c r="A14" s="205"/>
      <c r="B14" s="64" t="s">
        <v>15</v>
      </c>
      <c r="C14" s="61">
        <v>11</v>
      </c>
      <c r="D14" s="64"/>
      <c r="E14" s="64"/>
      <c r="F14" s="357"/>
      <c r="G14" s="357"/>
      <c r="H14" s="64"/>
      <c r="I14" s="64"/>
      <c r="J14" s="62"/>
      <c r="K14" s="62"/>
      <c r="L14" s="57"/>
      <c r="M14" s="64"/>
      <c r="N14" s="64"/>
      <c r="O14" s="64"/>
      <c r="P14" s="64"/>
      <c r="Q14" s="65"/>
      <c r="R14" s="65"/>
      <c r="S14" s="65"/>
      <c r="T14" s="65"/>
      <c r="U14" s="65"/>
      <c r="V14" s="64"/>
      <c r="W14" s="358"/>
      <c r="X14" s="64"/>
      <c r="Y14" s="64"/>
      <c r="Z14" s="64"/>
      <c r="AA14" s="64"/>
      <c r="AB14" s="62"/>
      <c r="AC14" s="64"/>
      <c r="AD14" s="61"/>
      <c r="AE14" s="359"/>
      <c r="AF14" s="360"/>
      <c r="AG14" s="360"/>
      <c r="AH14" s="360"/>
      <c r="AI14" s="361"/>
      <c r="AJ14" s="358"/>
      <c r="AK14" s="362"/>
    </row>
    <row r="15" spans="1:42" s="348" customFormat="1" ht="12.75" customHeight="1">
      <c r="A15" s="205"/>
      <c r="B15" s="64" t="s">
        <v>54</v>
      </c>
      <c r="C15" s="61">
        <v>12</v>
      </c>
      <c r="D15" s="64" t="b">
        <v>1</v>
      </c>
      <c r="E15" s="64"/>
      <c r="F15" s="357" t="s">
        <v>214</v>
      </c>
      <c r="G15" s="357" t="s">
        <v>215</v>
      </c>
      <c r="H15" s="65" t="s">
        <v>216</v>
      </c>
      <c r="I15" s="64" t="s">
        <v>217</v>
      </c>
      <c r="J15" s="65" t="s">
        <v>218</v>
      </c>
      <c r="K15" s="64" t="s">
        <v>219</v>
      </c>
      <c r="L15" s="103"/>
      <c r="M15" s="64"/>
      <c r="N15" s="64"/>
      <c r="O15" s="64"/>
      <c r="P15" s="64"/>
      <c r="Q15" s="65"/>
      <c r="R15" s="65"/>
      <c r="S15" s="65"/>
      <c r="T15" s="65"/>
      <c r="U15" s="65" t="s">
        <v>220</v>
      </c>
      <c r="V15" s="64" t="s">
        <v>221</v>
      </c>
      <c r="W15" s="358" t="s">
        <v>222</v>
      </c>
      <c r="X15" s="61">
        <v>3920</v>
      </c>
      <c r="Y15" s="65" t="s">
        <v>223</v>
      </c>
      <c r="Z15" s="64" t="s">
        <v>224</v>
      </c>
      <c r="AA15" s="64">
        <v>1</v>
      </c>
      <c r="AB15" s="64" t="s">
        <v>225</v>
      </c>
      <c r="AC15" s="64" t="s">
        <v>161</v>
      </c>
      <c r="AD15" s="61" t="s">
        <v>226</v>
      </c>
      <c r="AE15" s="359" t="s">
        <v>227</v>
      </c>
      <c r="AF15" s="360">
        <v>5</v>
      </c>
      <c r="AG15" s="360">
        <v>100</v>
      </c>
      <c r="AH15" s="360">
        <f>AF15</f>
        <v>5</v>
      </c>
      <c r="AI15" s="361"/>
      <c r="AJ15" s="384"/>
      <c r="AK15" s="374"/>
    </row>
    <row r="16" spans="1:42" s="348" customFormat="1" ht="12.75" customHeight="1">
      <c r="A16" s="205"/>
      <c r="B16" s="64" t="s">
        <v>54</v>
      </c>
      <c r="C16" s="61">
        <v>13</v>
      </c>
      <c r="D16" s="64" t="b">
        <v>1</v>
      </c>
      <c r="E16" s="64"/>
      <c r="F16" s="357" t="s">
        <v>228</v>
      </c>
      <c r="G16" s="357" t="s">
        <v>229</v>
      </c>
      <c r="H16" s="65" t="s">
        <v>230</v>
      </c>
      <c r="I16" s="64" t="s">
        <v>231</v>
      </c>
      <c r="J16" s="65" t="s">
        <v>232</v>
      </c>
      <c r="K16" s="64" t="s">
        <v>219</v>
      </c>
      <c r="L16" s="57"/>
      <c r="M16" s="64"/>
      <c r="N16" s="64"/>
      <c r="O16" s="64"/>
      <c r="P16" s="64"/>
      <c r="Q16" s="65"/>
      <c r="R16" s="65"/>
      <c r="S16" s="65"/>
      <c r="T16" s="65"/>
      <c r="U16" s="65" t="s">
        <v>233</v>
      </c>
      <c r="V16" s="64" t="s">
        <v>234</v>
      </c>
      <c r="W16" s="358" t="s">
        <v>235</v>
      </c>
      <c r="X16" s="61">
        <v>3920</v>
      </c>
      <c r="Y16" s="65" t="s">
        <v>223</v>
      </c>
      <c r="Z16" s="64" t="s">
        <v>224</v>
      </c>
      <c r="AA16" s="64">
        <v>2</v>
      </c>
      <c r="AB16" s="64" t="s">
        <v>225</v>
      </c>
      <c r="AC16" s="64" t="s">
        <v>161</v>
      </c>
      <c r="AD16" s="61" t="s">
        <v>226</v>
      </c>
      <c r="AE16" s="359" t="s">
        <v>227</v>
      </c>
      <c r="AF16" s="360">
        <v>5</v>
      </c>
      <c r="AG16" s="360">
        <v>100</v>
      </c>
      <c r="AH16" s="360">
        <f>AF16</f>
        <v>5</v>
      </c>
      <c r="AI16" s="361"/>
      <c r="AJ16" s="384"/>
      <c r="AK16" s="374"/>
    </row>
    <row r="17" spans="1:37" s="66" customFormat="1" ht="12.75" customHeight="1">
      <c r="A17" s="205"/>
      <c r="B17" s="64" t="s">
        <v>50</v>
      </c>
      <c r="C17" s="61">
        <v>14</v>
      </c>
      <c r="D17" s="64"/>
      <c r="E17" s="64"/>
      <c r="F17" s="357" t="s">
        <v>236</v>
      </c>
      <c r="G17" s="357" t="s">
        <v>237</v>
      </c>
      <c r="H17" s="65" t="s">
        <v>237</v>
      </c>
      <c r="I17" s="64" t="s">
        <v>238</v>
      </c>
      <c r="J17" s="65" t="s">
        <v>239</v>
      </c>
      <c r="K17" s="64" t="s">
        <v>219</v>
      </c>
      <c r="L17" s="57"/>
      <c r="M17" s="64"/>
      <c r="N17" s="64"/>
      <c r="O17" s="64"/>
      <c r="P17" s="64"/>
      <c r="Q17" s="65"/>
      <c r="R17" s="65"/>
      <c r="S17" s="65"/>
      <c r="T17" s="65"/>
      <c r="U17" s="65"/>
      <c r="V17" s="64"/>
      <c r="W17" s="358"/>
      <c r="X17" s="64"/>
      <c r="Y17" s="65"/>
      <c r="Z17" s="64"/>
      <c r="AA17" s="64"/>
      <c r="AB17" s="64"/>
      <c r="AC17" s="64"/>
      <c r="AD17" s="61"/>
      <c r="AE17" s="359"/>
      <c r="AF17" s="360"/>
      <c r="AG17" s="360"/>
      <c r="AH17" s="360"/>
      <c r="AI17" s="361"/>
      <c r="AJ17" s="384"/>
      <c r="AK17" s="385"/>
    </row>
    <row r="18" spans="1:37" s="66" customFormat="1" ht="12.75" customHeight="1">
      <c r="A18" s="205"/>
      <c r="B18" s="64" t="s">
        <v>50</v>
      </c>
      <c r="C18" s="61">
        <v>15</v>
      </c>
      <c r="D18" s="64"/>
      <c r="E18" s="64"/>
      <c r="F18" s="357"/>
      <c r="G18" s="357"/>
      <c r="H18" s="65"/>
      <c r="I18" s="64" t="s">
        <v>240</v>
      </c>
      <c r="J18" s="65" t="s">
        <v>241</v>
      </c>
      <c r="K18" s="64" t="s">
        <v>219</v>
      </c>
      <c r="L18" s="57"/>
      <c r="M18" s="64"/>
      <c r="N18" s="64"/>
      <c r="O18" s="64"/>
      <c r="P18" s="64"/>
      <c r="Q18" s="65"/>
      <c r="R18" s="65"/>
      <c r="S18" s="65"/>
      <c r="T18" s="65"/>
      <c r="U18" s="65"/>
      <c r="V18" s="64"/>
      <c r="W18" s="358"/>
      <c r="X18" s="64"/>
      <c r="Y18" s="65"/>
      <c r="Z18" s="64"/>
      <c r="AA18" s="64"/>
      <c r="AB18" s="64"/>
      <c r="AC18" s="64"/>
      <c r="AD18" s="61"/>
      <c r="AE18" s="359"/>
      <c r="AF18" s="360"/>
      <c r="AG18" s="360"/>
      <c r="AH18" s="360"/>
      <c r="AI18" s="361"/>
      <c r="AJ18" s="384"/>
      <c r="AK18" s="385"/>
    </row>
    <row r="19" spans="1:37" s="66" customFormat="1" ht="12.75" customHeight="1">
      <c r="A19" s="205"/>
      <c r="B19" s="64" t="s">
        <v>50</v>
      </c>
      <c r="C19" s="61">
        <v>16</v>
      </c>
      <c r="D19" s="64"/>
      <c r="E19" s="64"/>
      <c r="F19" s="357"/>
      <c r="G19" s="357"/>
      <c r="H19" s="65"/>
      <c r="I19" s="64" t="s">
        <v>242</v>
      </c>
      <c r="J19" s="65" t="s">
        <v>243</v>
      </c>
      <c r="K19" s="64" t="s">
        <v>219</v>
      </c>
      <c r="L19" s="57"/>
      <c r="M19" s="64"/>
      <c r="N19" s="64"/>
      <c r="O19" s="64"/>
      <c r="P19" s="64"/>
      <c r="Q19" s="65"/>
      <c r="R19" s="65"/>
      <c r="S19" s="65"/>
      <c r="T19" s="65"/>
      <c r="U19" s="65"/>
      <c r="V19" s="64"/>
      <c r="W19" s="358"/>
      <c r="X19" s="64"/>
      <c r="Y19" s="65"/>
      <c r="Z19" s="64"/>
      <c r="AA19" s="64"/>
      <c r="AB19" s="64"/>
      <c r="AC19" s="64"/>
      <c r="AD19" s="61"/>
      <c r="AE19" s="359"/>
      <c r="AF19" s="360"/>
      <c r="AG19" s="360"/>
      <c r="AH19" s="360"/>
      <c r="AI19" s="361"/>
      <c r="AJ19" s="384"/>
      <c r="AK19" s="385"/>
    </row>
    <row r="20" spans="1:37" s="348" customFormat="1" ht="12.75" customHeight="1">
      <c r="A20" s="205"/>
      <c r="B20" s="64" t="s">
        <v>54</v>
      </c>
      <c r="C20" s="61">
        <v>17</v>
      </c>
      <c r="D20" s="64" t="b">
        <v>1</v>
      </c>
      <c r="E20" s="64"/>
      <c r="F20" s="357" t="s">
        <v>244</v>
      </c>
      <c r="G20" s="357" t="s">
        <v>245</v>
      </c>
      <c r="H20" s="65" t="s">
        <v>246</v>
      </c>
      <c r="I20" s="64" t="s">
        <v>247</v>
      </c>
      <c r="J20" s="65" t="s">
        <v>248</v>
      </c>
      <c r="K20" s="64" t="s">
        <v>219</v>
      </c>
      <c r="L20" s="57"/>
      <c r="M20" s="64" t="s">
        <v>249</v>
      </c>
      <c r="N20" s="64" t="s">
        <v>250</v>
      </c>
      <c r="O20" s="64"/>
      <c r="P20" s="64" t="s">
        <v>251</v>
      </c>
      <c r="Q20" s="65"/>
      <c r="R20" s="65"/>
      <c r="S20" s="65"/>
      <c r="T20" s="65"/>
      <c r="U20" s="65" t="s">
        <v>252</v>
      </c>
      <c r="V20" s="64" t="s">
        <v>253</v>
      </c>
      <c r="W20" s="358" t="s">
        <v>222</v>
      </c>
      <c r="X20" s="61">
        <v>3920</v>
      </c>
      <c r="Y20" s="65" t="s">
        <v>223</v>
      </c>
      <c r="Z20" s="64" t="s">
        <v>224</v>
      </c>
      <c r="AA20" s="64">
        <v>3</v>
      </c>
      <c r="AB20" s="64" t="s">
        <v>225</v>
      </c>
      <c r="AC20" s="64" t="s">
        <v>161</v>
      </c>
      <c r="AD20" s="61" t="s">
        <v>226</v>
      </c>
      <c r="AE20" s="359" t="s">
        <v>227</v>
      </c>
      <c r="AF20" s="360">
        <v>10</v>
      </c>
      <c r="AG20" s="360">
        <v>100</v>
      </c>
      <c r="AH20" s="360">
        <f>AF20</f>
        <v>10</v>
      </c>
      <c r="AI20" s="361"/>
      <c r="AJ20" s="384"/>
      <c r="AK20" s="374"/>
    </row>
    <row r="21" spans="1:37" s="66" customFormat="1" ht="12.75" customHeight="1">
      <c r="A21" s="205"/>
      <c r="B21" s="64" t="s">
        <v>50</v>
      </c>
      <c r="C21" s="61">
        <v>18</v>
      </c>
      <c r="D21" s="64"/>
      <c r="E21" s="64"/>
      <c r="F21" s="357"/>
      <c r="G21" s="357"/>
      <c r="H21" s="65"/>
      <c r="I21" s="64" t="s">
        <v>254</v>
      </c>
      <c r="J21" s="65" t="s">
        <v>255</v>
      </c>
      <c r="K21" s="64" t="s">
        <v>219</v>
      </c>
      <c r="L21" s="57"/>
      <c r="M21" s="64"/>
      <c r="N21" s="64"/>
      <c r="O21" s="64"/>
      <c r="P21" s="64"/>
      <c r="Q21" s="65"/>
      <c r="R21" s="65"/>
      <c r="S21" s="65"/>
      <c r="T21" s="65"/>
      <c r="U21" s="65"/>
      <c r="V21" s="64"/>
      <c r="W21" s="358"/>
      <c r="X21" s="64"/>
      <c r="Y21" s="65"/>
      <c r="Z21" s="64"/>
      <c r="AA21" s="64"/>
      <c r="AB21" s="64"/>
      <c r="AC21" s="64"/>
      <c r="AD21" s="61"/>
      <c r="AE21" s="359"/>
      <c r="AF21" s="360"/>
      <c r="AG21" s="360"/>
      <c r="AH21" s="360"/>
      <c r="AI21" s="361"/>
      <c r="AJ21" s="384"/>
      <c r="AK21" s="385"/>
    </row>
    <row r="22" spans="1:37" s="66" customFormat="1" ht="12.75" customHeight="1">
      <c r="A22" s="205"/>
      <c r="B22" s="64" t="s">
        <v>50</v>
      </c>
      <c r="C22" s="61">
        <v>19</v>
      </c>
      <c r="D22" s="64"/>
      <c r="E22" s="64"/>
      <c r="F22" s="357"/>
      <c r="G22" s="357"/>
      <c r="H22" s="65"/>
      <c r="I22" s="64" t="s">
        <v>256</v>
      </c>
      <c r="J22" s="65" t="s">
        <v>257</v>
      </c>
      <c r="K22" s="64" t="s">
        <v>219</v>
      </c>
      <c r="L22" s="57"/>
      <c r="M22" s="64"/>
      <c r="N22" s="64"/>
      <c r="O22" s="64"/>
      <c r="P22" s="64"/>
      <c r="Q22" s="65"/>
      <c r="R22" s="65"/>
      <c r="S22" s="65"/>
      <c r="T22" s="65"/>
      <c r="U22" s="65"/>
      <c r="V22" s="64"/>
      <c r="W22" s="358"/>
      <c r="X22" s="64"/>
      <c r="Y22" s="65"/>
      <c r="Z22" s="64"/>
      <c r="AA22" s="64"/>
      <c r="AB22" s="64"/>
      <c r="AC22" s="64"/>
      <c r="AD22" s="61"/>
      <c r="AE22" s="359"/>
      <c r="AF22" s="360"/>
      <c r="AG22" s="360"/>
      <c r="AH22" s="360"/>
      <c r="AI22" s="361"/>
      <c r="AJ22" s="384"/>
      <c r="AK22" s="385"/>
    </row>
    <row r="23" spans="1:37" s="348" customFormat="1" ht="12.75" customHeight="1">
      <c r="A23" s="205"/>
      <c r="B23" s="64" t="s">
        <v>54</v>
      </c>
      <c r="C23" s="61">
        <v>20</v>
      </c>
      <c r="D23" s="64" t="b">
        <v>1</v>
      </c>
      <c r="E23" s="64"/>
      <c r="F23" s="357" t="s">
        <v>258</v>
      </c>
      <c r="G23" s="357" t="s">
        <v>259</v>
      </c>
      <c r="H23" s="65" t="s">
        <v>260</v>
      </c>
      <c r="I23" s="64" t="s">
        <v>261</v>
      </c>
      <c r="J23" s="65" t="s">
        <v>262</v>
      </c>
      <c r="K23" s="64" t="s">
        <v>219</v>
      </c>
      <c r="L23" s="57"/>
      <c r="M23" s="64" t="s">
        <v>249</v>
      </c>
      <c r="N23" s="64" t="s">
        <v>263</v>
      </c>
      <c r="O23" s="64"/>
      <c r="P23" s="64" t="s">
        <v>251</v>
      </c>
      <c r="Q23" s="65"/>
      <c r="R23" s="65"/>
      <c r="S23" s="65"/>
      <c r="T23" s="65"/>
      <c r="U23" s="65" t="s">
        <v>264</v>
      </c>
      <c r="V23" s="64" t="s">
        <v>265</v>
      </c>
      <c r="W23" s="358" t="s">
        <v>222</v>
      </c>
      <c r="X23" s="61">
        <v>3920</v>
      </c>
      <c r="Y23" s="65" t="s">
        <v>223</v>
      </c>
      <c r="Z23" s="64" t="s">
        <v>224</v>
      </c>
      <c r="AA23" s="64">
        <v>4</v>
      </c>
      <c r="AB23" s="64" t="s">
        <v>225</v>
      </c>
      <c r="AC23" s="64" t="s">
        <v>161</v>
      </c>
      <c r="AD23" s="61" t="s">
        <v>226</v>
      </c>
      <c r="AE23" s="359" t="s">
        <v>227</v>
      </c>
      <c r="AF23" s="360">
        <v>5</v>
      </c>
      <c r="AG23" s="360">
        <v>100</v>
      </c>
      <c r="AH23" s="360">
        <f>AF23</f>
        <v>5</v>
      </c>
      <c r="AI23" s="361"/>
      <c r="AJ23" s="384"/>
      <c r="AK23" s="374"/>
    </row>
    <row r="24" spans="1:37" s="66" customFormat="1" ht="12.75" customHeight="1">
      <c r="A24" s="205"/>
      <c r="B24" s="64" t="s">
        <v>50</v>
      </c>
      <c r="C24" s="61">
        <v>21</v>
      </c>
      <c r="D24" s="64"/>
      <c r="E24" s="65"/>
      <c r="F24" s="355"/>
      <c r="G24" s="355"/>
      <c r="H24" s="65"/>
      <c r="I24" s="65"/>
      <c r="J24" s="65" t="s">
        <v>266</v>
      </c>
      <c r="K24" s="65"/>
      <c r="L24" s="350"/>
      <c r="M24" s="65"/>
      <c r="N24" s="65"/>
      <c r="O24" s="65"/>
      <c r="P24" s="65"/>
      <c r="Q24" s="65"/>
      <c r="R24" s="65"/>
      <c r="S24" s="65"/>
      <c r="T24" s="65"/>
      <c r="U24" s="65"/>
      <c r="V24" s="64"/>
      <c r="W24" s="358"/>
      <c r="X24" s="61"/>
      <c r="Y24" s="65"/>
      <c r="Z24" s="64"/>
      <c r="AA24" s="65"/>
      <c r="AB24" s="64"/>
      <c r="AC24" s="64"/>
      <c r="AD24" s="64"/>
      <c r="AE24" s="353"/>
      <c r="AF24" s="354"/>
      <c r="AG24" s="354"/>
      <c r="AH24" s="354"/>
      <c r="AI24" s="356"/>
      <c r="AJ24" s="363"/>
      <c r="AK24" s="385"/>
    </row>
    <row r="25" spans="1:37" s="348" customFormat="1" ht="12.75" customHeight="1">
      <c r="A25" s="205"/>
      <c r="B25" s="64" t="s">
        <v>54</v>
      </c>
      <c r="C25" s="61">
        <v>22</v>
      </c>
      <c r="D25" s="64" t="b">
        <v>1</v>
      </c>
      <c r="E25" s="65"/>
      <c r="F25" s="355" t="s">
        <v>267</v>
      </c>
      <c r="G25" s="355" t="s">
        <v>268</v>
      </c>
      <c r="H25" s="65" t="s">
        <v>269</v>
      </c>
      <c r="I25" s="65" t="s">
        <v>270</v>
      </c>
      <c r="J25" s="65" t="s">
        <v>271</v>
      </c>
      <c r="K25" s="65" t="s">
        <v>219</v>
      </c>
      <c r="L25" s="350"/>
      <c r="M25" s="65"/>
      <c r="N25" s="65"/>
      <c r="O25" s="65"/>
      <c r="P25" s="65"/>
      <c r="Q25" s="65"/>
      <c r="R25" s="65"/>
      <c r="S25" s="65"/>
      <c r="T25" s="65" t="s">
        <v>272</v>
      </c>
      <c r="U25" s="65" t="s">
        <v>273</v>
      </c>
      <c r="V25" s="64" t="s">
        <v>274</v>
      </c>
      <c r="W25" s="358" t="s">
        <v>222</v>
      </c>
      <c r="X25" s="61">
        <v>3920</v>
      </c>
      <c r="Y25" s="65" t="s">
        <v>275</v>
      </c>
      <c r="Z25" s="64" t="s">
        <v>224</v>
      </c>
      <c r="AA25" s="65">
        <v>6</v>
      </c>
      <c r="AB25" s="64" t="s">
        <v>225</v>
      </c>
      <c r="AC25" s="64" t="s">
        <v>161</v>
      </c>
      <c r="AD25" s="61" t="s">
        <v>276</v>
      </c>
      <c r="AE25" s="353" t="s">
        <v>227</v>
      </c>
      <c r="AF25" s="354">
        <v>10</v>
      </c>
      <c r="AG25" s="354">
        <v>100</v>
      </c>
      <c r="AH25" s="354">
        <f>AF25</f>
        <v>10</v>
      </c>
      <c r="AI25" s="356"/>
      <c r="AJ25" s="363"/>
      <c r="AK25" s="374"/>
    </row>
    <row r="26" spans="1:37" s="66" customFormat="1" ht="12.75" customHeight="1">
      <c r="A26" s="205"/>
      <c r="B26" s="64" t="s">
        <v>50</v>
      </c>
      <c r="C26" s="61">
        <v>23</v>
      </c>
      <c r="D26" s="65"/>
      <c r="E26" s="65"/>
      <c r="F26" s="355"/>
      <c r="G26" s="355"/>
      <c r="H26" s="65"/>
      <c r="I26" s="65"/>
      <c r="J26" s="65" t="s">
        <v>277</v>
      </c>
      <c r="K26" s="65"/>
      <c r="L26" s="350"/>
      <c r="M26" s="65"/>
      <c r="N26" s="65"/>
      <c r="O26" s="65"/>
      <c r="P26" s="65"/>
      <c r="Q26" s="65"/>
      <c r="R26" s="65"/>
      <c r="S26" s="65"/>
      <c r="T26" s="65"/>
      <c r="U26" s="65"/>
      <c r="V26" s="64"/>
      <c r="W26" s="351"/>
      <c r="X26" s="65"/>
      <c r="Y26" s="65"/>
      <c r="Z26" s="64"/>
      <c r="AA26" s="65"/>
      <c r="AB26" s="65"/>
      <c r="AC26" s="64"/>
      <c r="AD26" s="61"/>
      <c r="AE26" s="353"/>
      <c r="AF26" s="354"/>
      <c r="AG26" s="354"/>
      <c r="AH26" s="354"/>
      <c r="AI26" s="356"/>
      <c r="AJ26" s="363"/>
      <c r="AK26" s="385"/>
    </row>
    <row r="27" spans="1:37" s="348" customFormat="1" ht="12.75" customHeight="1">
      <c r="A27" s="205"/>
      <c r="B27" s="64" t="s">
        <v>54</v>
      </c>
      <c r="C27" s="61">
        <v>24</v>
      </c>
      <c r="D27" s="64" t="b">
        <v>1</v>
      </c>
      <c r="E27" s="65"/>
      <c r="F27" s="355" t="s">
        <v>278</v>
      </c>
      <c r="G27" s="355" t="s">
        <v>279</v>
      </c>
      <c r="H27" s="65" t="s">
        <v>280</v>
      </c>
      <c r="I27" s="65" t="s">
        <v>281</v>
      </c>
      <c r="J27" s="65" t="s">
        <v>282</v>
      </c>
      <c r="K27" s="65" t="s">
        <v>157</v>
      </c>
      <c r="L27" s="350"/>
      <c r="M27" s="65"/>
      <c r="N27" s="65"/>
      <c r="O27" s="65"/>
      <c r="P27" s="65"/>
      <c r="Q27" s="65"/>
      <c r="R27" s="65"/>
      <c r="S27" s="65"/>
      <c r="T27" s="65" t="s">
        <v>272</v>
      </c>
      <c r="U27" s="65" t="s">
        <v>283</v>
      </c>
      <c r="V27" s="64" t="s">
        <v>284</v>
      </c>
      <c r="W27" s="358" t="s">
        <v>222</v>
      </c>
      <c r="X27" s="61">
        <v>3920</v>
      </c>
      <c r="Y27" s="65" t="s">
        <v>275</v>
      </c>
      <c r="Z27" s="64" t="s">
        <v>160</v>
      </c>
      <c r="AA27" s="65">
        <v>8</v>
      </c>
      <c r="AB27" s="64" t="s">
        <v>225</v>
      </c>
      <c r="AC27" s="64" t="s">
        <v>161</v>
      </c>
      <c r="AD27" s="61" t="s">
        <v>285</v>
      </c>
      <c r="AE27" s="353" t="s">
        <v>146</v>
      </c>
      <c r="AF27" s="354"/>
      <c r="AG27" s="354"/>
      <c r="AH27" s="354" t="s">
        <v>286</v>
      </c>
      <c r="AI27" s="356"/>
      <c r="AJ27" s="363"/>
      <c r="AK27" s="374"/>
    </row>
    <row r="28" spans="1:37" s="348" customFormat="1" ht="12.75" customHeight="1">
      <c r="A28" s="205"/>
      <c r="B28" s="64" t="s">
        <v>54</v>
      </c>
      <c r="C28" s="61">
        <v>25</v>
      </c>
      <c r="D28" s="64" t="b">
        <v>1</v>
      </c>
      <c r="E28" s="65"/>
      <c r="F28" s="355" t="s">
        <v>287</v>
      </c>
      <c r="G28" s="355" t="s">
        <v>288</v>
      </c>
      <c r="H28" s="65" t="s">
        <v>289</v>
      </c>
      <c r="I28" s="65" t="s">
        <v>290</v>
      </c>
      <c r="J28" s="65" t="s">
        <v>291</v>
      </c>
      <c r="K28" s="65" t="s">
        <v>219</v>
      </c>
      <c r="L28" s="350"/>
      <c r="M28" s="65"/>
      <c r="N28" s="65"/>
      <c r="O28" s="65"/>
      <c r="P28" s="65"/>
      <c r="Q28" s="65"/>
      <c r="R28" s="65"/>
      <c r="S28" s="65"/>
      <c r="T28" s="65"/>
      <c r="U28" s="65" t="str">
        <f t="shared" ref="U28:U33" si="0">RIGHT(V28,LEN(V28)-5)</f>
        <v>39M1_TimeOn_MinAcc</v>
      </c>
      <c r="V28" s="64" t="s">
        <v>292</v>
      </c>
      <c r="W28" s="358" t="s">
        <v>235</v>
      </c>
      <c r="X28" s="61">
        <v>3920</v>
      </c>
      <c r="Y28" s="65" t="s">
        <v>223</v>
      </c>
      <c r="Z28" s="64" t="s">
        <v>224</v>
      </c>
      <c r="AA28" s="65">
        <v>7</v>
      </c>
      <c r="AB28" s="64" t="s">
        <v>225</v>
      </c>
      <c r="AC28" s="64" t="s">
        <v>161</v>
      </c>
      <c r="AD28" s="61" t="s">
        <v>226</v>
      </c>
      <c r="AE28" s="353" t="s">
        <v>293</v>
      </c>
      <c r="AF28" s="354">
        <v>0.05</v>
      </c>
      <c r="AG28" s="354">
        <v>9.99</v>
      </c>
      <c r="AH28" s="354">
        <f>AF28</f>
        <v>0.05</v>
      </c>
      <c r="AI28" s="356"/>
      <c r="AJ28" s="363"/>
      <c r="AK28" s="374"/>
    </row>
    <row r="29" spans="1:37" s="348" customFormat="1" ht="12.75" customHeight="1">
      <c r="A29" s="205"/>
      <c r="B29" s="64" t="s">
        <v>54</v>
      </c>
      <c r="C29" s="61">
        <v>26</v>
      </c>
      <c r="D29" s="64" t="b">
        <v>1</v>
      </c>
      <c r="E29" s="65"/>
      <c r="F29" s="355" t="s">
        <v>294</v>
      </c>
      <c r="G29" s="355" t="s">
        <v>295</v>
      </c>
      <c r="H29" s="65" t="s">
        <v>296</v>
      </c>
      <c r="I29" s="65" t="s">
        <v>297</v>
      </c>
      <c r="J29" s="65" t="s">
        <v>298</v>
      </c>
      <c r="K29" s="65" t="s">
        <v>219</v>
      </c>
      <c r="L29" s="350"/>
      <c r="M29" s="65"/>
      <c r="N29" s="65"/>
      <c r="O29" s="65"/>
      <c r="P29" s="65"/>
      <c r="Q29" s="65"/>
      <c r="R29" s="65"/>
      <c r="S29" s="65"/>
      <c r="T29" s="65"/>
      <c r="U29" s="65" t="str">
        <f t="shared" si="0"/>
        <v>39M1_TimeOff_MinAcc</v>
      </c>
      <c r="V29" s="64" t="s">
        <v>299</v>
      </c>
      <c r="W29" s="358" t="s">
        <v>235</v>
      </c>
      <c r="X29" s="61">
        <v>3920</v>
      </c>
      <c r="Y29" s="65" t="s">
        <v>223</v>
      </c>
      <c r="Z29" s="64" t="s">
        <v>224</v>
      </c>
      <c r="AA29" s="65">
        <v>8</v>
      </c>
      <c r="AB29" s="64" t="s">
        <v>225</v>
      </c>
      <c r="AC29" s="64" t="s">
        <v>161</v>
      </c>
      <c r="AD29" s="61" t="s">
        <v>226</v>
      </c>
      <c r="AE29" s="353" t="s">
        <v>293</v>
      </c>
      <c r="AF29" s="354">
        <v>0.05</v>
      </c>
      <c r="AG29" s="354">
        <v>9.99</v>
      </c>
      <c r="AH29" s="354">
        <f t="shared" ref="AH29:AH71" si="1">AF29</f>
        <v>0.05</v>
      </c>
      <c r="AI29" s="356"/>
      <c r="AJ29" s="363"/>
      <c r="AK29" s="374"/>
    </row>
    <row r="30" spans="1:37" s="348" customFormat="1" ht="12.75" customHeight="1">
      <c r="A30" s="205"/>
      <c r="B30" s="404" t="s">
        <v>58</v>
      </c>
      <c r="C30" s="61">
        <v>27</v>
      </c>
      <c r="D30" s="64" t="b">
        <v>1</v>
      </c>
      <c r="E30" s="65"/>
      <c r="F30" s="355" t="s">
        <v>300</v>
      </c>
      <c r="G30" s="355" t="s">
        <v>301</v>
      </c>
      <c r="H30" s="405" t="s">
        <v>302</v>
      </c>
      <c r="I30" s="65" t="s">
        <v>303</v>
      </c>
      <c r="J30" s="65" t="s">
        <v>304</v>
      </c>
      <c r="K30" s="65" t="s">
        <v>251</v>
      </c>
      <c r="L30" s="350"/>
      <c r="M30" s="65"/>
      <c r="N30" s="65"/>
      <c r="O30" s="65"/>
      <c r="P30" s="65"/>
      <c r="Q30" s="65"/>
      <c r="R30" s="65"/>
      <c r="S30" s="65"/>
      <c r="T30" s="65"/>
      <c r="U30" s="405" t="str">
        <f t="shared" si="0"/>
        <v>39M1_DistOn_MaxAcc</v>
      </c>
      <c r="V30" s="404" t="s">
        <v>305</v>
      </c>
      <c r="W30" s="358" t="s">
        <v>222</v>
      </c>
      <c r="X30" s="61">
        <v>3920</v>
      </c>
      <c r="Y30" s="65" t="s">
        <v>223</v>
      </c>
      <c r="Z30" s="64" t="s">
        <v>224</v>
      </c>
      <c r="AA30" s="65">
        <v>9</v>
      </c>
      <c r="AB30" s="64" t="s">
        <v>225</v>
      </c>
      <c r="AC30" s="64" t="s">
        <v>161</v>
      </c>
      <c r="AD30" s="61" t="s">
        <v>226</v>
      </c>
      <c r="AE30" s="402" t="s">
        <v>306</v>
      </c>
      <c r="AF30" s="354">
        <v>70</v>
      </c>
      <c r="AG30" s="354">
        <v>350</v>
      </c>
      <c r="AH30" s="354">
        <f t="shared" si="1"/>
        <v>70</v>
      </c>
      <c r="AI30" s="356"/>
      <c r="AJ30" s="363"/>
      <c r="AK30" s="374"/>
    </row>
    <row r="31" spans="1:37" s="348" customFormat="1" ht="12.75" customHeight="1">
      <c r="A31" s="205"/>
      <c r="B31" s="404" t="s">
        <v>58</v>
      </c>
      <c r="C31" s="61">
        <v>28</v>
      </c>
      <c r="D31" s="64" t="b">
        <v>1</v>
      </c>
      <c r="E31" s="65"/>
      <c r="F31" s="355" t="s">
        <v>307</v>
      </c>
      <c r="G31" s="355" t="s">
        <v>308</v>
      </c>
      <c r="H31" s="405" t="s">
        <v>309</v>
      </c>
      <c r="I31" s="65" t="s">
        <v>310</v>
      </c>
      <c r="J31" s="65" t="s">
        <v>311</v>
      </c>
      <c r="K31" s="65" t="s">
        <v>251</v>
      </c>
      <c r="L31" s="350"/>
      <c r="M31" s="65"/>
      <c r="N31" s="65"/>
      <c r="O31" s="65"/>
      <c r="P31" s="65"/>
      <c r="Q31" s="65"/>
      <c r="R31" s="65"/>
      <c r="S31" s="65"/>
      <c r="T31" s="65"/>
      <c r="U31" s="405" t="str">
        <f t="shared" si="0"/>
        <v>39M1_DistOff_MaxAcc</v>
      </c>
      <c r="V31" s="404" t="s">
        <v>312</v>
      </c>
      <c r="W31" s="403" t="s">
        <v>222</v>
      </c>
      <c r="X31" s="61">
        <v>3920</v>
      </c>
      <c r="Y31" s="65" t="s">
        <v>223</v>
      </c>
      <c r="Z31" s="64" t="s">
        <v>224</v>
      </c>
      <c r="AA31" s="65">
        <v>10</v>
      </c>
      <c r="AB31" s="64" t="s">
        <v>225</v>
      </c>
      <c r="AC31" s="64" t="s">
        <v>161</v>
      </c>
      <c r="AD31" s="61" t="s">
        <v>226</v>
      </c>
      <c r="AE31" s="402" t="s">
        <v>306</v>
      </c>
      <c r="AF31" s="354">
        <v>70</v>
      </c>
      <c r="AG31" s="354">
        <v>350</v>
      </c>
      <c r="AH31" s="354">
        <f t="shared" si="1"/>
        <v>70</v>
      </c>
      <c r="AI31" s="356"/>
      <c r="AJ31" s="363"/>
      <c r="AK31" s="374"/>
    </row>
    <row r="32" spans="1:37" s="348" customFormat="1" ht="12.75" customHeight="1">
      <c r="A32" s="205"/>
      <c r="B32" s="64" t="s">
        <v>54</v>
      </c>
      <c r="C32" s="61">
        <v>29</v>
      </c>
      <c r="D32" s="64" t="b">
        <v>1</v>
      </c>
      <c r="E32" s="65"/>
      <c r="F32" s="355" t="s">
        <v>313</v>
      </c>
      <c r="G32" s="355" t="s">
        <v>314</v>
      </c>
      <c r="H32" s="65" t="s">
        <v>315</v>
      </c>
      <c r="I32" s="65" t="s">
        <v>316</v>
      </c>
      <c r="J32" s="65" t="s">
        <v>317</v>
      </c>
      <c r="K32" s="65" t="s">
        <v>251</v>
      </c>
      <c r="L32" s="350"/>
      <c r="M32" s="65"/>
      <c r="N32" s="65"/>
      <c r="O32" s="65"/>
      <c r="P32" s="65"/>
      <c r="Q32" s="65"/>
      <c r="R32" s="65"/>
      <c r="S32" s="65"/>
      <c r="T32" s="65"/>
      <c r="U32" s="65" t="str">
        <f t="shared" si="0"/>
        <v>45Y1_SP</v>
      </c>
      <c r="V32" s="64" t="s">
        <v>318</v>
      </c>
      <c r="W32" s="358" t="s">
        <v>235</v>
      </c>
      <c r="X32" s="61">
        <v>3920</v>
      </c>
      <c r="Y32" s="65" t="s">
        <v>275</v>
      </c>
      <c r="Z32" s="64" t="s">
        <v>319</v>
      </c>
      <c r="AA32" s="65">
        <v>1</v>
      </c>
      <c r="AB32" s="64" t="s">
        <v>225</v>
      </c>
      <c r="AC32" s="64" t="s">
        <v>161</v>
      </c>
      <c r="AD32" s="61" t="s">
        <v>162</v>
      </c>
      <c r="AE32" s="353" t="s">
        <v>227</v>
      </c>
      <c r="AF32" s="354">
        <v>10</v>
      </c>
      <c r="AG32" s="354">
        <v>100</v>
      </c>
      <c r="AH32" s="354">
        <f t="shared" si="1"/>
        <v>10</v>
      </c>
      <c r="AI32" s="356"/>
      <c r="AJ32" s="363"/>
      <c r="AK32" s="374"/>
    </row>
    <row r="33" spans="1:37" s="349" customFormat="1" ht="12.75" customHeight="1">
      <c r="A33" s="406"/>
      <c r="B33" s="64" t="s">
        <v>54</v>
      </c>
      <c r="C33" s="61">
        <v>30</v>
      </c>
      <c r="D33" s="64" t="b">
        <v>1</v>
      </c>
      <c r="E33" s="65"/>
      <c r="F33" s="355" t="s">
        <v>320</v>
      </c>
      <c r="G33" s="355" t="s">
        <v>321</v>
      </c>
      <c r="H33" s="65" t="s">
        <v>322</v>
      </c>
      <c r="I33" s="65" t="s">
        <v>323</v>
      </c>
      <c r="J33" s="65" t="s">
        <v>324</v>
      </c>
      <c r="K33" s="65" t="s">
        <v>219</v>
      </c>
      <c r="L33" s="350"/>
      <c r="M33" s="65"/>
      <c r="N33" s="65"/>
      <c r="O33" s="65"/>
      <c r="P33" s="65"/>
      <c r="Q33" s="65"/>
      <c r="R33" s="65"/>
      <c r="S33" s="65"/>
      <c r="T33" s="65"/>
      <c r="U33" s="65" t="str">
        <f t="shared" si="0"/>
        <v>45Y3_SP</v>
      </c>
      <c r="V33" s="64" t="s">
        <v>325</v>
      </c>
      <c r="W33" s="358" t="s">
        <v>235</v>
      </c>
      <c r="X33" s="61">
        <v>3920</v>
      </c>
      <c r="Y33" s="65" t="s">
        <v>275</v>
      </c>
      <c r="Z33" s="64" t="s">
        <v>326</v>
      </c>
      <c r="AA33" s="65">
        <v>1</v>
      </c>
      <c r="AB33" s="64" t="s">
        <v>225</v>
      </c>
      <c r="AC33" s="64" t="s">
        <v>161</v>
      </c>
      <c r="AD33" s="61" t="s">
        <v>162</v>
      </c>
      <c r="AE33" s="353" t="s">
        <v>227</v>
      </c>
      <c r="AF33" s="354">
        <v>10</v>
      </c>
      <c r="AG33" s="354">
        <v>100</v>
      </c>
      <c r="AH33" s="354">
        <f t="shared" si="1"/>
        <v>10</v>
      </c>
      <c r="AI33" s="356"/>
      <c r="AJ33" s="363"/>
      <c r="AK33" s="375"/>
    </row>
    <row r="34" spans="1:37" s="349" customFormat="1" ht="12.75" customHeight="1">
      <c r="A34" s="317"/>
      <c r="B34" s="64" t="s">
        <v>54</v>
      </c>
      <c r="C34" s="61">
        <v>31</v>
      </c>
      <c r="D34" s="64" t="b">
        <v>1</v>
      </c>
      <c r="E34" s="65"/>
      <c r="F34" s="355" t="s">
        <v>327</v>
      </c>
      <c r="G34" s="355" t="s">
        <v>328</v>
      </c>
      <c r="H34" s="65" t="s">
        <v>329</v>
      </c>
      <c r="I34" s="65" t="s">
        <v>330</v>
      </c>
      <c r="J34" s="65" t="s">
        <v>331</v>
      </c>
      <c r="K34" s="65" t="s">
        <v>189</v>
      </c>
      <c r="L34" s="350"/>
      <c r="M34" s="65"/>
      <c r="N34" s="65"/>
      <c r="O34" s="65"/>
      <c r="P34" s="65"/>
      <c r="Q34" s="65"/>
      <c r="R34" s="65"/>
      <c r="S34" s="65"/>
      <c r="T34" s="65"/>
      <c r="U34" s="65" t="str">
        <f>RIGHT(V34,LEN(V34)-5)</f>
        <v>Time_Heat_Sup_line</v>
      </c>
      <c r="V34" s="64" t="s">
        <v>332</v>
      </c>
      <c r="W34" s="358" t="s">
        <v>235</v>
      </c>
      <c r="X34" s="61">
        <v>3920</v>
      </c>
      <c r="Y34" s="65" t="s">
        <v>223</v>
      </c>
      <c r="Z34" s="64" t="s">
        <v>326</v>
      </c>
      <c r="AA34" s="65">
        <v>2</v>
      </c>
      <c r="AB34" s="64" t="s">
        <v>225</v>
      </c>
      <c r="AC34" s="64" t="s">
        <v>161</v>
      </c>
      <c r="AD34" s="61" t="s">
        <v>226</v>
      </c>
      <c r="AE34" s="353" t="s">
        <v>293</v>
      </c>
      <c r="AF34" s="354">
        <v>1</v>
      </c>
      <c r="AG34" s="354">
        <v>60</v>
      </c>
      <c r="AH34" s="354">
        <f t="shared" si="1"/>
        <v>1</v>
      </c>
      <c r="AI34" s="356"/>
      <c r="AJ34" s="363"/>
      <c r="AK34" s="373"/>
    </row>
    <row r="35" spans="1:37" s="349" customFormat="1" ht="12.75" customHeight="1">
      <c r="A35" s="317"/>
      <c r="B35" s="64" t="s">
        <v>54</v>
      </c>
      <c r="C35" s="61">
        <v>32</v>
      </c>
      <c r="D35" s="64" t="b">
        <v>1</v>
      </c>
      <c r="E35" s="65"/>
      <c r="F35" s="355" t="s">
        <v>333</v>
      </c>
      <c r="G35" s="355" t="s">
        <v>334</v>
      </c>
      <c r="H35" s="65" t="s">
        <v>335</v>
      </c>
      <c r="I35" s="65" t="s">
        <v>336</v>
      </c>
      <c r="J35" s="65" t="s">
        <v>337</v>
      </c>
      <c r="K35" s="65" t="s">
        <v>189</v>
      </c>
      <c r="L35" s="350"/>
      <c r="M35" s="65"/>
      <c r="N35" s="65"/>
      <c r="O35" s="65"/>
      <c r="P35" s="65"/>
      <c r="Q35" s="65"/>
      <c r="R35" s="65"/>
      <c r="S35" s="65"/>
      <c r="T35" s="65"/>
      <c r="U35" s="65" t="str">
        <f t="shared" ref="U35:U71" si="2">RIGHT(V35,LEN(V35)-5)</f>
        <v>Pause_Heat_Sup_line</v>
      </c>
      <c r="V35" s="64" t="s">
        <v>338</v>
      </c>
      <c r="W35" s="358" t="s">
        <v>235</v>
      </c>
      <c r="X35" s="61">
        <v>3920</v>
      </c>
      <c r="Y35" s="65" t="s">
        <v>223</v>
      </c>
      <c r="Z35" s="64" t="s">
        <v>326</v>
      </c>
      <c r="AA35" s="65">
        <v>3</v>
      </c>
      <c r="AB35" s="64" t="s">
        <v>225</v>
      </c>
      <c r="AC35" s="64" t="s">
        <v>161</v>
      </c>
      <c r="AD35" s="61" t="s">
        <v>226</v>
      </c>
      <c r="AE35" s="353" t="s">
        <v>293</v>
      </c>
      <c r="AF35" s="354">
        <v>1</v>
      </c>
      <c r="AG35" s="354">
        <v>60</v>
      </c>
      <c r="AH35" s="354">
        <f t="shared" si="1"/>
        <v>1</v>
      </c>
      <c r="AI35" s="356"/>
      <c r="AJ35" s="363"/>
      <c r="AK35" s="373"/>
    </row>
    <row r="36" spans="1:37" s="349" customFormat="1" ht="12.75" customHeight="1">
      <c r="A36" s="317"/>
      <c r="B36" s="64" t="s">
        <v>54</v>
      </c>
      <c r="C36" s="61">
        <v>33</v>
      </c>
      <c r="D36" s="64" t="b">
        <v>1</v>
      </c>
      <c r="E36" s="65"/>
      <c r="F36" s="355" t="s">
        <v>339</v>
      </c>
      <c r="G36" s="355" t="s">
        <v>340</v>
      </c>
      <c r="H36" s="65" t="s">
        <v>341</v>
      </c>
      <c r="I36" s="65" t="s">
        <v>342</v>
      </c>
      <c r="J36" s="65" t="s">
        <v>343</v>
      </c>
      <c r="K36" s="65" t="s">
        <v>189</v>
      </c>
      <c r="L36" s="350"/>
      <c r="M36" s="65"/>
      <c r="N36" s="65"/>
      <c r="O36" s="65"/>
      <c r="P36" s="65"/>
      <c r="Q36" s="65"/>
      <c r="R36" s="65"/>
      <c r="S36" s="65"/>
      <c r="T36" s="65"/>
      <c r="U36" s="65" t="str">
        <f t="shared" si="2"/>
        <v>Max_Time_Heat_line</v>
      </c>
      <c r="V36" s="64" t="s">
        <v>344</v>
      </c>
      <c r="W36" s="358" t="s">
        <v>235</v>
      </c>
      <c r="X36" s="61">
        <v>3920</v>
      </c>
      <c r="Y36" s="65" t="s">
        <v>223</v>
      </c>
      <c r="Z36" s="64" t="s">
        <v>326</v>
      </c>
      <c r="AA36" s="65">
        <v>4</v>
      </c>
      <c r="AB36" s="64" t="s">
        <v>225</v>
      </c>
      <c r="AC36" s="64" t="s">
        <v>161</v>
      </c>
      <c r="AD36" s="61" t="s">
        <v>226</v>
      </c>
      <c r="AE36" s="353" t="s">
        <v>293</v>
      </c>
      <c r="AF36" s="354">
        <v>1</v>
      </c>
      <c r="AG36" s="354">
        <v>600</v>
      </c>
      <c r="AH36" s="354">
        <f t="shared" si="1"/>
        <v>1</v>
      </c>
      <c r="AI36" s="356"/>
      <c r="AJ36" s="363"/>
      <c r="AK36" s="373"/>
    </row>
    <row r="37" spans="1:37" s="349" customFormat="1" ht="12.75" customHeight="1">
      <c r="A37" s="317"/>
      <c r="B37" s="64" t="s">
        <v>54</v>
      </c>
      <c r="C37" s="61">
        <v>34</v>
      </c>
      <c r="D37" s="64" t="b">
        <v>1</v>
      </c>
      <c r="E37" s="65"/>
      <c r="F37" s="355" t="s">
        <v>345</v>
      </c>
      <c r="G37" s="355" t="s">
        <v>346</v>
      </c>
      <c r="H37" s="65" t="s">
        <v>347</v>
      </c>
      <c r="I37" s="65" t="s">
        <v>348</v>
      </c>
      <c r="J37" s="65" t="s">
        <v>349</v>
      </c>
      <c r="K37" s="65" t="s">
        <v>189</v>
      </c>
      <c r="L37" s="350"/>
      <c r="M37" s="65"/>
      <c r="N37" s="65"/>
      <c r="O37" s="65"/>
      <c r="P37" s="65"/>
      <c r="Q37" s="65"/>
      <c r="R37" s="65"/>
      <c r="S37" s="65"/>
      <c r="T37" s="65"/>
      <c r="U37" s="65" t="str">
        <f t="shared" si="2"/>
        <v>Time_Inf_Rot_table</v>
      </c>
      <c r="V37" s="64" t="s">
        <v>350</v>
      </c>
      <c r="W37" s="358" t="s">
        <v>222</v>
      </c>
      <c r="X37" s="61">
        <v>3920</v>
      </c>
      <c r="Y37" s="65" t="s">
        <v>223</v>
      </c>
      <c r="Z37" s="64" t="s">
        <v>224</v>
      </c>
      <c r="AA37" s="65">
        <v>11</v>
      </c>
      <c r="AB37" s="64" t="s">
        <v>225</v>
      </c>
      <c r="AC37" s="64" t="s">
        <v>161</v>
      </c>
      <c r="AD37" s="61" t="s">
        <v>226</v>
      </c>
      <c r="AE37" s="353" t="s">
        <v>293</v>
      </c>
      <c r="AF37" s="354">
        <v>0</v>
      </c>
      <c r="AG37" s="354">
        <v>30</v>
      </c>
      <c r="AH37" s="354">
        <f t="shared" si="1"/>
        <v>0</v>
      </c>
      <c r="AI37" s="356"/>
      <c r="AJ37" s="363"/>
      <c r="AK37" s="373"/>
    </row>
    <row r="38" spans="1:37" s="349" customFormat="1" ht="12.75" customHeight="1">
      <c r="A38" s="317"/>
      <c r="B38" s="64" t="s">
        <v>54</v>
      </c>
      <c r="C38" s="61">
        <v>35</v>
      </c>
      <c r="D38" s="64" t="b">
        <v>1</v>
      </c>
      <c r="E38" s="65"/>
      <c r="F38" s="355" t="s">
        <v>351</v>
      </c>
      <c r="G38" s="355" t="s">
        <v>352</v>
      </c>
      <c r="H38" s="65" t="s">
        <v>353</v>
      </c>
      <c r="I38" s="65" t="s">
        <v>354</v>
      </c>
      <c r="J38" s="65" t="s">
        <v>355</v>
      </c>
      <c r="K38" s="65" t="s">
        <v>189</v>
      </c>
      <c r="L38" s="350"/>
      <c r="M38" s="65"/>
      <c r="N38" s="65"/>
      <c r="O38" s="65"/>
      <c r="P38" s="65"/>
      <c r="Q38" s="65"/>
      <c r="R38" s="65"/>
      <c r="S38" s="65"/>
      <c r="T38" s="65"/>
      <c r="U38" s="65" t="str">
        <f t="shared" si="2"/>
        <v>Time_ext_rinsing</v>
      </c>
      <c r="V38" s="64" t="s">
        <v>356</v>
      </c>
      <c r="W38" s="358" t="s">
        <v>235</v>
      </c>
      <c r="X38" s="61">
        <v>3920</v>
      </c>
      <c r="Y38" s="65" t="s">
        <v>223</v>
      </c>
      <c r="Z38" s="64" t="s">
        <v>224</v>
      </c>
      <c r="AA38" s="65">
        <v>12</v>
      </c>
      <c r="AB38" s="64" t="s">
        <v>225</v>
      </c>
      <c r="AC38" s="64" t="s">
        <v>161</v>
      </c>
      <c r="AD38" s="61" t="s">
        <v>226</v>
      </c>
      <c r="AE38" s="353" t="s">
        <v>293</v>
      </c>
      <c r="AF38" s="354">
        <v>0</v>
      </c>
      <c r="AG38" s="354">
        <v>30</v>
      </c>
      <c r="AH38" s="354">
        <f t="shared" si="1"/>
        <v>0</v>
      </c>
      <c r="AI38" s="356"/>
      <c r="AJ38" s="363"/>
      <c r="AK38" s="373"/>
    </row>
    <row r="39" spans="1:37" s="349" customFormat="1" ht="12.75" customHeight="1">
      <c r="A39" s="317"/>
      <c r="B39" s="64" t="s">
        <v>54</v>
      </c>
      <c r="C39" s="61">
        <v>36</v>
      </c>
      <c r="D39" s="64" t="b">
        <v>1</v>
      </c>
      <c r="E39" s="65"/>
      <c r="F39" s="355" t="s">
        <v>357</v>
      </c>
      <c r="G39" s="355" t="s">
        <v>358</v>
      </c>
      <c r="H39" s="65" t="s">
        <v>359</v>
      </c>
      <c r="I39" s="65" t="s">
        <v>360</v>
      </c>
      <c r="J39" s="65" t="s">
        <v>361</v>
      </c>
      <c r="K39" s="65" t="s">
        <v>189</v>
      </c>
      <c r="L39" s="350"/>
      <c r="M39" s="65"/>
      <c r="N39" s="65"/>
      <c r="O39" s="65"/>
      <c r="P39" s="65"/>
      <c r="Q39" s="65"/>
      <c r="R39" s="65"/>
      <c r="S39" s="65"/>
      <c r="T39" s="65"/>
      <c r="U39" s="65" t="str">
        <f t="shared" si="2"/>
        <v>Nr_vials_reject_bin</v>
      </c>
      <c r="V39" s="64" t="s">
        <v>362</v>
      </c>
      <c r="W39" s="358" t="s">
        <v>222</v>
      </c>
      <c r="X39" s="61">
        <v>3920</v>
      </c>
      <c r="Y39" s="65" t="s">
        <v>223</v>
      </c>
      <c r="Z39" s="64" t="s">
        <v>363</v>
      </c>
      <c r="AA39" s="65">
        <v>1</v>
      </c>
      <c r="AB39" s="64" t="s">
        <v>225</v>
      </c>
      <c r="AC39" s="64" t="s">
        <v>161</v>
      </c>
      <c r="AD39" s="61" t="s">
        <v>226</v>
      </c>
      <c r="AE39" s="353" t="s">
        <v>364</v>
      </c>
      <c r="AF39" s="354">
        <v>0</v>
      </c>
      <c r="AG39" s="354">
        <v>9999</v>
      </c>
      <c r="AH39" s="354">
        <f t="shared" si="1"/>
        <v>0</v>
      </c>
      <c r="AI39" s="356"/>
      <c r="AJ39" s="363"/>
      <c r="AK39" s="373"/>
    </row>
    <row r="40" spans="1:37" s="349" customFormat="1" ht="12.75" customHeight="1">
      <c r="A40" s="317"/>
      <c r="B40" s="64" t="s">
        <v>54</v>
      </c>
      <c r="C40" s="61">
        <v>37</v>
      </c>
      <c r="D40" s="64" t="b">
        <v>1</v>
      </c>
      <c r="E40" s="65"/>
      <c r="F40" s="355" t="s">
        <v>365</v>
      </c>
      <c r="G40" s="355" t="s">
        <v>366</v>
      </c>
      <c r="H40" s="65" t="s">
        <v>367</v>
      </c>
      <c r="I40" s="65" t="s">
        <v>368</v>
      </c>
      <c r="J40" s="65" t="s">
        <v>369</v>
      </c>
      <c r="K40" s="65" t="s">
        <v>219</v>
      </c>
      <c r="L40" s="350"/>
      <c r="M40" s="65"/>
      <c r="N40" s="65"/>
      <c r="O40" s="65"/>
      <c r="P40" s="65"/>
      <c r="Q40" s="65"/>
      <c r="R40" s="65"/>
      <c r="S40" s="65"/>
      <c r="T40" s="65"/>
      <c r="U40" s="65" t="str">
        <f t="shared" si="2"/>
        <v>46PT1_Min_Purging</v>
      </c>
      <c r="V40" s="64" t="s">
        <v>370</v>
      </c>
      <c r="W40" s="358" t="s">
        <v>235</v>
      </c>
      <c r="X40" s="61">
        <v>3920</v>
      </c>
      <c r="Y40" s="65" t="s">
        <v>275</v>
      </c>
      <c r="Z40" s="64" t="s">
        <v>371</v>
      </c>
      <c r="AA40" s="65">
        <v>1</v>
      </c>
      <c r="AB40" s="64" t="s">
        <v>225</v>
      </c>
      <c r="AC40" s="64" t="s">
        <v>161</v>
      </c>
      <c r="AD40" s="61" t="s">
        <v>162</v>
      </c>
      <c r="AE40" s="353" t="s">
        <v>372</v>
      </c>
      <c r="AF40" s="354">
        <v>2.5</v>
      </c>
      <c r="AG40" s="354">
        <v>10</v>
      </c>
      <c r="AH40" s="354">
        <f t="shared" si="1"/>
        <v>2.5</v>
      </c>
      <c r="AI40" s="356"/>
      <c r="AJ40" s="363"/>
      <c r="AK40" s="373"/>
    </row>
    <row r="41" spans="1:37" s="349" customFormat="1" ht="12.75" customHeight="1">
      <c r="A41" s="317"/>
      <c r="B41" s="64" t="s">
        <v>54</v>
      </c>
      <c r="C41" s="61">
        <v>38</v>
      </c>
      <c r="D41" s="64" t="b">
        <v>1</v>
      </c>
      <c r="E41" s="65"/>
      <c r="F41" s="355" t="s">
        <v>373</v>
      </c>
      <c r="G41" s="355" t="s">
        <v>374</v>
      </c>
      <c r="H41" s="65" t="s">
        <v>375</v>
      </c>
      <c r="I41" s="65" t="s">
        <v>376</v>
      </c>
      <c r="J41" s="65" t="s">
        <v>377</v>
      </c>
      <c r="K41" s="65" t="s">
        <v>219</v>
      </c>
      <c r="L41" s="350"/>
      <c r="M41" s="65"/>
      <c r="N41" s="65"/>
      <c r="O41" s="65"/>
      <c r="P41" s="65"/>
      <c r="Q41" s="65"/>
      <c r="R41" s="65"/>
      <c r="S41" s="65"/>
      <c r="T41" s="65"/>
      <c r="U41" s="65" t="str">
        <f t="shared" si="2"/>
        <v>Max_Time_vials_M1</v>
      </c>
      <c r="V41" s="64" t="s">
        <v>378</v>
      </c>
      <c r="W41" s="358" t="s">
        <v>222</v>
      </c>
      <c r="X41" s="61">
        <v>3920</v>
      </c>
      <c r="Y41" s="65" t="s">
        <v>379</v>
      </c>
      <c r="Z41" s="64" t="s">
        <v>319</v>
      </c>
      <c r="AA41" s="65">
        <v>2</v>
      </c>
      <c r="AB41" s="64" t="s">
        <v>380</v>
      </c>
      <c r="AC41" s="64" t="s">
        <v>161</v>
      </c>
      <c r="AD41" s="61" t="s">
        <v>285</v>
      </c>
      <c r="AE41" s="353" t="s">
        <v>293</v>
      </c>
      <c r="AF41" s="354">
        <v>0.5</v>
      </c>
      <c r="AG41" s="354">
        <v>9.99</v>
      </c>
      <c r="AH41" s="354">
        <f t="shared" si="1"/>
        <v>0.5</v>
      </c>
      <c r="AI41" s="356"/>
      <c r="AJ41" s="363"/>
      <c r="AK41" s="373"/>
    </row>
    <row r="42" spans="1:37" s="349" customFormat="1" ht="12.75" customHeight="1">
      <c r="A42" s="317"/>
      <c r="B42" s="64" t="s">
        <v>54</v>
      </c>
      <c r="C42" s="61">
        <v>39</v>
      </c>
      <c r="D42" s="64" t="b">
        <v>1</v>
      </c>
      <c r="E42" s="65"/>
      <c r="F42" s="355" t="s">
        <v>381</v>
      </c>
      <c r="G42" s="355" t="s">
        <v>382</v>
      </c>
      <c r="H42" s="65" t="s">
        <v>383</v>
      </c>
      <c r="I42" s="65" t="s">
        <v>384</v>
      </c>
      <c r="J42" s="65" t="s">
        <v>385</v>
      </c>
      <c r="K42" s="65" t="s">
        <v>219</v>
      </c>
      <c r="L42" s="350"/>
      <c r="M42" s="65"/>
      <c r="N42" s="65"/>
      <c r="O42" s="65"/>
      <c r="P42" s="65"/>
      <c r="Q42" s="65"/>
      <c r="R42" s="65"/>
      <c r="S42" s="65"/>
      <c r="T42" s="65"/>
      <c r="U42" s="65" t="str">
        <f t="shared" si="2"/>
        <v>Max_Time_vials_M4</v>
      </c>
      <c r="V42" s="64" t="s">
        <v>386</v>
      </c>
      <c r="W42" s="358" t="s">
        <v>222</v>
      </c>
      <c r="X42" s="61">
        <v>3920</v>
      </c>
      <c r="Y42" s="65" t="s">
        <v>379</v>
      </c>
      <c r="Z42" s="64" t="s">
        <v>326</v>
      </c>
      <c r="AA42" s="65">
        <v>5</v>
      </c>
      <c r="AB42" s="64" t="s">
        <v>225</v>
      </c>
      <c r="AC42" s="64" t="s">
        <v>161</v>
      </c>
      <c r="AD42" s="61" t="s">
        <v>285</v>
      </c>
      <c r="AE42" s="353" t="s">
        <v>293</v>
      </c>
      <c r="AF42" s="354">
        <v>0.5</v>
      </c>
      <c r="AG42" s="354">
        <v>9.99</v>
      </c>
      <c r="AH42" s="354">
        <f t="shared" si="1"/>
        <v>0.5</v>
      </c>
      <c r="AI42" s="356"/>
      <c r="AJ42" s="363"/>
      <c r="AK42" s="373"/>
    </row>
    <row r="43" spans="1:37" s="349" customFormat="1" ht="12.75" customHeight="1">
      <c r="A43" s="317"/>
      <c r="B43" s="64" t="s">
        <v>54</v>
      </c>
      <c r="C43" s="61">
        <v>40</v>
      </c>
      <c r="D43" s="64" t="b">
        <v>1</v>
      </c>
      <c r="E43" s="65"/>
      <c r="F43" s="355" t="s">
        <v>387</v>
      </c>
      <c r="G43" s="355" t="s">
        <v>388</v>
      </c>
      <c r="H43" s="65" t="s">
        <v>389</v>
      </c>
      <c r="I43" s="65" t="s">
        <v>390</v>
      </c>
      <c r="J43" s="65" t="s">
        <v>391</v>
      </c>
      <c r="K43" s="65" t="s">
        <v>219</v>
      </c>
      <c r="L43" s="350"/>
      <c r="M43" s="64" t="s">
        <v>249</v>
      </c>
      <c r="N43" s="65" t="s">
        <v>392</v>
      </c>
      <c r="O43" s="65"/>
      <c r="P43" s="64" t="s">
        <v>251</v>
      </c>
      <c r="Q43" s="65"/>
      <c r="R43" s="65"/>
      <c r="S43" s="65"/>
      <c r="T43" s="65" t="s">
        <v>272</v>
      </c>
      <c r="U43" s="65" t="str">
        <f t="shared" si="2"/>
        <v>42M1_SP</v>
      </c>
      <c r="V43" s="64" t="s">
        <v>393</v>
      </c>
      <c r="W43" s="358" t="s">
        <v>222</v>
      </c>
      <c r="X43" s="61">
        <v>3920</v>
      </c>
      <c r="Y43" s="65" t="s">
        <v>275</v>
      </c>
      <c r="Z43" s="64" t="s">
        <v>224</v>
      </c>
      <c r="AA43" s="65">
        <v>13</v>
      </c>
      <c r="AB43" s="64" t="s">
        <v>225</v>
      </c>
      <c r="AC43" s="64" t="s">
        <v>161</v>
      </c>
      <c r="AD43" s="61" t="s">
        <v>394</v>
      </c>
      <c r="AE43" s="353" t="s">
        <v>395</v>
      </c>
      <c r="AF43" s="354">
        <v>0</v>
      </c>
      <c r="AG43" s="354">
        <v>1000</v>
      </c>
      <c r="AH43" s="354">
        <f t="shared" si="1"/>
        <v>0</v>
      </c>
      <c r="AI43" s="356"/>
      <c r="AJ43" s="363"/>
      <c r="AK43" s="373"/>
    </row>
    <row r="44" spans="1:37" s="349" customFormat="1" ht="12.75" customHeight="1">
      <c r="A44" s="317"/>
      <c r="B44" s="64" t="s">
        <v>54</v>
      </c>
      <c r="C44" s="61">
        <v>41</v>
      </c>
      <c r="D44" s="64" t="b">
        <v>1</v>
      </c>
      <c r="E44" s="65"/>
      <c r="F44" s="355" t="s">
        <v>396</v>
      </c>
      <c r="G44" s="355" t="s">
        <v>397</v>
      </c>
      <c r="H44" s="65" t="s">
        <v>398</v>
      </c>
      <c r="I44" s="65" t="s">
        <v>399</v>
      </c>
      <c r="J44" s="65" t="s">
        <v>400</v>
      </c>
      <c r="K44" s="65" t="s">
        <v>219</v>
      </c>
      <c r="L44" s="350"/>
      <c r="M44" s="64" t="s">
        <v>249</v>
      </c>
      <c r="N44" s="65" t="s">
        <v>401</v>
      </c>
      <c r="O44" s="65"/>
      <c r="P44" s="64" t="s">
        <v>251</v>
      </c>
      <c r="Q44" s="65"/>
      <c r="R44" s="65"/>
      <c r="S44" s="65"/>
      <c r="T44" s="65" t="s">
        <v>272</v>
      </c>
      <c r="U44" s="65" t="str">
        <f t="shared" si="2"/>
        <v>43M1_SP</v>
      </c>
      <c r="V44" s="64" t="s">
        <v>402</v>
      </c>
      <c r="W44" s="358" t="s">
        <v>222</v>
      </c>
      <c r="X44" s="61">
        <v>3920</v>
      </c>
      <c r="Y44" s="65" t="s">
        <v>275</v>
      </c>
      <c r="Z44" s="64" t="s">
        <v>224</v>
      </c>
      <c r="AA44" s="65">
        <v>14</v>
      </c>
      <c r="AB44" s="64" t="s">
        <v>225</v>
      </c>
      <c r="AC44" s="64" t="s">
        <v>161</v>
      </c>
      <c r="AD44" s="61" t="s">
        <v>394</v>
      </c>
      <c r="AE44" s="353" t="s">
        <v>395</v>
      </c>
      <c r="AF44" s="354">
        <v>0</v>
      </c>
      <c r="AG44" s="354">
        <v>1000</v>
      </c>
      <c r="AH44" s="354">
        <f t="shared" si="1"/>
        <v>0</v>
      </c>
      <c r="AI44" s="356"/>
      <c r="AJ44" s="363"/>
      <c r="AK44" s="373"/>
    </row>
    <row r="45" spans="1:37" s="349" customFormat="1" ht="12.75" customHeight="1">
      <c r="A45" s="317"/>
      <c r="B45" s="64" t="s">
        <v>54</v>
      </c>
      <c r="C45" s="61">
        <v>42</v>
      </c>
      <c r="D45" s="64" t="b">
        <v>1</v>
      </c>
      <c r="E45" s="65"/>
      <c r="F45" s="355" t="s">
        <v>403</v>
      </c>
      <c r="G45" s="355" t="s">
        <v>404</v>
      </c>
      <c r="H45" s="65" t="s">
        <v>405</v>
      </c>
      <c r="I45" s="65" t="s">
        <v>406</v>
      </c>
      <c r="J45" s="65" t="s">
        <v>407</v>
      </c>
      <c r="K45" s="65" t="s">
        <v>189</v>
      </c>
      <c r="L45" s="350"/>
      <c r="M45" s="65"/>
      <c r="N45" s="65"/>
      <c r="O45" s="65"/>
      <c r="P45" s="65"/>
      <c r="Q45" s="65"/>
      <c r="R45" s="65"/>
      <c r="S45" s="65"/>
      <c r="T45" s="65"/>
      <c r="U45" s="65" t="str">
        <f t="shared" si="2"/>
        <v>Max_Time_M4_req</v>
      </c>
      <c r="V45" s="64" t="s">
        <v>408</v>
      </c>
      <c r="W45" s="358" t="s">
        <v>235</v>
      </c>
      <c r="X45" s="61">
        <v>3920</v>
      </c>
      <c r="Y45" s="65" t="s">
        <v>275</v>
      </c>
      <c r="Z45" s="64" t="s">
        <v>326</v>
      </c>
      <c r="AA45" s="65">
        <v>6</v>
      </c>
      <c r="AB45" s="64" t="s">
        <v>225</v>
      </c>
      <c r="AC45" s="64" t="s">
        <v>161</v>
      </c>
      <c r="AD45" s="61" t="s">
        <v>226</v>
      </c>
      <c r="AE45" s="353" t="s">
        <v>293</v>
      </c>
      <c r="AF45" s="354">
        <v>0</v>
      </c>
      <c r="AG45" s="354">
        <v>999</v>
      </c>
      <c r="AH45" s="354">
        <f t="shared" si="1"/>
        <v>0</v>
      </c>
      <c r="AI45" s="356"/>
      <c r="AJ45" s="363"/>
      <c r="AK45" s="373"/>
    </row>
    <row r="46" spans="1:37" s="349" customFormat="1" ht="12.75" customHeight="1">
      <c r="A46" s="317"/>
      <c r="B46" s="64" t="s">
        <v>54</v>
      </c>
      <c r="C46" s="61">
        <v>43</v>
      </c>
      <c r="D46" s="64" t="b">
        <v>1</v>
      </c>
      <c r="E46" s="65"/>
      <c r="F46" s="355" t="s">
        <v>409</v>
      </c>
      <c r="G46" s="355" t="s">
        <v>410</v>
      </c>
      <c r="H46" s="65" t="s">
        <v>411</v>
      </c>
      <c r="I46" s="65" t="s">
        <v>412</v>
      </c>
      <c r="J46" s="65" t="s">
        <v>413</v>
      </c>
      <c r="K46" s="65" t="s">
        <v>219</v>
      </c>
      <c r="L46" s="350"/>
      <c r="M46" s="65"/>
      <c r="N46" s="65"/>
      <c r="O46" s="65"/>
      <c r="P46" s="65"/>
      <c r="Q46" s="65"/>
      <c r="R46" s="65"/>
      <c r="S46" s="65"/>
      <c r="T46" s="65" t="s">
        <v>272</v>
      </c>
      <c r="U46" s="65" t="str">
        <f t="shared" si="2"/>
        <v>35M1_StartCADI</v>
      </c>
      <c r="V46" s="64" t="s">
        <v>414</v>
      </c>
      <c r="W46" s="358" t="s">
        <v>222</v>
      </c>
      <c r="X46" s="61">
        <v>3920</v>
      </c>
      <c r="Y46" s="65" t="s">
        <v>379</v>
      </c>
      <c r="Z46" s="64" t="s">
        <v>319</v>
      </c>
      <c r="AA46" s="65">
        <v>3</v>
      </c>
      <c r="AB46" s="64" t="s">
        <v>380</v>
      </c>
      <c r="AC46" s="64" t="s">
        <v>161</v>
      </c>
      <c r="AD46" s="61" t="s">
        <v>162</v>
      </c>
      <c r="AE46" s="353" t="s">
        <v>306</v>
      </c>
      <c r="AF46" s="354">
        <v>0</v>
      </c>
      <c r="AG46" s="354">
        <v>70</v>
      </c>
      <c r="AH46" s="354">
        <f t="shared" si="1"/>
        <v>0</v>
      </c>
      <c r="AI46" s="356"/>
      <c r="AJ46" s="363"/>
      <c r="AK46" s="373"/>
    </row>
    <row r="47" spans="1:37" s="349" customFormat="1" ht="12.75" customHeight="1">
      <c r="A47" s="317"/>
      <c r="B47" s="64" t="s">
        <v>54</v>
      </c>
      <c r="C47" s="61">
        <v>44</v>
      </c>
      <c r="D47" s="64" t="b">
        <v>1</v>
      </c>
      <c r="E47" s="65"/>
      <c r="F47" s="355" t="s">
        <v>415</v>
      </c>
      <c r="G47" s="355" t="s">
        <v>416</v>
      </c>
      <c r="H47" s="65" t="s">
        <v>417</v>
      </c>
      <c r="I47" s="65" t="s">
        <v>418</v>
      </c>
      <c r="J47" s="65" t="s">
        <v>419</v>
      </c>
      <c r="K47" s="65" t="s">
        <v>219</v>
      </c>
      <c r="L47" s="350"/>
      <c r="M47" s="65"/>
      <c r="N47" s="65"/>
      <c r="O47" s="65"/>
      <c r="P47" s="65"/>
      <c r="Q47" s="65"/>
      <c r="R47" s="65"/>
      <c r="S47" s="65"/>
      <c r="T47" s="65" t="s">
        <v>272</v>
      </c>
      <c r="U47" s="65" t="str">
        <f t="shared" si="2"/>
        <v>35M1_StopCADI</v>
      </c>
      <c r="V47" s="64" t="s">
        <v>420</v>
      </c>
      <c r="W47" s="358" t="s">
        <v>222</v>
      </c>
      <c r="X47" s="61">
        <v>3920</v>
      </c>
      <c r="Y47" s="65" t="s">
        <v>379</v>
      </c>
      <c r="Z47" s="64" t="s">
        <v>319</v>
      </c>
      <c r="AA47" s="65">
        <v>4</v>
      </c>
      <c r="AB47" s="64" t="s">
        <v>380</v>
      </c>
      <c r="AC47" s="64" t="s">
        <v>161</v>
      </c>
      <c r="AD47" s="61" t="s">
        <v>162</v>
      </c>
      <c r="AE47" s="353" t="s">
        <v>306</v>
      </c>
      <c r="AF47" s="354">
        <v>0</v>
      </c>
      <c r="AG47" s="354">
        <v>70</v>
      </c>
      <c r="AH47" s="354">
        <f t="shared" si="1"/>
        <v>0</v>
      </c>
      <c r="AI47" s="356"/>
      <c r="AJ47" s="363"/>
      <c r="AK47" s="373"/>
    </row>
    <row r="48" spans="1:37" s="349" customFormat="1" ht="12.75" customHeight="1">
      <c r="A48" s="317"/>
      <c r="B48" s="64" t="s">
        <v>54</v>
      </c>
      <c r="C48" s="61">
        <v>45</v>
      </c>
      <c r="D48" s="64" t="b">
        <v>1</v>
      </c>
      <c r="E48" s="65"/>
      <c r="F48" s="355" t="s">
        <v>421</v>
      </c>
      <c r="G48" s="355" t="s">
        <v>422</v>
      </c>
      <c r="H48" s="65" t="s">
        <v>423</v>
      </c>
      <c r="I48" s="65" t="s">
        <v>424</v>
      </c>
      <c r="J48" s="65" t="s">
        <v>425</v>
      </c>
      <c r="K48" s="65" t="s">
        <v>219</v>
      </c>
      <c r="L48" s="350"/>
      <c r="M48" s="65"/>
      <c r="N48" s="65"/>
      <c r="O48" s="65"/>
      <c r="P48" s="65"/>
      <c r="Q48" s="65"/>
      <c r="R48" s="65"/>
      <c r="S48" s="65"/>
      <c r="T48" s="65" t="s">
        <v>272</v>
      </c>
      <c r="U48" s="65" t="str">
        <f t="shared" si="2"/>
        <v>35M1_StartWFI</v>
      </c>
      <c r="V48" s="64" t="s">
        <v>426</v>
      </c>
      <c r="W48" s="358" t="s">
        <v>222</v>
      </c>
      <c r="X48" s="61">
        <v>3920</v>
      </c>
      <c r="Y48" s="65" t="s">
        <v>379</v>
      </c>
      <c r="Z48" s="64" t="s">
        <v>326</v>
      </c>
      <c r="AA48" s="65">
        <v>7</v>
      </c>
      <c r="AB48" s="64" t="s">
        <v>225</v>
      </c>
      <c r="AC48" s="64" t="s">
        <v>161</v>
      </c>
      <c r="AD48" s="61" t="s">
        <v>162</v>
      </c>
      <c r="AE48" s="353" t="s">
        <v>306</v>
      </c>
      <c r="AF48" s="354">
        <v>0</v>
      </c>
      <c r="AG48" s="354">
        <v>70</v>
      </c>
      <c r="AH48" s="354">
        <f t="shared" si="1"/>
        <v>0</v>
      </c>
      <c r="AI48" s="356"/>
      <c r="AJ48" s="363"/>
      <c r="AK48" s="373"/>
    </row>
    <row r="49" spans="1:37" s="349" customFormat="1" ht="12.75" customHeight="1">
      <c r="A49" s="317"/>
      <c r="B49" s="64" t="s">
        <v>54</v>
      </c>
      <c r="C49" s="61">
        <v>46</v>
      </c>
      <c r="D49" s="64" t="b">
        <v>1</v>
      </c>
      <c r="E49" s="65"/>
      <c r="F49" s="355" t="s">
        <v>427</v>
      </c>
      <c r="G49" s="355" t="s">
        <v>428</v>
      </c>
      <c r="H49" s="65" t="s">
        <v>429</v>
      </c>
      <c r="I49" s="65" t="s">
        <v>430</v>
      </c>
      <c r="J49" s="65" t="s">
        <v>431</v>
      </c>
      <c r="K49" s="65" t="s">
        <v>219</v>
      </c>
      <c r="L49" s="350"/>
      <c r="M49" s="65"/>
      <c r="N49" s="65"/>
      <c r="O49" s="65"/>
      <c r="P49" s="65"/>
      <c r="Q49" s="65"/>
      <c r="R49" s="65"/>
      <c r="S49" s="65"/>
      <c r="T49" s="65" t="s">
        <v>272</v>
      </c>
      <c r="U49" s="65" t="str">
        <f t="shared" si="2"/>
        <v>35M1_StopWFI</v>
      </c>
      <c r="V49" s="64" t="s">
        <v>432</v>
      </c>
      <c r="W49" s="358" t="s">
        <v>222</v>
      </c>
      <c r="X49" s="61">
        <v>3920</v>
      </c>
      <c r="Y49" s="65" t="s">
        <v>379</v>
      </c>
      <c r="Z49" s="64" t="s">
        <v>326</v>
      </c>
      <c r="AA49" s="65">
        <v>8</v>
      </c>
      <c r="AB49" s="64" t="s">
        <v>225</v>
      </c>
      <c r="AC49" s="64" t="s">
        <v>161</v>
      </c>
      <c r="AD49" s="61" t="s">
        <v>162</v>
      </c>
      <c r="AE49" s="353" t="s">
        <v>306</v>
      </c>
      <c r="AF49" s="354">
        <v>0</v>
      </c>
      <c r="AG49" s="354">
        <v>70</v>
      </c>
      <c r="AH49" s="354">
        <f t="shared" si="1"/>
        <v>0</v>
      </c>
      <c r="AI49" s="356"/>
      <c r="AJ49" s="363"/>
      <c r="AK49" s="373"/>
    </row>
    <row r="50" spans="1:37" s="349" customFormat="1" ht="12.75" customHeight="1">
      <c r="A50" s="317"/>
      <c r="B50" s="64" t="s">
        <v>54</v>
      </c>
      <c r="C50" s="61">
        <v>47</v>
      </c>
      <c r="D50" s="64" t="b">
        <v>1</v>
      </c>
      <c r="E50" s="65"/>
      <c r="F50" s="355" t="s">
        <v>433</v>
      </c>
      <c r="G50" s="355" t="s">
        <v>434</v>
      </c>
      <c r="H50" s="65" t="s">
        <v>435</v>
      </c>
      <c r="I50" s="65" t="s">
        <v>436</v>
      </c>
      <c r="J50" s="65" t="s">
        <v>437</v>
      </c>
      <c r="K50" s="65" t="s">
        <v>219</v>
      </c>
      <c r="L50" s="350"/>
      <c r="M50" s="65"/>
      <c r="N50" s="65"/>
      <c r="O50" s="65"/>
      <c r="P50" s="65"/>
      <c r="Q50" s="65"/>
      <c r="R50" s="65"/>
      <c r="S50" s="65"/>
      <c r="T50" s="65"/>
      <c r="U50" s="65" t="str">
        <f t="shared" si="2"/>
        <v>46PT1_OL</v>
      </c>
      <c r="V50" s="64" t="s">
        <v>438</v>
      </c>
      <c r="W50" s="358" t="s">
        <v>235</v>
      </c>
      <c r="X50" s="61">
        <v>3920</v>
      </c>
      <c r="Y50" s="65" t="s">
        <v>379</v>
      </c>
      <c r="Z50" s="64" t="s">
        <v>319</v>
      </c>
      <c r="AA50" s="65">
        <v>5</v>
      </c>
      <c r="AB50" s="64" t="s">
        <v>380</v>
      </c>
      <c r="AC50" s="64" t="s">
        <v>161</v>
      </c>
      <c r="AD50" s="61" t="s">
        <v>285</v>
      </c>
      <c r="AE50" s="353" t="s">
        <v>372</v>
      </c>
      <c r="AF50" s="354">
        <v>0</v>
      </c>
      <c r="AG50" s="354">
        <v>10</v>
      </c>
      <c r="AH50" s="354">
        <f t="shared" si="1"/>
        <v>0</v>
      </c>
      <c r="AI50" s="356"/>
      <c r="AJ50" s="363"/>
      <c r="AK50" s="373"/>
    </row>
    <row r="51" spans="1:37" s="349" customFormat="1" ht="12.75" customHeight="1">
      <c r="A51" s="317"/>
      <c r="B51" s="64" t="s">
        <v>54</v>
      </c>
      <c r="C51" s="61">
        <v>48</v>
      </c>
      <c r="D51" s="64" t="b">
        <v>1</v>
      </c>
      <c r="E51" s="65"/>
      <c r="F51" s="355" t="s">
        <v>439</v>
      </c>
      <c r="G51" s="355" t="s">
        <v>440</v>
      </c>
      <c r="H51" s="65" t="s">
        <v>441</v>
      </c>
      <c r="I51" s="65" t="s">
        <v>442</v>
      </c>
      <c r="J51" s="65" t="s">
        <v>443</v>
      </c>
      <c r="K51" s="65" t="s">
        <v>219</v>
      </c>
      <c r="L51" s="350"/>
      <c r="M51" s="65"/>
      <c r="N51" s="65"/>
      <c r="O51" s="65"/>
      <c r="P51" s="65"/>
      <c r="Q51" s="65"/>
      <c r="R51" s="65"/>
      <c r="S51" s="65"/>
      <c r="T51" s="65"/>
      <c r="U51" s="65" t="str">
        <f t="shared" si="2"/>
        <v>46PT1_BL</v>
      </c>
      <c r="V51" s="64" t="s">
        <v>444</v>
      </c>
      <c r="W51" s="358" t="s">
        <v>235</v>
      </c>
      <c r="X51" s="61">
        <v>3920</v>
      </c>
      <c r="Y51" s="65" t="s">
        <v>275</v>
      </c>
      <c r="Z51" s="64" t="s">
        <v>319</v>
      </c>
      <c r="AA51" s="65">
        <v>6</v>
      </c>
      <c r="AB51" s="64" t="s">
        <v>380</v>
      </c>
      <c r="AC51" s="64" t="s">
        <v>161</v>
      </c>
      <c r="AD51" s="61" t="s">
        <v>285</v>
      </c>
      <c r="AE51" s="353" t="s">
        <v>372</v>
      </c>
      <c r="AF51" s="354">
        <v>0</v>
      </c>
      <c r="AG51" s="354">
        <v>10</v>
      </c>
      <c r="AH51" s="354">
        <f t="shared" si="1"/>
        <v>0</v>
      </c>
      <c r="AI51" s="356"/>
      <c r="AJ51" s="363"/>
      <c r="AK51" s="373"/>
    </row>
    <row r="52" spans="1:37" s="349" customFormat="1" ht="12.75" customHeight="1">
      <c r="A52" s="317"/>
      <c r="B52" s="64" t="s">
        <v>54</v>
      </c>
      <c r="C52" s="61">
        <v>49</v>
      </c>
      <c r="D52" s="64" t="b">
        <v>1</v>
      </c>
      <c r="E52" s="65"/>
      <c r="F52" s="355" t="s">
        <v>445</v>
      </c>
      <c r="G52" s="355" t="s">
        <v>446</v>
      </c>
      <c r="H52" s="65" t="s">
        <v>447</v>
      </c>
      <c r="I52" s="65" t="s">
        <v>448</v>
      </c>
      <c r="J52" s="65" t="s">
        <v>449</v>
      </c>
      <c r="K52" s="65" t="s">
        <v>219</v>
      </c>
      <c r="L52" s="350"/>
      <c r="M52" s="65"/>
      <c r="N52" s="65"/>
      <c r="O52" s="65"/>
      <c r="P52" s="65"/>
      <c r="Q52" s="65"/>
      <c r="R52" s="65"/>
      <c r="S52" s="65"/>
      <c r="T52" s="65"/>
      <c r="U52" s="65" t="str">
        <f t="shared" si="2"/>
        <v>46PT3_OL</v>
      </c>
      <c r="V52" s="64" t="s">
        <v>450</v>
      </c>
      <c r="W52" s="358" t="s">
        <v>235</v>
      </c>
      <c r="X52" s="61">
        <v>3920</v>
      </c>
      <c r="Y52" s="65" t="s">
        <v>379</v>
      </c>
      <c r="Z52" s="64" t="s">
        <v>326</v>
      </c>
      <c r="AA52" s="65">
        <v>9</v>
      </c>
      <c r="AB52" s="64" t="s">
        <v>225</v>
      </c>
      <c r="AC52" s="64" t="s">
        <v>161</v>
      </c>
      <c r="AD52" s="61" t="s">
        <v>285</v>
      </c>
      <c r="AE52" s="353" t="s">
        <v>372</v>
      </c>
      <c r="AF52" s="354">
        <v>0</v>
      </c>
      <c r="AG52" s="354">
        <v>10</v>
      </c>
      <c r="AH52" s="354">
        <f t="shared" si="1"/>
        <v>0</v>
      </c>
      <c r="AI52" s="356"/>
      <c r="AJ52" s="363"/>
      <c r="AK52" s="373"/>
    </row>
    <row r="53" spans="1:37" s="349" customFormat="1" ht="12.75" customHeight="1">
      <c r="A53" s="317"/>
      <c r="B53" s="64" t="s">
        <v>54</v>
      </c>
      <c r="C53" s="61">
        <v>50</v>
      </c>
      <c r="D53" s="64" t="b">
        <v>1</v>
      </c>
      <c r="E53" s="65"/>
      <c r="F53" s="355" t="s">
        <v>451</v>
      </c>
      <c r="G53" s="355" t="s">
        <v>452</v>
      </c>
      <c r="H53" s="65" t="s">
        <v>453</v>
      </c>
      <c r="I53" s="65" t="s">
        <v>454</v>
      </c>
      <c r="J53" s="65" t="s">
        <v>455</v>
      </c>
      <c r="K53" s="65" t="s">
        <v>219</v>
      </c>
      <c r="L53" s="350"/>
      <c r="M53" s="65"/>
      <c r="N53" s="65"/>
      <c r="O53" s="65"/>
      <c r="P53" s="65"/>
      <c r="Q53" s="65"/>
      <c r="R53" s="65"/>
      <c r="S53" s="65"/>
      <c r="T53" s="65"/>
      <c r="U53" s="65" t="str">
        <f t="shared" si="2"/>
        <v>46PT3_BL</v>
      </c>
      <c r="V53" s="64" t="s">
        <v>456</v>
      </c>
      <c r="W53" s="358" t="s">
        <v>222</v>
      </c>
      <c r="X53" s="61">
        <v>3920</v>
      </c>
      <c r="Y53" s="65" t="s">
        <v>275</v>
      </c>
      <c r="Z53" s="64" t="s">
        <v>326</v>
      </c>
      <c r="AA53" s="65">
        <v>10</v>
      </c>
      <c r="AB53" s="64" t="s">
        <v>225</v>
      </c>
      <c r="AC53" s="64" t="s">
        <v>161</v>
      </c>
      <c r="AD53" s="61" t="s">
        <v>285</v>
      </c>
      <c r="AE53" s="353" t="s">
        <v>372</v>
      </c>
      <c r="AF53" s="354">
        <v>0</v>
      </c>
      <c r="AG53" s="354">
        <v>10</v>
      </c>
      <c r="AH53" s="354">
        <f t="shared" si="1"/>
        <v>0</v>
      </c>
      <c r="AI53" s="356"/>
      <c r="AJ53" s="363"/>
      <c r="AK53" s="373"/>
    </row>
    <row r="54" spans="1:37" s="349" customFormat="1" ht="12.75" customHeight="1">
      <c r="A54" s="317"/>
      <c r="B54" s="64" t="s">
        <v>54</v>
      </c>
      <c r="C54" s="61">
        <v>51</v>
      </c>
      <c r="D54" s="64" t="b">
        <v>1</v>
      </c>
      <c r="E54" s="65"/>
      <c r="F54" s="355" t="s">
        <v>457</v>
      </c>
      <c r="G54" s="355" t="s">
        <v>458</v>
      </c>
      <c r="H54" s="65" t="s">
        <v>459</v>
      </c>
      <c r="I54" s="65" t="s">
        <v>460</v>
      </c>
      <c r="J54" s="65" t="s">
        <v>461</v>
      </c>
      <c r="K54" s="65" t="s">
        <v>219</v>
      </c>
      <c r="L54" s="350"/>
      <c r="M54" s="65"/>
      <c r="N54" s="65"/>
      <c r="O54" s="65"/>
      <c r="P54" s="65"/>
      <c r="Q54" s="65"/>
      <c r="R54" s="65"/>
      <c r="S54" s="65"/>
      <c r="T54" s="65"/>
      <c r="U54" s="65" t="str">
        <f t="shared" si="2"/>
        <v>47TE1_OL</v>
      </c>
      <c r="V54" s="64" t="s">
        <v>462</v>
      </c>
      <c r="W54" s="358" t="s">
        <v>235</v>
      </c>
      <c r="X54" s="61">
        <v>3920</v>
      </c>
      <c r="Y54" s="65" t="s">
        <v>379</v>
      </c>
      <c r="Z54" s="64" t="s">
        <v>326</v>
      </c>
      <c r="AA54" s="65">
        <v>11</v>
      </c>
      <c r="AB54" s="64" t="s">
        <v>225</v>
      </c>
      <c r="AC54" s="64" t="s">
        <v>161</v>
      </c>
      <c r="AD54" s="61" t="s">
        <v>285</v>
      </c>
      <c r="AE54" s="353" t="s">
        <v>463</v>
      </c>
      <c r="AF54" s="354">
        <v>0</v>
      </c>
      <c r="AG54" s="354">
        <v>150</v>
      </c>
      <c r="AH54" s="354">
        <f t="shared" si="1"/>
        <v>0</v>
      </c>
      <c r="AI54" s="356"/>
      <c r="AJ54" s="363"/>
      <c r="AK54" s="373"/>
    </row>
    <row r="55" spans="1:37" s="349" customFormat="1" ht="12.75" customHeight="1">
      <c r="A55" s="317"/>
      <c r="B55" s="64" t="s">
        <v>54</v>
      </c>
      <c r="C55" s="61">
        <v>52</v>
      </c>
      <c r="D55" s="64" t="b">
        <v>1</v>
      </c>
      <c r="E55" s="65"/>
      <c r="F55" s="355" t="s">
        <v>464</v>
      </c>
      <c r="G55" s="355" t="s">
        <v>465</v>
      </c>
      <c r="H55" s="65" t="s">
        <v>466</v>
      </c>
      <c r="I55" s="65" t="s">
        <v>467</v>
      </c>
      <c r="J55" s="65" t="s">
        <v>468</v>
      </c>
      <c r="K55" s="65" t="s">
        <v>219</v>
      </c>
      <c r="L55" s="350"/>
      <c r="M55" s="65"/>
      <c r="N55" s="65"/>
      <c r="O55" s="65"/>
      <c r="P55" s="65"/>
      <c r="Q55" s="65"/>
      <c r="R55" s="65"/>
      <c r="S55" s="65"/>
      <c r="T55" s="65"/>
      <c r="U55" s="65" t="str">
        <f t="shared" si="2"/>
        <v>47TE1_BL</v>
      </c>
      <c r="V55" s="64" t="s">
        <v>469</v>
      </c>
      <c r="W55" s="358" t="s">
        <v>235</v>
      </c>
      <c r="X55" s="61">
        <v>3920</v>
      </c>
      <c r="Y55" s="65" t="s">
        <v>275</v>
      </c>
      <c r="Z55" s="64" t="s">
        <v>326</v>
      </c>
      <c r="AA55" s="65">
        <v>12</v>
      </c>
      <c r="AB55" s="64" t="s">
        <v>225</v>
      </c>
      <c r="AC55" s="64" t="s">
        <v>161</v>
      </c>
      <c r="AD55" s="61" t="s">
        <v>285</v>
      </c>
      <c r="AE55" s="353" t="s">
        <v>463</v>
      </c>
      <c r="AF55" s="354">
        <v>0</v>
      </c>
      <c r="AG55" s="354">
        <v>150</v>
      </c>
      <c r="AH55" s="354">
        <f t="shared" si="1"/>
        <v>0</v>
      </c>
      <c r="AI55" s="356"/>
      <c r="AJ55" s="363"/>
      <c r="AK55" s="373"/>
    </row>
    <row r="56" spans="1:37" s="349" customFormat="1" ht="12.75" customHeight="1">
      <c r="A56" s="317"/>
      <c r="B56" s="64" t="s">
        <v>54</v>
      </c>
      <c r="C56" s="61">
        <v>53</v>
      </c>
      <c r="D56" s="64" t="b">
        <v>1</v>
      </c>
      <c r="E56" s="65"/>
      <c r="F56" s="355" t="s">
        <v>470</v>
      </c>
      <c r="G56" s="355" t="s">
        <v>471</v>
      </c>
      <c r="H56" s="65" t="s">
        <v>472</v>
      </c>
      <c r="I56" s="65" t="s">
        <v>473</v>
      </c>
      <c r="J56" s="65" t="s">
        <v>474</v>
      </c>
      <c r="K56" s="65" t="s">
        <v>189</v>
      </c>
      <c r="L56" s="350"/>
      <c r="M56" s="65"/>
      <c r="N56" s="65"/>
      <c r="O56" s="65"/>
      <c r="P56" s="65"/>
      <c r="Q56" s="65"/>
      <c r="R56" s="65"/>
      <c r="S56" s="65"/>
      <c r="T56" s="65"/>
      <c r="U56" s="65" t="str">
        <f t="shared" si="2"/>
        <v>Guard_rinsing_Time</v>
      </c>
      <c r="V56" s="64" t="s">
        <v>475</v>
      </c>
      <c r="W56" s="358" t="s">
        <v>235</v>
      </c>
      <c r="X56" s="61">
        <v>3920</v>
      </c>
      <c r="Y56" s="65" t="s">
        <v>223</v>
      </c>
      <c r="Z56" s="64" t="s">
        <v>184</v>
      </c>
      <c r="AA56" s="65">
        <v>1</v>
      </c>
      <c r="AB56" s="64" t="s">
        <v>225</v>
      </c>
      <c r="AC56" s="64" t="s">
        <v>161</v>
      </c>
      <c r="AD56" s="61" t="s">
        <v>226</v>
      </c>
      <c r="AE56" s="353" t="s">
        <v>293</v>
      </c>
      <c r="AF56" s="354">
        <v>5</v>
      </c>
      <c r="AG56" s="354">
        <v>30</v>
      </c>
      <c r="AH56" s="354">
        <f t="shared" si="1"/>
        <v>5</v>
      </c>
      <c r="AI56" s="356"/>
      <c r="AJ56" s="363"/>
      <c r="AK56" s="373"/>
    </row>
    <row r="57" spans="1:37" s="349" customFormat="1" ht="12.75" customHeight="1">
      <c r="A57" s="317"/>
      <c r="B57" s="64" t="s">
        <v>54</v>
      </c>
      <c r="C57" s="61">
        <v>54</v>
      </c>
      <c r="D57" s="64" t="b">
        <v>1</v>
      </c>
      <c r="E57" s="65"/>
      <c r="F57" s="355" t="s">
        <v>476</v>
      </c>
      <c r="G57" s="355" t="s">
        <v>477</v>
      </c>
      <c r="H57" s="65" t="s">
        <v>478</v>
      </c>
      <c r="I57" s="65" t="s">
        <v>479</v>
      </c>
      <c r="J57" s="65" t="s">
        <v>480</v>
      </c>
      <c r="K57" s="65" t="s">
        <v>189</v>
      </c>
      <c r="L57" s="350"/>
      <c r="M57" s="65"/>
      <c r="N57" s="65"/>
      <c r="O57" s="65"/>
      <c r="P57" s="65"/>
      <c r="Q57" s="65"/>
      <c r="R57" s="65"/>
      <c r="S57" s="65"/>
      <c r="T57" s="65"/>
      <c r="U57" s="65" t="str">
        <f t="shared" si="2"/>
        <v>Max_Time_Till_purge</v>
      </c>
      <c r="V57" s="64" t="s">
        <v>481</v>
      </c>
      <c r="W57" s="358" t="s">
        <v>482</v>
      </c>
      <c r="X57" s="61">
        <v>3920</v>
      </c>
      <c r="Y57" s="65" t="s">
        <v>275</v>
      </c>
      <c r="Z57" s="64" t="s">
        <v>371</v>
      </c>
      <c r="AA57" s="65">
        <v>2</v>
      </c>
      <c r="AB57" s="64" t="s">
        <v>225</v>
      </c>
      <c r="AC57" s="64" t="s">
        <v>161</v>
      </c>
      <c r="AD57" s="61" t="s">
        <v>162</v>
      </c>
      <c r="AE57" s="353" t="s">
        <v>483</v>
      </c>
      <c r="AF57" s="354">
        <v>0</v>
      </c>
      <c r="AG57" s="354">
        <v>9999</v>
      </c>
      <c r="AH57" s="354">
        <f t="shared" si="1"/>
        <v>0</v>
      </c>
      <c r="AI57" s="356"/>
      <c r="AJ57" s="363"/>
      <c r="AK57" s="373"/>
    </row>
    <row r="58" spans="1:37" s="349" customFormat="1" ht="12.75" customHeight="1">
      <c r="A58" s="317"/>
      <c r="B58" s="64" t="s">
        <v>54</v>
      </c>
      <c r="C58" s="61">
        <v>55</v>
      </c>
      <c r="D58" s="64" t="b">
        <v>1</v>
      </c>
      <c r="E58" s="65"/>
      <c r="F58" s="355" t="s">
        <v>484</v>
      </c>
      <c r="G58" s="355" t="s">
        <v>485</v>
      </c>
      <c r="H58" s="65" t="s">
        <v>486</v>
      </c>
      <c r="I58" s="65" t="s">
        <v>487</v>
      </c>
      <c r="J58" s="65" t="s">
        <v>488</v>
      </c>
      <c r="K58" s="65" t="s">
        <v>219</v>
      </c>
      <c r="L58" s="350"/>
      <c r="M58" s="65"/>
      <c r="N58" s="65"/>
      <c r="O58" s="65"/>
      <c r="P58" s="65"/>
      <c r="Q58" s="65"/>
      <c r="R58" s="65"/>
      <c r="S58" s="65"/>
      <c r="T58" s="65" t="s">
        <v>272</v>
      </c>
      <c r="U58" s="65" t="str">
        <f t="shared" si="2"/>
        <v>35M1_SP_PosSetup</v>
      </c>
      <c r="V58" s="64" t="s">
        <v>489</v>
      </c>
      <c r="W58" s="358" t="s">
        <v>222</v>
      </c>
      <c r="X58" s="61">
        <v>3920</v>
      </c>
      <c r="Y58" s="65" t="s">
        <v>379</v>
      </c>
      <c r="Z58" s="64" t="s">
        <v>490</v>
      </c>
      <c r="AA58" s="65">
        <v>1</v>
      </c>
      <c r="AB58" s="64" t="s">
        <v>380</v>
      </c>
      <c r="AC58" s="64" t="s">
        <v>161</v>
      </c>
      <c r="AD58" s="61" t="s">
        <v>162</v>
      </c>
      <c r="AE58" s="353" t="s">
        <v>306</v>
      </c>
      <c r="AF58" s="354">
        <v>0</v>
      </c>
      <c r="AG58" s="354">
        <v>70</v>
      </c>
      <c r="AH58" s="354">
        <f t="shared" si="1"/>
        <v>0</v>
      </c>
      <c r="AI58" s="356"/>
      <c r="AJ58" s="363"/>
      <c r="AK58" s="373"/>
    </row>
    <row r="59" spans="1:37" s="349" customFormat="1" ht="12.75" customHeight="1">
      <c r="A59" s="317"/>
      <c r="B59" s="64" t="s">
        <v>54</v>
      </c>
      <c r="C59" s="61">
        <v>56</v>
      </c>
      <c r="D59" s="64" t="b">
        <v>1</v>
      </c>
      <c r="E59" s="65"/>
      <c r="F59" s="355" t="s">
        <v>491</v>
      </c>
      <c r="G59" s="355" t="s">
        <v>492</v>
      </c>
      <c r="H59" s="65" t="s">
        <v>493</v>
      </c>
      <c r="I59" s="65" t="s">
        <v>494</v>
      </c>
      <c r="J59" s="65" t="s">
        <v>495</v>
      </c>
      <c r="K59" s="65" t="s">
        <v>219</v>
      </c>
      <c r="L59" s="350"/>
      <c r="M59" s="65"/>
      <c r="N59" s="65"/>
      <c r="O59" s="65"/>
      <c r="P59" s="65"/>
      <c r="Q59" s="65"/>
      <c r="R59" s="65"/>
      <c r="S59" s="65"/>
      <c r="T59" s="65" t="s">
        <v>272</v>
      </c>
      <c r="U59" s="65" t="str">
        <f t="shared" si="2"/>
        <v>35M1_SP_PosBasis</v>
      </c>
      <c r="V59" s="64" t="s">
        <v>496</v>
      </c>
      <c r="W59" s="358" t="s">
        <v>222</v>
      </c>
      <c r="X59" s="61">
        <v>3920</v>
      </c>
      <c r="Y59" s="65" t="s">
        <v>379</v>
      </c>
      <c r="Z59" s="64" t="s">
        <v>490</v>
      </c>
      <c r="AA59" s="65">
        <v>2</v>
      </c>
      <c r="AB59" s="64" t="s">
        <v>380</v>
      </c>
      <c r="AC59" s="64" t="s">
        <v>161</v>
      </c>
      <c r="AD59" s="61" t="s">
        <v>162</v>
      </c>
      <c r="AE59" s="353" t="s">
        <v>306</v>
      </c>
      <c r="AF59" s="354">
        <v>0</v>
      </c>
      <c r="AG59" s="354">
        <v>70</v>
      </c>
      <c r="AH59" s="354">
        <f t="shared" si="1"/>
        <v>0</v>
      </c>
      <c r="AI59" s="356"/>
      <c r="AJ59" s="363"/>
      <c r="AK59" s="373"/>
    </row>
    <row r="60" spans="1:37" s="349" customFormat="1" ht="12.75" customHeight="1">
      <c r="A60" s="317"/>
      <c r="B60" s="64" t="s">
        <v>54</v>
      </c>
      <c r="C60" s="61">
        <v>57</v>
      </c>
      <c r="D60" s="64" t="b">
        <v>1</v>
      </c>
      <c r="E60" s="65"/>
      <c r="F60" s="355" t="s">
        <v>497</v>
      </c>
      <c r="G60" s="355" t="s">
        <v>498</v>
      </c>
      <c r="H60" s="65" t="s">
        <v>499</v>
      </c>
      <c r="I60" s="65" t="s">
        <v>500</v>
      </c>
      <c r="J60" s="65" t="s">
        <v>501</v>
      </c>
      <c r="K60" s="65" t="s">
        <v>219</v>
      </c>
      <c r="L60" s="350"/>
      <c r="M60" s="65"/>
      <c r="N60" s="65"/>
      <c r="O60" s="65"/>
      <c r="P60" s="65"/>
      <c r="Q60" s="65"/>
      <c r="R60" s="65"/>
      <c r="S60" s="65"/>
      <c r="T60" s="65" t="s">
        <v>272</v>
      </c>
      <c r="U60" s="65" t="str">
        <f t="shared" si="2"/>
        <v>35M1_SP_PosUp</v>
      </c>
      <c r="V60" s="64" t="s">
        <v>502</v>
      </c>
      <c r="W60" s="358" t="s">
        <v>222</v>
      </c>
      <c r="X60" s="61">
        <v>3920</v>
      </c>
      <c r="Y60" s="65" t="s">
        <v>379</v>
      </c>
      <c r="Z60" s="64" t="s">
        <v>490</v>
      </c>
      <c r="AA60" s="65">
        <v>3</v>
      </c>
      <c r="AB60" s="64" t="s">
        <v>380</v>
      </c>
      <c r="AC60" s="64" t="s">
        <v>161</v>
      </c>
      <c r="AD60" s="61" t="s">
        <v>162</v>
      </c>
      <c r="AE60" s="353" t="s">
        <v>306</v>
      </c>
      <c r="AF60" s="354">
        <v>0</v>
      </c>
      <c r="AG60" s="354">
        <v>70</v>
      </c>
      <c r="AH60" s="354">
        <f t="shared" si="1"/>
        <v>0</v>
      </c>
      <c r="AI60" s="356"/>
      <c r="AJ60" s="363"/>
      <c r="AK60" s="373"/>
    </row>
    <row r="61" spans="1:37" s="349" customFormat="1" ht="12.75" customHeight="1">
      <c r="A61" s="317"/>
      <c r="B61" s="64" t="s">
        <v>54</v>
      </c>
      <c r="C61" s="61">
        <v>58</v>
      </c>
      <c r="D61" s="64" t="b">
        <v>1</v>
      </c>
      <c r="E61" s="65"/>
      <c r="F61" s="355" t="s">
        <v>503</v>
      </c>
      <c r="G61" s="355" t="s">
        <v>504</v>
      </c>
      <c r="H61" s="65" t="s">
        <v>505</v>
      </c>
      <c r="I61" s="65" t="s">
        <v>506</v>
      </c>
      <c r="J61" s="65" t="s">
        <v>507</v>
      </c>
      <c r="K61" s="65" t="s">
        <v>219</v>
      </c>
      <c r="L61" s="350"/>
      <c r="M61" s="65"/>
      <c r="N61" s="65"/>
      <c r="O61" s="65"/>
      <c r="P61" s="65"/>
      <c r="Q61" s="65"/>
      <c r="R61" s="65"/>
      <c r="S61" s="65"/>
      <c r="T61" s="65" t="s">
        <v>272</v>
      </c>
      <c r="U61" s="65" t="str">
        <f t="shared" si="2"/>
        <v>35M1_Speed_Up</v>
      </c>
      <c r="V61" s="64" t="s">
        <v>508</v>
      </c>
      <c r="W61" s="358" t="s">
        <v>222</v>
      </c>
      <c r="X61" s="61">
        <v>3920</v>
      </c>
      <c r="Y61" s="65" t="s">
        <v>379</v>
      </c>
      <c r="Z61" s="64" t="s">
        <v>490</v>
      </c>
      <c r="AA61" s="65">
        <v>4</v>
      </c>
      <c r="AB61" s="64" t="s">
        <v>380</v>
      </c>
      <c r="AC61" s="64" t="s">
        <v>161</v>
      </c>
      <c r="AD61" s="61" t="s">
        <v>162</v>
      </c>
      <c r="AE61" s="353" t="s">
        <v>509</v>
      </c>
      <c r="AF61" s="354">
        <v>0</v>
      </c>
      <c r="AG61" s="354">
        <v>600</v>
      </c>
      <c r="AH61" s="354">
        <f t="shared" si="1"/>
        <v>0</v>
      </c>
      <c r="AI61" s="356"/>
      <c r="AJ61" s="363"/>
      <c r="AK61" s="373"/>
    </row>
    <row r="62" spans="1:37" s="349" customFormat="1" ht="12.75" customHeight="1">
      <c r="A62" s="317"/>
      <c r="B62" s="64" t="s">
        <v>54</v>
      </c>
      <c r="C62" s="61">
        <v>59</v>
      </c>
      <c r="D62" s="64" t="b">
        <v>1</v>
      </c>
      <c r="E62" s="65"/>
      <c r="F62" s="355" t="s">
        <v>510</v>
      </c>
      <c r="G62" s="355" t="s">
        <v>511</v>
      </c>
      <c r="H62" s="65" t="s">
        <v>512</v>
      </c>
      <c r="I62" s="65" t="s">
        <v>513</v>
      </c>
      <c r="J62" s="65" t="s">
        <v>514</v>
      </c>
      <c r="K62" s="65" t="s">
        <v>219</v>
      </c>
      <c r="L62" s="350"/>
      <c r="M62" s="65"/>
      <c r="N62" s="65"/>
      <c r="O62" s="65"/>
      <c r="P62" s="65"/>
      <c r="Q62" s="65"/>
      <c r="R62" s="65"/>
      <c r="S62" s="65"/>
      <c r="T62" s="65" t="s">
        <v>272</v>
      </c>
      <c r="U62" s="65" t="str">
        <f t="shared" si="2"/>
        <v>35M1_Delay_Dwn</v>
      </c>
      <c r="V62" s="64" t="s">
        <v>515</v>
      </c>
      <c r="W62" s="358" t="s">
        <v>222</v>
      </c>
      <c r="X62" s="61">
        <v>3920</v>
      </c>
      <c r="Y62" s="65" t="s">
        <v>379</v>
      </c>
      <c r="Z62" s="64" t="s">
        <v>490</v>
      </c>
      <c r="AA62" s="65">
        <v>5</v>
      </c>
      <c r="AB62" s="64" t="s">
        <v>380</v>
      </c>
      <c r="AC62" s="64" t="s">
        <v>161</v>
      </c>
      <c r="AD62" s="61" t="s">
        <v>162</v>
      </c>
      <c r="AE62" s="353" t="s">
        <v>516</v>
      </c>
      <c r="AF62" s="354">
        <v>0</v>
      </c>
      <c r="AG62" s="354">
        <v>70</v>
      </c>
      <c r="AH62" s="354">
        <f t="shared" si="1"/>
        <v>0</v>
      </c>
      <c r="AI62" s="356"/>
      <c r="AJ62" s="363"/>
      <c r="AK62" s="373"/>
    </row>
    <row r="63" spans="1:37" s="349" customFormat="1" ht="12.75" customHeight="1">
      <c r="A63" s="317"/>
      <c r="B63" s="64" t="s">
        <v>54</v>
      </c>
      <c r="C63" s="61">
        <v>60</v>
      </c>
      <c r="D63" s="64" t="b">
        <v>1</v>
      </c>
      <c r="E63" s="65"/>
      <c r="F63" s="355" t="s">
        <v>517</v>
      </c>
      <c r="G63" s="355" t="s">
        <v>518</v>
      </c>
      <c r="H63" s="65" t="s">
        <v>519</v>
      </c>
      <c r="I63" s="65" t="s">
        <v>520</v>
      </c>
      <c r="J63" s="65" t="s">
        <v>521</v>
      </c>
      <c r="K63" s="65" t="s">
        <v>219</v>
      </c>
      <c r="L63" s="350"/>
      <c r="M63" s="65"/>
      <c r="N63" s="65"/>
      <c r="O63" s="65"/>
      <c r="P63" s="65"/>
      <c r="Q63" s="65"/>
      <c r="R63" s="65"/>
      <c r="S63" s="65"/>
      <c r="T63" s="65" t="s">
        <v>272</v>
      </c>
      <c r="U63" s="65" t="str">
        <f t="shared" si="2"/>
        <v>35M1_Speed_Dwn</v>
      </c>
      <c r="V63" s="64" t="s">
        <v>522</v>
      </c>
      <c r="W63" s="358" t="s">
        <v>222</v>
      </c>
      <c r="X63" s="61">
        <v>3920</v>
      </c>
      <c r="Y63" s="65" t="s">
        <v>379</v>
      </c>
      <c r="Z63" s="64" t="s">
        <v>490</v>
      </c>
      <c r="AA63" s="65">
        <v>6</v>
      </c>
      <c r="AB63" s="64" t="s">
        <v>380</v>
      </c>
      <c r="AC63" s="64" t="s">
        <v>161</v>
      </c>
      <c r="AD63" s="61" t="s">
        <v>162</v>
      </c>
      <c r="AE63" s="353" t="s">
        <v>509</v>
      </c>
      <c r="AF63" s="354">
        <v>0</v>
      </c>
      <c r="AG63" s="354">
        <v>600</v>
      </c>
      <c r="AH63" s="354">
        <f t="shared" si="1"/>
        <v>0</v>
      </c>
      <c r="AI63" s="356"/>
      <c r="AJ63" s="363"/>
      <c r="AK63" s="373"/>
    </row>
    <row r="64" spans="1:37" s="349" customFormat="1" ht="12.75" customHeight="1">
      <c r="A64" s="317"/>
      <c r="B64" s="64" t="s">
        <v>54</v>
      </c>
      <c r="C64" s="61">
        <v>61</v>
      </c>
      <c r="D64" s="64" t="b">
        <v>1</v>
      </c>
      <c r="E64" s="65"/>
      <c r="F64" s="355" t="s">
        <v>523</v>
      </c>
      <c r="G64" s="355" t="s">
        <v>524</v>
      </c>
      <c r="H64" s="65" t="s">
        <v>525</v>
      </c>
      <c r="I64" s="65" t="s">
        <v>526</v>
      </c>
      <c r="J64" s="65" t="s">
        <v>527</v>
      </c>
      <c r="K64" s="65" t="s">
        <v>219</v>
      </c>
      <c r="L64" s="350"/>
      <c r="M64" s="65"/>
      <c r="N64" s="65"/>
      <c r="O64" s="65"/>
      <c r="P64" s="65"/>
      <c r="Q64" s="65"/>
      <c r="R64" s="65"/>
      <c r="S64" s="65"/>
      <c r="T64" s="65" t="s">
        <v>272</v>
      </c>
      <c r="U64" s="65" t="str">
        <f t="shared" si="2"/>
        <v>35M1_SP_PosSpeedDwn</v>
      </c>
      <c r="V64" s="64" t="s">
        <v>528</v>
      </c>
      <c r="W64" s="358" t="s">
        <v>222</v>
      </c>
      <c r="X64" s="61">
        <v>3920</v>
      </c>
      <c r="Y64" s="65" t="s">
        <v>379</v>
      </c>
      <c r="Z64" s="64" t="s">
        <v>490</v>
      </c>
      <c r="AA64" s="65">
        <v>7</v>
      </c>
      <c r="AB64" s="64" t="s">
        <v>380</v>
      </c>
      <c r="AC64" s="64" t="s">
        <v>161</v>
      </c>
      <c r="AD64" s="61" t="s">
        <v>162</v>
      </c>
      <c r="AE64" s="353" t="s">
        <v>306</v>
      </c>
      <c r="AF64" s="354">
        <v>0</v>
      </c>
      <c r="AG64" s="354">
        <v>70</v>
      </c>
      <c r="AH64" s="354">
        <f t="shared" si="1"/>
        <v>0</v>
      </c>
      <c r="AI64" s="356"/>
      <c r="AJ64" s="363"/>
      <c r="AK64" s="373"/>
    </row>
    <row r="65" spans="1:37" s="349" customFormat="1" ht="12.75" customHeight="1">
      <c r="A65" s="317"/>
      <c r="B65" s="64" t="s">
        <v>54</v>
      </c>
      <c r="C65" s="61">
        <v>62</v>
      </c>
      <c r="D65" s="64" t="b">
        <v>1</v>
      </c>
      <c r="E65" s="65"/>
      <c r="F65" s="355" t="s">
        <v>529</v>
      </c>
      <c r="G65" s="355" t="s">
        <v>530</v>
      </c>
      <c r="H65" s="65" t="s">
        <v>531</v>
      </c>
      <c r="I65" s="65" t="s">
        <v>532</v>
      </c>
      <c r="J65" s="65" t="s">
        <v>533</v>
      </c>
      <c r="K65" s="65" t="s">
        <v>219</v>
      </c>
      <c r="L65" s="350"/>
      <c r="M65" s="65"/>
      <c r="N65" s="65"/>
      <c r="O65" s="65"/>
      <c r="P65" s="65"/>
      <c r="Q65" s="65"/>
      <c r="R65" s="65"/>
      <c r="S65" s="65"/>
      <c r="T65" s="65" t="s">
        <v>272</v>
      </c>
      <c r="U65" s="65" t="str">
        <f t="shared" si="2"/>
        <v>35M1_Speed_PosBasis</v>
      </c>
      <c r="V65" s="64" t="s">
        <v>534</v>
      </c>
      <c r="W65" s="358" t="s">
        <v>222</v>
      </c>
      <c r="X65" s="61">
        <v>3920</v>
      </c>
      <c r="Y65" s="65" t="s">
        <v>379</v>
      </c>
      <c r="Z65" s="64" t="s">
        <v>490</v>
      </c>
      <c r="AA65" s="65">
        <v>8</v>
      </c>
      <c r="AB65" s="64" t="s">
        <v>380</v>
      </c>
      <c r="AC65" s="64" t="s">
        <v>161</v>
      </c>
      <c r="AD65" s="61" t="s">
        <v>162</v>
      </c>
      <c r="AE65" s="353" t="s">
        <v>509</v>
      </c>
      <c r="AF65" s="354">
        <v>0</v>
      </c>
      <c r="AG65" s="354">
        <v>600</v>
      </c>
      <c r="AH65" s="354">
        <f t="shared" si="1"/>
        <v>0</v>
      </c>
      <c r="AI65" s="356"/>
      <c r="AJ65" s="363"/>
      <c r="AK65" s="373"/>
    </row>
    <row r="66" spans="1:37" s="349" customFormat="1" ht="12.75" customHeight="1">
      <c r="A66" s="317"/>
      <c r="B66" s="64" t="s">
        <v>54</v>
      </c>
      <c r="C66" s="61">
        <v>63</v>
      </c>
      <c r="D66" s="64" t="b">
        <v>1</v>
      </c>
      <c r="E66" s="65"/>
      <c r="F66" s="355" t="s">
        <v>535</v>
      </c>
      <c r="G66" s="355" t="s">
        <v>536</v>
      </c>
      <c r="H66" s="65" t="s">
        <v>537</v>
      </c>
      <c r="I66" s="65" t="s">
        <v>538</v>
      </c>
      <c r="J66" s="65" t="s">
        <v>539</v>
      </c>
      <c r="K66" s="65" t="s">
        <v>189</v>
      </c>
      <c r="L66" s="350"/>
      <c r="M66" s="65"/>
      <c r="N66" s="65"/>
      <c r="O66" s="65"/>
      <c r="P66" s="65"/>
      <c r="Q66" s="65"/>
      <c r="R66" s="65"/>
      <c r="S66" s="65"/>
      <c r="T66" s="65"/>
      <c r="U66" s="65" t="str">
        <f t="shared" si="2"/>
        <v>NrFaults_good_disch</v>
      </c>
      <c r="V66" s="64" t="s">
        <v>540</v>
      </c>
      <c r="W66" s="358" t="s">
        <v>235</v>
      </c>
      <c r="X66" s="61">
        <v>3920</v>
      </c>
      <c r="Y66" s="65" t="s">
        <v>275</v>
      </c>
      <c r="Z66" s="64" t="s">
        <v>184</v>
      </c>
      <c r="AA66" s="65">
        <v>2</v>
      </c>
      <c r="AB66" s="64" t="s">
        <v>225</v>
      </c>
      <c r="AC66" s="64" t="s">
        <v>161</v>
      </c>
      <c r="AD66" s="61" t="s">
        <v>285</v>
      </c>
      <c r="AE66" s="353" t="s">
        <v>541</v>
      </c>
      <c r="AF66" s="354">
        <v>0</v>
      </c>
      <c r="AG66" s="354">
        <v>500</v>
      </c>
      <c r="AH66" s="354">
        <f t="shared" si="1"/>
        <v>0</v>
      </c>
      <c r="AI66" s="356"/>
      <c r="AJ66" s="363" t="s">
        <v>542</v>
      </c>
      <c r="AK66" s="373"/>
    </row>
    <row r="67" spans="1:37" s="349" customFormat="1" ht="12.75" customHeight="1">
      <c r="A67" s="317"/>
      <c r="B67" s="64" t="s">
        <v>54</v>
      </c>
      <c r="C67" s="61">
        <v>64</v>
      </c>
      <c r="D67" s="64" t="b">
        <v>1</v>
      </c>
      <c r="E67" s="65"/>
      <c r="F67" s="355" t="s">
        <v>543</v>
      </c>
      <c r="G67" s="355" t="s">
        <v>544</v>
      </c>
      <c r="H67" s="65" t="s">
        <v>545</v>
      </c>
      <c r="I67" s="65" t="s">
        <v>546</v>
      </c>
      <c r="J67" s="65" t="s">
        <v>547</v>
      </c>
      <c r="K67" s="65" t="s">
        <v>548</v>
      </c>
      <c r="L67" s="350"/>
      <c r="M67" s="65"/>
      <c r="N67" s="65"/>
      <c r="O67" s="65"/>
      <c r="P67" s="65"/>
      <c r="Q67" s="65"/>
      <c r="R67" s="65"/>
      <c r="S67" s="65"/>
      <c r="T67" s="65" t="s">
        <v>272</v>
      </c>
      <c r="U67" s="65" t="str">
        <f t="shared" si="2"/>
        <v>Wassen_activeren</v>
      </c>
      <c r="V67" s="64" t="s">
        <v>549</v>
      </c>
      <c r="W67" s="358" t="s">
        <v>235</v>
      </c>
      <c r="X67" s="61">
        <v>3920</v>
      </c>
      <c r="Y67" s="65" t="s">
        <v>379</v>
      </c>
      <c r="Z67" s="64" t="s">
        <v>326</v>
      </c>
      <c r="AA67" s="65">
        <v>13</v>
      </c>
      <c r="AB67" s="64" t="s">
        <v>225</v>
      </c>
      <c r="AC67" s="64" t="s">
        <v>161</v>
      </c>
      <c r="AD67" s="61" t="s">
        <v>285</v>
      </c>
      <c r="AE67" s="353"/>
      <c r="AF67" s="354">
        <v>0</v>
      </c>
      <c r="AG67" s="354">
        <v>1</v>
      </c>
      <c r="AH67" s="354">
        <f t="shared" si="1"/>
        <v>0</v>
      </c>
      <c r="AI67" s="356"/>
      <c r="AJ67" s="363" t="s">
        <v>550</v>
      </c>
      <c r="AK67" s="373"/>
    </row>
    <row r="68" spans="1:37" s="349" customFormat="1" ht="12.75" customHeight="1">
      <c r="A68" s="317"/>
      <c r="B68" s="64" t="s">
        <v>54</v>
      </c>
      <c r="C68" s="61">
        <v>65</v>
      </c>
      <c r="D68" s="64" t="b">
        <v>1</v>
      </c>
      <c r="E68" s="65"/>
      <c r="F68" s="355" t="s">
        <v>551</v>
      </c>
      <c r="G68" s="355" t="s">
        <v>552</v>
      </c>
      <c r="H68" s="65" t="s">
        <v>553</v>
      </c>
      <c r="I68" s="65" t="s">
        <v>554</v>
      </c>
      <c r="J68" s="65" t="s">
        <v>555</v>
      </c>
      <c r="K68" s="65" t="s">
        <v>548</v>
      </c>
      <c r="L68" s="350"/>
      <c r="M68" s="65"/>
      <c r="N68" s="65"/>
      <c r="O68" s="65"/>
      <c r="P68" s="65"/>
      <c r="Q68" s="65"/>
      <c r="R68" s="65"/>
      <c r="S68" s="65"/>
      <c r="T68" s="65" t="s">
        <v>272</v>
      </c>
      <c r="U68" s="65" t="str">
        <f t="shared" si="2"/>
        <v>StartCADI</v>
      </c>
      <c r="V68" s="64" t="s">
        <v>556</v>
      </c>
      <c r="W68" s="358" t="s">
        <v>222</v>
      </c>
      <c r="X68" s="61">
        <v>3920</v>
      </c>
      <c r="Y68" s="65" t="s">
        <v>379</v>
      </c>
      <c r="Z68" s="64" t="s">
        <v>319</v>
      </c>
      <c r="AA68" s="65">
        <v>7</v>
      </c>
      <c r="AB68" s="64" t="s">
        <v>380</v>
      </c>
      <c r="AC68" s="64" t="s">
        <v>161</v>
      </c>
      <c r="AD68" s="61" t="s">
        <v>162</v>
      </c>
      <c r="AE68" s="353"/>
      <c r="AF68" s="354">
        <v>0</v>
      </c>
      <c r="AG68" s="354">
        <v>1</v>
      </c>
      <c r="AH68" s="354">
        <f t="shared" si="1"/>
        <v>0</v>
      </c>
      <c r="AI68" s="356"/>
      <c r="AJ68" s="363" t="s">
        <v>557</v>
      </c>
      <c r="AK68" s="373"/>
    </row>
    <row r="69" spans="1:37" s="349" customFormat="1" ht="12.75" customHeight="1">
      <c r="A69" s="317"/>
      <c r="B69" s="64" t="s">
        <v>54</v>
      </c>
      <c r="C69" s="61">
        <v>66</v>
      </c>
      <c r="D69" s="64" t="b">
        <v>1</v>
      </c>
      <c r="E69" s="65"/>
      <c r="F69" s="355" t="s">
        <v>558</v>
      </c>
      <c r="G69" s="355" t="s">
        <v>559</v>
      </c>
      <c r="H69" s="65" t="s">
        <v>560</v>
      </c>
      <c r="I69" s="65" t="s">
        <v>561</v>
      </c>
      <c r="J69" s="65" t="s">
        <v>562</v>
      </c>
      <c r="K69" s="65" t="s">
        <v>548</v>
      </c>
      <c r="L69" s="350"/>
      <c r="M69" s="65"/>
      <c r="N69" s="65"/>
      <c r="O69" s="65"/>
      <c r="P69" s="65"/>
      <c r="Q69" s="65"/>
      <c r="R69" s="65"/>
      <c r="S69" s="65"/>
      <c r="T69" s="65" t="s">
        <v>272</v>
      </c>
      <c r="U69" s="65" t="str">
        <f t="shared" si="2"/>
        <v>StopCADI</v>
      </c>
      <c r="V69" s="64" t="s">
        <v>563</v>
      </c>
      <c r="W69" s="358" t="s">
        <v>222</v>
      </c>
      <c r="X69" s="61">
        <v>3920</v>
      </c>
      <c r="Y69" s="65" t="s">
        <v>379</v>
      </c>
      <c r="Z69" s="64" t="s">
        <v>319</v>
      </c>
      <c r="AA69" s="65">
        <v>8</v>
      </c>
      <c r="AB69" s="64" t="s">
        <v>380</v>
      </c>
      <c r="AC69" s="64" t="s">
        <v>161</v>
      </c>
      <c r="AD69" s="61" t="s">
        <v>162</v>
      </c>
      <c r="AE69" s="353"/>
      <c r="AF69" s="354">
        <v>0</v>
      </c>
      <c r="AG69" s="354">
        <v>1</v>
      </c>
      <c r="AH69" s="354">
        <f t="shared" si="1"/>
        <v>0</v>
      </c>
      <c r="AI69" s="356"/>
      <c r="AJ69" s="363" t="s">
        <v>557</v>
      </c>
      <c r="AK69" s="373"/>
    </row>
    <row r="70" spans="1:37" s="349" customFormat="1" ht="12.75" customHeight="1">
      <c r="A70" s="317"/>
      <c r="B70" s="64" t="s">
        <v>54</v>
      </c>
      <c r="C70" s="61">
        <v>67</v>
      </c>
      <c r="D70" s="64" t="b">
        <v>1</v>
      </c>
      <c r="E70" s="65"/>
      <c r="F70" s="355" t="s">
        <v>564</v>
      </c>
      <c r="G70" s="355" t="s">
        <v>565</v>
      </c>
      <c r="H70" s="65" t="s">
        <v>566</v>
      </c>
      <c r="I70" s="65" t="s">
        <v>567</v>
      </c>
      <c r="J70" s="65" t="s">
        <v>568</v>
      </c>
      <c r="K70" s="65" t="s">
        <v>548</v>
      </c>
      <c r="L70" s="350"/>
      <c r="M70" s="65"/>
      <c r="N70" s="65"/>
      <c r="O70" s="65"/>
      <c r="P70" s="65"/>
      <c r="Q70" s="65"/>
      <c r="R70" s="65"/>
      <c r="S70" s="65"/>
      <c r="T70" s="65" t="s">
        <v>272</v>
      </c>
      <c r="U70" s="65" t="str">
        <f t="shared" si="2"/>
        <v>StartWFI</v>
      </c>
      <c r="V70" s="64" t="s">
        <v>569</v>
      </c>
      <c r="W70" s="358" t="s">
        <v>222</v>
      </c>
      <c r="X70" s="61">
        <v>3920</v>
      </c>
      <c r="Y70" s="65" t="s">
        <v>379</v>
      </c>
      <c r="Z70" s="64" t="s">
        <v>326</v>
      </c>
      <c r="AA70" s="65">
        <v>14</v>
      </c>
      <c r="AB70" s="64" t="s">
        <v>225</v>
      </c>
      <c r="AC70" s="64" t="s">
        <v>161</v>
      </c>
      <c r="AD70" s="61" t="s">
        <v>162</v>
      </c>
      <c r="AE70" s="353"/>
      <c r="AF70" s="354">
        <v>0</v>
      </c>
      <c r="AG70" s="354">
        <v>1</v>
      </c>
      <c r="AH70" s="354">
        <f t="shared" si="1"/>
        <v>0</v>
      </c>
      <c r="AI70" s="356"/>
      <c r="AJ70" s="363" t="s">
        <v>557</v>
      </c>
      <c r="AK70" s="373"/>
    </row>
    <row r="71" spans="1:37" s="349" customFormat="1" ht="12.75" customHeight="1">
      <c r="A71" s="317"/>
      <c r="B71" s="64" t="s">
        <v>54</v>
      </c>
      <c r="C71" s="61">
        <v>68</v>
      </c>
      <c r="D71" s="64" t="b">
        <v>1</v>
      </c>
      <c r="E71" s="65"/>
      <c r="F71" s="355" t="s">
        <v>570</v>
      </c>
      <c r="G71" s="355" t="s">
        <v>571</v>
      </c>
      <c r="H71" s="65" t="s">
        <v>572</v>
      </c>
      <c r="I71" s="65" t="s">
        <v>573</v>
      </c>
      <c r="J71" s="65" t="s">
        <v>574</v>
      </c>
      <c r="K71" s="65" t="s">
        <v>548</v>
      </c>
      <c r="L71" s="350"/>
      <c r="M71" s="65"/>
      <c r="N71" s="65"/>
      <c r="O71" s="65"/>
      <c r="P71" s="65"/>
      <c r="Q71" s="65"/>
      <c r="R71" s="65"/>
      <c r="S71" s="65"/>
      <c r="T71" s="65" t="s">
        <v>272</v>
      </c>
      <c r="U71" s="65" t="str">
        <f t="shared" si="2"/>
        <v>StopWFI</v>
      </c>
      <c r="V71" s="64" t="s">
        <v>575</v>
      </c>
      <c r="W71" s="358" t="s">
        <v>222</v>
      </c>
      <c r="X71" s="61">
        <v>3920</v>
      </c>
      <c r="Y71" s="65" t="s">
        <v>379</v>
      </c>
      <c r="Z71" s="64" t="s">
        <v>326</v>
      </c>
      <c r="AA71" s="65">
        <v>15</v>
      </c>
      <c r="AB71" s="64" t="s">
        <v>225</v>
      </c>
      <c r="AC71" s="64" t="s">
        <v>161</v>
      </c>
      <c r="AD71" s="61" t="s">
        <v>162</v>
      </c>
      <c r="AE71" s="353"/>
      <c r="AF71" s="354">
        <v>0</v>
      </c>
      <c r="AG71" s="354">
        <v>1</v>
      </c>
      <c r="AH71" s="354">
        <f t="shared" si="1"/>
        <v>0</v>
      </c>
      <c r="AI71" s="356"/>
      <c r="AJ71" s="363" t="s">
        <v>557</v>
      </c>
      <c r="AK71" s="373"/>
    </row>
    <row r="72" spans="1:37" s="394" customFormat="1" ht="12.75" customHeight="1">
      <c r="A72" s="317"/>
      <c r="B72" s="64" t="s">
        <v>50</v>
      </c>
      <c r="C72" s="61">
        <v>69</v>
      </c>
      <c r="D72" s="65"/>
      <c r="E72" s="65"/>
      <c r="F72" s="355" t="s">
        <v>236</v>
      </c>
      <c r="G72" s="355" t="s">
        <v>237</v>
      </c>
      <c r="H72" s="65" t="s">
        <v>237</v>
      </c>
      <c r="I72" s="65" t="s">
        <v>576</v>
      </c>
      <c r="J72" s="65" t="s">
        <v>577</v>
      </c>
      <c r="K72" s="65" t="s">
        <v>548</v>
      </c>
      <c r="L72" s="350"/>
      <c r="M72" s="65"/>
      <c r="N72" s="65"/>
      <c r="O72" s="65"/>
      <c r="P72" s="65"/>
      <c r="Q72" s="65"/>
      <c r="R72" s="65"/>
      <c r="S72" s="65"/>
      <c r="T72" s="65"/>
      <c r="U72" s="64"/>
      <c r="V72" s="64"/>
      <c r="W72" s="351"/>
      <c r="X72" s="65"/>
      <c r="Y72" s="65"/>
      <c r="Z72" s="64"/>
      <c r="AA72" s="65"/>
      <c r="AB72" s="65"/>
      <c r="AC72" s="65"/>
      <c r="AD72" s="61"/>
      <c r="AE72" s="353"/>
      <c r="AF72" s="354"/>
      <c r="AG72" s="354"/>
      <c r="AH72" s="354"/>
      <c r="AI72" s="356"/>
      <c r="AJ72" s="363"/>
      <c r="AK72" s="364"/>
    </row>
    <row r="73" spans="1:37" s="394" customFormat="1" ht="12.75" customHeight="1">
      <c r="A73" s="317"/>
      <c r="B73" s="64" t="s">
        <v>50</v>
      </c>
      <c r="C73" s="61">
        <v>70</v>
      </c>
      <c r="D73" s="65"/>
      <c r="E73" s="65"/>
      <c r="F73" s="355" t="s">
        <v>236</v>
      </c>
      <c r="G73" s="355" t="s">
        <v>237</v>
      </c>
      <c r="H73" s="65" t="s">
        <v>237</v>
      </c>
      <c r="I73" s="65" t="s">
        <v>578</v>
      </c>
      <c r="J73" s="65" t="s">
        <v>579</v>
      </c>
      <c r="K73" s="65" t="s">
        <v>548</v>
      </c>
      <c r="L73" s="350"/>
      <c r="M73" s="65"/>
      <c r="N73" s="65"/>
      <c r="O73" s="65"/>
      <c r="P73" s="65"/>
      <c r="Q73" s="65"/>
      <c r="R73" s="65"/>
      <c r="S73" s="65"/>
      <c r="T73" s="65"/>
      <c r="U73" s="64"/>
      <c r="V73" s="64"/>
      <c r="W73" s="351"/>
      <c r="X73" s="65"/>
      <c r="Y73" s="65"/>
      <c r="Z73" s="64"/>
      <c r="AA73" s="65"/>
      <c r="AB73" s="65"/>
      <c r="AC73" s="65"/>
      <c r="AD73" s="61"/>
      <c r="AE73" s="353"/>
      <c r="AF73" s="354"/>
      <c r="AG73" s="354"/>
      <c r="AH73" s="354"/>
      <c r="AI73" s="356"/>
      <c r="AJ73" s="363"/>
      <c r="AK73" s="364"/>
    </row>
    <row r="74" spans="1:37" s="349" customFormat="1" ht="12.75" customHeight="1">
      <c r="A74" s="317"/>
      <c r="B74" s="64" t="s">
        <v>54</v>
      </c>
      <c r="C74" s="61">
        <v>71</v>
      </c>
      <c r="D74" s="64" t="b">
        <v>1</v>
      </c>
      <c r="E74" s="65"/>
      <c r="F74" s="365" t="s">
        <v>580</v>
      </c>
      <c r="G74" s="365" t="s">
        <v>581</v>
      </c>
      <c r="H74" s="365" t="s">
        <v>582</v>
      </c>
      <c r="I74" s="365" t="s">
        <v>583</v>
      </c>
      <c r="J74" s="365" t="s">
        <v>584</v>
      </c>
      <c r="K74" s="365" t="s">
        <v>548</v>
      </c>
      <c r="L74" s="350"/>
      <c r="M74" s="65"/>
      <c r="N74" s="65"/>
      <c r="O74" s="65"/>
      <c r="P74" s="65"/>
      <c r="Q74" s="65"/>
      <c r="R74" s="65"/>
      <c r="S74" s="65"/>
      <c r="T74" s="65"/>
      <c r="U74" s="65" t="str">
        <f>RIGHT(V74,LEN(V74)-5)</f>
        <v>Halve_Capaciteit</v>
      </c>
      <c r="V74" s="65" t="s">
        <v>585</v>
      </c>
      <c r="W74" s="351" t="s">
        <v>222</v>
      </c>
      <c r="X74" s="61">
        <v>3920</v>
      </c>
      <c r="Y74" s="65" t="s">
        <v>379</v>
      </c>
      <c r="Z74" s="64" t="s">
        <v>224</v>
      </c>
      <c r="AA74" s="65">
        <v>17</v>
      </c>
      <c r="AB74" s="64" t="s">
        <v>225</v>
      </c>
      <c r="AC74" s="64" t="s">
        <v>161</v>
      </c>
      <c r="AD74" s="61" t="s">
        <v>162</v>
      </c>
      <c r="AE74" s="353" t="s">
        <v>146</v>
      </c>
      <c r="AF74" s="354">
        <v>0</v>
      </c>
      <c r="AG74" s="354">
        <v>1</v>
      </c>
      <c r="AH74" s="354">
        <f t="shared" ref="AH74" si="3">AF74</f>
        <v>0</v>
      </c>
      <c r="AI74" s="356"/>
      <c r="AJ74" s="355" t="s">
        <v>586</v>
      </c>
      <c r="AK74" s="373"/>
    </row>
    <row r="75" spans="1:37" s="394" customFormat="1" ht="12.75" customHeight="1">
      <c r="A75" s="317"/>
      <c r="B75" s="64" t="s">
        <v>50</v>
      </c>
      <c r="C75" s="61">
        <v>72</v>
      </c>
      <c r="D75" s="65"/>
      <c r="E75" s="65"/>
      <c r="F75" s="355" t="s">
        <v>236</v>
      </c>
      <c r="G75" s="355" t="s">
        <v>237</v>
      </c>
      <c r="H75" s="65" t="s">
        <v>237</v>
      </c>
      <c r="I75" s="65" t="s">
        <v>587</v>
      </c>
      <c r="J75" s="65" t="s">
        <v>588</v>
      </c>
      <c r="K75" s="65" t="s">
        <v>548</v>
      </c>
      <c r="L75" s="350"/>
      <c r="M75" s="65"/>
      <c r="N75" s="65"/>
      <c r="O75" s="65"/>
      <c r="P75" s="65"/>
      <c r="Q75" s="65"/>
      <c r="R75" s="65"/>
      <c r="S75" s="65"/>
      <c r="T75" s="65"/>
      <c r="U75" s="64"/>
      <c r="V75" s="64"/>
      <c r="W75" s="351"/>
      <c r="X75" s="65"/>
      <c r="Y75" s="65"/>
      <c r="Z75" s="64"/>
      <c r="AA75" s="65"/>
      <c r="AB75" s="65"/>
      <c r="AC75" s="65"/>
      <c r="AD75" s="61"/>
      <c r="AE75" s="353"/>
      <c r="AF75" s="354"/>
      <c r="AG75" s="354"/>
      <c r="AH75" s="354"/>
      <c r="AI75" s="356"/>
      <c r="AJ75" s="363"/>
      <c r="AK75" s="364"/>
    </row>
    <row r="76" spans="1:37" s="394" customFormat="1" ht="12.75" customHeight="1">
      <c r="A76" s="317"/>
      <c r="B76" s="64" t="s">
        <v>50</v>
      </c>
      <c r="C76" s="61">
        <v>73</v>
      </c>
      <c r="D76" s="65"/>
      <c r="E76" s="65"/>
      <c r="F76" s="355" t="s">
        <v>236</v>
      </c>
      <c r="G76" s="355" t="s">
        <v>237</v>
      </c>
      <c r="H76" s="65" t="s">
        <v>237</v>
      </c>
      <c r="I76" s="65" t="s">
        <v>589</v>
      </c>
      <c r="J76" s="65" t="s">
        <v>590</v>
      </c>
      <c r="K76" s="65" t="s">
        <v>548</v>
      </c>
      <c r="L76" s="350"/>
      <c r="M76" s="65"/>
      <c r="N76" s="65"/>
      <c r="O76" s="65"/>
      <c r="P76" s="65"/>
      <c r="Q76" s="65"/>
      <c r="R76" s="65"/>
      <c r="S76" s="65"/>
      <c r="T76" s="65"/>
      <c r="U76" s="64"/>
      <c r="V76" s="64"/>
      <c r="W76" s="351"/>
      <c r="X76" s="65"/>
      <c r="Y76" s="65"/>
      <c r="Z76" s="64"/>
      <c r="AA76" s="65"/>
      <c r="AB76" s="65"/>
      <c r="AC76" s="65"/>
      <c r="AD76" s="61"/>
      <c r="AE76" s="353"/>
      <c r="AF76" s="354"/>
      <c r="AG76" s="354"/>
      <c r="AH76" s="354"/>
      <c r="AI76" s="356"/>
      <c r="AJ76" s="363"/>
      <c r="AK76" s="364"/>
    </row>
    <row r="77" spans="1:37" s="394" customFormat="1" ht="12.75" customHeight="1">
      <c r="A77" s="317"/>
      <c r="B77" s="64" t="s">
        <v>50</v>
      </c>
      <c r="C77" s="61">
        <v>74</v>
      </c>
      <c r="D77" s="65"/>
      <c r="E77" s="65"/>
      <c r="F77" s="355" t="s">
        <v>236</v>
      </c>
      <c r="G77" s="355" t="s">
        <v>237</v>
      </c>
      <c r="H77" s="65" t="s">
        <v>237</v>
      </c>
      <c r="I77" s="65" t="s">
        <v>591</v>
      </c>
      <c r="J77" s="65" t="s">
        <v>592</v>
      </c>
      <c r="K77" s="65" t="s">
        <v>548</v>
      </c>
      <c r="L77" s="350"/>
      <c r="M77" s="65"/>
      <c r="N77" s="65"/>
      <c r="O77" s="65"/>
      <c r="P77" s="65"/>
      <c r="Q77" s="65"/>
      <c r="R77" s="65"/>
      <c r="S77" s="65"/>
      <c r="T77" s="65"/>
      <c r="U77" s="65"/>
      <c r="V77" s="64"/>
      <c r="W77" s="351"/>
      <c r="X77" s="65"/>
      <c r="Y77" s="65"/>
      <c r="Z77" s="64"/>
      <c r="AA77" s="65"/>
      <c r="AB77" s="65"/>
      <c r="AC77" s="65"/>
      <c r="AD77" s="61"/>
      <c r="AE77" s="353"/>
      <c r="AF77" s="354"/>
      <c r="AG77" s="354"/>
      <c r="AH77" s="354"/>
      <c r="AI77" s="356"/>
      <c r="AJ77" s="363"/>
      <c r="AK77" s="364"/>
    </row>
    <row r="78" spans="1:37" s="394" customFormat="1" ht="12.75" customHeight="1">
      <c r="A78" s="317"/>
      <c r="B78" s="64" t="s">
        <v>50</v>
      </c>
      <c r="C78" s="61">
        <v>75</v>
      </c>
      <c r="D78" s="65"/>
      <c r="E78" s="65"/>
      <c r="F78" s="355" t="s">
        <v>236</v>
      </c>
      <c r="G78" s="355" t="s">
        <v>237</v>
      </c>
      <c r="H78" s="65" t="s">
        <v>237</v>
      </c>
      <c r="I78" s="65" t="s">
        <v>593</v>
      </c>
      <c r="J78" s="65" t="s">
        <v>594</v>
      </c>
      <c r="K78" s="65" t="s">
        <v>548</v>
      </c>
      <c r="L78" s="350"/>
      <c r="M78" s="65"/>
      <c r="N78" s="65"/>
      <c r="O78" s="65"/>
      <c r="P78" s="65"/>
      <c r="Q78" s="65"/>
      <c r="R78" s="65"/>
      <c r="S78" s="65"/>
      <c r="T78" s="65"/>
      <c r="U78" s="65"/>
      <c r="V78" s="64"/>
      <c r="W78" s="351"/>
      <c r="X78" s="65"/>
      <c r="Y78" s="65"/>
      <c r="Z78" s="64"/>
      <c r="AA78" s="65"/>
      <c r="AB78" s="65"/>
      <c r="AC78" s="65"/>
      <c r="AD78" s="61"/>
      <c r="AE78" s="353"/>
      <c r="AF78" s="354"/>
      <c r="AG78" s="354"/>
      <c r="AH78" s="354"/>
      <c r="AI78" s="356"/>
      <c r="AJ78" s="363"/>
      <c r="AK78" s="364"/>
    </row>
    <row r="79" spans="1:37" s="394" customFormat="1" ht="12.75" customHeight="1">
      <c r="A79" s="317"/>
      <c r="B79" s="64" t="s">
        <v>50</v>
      </c>
      <c r="C79" s="61">
        <v>76</v>
      </c>
      <c r="D79" s="65"/>
      <c r="E79" s="65"/>
      <c r="F79" s="355" t="s">
        <v>236</v>
      </c>
      <c r="G79" s="355" t="s">
        <v>237</v>
      </c>
      <c r="H79" s="65" t="s">
        <v>237</v>
      </c>
      <c r="I79" s="65" t="s">
        <v>595</v>
      </c>
      <c r="J79" s="65" t="s">
        <v>596</v>
      </c>
      <c r="K79" s="65" t="s">
        <v>548</v>
      </c>
      <c r="L79" s="350"/>
      <c r="M79" s="65"/>
      <c r="N79" s="65"/>
      <c r="O79" s="65"/>
      <c r="P79" s="65"/>
      <c r="Q79" s="65"/>
      <c r="R79" s="65"/>
      <c r="S79" s="65"/>
      <c r="T79" s="65"/>
      <c r="U79" s="65"/>
      <c r="V79" s="64"/>
      <c r="W79" s="351"/>
      <c r="X79" s="65"/>
      <c r="Y79" s="65"/>
      <c r="Z79" s="64"/>
      <c r="AA79" s="65"/>
      <c r="AB79" s="65"/>
      <c r="AC79" s="65"/>
      <c r="AD79" s="61"/>
      <c r="AE79" s="353"/>
      <c r="AF79" s="354"/>
      <c r="AG79" s="354"/>
      <c r="AH79" s="354"/>
      <c r="AI79" s="356"/>
      <c r="AJ79" s="363"/>
      <c r="AK79" s="364"/>
    </row>
    <row r="80" spans="1:37" s="394" customFormat="1" ht="12.75" customHeight="1">
      <c r="A80" s="317"/>
      <c r="B80" s="64" t="s">
        <v>50</v>
      </c>
      <c r="C80" s="61">
        <v>77</v>
      </c>
      <c r="D80" s="65"/>
      <c r="E80" s="65"/>
      <c r="F80" s="355" t="s">
        <v>236</v>
      </c>
      <c r="G80" s="355" t="s">
        <v>237</v>
      </c>
      <c r="H80" s="65" t="s">
        <v>237</v>
      </c>
      <c r="I80" s="65" t="s">
        <v>597</v>
      </c>
      <c r="J80" s="65" t="s">
        <v>598</v>
      </c>
      <c r="K80" s="65" t="s">
        <v>548</v>
      </c>
      <c r="L80" s="350"/>
      <c r="M80" s="65"/>
      <c r="N80" s="65"/>
      <c r="O80" s="65"/>
      <c r="P80" s="65"/>
      <c r="Q80" s="65"/>
      <c r="R80" s="65"/>
      <c r="S80" s="65"/>
      <c r="T80" s="65"/>
      <c r="U80" s="65"/>
      <c r="V80" s="64"/>
      <c r="W80" s="351"/>
      <c r="X80" s="65"/>
      <c r="Y80" s="65"/>
      <c r="Z80" s="64"/>
      <c r="AA80" s="65"/>
      <c r="AB80" s="65"/>
      <c r="AC80" s="65"/>
      <c r="AD80" s="61"/>
      <c r="AE80" s="353"/>
      <c r="AF80" s="354"/>
      <c r="AG80" s="354"/>
      <c r="AH80" s="354"/>
      <c r="AI80" s="356"/>
      <c r="AJ80" s="363"/>
      <c r="AK80" s="364"/>
    </row>
    <row r="81" spans="1:37" s="349" customFormat="1" ht="12.75" customHeight="1">
      <c r="A81" s="317"/>
      <c r="B81" s="64" t="s">
        <v>54</v>
      </c>
      <c r="C81" s="61">
        <v>78</v>
      </c>
      <c r="D81" s="64" t="b">
        <v>1</v>
      </c>
      <c r="E81" s="65"/>
      <c r="F81" s="355" t="s">
        <v>599</v>
      </c>
      <c r="G81" s="355" t="s">
        <v>600</v>
      </c>
      <c r="H81" s="65" t="s">
        <v>601</v>
      </c>
      <c r="I81" s="65" t="s">
        <v>602</v>
      </c>
      <c r="J81" s="65" t="s">
        <v>603</v>
      </c>
      <c r="K81" s="65" t="s">
        <v>548</v>
      </c>
      <c r="L81" s="350"/>
      <c r="M81" s="65"/>
      <c r="N81" s="65"/>
      <c r="O81" s="65"/>
      <c r="P81" s="65"/>
      <c r="Q81" s="65"/>
      <c r="R81" s="65"/>
      <c r="S81" s="65"/>
      <c r="T81" s="65" t="s">
        <v>272</v>
      </c>
      <c r="U81" s="65" t="str">
        <f t="shared" ref="U81:U83" si="4">RIGHT(V81,LEN(V81)-5)</f>
        <v>Pharma_alarm_YN</v>
      </c>
      <c r="V81" s="64" t="s">
        <v>604</v>
      </c>
      <c r="W81" s="351" t="s">
        <v>605</v>
      </c>
      <c r="X81" s="65">
        <v>3920</v>
      </c>
      <c r="Y81" s="65" t="s">
        <v>379</v>
      </c>
      <c r="Z81" s="64" t="s">
        <v>184</v>
      </c>
      <c r="AA81" s="65">
        <v>3</v>
      </c>
      <c r="AB81" s="64" t="s">
        <v>225</v>
      </c>
      <c r="AC81" s="64" t="s">
        <v>161</v>
      </c>
      <c r="AD81" s="61" t="s">
        <v>285</v>
      </c>
      <c r="AE81" s="353"/>
      <c r="AF81" s="354">
        <v>0</v>
      </c>
      <c r="AG81" s="354">
        <v>1</v>
      </c>
      <c r="AH81" s="354">
        <f t="shared" ref="AH81:AH84" si="5">AF81</f>
        <v>0</v>
      </c>
      <c r="AI81" s="356"/>
      <c r="AJ81" s="363" t="s">
        <v>542</v>
      </c>
      <c r="AK81" s="373"/>
    </row>
    <row r="82" spans="1:37" s="349" customFormat="1" ht="12.75" customHeight="1">
      <c r="A82" s="317"/>
      <c r="B82" s="64" t="s">
        <v>54</v>
      </c>
      <c r="C82" s="61">
        <v>79</v>
      </c>
      <c r="D82" s="64" t="b">
        <v>1</v>
      </c>
      <c r="E82" s="65"/>
      <c r="F82" s="355" t="s">
        <v>606</v>
      </c>
      <c r="G82" s="355" t="s">
        <v>607</v>
      </c>
      <c r="H82" s="65" t="s">
        <v>608</v>
      </c>
      <c r="I82" s="65" t="s">
        <v>609</v>
      </c>
      <c r="J82" s="65" t="s">
        <v>610</v>
      </c>
      <c r="K82" s="65" t="s">
        <v>548</v>
      </c>
      <c r="L82" s="350"/>
      <c r="M82" s="65"/>
      <c r="N82" s="65"/>
      <c r="O82" s="65"/>
      <c r="P82" s="65"/>
      <c r="Q82" s="65"/>
      <c r="R82" s="65"/>
      <c r="S82" s="65"/>
      <c r="T82" s="65" t="s">
        <v>272</v>
      </c>
      <c r="U82" s="65" t="str">
        <f>RIGHT(V82,LEN(V82)-5)</f>
        <v>serv_func_YN</v>
      </c>
      <c r="V82" s="64" t="s">
        <v>611</v>
      </c>
      <c r="W82" s="351" t="s">
        <v>605</v>
      </c>
      <c r="X82" s="65">
        <v>3920</v>
      </c>
      <c r="Y82" s="65" t="s">
        <v>379</v>
      </c>
      <c r="Z82" s="64" t="s">
        <v>184</v>
      </c>
      <c r="AA82" s="65">
        <v>4</v>
      </c>
      <c r="AB82" s="64" t="s">
        <v>225</v>
      </c>
      <c r="AC82" s="64" t="s">
        <v>161</v>
      </c>
      <c r="AD82" s="61" t="s">
        <v>285</v>
      </c>
      <c r="AE82" s="353"/>
      <c r="AF82" s="354">
        <v>0</v>
      </c>
      <c r="AG82" s="354">
        <v>1</v>
      </c>
      <c r="AH82" s="354">
        <f t="shared" si="5"/>
        <v>0</v>
      </c>
      <c r="AI82" s="356"/>
      <c r="AJ82" s="363" t="s">
        <v>542</v>
      </c>
      <c r="AK82" s="373"/>
    </row>
    <row r="83" spans="1:37" s="349" customFormat="1" ht="12.75" customHeight="1">
      <c r="A83" s="317"/>
      <c r="B83" s="64" t="s">
        <v>54</v>
      </c>
      <c r="C83" s="61">
        <v>80</v>
      </c>
      <c r="D83" s="64" t="b">
        <v>1</v>
      </c>
      <c r="E83" s="65"/>
      <c r="F83" s="355" t="s">
        <v>612</v>
      </c>
      <c r="G83" s="355" t="s">
        <v>613</v>
      </c>
      <c r="H83" s="65" t="s">
        <v>614</v>
      </c>
      <c r="I83" s="65" t="s">
        <v>615</v>
      </c>
      <c r="J83" s="65" t="s">
        <v>616</v>
      </c>
      <c r="K83" s="65" t="s">
        <v>251</v>
      </c>
      <c r="L83" s="350"/>
      <c r="M83" s="65"/>
      <c r="N83" s="65"/>
      <c r="O83" s="65"/>
      <c r="P83" s="65"/>
      <c r="Q83" s="65"/>
      <c r="R83" s="65"/>
      <c r="S83" s="65"/>
      <c r="T83" s="65" t="s">
        <v>272</v>
      </c>
      <c r="U83" s="65" t="str">
        <f t="shared" si="4"/>
        <v>39M2_Height</v>
      </c>
      <c r="V83" s="64" t="s">
        <v>617</v>
      </c>
      <c r="W83" s="351" t="s">
        <v>222</v>
      </c>
      <c r="X83" s="65">
        <v>3920</v>
      </c>
      <c r="Y83" s="65" t="s">
        <v>275</v>
      </c>
      <c r="Z83" s="64" t="s">
        <v>224</v>
      </c>
      <c r="AA83" s="65">
        <v>15</v>
      </c>
      <c r="AB83" s="64" t="s">
        <v>225</v>
      </c>
      <c r="AC83" s="64" t="s">
        <v>161</v>
      </c>
      <c r="AD83" s="61" t="s">
        <v>618</v>
      </c>
      <c r="AE83" s="353" t="s">
        <v>306</v>
      </c>
      <c r="AF83" s="354">
        <v>0</v>
      </c>
      <c r="AG83" s="354">
        <v>999</v>
      </c>
      <c r="AH83" s="354">
        <f t="shared" si="5"/>
        <v>0</v>
      </c>
      <c r="AI83" s="356"/>
      <c r="AJ83" s="363"/>
      <c r="AK83" s="373"/>
    </row>
    <row r="84" spans="1:37" s="349" customFormat="1" ht="12.75" customHeight="1">
      <c r="A84" s="317"/>
      <c r="B84" s="64" t="s">
        <v>54</v>
      </c>
      <c r="C84" s="61">
        <v>81</v>
      </c>
      <c r="D84" s="65" t="b">
        <v>1</v>
      </c>
      <c r="E84" s="65"/>
      <c r="F84" s="355" t="s">
        <v>619</v>
      </c>
      <c r="G84" s="355" t="s">
        <v>620</v>
      </c>
      <c r="H84" s="65" t="s">
        <v>621</v>
      </c>
      <c r="I84" s="65" t="s">
        <v>622</v>
      </c>
      <c r="J84" s="65" t="s">
        <v>623</v>
      </c>
      <c r="K84" s="65" t="s">
        <v>251</v>
      </c>
      <c r="L84" s="350"/>
      <c r="M84" s="65"/>
      <c r="N84" s="65"/>
      <c r="O84" s="65"/>
      <c r="P84" s="65"/>
      <c r="Q84" s="65"/>
      <c r="R84" s="65"/>
      <c r="S84" s="65"/>
      <c r="T84" s="65"/>
      <c r="U84" s="65" t="s">
        <v>624</v>
      </c>
      <c r="V84" s="64" t="s">
        <v>625</v>
      </c>
      <c r="W84" s="351" t="s">
        <v>235</v>
      </c>
      <c r="X84" s="65">
        <v>3920</v>
      </c>
      <c r="Y84" s="65" t="s">
        <v>275</v>
      </c>
      <c r="Z84" s="64" t="s">
        <v>371</v>
      </c>
      <c r="AA84" s="65">
        <v>17</v>
      </c>
      <c r="AB84" s="64" t="s">
        <v>225</v>
      </c>
      <c r="AC84" s="64" t="s">
        <v>161</v>
      </c>
      <c r="AD84" s="61" t="s">
        <v>276</v>
      </c>
      <c r="AE84" s="353" t="s">
        <v>372</v>
      </c>
      <c r="AF84" s="354">
        <v>2.5</v>
      </c>
      <c r="AG84" s="354">
        <v>10</v>
      </c>
      <c r="AH84" s="354">
        <f t="shared" si="5"/>
        <v>2.5</v>
      </c>
      <c r="AI84" s="356"/>
      <c r="AJ84" s="363"/>
      <c r="AK84" s="373"/>
    </row>
    <row r="85" spans="1:37" s="394" customFormat="1" ht="12.75" customHeight="1">
      <c r="A85" s="317"/>
      <c r="B85" s="64" t="s">
        <v>50</v>
      </c>
      <c r="C85" s="61">
        <v>82</v>
      </c>
      <c r="D85" s="65"/>
      <c r="E85" s="65"/>
      <c r="F85" s="355" t="s">
        <v>236</v>
      </c>
      <c r="G85" s="355" t="s">
        <v>237</v>
      </c>
      <c r="H85" s="65" t="s">
        <v>237</v>
      </c>
      <c r="I85" s="65" t="s">
        <v>626</v>
      </c>
      <c r="J85" s="65" t="s">
        <v>627</v>
      </c>
      <c r="K85" s="65" t="s">
        <v>251</v>
      </c>
      <c r="L85" s="350"/>
      <c r="M85" s="65"/>
      <c r="N85" s="65"/>
      <c r="O85" s="65"/>
      <c r="P85" s="65"/>
      <c r="Q85" s="65"/>
      <c r="R85" s="65"/>
      <c r="S85" s="65"/>
      <c r="T85" s="65"/>
      <c r="U85" s="65"/>
      <c r="V85" s="64"/>
      <c r="W85" s="351"/>
      <c r="X85" s="65"/>
      <c r="Y85" s="65"/>
      <c r="Z85" s="64"/>
      <c r="AA85" s="65"/>
      <c r="AB85" s="65"/>
      <c r="AC85" s="65"/>
      <c r="AD85" s="61"/>
      <c r="AE85" s="353"/>
      <c r="AF85" s="354"/>
      <c r="AG85" s="354"/>
      <c r="AH85" s="354"/>
      <c r="AI85" s="356"/>
      <c r="AJ85" s="363"/>
      <c r="AK85" s="364"/>
    </row>
    <row r="86" spans="1:37" s="394" customFormat="1" ht="12.75" customHeight="1">
      <c r="A86" s="317"/>
      <c r="B86" s="64" t="s">
        <v>50</v>
      </c>
      <c r="C86" s="61">
        <v>83</v>
      </c>
      <c r="D86" s="65"/>
      <c r="E86" s="65"/>
      <c r="F86" s="355"/>
      <c r="G86" s="355"/>
      <c r="H86" s="65"/>
      <c r="I86" s="65"/>
      <c r="J86" s="65" t="s">
        <v>628</v>
      </c>
      <c r="K86" s="65"/>
      <c r="L86" s="350"/>
      <c r="M86" s="65"/>
      <c r="N86" s="65"/>
      <c r="O86" s="65"/>
      <c r="P86" s="65"/>
      <c r="Q86" s="65"/>
      <c r="R86" s="65"/>
      <c r="S86" s="65"/>
      <c r="T86" s="65"/>
      <c r="U86" s="65"/>
      <c r="V86" s="64"/>
      <c r="W86" s="351"/>
      <c r="X86" s="65"/>
      <c r="Y86" s="65"/>
      <c r="Z86" s="64"/>
      <c r="AA86" s="65"/>
      <c r="AB86" s="65"/>
      <c r="AC86" s="65"/>
      <c r="AD86" s="61"/>
      <c r="AE86" s="353"/>
      <c r="AF86" s="354"/>
      <c r="AG86" s="354"/>
      <c r="AH86" s="354"/>
      <c r="AI86" s="356"/>
      <c r="AJ86" s="363"/>
      <c r="AK86" s="364"/>
    </row>
    <row r="87" spans="1:37" s="394" customFormat="1" ht="12.75" customHeight="1">
      <c r="A87" s="317"/>
      <c r="B87" s="64" t="s">
        <v>50</v>
      </c>
      <c r="C87" s="61">
        <v>84</v>
      </c>
      <c r="D87" s="65"/>
      <c r="E87" s="65"/>
      <c r="F87" s="355"/>
      <c r="G87" s="355"/>
      <c r="H87" s="65"/>
      <c r="I87" s="65"/>
      <c r="J87" s="65" t="s">
        <v>629</v>
      </c>
      <c r="K87" s="65"/>
      <c r="L87" s="350"/>
      <c r="M87" s="65"/>
      <c r="N87" s="65"/>
      <c r="O87" s="65"/>
      <c r="P87" s="65"/>
      <c r="Q87" s="65"/>
      <c r="R87" s="65"/>
      <c r="S87" s="65"/>
      <c r="T87" s="65"/>
      <c r="U87" s="65"/>
      <c r="V87" s="64"/>
      <c r="W87" s="351"/>
      <c r="X87" s="65"/>
      <c r="Y87" s="65"/>
      <c r="Z87" s="64"/>
      <c r="AA87" s="65"/>
      <c r="AB87" s="65"/>
      <c r="AC87" s="65"/>
      <c r="AD87" s="61"/>
      <c r="AE87" s="353"/>
      <c r="AF87" s="354"/>
      <c r="AG87" s="354"/>
      <c r="AH87" s="354"/>
      <c r="AI87" s="356"/>
      <c r="AJ87" s="363"/>
      <c r="AK87" s="364"/>
    </row>
    <row r="88" spans="1:37" s="394" customFormat="1" ht="12.75" customHeight="1">
      <c r="A88" s="317"/>
      <c r="B88" s="64" t="s">
        <v>50</v>
      </c>
      <c r="C88" s="61">
        <v>85</v>
      </c>
      <c r="D88" s="65"/>
      <c r="E88" s="65"/>
      <c r="F88" s="355"/>
      <c r="G88" s="355"/>
      <c r="H88" s="65"/>
      <c r="I88" s="65"/>
      <c r="J88" s="65" t="s">
        <v>630</v>
      </c>
      <c r="K88" s="65"/>
      <c r="L88" s="350"/>
      <c r="M88" s="65"/>
      <c r="N88" s="65"/>
      <c r="O88" s="65"/>
      <c r="P88" s="65"/>
      <c r="Q88" s="65"/>
      <c r="R88" s="65"/>
      <c r="S88" s="65"/>
      <c r="T88" s="65"/>
      <c r="U88" s="65"/>
      <c r="V88" s="64"/>
      <c r="W88" s="351"/>
      <c r="X88" s="65"/>
      <c r="Y88" s="65"/>
      <c r="Z88" s="64"/>
      <c r="AA88" s="65"/>
      <c r="AB88" s="65"/>
      <c r="AC88" s="65"/>
      <c r="AD88" s="61"/>
      <c r="AE88" s="353"/>
      <c r="AF88" s="354"/>
      <c r="AG88" s="354"/>
      <c r="AH88" s="354"/>
      <c r="AI88" s="356"/>
      <c r="AJ88" s="363"/>
      <c r="AK88" s="364"/>
    </row>
    <row r="89" spans="1:37" s="394" customFormat="1" ht="12.75" customHeight="1">
      <c r="A89" s="317"/>
      <c r="B89" s="64" t="s">
        <v>50</v>
      </c>
      <c r="C89" s="61">
        <v>86</v>
      </c>
      <c r="D89" s="65"/>
      <c r="E89" s="65"/>
      <c r="F89" s="355"/>
      <c r="G89" s="355"/>
      <c r="H89" s="65"/>
      <c r="I89" s="65"/>
      <c r="J89" s="65" t="s">
        <v>631</v>
      </c>
      <c r="K89" s="65"/>
      <c r="L89" s="350"/>
      <c r="M89" s="65"/>
      <c r="N89" s="65"/>
      <c r="O89" s="65"/>
      <c r="P89" s="65"/>
      <c r="Q89" s="65"/>
      <c r="R89" s="65"/>
      <c r="S89" s="65"/>
      <c r="T89" s="65"/>
      <c r="U89" s="65"/>
      <c r="V89" s="64"/>
      <c r="W89" s="351"/>
      <c r="X89" s="65"/>
      <c r="Y89" s="65"/>
      <c r="Z89" s="64"/>
      <c r="AA89" s="65"/>
      <c r="AB89" s="65"/>
      <c r="AC89" s="65"/>
      <c r="AD89" s="61"/>
      <c r="AE89" s="353"/>
      <c r="AF89" s="354"/>
      <c r="AG89" s="354"/>
      <c r="AH89" s="354"/>
      <c r="AI89" s="356"/>
      <c r="AJ89" s="363"/>
      <c r="AK89" s="364"/>
    </row>
    <row r="90" spans="1:37" s="349" customFormat="1" ht="12.75" customHeight="1">
      <c r="A90" s="317"/>
      <c r="B90" s="64" t="s">
        <v>54</v>
      </c>
      <c r="C90" s="61">
        <v>87</v>
      </c>
      <c r="D90" s="64" t="b">
        <v>1</v>
      </c>
      <c r="E90" s="65" t="b">
        <v>1</v>
      </c>
      <c r="F90" s="395" t="s">
        <v>632</v>
      </c>
      <c r="G90" s="395" t="s">
        <v>633</v>
      </c>
      <c r="H90" s="391" t="s">
        <v>634</v>
      </c>
      <c r="I90" s="391" t="s">
        <v>635</v>
      </c>
      <c r="J90" s="391" t="s">
        <v>636</v>
      </c>
      <c r="K90" s="391" t="s">
        <v>189</v>
      </c>
      <c r="L90" s="392"/>
      <c r="M90" s="391"/>
      <c r="N90" s="391"/>
      <c r="O90" s="391"/>
      <c r="P90" s="391"/>
      <c r="Q90" s="391"/>
      <c r="R90" s="391"/>
      <c r="S90" s="391"/>
      <c r="T90" s="391"/>
      <c r="U90" s="391" t="str">
        <f t="shared" ref="U90:U105" si="6">RIGHT(V90,LEN(V90)-5)</f>
        <v>Purge_IN/EX_1e_Time</v>
      </c>
      <c r="V90" s="396" t="s">
        <v>637</v>
      </c>
      <c r="W90" s="397" t="s">
        <v>235</v>
      </c>
      <c r="X90" s="391">
        <v>3920</v>
      </c>
      <c r="Y90" s="391" t="s">
        <v>275</v>
      </c>
      <c r="Z90" s="396" t="s">
        <v>371</v>
      </c>
      <c r="AA90" s="391">
        <v>3</v>
      </c>
      <c r="AB90" s="396" t="s">
        <v>225</v>
      </c>
      <c r="AC90" s="396" t="s">
        <v>161</v>
      </c>
      <c r="AD90" s="398" t="s">
        <v>638</v>
      </c>
      <c r="AE90" s="399" t="s">
        <v>293</v>
      </c>
      <c r="AF90" s="400">
        <v>0</v>
      </c>
      <c r="AG90" s="400">
        <v>7200</v>
      </c>
      <c r="AH90" s="400">
        <f t="shared" ref="AH90:AH105" si="7">AF90</f>
        <v>0</v>
      </c>
      <c r="AI90" s="393"/>
      <c r="AJ90" s="401"/>
      <c r="AK90" s="373"/>
    </row>
    <row r="91" spans="1:37" s="349" customFormat="1" ht="12.75" customHeight="1">
      <c r="A91" s="317"/>
      <c r="B91" s="64" t="s">
        <v>54</v>
      </c>
      <c r="C91" s="61">
        <v>88</v>
      </c>
      <c r="D91" s="64" t="b">
        <v>1</v>
      </c>
      <c r="E91" s="65" t="b">
        <v>1</v>
      </c>
      <c r="F91" s="395" t="s">
        <v>639</v>
      </c>
      <c r="G91" s="395" t="s">
        <v>640</v>
      </c>
      <c r="H91" s="391" t="s">
        <v>641</v>
      </c>
      <c r="I91" s="391" t="s">
        <v>642</v>
      </c>
      <c r="J91" s="391" t="s">
        <v>643</v>
      </c>
      <c r="K91" s="391" t="s">
        <v>189</v>
      </c>
      <c r="L91" s="392"/>
      <c r="M91" s="391"/>
      <c r="N91" s="391"/>
      <c r="O91" s="391"/>
      <c r="P91" s="391"/>
      <c r="Q91" s="391"/>
      <c r="R91" s="391"/>
      <c r="S91" s="391"/>
      <c r="T91" s="391"/>
      <c r="U91" s="391" t="str">
        <f t="shared" si="6"/>
        <v>Purge_IN/EX_Pause</v>
      </c>
      <c r="V91" s="396" t="s">
        <v>644</v>
      </c>
      <c r="W91" s="397" t="s">
        <v>235</v>
      </c>
      <c r="X91" s="391">
        <v>3920</v>
      </c>
      <c r="Y91" s="391" t="s">
        <v>275</v>
      </c>
      <c r="Z91" s="396" t="s">
        <v>371</v>
      </c>
      <c r="AA91" s="391">
        <v>4</v>
      </c>
      <c r="AB91" s="396" t="s">
        <v>225</v>
      </c>
      <c r="AC91" s="396" t="s">
        <v>161</v>
      </c>
      <c r="AD91" s="398" t="s">
        <v>638</v>
      </c>
      <c r="AE91" s="399" t="s">
        <v>293</v>
      </c>
      <c r="AF91" s="400">
        <v>0</v>
      </c>
      <c r="AG91" s="400">
        <v>7200</v>
      </c>
      <c r="AH91" s="400">
        <f t="shared" si="7"/>
        <v>0</v>
      </c>
      <c r="AI91" s="393"/>
      <c r="AJ91" s="401"/>
      <c r="AK91" s="373"/>
    </row>
    <row r="92" spans="1:37" s="349" customFormat="1" ht="12.75" customHeight="1">
      <c r="A92" s="317"/>
      <c r="B92" s="64" t="s">
        <v>54</v>
      </c>
      <c r="C92" s="61">
        <v>89</v>
      </c>
      <c r="D92" s="64" t="b">
        <v>1</v>
      </c>
      <c r="E92" s="65" t="b">
        <v>1</v>
      </c>
      <c r="F92" s="395" t="s">
        <v>645</v>
      </c>
      <c r="G92" s="395" t="s">
        <v>646</v>
      </c>
      <c r="H92" s="391" t="s">
        <v>647</v>
      </c>
      <c r="I92" s="391" t="s">
        <v>648</v>
      </c>
      <c r="J92" s="391" t="s">
        <v>649</v>
      </c>
      <c r="K92" s="391" t="s">
        <v>189</v>
      </c>
      <c r="L92" s="392"/>
      <c r="M92" s="391"/>
      <c r="N92" s="391"/>
      <c r="O92" s="391"/>
      <c r="P92" s="391"/>
      <c r="Q92" s="391"/>
      <c r="R92" s="391"/>
      <c r="S92" s="391"/>
      <c r="T92" s="391"/>
      <c r="U92" s="391" t="str">
        <f t="shared" si="6"/>
        <v>Purge_IN/EX_2e_Time</v>
      </c>
      <c r="V92" s="396" t="s">
        <v>650</v>
      </c>
      <c r="W92" s="397" t="s">
        <v>235</v>
      </c>
      <c r="X92" s="391">
        <v>3920</v>
      </c>
      <c r="Y92" s="391" t="s">
        <v>275</v>
      </c>
      <c r="Z92" s="396" t="s">
        <v>371</v>
      </c>
      <c r="AA92" s="391">
        <v>5</v>
      </c>
      <c r="AB92" s="396" t="s">
        <v>225</v>
      </c>
      <c r="AC92" s="396" t="s">
        <v>161</v>
      </c>
      <c r="AD92" s="398" t="s">
        <v>638</v>
      </c>
      <c r="AE92" s="399" t="s">
        <v>293</v>
      </c>
      <c r="AF92" s="400">
        <v>0</v>
      </c>
      <c r="AG92" s="400">
        <v>7200</v>
      </c>
      <c r="AH92" s="400">
        <f t="shared" si="7"/>
        <v>0</v>
      </c>
      <c r="AI92" s="393"/>
      <c r="AJ92" s="401"/>
      <c r="AK92" s="373"/>
    </row>
    <row r="93" spans="1:37" s="349" customFormat="1" ht="12.75" customHeight="1">
      <c r="A93" s="317"/>
      <c r="B93" s="64" t="s">
        <v>54</v>
      </c>
      <c r="C93" s="61">
        <v>90</v>
      </c>
      <c r="D93" s="64" t="b">
        <v>1</v>
      </c>
      <c r="E93" s="65"/>
      <c r="F93" s="355" t="s">
        <v>651</v>
      </c>
      <c r="G93" s="355" t="s">
        <v>652</v>
      </c>
      <c r="H93" s="65" t="s">
        <v>653</v>
      </c>
      <c r="I93" s="65" t="s">
        <v>654</v>
      </c>
      <c r="J93" s="65" t="s">
        <v>655</v>
      </c>
      <c r="K93" s="65" t="s">
        <v>189</v>
      </c>
      <c r="L93" s="350"/>
      <c r="M93" s="65"/>
      <c r="N93" s="65"/>
      <c r="O93" s="65"/>
      <c r="P93" s="65"/>
      <c r="Q93" s="65"/>
      <c r="R93" s="65"/>
      <c r="S93" s="65"/>
      <c r="T93" s="65"/>
      <c r="U93" s="65" t="str">
        <f t="shared" si="6"/>
        <v>Purge_Guard_1e_Time</v>
      </c>
      <c r="V93" s="64" t="s">
        <v>656</v>
      </c>
      <c r="W93" s="351" t="s">
        <v>235</v>
      </c>
      <c r="X93" s="65">
        <v>3920</v>
      </c>
      <c r="Y93" s="65" t="s">
        <v>275</v>
      </c>
      <c r="Z93" s="64" t="s">
        <v>371</v>
      </c>
      <c r="AA93" s="65">
        <v>6</v>
      </c>
      <c r="AB93" s="64" t="s">
        <v>225</v>
      </c>
      <c r="AC93" s="64" t="s">
        <v>161</v>
      </c>
      <c r="AD93" s="61" t="s">
        <v>162</v>
      </c>
      <c r="AE93" s="353" t="s">
        <v>293</v>
      </c>
      <c r="AF93" s="354">
        <v>0</v>
      </c>
      <c r="AG93" s="354">
        <v>7200</v>
      </c>
      <c r="AH93" s="354">
        <f t="shared" si="7"/>
        <v>0</v>
      </c>
      <c r="AI93" s="356"/>
      <c r="AJ93" s="363"/>
      <c r="AK93" s="373"/>
    </row>
    <row r="94" spans="1:37" s="349" customFormat="1" ht="12.75" customHeight="1">
      <c r="A94" s="317"/>
      <c r="B94" s="64" t="s">
        <v>54</v>
      </c>
      <c r="C94" s="61">
        <v>91</v>
      </c>
      <c r="D94" s="64" t="b">
        <v>1</v>
      </c>
      <c r="E94" s="65"/>
      <c r="F94" s="355" t="s">
        <v>657</v>
      </c>
      <c r="G94" s="355" t="s">
        <v>658</v>
      </c>
      <c r="H94" s="65" t="s">
        <v>659</v>
      </c>
      <c r="I94" s="65" t="s">
        <v>660</v>
      </c>
      <c r="J94" s="65" t="s">
        <v>661</v>
      </c>
      <c r="K94" s="65" t="s">
        <v>189</v>
      </c>
      <c r="L94" s="350"/>
      <c r="M94" s="65"/>
      <c r="N94" s="65"/>
      <c r="O94" s="65"/>
      <c r="P94" s="65"/>
      <c r="Q94" s="65"/>
      <c r="R94" s="65"/>
      <c r="S94" s="65"/>
      <c r="T94" s="65"/>
      <c r="U94" s="65" t="str">
        <f t="shared" si="6"/>
        <v>Purge_Guard_Pause</v>
      </c>
      <c r="V94" s="64" t="s">
        <v>662</v>
      </c>
      <c r="W94" s="351" t="s">
        <v>235</v>
      </c>
      <c r="X94" s="65">
        <v>3920</v>
      </c>
      <c r="Y94" s="65" t="s">
        <v>275</v>
      </c>
      <c r="Z94" s="64" t="s">
        <v>371</v>
      </c>
      <c r="AA94" s="65">
        <v>7</v>
      </c>
      <c r="AB94" s="64" t="s">
        <v>225</v>
      </c>
      <c r="AC94" s="64" t="s">
        <v>161</v>
      </c>
      <c r="AD94" s="61" t="s">
        <v>162</v>
      </c>
      <c r="AE94" s="353" t="s">
        <v>293</v>
      </c>
      <c r="AF94" s="354">
        <v>0</v>
      </c>
      <c r="AG94" s="354">
        <v>7200</v>
      </c>
      <c r="AH94" s="354">
        <f t="shared" si="7"/>
        <v>0</v>
      </c>
      <c r="AI94" s="356"/>
      <c r="AJ94" s="363"/>
      <c r="AK94" s="373"/>
    </row>
    <row r="95" spans="1:37" s="349" customFormat="1" ht="12.75" customHeight="1">
      <c r="A95" s="317"/>
      <c r="B95" s="64" t="s">
        <v>54</v>
      </c>
      <c r="C95" s="61">
        <v>92</v>
      </c>
      <c r="D95" s="64" t="b">
        <v>1</v>
      </c>
      <c r="E95" s="65"/>
      <c r="F95" s="355" t="s">
        <v>663</v>
      </c>
      <c r="G95" s="355" t="s">
        <v>664</v>
      </c>
      <c r="H95" s="65" t="s">
        <v>665</v>
      </c>
      <c r="I95" s="65" t="s">
        <v>666</v>
      </c>
      <c r="J95" s="65" t="s">
        <v>667</v>
      </c>
      <c r="K95" s="65" t="s">
        <v>189</v>
      </c>
      <c r="L95" s="350"/>
      <c r="M95" s="65"/>
      <c r="N95" s="65"/>
      <c r="O95" s="65"/>
      <c r="P95" s="65"/>
      <c r="Q95" s="65"/>
      <c r="R95" s="65"/>
      <c r="S95" s="65"/>
      <c r="T95" s="65"/>
      <c r="U95" s="65" t="str">
        <f t="shared" si="6"/>
        <v>Purge_Guard_2e_Time</v>
      </c>
      <c r="V95" s="64" t="s">
        <v>668</v>
      </c>
      <c r="W95" s="351" t="s">
        <v>235</v>
      </c>
      <c r="X95" s="65">
        <v>3920</v>
      </c>
      <c r="Y95" s="65" t="s">
        <v>275</v>
      </c>
      <c r="Z95" s="64" t="s">
        <v>371</v>
      </c>
      <c r="AA95" s="65">
        <v>8</v>
      </c>
      <c r="AB95" s="64" t="s">
        <v>225</v>
      </c>
      <c r="AC95" s="64" t="s">
        <v>161</v>
      </c>
      <c r="AD95" s="61" t="s">
        <v>162</v>
      </c>
      <c r="AE95" s="353" t="s">
        <v>293</v>
      </c>
      <c r="AF95" s="354">
        <v>0</v>
      </c>
      <c r="AG95" s="354">
        <v>7200</v>
      </c>
      <c r="AH95" s="354">
        <f t="shared" si="7"/>
        <v>0</v>
      </c>
      <c r="AI95" s="356"/>
      <c r="AJ95" s="363"/>
      <c r="AK95" s="373"/>
    </row>
    <row r="96" spans="1:37" s="349" customFormat="1" ht="12.75" customHeight="1">
      <c r="A96" s="317"/>
      <c r="B96" s="64" t="s">
        <v>54</v>
      </c>
      <c r="C96" s="61">
        <v>93</v>
      </c>
      <c r="D96" s="64" t="b">
        <v>1</v>
      </c>
      <c r="E96" s="65"/>
      <c r="F96" s="355" t="s">
        <v>669</v>
      </c>
      <c r="G96" s="355" t="s">
        <v>670</v>
      </c>
      <c r="H96" s="65" t="s">
        <v>671</v>
      </c>
      <c r="I96" s="65" t="s">
        <v>672</v>
      </c>
      <c r="J96" s="65" t="s">
        <v>673</v>
      </c>
      <c r="K96" s="65" t="s">
        <v>189</v>
      </c>
      <c r="L96" s="350"/>
      <c r="M96" s="65"/>
      <c r="N96" s="65"/>
      <c r="O96" s="65"/>
      <c r="P96" s="65"/>
      <c r="Q96" s="65"/>
      <c r="R96" s="65"/>
      <c r="S96" s="65"/>
      <c r="T96" s="65"/>
      <c r="U96" s="65" t="str">
        <f t="shared" si="6"/>
        <v>Purge_IN_RS_1e_time</v>
      </c>
      <c r="V96" s="64" t="s">
        <v>674</v>
      </c>
      <c r="W96" s="351" t="s">
        <v>235</v>
      </c>
      <c r="X96" s="65">
        <v>3920</v>
      </c>
      <c r="Y96" s="65" t="s">
        <v>275</v>
      </c>
      <c r="Z96" s="64" t="s">
        <v>371</v>
      </c>
      <c r="AA96" s="65">
        <v>9</v>
      </c>
      <c r="AB96" s="64" t="s">
        <v>225</v>
      </c>
      <c r="AC96" s="64" t="s">
        <v>161</v>
      </c>
      <c r="AD96" s="61" t="s">
        <v>162</v>
      </c>
      <c r="AE96" s="353" t="s">
        <v>293</v>
      </c>
      <c r="AF96" s="354">
        <v>0</v>
      </c>
      <c r="AG96" s="354">
        <v>7200</v>
      </c>
      <c r="AH96" s="354">
        <f t="shared" si="7"/>
        <v>0</v>
      </c>
      <c r="AI96" s="356"/>
      <c r="AJ96" s="363"/>
      <c r="AK96" s="373"/>
    </row>
    <row r="97" spans="1:37" s="349" customFormat="1" ht="12.75" customHeight="1">
      <c r="A97" s="317"/>
      <c r="B97" s="64" t="s">
        <v>54</v>
      </c>
      <c r="C97" s="61">
        <v>94</v>
      </c>
      <c r="D97" s="64" t="b">
        <v>1</v>
      </c>
      <c r="E97" s="65"/>
      <c r="F97" s="355" t="s">
        <v>675</v>
      </c>
      <c r="G97" s="355" t="s">
        <v>676</v>
      </c>
      <c r="H97" s="65" t="s">
        <v>677</v>
      </c>
      <c r="I97" s="65" t="s">
        <v>678</v>
      </c>
      <c r="J97" s="65" t="s">
        <v>679</v>
      </c>
      <c r="K97" s="65" t="s">
        <v>189</v>
      </c>
      <c r="L97" s="350"/>
      <c r="M97" s="65"/>
      <c r="N97" s="65"/>
      <c r="O97" s="65"/>
      <c r="P97" s="65"/>
      <c r="Q97" s="65"/>
      <c r="R97" s="65"/>
      <c r="S97" s="65"/>
      <c r="T97" s="65"/>
      <c r="U97" s="65" t="str">
        <f t="shared" si="6"/>
        <v>Purge_IN_Pause_RS</v>
      </c>
      <c r="V97" s="64" t="s">
        <v>680</v>
      </c>
      <c r="W97" s="351" t="s">
        <v>235</v>
      </c>
      <c r="X97" s="65">
        <v>3920</v>
      </c>
      <c r="Y97" s="65" t="s">
        <v>275</v>
      </c>
      <c r="Z97" s="64" t="s">
        <v>371</v>
      </c>
      <c r="AA97" s="65">
        <v>10</v>
      </c>
      <c r="AB97" s="64" t="s">
        <v>225</v>
      </c>
      <c r="AC97" s="64" t="s">
        <v>161</v>
      </c>
      <c r="AD97" s="61" t="s">
        <v>162</v>
      </c>
      <c r="AE97" s="353" t="s">
        <v>293</v>
      </c>
      <c r="AF97" s="354">
        <v>0</v>
      </c>
      <c r="AG97" s="354">
        <v>7200</v>
      </c>
      <c r="AH97" s="354">
        <f t="shared" si="7"/>
        <v>0</v>
      </c>
      <c r="AI97" s="356"/>
      <c r="AJ97" s="363"/>
      <c r="AK97" s="373"/>
    </row>
    <row r="98" spans="1:37" s="349" customFormat="1" ht="12.75" customHeight="1">
      <c r="A98" s="317"/>
      <c r="B98" s="64" t="s">
        <v>54</v>
      </c>
      <c r="C98" s="61">
        <v>95</v>
      </c>
      <c r="D98" s="64" t="b">
        <v>1</v>
      </c>
      <c r="E98" s="65"/>
      <c r="F98" s="355" t="s">
        <v>681</v>
      </c>
      <c r="G98" s="355" t="s">
        <v>682</v>
      </c>
      <c r="H98" s="65" t="s">
        <v>683</v>
      </c>
      <c r="I98" s="65" t="s">
        <v>684</v>
      </c>
      <c r="J98" s="65" t="s">
        <v>685</v>
      </c>
      <c r="K98" s="65" t="s">
        <v>189</v>
      </c>
      <c r="L98" s="350"/>
      <c r="M98" s="65"/>
      <c r="N98" s="65"/>
      <c r="O98" s="65"/>
      <c r="P98" s="65"/>
      <c r="Q98" s="65"/>
      <c r="R98" s="65"/>
      <c r="S98" s="65"/>
      <c r="T98" s="65"/>
      <c r="U98" s="65" t="str">
        <f t="shared" si="6"/>
        <v>Purge_IN_RS_2e_Time</v>
      </c>
      <c r="V98" s="64" t="s">
        <v>686</v>
      </c>
      <c r="W98" s="351" t="s">
        <v>235</v>
      </c>
      <c r="X98" s="65">
        <v>3920</v>
      </c>
      <c r="Y98" s="65" t="s">
        <v>275</v>
      </c>
      <c r="Z98" s="64" t="s">
        <v>371</v>
      </c>
      <c r="AA98" s="65">
        <v>11</v>
      </c>
      <c r="AB98" s="64" t="s">
        <v>225</v>
      </c>
      <c r="AC98" s="64" t="s">
        <v>161</v>
      </c>
      <c r="AD98" s="61" t="s">
        <v>162</v>
      </c>
      <c r="AE98" s="353" t="s">
        <v>293</v>
      </c>
      <c r="AF98" s="354">
        <v>0</v>
      </c>
      <c r="AG98" s="354">
        <v>7200</v>
      </c>
      <c r="AH98" s="354">
        <f t="shared" si="7"/>
        <v>0</v>
      </c>
      <c r="AI98" s="356"/>
      <c r="AJ98" s="363"/>
      <c r="AK98" s="373"/>
    </row>
    <row r="99" spans="1:37" s="349" customFormat="1" ht="12.75" customHeight="1">
      <c r="A99" s="317"/>
      <c r="B99" s="64" t="s">
        <v>54</v>
      </c>
      <c r="C99" s="61">
        <v>96</v>
      </c>
      <c r="D99" s="64" t="b">
        <v>1</v>
      </c>
      <c r="E99" s="65"/>
      <c r="F99" s="355" t="s">
        <v>687</v>
      </c>
      <c r="G99" s="355" t="s">
        <v>688</v>
      </c>
      <c r="H99" s="65" t="s">
        <v>689</v>
      </c>
      <c r="I99" s="65" t="s">
        <v>690</v>
      </c>
      <c r="J99" s="65" t="s">
        <v>691</v>
      </c>
      <c r="K99" s="65" t="s">
        <v>189</v>
      </c>
      <c r="L99" s="350"/>
      <c r="M99" s="65"/>
      <c r="N99" s="65"/>
      <c r="O99" s="65"/>
      <c r="P99" s="65"/>
      <c r="Q99" s="65"/>
      <c r="R99" s="65"/>
      <c r="S99" s="65"/>
      <c r="T99" s="65"/>
      <c r="U99" s="65" t="str">
        <f t="shared" si="6"/>
        <v>Purge_EX_RS_1e_Time</v>
      </c>
      <c r="V99" s="64" t="s">
        <v>692</v>
      </c>
      <c r="W99" s="351" t="s">
        <v>235</v>
      </c>
      <c r="X99" s="65">
        <v>3920</v>
      </c>
      <c r="Y99" s="65" t="s">
        <v>275</v>
      </c>
      <c r="Z99" s="64" t="s">
        <v>371</v>
      </c>
      <c r="AA99" s="65">
        <v>12</v>
      </c>
      <c r="AB99" s="64" t="s">
        <v>225</v>
      </c>
      <c r="AC99" s="64" t="s">
        <v>161</v>
      </c>
      <c r="AD99" s="61" t="s">
        <v>162</v>
      </c>
      <c r="AE99" s="353" t="s">
        <v>293</v>
      </c>
      <c r="AF99" s="354">
        <v>0</v>
      </c>
      <c r="AG99" s="354">
        <v>7200</v>
      </c>
      <c r="AH99" s="354">
        <f t="shared" si="7"/>
        <v>0</v>
      </c>
      <c r="AI99" s="356"/>
      <c r="AJ99" s="363"/>
      <c r="AK99" s="373"/>
    </row>
    <row r="100" spans="1:37" s="349" customFormat="1" ht="12.75" customHeight="1">
      <c r="A100" s="317"/>
      <c r="B100" s="64" t="s">
        <v>54</v>
      </c>
      <c r="C100" s="61">
        <v>97</v>
      </c>
      <c r="D100" s="64" t="b">
        <v>1</v>
      </c>
      <c r="E100" s="65"/>
      <c r="F100" s="355" t="s">
        <v>693</v>
      </c>
      <c r="G100" s="355" t="s">
        <v>694</v>
      </c>
      <c r="H100" s="65" t="s">
        <v>695</v>
      </c>
      <c r="I100" s="65" t="s">
        <v>696</v>
      </c>
      <c r="J100" s="65" t="s">
        <v>697</v>
      </c>
      <c r="K100" s="65" t="s">
        <v>189</v>
      </c>
      <c r="L100" s="350"/>
      <c r="M100" s="65"/>
      <c r="N100" s="65"/>
      <c r="O100" s="65"/>
      <c r="P100" s="65"/>
      <c r="Q100" s="65"/>
      <c r="R100" s="65"/>
      <c r="S100" s="65"/>
      <c r="T100" s="65"/>
      <c r="U100" s="65" t="str">
        <f t="shared" si="6"/>
        <v>Purge_EX_Pause_RS</v>
      </c>
      <c r="V100" s="64" t="s">
        <v>698</v>
      </c>
      <c r="W100" s="351" t="s">
        <v>235</v>
      </c>
      <c r="X100" s="65">
        <v>3920</v>
      </c>
      <c r="Y100" s="65" t="s">
        <v>275</v>
      </c>
      <c r="Z100" s="64" t="s">
        <v>371</v>
      </c>
      <c r="AA100" s="65">
        <v>13</v>
      </c>
      <c r="AB100" s="64" t="s">
        <v>225</v>
      </c>
      <c r="AC100" s="64" t="s">
        <v>161</v>
      </c>
      <c r="AD100" s="61" t="s">
        <v>162</v>
      </c>
      <c r="AE100" s="353" t="s">
        <v>293</v>
      </c>
      <c r="AF100" s="354">
        <v>0</v>
      </c>
      <c r="AG100" s="354">
        <v>7200</v>
      </c>
      <c r="AH100" s="354">
        <f t="shared" si="7"/>
        <v>0</v>
      </c>
      <c r="AI100" s="356"/>
      <c r="AJ100" s="363"/>
      <c r="AK100" s="373"/>
    </row>
    <row r="101" spans="1:37" s="349" customFormat="1" ht="12.75" customHeight="1">
      <c r="A101" s="317"/>
      <c r="B101" s="64" t="s">
        <v>54</v>
      </c>
      <c r="C101" s="61">
        <v>98</v>
      </c>
      <c r="D101" s="64" t="b">
        <v>1</v>
      </c>
      <c r="E101" s="65"/>
      <c r="F101" s="355" t="s">
        <v>699</v>
      </c>
      <c r="G101" s="355" t="s">
        <v>700</v>
      </c>
      <c r="H101" s="65" t="s">
        <v>701</v>
      </c>
      <c r="I101" s="65" t="s">
        <v>702</v>
      </c>
      <c r="J101" s="65" t="s">
        <v>703</v>
      </c>
      <c r="K101" s="65" t="s">
        <v>189</v>
      </c>
      <c r="L101" s="350"/>
      <c r="M101" s="65"/>
      <c r="N101" s="65"/>
      <c r="O101" s="65"/>
      <c r="P101" s="65"/>
      <c r="Q101" s="65"/>
      <c r="R101" s="65"/>
      <c r="S101" s="65"/>
      <c r="T101" s="65"/>
      <c r="U101" s="65" t="str">
        <f t="shared" si="6"/>
        <v>Purge_EX_RS_2e_Time</v>
      </c>
      <c r="V101" s="64" t="s">
        <v>704</v>
      </c>
      <c r="W101" s="351" t="s">
        <v>235</v>
      </c>
      <c r="X101" s="65">
        <v>3920</v>
      </c>
      <c r="Y101" s="65" t="s">
        <v>275</v>
      </c>
      <c r="Z101" s="64" t="s">
        <v>371</v>
      </c>
      <c r="AA101" s="65">
        <v>14</v>
      </c>
      <c r="AB101" s="64" t="s">
        <v>225</v>
      </c>
      <c r="AC101" s="64" t="s">
        <v>161</v>
      </c>
      <c r="AD101" s="61" t="s">
        <v>162</v>
      </c>
      <c r="AE101" s="353" t="s">
        <v>293</v>
      </c>
      <c r="AF101" s="354">
        <v>0</v>
      </c>
      <c r="AG101" s="354">
        <v>7200</v>
      </c>
      <c r="AH101" s="354">
        <f t="shared" si="7"/>
        <v>0</v>
      </c>
      <c r="AI101" s="356"/>
      <c r="AJ101" s="363"/>
      <c r="AK101" s="373"/>
    </row>
    <row r="102" spans="1:37" s="349" customFormat="1" ht="12.75" customHeight="1">
      <c r="A102" s="317"/>
      <c r="B102" s="64" t="s">
        <v>54</v>
      </c>
      <c r="C102" s="61">
        <v>99</v>
      </c>
      <c r="D102" s="64" t="b">
        <v>1</v>
      </c>
      <c r="E102" s="65"/>
      <c r="F102" s="355" t="s">
        <v>705</v>
      </c>
      <c r="G102" s="355" t="s">
        <v>706</v>
      </c>
      <c r="H102" s="65" t="s">
        <v>707</v>
      </c>
      <c r="I102" s="65" t="s">
        <v>708</v>
      </c>
      <c r="J102" s="65" t="s">
        <v>709</v>
      </c>
      <c r="K102" s="65" t="s">
        <v>189</v>
      </c>
      <c r="L102" s="350"/>
      <c r="M102" s="65"/>
      <c r="N102" s="65"/>
      <c r="O102" s="65"/>
      <c r="P102" s="65"/>
      <c r="Q102" s="65"/>
      <c r="R102" s="65"/>
      <c r="S102" s="65"/>
      <c r="T102" s="65"/>
      <c r="U102" s="65" t="str">
        <f t="shared" si="6"/>
        <v>Time_Venting</v>
      </c>
      <c r="V102" s="64" t="s">
        <v>710</v>
      </c>
      <c r="W102" s="351" t="s">
        <v>235</v>
      </c>
      <c r="X102" s="65">
        <v>3920</v>
      </c>
      <c r="Y102" s="65" t="s">
        <v>275</v>
      </c>
      <c r="Z102" s="64" t="s">
        <v>371</v>
      </c>
      <c r="AA102" s="65">
        <v>15</v>
      </c>
      <c r="AB102" s="64" t="s">
        <v>225</v>
      </c>
      <c r="AC102" s="64" t="s">
        <v>161</v>
      </c>
      <c r="AD102" s="61" t="s">
        <v>162</v>
      </c>
      <c r="AE102" s="353" t="s">
        <v>293</v>
      </c>
      <c r="AF102" s="354">
        <v>0</v>
      </c>
      <c r="AG102" s="354">
        <v>7200</v>
      </c>
      <c r="AH102" s="354">
        <f t="shared" si="7"/>
        <v>0</v>
      </c>
      <c r="AI102" s="356"/>
      <c r="AJ102" s="363"/>
      <c r="AK102" s="373"/>
    </row>
    <row r="103" spans="1:37" s="349" customFormat="1" ht="12.75" customHeight="1">
      <c r="A103" s="317"/>
      <c r="B103" s="64" t="s">
        <v>54</v>
      </c>
      <c r="C103" s="61">
        <v>100</v>
      </c>
      <c r="D103" s="64" t="b">
        <v>1</v>
      </c>
      <c r="E103" s="65"/>
      <c r="F103" s="355" t="s">
        <v>711</v>
      </c>
      <c r="G103" s="355" t="s">
        <v>712</v>
      </c>
      <c r="H103" s="65" t="s">
        <v>713</v>
      </c>
      <c r="I103" s="65" t="s">
        <v>714</v>
      </c>
      <c r="J103" s="65" t="s">
        <v>715</v>
      </c>
      <c r="K103" s="65" t="s">
        <v>189</v>
      </c>
      <c r="L103" s="350"/>
      <c r="M103" s="65"/>
      <c r="N103" s="65"/>
      <c r="O103" s="65"/>
      <c r="P103" s="65"/>
      <c r="Q103" s="65"/>
      <c r="R103" s="65"/>
      <c r="S103" s="65"/>
      <c r="T103" s="65"/>
      <c r="U103" s="65" t="str">
        <f t="shared" si="6"/>
        <v>Purging_Drain</v>
      </c>
      <c r="V103" s="64" t="s">
        <v>716</v>
      </c>
      <c r="W103" s="351" t="s">
        <v>235</v>
      </c>
      <c r="X103" s="65">
        <v>3920</v>
      </c>
      <c r="Y103" s="65" t="s">
        <v>275</v>
      </c>
      <c r="Z103" s="64" t="s">
        <v>371</v>
      </c>
      <c r="AA103" s="65">
        <v>16</v>
      </c>
      <c r="AB103" s="64" t="s">
        <v>225</v>
      </c>
      <c r="AC103" s="64" t="s">
        <v>161</v>
      </c>
      <c r="AD103" s="61" t="s">
        <v>162</v>
      </c>
      <c r="AE103" s="353" t="s">
        <v>293</v>
      </c>
      <c r="AF103" s="354">
        <v>0</v>
      </c>
      <c r="AG103" s="354">
        <v>7200</v>
      </c>
      <c r="AH103" s="354">
        <f t="shared" si="7"/>
        <v>0</v>
      </c>
      <c r="AI103" s="356"/>
      <c r="AJ103" s="363"/>
      <c r="AK103" s="373"/>
    </row>
    <row r="104" spans="1:37" s="349" customFormat="1" ht="12.75" customHeight="1">
      <c r="A104" s="317"/>
      <c r="B104" s="64" t="s">
        <v>54</v>
      </c>
      <c r="C104" s="61">
        <v>101</v>
      </c>
      <c r="D104" s="64" t="b">
        <v>1</v>
      </c>
      <c r="E104" s="65" t="b">
        <v>1</v>
      </c>
      <c r="F104" s="395" t="s">
        <v>717</v>
      </c>
      <c r="G104" s="395" t="s">
        <v>718</v>
      </c>
      <c r="H104" s="391" t="s">
        <v>719</v>
      </c>
      <c r="I104" s="391" t="s">
        <v>720</v>
      </c>
      <c r="J104" s="391" t="s">
        <v>721</v>
      </c>
      <c r="K104" s="391" t="s">
        <v>219</v>
      </c>
      <c r="L104" s="392"/>
      <c r="M104" s="391"/>
      <c r="N104" s="391"/>
      <c r="O104" s="391"/>
      <c r="P104" s="391"/>
      <c r="Q104" s="391"/>
      <c r="R104" s="391"/>
      <c r="S104" s="391"/>
      <c r="T104" s="391"/>
      <c r="U104" s="391" t="str">
        <f t="shared" si="6"/>
        <v>Min_P_PurgeM1_Drain</v>
      </c>
      <c r="V104" s="396" t="s">
        <v>722</v>
      </c>
      <c r="W104" s="397" t="s">
        <v>235</v>
      </c>
      <c r="X104" s="391">
        <v>3920</v>
      </c>
      <c r="Y104" s="391" t="s">
        <v>275</v>
      </c>
      <c r="Z104" s="396" t="s">
        <v>371</v>
      </c>
      <c r="AA104" s="391">
        <v>17</v>
      </c>
      <c r="AB104" s="396" t="s">
        <v>225</v>
      </c>
      <c r="AC104" s="396" t="s">
        <v>161</v>
      </c>
      <c r="AD104" s="398" t="s">
        <v>638</v>
      </c>
      <c r="AE104" s="399" t="s">
        <v>372</v>
      </c>
      <c r="AF104" s="400">
        <v>0</v>
      </c>
      <c r="AG104" s="400">
        <v>10</v>
      </c>
      <c r="AH104" s="400">
        <f t="shared" si="7"/>
        <v>0</v>
      </c>
      <c r="AI104" s="393"/>
      <c r="AJ104" s="401"/>
      <c r="AK104" s="373"/>
    </row>
    <row r="105" spans="1:37" s="349" customFormat="1" ht="12.75" customHeight="1">
      <c r="A105" s="317"/>
      <c r="B105" s="64" t="s">
        <v>54</v>
      </c>
      <c r="C105" s="61">
        <v>102</v>
      </c>
      <c r="D105" s="64" t="b">
        <v>1</v>
      </c>
      <c r="E105" s="65" t="b">
        <v>1</v>
      </c>
      <c r="F105" s="395" t="s">
        <v>723</v>
      </c>
      <c r="G105" s="395" t="s">
        <v>724</v>
      </c>
      <c r="H105" s="391" t="s">
        <v>725</v>
      </c>
      <c r="I105" s="391" t="s">
        <v>726</v>
      </c>
      <c r="J105" s="391" t="s">
        <v>727</v>
      </c>
      <c r="K105" s="391" t="s">
        <v>219</v>
      </c>
      <c r="L105" s="392"/>
      <c r="M105" s="391"/>
      <c r="N105" s="391"/>
      <c r="O105" s="391"/>
      <c r="P105" s="391"/>
      <c r="Q105" s="391"/>
      <c r="R105" s="391"/>
      <c r="S105" s="391"/>
      <c r="T105" s="391"/>
      <c r="U105" s="391" t="str">
        <f t="shared" si="6"/>
        <v>Req_P_M1_Purging</v>
      </c>
      <c r="V105" s="396" t="s">
        <v>728</v>
      </c>
      <c r="W105" s="397" t="s">
        <v>235</v>
      </c>
      <c r="X105" s="391">
        <v>3920</v>
      </c>
      <c r="Y105" s="391" t="s">
        <v>275</v>
      </c>
      <c r="Z105" s="396" t="s">
        <v>371</v>
      </c>
      <c r="AA105" s="391">
        <v>18</v>
      </c>
      <c r="AB105" s="396" t="s">
        <v>225</v>
      </c>
      <c r="AC105" s="396" t="s">
        <v>161</v>
      </c>
      <c r="AD105" s="398" t="s">
        <v>638</v>
      </c>
      <c r="AE105" s="399" t="s">
        <v>227</v>
      </c>
      <c r="AF105" s="400">
        <v>10</v>
      </c>
      <c r="AG105" s="400">
        <v>100</v>
      </c>
      <c r="AH105" s="400">
        <f t="shared" si="7"/>
        <v>10</v>
      </c>
      <c r="AI105" s="393"/>
      <c r="AJ105" s="401"/>
      <c r="AK105" s="373"/>
    </row>
    <row r="106" spans="1:37" s="394" customFormat="1" ht="12.75" customHeight="1">
      <c r="A106" s="317"/>
      <c r="B106" s="64" t="s">
        <v>50</v>
      </c>
      <c r="C106" s="61">
        <v>103</v>
      </c>
      <c r="D106" s="65"/>
      <c r="E106" s="65"/>
      <c r="F106" s="355" t="s">
        <v>236</v>
      </c>
      <c r="G106" s="355"/>
      <c r="H106" s="65"/>
      <c r="I106" s="65"/>
      <c r="J106" s="65" t="s">
        <v>729</v>
      </c>
      <c r="K106" s="65"/>
      <c r="L106" s="350"/>
      <c r="M106" s="65"/>
      <c r="N106" s="65"/>
      <c r="O106" s="65"/>
      <c r="P106" s="65"/>
      <c r="Q106" s="65"/>
      <c r="R106" s="65"/>
      <c r="S106" s="65"/>
      <c r="T106" s="65"/>
      <c r="U106" s="65"/>
      <c r="V106" s="64"/>
      <c r="W106" s="351"/>
      <c r="X106" s="65"/>
      <c r="Y106" s="65"/>
      <c r="Z106" s="64"/>
      <c r="AA106" s="65"/>
      <c r="AB106" s="65"/>
      <c r="AC106" s="65"/>
      <c r="AD106" s="61"/>
      <c r="AE106" s="353"/>
      <c r="AF106" s="354"/>
      <c r="AG106" s="354"/>
      <c r="AH106" s="354"/>
      <c r="AI106" s="356"/>
      <c r="AJ106" s="363"/>
      <c r="AK106" s="364"/>
    </row>
    <row r="107" spans="1:37" s="349" customFormat="1" ht="12.75" customHeight="1">
      <c r="A107" s="317"/>
      <c r="B107" s="64" t="s">
        <v>54</v>
      </c>
      <c r="C107" s="61">
        <v>104</v>
      </c>
      <c r="D107" s="64" t="b">
        <v>1</v>
      </c>
      <c r="E107" s="65"/>
      <c r="F107" s="355" t="s">
        <v>730</v>
      </c>
      <c r="G107" s="355" t="s">
        <v>731</v>
      </c>
      <c r="H107" s="65" t="s">
        <v>732</v>
      </c>
      <c r="I107" s="65" t="s">
        <v>733</v>
      </c>
      <c r="J107" s="65" t="s">
        <v>734</v>
      </c>
      <c r="K107" s="65" t="s">
        <v>219</v>
      </c>
      <c r="L107" s="350"/>
      <c r="M107" s="65"/>
      <c r="N107" s="65"/>
      <c r="O107" s="65"/>
      <c r="P107" s="65"/>
      <c r="Q107" s="65"/>
      <c r="R107" s="65"/>
      <c r="S107" s="65"/>
      <c r="T107" s="65"/>
      <c r="U107" s="65" t="str">
        <f t="shared" ref="U107:U118" si="8">RIGHT(V107,LEN(V107)-5)</f>
        <v>WARN_P_CADI_Low</v>
      </c>
      <c r="V107" s="64" t="s">
        <v>735</v>
      </c>
      <c r="W107" s="351" t="s">
        <v>235</v>
      </c>
      <c r="X107" s="65">
        <v>3920</v>
      </c>
      <c r="Y107" s="65" t="s">
        <v>275</v>
      </c>
      <c r="Z107" s="64" t="s">
        <v>736</v>
      </c>
      <c r="AA107" s="65">
        <v>1</v>
      </c>
      <c r="AB107" s="64" t="s">
        <v>225</v>
      </c>
      <c r="AC107" s="64" t="s">
        <v>161</v>
      </c>
      <c r="AD107" s="61" t="s">
        <v>285</v>
      </c>
      <c r="AE107" s="353" t="s">
        <v>372</v>
      </c>
      <c r="AF107" s="354">
        <v>0</v>
      </c>
      <c r="AG107" s="354">
        <v>10</v>
      </c>
      <c r="AH107" s="354">
        <f t="shared" ref="AH107:AH118" si="9">AF107</f>
        <v>0</v>
      </c>
      <c r="AI107" s="356"/>
      <c r="AJ107" s="363"/>
      <c r="AK107" s="373"/>
    </row>
    <row r="108" spans="1:37" s="349" customFormat="1" ht="12.75" customHeight="1">
      <c r="A108" s="317"/>
      <c r="B108" s="64" t="s">
        <v>54</v>
      </c>
      <c r="C108" s="61">
        <v>105</v>
      </c>
      <c r="D108" s="64" t="b">
        <v>1</v>
      </c>
      <c r="E108" s="65"/>
      <c r="F108" s="355" t="s">
        <v>737</v>
      </c>
      <c r="G108" s="355" t="s">
        <v>738</v>
      </c>
      <c r="H108" s="65" t="s">
        <v>739</v>
      </c>
      <c r="I108" s="65" t="s">
        <v>740</v>
      </c>
      <c r="J108" s="65" t="s">
        <v>741</v>
      </c>
      <c r="K108" s="65" t="s">
        <v>219</v>
      </c>
      <c r="L108" s="350"/>
      <c r="M108" s="65"/>
      <c r="N108" s="65"/>
      <c r="O108" s="65"/>
      <c r="P108" s="65"/>
      <c r="Q108" s="65"/>
      <c r="R108" s="65"/>
      <c r="S108" s="65"/>
      <c r="T108" s="65"/>
      <c r="U108" s="65" t="str">
        <f t="shared" si="8"/>
        <v>WARN_P_CADI_High</v>
      </c>
      <c r="V108" s="64" t="s">
        <v>742</v>
      </c>
      <c r="W108" s="351" t="s">
        <v>235</v>
      </c>
      <c r="X108" s="65">
        <v>3920</v>
      </c>
      <c r="Y108" s="65" t="s">
        <v>275</v>
      </c>
      <c r="Z108" s="64" t="s">
        <v>736</v>
      </c>
      <c r="AA108" s="65">
        <v>2</v>
      </c>
      <c r="AB108" s="64" t="s">
        <v>225</v>
      </c>
      <c r="AC108" s="64" t="s">
        <v>161</v>
      </c>
      <c r="AD108" s="61" t="s">
        <v>285</v>
      </c>
      <c r="AE108" s="353" t="s">
        <v>372</v>
      </c>
      <c r="AF108" s="354">
        <v>0</v>
      </c>
      <c r="AG108" s="354">
        <v>10</v>
      </c>
      <c r="AH108" s="354">
        <f t="shared" si="9"/>
        <v>0</v>
      </c>
      <c r="AI108" s="356"/>
      <c r="AJ108" s="363"/>
      <c r="AK108" s="373"/>
    </row>
    <row r="109" spans="1:37" s="349" customFormat="1" ht="12.75" customHeight="1">
      <c r="A109" s="317"/>
      <c r="B109" s="64" t="s">
        <v>54</v>
      </c>
      <c r="C109" s="61">
        <v>106</v>
      </c>
      <c r="D109" s="64" t="b">
        <v>1</v>
      </c>
      <c r="E109" s="65"/>
      <c r="F109" s="355" t="s">
        <v>743</v>
      </c>
      <c r="G109" s="355" t="s">
        <v>744</v>
      </c>
      <c r="H109" s="65" t="s">
        <v>745</v>
      </c>
      <c r="I109" s="65" t="s">
        <v>746</v>
      </c>
      <c r="J109" s="65" t="s">
        <v>747</v>
      </c>
      <c r="K109" s="65" t="s">
        <v>219</v>
      </c>
      <c r="L109" s="350"/>
      <c r="M109" s="65"/>
      <c r="N109" s="65"/>
      <c r="O109" s="65"/>
      <c r="P109" s="65"/>
      <c r="Q109" s="65"/>
      <c r="R109" s="65"/>
      <c r="S109" s="65"/>
      <c r="T109" s="65"/>
      <c r="U109" s="65" t="str">
        <f t="shared" si="8"/>
        <v>WARN_P_WFI_Low</v>
      </c>
      <c r="V109" s="64" t="s">
        <v>748</v>
      </c>
      <c r="W109" s="351" t="s">
        <v>235</v>
      </c>
      <c r="X109" s="65">
        <v>3920</v>
      </c>
      <c r="Y109" s="65" t="s">
        <v>275</v>
      </c>
      <c r="Z109" s="64" t="s">
        <v>749</v>
      </c>
      <c r="AA109" s="65">
        <v>1</v>
      </c>
      <c r="AB109" s="64" t="s">
        <v>225</v>
      </c>
      <c r="AC109" s="64" t="s">
        <v>161</v>
      </c>
      <c r="AD109" s="61" t="s">
        <v>285</v>
      </c>
      <c r="AE109" s="353" t="s">
        <v>372</v>
      </c>
      <c r="AF109" s="354">
        <v>0</v>
      </c>
      <c r="AG109" s="354">
        <v>10</v>
      </c>
      <c r="AH109" s="354">
        <f t="shared" si="9"/>
        <v>0</v>
      </c>
      <c r="AI109" s="356"/>
      <c r="AJ109" s="363"/>
      <c r="AK109" s="373"/>
    </row>
    <row r="110" spans="1:37" s="349" customFormat="1" ht="12.75" customHeight="1">
      <c r="A110" s="317"/>
      <c r="B110" s="64" t="s">
        <v>54</v>
      </c>
      <c r="C110" s="61">
        <v>107</v>
      </c>
      <c r="D110" s="64" t="b">
        <v>1</v>
      </c>
      <c r="E110" s="65"/>
      <c r="F110" s="355" t="s">
        <v>750</v>
      </c>
      <c r="G110" s="355" t="s">
        <v>751</v>
      </c>
      <c r="H110" s="65" t="s">
        <v>752</v>
      </c>
      <c r="I110" s="65" t="s">
        <v>753</v>
      </c>
      <c r="J110" s="65" t="s">
        <v>754</v>
      </c>
      <c r="K110" s="65" t="s">
        <v>219</v>
      </c>
      <c r="L110" s="350"/>
      <c r="M110" s="65"/>
      <c r="N110" s="65"/>
      <c r="O110" s="65"/>
      <c r="P110" s="65"/>
      <c r="Q110" s="65"/>
      <c r="R110" s="65"/>
      <c r="S110" s="65"/>
      <c r="T110" s="65"/>
      <c r="U110" s="65" t="str">
        <f t="shared" si="8"/>
        <v>WARN_P_WFI_High</v>
      </c>
      <c r="V110" s="64" t="s">
        <v>755</v>
      </c>
      <c r="W110" s="351" t="s">
        <v>235</v>
      </c>
      <c r="X110" s="65">
        <v>3920</v>
      </c>
      <c r="Y110" s="65" t="s">
        <v>275</v>
      </c>
      <c r="Z110" s="64" t="s">
        <v>749</v>
      </c>
      <c r="AA110" s="65">
        <v>2</v>
      </c>
      <c r="AB110" s="64" t="s">
        <v>225</v>
      </c>
      <c r="AC110" s="64" t="s">
        <v>161</v>
      </c>
      <c r="AD110" s="61" t="s">
        <v>285</v>
      </c>
      <c r="AE110" s="353" t="s">
        <v>372</v>
      </c>
      <c r="AF110" s="354">
        <v>0</v>
      </c>
      <c r="AG110" s="354">
        <v>10</v>
      </c>
      <c r="AH110" s="354">
        <f t="shared" si="9"/>
        <v>0</v>
      </c>
      <c r="AI110" s="356"/>
      <c r="AJ110" s="363"/>
      <c r="AK110" s="373"/>
    </row>
    <row r="111" spans="1:37" s="349" customFormat="1" ht="12.75" customHeight="1">
      <c r="A111" s="317"/>
      <c r="B111" s="64" t="s">
        <v>54</v>
      </c>
      <c r="C111" s="61">
        <v>108</v>
      </c>
      <c r="D111" s="64" t="b">
        <v>1</v>
      </c>
      <c r="E111" s="65"/>
      <c r="F111" s="355" t="s">
        <v>756</v>
      </c>
      <c r="G111" s="355" t="s">
        <v>757</v>
      </c>
      <c r="H111" s="65" t="s">
        <v>758</v>
      </c>
      <c r="I111" s="65" t="s">
        <v>759</v>
      </c>
      <c r="J111" s="65" t="s">
        <v>760</v>
      </c>
      <c r="K111" s="65" t="s">
        <v>219</v>
      </c>
      <c r="L111" s="350"/>
      <c r="M111" s="65"/>
      <c r="N111" s="65"/>
      <c r="O111" s="65"/>
      <c r="P111" s="65"/>
      <c r="Q111" s="65"/>
      <c r="R111" s="65"/>
      <c r="S111" s="65"/>
      <c r="T111" s="65"/>
      <c r="U111" s="65" t="str">
        <f t="shared" si="8"/>
        <v>WARN_T_WFI_Low</v>
      </c>
      <c r="V111" s="64" t="s">
        <v>761</v>
      </c>
      <c r="W111" s="351" t="s">
        <v>235</v>
      </c>
      <c r="X111" s="65">
        <v>3920</v>
      </c>
      <c r="Y111" s="65" t="s">
        <v>275</v>
      </c>
      <c r="Z111" s="64" t="s">
        <v>749</v>
      </c>
      <c r="AA111" s="65">
        <v>3</v>
      </c>
      <c r="AB111" s="64" t="s">
        <v>225</v>
      </c>
      <c r="AC111" s="64" t="s">
        <v>161</v>
      </c>
      <c r="AD111" s="61" t="s">
        <v>285</v>
      </c>
      <c r="AE111" s="353" t="s">
        <v>463</v>
      </c>
      <c r="AF111" s="354">
        <v>0</v>
      </c>
      <c r="AG111" s="354">
        <v>150</v>
      </c>
      <c r="AH111" s="354">
        <f t="shared" si="9"/>
        <v>0</v>
      </c>
      <c r="AI111" s="356"/>
      <c r="AJ111" s="363"/>
      <c r="AK111" s="373"/>
    </row>
    <row r="112" spans="1:37" s="349" customFormat="1" ht="12.75" customHeight="1">
      <c r="A112" s="317"/>
      <c r="B112" s="64" t="s">
        <v>54</v>
      </c>
      <c r="C112" s="61">
        <v>109</v>
      </c>
      <c r="D112" s="64" t="b">
        <v>1</v>
      </c>
      <c r="E112" s="65"/>
      <c r="F112" s="355" t="s">
        <v>762</v>
      </c>
      <c r="G112" s="355" t="s">
        <v>763</v>
      </c>
      <c r="H112" s="65" t="s">
        <v>764</v>
      </c>
      <c r="I112" s="65" t="s">
        <v>765</v>
      </c>
      <c r="J112" s="65" t="s">
        <v>766</v>
      </c>
      <c r="K112" s="65" t="s">
        <v>219</v>
      </c>
      <c r="L112" s="350"/>
      <c r="M112" s="65"/>
      <c r="N112" s="65"/>
      <c r="O112" s="65"/>
      <c r="P112" s="65"/>
      <c r="Q112" s="65"/>
      <c r="R112" s="65"/>
      <c r="S112" s="65"/>
      <c r="T112" s="65"/>
      <c r="U112" s="65" t="str">
        <f t="shared" si="8"/>
        <v>WARN_T_WFI_High</v>
      </c>
      <c r="V112" s="64" t="s">
        <v>767</v>
      </c>
      <c r="W112" s="351" t="s">
        <v>235</v>
      </c>
      <c r="X112" s="65">
        <v>3920</v>
      </c>
      <c r="Y112" s="65" t="s">
        <v>275</v>
      </c>
      <c r="Z112" s="64" t="s">
        <v>749</v>
      </c>
      <c r="AA112" s="65">
        <v>4</v>
      </c>
      <c r="AB112" s="64" t="s">
        <v>225</v>
      </c>
      <c r="AC112" s="64" t="s">
        <v>161</v>
      </c>
      <c r="AD112" s="61" t="s">
        <v>285</v>
      </c>
      <c r="AE112" s="353" t="s">
        <v>463</v>
      </c>
      <c r="AF112" s="354">
        <v>0</v>
      </c>
      <c r="AG112" s="354">
        <v>150</v>
      </c>
      <c r="AH112" s="354">
        <f t="shared" si="9"/>
        <v>0</v>
      </c>
      <c r="AI112" s="356"/>
      <c r="AJ112" s="363"/>
      <c r="AK112" s="373"/>
    </row>
    <row r="113" spans="1:37" s="349" customFormat="1" ht="12.75" customHeight="1">
      <c r="A113" s="317"/>
      <c r="B113" s="64" t="s">
        <v>54</v>
      </c>
      <c r="C113" s="61">
        <v>110</v>
      </c>
      <c r="D113" s="64" t="b">
        <v>1</v>
      </c>
      <c r="E113" s="65"/>
      <c r="F113" s="366" t="s">
        <v>768</v>
      </c>
      <c r="G113" s="367" t="s">
        <v>769</v>
      </c>
      <c r="H113" s="368" t="s">
        <v>770</v>
      </c>
      <c r="I113" s="65" t="s">
        <v>771</v>
      </c>
      <c r="J113" s="65" t="s">
        <v>772</v>
      </c>
      <c r="K113" s="65" t="s">
        <v>219</v>
      </c>
      <c r="L113" s="350"/>
      <c r="M113" s="65"/>
      <c r="N113" s="65"/>
      <c r="O113" s="65"/>
      <c r="P113" s="65"/>
      <c r="Q113" s="65"/>
      <c r="R113" s="65"/>
      <c r="S113" s="65"/>
      <c r="T113" s="65"/>
      <c r="U113" s="65" t="str">
        <f>RIGHT(V113,LEN(V113)-5)</f>
        <v>21FET1_ALL</v>
      </c>
      <c r="V113" s="65" t="s">
        <v>773</v>
      </c>
      <c r="W113" s="351" t="s">
        <v>235</v>
      </c>
      <c r="X113" s="65">
        <v>3920</v>
      </c>
      <c r="Y113" s="65" t="s">
        <v>275</v>
      </c>
      <c r="Z113" s="65" t="s">
        <v>774</v>
      </c>
      <c r="AA113" s="65">
        <v>1</v>
      </c>
      <c r="AB113" s="64" t="s">
        <v>225</v>
      </c>
      <c r="AC113" s="64" t="s">
        <v>161</v>
      </c>
      <c r="AD113" s="61" t="s">
        <v>285</v>
      </c>
      <c r="AE113" s="352" t="s">
        <v>775</v>
      </c>
      <c r="AF113" s="369">
        <v>0</v>
      </c>
      <c r="AG113" s="369">
        <v>1</v>
      </c>
      <c r="AH113" s="354">
        <f t="shared" si="9"/>
        <v>0</v>
      </c>
      <c r="AI113" s="356"/>
      <c r="AJ113" s="363"/>
      <c r="AK113" s="373"/>
    </row>
    <row r="114" spans="1:37" s="349" customFormat="1" ht="12.75" customHeight="1">
      <c r="A114" s="317"/>
      <c r="B114" s="64" t="s">
        <v>54</v>
      </c>
      <c r="C114" s="61">
        <v>111</v>
      </c>
      <c r="D114" s="64" t="b">
        <v>1</v>
      </c>
      <c r="E114" s="65"/>
      <c r="F114" s="366" t="s">
        <v>776</v>
      </c>
      <c r="G114" s="367" t="s">
        <v>777</v>
      </c>
      <c r="H114" s="368" t="s">
        <v>778</v>
      </c>
      <c r="I114" s="65" t="s">
        <v>779</v>
      </c>
      <c r="J114" s="65" t="s">
        <v>780</v>
      </c>
      <c r="K114" s="65" t="s">
        <v>219</v>
      </c>
      <c r="L114" s="350"/>
      <c r="M114" s="65"/>
      <c r="N114" s="65"/>
      <c r="O114" s="65"/>
      <c r="P114" s="65"/>
      <c r="Q114" s="65"/>
      <c r="R114" s="65"/>
      <c r="S114" s="65"/>
      <c r="T114" s="65"/>
      <c r="U114" s="65" t="str">
        <f t="shared" si="8"/>
        <v>21FET1_AHH</v>
      </c>
      <c r="V114" s="65" t="s">
        <v>781</v>
      </c>
      <c r="W114" s="351" t="s">
        <v>235</v>
      </c>
      <c r="X114" s="65">
        <v>3920</v>
      </c>
      <c r="Y114" s="65" t="s">
        <v>275</v>
      </c>
      <c r="Z114" s="65" t="s">
        <v>774</v>
      </c>
      <c r="AA114" s="65">
        <v>2</v>
      </c>
      <c r="AB114" s="64" t="s">
        <v>225</v>
      </c>
      <c r="AC114" s="64" t="s">
        <v>161</v>
      </c>
      <c r="AD114" s="61" t="s">
        <v>285</v>
      </c>
      <c r="AE114" s="352" t="s">
        <v>775</v>
      </c>
      <c r="AF114" s="369">
        <v>0</v>
      </c>
      <c r="AG114" s="369">
        <v>1</v>
      </c>
      <c r="AH114" s="354">
        <f t="shared" si="9"/>
        <v>0</v>
      </c>
      <c r="AI114" s="356"/>
      <c r="AJ114" s="363"/>
      <c r="AK114" s="373"/>
    </row>
    <row r="115" spans="1:37" s="349" customFormat="1" ht="12.75" customHeight="1">
      <c r="A115" s="317"/>
      <c r="B115" s="64" t="s">
        <v>54</v>
      </c>
      <c r="C115" s="61">
        <v>112</v>
      </c>
      <c r="D115" s="64" t="b">
        <v>1</v>
      </c>
      <c r="E115" s="65"/>
      <c r="F115" s="366" t="s">
        <v>782</v>
      </c>
      <c r="G115" s="367" t="s">
        <v>783</v>
      </c>
      <c r="H115" s="368" t="s">
        <v>784</v>
      </c>
      <c r="I115" s="65" t="s">
        <v>785</v>
      </c>
      <c r="J115" s="65" t="s">
        <v>786</v>
      </c>
      <c r="K115" s="65" t="s">
        <v>219</v>
      </c>
      <c r="L115" s="350"/>
      <c r="M115" s="65"/>
      <c r="N115" s="65"/>
      <c r="O115" s="65"/>
      <c r="P115" s="65"/>
      <c r="Q115" s="65"/>
      <c r="R115" s="65"/>
      <c r="S115" s="65"/>
      <c r="T115" s="65"/>
      <c r="U115" s="65" t="str">
        <f t="shared" si="8"/>
        <v>21FET1_Offset</v>
      </c>
      <c r="V115" s="65" t="s">
        <v>787</v>
      </c>
      <c r="W115" s="351" t="s">
        <v>235</v>
      </c>
      <c r="X115" s="65">
        <v>3920</v>
      </c>
      <c r="Y115" s="65" t="s">
        <v>275</v>
      </c>
      <c r="Z115" s="65" t="s">
        <v>774</v>
      </c>
      <c r="AA115" s="65">
        <v>3</v>
      </c>
      <c r="AB115" s="64" t="s">
        <v>225</v>
      </c>
      <c r="AC115" s="64" t="s">
        <v>161</v>
      </c>
      <c r="AD115" s="61" t="s">
        <v>276</v>
      </c>
      <c r="AE115" s="352" t="s">
        <v>775</v>
      </c>
      <c r="AF115" s="369">
        <v>-1</v>
      </c>
      <c r="AG115" s="369">
        <v>1</v>
      </c>
      <c r="AH115" s="354">
        <f t="shared" si="9"/>
        <v>-1</v>
      </c>
      <c r="AI115" s="356"/>
      <c r="AJ115" s="363"/>
      <c r="AK115" s="373"/>
    </row>
    <row r="116" spans="1:37" s="349" customFormat="1" ht="12.75" customHeight="1">
      <c r="A116" s="317"/>
      <c r="B116" s="64" t="s">
        <v>54</v>
      </c>
      <c r="C116" s="61">
        <v>113</v>
      </c>
      <c r="D116" s="64" t="b">
        <v>1</v>
      </c>
      <c r="E116" s="65"/>
      <c r="F116" s="366" t="s">
        <v>788</v>
      </c>
      <c r="G116" s="367" t="s">
        <v>789</v>
      </c>
      <c r="H116" s="368" t="s">
        <v>790</v>
      </c>
      <c r="I116" s="65" t="s">
        <v>791</v>
      </c>
      <c r="J116" s="65" t="s">
        <v>792</v>
      </c>
      <c r="K116" s="65" t="s">
        <v>219</v>
      </c>
      <c r="L116" s="350"/>
      <c r="M116" s="65"/>
      <c r="N116" s="65"/>
      <c r="O116" s="65"/>
      <c r="P116" s="65"/>
      <c r="Q116" s="65"/>
      <c r="R116" s="65"/>
      <c r="S116" s="65"/>
      <c r="T116" s="65"/>
      <c r="U116" s="65" t="str">
        <f t="shared" si="8"/>
        <v>61dPT1_ALL</v>
      </c>
      <c r="V116" s="65" t="s">
        <v>793</v>
      </c>
      <c r="W116" s="351" t="s">
        <v>235</v>
      </c>
      <c r="X116" s="65">
        <v>3920</v>
      </c>
      <c r="Y116" s="65" t="s">
        <v>379</v>
      </c>
      <c r="Z116" s="65" t="s">
        <v>774</v>
      </c>
      <c r="AA116" s="65">
        <v>4</v>
      </c>
      <c r="AB116" s="64" t="s">
        <v>225</v>
      </c>
      <c r="AC116" s="64" t="s">
        <v>161</v>
      </c>
      <c r="AD116" s="61" t="s">
        <v>285</v>
      </c>
      <c r="AE116" s="352" t="s">
        <v>794</v>
      </c>
      <c r="AF116" s="388">
        <v>0</v>
      </c>
      <c r="AG116" s="388">
        <v>600</v>
      </c>
      <c r="AH116" s="354">
        <f t="shared" si="9"/>
        <v>0</v>
      </c>
      <c r="AI116" s="356"/>
      <c r="AJ116" s="363"/>
      <c r="AK116" s="373"/>
    </row>
    <row r="117" spans="1:37" s="349" customFormat="1" ht="12.75" customHeight="1">
      <c r="A117" s="317"/>
      <c r="B117" s="64" t="s">
        <v>54</v>
      </c>
      <c r="C117" s="61">
        <v>114</v>
      </c>
      <c r="D117" s="64" t="b">
        <v>1</v>
      </c>
      <c r="E117" s="65"/>
      <c r="F117" s="366" t="s">
        <v>795</v>
      </c>
      <c r="G117" s="367" t="s">
        <v>796</v>
      </c>
      <c r="H117" s="368" t="s">
        <v>797</v>
      </c>
      <c r="I117" s="65" t="s">
        <v>798</v>
      </c>
      <c r="J117" s="65" t="s">
        <v>799</v>
      </c>
      <c r="K117" s="65" t="s">
        <v>219</v>
      </c>
      <c r="L117" s="350"/>
      <c r="M117" s="65"/>
      <c r="N117" s="65"/>
      <c r="O117" s="65"/>
      <c r="P117" s="65"/>
      <c r="Q117" s="65"/>
      <c r="R117" s="65"/>
      <c r="S117" s="65"/>
      <c r="T117" s="65"/>
      <c r="U117" s="65" t="str">
        <f t="shared" si="8"/>
        <v>61dPT1_AHH</v>
      </c>
      <c r="V117" s="65" t="s">
        <v>800</v>
      </c>
      <c r="W117" s="351" t="s">
        <v>235</v>
      </c>
      <c r="X117" s="65">
        <v>3920</v>
      </c>
      <c r="Y117" s="65" t="s">
        <v>379</v>
      </c>
      <c r="Z117" s="65" t="s">
        <v>774</v>
      </c>
      <c r="AA117" s="65">
        <v>5</v>
      </c>
      <c r="AB117" s="64" t="s">
        <v>225</v>
      </c>
      <c r="AC117" s="64" t="s">
        <v>161</v>
      </c>
      <c r="AD117" s="61" t="s">
        <v>285</v>
      </c>
      <c r="AE117" s="352" t="s">
        <v>794</v>
      </c>
      <c r="AF117" s="388">
        <v>0</v>
      </c>
      <c r="AG117" s="388">
        <v>600</v>
      </c>
      <c r="AH117" s="354">
        <f t="shared" si="9"/>
        <v>0</v>
      </c>
      <c r="AI117" s="356"/>
      <c r="AJ117" s="363"/>
      <c r="AK117" s="373"/>
    </row>
    <row r="118" spans="1:37" s="349" customFormat="1" ht="12.75" customHeight="1">
      <c r="A118" s="317"/>
      <c r="B118" s="64" t="s">
        <v>54</v>
      </c>
      <c r="C118" s="61">
        <v>115</v>
      </c>
      <c r="D118" s="64" t="b">
        <v>1</v>
      </c>
      <c r="E118" s="65"/>
      <c r="F118" s="355" t="s">
        <v>801</v>
      </c>
      <c r="G118" s="355" t="s">
        <v>802</v>
      </c>
      <c r="H118" s="65" t="s">
        <v>803</v>
      </c>
      <c r="I118" s="65" t="s">
        <v>804</v>
      </c>
      <c r="J118" s="65" t="s">
        <v>805</v>
      </c>
      <c r="K118" s="65" t="s">
        <v>219</v>
      </c>
      <c r="L118" s="350"/>
      <c r="M118" s="65"/>
      <c r="N118" s="65"/>
      <c r="O118" s="65"/>
      <c r="P118" s="65"/>
      <c r="Q118" s="65"/>
      <c r="R118" s="65"/>
      <c r="S118" s="65"/>
      <c r="T118" s="65"/>
      <c r="U118" s="65" t="str">
        <f t="shared" si="8"/>
        <v>36ZS2_MaxAcc</v>
      </c>
      <c r="V118" s="65" t="s">
        <v>806</v>
      </c>
      <c r="W118" s="351" t="s">
        <v>235</v>
      </c>
      <c r="X118" s="65">
        <v>3920</v>
      </c>
      <c r="Y118" s="65" t="s">
        <v>275</v>
      </c>
      <c r="Z118" s="64" t="s">
        <v>224</v>
      </c>
      <c r="AA118" s="65">
        <v>16</v>
      </c>
      <c r="AB118" s="64" t="s">
        <v>225</v>
      </c>
      <c r="AC118" s="64" t="s">
        <v>161</v>
      </c>
      <c r="AD118" s="61" t="s">
        <v>226</v>
      </c>
      <c r="AE118" s="353" t="s">
        <v>306</v>
      </c>
      <c r="AF118" s="388">
        <v>70</v>
      </c>
      <c r="AG118" s="354">
        <v>500</v>
      </c>
      <c r="AH118" s="354">
        <f t="shared" si="9"/>
        <v>70</v>
      </c>
      <c r="AI118" s="356"/>
      <c r="AJ118" s="363"/>
      <c r="AK118" s="373"/>
    </row>
    <row r="119" spans="1:37" s="304" customFormat="1" ht="12.75" customHeight="1">
      <c r="A119" s="317"/>
      <c r="B119" s="64" t="s">
        <v>15</v>
      </c>
      <c r="C119" s="61">
        <v>116</v>
      </c>
      <c r="D119" s="64"/>
      <c r="E119" s="65"/>
      <c r="F119" s="366"/>
      <c r="G119" s="367"/>
      <c r="H119" s="368"/>
      <c r="I119" s="65"/>
      <c r="J119" s="65"/>
      <c r="K119" s="65"/>
      <c r="L119" s="350"/>
      <c r="M119" s="65"/>
      <c r="N119" s="65"/>
      <c r="O119" s="65"/>
      <c r="P119" s="65"/>
      <c r="Q119" s="65"/>
      <c r="R119" s="65"/>
      <c r="S119" s="65"/>
      <c r="T119" s="65"/>
      <c r="U119" s="65"/>
      <c r="V119" s="65"/>
      <c r="W119" s="351"/>
      <c r="X119" s="65"/>
      <c r="Y119" s="65"/>
      <c r="Z119" s="65"/>
      <c r="AA119" s="65"/>
      <c r="AB119" s="65"/>
      <c r="AC119" s="65"/>
      <c r="AD119" s="61"/>
      <c r="AE119" s="352"/>
      <c r="AF119" s="369"/>
      <c r="AG119" s="369"/>
      <c r="AH119" s="354"/>
      <c r="AI119" s="356"/>
      <c r="AJ119" s="363"/>
      <c r="AK119" s="364"/>
    </row>
    <row r="120" spans="1:37" s="304" customFormat="1" ht="12.75" customHeight="1">
      <c r="A120" s="317"/>
      <c r="B120" s="64" t="s">
        <v>15</v>
      </c>
      <c r="C120" s="61">
        <v>117</v>
      </c>
      <c r="D120" s="64"/>
      <c r="E120" s="65"/>
      <c r="F120" s="366"/>
      <c r="G120" s="367"/>
      <c r="H120" s="368"/>
      <c r="I120" s="65"/>
      <c r="J120" s="65"/>
      <c r="K120" s="65"/>
      <c r="L120" s="350"/>
      <c r="M120" s="65"/>
      <c r="N120" s="65"/>
      <c r="O120" s="65"/>
      <c r="P120" s="65"/>
      <c r="Q120" s="65"/>
      <c r="R120" s="65"/>
      <c r="S120" s="65"/>
      <c r="T120" s="65"/>
      <c r="U120" s="65"/>
      <c r="V120" s="65"/>
      <c r="W120" s="351"/>
      <c r="X120" s="65"/>
      <c r="Y120" s="65"/>
      <c r="Z120" s="65"/>
      <c r="AA120" s="65"/>
      <c r="AB120" s="65"/>
      <c r="AC120" s="65"/>
      <c r="AD120" s="61"/>
      <c r="AE120" s="352"/>
      <c r="AF120" s="369"/>
      <c r="AG120" s="369"/>
      <c r="AH120" s="354"/>
      <c r="AI120" s="356"/>
      <c r="AJ120" s="363"/>
      <c r="AK120" s="364"/>
    </row>
    <row r="121" spans="1:37" s="304" customFormat="1" ht="12.75" customHeight="1">
      <c r="A121" s="317"/>
      <c r="B121" s="64" t="s">
        <v>15</v>
      </c>
      <c r="C121" s="61">
        <v>118</v>
      </c>
      <c r="D121" s="64"/>
      <c r="E121" s="65"/>
      <c r="F121" s="366"/>
      <c r="G121" s="367"/>
      <c r="H121" s="368"/>
      <c r="I121" s="65"/>
      <c r="J121" s="65"/>
      <c r="K121" s="65"/>
      <c r="L121" s="350"/>
      <c r="M121" s="65"/>
      <c r="N121" s="65"/>
      <c r="O121" s="65"/>
      <c r="P121" s="65"/>
      <c r="Q121" s="65"/>
      <c r="R121" s="65"/>
      <c r="S121" s="65"/>
      <c r="T121" s="65"/>
      <c r="U121" s="65"/>
      <c r="V121" s="65"/>
      <c r="W121" s="351"/>
      <c r="X121" s="65"/>
      <c r="Y121" s="65"/>
      <c r="Z121" s="65"/>
      <c r="AA121" s="65"/>
      <c r="AB121" s="65"/>
      <c r="AC121" s="65"/>
      <c r="AD121" s="61"/>
      <c r="AE121" s="352"/>
      <c r="AF121" s="388"/>
      <c r="AG121" s="388"/>
      <c r="AH121" s="354"/>
      <c r="AI121" s="356"/>
      <c r="AJ121" s="363"/>
      <c r="AK121" s="364"/>
    </row>
    <row r="122" spans="1:37" s="304" customFormat="1" ht="12.75" customHeight="1">
      <c r="A122" s="317"/>
      <c r="B122" s="64" t="s">
        <v>15</v>
      </c>
      <c r="C122" s="61">
        <v>119</v>
      </c>
      <c r="D122" s="64"/>
      <c r="E122" s="65"/>
      <c r="F122" s="366"/>
      <c r="G122" s="367"/>
      <c r="H122" s="368"/>
      <c r="I122" s="65"/>
      <c r="J122" s="65"/>
      <c r="K122" s="65"/>
      <c r="L122" s="350"/>
      <c r="M122" s="65"/>
      <c r="N122" s="65"/>
      <c r="O122" s="65"/>
      <c r="P122" s="65"/>
      <c r="Q122" s="65"/>
      <c r="R122" s="65"/>
      <c r="S122" s="65"/>
      <c r="T122" s="65"/>
      <c r="U122" s="65"/>
      <c r="V122" s="65"/>
      <c r="W122" s="351"/>
      <c r="X122" s="65"/>
      <c r="Y122" s="65"/>
      <c r="Z122" s="65"/>
      <c r="AA122" s="65"/>
      <c r="AB122" s="65"/>
      <c r="AC122" s="65"/>
      <c r="AD122" s="61"/>
      <c r="AE122" s="352"/>
      <c r="AF122" s="388"/>
      <c r="AG122" s="388"/>
      <c r="AH122" s="354"/>
      <c r="AI122" s="356"/>
      <c r="AJ122" s="363"/>
      <c r="AK122" s="364"/>
    </row>
    <row r="123" spans="1:37" s="304" customFormat="1" ht="12.75" customHeight="1">
      <c r="A123" s="317"/>
      <c r="B123" s="64" t="s">
        <v>15</v>
      </c>
      <c r="C123" s="61">
        <v>120</v>
      </c>
      <c r="D123" s="64"/>
      <c r="E123" s="65"/>
      <c r="F123" s="355"/>
      <c r="G123" s="355"/>
      <c r="H123" s="65"/>
      <c r="I123" s="65"/>
      <c r="J123" s="65"/>
      <c r="K123" s="65"/>
      <c r="L123" s="350"/>
      <c r="M123" s="65"/>
      <c r="N123" s="65"/>
      <c r="O123" s="65"/>
      <c r="P123" s="65"/>
      <c r="Q123" s="65"/>
      <c r="R123" s="65"/>
      <c r="S123" s="65"/>
      <c r="T123" s="65"/>
      <c r="U123" s="65"/>
      <c r="V123" s="65"/>
      <c r="W123" s="351"/>
      <c r="X123" s="65"/>
      <c r="Y123" s="65"/>
      <c r="Z123" s="65"/>
      <c r="AA123" s="65"/>
      <c r="AB123" s="65"/>
      <c r="AC123" s="65"/>
      <c r="AD123" s="61"/>
      <c r="AE123" s="353"/>
      <c r="AF123" s="354"/>
      <c r="AG123" s="354"/>
      <c r="AH123" s="354"/>
      <c r="AI123" s="356"/>
      <c r="AJ123" s="363"/>
      <c r="AK123" s="364"/>
    </row>
    <row r="124" spans="1:37" s="304" customFormat="1" ht="12.75" customHeight="1">
      <c r="A124" s="317"/>
      <c r="B124" s="64" t="s">
        <v>15</v>
      </c>
      <c r="C124" s="61">
        <v>121</v>
      </c>
      <c r="D124" s="65"/>
      <c r="E124" s="65"/>
      <c r="F124" s="355"/>
      <c r="G124" s="355"/>
      <c r="H124" s="65"/>
      <c r="I124" s="65"/>
      <c r="J124" s="65"/>
      <c r="K124" s="65"/>
      <c r="L124" s="350"/>
      <c r="M124" s="65"/>
      <c r="N124" s="65"/>
      <c r="O124" s="65"/>
      <c r="P124" s="65"/>
      <c r="Q124" s="65"/>
      <c r="R124" s="65"/>
      <c r="S124" s="65"/>
      <c r="T124" s="65"/>
      <c r="U124" s="65"/>
      <c r="V124" s="65"/>
      <c r="W124" s="351"/>
      <c r="X124" s="65"/>
      <c r="Y124" s="65"/>
      <c r="Z124" s="65"/>
      <c r="AA124" s="65"/>
      <c r="AB124" s="65"/>
      <c r="AC124" s="65"/>
      <c r="AD124" s="61"/>
      <c r="AE124" s="353"/>
      <c r="AF124" s="354"/>
      <c r="AG124" s="354"/>
      <c r="AH124" s="354"/>
      <c r="AI124" s="356"/>
      <c r="AJ124" s="363"/>
      <c r="AK124" s="364"/>
    </row>
    <row r="125" spans="1:37" s="304" customFormat="1" ht="12.75" customHeight="1">
      <c r="A125" s="317"/>
      <c r="B125" s="64" t="s">
        <v>15</v>
      </c>
      <c r="C125" s="61">
        <v>122</v>
      </c>
      <c r="D125" s="65"/>
      <c r="E125" s="65"/>
      <c r="F125" s="355"/>
      <c r="G125" s="355"/>
      <c r="H125" s="65"/>
      <c r="I125" s="65"/>
      <c r="J125" s="65"/>
      <c r="K125" s="65"/>
      <c r="L125" s="350"/>
      <c r="M125" s="65"/>
      <c r="N125" s="65"/>
      <c r="O125" s="65"/>
      <c r="P125" s="65"/>
      <c r="Q125" s="65"/>
      <c r="R125" s="65"/>
      <c r="S125" s="65"/>
      <c r="T125" s="65"/>
      <c r="U125" s="65"/>
      <c r="V125" s="65"/>
      <c r="W125" s="351"/>
      <c r="X125" s="65"/>
      <c r="Y125" s="65"/>
      <c r="Z125" s="65"/>
      <c r="AA125" s="65"/>
      <c r="AB125" s="65"/>
      <c r="AC125" s="65"/>
      <c r="AD125" s="61"/>
      <c r="AE125" s="353"/>
      <c r="AF125" s="354"/>
      <c r="AG125" s="354"/>
      <c r="AH125" s="354"/>
      <c r="AI125" s="356"/>
      <c r="AJ125" s="363"/>
      <c r="AK125" s="364"/>
    </row>
    <row r="126" spans="1:37" s="304" customFormat="1" ht="12.75" customHeight="1">
      <c r="A126" s="317"/>
      <c r="B126" s="64" t="s">
        <v>15</v>
      </c>
      <c r="C126" s="61">
        <v>123</v>
      </c>
      <c r="D126" s="65"/>
      <c r="E126" s="65"/>
      <c r="F126" s="355"/>
      <c r="G126" s="355"/>
      <c r="H126" s="65"/>
      <c r="I126" s="65"/>
      <c r="J126" s="65"/>
      <c r="K126" s="65"/>
      <c r="L126" s="350"/>
      <c r="M126" s="65"/>
      <c r="N126" s="65"/>
      <c r="O126" s="65"/>
      <c r="P126" s="65"/>
      <c r="Q126" s="65"/>
      <c r="R126" s="65"/>
      <c r="S126" s="65"/>
      <c r="T126" s="65"/>
      <c r="U126" s="65"/>
      <c r="V126" s="65"/>
      <c r="W126" s="351"/>
      <c r="X126" s="65"/>
      <c r="Y126" s="65"/>
      <c r="Z126" s="65"/>
      <c r="AA126" s="65"/>
      <c r="AB126" s="65"/>
      <c r="AC126" s="65"/>
      <c r="AD126" s="61"/>
      <c r="AE126" s="353"/>
      <c r="AF126" s="354"/>
      <c r="AG126" s="354"/>
      <c r="AH126" s="354"/>
      <c r="AI126" s="356"/>
      <c r="AJ126" s="363"/>
      <c r="AK126" s="364"/>
    </row>
    <row r="127" spans="1:37" s="304" customFormat="1" ht="12.75" customHeight="1">
      <c r="A127" s="317"/>
      <c r="B127" s="64" t="s">
        <v>15</v>
      </c>
      <c r="C127" s="61">
        <v>124</v>
      </c>
      <c r="D127" s="65"/>
      <c r="E127" s="65"/>
      <c r="F127" s="355"/>
      <c r="G127" s="355"/>
      <c r="H127" s="65"/>
      <c r="I127" s="65"/>
      <c r="J127" s="65"/>
      <c r="K127" s="65"/>
      <c r="L127" s="350"/>
      <c r="M127" s="65"/>
      <c r="N127" s="65"/>
      <c r="O127" s="65"/>
      <c r="P127" s="65"/>
      <c r="Q127" s="65"/>
      <c r="R127" s="65"/>
      <c r="S127" s="65"/>
      <c r="T127" s="65"/>
      <c r="U127" s="65"/>
      <c r="V127" s="65"/>
      <c r="W127" s="351"/>
      <c r="X127" s="65"/>
      <c r="Y127" s="65"/>
      <c r="Z127" s="65"/>
      <c r="AA127" s="65"/>
      <c r="AB127" s="65"/>
      <c r="AC127" s="65"/>
      <c r="AD127" s="61"/>
      <c r="AE127" s="353"/>
      <c r="AF127" s="354"/>
      <c r="AG127" s="354"/>
      <c r="AH127" s="354"/>
      <c r="AI127" s="356"/>
      <c r="AJ127" s="363"/>
      <c r="AK127" s="364"/>
    </row>
    <row r="128" spans="1:37" s="304" customFormat="1" ht="12.75" customHeight="1">
      <c r="A128" s="317"/>
      <c r="B128" s="64" t="s">
        <v>15</v>
      </c>
      <c r="C128" s="61">
        <v>125</v>
      </c>
      <c r="D128" s="65"/>
      <c r="E128" s="65"/>
      <c r="F128" s="355"/>
      <c r="G128" s="355"/>
      <c r="H128" s="65"/>
      <c r="I128" s="65"/>
      <c r="J128" s="65"/>
      <c r="K128" s="65"/>
      <c r="L128" s="350"/>
      <c r="M128" s="65"/>
      <c r="N128" s="65"/>
      <c r="O128" s="65"/>
      <c r="P128" s="65"/>
      <c r="Q128" s="65"/>
      <c r="R128" s="65"/>
      <c r="S128" s="65"/>
      <c r="T128" s="65"/>
      <c r="U128" s="65"/>
      <c r="V128" s="65"/>
      <c r="W128" s="351"/>
      <c r="X128" s="65"/>
      <c r="Y128" s="65"/>
      <c r="Z128" s="65"/>
      <c r="AA128" s="65"/>
      <c r="AB128" s="65"/>
      <c r="AC128" s="65"/>
      <c r="AD128" s="61"/>
      <c r="AE128" s="353"/>
      <c r="AF128" s="354"/>
      <c r="AG128" s="354"/>
      <c r="AH128" s="354"/>
      <c r="AI128" s="356"/>
      <c r="AJ128" s="363"/>
      <c r="AK128" s="364"/>
    </row>
    <row r="129" spans="1:37" s="304" customFormat="1" ht="12.75" customHeight="1">
      <c r="A129" s="317"/>
      <c r="B129" s="64" t="s">
        <v>15</v>
      </c>
      <c r="C129" s="61">
        <v>126</v>
      </c>
      <c r="D129" s="65"/>
      <c r="E129" s="65"/>
      <c r="F129" s="355"/>
      <c r="G129" s="355"/>
      <c r="H129" s="65"/>
      <c r="I129" s="65"/>
      <c r="J129" s="65"/>
      <c r="K129" s="65"/>
      <c r="L129" s="350"/>
      <c r="M129" s="65"/>
      <c r="N129" s="65"/>
      <c r="O129" s="65"/>
      <c r="P129" s="65"/>
      <c r="Q129" s="65"/>
      <c r="R129" s="65"/>
      <c r="S129" s="65"/>
      <c r="T129" s="65"/>
      <c r="U129" s="65"/>
      <c r="V129" s="65"/>
      <c r="W129" s="351"/>
      <c r="X129" s="65"/>
      <c r="Y129" s="65"/>
      <c r="Z129" s="65"/>
      <c r="AA129" s="65"/>
      <c r="AB129" s="65"/>
      <c r="AC129" s="65"/>
      <c r="AD129" s="61"/>
      <c r="AE129" s="353"/>
      <c r="AF129" s="354"/>
      <c r="AG129" s="354"/>
      <c r="AH129" s="354"/>
      <c r="AI129" s="356"/>
      <c r="AJ129" s="363"/>
      <c r="AK129" s="364"/>
    </row>
    <row r="130" spans="1:37" s="304" customFormat="1" ht="12.75" customHeight="1">
      <c r="A130" s="317"/>
      <c r="B130" s="64" t="s">
        <v>15</v>
      </c>
      <c r="C130" s="61">
        <v>127</v>
      </c>
      <c r="D130" s="65"/>
      <c r="E130" s="65"/>
      <c r="F130" s="355"/>
      <c r="G130" s="355"/>
      <c r="H130" s="65"/>
      <c r="I130" s="65"/>
      <c r="J130" s="65"/>
      <c r="K130" s="65"/>
      <c r="L130" s="350"/>
      <c r="M130" s="65"/>
      <c r="N130" s="65"/>
      <c r="O130" s="65"/>
      <c r="P130" s="65"/>
      <c r="Q130" s="65"/>
      <c r="R130" s="65"/>
      <c r="S130" s="65"/>
      <c r="T130" s="65"/>
      <c r="U130" s="65"/>
      <c r="V130" s="65"/>
      <c r="W130" s="351"/>
      <c r="X130" s="65"/>
      <c r="Y130" s="65"/>
      <c r="Z130" s="65"/>
      <c r="AA130" s="65"/>
      <c r="AB130" s="65"/>
      <c r="AC130" s="65"/>
      <c r="AD130" s="61"/>
      <c r="AE130" s="353"/>
      <c r="AF130" s="354"/>
      <c r="AG130" s="354"/>
      <c r="AH130" s="354"/>
      <c r="AI130" s="356"/>
      <c r="AJ130" s="363"/>
      <c r="AK130" s="364"/>
    </row>
    <row r="131" spans="1:37" s="304" customFormat="1" ht="12.75" customHeight="1">
      <c r="A131" s="317"/>
      <c r="B131" s="64" t="s">
        <v>15</v>
      </c>
      <c r="C131" s="61">
        <v>128</v>
      </c>
      <c r="D131" s="65"/>
      <c r="E131" s="65"/>
      <c r="F131" s="355"/>
      <c r="G131" s="355"/>
      <c r="H131" s="65"/>
      <c r="I131" s="65"/>
      <c r="J131" s="65"/>
      <c r="K131" s="65"/>
      <c r="L131" s="350"/>
      <c r="M131" s="65"/>
      <c r="N131" s="65"/>
      <c r="O131" s="65"/>
      <c r="P131" s="65"/>
      <c r="Q131" s="65"/>
      <c r="R131" s="65"/>
      <c r="S131" s="65"/>
      <c r="T131" s="65"/>
      <c r="U131" s="65"/>
      <c r="V131" s="65"/>
      <c r="W131" s="351"/>
      <c r="X131" s="65"/>
      <c r="Y131" s="65"/>
      <c r="Z131" s="65"/>
      <c r="AA131" s="65"/>
      <c r="AB131" s="65"/>
      <c r="AC131" s="65"/>
      <c r="AD131" s="61"/>
      <c r="AE131" s="353"/>
      <c r="AF131" s="354"/>
      <c r="AG131" s="354"/>
      <c r="AH131" s="354"/>
      <c r="AI131" s="356"/>
      <c r="AJ131" s="363"/>
      <c r="AK131" s="364"/>
    </row>
    <row r="132" spans="1:37" s="304" customFormat="1" ht="12.75" customHeight="1">
      <c r="A132" s="317"/>
      <c r="B132" s="64" t="s">
        <v>15</v>
      </c>
      <c r="C132" s="61">
        <v>129</v>
      </c>
      <c r="D132" s="65"/>
      <c r="E132" s="65"/>
      <c r="F132" s="355"/>
      <c r="G132" s="355"/>
      <c r="H132" s="65"/>
      <c r="I132" s="65"/>
      <c r="J132" s="65"/>
      <c r="K132" s="65"/>
      <c r="L132" s="350"/>
      <c r="M132" s="65"/>
      <c r="N132" s="65"/>
      <c r="O132" s="65"/>
      <c r="P132" s="65"/>
      <c r="Q132" s="65"/>
      <c r="R132" s="65"/>
      <c r="S132" s="65"/>
      <c r="T132" s="65"/>
      <c r="U132" s="65"/>
      <c r="V132" s="65"/>
      <c r="W132" s="351"/>
      <c r="X132" s="65"/>
      <c r="Y132" s="65"/>
      <c r="Z132" s="65"/>
      <c r="AA132" s="65"/>
      <c r="AB132" s="65"/>
      <c r="AC132" s="65"/>
      <c r="AD132" s="61"/>
      <c r="AE132" s="353"/>
      <c r="AF132" s="354"/>
      <c r="AG132" s="354"/>
      <c r="AH132" s="354"/>
      <c r="AI132" s="356"/>
      <c r="AJ132" s="363"/>
      <c r="AK132" s="364"/>
    </row>
    <row r="133" spans="1:37" s="304" customFormat="1" ht="12.75" customHeight="1">
      <c r="A133" s="317"/>
      <c r="B133" s="64" t="s">
        <v>15</v>
      </c>
      <c r="C133" s="61">
        <v>130</v>
      </c>
      <c r="D133" s="65"/>
      <c r="E133" s="65"/>
      <c r="F133" s="355"/>
      <c r="G133" s="355"/>
      <c r="H133" s="65"/>
      <c r="I133" s="65"/>
      <c r="J133" s="65"/>
      <c r="K133" s="65"/>
      <c r="L133" s="350"/>
      <c r="M133" s="65"/>
      <c r="N133" s="65"/>
      <c r="O133" s="65"/>
      <c r="P133" s="65"/>
      <c r="Q133" s="65"/>
      <c r="R133" s="65"/>
      <c r="S133" s="65"/>
      <c r="T133" s="65"/>
      <c r="U133" s="65"/>
      <c r="V133" s="65"/>
      <c r="W133" s="351"/>
      <c r="X133" s="65"/>
      <c r="Y133" s="65"/>
      <c r="Z133" s="65"/>
      <c r="AA133" s="65"/>
      <c r="AB133" s="65"/>
      <c r="AC133" s="65"/>
      <c r="AD133" s="61"/>
      <c r="AE133" s="353"/>
      <c r="AF133" s="354"/>
      <c r="AG133" s="354"/>
      <c r="AH133" s="354"/>
      <c r="AI133" s="356"/>
      <c r="AJ133" s="363"/>
      <c r="AK133" s="364"/>
    </row>
    <row r="134" spans="1:37" s="304" customFormat="1" ht="12.75" customHeight="1">
      <c r="A134" s="317"/>
      <c r="B134" s="64" t="s">
        <v>15</v>
      </c>
      <c r="C134" s="61">
        <v>131</v>
      </c>
      <c r="D134" s="65"/>
      <c r="E134" s="65"/>
      <c r="F134" s="355"/>
      <c r="G134" s="355"/>
      <c r="H134" s="65"/>
      <c r="I134" s="65"/>
      <c r="J134" s="65"/>
      <c r="K134" s="65"/>
      <c r="L134" s="350"/>
      <c r="M134" s="65"/>
      <c r="N134" s="65"/>
      <c r="O134" s="65"/>
      <c r="P134" s="65"/>
      <c r="Q134" s="65"/>
      <c r="R134" s="65"/>
      <c r="S134" s="65"/>
      <c r="T134" s="65"/>
      <c r="U134" s="65"/>
      <c r="V134" s="65"/>
      <c r="W134" s="351"/>
      <c r="X134" s="65"/>
      <c r="Y134" s="65"/>
      <c r="Z134" s="65"/>
      <c r="AA134" s="65"/>
      <c r="AB134" s="65"/>
      <c r="AC134" s="65"/>
      <c r="AD134" s="61"/>
      <c r="AE134" s="353"/>
      <c r="AF134" s="354"/>
      <c r="AG134" s="354"/>
      <c r="AH134" s="354"/>
      <c r="AI134" s="356"/>
      <c r="AJ134" s="363"/>
      <c r="AK134" s="364"/>
    </row>
    <row r="135" spans="1:37" s="304" customFormat="1" ht="12.75" customHeight="1">
      <c r="A135" s="317"/>
      <c r="B135" s="64" t="s">
        <v>15</v>
      </c>
      <c r="C135" s="61">
        <v>132</v>
      </c>
      <c r="D135" s="65"/>
      <c r="E135" s="65"/>
      <c r="F135" s="355"/>
      <c r="G135" s="355"/>
      <c r="H135" s="65"/>
      <c r="I135" s="65"/>
      <c r="J135" s="65"/>
      <c r="K135" s="65"/>
      <c r="L135" s="350"/>
      <c r="M135" s="65"/>
      <c r="N135" s="65"/>
      <c r="O135" s="65"/>
      <c r="P135" s="65"/>
      <c r="Q135" s="65"/>
      <c r="R135" s="65"/>
      <c r="S135" s="65"/>
      <c r="T135" s="65"/>
      <c r="U135" s="65"/>
      <c r="V135" s="65"/>
      <c r="W135" s="351"/>
      <c r="X135" s="65"/>
      <c r="Y135" s="65"/>
      <c r="Z135" s="65"/>
      <c r="AA135" s="65"/>
      <c r="AB135" s="65"/>
      <c r="AC135" s="65"/>
      <c r="AD135" s="61"/>
      <c r="AE135" s="353"/>
      <c r="AF135" s="354"/>
      <c r="AG135" s="354"/>
      <c r="AH135" s="354"/>
      <c r="AI135" s="356"/>
      <c r="AJ135" s="363"/>
      <c r="AK135" s="364"/>
    </row>
    <row r="136" spans="1:37" s="304" customFormat="1" ht="12.75" customHeight="1">
      <c r="A136" s="317"/>
      <c r="B136" s="64" t="s">
        <v>15</v>
      </c>
      <c r="C136" s="61">
        <v>133</v>
      </c>
      <c r="D136" s="65"/>
      <c r="E136" s="65"/>
      <c r="F136" s="355"/>
      <c r="G136" s="355"/>
      <c r="H136" s="65"/>
      <c r="I136" s="65"/>
      <c r="J136" s="65"/>
      <c r="K136" s="65"/>
      <c r="L136" s="350"/>
      <c r="M136" s="65"/>
      <c r="N136" s="65"/>
      <c r="O136" s="65"/>
      <c r="P136" s="65"/>
      <c r="Q136" s="65"/>
      <c r="R136" s="65"/>
      <c r="S136" s="65"/>
      <c r="T136" s="65"/>
      <c r="U136" s="65"/>
      <c r="V136" s="65"/>
      <c r="W136" s="351"/>
      <c r="X136" s="65"/>
      <c r="Y136" s="65"/>
      <c r="Z136" s="65"/>
      <c r="AA136" s="65"/>
      <c r="AB136" s="65"/>
      <c r="AC136" s="65"/>
      <c r="AD136" s="61"/>
      <c r="AE136" s="353"/>
      <c r="AF136" s="354"/>
      <c r="AG136" s="354"/>
      <c r="AH136" s="354"/>
      <c r="AI136" s="356"/>
      <c r="AJ136" s="363"/>
      <c r="AK136" s="364"/>
    </row>
    <row r="137" spans="1:37" ht="12.75" customHeight="1" thickBot="1">
      <c r="A137" s="206"/>
      <c r="B137" s="94"/>
      <c r="C137" s="93" t="s">
        <v>807</v>
      </c>
      <c r="D137" s="93"/>
      <c r="E137" s="93"/>
      <c r="F137" s="94"/>
      <c r="G137" s="94"/>
      <c r="H137" s="94"/>
      <c r="I137" s="94"/>
      <c r="J137" s="94"/>
      <c r="K137" s="95"/>
      <c r="L137" s="95"/>
      <c r="M137" s="94"/>
      <c r="N137" s="94"/>
      <c r="O137" s="94"/>
      <c r="P137" s="94"/>
      <c r="Q137" s="94"/>
      <c r="R137" s="94"/>
      <c r="S137" s="94"/>
      <c r="T137" s="94"/>
      <c r="U137" s="94"/>
      <c r="V137" s="94"/>
      <c r="W137" s="94"/>
      <c r="X137" s="94"/>
      <c r="Y137" s="94"/>
      <c r="Z137" s="96"/>
      <c r="AA137" s="94"/>
      <c r="AB137" s="94"/>
      <c r="AC137" s="94"/>
      <c r="AD137" s="94"/>
      <c r="AE137" s="94"/>
      <c r="AF137" s="97"/>
      <c r="AG137" s="97"/>
      <c r="AH137" s="94"/>
      <c r="AI137" s="98"/>
      <c r="AJ137" s="98"/>
      <c r="AK137" s="99"/>
    </row>
    <row r="138" spans="1:37" ht="12" customHeight="1">
      <c r="V138" s="10"/>
      <c r="W138" s="10"/>
    </row>
    <row r="139" spans="1:37" ht="12.75" customHeight="1" thickBot="1">
      <c r="D139" s="50"/>
      <c r="E139" s="50"/>
      <c r="V139" s="10"/>
      <c r="W139" s="10"/>
    </row>
    <row r="140" spans="1:37" ht="12.75" customHeight="1" thickBot="1">
      <c r="C140" s="53"/>
      <c r="D140" s="52"/>
      <c r="E140" s="51"/>
      <c r="F140" s="39"/>
      <c r="G140" s="39"/>
      <c r="H140" s="11"/>
      <c r="I140" s="11"/>
      <c r="J140" s="11"/>
      <c r="K140" s="36" t="s">
        <v>808</v>
      </c>
      <c r="L140" s="36"/>
      <c r="M140" s="11"/>
      <c r="N140" s="11"/>
      <c r="O140" s="11"/>
      <c r="P140" s="11"/>
      <c r="Q140" s="11"/>
      <c r="R140" s="11"/>
      <c r="S140" s="11"/>
      <c r="T140" s="11"/>
      <c r="U140" s="11"/>
      <c r="V140" s="11"/>
      <c r="W140" s="11"/>
      <c r="X140" s="11" t="s">
        <v>809</v>
      </c>
      <c r="Y140" s="11" t="s">
        <v>810</v>
      </c>
      <c r="Z140" s="11"/>
      <c r="AA140" s="11"/>
      <c r="AB140" s="11" t="s">
        <v>811</v>
      </c>
      <c r="AC140" s="11"/>
      <c r="AD140" s="11"/>
      <c r="AE140" s="11" t="s">
        <v>812</v>
      </c>
      <c r="AF140" s="11"/>
      <c r="AG140" s="11"/>
      <c r="AH140" s="241"/>
      <c r="AI140" s="245"/>
      <c r="AJ140" s="11" t="s">
        <v>809</v>
      </c>
      <c r="AK140" s="27"/>
    </row>
    <row r="141" spans="1:37" ht="12" customHeight="1">
      <c r="C141" s="54"/>
      <c r="D141" s="40" t="b">
        <v>1</v>
      </c>
      <c r="E141" s="12" t="b">
        <v>1</v>
      </c>
      <c r="F141" s="40"/>
      <c r="G141" s="40"/>
      <c r="H141" s="12"/>
      <c r="I141" s="12"/>
      <c r="J141" s="12"/>
      <c r="K141" s="21" t="s">
        <v>548</v>
      </c>
      <c r="L141" s="21" t="s">
        <v>150</v>
      </c>
      <c r="M141" s="12"/>
      <c r="N141" s="12"/>
      <c r="O141" s="12"/>
      <c r="P141" s="12" t="s">
        <v>813</v>
      </c>
      <c r="Q141" s="12"/>
      <c r="R141" s="12"/>
      <c r="S141" s="12"/>
      <c r="T141" s="12" t="s">
        <v>814</v>
      </c>
      <c r="U141" s="12"/>
      <c r="V141" s="12"/>
      <c r="W141" s="21"/>
      <c r="X141" s="12" t="s">
        <v>815</v>
      </c>
      <c r="Y141" s="12" t="s">
        <v>159</v>
      </c>
      <c r="Z141" s="12" t="s">
        <v>160</v>
      </c>
      <c r="AA141" s="22"/>
      <c r="AB141" s="24" t="s">
        <v>816</v>
      </c>
      <c r="AC141" s="24" t="s">
        <v>817</v>
      </c>
      <c r="AD141" s="24" t="s">
        <v>817</v>
      </c>
      <c r="AE141" s="12" t="s">
        <v>227</v>
      </c>
      <c r="AF141" s="12"/>
      <c r="AG141" s="12"/>
      <c r="AH141" s="242"/>
      <c r="AI141" s="246"/>
      <c r="AJ141" s="12" t="s">
        <v>818</v>
      </c>
      <c r="AK141" s="28"/>
    </row>
    <row r="142" spans="1:37" ht="12" customHeight="1">
      <c r="C142" s="53"/>
      <c r="D142" s="41" t="b">
        <v>0</v>
      </c>
      <c r="E142" s="45" t="b">
        <v>0</v>
      </c>
      <c r="F142" s="41"/>
      <c r="G142" s="41"/>
      <c r="H142" s="18"/>
      <c r="I142" s="18"/>
      <c r="J142" s="45"/>
      <c r="K142" s="23" t="s">
        <v>819</v>
      </c>
      <c r="L142" s="47" t="s">
        <v>820</v>
      </c>
      <c r="M142" s="18"/>
      <c r="N142" s="45"/>
      <c r="O142" s="45"/>
      <c r="P142" s="18" t="s">
        <v>251</v>
      </c>
      <c r="Q142" s="45"/>
      <c r="R142" s="45"/>
      <c r="S142" s="45"/>
      <c r="T142" s="45" t="s">
        <v>821</v>
      </c>
      <c r="U142" s="18"/>
      <c r="V142" s="18"/>
      <c r="W142" s="23"/>
      <c r="X142" s="18"/>
      <c r="Y142" s="18" t="s">
        <v>379</v>
      </c>
      <c r="Z142" s="18"/>
      <c r="AA142" s="22"/>
      <c r="AB142" s="48" t="s">
        <v>380</v>
      </c>
      <c r="AC142" s="48" t="s">
        <v>822</v>
      </c>
      <c r="AD142" s="48" t="s">
        <v>822</v>
      </c>
      <c r="AE142" s="18" t="s">
        <v>823</v>
      </c>
      <c r="AF142" s="18"/>
      <c r="AG142" s="18"/>
      <c r="AH142" s="243"/>
      <c r="AI142" s="247"/>
      <c r="AJ142" s="45" t="s">
        <v>824</v>
      </c>
      <c r="AK142" s="29"/>
    </row>
    <row r="143" spans="1:37" ht="12" customHeight="1">
      <c r="C143" s="53"/>
      <c r="D143" s="41"/>
      <c r="E143" s="45"/>
      <c r="F143" s="41"/>
      <c r="G143" s="41"/>
      <c r="H143" s="18"/>
      <c r="I143" s="18"/>
      <c r="J143" s="45"/>
      <c r="K143" s="23" t="s">
        <v>813</v>
      </c>
      <c r="L143" s="47" t="s">
        <v>825</v>
      </c>
      <c r="M143" s="18"/>
      <c r="N143" s="45"/>
      <c r="O143" s="45"/>
      <c r="P143" s="18"/>
      <c r="Q143" s="45"/>
      <c r="R143" s="45"/>
      <c r="S143" s="45"/>
      <c r="T143" s="45"/>
      <c r="U143" s="18"/>
      <c r="V143" s="18"/>
      <c r="W143" s="23"/>
      <c r="X143" s="18"/>
      <c r="Y143" s="18" t="s">
        <v>275</v>
      </c>
      <c r="Z143" s="18"/>
      <c r="AA143" s="22"/>
      <c r="AB143" s="48" t="s">
        <v>826</v>
      </c>
      <c r="AC143" s="48" t="s">
        <v>827</v>
      </c>
      <c r="AD143" s="48" t="s">
        <v>827</v>
      </c>
      <c r="AE143" s="18" t="s">
        <v>306</v>
      </c>
      <c r="AF143" s="18"/>
      <c r="AG143" s="18"/>
      <c r="AH143" s="243"/>
      <c r="AI143" s="247"/>
      <c r="AJ143" s="45" t="s">
        <v>828</v>
      </c>
      <c r="AK143" s="29"/>
    </row>
    <row r="144" spans="1:37">
      <c r="C144" s="53"/>
      <c r="D144" s="41"/>
      <c r="E144" s="45"/>
      <c r="F144" s="41"/>
      <c r="G144" s="41"/>
      <c r="H144" s="18"/>
      <c r="I144" s="18"/>
      <c r="J144" s="45"/>
      <c r="K144" s="23" t="s">
        <v>829</v>
      </c>
      <c r="L144" s="47"/>
      <c r="M144" s="18"/>
      <c r="N144" s="45"/>
      <c r="O144" s="45"/>
      <c r="P144" s="18"/>
      <c r="Q144" s="45"/>
      <c r="R144" s="45"/>
      <c r="S144" s="45"/>
      <c r="T144" s="45"/>
      <c r="U144" s="18"/>
      <c r="V144" s="18"/>
      <c r="W144" s="18"/>
      <c r="X144" s="18"/>
      <c r="Y144" s="18" t="s">
        <v>223</v>
      </c>
      <c r="Z144" s="18"/>
      <c r="AA144" s="22"/>
      <c r="AB144" s="48" t="s">
        <v>830</v>
      </c>
      <c r="AC144" s="24" t="s">
        <v>831</v>
      </c>
      <c r="AD144" s="24" t="s">
        <v>831</v>
      </c>
      <c r="AE144" s="18" t="s">
        <v>463</v>
      </c>
      <c r="AF144" s="18"/>
      <c r="AG144" s="18"/>
      <c r="AH144" s="243"/>
      <c r="AI144" s="247"/>
      <c r="AJ144" s="45"/>
      <c r="AK144" s="29"/>
    </row>
    <row r="145" spans="3:37">
      <c r="C145" s="53"/>
      <c r="D145" s="41"/>
      <c r="E145" s="45"/>
      <c r="F145" s="41"/>
      <c r="G145" s="41"/>
      <c r="H145" s="18"/>
      <c r="I145" s="18"/>
      <c r="J145" s="45"/>
      <c r="K145" s="23" t="s">
        <v>189</v>
      </c>
      <c r="L145" s="47"/>
      <c r="M145" s="18"/>
      <c r="N145" s="45"/>
      <c r="O145" s="45"/>
      <c r="P145" s="18"/>
      <c r="Q145" s="45"/>
      <c r="R145" s="45"/>
      <c r="S145" s="45"/>
      <c r="T145" s="45"/>
      <c r="U145" s="18"/>
      <c r="V145" s="18"/>
      <c r="W145" s="18"/>
      <c r="X145" s="18"/>
      <c r="Y145" s="18" t="s">
        <v>146</v>
      </c>
      <c r="Z145" s="18"/>
      <c r="AA145" s="24"/>
      <c r="AB145" s="48" t="s">
        <v>832</v>
      </c>
      <c r="AC145" s="24" t="s">
        <v>833</v>
      </c>
      <c r="AD145" s="24" t="s">
        <v>833</v>
      </c>
      <c r="AE145" s="18" t="s">
        <v>372</v>
      </c>
      <c r="AF145" s="18"/>
      <c r="AG145" s="18"/>
      <c r="AH145" s="243"/>
      <c r="AI145" s="247"/>
      <c r="AJ145" s="45"/>
      <c r="AK145" s="29"/>
    </row>
    <row r="146" spans="3:37">
      <c r="C146" s="53"/>
      <c r="D146" s="41"/>
      <c r="E146" s="45"/>
      <c r="F146" s="41"/>
      <c r="G146" s="41"/>
      <c r="H146" s="18"/>
      <c r="I146" s="18"/>
      <c r="J146" s="45"/>
      <c r="K146" s="23" t="s">
        <v>251</v>
      </c>
      <c r="L146" s="47"/>
      <c r="M146" s="18"/>
      <c r="N146" s="45"/>
      <c r="O146" s="45"/>
      <c r="P146" s="18"/>
      <c r="Q146" s="45"/>
      <c r="R146" s="45"/>
      <c r="S146" s="45"/>
      <c r="T146" s="45"/>
      <c r="U146" s="18"/>
      <c r="V146" s="18"/>
      <c r="W146" s="18"/>
      <c r="X146" s="18"/>
      <c r="Y146" s="18"/>
      <c r="Z146" s="18"/>
      <c r="AA146" s="24"/>
      <c r="AB146" s="48" t="s">
        <v>834</v>
      </c>
      <c r="AC146" s="24" t="s">
        <v>835</v>
      </c>
      <c r="AD146" s="24" t="s">
        <v>835</v>
      </c>
      <c r="AE146" s="18" t="s">
        <v>794</v>
      </c>
      <c r="AF146" s="18"/>
      <c r="AG146" s="18"/>
      <c r="AH146" s="243"/>
      <c r="AI146" s="247"/>
      <c r="AJ146" s="45"/>
      <c r="AK146" s="29"/>
    </row>
    <row r="147" spans="3:37">
      <c r="C147" s="53"/>
      <c r="D147" s="41"/>
      <c r="E147" s="45"/>
      <c r="F147" s="41"/>
      <c r="G147" s="41"/>
      <c r="H147" s="18"/>
      <c r="I147" s="18"/>
      <c r="J147" s="45"/>
      <c r="K147" s="23" t="s">
        <v>836</v>
      </c>
      <c r="L147" s="47"/>
      <c r="M147" s="18"/>
      <c r="N147" s="45"/>
      <c r="O147" s="45"/>
      <c r="P147" s="18"/>
      <c r="Q147" s="45"/>
      <c r="R147" s="45"/>
      <c r="S147" s="45"/>
      <c r="T147" s="45"/>
      <c r="U147" s="18"/>
      <c r="V147" s="18"/>
      <c r="W147" s="18"/>
      <c r="X147" s="18"/>
      <c r="Y147" s="18"/>
      <c r="Z147" s="18"/>
      <c r="AA147" s="24"/>
      <c r="AB147" s="48" t="s">
        <v>146</v>
      </c>
      <c r="AC147" s="24" t="s">
        <v>837</v>
      </c>
      <c r="AD147" s="24" t="s">
        <v>837</v>
      </c>
      <c r="AE147" s="18" t="s">
        <v>838</v>
      </c>
      <c r="AF147" s="18"/>
      <c r="AG147" s="18"/>
      <c r="AH147" s="243"/>
      <c r="AI147" s="247"/>
      <c r="AJ147" s="45"/>
      <c r="AK147" s="29"/>
    </row>
    <row r="148" spans="3:37">
      <c r="C148" s="53"/>
      <c r="D148" s="41"/>
      <c r="E148" s="45"/>
      <c r="F148" s="41"/>
      <c r="G148" s="41"/>
      <c r="H148" s="18"/>
      <c r="I148" s="18"/>
      <c r="J148" s="45"/>
      <c r="K148" s="23" t="s">
        <v>839</v>
      </c>
      <c r="L148" s="47"/>
      <c r="M148" s="18"/>
      <c r="N148" s="45"/>
      <c r="O148" s="45"/>
      <c r="P148" s="18"/>
      <c r="Q148" s="45"/>
      <c r="R148" s="45"/>
      <c r="S148" s="45"/>
      <c r="T148" s="45"/>
      <c r="U148" s="18"/>
      <c r="V148" s="18"/>
      <c r="W148" s="18"/>
      <c r="X148" s="18"/>
      <c r="Y148" s="18"/>
      <c r="Z148" s="18"/>
      <c r="AA148" s="24"/>
      <c r="AB148" s="24"/>
      <c r="AC148" s="24" t="s">
        <v>840</v>
      </c>
      <c r="AD148" s="24" t="s">
        <v>840</v>
      </c>
      <c r="AE148" s="18" t="s">
        <v>293</v>
      </c>
      <c r="AF148" s="18"/>
      <c r="AG148" s="18"/>
      <c r="AH148" s="243"/>
      <c r="AI148" s="247"/>
      <c r="AJ148" s="45"/>
      <c r="AK148" s="29"/>
    </row>
    <row r="149" spans="3:37">
      <c r="C149" s="53"/>
      <c r="D149" s="41"/>
      <c r="E149" s="45"/>
      <c r="F149" s="41"/>
      <c r="G149" s="41"/>
      <c r="H149" s="18"/>
      <c r="I149" s="18"/>
      <c r="J149" s="45"/>
      <c r="L149" s="47"/>
      <c r="M149" s="18"/>
      <c r="N149" s="45"/>
      <c r="O149" s="45"/>
      <c r="P149" s="18"/>
      <c r="Q149" s="45"/>
      <c r="R149" s="45"/>
      <c r="S149" s="45"/>
      <c r="T149" s="45"/>
      <c r="U149" s="18"/>
      <c r="V149" s="18"/>
      <c r="W149" s="18"/>
      <c r="X149" s="18"/>
      <c r="Y149" s="18"/>
      <c r="Z149" s="18"/>
      <c r="AA149" s="22"/>
      <c r="AB149" s="48"/>
      <c r="AC149" s="48"/>
      <c r="AD149" s="32"/>
      <c r="AE149" s="18" t="s">
        <v>483</v>
      </c>
      <c r="AF149" s="18"/>
      <c r="AG149" s="18"/>
      <c r="AH149" s="243"/>
      <c r="AI149" s="247"/>
      <c r="AJ149" s="45"/>
      <c r="AK149" s="29"/>
    </row>
    <row r="150" spans="3:37">
      <c r="C150" s="53"/>
      <c r="D150" s="41"/>
      <c r="E150" s="45"/>
      <c r="F150" s="41"/>
      <c r="G150" s="41"/>
      <c r="H150" s="18"/>
      <c r="I150" s="18"/>
      <c r="J150" s="45"/>
      <c r="K150" s="23"/>
      <c r="L150" s="47"/>
      <c r="M150" s="18"/>
      <c r="N150" s="45"/>
      <c r="O150" s="45"/>
      <c r="P150" s="18"/>
      <c r="Q150" s="45"/>
      <c r="R150" s="45"/>
      <c r="S150" s="45"/>
      <c r="T150" s="45"/>
      <c r="U150" s="18"/>
      <c r="V150" s="18"/>
      <c r="W150" s="18"/>
      <c r="X150" s="18"/>
      <c r="Y150" s="18"/>
      <c r="Z150" s="18"/>
      <c r="AA150" s="22"/>
      <c r="AB150" s="48"/>
      <c r="AC150" s="48"/>
      <c r="AD150" s="23"/>
      <c r="AE150" s="18" t="s">
        <v>841</v>
      </c>
      <c r="AF150" s="18"/>
      <c r="AG150" s="18"/>
      <c r="AH150" s="243"/>
      <c r="AI150" s="247"/>
      <c r="AJ150" s="45"/>
      <c r="AK150" s="29"/>
    </row>
    <row r="151" spans="3:37">
      <c r="C151" s="53"/>
      <c r="D151" s="41"/>
      <c r="E151" s="45"/>
      <c r="F151" s="41"/>
      <c r="G151" s="41"/>
      <c r="H151" s="18"/>
      <c r="I151" s="18"/>
      <c r="J151" s="45"/>
      <c r="K151" s="23"/>
      <c r="L151" s="47"/>
      <c r="M151" s="18"/>
      <c r="N151" s="45"/>
      <c r="O151" s="45"/>
      <c r="P151" s="18"/>
      <c r="Q151" s="45"/>
      <c r="R151" s="45"/>
      <c r="S151" s="45"/>
      <c r="T151" s="45"/>
      <c r="U151" s="18"/>
      <c r="V151" s="18"/>
      <c r="W151" s="18"/>
      <c r="X151" s="18"/>
      <c r="Y151" s="18"/>
      <c r="Z151" s="18"/>
      <c r="AA151" s="25"/>
      <c r="AB151" s="49"/>
      <c r="AC151" s="49"/>
      <c r="AD151" s="25"/>
      <c r="AE151" s="18"/>
      <c r="AF151" s="18"/>
      <c r="AG151" s="18"/>
      <c r="AH151" s="243"/>
      <c r="AI151" s="247"/>
      <c r="AJ151" s="45"/>
      <c r="AK151" s="29"/>
    </row>
    <row r="152" spans="3:37">
      <c r="C152" s="53"/>
      <c r="D152" s="41"/>
      <c r="E152" s="45"/>
      <c r="F152" s="41"/>
      <c r="G152" s="41"/>
      <c r="H152" s="18"/>
      <c r="I152" s="18"/>
      <c r="J152" s="45"/>
      <c r="K152" s="23"/>
      <c r="L152" s="47"/>
      <c r="M152" s="18"/>
      <c r="N152" s="45"/>
      <c r="O152" s="45"/>
      <c r="P152" s="18"/>
      <c r="Q152" s="45"/>
      <c r="R152" s="45"/>
      <c r="S152" s="45"/>
      <c r="T152" s="45"/>
      <c r="U152" s="18"/>
      <c r="V152" s="18"/>
      <c r="W152" s="18"/>
      <c r="X152" s="18"/>
      <c r="Y152" s="18"/>
      <c r="Z152" s="18"/>
      <c r="AA152" s="18"/>
      <c r="AB152" s="45"/>
      <c r="AC152" s="45"/>
      <c r="AD152" s="18"/>
      <c r="AE152" s="18"/>
      <c r="AF152" s="18"/>
      <c r="AG152" s="18"/>
      <c r="AH152" s="243"/>
      <c r="AI152" s="247"/>
      <c r="AJ152" s="45"/>
      <c r="AK152" s="29"/>
    </row>
    <row r="153" spans="3:37" ht="12.75" thickBot="1">
      <c r="C153" s="53"/>
      <c r="D153" s="42"/>
      <c r="E153" s="13"/>
      <c r="F153" s="42"/>
      <c r="G153" s="42"/>
      <c r="H153" s="13"/>
      <c r="I153" s="13"/>
      <c r="J153" s="13"/>
      <c r="K153" s="37"/>
      <c r="L153" s="37"/>
      <c r="M153" s="13"/>
      <c r="N153" s="13"/>
      <c r="O153" s="13"/>
      <c r="P153" s="13"/>
      <c r="Q153" s="13"/>
      <c r="R153" s="13"/>
      <c r="S153" s="13"/>
      <c r="T153" s="13"/>
      <c r="U153" s="13"/>
      <c r="V153" s="13"/>
      <c r="W153" s="13"/>
      <c r="X153" s="13"/>
      <c r="Y153" s="13"/>
      <c r="Z153" s="13"/>
      <c r="AA153" s="13"/>
      <c r="AB153" s="13"/>
      <c r="AC153" s="13"/>
      <c r="AD153" s="13"/>
      <c r="AE153" s="13"/>
      <c r="AF153" s="13"/>
      <c r="AG153" s="13"/>
      <c r="AH153" s="244"/>
      <c r="AI153" s="248"/>
      <c r="AJ153" s="13"/>
      <c r="AK153" s="26"/>
    </row>
    <row r="154" spans="3:37">
      <c r="C154" s="14"/>
      <c r="D154" s="14"/>
      <c r="E154" s="14"/>
      <c r="F154" s="14"/>
      <c r="G154" s="14"/>
      <c r="H154" s="14"/>
      <c r="I154" s="14"/>
      <c r="J154" s="14"/>
      <c r="K154" s="38"/>
      <c r="L154" s="38"/>
      <c r="M154" s="14"/>
      <c r="N154" s="14"/>
      <c r="O154" s="14"/>
      <c r="P154" s="14"/>
      <c r="Q154" s="14"/>
      <c r="R154" s="14"/>
      <c r="S154" s="14"/>
      <c r="T154" s="14"/>
      <c r="U154" s="14"/>
      <c r="V154" s="14"/>
      <c r="W154" s="14"/>
      <c r="X154" s="14"/>
      <c r="Y154" s="19"/>
      <c r="Z154" s="19"/>
      <c r="AA154" s="19"/>
      <c r="AB154" s="19"/>
      <c r="AC154" s="19"/>
      <c r="AD154" s="19"/>
      <c r="AE154" s="19"/>
      <c r="AF154" s="14"/>
      <c r="AG154" s="14"/>
      <c r="AH154" s="17"/>
      <c r="AI154" s="17"/>
      <c r="AJ154" s="19"/>
      <c r="AK154" s="19"/>
    </row>
  </sheetData>
  <autoFilter ref="A3:AP137" xr:uid="{00000000-0001-0000-0100-000000000000}"/>
  <sortState xmlns:xlrd2="http://schemas.microsoft.com/office/spreadsheetml/2017/richdata2" ref="B2:AQ154">
    <sortCondition ref="Y2:Y154"/>
    <sortCondition ref="U2:U154"/>
  </sortState>
  <dataConsolidate/>
  <phoneticPr fontId="0" type="noConversion"/>
  <conditionalFormatting sqref="R137:S137 K138:L138 H138 U138:V138">
    <cfRule type="cellIs" dxfId="4" priority="1202" stopIfTrue="1" operator="equal">
      <formula>" "</formula>
    </cfRule>
  </conditionalFormatting>
  <conditionalFormatting sqref="M137:Q137 H137:J137">
    <cfRule type="cellIs" dxfId="3" priority="2" stopIfTrue="1" operator="equal">
      <formula>" "</formula>
    </cfRule>
  </conditionalFormatting>
  <conditionalFormatting sqref="T137:V137">
    <cfRule type="cellIs" dxfId="2" priority="1" stopIfTrue="1" operator="equal">
      <formula>" "</formula>
    </cfRule>
  </conditionalFormatting>
  <dataValidations count="41">
    <dataValidation type="list" allowBlank="1" sqref="Z138" xr:uid="{00000000-0002-0000-0100-000000000000}">
      <formula1>$Y$141:$Y$144</formula1>
    </dataValidation>
    <dataValidation type="list" allowBlank="1" sqref="AK10:AK31 AH138:AJ138 AK6:AK7 AK33:AK138" xr:uid="{00000000-0002-0000-0100-000006000000}">
      <formula1>$AJ$141:$AJ$143</formula1>
    </dataValidation>
    <dataValidation type="list" allowBlank="1" sqref="AE138" xr:uid="{00000000-0002-0000-0100-000007000000}">
      <formula1>$AE$141:$AE$152</formula1>
    </dataValidation>
    <dataValidation type="list" allowBlank="1" sqref="X138 X6:X136" xr:uid="{00000000-0002-0000-0100-000008000000}">
      <formula1>$X$141</formula1>
    </dataValidation>
    <dataValidation type="list" allowBlank="1" showInputMessage="1" showErrorMessage="1" sqref="P137:Q137 P6:P136" xr:uid="{00000000-0002-0000-0100-00000B000000}">
      <formula1>$P$141:$P$142</formula1>
    </dataValidation>
    <dataValidation type="list" allowBlank="1" sqref="AK8:AK9 AE137 AJ9" xr:uid="{00000000-0002-0000-0100-00000E000000}">
      <formula1>#REF!</formula1>
    </dataValidation>
    <dataValidation type="textLength" operator="lessThanOrEqual" allowBlank="1" showInputMessage="1" showErrorMessage="1" errorTitle="UL/DL Tagnaam" error="Lengte mag maximum 24 karakters zijn i.f.v. EBR ticket." sqref="V4:V7 U72:U73 U75:U76 V119:V136 V9:V112" xr:uid="{047193AC-E9D0-4AFE-9AC4-4D64B97C8168}">
      <formula1>24</formula1>
    </dataValidation>
    <dataValidation type="list" allowBlank="1" sqref="K138:L138" xr:uid="{00000000-0002-0000-0100-000004000000}">
      <formula1>$K$141:$K$147</formula1>
    </dataValidation>
    <dataValidation type="list" allowBlank="1" showInputMessage="1" showErrorMessage="1" sqref="K137:L137" xr:uid="{2B2BE842-04F3-46A0-BA77-C5A702DCDAAC}">
      <formula1>$K$141:$K$148</formula1>
    </dataValidation>
    <dataValidation operator="lessThanOrEqual" allowBlank="1" showInputMessage="1" showErrorMessage="1" errorTitle="UL/DL Tagnaam" error="Lengte mag maximum 24 karakters zijn i.f.v. EBR ticket." sqref="V8" xr:uid="{43A1E2D9-A895-4BBA-90FA-FEFCC4234B87}"/>
    <dataValidation type="list" allowBlank="1" showInputMessage="1" showErrorMessage="1" sqref="L6:L14 L16:L136" xr:uid="{B5FBE4D8-5338-480E-8AD1-395F8A52B5DD}">
      <formula1>$L$141:$L$149</formula1>
    </dataValidation>
    <dataValidation type="list" allowBlank="1" showInputMessage="1" showErrorMessage="1" sqref="D6:E136" xr:uid="{95941739-032E-4E57-9AD7-6F4B77D515BD}">
      <formula1>$D$141:$D$142</formula1>
    </dataValidation>
    <dataValidation type="list" errorStyle="warning" allowBlank="1" showInputMessage="1" showErrorMessage="1" errorTitle="String error" error="Vul String lengte in tussen vierkante haakjes" sqref="K7 K9 K12:K73 K75:K136" xr:uid="{3D9D4D50-FD4E-42C4-9DDB-A412BFBA6864}">
      <formula1>$K$141:$K$148</formula1>
    </dataValidation>
    <dataValidation type="list" allowBlank="1" sqref="AK32" xr:uid="{C0C9263C-5B6A-42BD-9019-14A91B444E87}">
      <formula1>$AJ$149:$AJ$151</formula1>
    </dataValidation>
    <dataValidation type="list" allowBlank="1" showDropDown="1" showInputMessage="1" showErrorMessage="1" sqref="AB137" xr:uid="{A4FCC906-8D1B-4101-A49A-079248D6A88D}">
      <formula1>$AB$141:$AB$147</formula1>
    </dataValidation>
    <dataValidation type="list" allowBlank="1" showDropDown="1" showInputMessage="1" showErrorMessage="1" sqref="AC137" xr:uid="{A23A7E44-03FB-468B-BC0B-5C9602A0313C}">
      <formula1>$AC$141:$AC$148</formula1>
    </dataValidation>
    <dataValidation type="list" allowBlank="1" sqref="X137" xr:uid="{97DFF8C0-0602-48DD-AC75-B6F737AF4D96}">
      <formula1>$V$141</formula1>
    </dataValidation>
    <dataValidation type="list" allowBlank="1" sqref="AH137:AJ137" xr:uid="{FA413992-9A61-454E-AA20-5E2679B73700}">
      <formula1>$AE$141:$AE$143</formula1>
    </dataValidation>
    <dataValidation type="list" allowBlank="1" showDropDown="1" sqref="AC14 AC7 AC119:AC136 AC17:AC19 AC21:AC22 AC24 AC26 AC72:AC73 AC75:AC80 AC106 AC85:AC89" xr:uid="{C9278348-A134-49CE-A8C1-07E4753E234E}">
      <formula1>$AC$141:$AC$148</formula1>
    </dataValidation>
    <dataValidation type="list" allowBlank="1" showDropDown="1" showInputMessage="1" showErrorMessage="1" sqref="AD137" xr:uid="{6CF8DBA6-C4C1-4ECA-823C-C981D2DEE89F}">
      <formula1>$AD$141:$AD$148</formula1>
    </dataValidation>
    <dataValidation type="list" allowBlank="1" showDropDown="1" showInputMessage="1" sqref="AD6:AD136" xr:uid="{E5CBB539-A747-4410-8268-BC8B20AEDA92}">
      <formula1>$AC$141:$AC$148</formula1>
    </dataValidation>
    <dataValidation type="list" allowBlank="1" showInputMessage="1" showErrorMessage="1" sqref="Y6:Y136" xr:uid="{C098B260-1ED7-43ED-9404-1523EB5CB922}">
      <formula1>$Y$141:$Y$145</formula1>
    </dataValidation>
    <dataValidation type="list" errorStyle="warning" allowBlank="1" showInputMessage="1" showErrorMessage="1" errorTitle="String error" error="Vul String lengte in tussen vierkante haakjes" sqref="K10:K11 K8 K6" xr:uid="{9DDF6459-2C8C-4D01-BFA9-D5CF87345220}">
      <formula1>$K$188:$K$195</formula1>
    </dataValidation>
    <dataValidation type="list" allowBlank="1" sqref="AE8" xr:uid="{DEEA6FAF-5BD5-40D9-9003-3A44AD86E747}">
      <formula1>$AL$184:$AL$195</formula1>
    </dataValidation>
    <dataValidation type="list" allowBlank="1" sqref="AJ8" xr:uid="{9F7A99E7-6964-4D40-B221-FAC9C8FA9A83}">
      <formula1>$AR$184:$AR$187</formula1>
    </dataValidation>
    <dataValidation type="list" allowBlank="1" sqref="AE6:AE7 AE9:AE136" xr:uid="{080DB038-0FA9-418F-8A1D-5667F0FF1425}">
      <formula1>$AL$141:$AL$152</formula1>
    </dataValidation>
    <dataValidation type="list" allowBlank="1" sqref="AJ10:AJ73 AJ6:AJ7 AJ75:AJ136" xr:uid="{0B946663-1432-4490-829C-C19E4835D130}">
      <formula1>$AR$141:$AR$143</formula1>
    </dataValidation>
    <dataValidation type="list" allowBlank="1" showDropDown="1" sqref="AC6 AC8:AC13 AC107:AC118 AC15:AC16 AC20 AC23 AC25 AC27:AC71 AC81:AC84 AC74 AC90:AC105" xr:uid="{1F606CC3-BC21-4100-9930-F765E97E310F}">
      <formula1>$AF$320:$AF$327</formula1>
    </dataValidation>
    <dataValidation type="list" allowBlank="1" showInputMessage="1" showErrorMessage="1" sqref="Y4:Y5" xr:uid="{492D1178-12BD-481E-8E3B-DC8D95909398}">
      <formula1>$Y$38:$Y$42</formula1>
    </dataValidation>
    <dataValidation type="list" allowBlank="1" showDropDown="1" showInputMessage="1" sqref="AB4:AB5" xr:uid="{1B3C1D31-5E13-4594-BCC0-51F31A87B0DB}">
      <formula1>$AB$38:$AB$44</formula1>
    </dataValidation>
    <dataValidation type="list" allowBlank="1" showDropDown="1" showInputMessage="1" sqref="AD4:AD5" xr:uid="{E7BF2C56-54FA-425B-BC14-EF9640107E28}">
      <formula1>$AC$38:$AC$45</formula1>
    </dataValidation>
    <dataValidation type="list" allowBlank="1" showInputMessage="1" sqref="AE4:AE5" xr:uid="{C477C23A-632C-415C-9ECF-3C96D1FD59AE}">
      <formula1>$AE$38:$AE$47</formula1>
    </dataValidation>
    <dataValidation type="list" allowBlank="1" showDropDown="1" sqref="AC4:AC5" xr:uid="{AA44B6BF-F51C-4BC8-9DAF-901D3D0178B7}">
      <formula1>$AC$38:$AC$45</formula1>
    </dataValidation>
    <dataValidation type="list" allowBlank="1" sqref="AJ4:AJ5" xr:uid="{C48AB7B2-B804-4835-A640-39D37E091899}">
      <formula1>$AE$38:$AE$40</formula1>
    </dataValidation>
    <dataValidation type="list" allowBlank="1" sqref="X4:X5" xr:uid="{F4171C80-B66D-4BE8-BCA5-1996C41E9CAF}">
      <formula1>$V$38</formula1>
    </dataValidation>
    <dataValidation type="list" allowBlank="1" sqref="Z4:Z5" xr:uid="{60FF1EDE-DFCD-4A67-A308-5234D916A286}">
      <formula1>$W$38:$W$41</formula1>
    </dataValidation>
    <dataValidation type="list" errorStyle="warning" allowBlank="1" showInputMessage="1" showErrorMessage="1" errorTitle="String error" error="Vul String lengte in tussen vierkante haakjes" sqref="K4:K5" xr:uid="{70484815-F6C9-4168-93BB-1D0039B19C46}">
      <formula1>$K$38:$K$45</formula1>
    </dataValidation>
    <dataValidation type="list" allowBlank="1" showInputMessage="1" showErrorMessage="1" sqref="L4:L5" xr:uid="{D5C2FF3B-125C-4D9D-A6D0-C0B68A85E3A4}">
      <formula1>$L$38:$L$46</formula1>
    </dataValidation>
    <dataValidation type="list" allowBlank="1" showInputMessage="1" showErrorMessage="1" sqref="P4:P5" xr:uid="{A87E2B98-AE18-42CB-BC34-5367460E4C40}">
      <formula1>$P$38:$P$39</formula1>
    </dataValidation>
    <dataValidation type="list" allowBlank="1" sqref="AK4:AK5" xr:uid="{7BA1443C-4BC1-4199-98A2-A8F05D31610E}">
      <formula1>$AJ$38:$AJ$40</formula1>
    </dataValidation>
    <dataValidation type="list" allowBlank="1" showInputMessage="1" showErrorMessage="1" sqref="D5:E5" xr:uid="{DB408C52-6316-473E-961E-B4DE821A8CDD}">
      <formula1>$D$38:$D$39</formula1>
    </dataValidation>
  </dataValidations>
  <pageMargins left="0.74803149606299213" right="0.74803149606299213" top="1.3125" bottom="0.98425196850393704" header="0.51181102362204722" footer="0.51181102362204722"/>
  <pageSetup paperSize="8" scale="24" fitToHeight="0" orientation="landscape" r:id="rId1"/>
  <headerFooter alignWithMargins="0">
    <oddHeader>&amp;C
DOWNLOAD LIST&amp;RFilename: &amp;F
Date: &amp;D&amp;L&amp;9Machine Number : 84130001
Machine Name : IFC - VL1 - Washer
CU Number : 7000
VU Number : 3920</oddHeader>
    <oddFooter>&amp;LBased on template :&amp;CDownloadList_CUxxxx_A3&amp;RPage &amp;P/&amp;N</oddFooter>
  </headerFooter>
  <drawing r:id="rId2"/>
  <legacyDrawing r:id="rId3"/>
  <controls>
    <mc:AlternateContent xmlns:mc="http://schemas.openxmlformats.org/markup-compatibility/2006">
      <mc:Choice Requires="x14">
        <control shapeId="1225" r:id="rId4" name="Visual">
          <controlPr defaultSize="0" autoLine="0" r:id="rId5">
            <anchor moveWithCells="1">
              <from>
                <xdr:col>5</xdr:col>
                <xdr:colOff>295275</xdr:colOff>
                <xdr:row>0</xdr:row>
                <xdr:rowOff>0</xdr:rowOff>
              </from>
              <to>
                <xdr:col>5</xdr:col>
                <xdr:colOff>1638300</xdr:colOff>
                <xdr:row>0</xdr:row>
                <xdr:rowOff>419100</xdr:rowOff>
              </to>
            </anchor>
          </controlPr>
        </control>
      </mc:Choice>
      <mc:Fallback>
        <control shapeId="1225" r:id="rId4" name="Visual"/>
      </mc:Fallback>
    </mc:AlternateContent>
    <mc:AlternateContent xmlns:mc="http://schemas.openxmlformats.org/markup-compatibility/2006">
      <mc:Choice Requires="x14">
        <control shapeId="1372" r:id="rId6" name="ListBoxAuthorization">
          <controlPr defaultSize="0" autoLine="0" r:id="rId7">
            <anchor moveWithCells="1">
              <from>
                <xdr:col>28</xdr:col>
                <xdr:colOff>0</xdr:colOff>
                <xdr:row>138</xdr:row>
                <xdr:rowOff>0</xdr:rowOff>
              </from>
              <to>
                <xdr:col>28</xdr:col>
                <xdr:colOff>47625</xdr:colOff>
                <xdr:row>138</xdr:row>
                <xdr:rowOff>38100</xdr:rowOff>
              </to>
            </anchor>
          </controlPr>
        </control>
      </mc:Choice>
      <mc:Fallback>
        <control shapeId="1372" r:id="rId6" name="ListBoxAuthorization"/>
      </mc:Fallback>
    </mc:AlternateContent>
  </controls>
  <extLst>
    <ext xmlns:x14="http://schemas.microsoft.com/office/spreadsheetml/2009/9/main" uri="{CCE6A557-97BC-4b89-ADB6-D9C93CAAB3DF}">
      <x14:dataValidations xmlns:xm="http://schemas.microsoft.com/office/excel/2006/main" count="1">
        <x14:dataValidation type="list" allowBlank="1" showDropDown="1" showInputMessage="1" showErrorMessage="1" xr:uid="{2F1F42B9-F3CA-4532-BFE8-A9649D033831}">
          <x14:formula1>
            <xm:f>ComponentTypes!$B$2:$B$8</xm:f>
          </x14:formula1>
          <xm:sqref>W137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FC0E0-6F48-4141-92CA-8A2CCC4C6E7A}">
  <dimension ref="A1"/>
  <sheetViews>
    <sheetView workbookViewId="0"/>
  </sheetViews>
  <sheetFormatPr defaultRowHeight="11.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S1582"/>
  <sheetViews>
    <sheetView showGridLines="0" tabSelected="1" zoomScaleNormal="100" workbookViewId="0">
      <pane ySplit="3" topLeftCell="A4" activePane="bottomLeft" state="frozen"/>
      <selection pane="bottomLeft" activeCell="G13" sqref="G13"/>
      <selection activeCell="A3" sqref="A3:B3"/>
    </sheetView>
  </sheetViews>
  <sheetFormatPr defaultColWidth="9.33203125" defaultRowHeight="12"/>
  <cols>
    <col min="1" max="1" width="15.6640625" style="66" customWidth="1"/>
    <col min="2" max="2" width="7.5" style="66" customWidth="1"/>
    <col min="3" max="3" width="10.6640625" style="66" customWidth="1"/>
    <col min="4" max="4" width="16.33203125" style="66" customWidth="1"/>
    <col min="5" max="5" width="13" style="66" customWidth="1"/>
    <col min="6" max="6" width="54.5" style="66" customWidth="1"/>
    <col min="7" max="7" width="61" style="66" customWidth="1"/>
    <col min="8" max="8" width="60.1640625" style="66" customWidth="1"/>
    <col min="9" max="11" width="17.5" style="66" customWidth="1"/>
    <col min="12" max="12" width="14.1640625" style="66" customWidth="1"/>
    <col min="13" max="16" width="16.1640625" style="66" customWidth="1"/>
    <col min="17" max="19" width="13.6640625" style="66" customWidth="1"/>
    <col min="20" max="20" width="15.6640625" style="10" customWidth="1"/>
    <col min="21" max="21" width="15.5" style="66" customWidth="1"/>
    <col min="22" max="22" width="14" style="155" customWidth="1"/>
    <col min="23" max="23" width="12.6640625" style="155" customWidth="1"/>
    <col min="24" max="24" width="9.5" style="66" customWidth="1"/>
    <col min="25" max="25" width="8.33203125" style="66" customWidth="1"/>
    <col min="26" max="26" width="20.33203125" style="66" customWidth="1"/>
    <col min="27" max="27" width="7" style="66" customWidth="1"/>
    <col min="28" max="29" width="16.1640625" style="66" customWidth="1"/>
    <col min="30" max="30" width="17.6640625" style="66" customWidth="1"/>
    <col min="31" max="31" width="12.6640625" style="66" customWidth="1"/>
    <col min="32" max="32" width="10.5" style="66" customWidth="1"/>
    <col min="33" max="33" width="11.5" style="66" customWidth="1"/>
    <col min="34" max="35" width="14.6640625" style="55" customWidth="1"/>
    <col min="36" max="36" width="72" style="66" customWidth="1"/>
    <col min="37" max="37" width="11.1640625" style="66" customWidth="1"/>
    <col min="38" max="38" width="9.1640625" style="66" customWidth="1"/>
    <col min="39" max="39" width="22.5" style="66" customWidth="1"/>
    <col min="40" max="40" width="11.6640625" style="66" customWidth="1"/>
    <col min="41" max="16384" width="9.33203125" style="66"/>
  </cols>
  <sheetData>
    <row r="1" spans="1:42" s="156" customFormat="1" ht="36.75" customHeight="1" thickBot="1">
      <c r="C1" s="157" t="s">
        <v>842</v>
      </c>
      <c r="D1" s="157"/>
      <c r="E1" s="157"/>
      <c r="T1" s="67"/>
      <c r="V1" s="158"/>
      <c r="W1" s="158"/>
      <c r="AH1" s="159"/>
      <c r="AI1" s="159"/>
    </row>
    <row r="2" spans="1:42" s="14" customFormat="1" ht="12.75" thickBot="1">
      <c r="A2" s="207"/>
      <c r="B2" s="162"/>
      <c r="C2" s="160"/>
      <c r="D2" s="160"/>
      <c r="E2" s="160"/>
      <c r="F2" s="161"/>
      <c r="G2" s="161"/>
      <c r="H2" s="162"/>
      <c r="I2" s="76" t="s">
        <v>843</v>
      </c>
      <c r="J2" s="77"/>
      <c r="K2" s="77"/>
      <c r="L2" s="78"/>
      <c r="M2" s="76" t="s">
        <v>106</v>
      </c>
      <c r="N2" s="77"/>
      <c r="O2" s="79"/>
      <c r="P2" s="79"/>
      <c r="Q2" s="80"/>
      <c r="R2" s="79"/>
      <c r="S2" s="79"/>
      <c r="T2" s="168" t="s">
        <v>107</v>
      </c>
      <c r="U2" s="167"/>
      <c r="V2" s="160"/>
      <c r="W2" s="160"/>
      <c r="X2" s="162"/>
      <c r="Y2" s="162"/>
      <c r="Z2" s="163"/>
      <c r="AA2" s="162"/>
      <c r="AB2" s="162"/>
      <c r="AC2" s="162"/>
      <c r="AD2" s="162"/>
      <c r="AE2" s="164"/>
      <c r="AF2" s="161"/>
      <c r="AG2" s="161"/>
      <c r="AH2" s="165"/>
      <c r="AI2" s="165"/>
      <c r="AJ2" s="220"/>
      <c r="AK2" s="235"/>
    </row>
    <row r="3" spans="1:42" s="219" customFormat="1" ht="30" customHeight="1" thickBot="1">
      <c r="A3" s="212" t="s">
        <v>108</v>
      </c>
      <c r="B3" s="163" t="s">
        <v>109</v>
      </c>
      <c r="C3" s="165" t="s">
        <v>110</v>
      </c>
      <c r="D3" s="165" t="s">
        <v>111</v>
      </c>
      <c r="E3" s="165" t="s">
        <v>112</v>
      </c>
      <c r="F3" s="213" t="s">
        <v>113</v>
      </c>
      <c r="G3" s="213" t="s">
        <v>114</v>
      </c>
      <c r="H3" s="163" t="s">
        <v>115</v>
      </c>
      <c r="I3" s="214" t="s">
        <v>116</v>
      </c>
      <c r="J3" s="215" t="s">
        <v>117</v>
      </c>
      <c r="K3" s="216" t="s">
        <v>118</v>
      </c>
      <c r="L3" s="216" t="s">
        <v>119</v>
      </c>
      <c r="M3" s="217" t="s">
        <v>120</v>
      </c>
      <c r="N3" s="217" t="s">
        <v>121</v>
      </c>
      <c r="O3" s="215" t="s">
        <v>122</v>
      </c>
      <c r="P3" s="216" t="s">
        <v>123</v>
      </c>
      <c r="Q3" s="216" t="s">
        <v>119</v>
      </c>
      <c r="R3" s="216" t="s">
        <v>124</v>
      </c>
      <c r="S3" s="216" t="s">
        <v>125</v>
      </c>
      <c r="T3" s="218" t="s">
        <v>126</v>
      </c>
      <c r="U3" s="218" t="s">
        <v>127</v>
      </c>
      <c r="V3" s="165" t="s">
        <v>128</v>
      </c>
      <c r="W3" s="165" t="s">
        <v>129</v>
      </c>
      <c r="X3" s="163" t="s">
        <v>130</v>
      </c>
      <c r="Y3" s="163" t="s">
        <v>131</v>
      </c>
      <c r="Z3" s="163" t="s">
        <v>132</v>
      </c>
      <c r="AA3" s="163" t="s">
        <v>133</v>
      </c>
      <c r="AB3" s="163" t="s">
        <v>134</v>
      </c>
      <c r="AC3" s="163" t="s">
        <v>135</v>
      </c>
      <c r="AD3" s="163" t="s">
        <v>136</v>
      </c>
      <c r="AE3" s="216" t="s">
        <v>137</v>
      </c>
      <c r="AF3" s="213" t="s">
        <v>138</v>
      </c>
      <c r="AG3" s="213" t="s">
        <v>139</v>
      </c>
      <c r="AH3" s="165" t="s">
        <v>140</v>
      </c>
      <c r="AI3" s="165" t="s">
        <v>141</v>
      </c>
      <c r="AJ3" s="221" t="s">
        <v>142</v>
      </c>
      <c r="AK3" s="251" t="s">
        <v>143</v>
      </c>
    </row>
    <row r="4" spans="1:42" ht="15" customHeight="1">
      <c r="A4" s="208"/>
      <c r="B4" s="103" t="s">
        <v>844</v>
      </c>
      <c r="C4" s="101">
        <v>1</v>
      </c>
      <c r="D4" s="325"/>
      <c r="E4" s="318"/>
      <c r="F4" s="103" t="s">
        <v>845</v>
      </c>
      <c r="G4" s="103" t="s">
        <v>846</v>
      </c>
      <c r="H4" s="103" t="s">
        <v>847</v>
      </c>
      <c r="I4" s="104"/>
      <c r="J4" s="103"/>
      <c r="K4" s="103"/>
      <c r="L4" s="104"/>
      <c r="M4" s="103"/>
      <c r="N4" s="105"/>
      <c r="O4" s="105"/>
      <c r="P4" s="105"/>
      <c r="Q4" s="106"/>
      <c r="R4" s="106"/>
      <c r="S4" s="106"/>
      <c r="T4" s="91"/>
      <c r="U4" s="103"/>
      <c r="V4" s="103"/>
      <c r="W4" s="107"/>
      <c r="X4" s="107"/>
      <c r="Y4" s="107"/>
      <c r="Z4" s="107"/>
      <c r="AA4" s="107"/>
      <c r="AB4" s="105"/>
      <c r="AC4" s="105"/>
      <c r="AD4" s="312"/>
      <c r="AE4" s="107"/>
      <c r="AF4" s="107"/>
      <c r="AG4" s="108"/>
      <c r="AH4" s="109"/>
      <c r="AI4" s="109"/>
      <c r="AJ4" s="109"/>
      <c r="AK4" s="110"/>
      <c r="AM4" s="230"/>
      <c r="AN4" s="187" t="s">
        <v>152</v>
      </c>
      <c r="AO4" s="231"/>
      <c r="AP4" s="231"/>
    </row>
    <row r="5" spans="1:42" ht="15" customHeight="1">
      <c r="A5" s="208"/>
      <c r="B5" s="103" t="s">
        <v>844</v>
      </c>
      <c r="C5" s="101">
        <v>2</v>
      </c>
      <c r="D5" s="325"/>
      <c r="E5" s="319"/>
      <c r="F5" s="103" t="s">
        <v>848</v>
      </c>
      <c r="G5" s="103" t="s">
        <v>849</v>
      </c>
      <c r="H5" s="103" t="s">
        <v>850</v>
      </c>
      <c r="I5" s="104"/>
      <c r="J5" s="103"/>
      <c r="K5" s="103"/>
      <c r="L5" s="104"/>
      <c r="M5" s="103"/>
      <c r="N5" s="105"/>
      <c r="O5" s="105"/>
      <c r="P5" s="105"/>
      <c r="Q5" s="106"/>
      <c r="R5" s="106"/>
      <c r="S5" s="106"/>
      <c r="T5" s="64"/>
      <c r="U5" s="103"/>
      <c r="V5" s="107"/>
      <c r="W5" s="107"/>
      <c r="X5" s="107"/>
      <c r="Y5" s="107"/>
      <c r="Z5" s="107"/>
      <c r="AA5" s="107"/>
      <c r="AB5" s="105"/>
      <c r="AC5" s="105"/>
      <c r="AD5" s="312"/>
      <c r="AE5" s="107"/>
      <c r="AF5" s="107"/>
      <c r="AG5" s="107"/>
      <c r="AH5" s="109"/>
      <c r="AI5" s="109"/>
      <c r="AJ5" s="109"/>
      <c r="AK5" s="110"/>
      <c r="AM5" s="232"/>
      <c r="AN5" s="187" t="s">
        <v>164</v>
      </c>
      <c r="AO5" s="231"/>
      <c r="AP5" s="231"/>
    </row>
    <row r="6" spans="1:42" ht="15" customHeight="1">
      <c r="A6" s="208"/>
      <c r="B6" s="103" t="s">
        <v>844</v>
      </c>
      <c r="C6" s="101">
        <v>3</v>
      </c>
      <c r="D6" s="325"/>
      <c r="E6" s="117"/>
      <c r="F6" s="103" t="s">
        <v>851</v>
      </c>
      <c r="G6" s="112" t="s">
        <v>852</v>
      </c>
      <c r="H6" s="103" t="s">
        <v>853</v>
      </c>
      <c r="I6" s="112"/>
      <c r="J6" s="112"/>
      <c r="K6" s="112"/>
      <c r="L6" s="112"/>
      <c r="M6" s="103"/>
      <c r="N6" s="105"/>
      <c r="O6" s="113"/>
      <c r="P6" s="113"/>
      <c r="Q6" s="106"/>
      <c r="R6" s="106"/>
      <c r="S6" s="106"/>
      <c r="T6" s="64"/>
      <c r="U6" s="103"/>
      <c r="V6" s="103"/>
      <c r="W6" s="107"/>
      <c r="X6" s="107"/>
      <c r="Y6" s="107"/>
      <c r="Z6" s="107"/>
      <c r="AA6" s="114"/>
      <c r="AB6" s="105"/>
      <c r="AC6" s="105"/>
      <c r="AD6" s="312"/>
      <c r="AE6" s="107"/>
      <c r="AF6" s="114"/>
      <c r="AG6" s="114"/>
      <c r="AH6" s="115"/>
      <c r="AI6" s="115"/>
      <c r="AJ6" s="115"/>
      <c r="AK6" s="116"/>
      <c r="AM6" s="231"/>
      <c r="AN6" s="231"/>
      <c r="AO6" s="231"/>
      <c r="AP6" s="231"/>
    </row>
    <row r="7" spans="1:42" ht="15" customHeight="1">
      <c r="A7" s="208"/>
      <c r="B7" s="103" t="s">
        <v>844</v>
      </c>
      <c r="C7" s="101">
        <v>4</v>
      </c>
      <c r="D7" s="325"/>
      <c r="E7" s="117"/>
      <c r="F7" s="103" t="s">
        <v>854</v>
      </c>
      <c r="G7" s="112"/>
      <c r="H7" s="103" t="s">
        <v>855</v>
      </c>
      <c r="I7" s="112"/>
      <c r="J7" s="112"/>
      <c r="K7" s="112"/>
      <c r="L7" s="112"/>
      <c r="M7" s="103"/>
      <c r="N7" s="105"/>
      <c r="O7" s="113"/>
      <c r="P7" s="113"/>
      <c r="Q7" s="106"/>
      <c r="R7" s="106"/>
      <c r="S7" s="106"/>
      <c r="T7" s="64"/>
      <c r="U7" s="103"/>
      <c r="V7" s="107"/>
      <c r="W7" s="107"/>
      <c r="X7" s="107"/>
      <c r="Y7" s="107"/>
      <c r="Z7" s="107"/>
      <c r="AA7" s="107"/>
      <c r="AB7" s="105"/>
      <c r="AC7" s="105"/>
      <c r="AD7" s="312"/>
      <c r="AE7" s="107"/>
      <c r="AF7" s="114"/>
      <c r="AG7" s="114"/>
      <c r="AH7" s="115"/>
      <c r="AI7" s="115"/>
      <c r="AJ7" s="115"/>
      <c r="AK7" s="116"/>
      <c r="AM7" s="233"/>
      <c r="AN7" s="187" t="s">
        <v>175</v>
      </c>
      <c r="AO7" s="231"/>
      <c r="AP7" s="231"/>
    </row>
    <row r="8" spans="1:42" ht="15" customHeight="1">
      <c r="A8" s="208"/>
      <c r="B8" s="103" t="s">
        <v>15</v>
      </c>
      <c r="C8" s="101">
        <v>5</v>
      </c>
      <c r="D8" s="57"/>
      <c r="E8" s="117"/>
      <c r="F8" s="103"/>
      <c r="G8" s="112"/>
      <c r="H8" s="103"/>
      <c r="I8" s="112"/>
      <c r="J8" s="112"/>
      <c r="K8" s="112"/>
      <c r="L8" s="112"/>
      <c r="M8" s="103"/>
      <c r="N8" s="105"/>
      <c r="O8" s="113"/>
      <c r="P8" s="113"/>
      <c r="Q8" s="106"/>
      <c r="R8" s="106"/>
      <c r="S8" s="106"/>
      <c r="T8" s="64"/>
      <c r="U8" s="103"/>
      <c r="V8" s="103"/>
      <c r="W8" s="103"/>
      <c r="X8" s="103"/>
      <c r="Y8" s="103"/>
      <c r="Z8" s="103"/>
      <c r="AA8" s="103"/>
      <c r="AB8" s="105"/>
      <c r="AC8" s="105"/>
      <c r="AD8" s="312"/>
      <c r="AE8" s="103"/>
      <c r="AF8" s="112"/>
      <c r="AG8" s="112"/>
      <c r="AH8" s="118"/>
      <c r="AI8" s="118"/>
      <c r="AJ8" s="118"/>
      <c r="AK8" s="119"/>
      <c r="AM8" s="234"/>
      <c r="AN8" s="187" t="s">
        <v>185</v>
      </c>
      <c r="AO8" s="231"/>
      <c r="AP8" s="231"/>
    </row>
    <row r="9" spans="1:42" ht="15" customHeight="1">
      <c r="A9" s="208"/>
      <c r="B9" s="103" t="s">
        <v>15</v>
      </c>
      <c r="C9" s="101">
        <v>6</v>
      </c>
      <c r="D9" s="102"/>
      <c r="E9" s="111"/>
      <c r="F9" s="103"/>
      <c r="G9" s="112"/>
      <c r="H9" s="103"/>
      <c r="I9" s="112"/>
      <c r="J9" s="112"/>
      <c r="K9" s="112"/>
      <c r="L9" s="112"/>
      <c r="M9" s="103"/>
      <c r="N9" s="105"/>
      <c r="O9" s="113"/>
      <c r="P9" s="113"/>
      <c r="Q9" s="106"/>
      <c r="R9" s="106"/>
      <c r="S9" s="106"/>
      <c r="T9" s="64"/>
      <c r="U9" s="103"/>
      <c r="V9" s="107"/>
      <c r="W9" s="107"/>
      <c r="X9" s="107"/>
      <c r="Y9" s="107"/>
      <c r="Z9" s="107"/>
      <c r="AA9" s="114"/>
      <c r="AB9" s="105"/>
      <c r="AC9" s="105"/>
      <c r="AD9" s="312"/>
      <c r="AE9" s="107"/>
      <c r="AF9" s="114"/>
      <c r="AG9" s="114"/>
      <c r="AH9" s="115"/>
      <c r="AI9" s="115"/>
      <c r="AJ9" s="115"/>
      <c r="AK9" s="116"/>
      <c r="AM9" s="231"/>
      <c r="AN9" s="231"/>
      <c r="AO9" s="231"/>
      <c r="AP9" s="231"/>
    </row>
    <row r="10" spans="1:42" ht="15" customHeight="1">
      <c r="A10" s="208"/>
      <c r="B10" s="103" t="s">
        <v>15</v>
      </c>
      <c r="C10" s="101">
        <v>7</v>
      </c>
      <c r="D10" s="102"/>
      <c r="E10" s="111"/>
      <c r="F10" s="103"/>
      <c r="G10" s="112"/>
      <c r="H10" s="103"/>
      <c r="I10" s="112"/>
      <c r="J10" s="112"/>
      <c r="K10" s="112"/>
      <c r="L10" s="112"/>
      <c r="M10" s="103"/>
      <c r="N10" s="105"/>
      <c r="O10" s="113"/>
      <c r="P10" s="113"/>
      <c r="Q10" s="106"/>
      <c r="R10" s="106"/>
      <c r="S10" s="106"/>
      <c r="T10" s="64"/>
      <c r="U10" s="103"/>
      <c r="V10" s="103"/>
      <c r="W10" s="107"/>
      <c r="X10" s="107"/>
      <c r="Y10" s="107"/>
      <c r="Z10" s="107"/>
      <c r="AA10" s="107"/>
      <c r="AB10" s="105"/>
      <c r="AC10" s="105"/>
      <c r="AD10" s="312"/>
      <c r="AE10" s="107"/>
      <c r="AF10" s="114"/>
      <c r="AG10" s="114"/>
      <c r="AH10" s="115"/>
      <c r="AI10" s="115"/>
      <c r="AJ10" s="115"/>
      <c r="AK10" s="116"/>
      <c r="AM10" s="231"/>
      <c r="AN10" s="231"/>
      <c r="AO10" s="231"/>
      <c r="AP10" s="231"/>
    </row>
    <row r="11" spans="1:42" ht="15" customHeight="1">
      <c r="A11" s="208"/>
      <c r="B11" s="103" t="s">
        <v>15</v>
      </c>
      <c r="C11" s="101">
        <v>8</v>
      </c>
      <c r="D11" s="102"/>
      <c r="E11" s="111"/>
      <c r="F11" s="103"/>
      <c r="G11" s="112"/>
      <c r="H11" s="103"/>
      <c r="I11" s="112"/>
      <c r="J11" s="112"/>
      <c r="K11" s="112"/>
      <c r="L11" s="112"/>
      <c r="M11" s="103"/>
      <c r="N11" s="105"/>
      <c r="O11" s="113"/>
      <c r="P11" s="113"/>
      <c r="Q11" s="106"/>
      <c r="R11" s="106"/>
      <c r="S11" s="106"/>
      <c r="T11" s="64"/>
      <c r="U11" s="103"/>
      <c r="V11" s="107"/>
      <c r="W11" s="107"/>
      <c r="X11" s="107"/>
      <c r="Y11" s="107"/>
      <c r="Z11" s="107"/>
      <c r="AA11" s="107"/>
      <c r="AB11" s="105"/>
      <c r="AC11" s="105"/>
      <c r="AD11" s="312"/>
      <c r="AE11" s="107"/>
      <c r="AF11" s="114"/>
      <c r="AG11" s="114"/>
      <c r="AH11" s="115"/>
      <c r="AI11" s="115"/>
      <c r="AJ11" s="115"/>
      <c r="AK11" s="116"/>
    </row>
    <row r="12" spans="1:42" ht="15" customHeight="1">
      <c r="A12" s="208"/>
      <c r="B12" s="103" t="s">
        <v>15</v>
      </c>
      <c r="C12" s="101">
        <v>9</v>
      </c>
      <c r="D12" s="102"/>
      <c r="E12" s="111"/>
      <c r="F12" s="103"/>
      <c r="G12" s="112"/>
      <c r="H12" s="103"/>
      <c r="I12" s="112"/>
      <c r="J12" s="112"/>
      <c r="K12" s="112"/>
      <c r="L12" s="112"/>
      <c r="M12" s="103"/>
      <c r="N12" s="113"/>
      <c r="O12" s="113"/>
      <c r="P12" s="113"/>
      <c r="Q12" s="106"/>
      <c r="R12" s="106"/>
      <c r="S12" s="106"/>
      <c r="T12" s="64"/>
      <c r="U12" s="103"/>
      <c r="V12" s="103"/>
      <c r="W12" s="107"/>
      <c r="X12" s="107"/>
      <c r="Y12" s="107"/>
      <c r="Z12" s="107"/>
      <c r="AA12" s="114"/>
      <c r="AB12" s="105"/>
      <c r="AC12" s="105"/>
      <c r="AD12" s="312"/>
      <c r="AE12" s="107"/>
      <c r="AF12" s="114"/>
      <c r="AG12" s="114"/>
      <c r="AH12" s="115"/>
      <c r="AI12" s="115"/>
      <c r="AJ12" s="115"/>
      <c r="AK12" s="116"/>
    </row>
    <row r="13" spans="1:42" ht="15" customHeight="1">
      <c r="A13" s="208"/>
      <c r="B13" s="103" t="s">
        <v>15</v>
      </c>
      <c r="C13" s="101">
        <v>10</v>
      </c>
      <c r="D13" s="102"/>
      <c r="E13" s="111"/>
      <c r="F13" s="103"/>
      <c r="G13" s="112"/>
      <c r="H13" s="103"/>
      <c r="I13" s="112"/>
      <c r="J13" s="112"/>
      <c r="K13" s="112"/>
      <c r="L13" s="112"/>
      <c r="M13" s="103"/>
      <c r="N13" s="113"/>
      <c r="O13" s="113"/>
      <c r="P13" s="113"/>
      <c r="Q13" s="106"/>
      <c r="R13" s="106"/>
      <c r="S13" s="106"/>
      <c r="T13" s="65"/>
      <c r="U13" s="103"/>
      <c r="V13" s="107"/>
      <c r="W13" s="107"/>
      <c r="X13" s="107"/>
      <c r="Y13" s="107"/>
      <c r="Z13" s="107"/>
      <c r="AA13" s="107"/>
      <c r="AB13" s="105"/>
      <c r="AC13" s="105"/>
      <c r="AD13" s="312"/>
      <c r="AE13" s="114"/>
      <c r="AF13" s="114"/>
      <c r="AG13" s="114"/>
      <c r="AH13" s="115"/>
      <c r="AI13" s="115"/>
      <c r="AJ13" s="115"/>
      <c r="AK13" s="116"/>
    </row>
    <row r="14" spans="1:42" ht="15" customHeight="1">
      <c r="A14" s="208"/>
      <c r="B14" s="103" t="s">
        <v>21</v>
      </c>
      <c r="C14" s="101">
        <v>11</v>
      </c>
      <c r="D14" s="57"/>
      <c r="E14" s="117"/>
      <c r="F14" s="103"/>
      <c r="G14" s="112"/>
      <c r="H14" s="103"/>
      <c r="I14" s="112"/>
      <c r="J14" s="112"/>
      <c r="K14" s="112"/>
      <c r="L14" s="112"/>
      <c r="M14" s="103"/>
      <c r="N14" s="113"/>
      <c r="O14" s="113"/>
      <c r="P14" s="113"/>
      <c r="Q14" s="106"/>
      <c r="R14" s="106"/>
      <c r="S14" s="106"/>
      <c r="T14" s="65"/>
      <c r="U14" s="103"/>
      <c r="V14" s="103"/>
      <c r="W14" s="103"/>
      <c r="X14" s="103"/>
      <c r="Y14" s="103"/>
      <c r="Z14" s="103"/>
      <c r="AA14" s="103"/>
      <c r="AB14" s="105"/>
      <c r="AC14" s="105"/>
      <c r="AD14" s="312"/>
      <c r="AE14" s="112"/>
      <c r="AF14" s="112"/>
      <c r="AG14" s="112"/>
      <c r="AH14" s="118"/>
      <c r="AI14" s="118"/>
      <c r="AJ14" s="118"/>
      <c r="AK14" s="119"/>
    </row>
    <row r="15" spans="1:42" ht="15" customHeight="1">
      <c r="A15" s="208"/>
      <c r="B15" s="103" t="s">
        <v>15</v>
      </c>
      <c r="C15" s="101">
        <v>12</v>
      </c>
      <c r="D15" s="102"/>
      <c r="E15" s="111"/>
      <c r="F15" s="103"/>
      <c r="G15" s="112"/>
      <c r="H15" s="103"/>
      <c r="I15" s="112"/>
      <c r="J15" s="112"/>
      <c r="K15" s="112"/>
      <c r="L15" s="112"/>
      <c r="M15" s="103"/>
      <c r="N15" s="113"/>
      <c r="O15" s="113"/>
      <c r="P15" s="113"/>
      <c r="Q15" s="106"/>
      <c r="R15" s="106"/>
      <c r="S15" s="106"/>
      <c r="T15" s="65"/>
      <c r="U15" s="103"/>
      <c r="V15" s="107"/>
      <c r="W15" s="107"/>
      <c r="X15" s="107"/>
      <c r="Y15" s="107"/>
      <c r="Z15" s="107"/>
      <c r="AA15" s="114"/>
      <c r="AB15" s="105"/>
      <c r="AC15" s="105"/>
      <c r="AD15" s="312"/>
      <c r="AE15" s="114"/>
      <c r="AF15" s="114"/>
      <c r="AG15" s="114"/>
      <c r="AH15" s="115"/>
      <c r="AI15" s="115"/>
      <c r="AJ15" s="115"/>
      <c r="AK15" s="116"/>
    </row>
    <row r="16" spans="1:42" ht="15" customHeight="1">
      <c r="A16" s="208"/>
      <c r="B16" s="103" t="s">
        <v>15</v>
      </c>
      <c r="C16" s="101">
        <v>13</v>
      </c>
      <c r="D16" s="102"/>
      <c r="E16" s="111"/>
      <c r="F16" s="103"/>
      <c r="G16" s="112"/>
      <c r="H16" s="103"/>
      <c r="I16" s="112"/>
      <c r="J16" s="112"/>
      <c r="K16" s="112"/>
      <c r="L16" s="112"/>
      <c r="M16" s="103"/>
      <c r="N16" s="113"/>
      <c r="O16" s="113"/>
      <c r="P16" s="113"/>
      <c r="Q16" s="106"/>
      <c r="R16" s="106"/>
      <c r="S16" s="106"/>
      <c r="T16" s="65"/>
      <c r="U16" s="103"/>
      <c r="V16" s="103"/>
      <c r="W16" s="107"/>
      <c r="X16" s="107"/>
      <c r="Y16" s="107"/>
      <c r="Z16" s="107"/>
      <c r="AA16" s="107"/>
      <c r="AB16" s="105"/>
      <c r="AC16" s="105"/>
      <c r="AD16" s="312"/>
      <c r="AE16" s="107"/>
      <c r="AF16" s="114"/>
      <c r="AG16" s="114"/>
      <c r="AH16" s="115"/>
      <c r="AI16" s="115"/>
      <c r="AJ16" s="115"/>
      <c r="AK16" s="116"/>
    </row>
    <row r="17" spans="1:45" ht="15" customHeight="1">
      <c r="A17" s="208"/>
      <c r="B17" s="103" t="s">
        <v>15</v>
      </c>
      <c r="C17" s="101">
        <v>14</v>
      </c>
      <c r="D17" s="102"/>
      <c r="E17" s="111"/>
      <c r="F17" s="103"/>
      <c r="G17" s="112"/>
      <c r="H17" s="103"/>
      <c r="I17" s="112"/>
      <c r="J17" s="112"/>
      <c r="K17" s="112"/>
      <c r="L17" s="112"/>
      <c r="M17" s="103"/>
      <c r="N17" s="113"/>
      <c r="O17" s="113"/>
      <c r="P17" s="113"/>
      <c r="Q17" s="106"/>
      <c r="R17" s="106"/>
      <c r="S17" s="106"/>
      <c r="T17" s="65"/>
      <c r="U17" s="103"/>
      <c r="V17" s="107"/>
      <c r="W17" s="107"/>
      <c r="X17" s="107"/>
      <c r="Y17" s="107"/>
      <c r="Z17" s="107"/>
      <c r="AA17" s="107"/>
      <c r="AB17" s="105"/>
      <c r="AC17" s="105"/>
      <c r="AD17" s="312"/>
      <c r="AE17" s="114"/>
      <c r="AF17" s="114"/>
      <c r="AG17" s="114"/>
      <c r="AH17" s="115"/>
      <c r="AI17" s="115"/>
      <c r="AJ17" s="115"/>
      <c r="AK17" s="116"/>
    </row>
    <row r="18" spans="1:45" ht="15" customHeight="1">
      <c r="A18" s="208"/>
      <c r="B18" s="103" t="s">
        <v>15</v>
      </c>
      <c r="C18" s="101">
        <v>15</v>
      </c>
      <c r="D18" s="102"/>
      <c r="E18" s="111"/>
      <c r="F18" s="103"/>
      <c r="G18" s="112"/>
      <c r="H18" s="103"/>
      <c r="I18" s="112"/>
      <c r="J18" s="112"/>
      <c r="K18" s="112"/>
      <c r="L18" s="112"/>
      <c r="M18" s="103"/>
      <c r="N18" s="113"/>
      <c r="O18" s="113"/>
      <c r="P18" s="113"/>
      <c r="Q18" s="106"/>
      <c r="R18" s="106"/>
      <c r="S18" s="106"/>
      <c r="T18" s="65"/>
      <c r="U18" s="103"/>
      <c r="V18" s="103"/>
      <c r="W18" s="107"/>
      <c r="X18" s="107"/>
      <c r="Y18" s="107"/>
      <c r="Z18" s="107"/>
      <c r="AA18" s="114"/>
      <c r="AB18" s="105"/>
      <c r="AC18" s="105"/>
      <c r="AD18" s="312"/>
      <c r="AE18" s="114"/>
      <c r="AF18" s="114"/>
      <c r="AG18" s="114"/>
      <c r="AH18" s="115"/>
      <c r="AI18" s="115"/>
      <c r="AJ18" s="115"/>
      <c r="AK18" s="116"/>
    </row>
    <row r="19" spans="1:45" ht="15" customHeight="1">
      <c r="A19" s="208"/>
      <c r="B19" s="103" t="s">
        <v>15</v>
      </c>
      <c r="C19" s="101">
        <v>16</v>
      </c>
      <c r="D19" s="102"/>
      <c r="E19" s="111"/>
      <c r="F19" s="103"/>
      <c r="G19" s="112"/>
      <c r="H19" s="103"/>
      <c r="I19" s="112"/>
      <c r="J19" s="112"/>
      <c r="K19" s="112"/>
      <c r="L19" s="112"/>
      <c r="M19" s="103"/>
      <c r="N19" s="113"/>
      <c r="O19" s="113"/>
      <c r="P19" s="113"/>
      <c r="Q19" s="106"/>
      <c r="R19" s="106"/>
      <c r="S19" s="106"/>
      <c r="T19" s="65"/>
      <c r="U19" s="103"/>
      <c r="V19" s="107"/>
      <c r="W19" s="107"/>
      <c r="X19" s="107"/>
      <c r="Y19" s="107"/>
      <c r="Z19" s="107"/>
      <c r="AA19" s="107"/>
      <c r="AB19" s="105"/>
      <c r="AC19" s="105"/>
      <c r="AD19" s="312"/>
      <c r="AE19" s="114"/>
      <c r="AF19" s="114"/>
      <c r="AG19" s="114"/>
      <c r="AH19" s="115"/>
      <c r="AI19" s="115"/>
      <c r="AJ19" s="115"/>
      <c r="AK19" s="116"/>
    </row>
    <row r="20" spans="1:45" ht="15" customHeight="1">
      <c r="A20" s="208"/>
      <c r="B20" s="103" t="s">
        <v>15</v>
      </c>
      <c r="C20" s="101">
        <v>17</v>
      </c>
      <c r="D20" s="102"/>
      <c r="E20" s="111"/>
      <c r="F20" s="103"/>
      <c r="G20" s="112"/>
      <c r="H20" s="103"/>
      <c r="I20" s="112"/>
      <c r="J20" s="112"/>
      <c r="K20" s="112"/>
      <c r="L20" s="112"/>
      <c r="M20" s="103"/>
      <c r="N20" s="113"/>
      <c r="O20" s="113"/>
      <c r="P20" s="113"/>
      <c r="Q20" s="106"/>
      <c r="R20" s="106"/>
      <c r="S20" s="106"/>
      <c r="T20" s="65"/>
      <c r="U20" s="103"/>
      <c r="V20" s="103"/>
      <c r="W20" s="107"/>
      <c r="X20" s="107"/>
      <c r="Y20" s="107"/>
      <c r="Z20" s="107"/>
      <c r="AA20" s="107"/>
      <c r="AB20" s="105"/>
      <c r="AC20" s="105"/>
      <c r="AD20" s="312"/>
      <c r="AE20" s="107"/>
      <c r="AF20" s="114"/>
      <c r="AG20" s="114"/>
      <c r="AH20" s="115"/>
      <c r="AI20" s="115"/>
      <c r="AJ20" s="115"/>
      <c r="AK20" s="116"/>
    </row>
    <row r="21" spans="1:45" ht="15" customHeight="1">
      <c r="A21" s="208"/>
      <c r="B21" s="103" t="s">
        <v>15</v>
      </c>
      <c r="C21" s="101">
        <v>18</v>
      </c>
      <c r="D21" s="102"/>
      <c r="E21" s="111"/>
      <c r="F21" s="103"/>
      <c r="G21" s="112"/>
      <c r="H21" s="103"/>
      <c r="I21" s="112"/>
      <c r="J21" s="112"/>
      <c r="K21" s="112"/>
      <c r="L21" s="112"/>
      <c r="M21" s="103"/>
      <c r="N21" s="113"/>
      <c r="O21" s="113"/>
      <c r="P21" s="113"/>
      <c r="Q21" s="106"/>
      <c r="R21" s="106"/>
      <c r="S21" s="106"/>
      <c r="T21" s="65"/>
      <c r="U21" s="103"/>
      <c r="V21" s="107"/>
      <c r="W21" s="107"/>
      <c r="X21" s="107"/>
      <c r="Y21" s="107"/>
      <c r="Z21" s="107"/>
      <c r="AA21" s="114"/>
      <c r="AB21" s="105"/>
      <c r="AC21" s="105"/>
      <c r="AD21" s="312"/>
      <c r="AE21" s="114"/>
      <c r="AF21" s="114"/>
      <c r="AG21" s="114"/>
      <c r="AH21" s="115"/>
      <c r="AI21" s="115"/>
      <c r="AJ21" s="115"/>
      <c r="AK21" s="116"/>
    </row>
    <row r="22" spans="1:45" ht="15" customHeight="1">
      <c r="A22" s="208"/>
      <c r="B22" s="103" t="s">
        <v>15</v>
      </c>
      <c r="C22" s="101">
        <v>19</v>
      </c>
      <c r="D22" s="102"/>
      <c r="E22" s="111"/>
      <c r="F22" s="103"/>
      <c r="G22" s="112"/>
      <c r="H22" s="103"/>
      <c r="I22" s="112"/>
      <c r="J22" s="112"/>
      <c r="K22" s="112"/>
      <c r="L22" s="112"/>
      <c r="M22" s="103"/>
      <c r="N22" s="113"/>
      <c r="O22" s="113"/>
      <c r="P22" s="113"/>
      <c r="Q22" s="106"/>
      <c r="R22" s="106"/>
      <c r="S22" s="106"/>
      <c r="T22" s="65"/>
      <c r="U22" s="103"/>
      <c r="V22" s="103"/>
      <c r="W22" s="107"/>
      <c r="X22" s="107"/>
      <c r="Y22" s="107"/>
      <c r="Z22" s="107"/>
      <c r="AA22" s="107"/>
      <c r="AB22" s="105"/>
      <c r="AC22" s="105"/>
      <c r="AD22" s="312"/>
      <c r="AE22" s="114"/>
      <c r="AF22" s="114"/>
      <c r="AG22" s="114"/>
      <c r="AH22" s="115"/>
      <c r="AI22" s="115"/>
      <c r="AJ22" s="115"/>
      <c r="AK22" s="116"/>
    </row>
    <row r="23" spans="1:45" ht="15" customHeight="1">
      <c r="A23" s="208"/>
      <c r="B23" s="103" t="s">
        <v>15</v>
      </c>
      <c r="C23" s="101">
        <v>20</v>
      </c>
      <c r="D23" s="102"/>
      <c r="E23" s="111"/>
      <c r="F23" s="103"/>
      <c r="G23" s="112"/>
      <c r="H23" s="103"/>
      <c r="I23" s="112"/>
      <c r="J23" s="112"/>
      <c r="K23" s="112"/>
      <c r="L23" s="112"/>
      <c r="M23" s="103"/>
      <c r="N23" s="113"/>
      <c r="O23" s="113"/>
      <c r="P23" s="113"/>
      <c r="Q23" s="106"/>
      <c r="R23" s="106"/>
      <c r="S23" s="106"/>
      <c r="T23" s="65"/>
      <c r="U23" s="103"/>
      <c r="V23" s="107"/>
      <c r="W23" s="107"/>
      <c r="X23" s="107"/>
      <c r="Y23" s="107"/>
      <c r="Z23" s="107"/>
      <c r="AA23" s="107"/>
      <c r="AB23" s="105"/>
      <c r="AC23" s="105"/>
      <c r="AD23" s="312"/>
      <c r="AE23" s="114"/>
      <c r="AF23" s="114"/>
      <c r="AG23" s="114"/>
      <c r="AH23" s="115"/>
      <c r="AI23" s="115"/>
      <c r="AJ23" s="115"/>
      <c r="AK23" s="116"/>
    </row>
    <row r="24" spans="1:45" ht="12.75" customHeight="1" thickBot="1">
      <c r="A24" s="209"/>
      <c r="B24" s="122"/>
      <c r="C24" s="121" t="s">
        <v>807</v>
      </c>
      <c r="D24" s="121"/>
      <c r="E24" s="121"/>
      <c r="F24" s="122"/>
      <c r="G24" s="122"/>
      <c r="H24" s="122"/>
      <c r="I24" s="122"/>
      <c r="J24" s="122"/>
      <c r="K24" s="122"/>
      <c r="L24" s="122"/>
      <c r="M24" s="122"/>
      <c r="N24" s="122"/>
      <c r="O24" s="122"/>
      <c r="P24" s="122"/>
      <c r="Q24" s="122"/>
      <c r="R24" s="122"/>
      <c r="S24" s="122"/>
      <c r="T24" s="122"/>
      <c r="U24" s="123"/>
      <c r="V24" s="122"/>
      <c r="W24" s="122"/>
      <c r="X24" s="122"/>
      <c r="Y24" s="122"/>
      <c r="Z24" s="124"/>
      <c r="AA24" s="122"/>
      <c r="AB24" s="122"/>
      <c r="AC24" s="122"/>
      <c r="AD24" s="122"/>
      <c r="AE24" s="122"/>
      <c r="AF24" s="125"/>
      <c r="AG24" s="125"/>
      <c r="AH24" s="122"/>
      <c r="AI24" s="126"/>
      <c r="AJ24" s="126"/>
      <c r="AK24" s="127"/>
    </row>
    <row r="25" spans="1:45" ht="12" customHeight="1">
      <c r="T25" s="66"/>
      <c r="V25" s="66"/>
      <c r="W25" s="66"/>
    </row>
    <row r="26" spans="1:45" ht="12.75" customHeight="1" thickBot="1">
      <c r="V26" s="66"/>
      <c r="W26" s="66"/>
    </row>
    <row r="27" spans="1:45" ht="12.75" customHeight="1" thickBot="1">
      <c r="D27" s="128"/>
      <c r="E27" s="129"/>
      <c r="F27" s="130"/>
      <c r="G27" s="130"/>
      <c r="H27" s="131"/>
      <c r="I27" s="131"/>
      <c r="J27" s="131"/>
      <c r="K27" s="131"/>
      <c r="L27" s="131" t="s">
        <v>808</v>
      </c>
      <c r="M27" s="131"/>
      <c r="N27" s="131"/>
      <c r="O27" s="131"/>
      <c r="P27" s="131"/>
      <c r="Q27" s="131"/>
      <c r="R27" s="131"/>
      <c r="S27" s="131"/>
      <c r="T27" s="131"/>
      <c r="U27" s="131"/>
      <c r="V27" s="131"/>
      <c r="W27" s="131"/>
      <c r="X27" s="131" t="s">
        <v>809</v>
      </c>
      <c r="Y27" s="131" t="s">
        <v>810</v>
      </c>
      <c r="Z27" s="131"/>
      <c r="AA27" s="131"/>
      <c r="AB27" s="131" t="s">
        <v>134</v>
      </c>
      <c r="AC27" s="131"/>
      <c r="AD27" s="131"/>
      <c r="AE27" s="131" t="s">
        <v>812</v>
      </c>
      <c r="AF27" s="131"/>
      <c r="AG27" s="131"/>
      <c r="AH27" s="222"/>
      <c r="AI27" s="226"/>
      <c r="AJ27" s="131" t="s">
        <v>809</v>
      </c>
      <c r="AK27" s="132"/>
    </row>
    <row r="28" spans="1:45" s="142" customFormat="1" ht="12" customHeight="1">
      <c r="A28" s="66"/>
      <c r="B28" s="66"/>
      <c r="C28" s="133"/>
      <c r="D28" s="134" t="b">
        <v>1</v>
      </c>
      <c r="E28" s="135"/>
      <c r="F28" s="134"/>
      <c r="G28" s="134"/>
      <c r="H28" s="136"/>
      <c r="I28" s="136"/>
      <c r="J28" s="136"/>
      <c r="K28" s="136" t="s">
        <v>548</v>
      </c>
      <c r="L28" s="136"/>
      <c r="M28" s="136"/>
      <c r="N28" s="136"/>
      <c r="O28" s="136"/>
      <c r="P28" s="136" t="s">
        <v>548</v>
      </c>
      <c r="Q28" s="137"/>
      <c r="R28" s="137"/>
      <c r="S28" s="137"/>
      <c r="T28" s="137"/>
      <c r="U28" s="136"/>
      <c r="V28" s="136"/>
      <c r="W28" s="138"/>
      <c r="X28" s="136" t="s">
        <v>815</v>
      </c>
      <c r="Y28" s="136" t="s">
        <v>856</v>
      </c>
      <c r="Z28" s="136"/>
      <c r="AA28" s="106"/>
      <c r="AB28" s="139" t="s">
        <v>816</v>
      </c>
      <c r="AC28" s="139" t="s">
        <v>817</v>
      </c>
      <c r="AD28" s="140" t="s">
        <v>817</v>
      </c>
      <c r="AE28" s="136" t="s">
        <v>227</v>
      </c>
      <c r="AF28" s="136"/>
      <c r="AG28" s="136"/>
      <c r="AH28" s="223"/>
      <c r="AI28" s="227"/>
      <c r="AJ28" s="136" t="s">
        <v>857</v>
      </c>
      <c r="AK28" s="141"/>
      <c r="AL28" s="66"/>
      <c r="AM28" s="66"/>
      <c r="AN28" s="66"/>
      <c r="AO28" s="66"/>
      <c r="AP28" s="66"/>
      <c r="AQ28" s="66"/>
      <c r="AR28" s="66"/>
      <c r="AS28" s="66"/>
    </row>
    <row r="29" spans="1:45" s="142" customFormat="1" ht="12" customHeight="1">
      <c r="A29" s="66"/>
      <c r="B29" s="66"/>
      <c r="C29" s="143"/>
      <c r="D29" s="144" t="b">
        <v>0</v>
      </c>
      <c r="E29" s="103"/>
      <c r="F29" s="144"/>
      <c r="G29" s="144"/>
      <c r="H29" s="104"/>
      <c r="I29" s="104"/>
      <c r="J29" s="103"/>
      <c r="K29" s="103" t="s">
        <v>819</v>
      </c>
      <c r="L29" s="104"/>
      <c r="M29" s="104"/>
      <c r="N29" s="103"/>
      <c r="O29" s="103"/>
      <c r="P29" s="104" t="s">
        <v>819</v>
      </c>
      <c r="Q29" s="145"/>
      <c r="R29" s="137"/>
      <c r="S29" s="137"/>
      <c r="T29" s="12"/>
      <c r="U29" s="104"/>
      <c r="V29" s="104"/>
      <c r="W29" s="146"/>
      <c r="X29" s="104"/>
      <c r="Y29" s="104"/>
      <c r="Z29" s="104"/>
      <c r="AA29" s="106"/>
      <c r="AB29" s="105" t="s">
        <v>380</v>
      </c>
      <c r="AC29" s="105" t="s">
        <v>822</v>
      </c>
      <c r="AD29" s="147" t="s">
        <v>822</v>
      </c>
      <c r="AE29" s="104" t="s">
        <v>823</v>
      </c>
      <c r="AF29" s="104"/>
      <c r="AG29" s="104"/>
      <c r="AH29" s="224"/>
      <c r="AI29" s="228"/>
      <c r="AJ29" s="103" t="s">
        <v>824</v>
      </c>
      <c r="AK29" s="148"/>
      <c r="AL29" s="66"/>
      <c r="AM29" s="66"/>
      <c r="AN29" s="66"/>
      <c r="AO29" s="66"/>
      <c r="AP29" s="66"/>
      <c r="AQ29" s="66"/>
      <c r="AR29" s="66"/>
      <c r="AS29" s="66"/>
    </row>
    <row r="30" spans="1:45" s="142" customFormat="1" ht="12" customHeight="1">
      <c r="A30" s="66"/>
      <c r="B30" s="66"/>
      <c r="C30" s="143"/>
      <c r="D30" s="144"/>
      <c r="E30" s="103"/>
      <c r="F30" s="144"/>
      <c r="G30" s="144"/>
      <c r="H30" s="104"/>
      <c r="I30" s="104"/>
      <c r="J30" s="103"/>
      <c r="K30" s="103" t="s">
        <v>813</v>
      </c>
      <c r="L30" s="104"/>
      <c r="M30" s="104"/>
      <c r="N30" s="103"/>
      <c r="O30" s="103"/>
      <c r="P30" s="104" t="s">
        <v>813</v>
      </c>
      <c r="Q30" s="145"/>
      <c r="R30" s="145"/>
      <c r="S30" s="145"/>
      <c r="T30" s="45"/>
      <c r="U30" s="104"/>
      <c r="V30" s="104"/>
      <c r="W30" s="146"/>
      <c r="X30" s="104"/>
      <c r="Y30" s="104"/>
      <c r="Z30" s="104"/>
      <c r="AA30" s="106"/>
      <c r="AB30" s="105" t="s">
        <v>826</v>
      </c>
      <c r="AC30" s="105" t="s">
        <v>827</v>
      </c>
      <c r="AD30" s="147" t="s">
        <v>827</v>
      </c>
      <c r="AE30" s="104" t="s">
        <v>306</v>
      </c>
      <c r="AF30" s="104"/>
      <c r="AG30" s="104"/>
      <c r="AH30" s="224"/>
      <c r="AI30" s="228"/>
      <c r="AJ30" s="103" t="s">
        <v>858</v>
      </c>
      <c r="AK30" s="148"/>
      <c r="AL30" s="66"/>
      <c r="AM30" s="66"/>
      <c r="AN30" s="66"/>
      <c r="AO30" s="66"/>
      <c r="AP30" s="66"/>
      <c r="AQ30" s="66"/>
      <c r="AR30" s="66"/>
      <c r="AS30" s="66"/>
    </row>
    <row r="31" spans="1:45" s="142" customFormat="1">
      <c r="A31" s="66"/>
      <c r="B31" s="66"/>
      <c r="C31" s="143"/>
      <c r="D31" s="144"/>
      <c r="E31" s="103"/>
      <c r="F31" s="144"/>
      <c r="G31" s="144"/>
      <c r="H31" s="104"/>
      <c r="I31" s="104"/>
      <c r="J31" s="103"/>
      <c r="K31" s="103" t="s">
        <v>829</v>
      </c>
      <c r="L31" s="104"/>
      <c r="M31" s="104"/>
      <c r="N31" s="103"/>
      <c r="O31" s="103"/>
      <c r="P31" s="104" t="s">
        <v>829</v>
      </c>
      <c r="Q31" s="145"/>
      <c r="R31" s="145"/>
      <c r="S31" s="145"/>
      <c r="T31" s="45"/>
      <c r="U31" s="104"/>
      <c r="V31" s="104"/>
      <c r="W31" s="104"/>
      <c r="X31" s="104"/>
      <c r="Y31" s="104"/>
      <c r="Z31" s="104"/>
      <c r="AA31" s="106"/>
      <c r="AB31" s="139" t="s">
        <v>830</v>
      </c>
      <c r="AC31" s="139" t="s">
        <v>831</v>
      </c>
      <c r="AD31" s="140" t="s">
        <v>831</v>
      </c>
      <c r="AE31" s="104" t="s">
        <v>463</v>
      </c>
      <c r="AF31" s="104"/>
      <c r="AG31" s="104"/>
      <c r="AH31" s="224"/>
      <c r="AI31" s="228"/>
      <c r="AJ31" s="103"/>
      <c r="AK31" s="148"/>
      <c r="AL31" s="66"/>
      <c r="AM31" s="66"/>
      <c r="AN31" s="66"/>
      <c r="AO31" s="66"/>
      <c r="AP31" s="66"/>
      <c r="AQ31" s="66"/>
      <c r="AR31" s="66"/>
      <c r="AS31" s="66"/>
    </row>
    <row r="32" spans="1:45" s="142" customFormat="1">
      <c r="A32" s="66"/>
      <c r="B32" s="66"/>
      <c r="C32" s="143"/>
      <c r="D32" s="144"/>
      <c r="E32" s="103"/>
      <c r="F32" s="144"/>
      <c r="G32" s="144"/>
      <c r="H32" s="104"/>
      <c r="I32" s="104"/>
      <c r="J32" s="103"/>
      <c r="K32" s="103" t="s">
        <v>189</v>
      </c>
      <c r="L32" s="104"/>
      <c r="M32" s="104"/>
      <c r="N32" s="103"/>
      <c r="O32" s="103"/>
      <c r="P32" s="104" t="s">
        <v>189</v>
      </c>
      <c r="Q32" s="145"/>
      <c r="R32" s="145"/>
      <c r="S32" s="145"/>
      <c r="T32" s="45"/>
      <c r="U32" s="104"/>
      <c r="V32" s="104"/>
      <c r="W32" s="104"/>
      <c r="X32" s="104"/>
      <c r="Y32" s="104"/>
      <c r="Z32" s="104"/>
      <c r="AA32" s="139"/>
      <c r="AB32" s="139" t="s">
        <v>832</v>
      </c>
      <c r="AC32" s="139" t="s">
        <v>833</v>
      </c>
      <c r="AD32" s="140" t="s">
        <v>833</v>
      </c>
      <c r="AE32" s="104" t="s">
        <v>372</v>
      </c>
      <c r="AF32" s="104"/>
      <c r="AG32" s="104"/>
      <c r="AH32" s="224"/>
      <c r="AI32" s="228"/>
      <c r="AJ32" s="103"/>
      <c r="AK32" s="148"/>
      <c r="AL32" s="66"/>
      <c r="AM32" s="66"/>
      <c r="AN32" s="66"/>
      <c r="AO32" s="66"/>
      <c r="AP32" s="66"/>
      <c r="AQ32" s="66"/>
      <c r="AR32" s="66"/>
      <c r="AS32" s="66"/>
    </row>
    <row r="33" spans="1:45" s="142" customFormat="1">
      <c r="A33" s="66"/>
      <c r="B33" s="66"/>
      <c r="C33" s="143"/>
      <c r="D33" s="144"/>
      <c r="E33" s="103"/>
      <c r="F33" s="144"/>
      <c r="G33" s="144"/>
      <c r="H33" s="104"/>
      <c r="I33" s="104"/>
      <c r="J33" s="103"/>
      <c r="K33" s="103" t="s">
        <v>251</v>
      </c>
      <c r="L33" s="104"/>
      <c r="M33" s="104"/>
      <c r="N33" s="103"/>
      <c r="O33" s="103"/>
      <c r="P33" s="104" t="s">
        <v>251</v>
      </c>
      <c r="Q33" s="145"/>
      <c r="R33" s="145"/>
      <c r="S33" s="145"/>
      <c r="T33" s="45"/>
      <c r="U33" s="104"/>
      <c r="V33" s="104"/>
      <c r="W33" s="104"/>
      <c r="X33" s="104"/>
      <c r="Y33" s="104"/>
      <c r="Z33" s="104"/>
      <c r="AA33" s="139"/>
      <c r="AB33" s="139" t="s">
        <v>834</v>
      </c>
      <c r="AC33" s="139" t="s">
        <v>835</v>
      </c>
      <c r="AD33" s="140" t="s">
        <v>835</v>
      </c>
      <c r="AE33" s="104" t="s">
        <v>794</v>
      </c>
      <c r="AF33" s="104"/>
      <c r="AG33" s="104"/>
      <c r="AH33" s="224"/>
      <c r="AI33" s="228"/>
      <c r="AJ33" s="103"/>
      <c r="AK33" s="148"/>
      <c r="AL33" s="66"/>
      <c r="AM33" s="66"/>
      <c r="AN33" s="66"/>
      <c r="AO33" s="66"/>
      <c r="AP33" s="66"/>
      <c r="AQ33" s="66"/>
      <c r="AR33" s="66"/>
      <c r="AS33" s="66"/>
    </row>
    <row r="34" spans="1:45" s="142" customFormat="1">
      <c r="A34" s="66"/>
      <c r="B34" s="66"/>
      <c r="C34" s="143"/>
      <c r="D34" s="144"/>
      <c r="E34" s="103"/>
      <c r="F34" s="144"/>
      <c r="G34" s="144"/>
      <c r="H34" s="104"/>
      <c r="I34" s="104"/>
      <c r="J34" s="103"/>
      <c r="K34" s="103" t="s">
        <v>836</v>
      </c>
      <c r="L34" s="104"/>
      <c r="M34" s="104"/>
      <c r="N34" s="103"/>
      <c r="O34" s="103"/>
      <c r="P34" s="104" t="s">
        <v>836</v>
      </c>
      <c r="Q34" s="145"/>
      <c r="R34" s="145"/>
      <c r="S34" s="145"/>
      <c r="T34" s="45"/>
      <c r="U34" s="104"/>
      <c r="V34" s="104"/>
      <c r="W34" s="104"/>
      <c r="X34" s="104"/>
      <c r="Y34" s="104"/>
      <c r="Z34" s="104"/>
      <c r="AA34" s="139"/>
      <c r="AB34" s="139" t="s">
        <v>146</v>
      </c>
      <c r="AC34" s="139" t="s">
        <v>837</v>
      </c>
      <c r="AD34" s="140" t="s">
        <v>837</v>
      </c>
      <c r="AE34" s="104" t="s">
        <v>838</v>
      </c>
      <c r="AF34" s="104"/>
      <c r="AG34" s="104"/>
      <c r="AH34" s="224"/>
      <c r="AI34" s="228"/>
      <c r="AJ34" s="103"/>
      <c r="AK34" s="148"/>
      <c r="AL34" s="66"/>
      <c r="AM34" s="66"/>
      <c r="AN34" s="66"/>
      <c r="AO34" s="66"/>
      <c r="AP34" s="66"/>
      <c r="AQ34" s="66"/>
      <c r="AR34" s="66"/>
      <c r="AS34" s="66"/>
    </row>
    <row r="35" spans="1:45" s="142" customFormat="1">
      <c r="A35" s="66"/>
      <c r="B35" s="66"/>
      <c r="C35" s="143"/>
      <c r="D35" s="144"/>
      <c r="E35" s="103"/>
      <c r="F35" s="144"/>
      <c r="G35" s="144"/>
      <c r="H35" s="104"/>
      <c r="I35" s="104"/>
      <c r="J35" s="103"/>
      <c r="K35" s="103" t="s">
        <v>859</v>
      </c>
      <c r="L35" s="313"/>
      <c r="M35" s="104"/>
      <c r="N35" s="103"/>
      <c r="O35" s="103"/>
      <c r="P35" s="313" t="s">
        <v>859</v>
      </c>
      <c r="Q35" s="145"/>
      <c r="R35" s="145"/>
      <c r="S35" s="145"/>
      <c r="T35" s="45"/>
      <c r="U35" s="104"/>
      <c r="V35" s="104"/>
      <c r="W35" s="104"/>
      <c r="X35" s="104"/>
      <c r="Y35" s="104"/>
      <c r="Z35" s="104"/>
      <c r="AA35" s="139"/>
      <c r="AB35" s="139"/>
      <c r="AC35" s="139" t="s">
        <v>840</v>
      </c>
      <c r="AD35" s="139" t="s">
        <v>840</v>
      </c>
      <c r="AE35" s="104" t="s">
        <v>293</v>
      </c>
      <c r="AF35" s="104"/>
      <c r="AG35" s="104"/>
      <c r="AH35" s="224"/>
      <c r="AI35" s="228"/>
      <c r="AJ35" s="103"/>
      <c r="AK35" s="148"/>
      <c r="AL35" s="66"/>
      <c r="AM35" s="66"/>
      <c r="AN35" s="66"/>
      <c r="AO35" s="66"/>
      <c r="AP35" s="66"/>
      <c r="AQ35" s="66"/>
      <c r="AR35" s="66"/>
      <c r="AS35" s="66"/>
    </row>
    <row r="36" spans="1:45" s="142" customFormat="1">
      <c r="A36" s="66"/>
      <c r="B36" s="66"/>
      <c r="C36" s="143"/>
      <c r="D36" s="144"/>
      <c r="E36" s="103"/>
      <c r="F36" s="144"/>
      <c r="G36" s="144"/>
      <c r="H36" s="104"/>
      <c r="I36" s="104"/>
      <c r="J36" s="103"/>
      <c r="K36" s="103"/>
      <c r="L36" s="104"/>
      <c r="M36" s="104"/>
      <c r="N36" s="103"/>
      <c r="O36" s="103"/>
      <c r="P36" s="103"/>
      <c r="Q36" s="104"/>
      <c r="R36" s="104"/>
      <c r="S36" s="104"/>
      <c r="T36" s="45"/>
      <c r="U36" s="104"/>
      <c r="V36" s="104"/>
      <c r="W36" s="104"/>
      <c r="X36" s="104"/>
      <c r="Y36" s="104"/>
      <c r="Z36" s="104"/>
      <c r="AA36" s="106"/>
      <c r="AB36" s="105"/>
      <c r="AC36" s="105"/>
      <c r="AD36" s="106"/>
      <c r="AE36" s="104" t="s">
        <v>483</v>
      </c>
      <c r="AF36" s="104"/>
      <c r="AG36" s="104"/>
      <c r="AH36" s="224"/>
      <c r="AI36" s="228"/>
      <c r="AJ36" s="103"/>
      <c r="AK36" s="148"/>
      <c r="AL36" s="66"/>
      <c r="AM36" s="66"/>
      <c r="AN36" s="66"/>
      <c r="AO36" s="66"/>
      <c r="AP36" s="66"/>
      <c r="AQ36" s="66"/>
      <c r="AR36" s="66"/>
      <c r="AS36" s="66"/>
    </row>
    <row r="37" spans="1:45" s="142" customFormat="1">
      <c r="A37" s="66"/>
      <c r="B37" s="66"/>
      <c r="C37" s="143"/>
      <c r="D37" s="144"/>
      <c r="E37" s="103"/>
      <c r="F37" s="144"/>
      <c r="G37" s="144"/>
      <c r="H37" s="104"/>
      <c r="I37" s="104"/>
      <c r="J37" s="103"/>
      <c r="K37" s="103"/>
      <c r="L37" s="104"/>
      <c r="M37" s="104"/>
      <c r="N37" s="103"/>
      <c r="O37" s="103"/>
      <c r="P37" s="103"/>
      <c r="Q37" s="104"/>
      <c r="R37" s="104"/>
      <c r="S37" s="104"/>
      <c r="T37" s="45"/>
      <c r="U37" s="104"/>
      <c r="V37" s="104"/>
      <c r="W37" s="104"/>
      <c r="X37" s="104"/>
      <c r="Y37" s="104"/>
      <c r="Z37" s="104"/>
      <c r="AA37" s="106"/>
      <c r="AB37" s="105"/>
      <c r="AC37" s="105"/>
      <c r="AD37" s="106"/>
      <c r="AE37" s="104" t="s">
        <v>841</v>
      </c>
      <c r="AF37" s="104"/>
      <c r="AG37" s="104"/>
      <c r="AH37" s="224"/>
      <c r="AI37" s="228"/>
      <c r="AJ37" s="103"/>
      <c r="AK37" s="148"/>
      <c r="AL37" s="66"/>
      <c r="AM37" s="66"/>
      <c r="AN37" s="66"/>
      <c r="AO37" s="66"/>
      <c r="AP37" s="66"/>
      <c r="AQ37" s="66"/>
      <c r="AR37" s="66"/>
      <c r="AS37" s="66"/>
    </row>
    <row r="38" spans="1:45" s="142" customFormat="1">
      <c r="A38" s="66"/>
      <c r="B38" s="66"/>
      <c r="C38" s="143"/>
      <c r="D38" s="144"/>
      <c r="E38" s="103"/>
      <c r="F38" s="144"/>
      <c r="G38" s="144"/>
      <c r="H38" s="104"/>
      <c r="I38" s="104"/>
      <c r="J38" s="103"/>
      <c r="K38" s="103"/>
      <c r="L38" s="104"/>
      <c r="M38" s="104"/>
      <c r="N38" s="103"/>
      <c r="O38" s="103"/>
      <c r="P38" s="103"/>
      <c r="Q38" s="104"/>
      <c r="R38" s="104"/>
      <c r="S38" s="104"/>
      <c r="T38" s="45"/>
      <c r="U38" s="104"/>
      <c r="V38" s="104"/>
      <c r="W38" s="104"/>
      <c r="X38" s="104"/>
      <c r="Y38" s="104"/>
      <c r="Z38" s="104"/>
      <c r="AA38" s="149"/>
      <c r="AB38" s="150"/>
      <c r="AC38" s="150"/>
      <c r="AD38" s="149"/>
      <c r="AE38" s="104" t="s">
        <v>860</v>
      </c>
      <c r="AF38" s="104"/>
      <c r="AG38" s="104"/>
      <c r="AH38" s="224"/>
      <c r="AI38" s="228"/>
      <c r="AJ38" s="103"/>
      <c r="AK38" s="148"/>
      <c r="AL38" s="66"/>
      <c r="AM38" s="66"/>
      <c r="AN38" s="66"/>
      <c r="AO38" s="66"/>
      <c r="AP38" s="66"/>
      <c r="AQ38" s="66"/>
      <c r="AR38" s="66"/>
      <c r="AS38" s="66"/>
    </row>
    <row r="39" spans="1:45" s="142" customFormat="1">
      <c r="A39" s="66"/>
      <c r="B39" s="66"/>
      <c r="C39" s="143"/>
      <c r="D39" s="144"/>
      <c r="E39" s="103"/>
      <c r="F39" s="144"/>
      <c r="G39" s="144"/>
      <c r="H39" s="104"/>
      <c r="I39" s="104"/>
      <c r="J39" s="103"/>
      <c r="K39" s="103"/>
      <c r="L39" s="104"/>
      <c r="M39" s="104"/>
      <c r="N39" s="103"/>
      <c r="O39" s="103"/>
      <c r="P39" s="103"/>
      <c r="Q39" s="104"/>
      <c r="R39" s="104"/>
      <c r="S39" s="104"/>
      <c r="T39" s="45"/>
      <c r="U39" s="104"/>
      <c r="V39" s="104"/>
      <c r="W39" s="104"/>
      <c r="X39" s="104"/>
      <c r="Y39" s="104"/>
      <c r="Z39" s="104"/>
      <c r="AA39" s="104"/>
      <c r="AB39" s="103"/>
      <c r="AC39" s="103"/>
      <c r="AD39" s="104"/>
      <c r="AE39" s="104"/>
      <c r="AF39" s="104"/>
      <c r="AG39" s="104"/>
      <c r="AH39" s="224"/>
      <c r="AI39" s="228"/>
      <c r="AJ39" s="103"/>
      <c r="AK39" s="148"/>
      <c r="AL39" s="66"/>
      <c r="AM39" s="66"/>
      <c r="AN39" s="66"/>
      <c r="AO39" s="66"/>
      <c r="AP39" s="66"/>
      <c r="AQ39" s="66"/>
      <c r="AR39" s="66"/>
      <c r="AS39" s="66"/>
    </row>
    <row r="40" spans="1:45" s="142" customFormat="1" ht="12.75" thickBot="1">
      <c r="A40" s="66"/>
      <c r="B40" s="66"/>
      <c r="C40" s="143"/>
      <c r="D40" s="120"/>
      <c r="E40" s="122"/>
      <c r="F40" s="151"/>
      <c r="G40" s="151"/>
      <c r="H40" s="122"/>
      <c r="I40" s="122"/>
      <c r="J40" s="122"/>
      <c r="K40" s="122"/>
      <c r="L40" s="122"/>
      <c r="M40" s="122"/>
      <c r="N40" s="122"/>
      <c r="O40" s="122"/>
      <c r="P40" s="122"/>
      <c r="Q40" s="122"/>
      <c r="R40" s="112"/>
      <c r="S40" s="112"/>
      <c r="T40" s="45"/>
      <c r="U40" s="122"/>
      <c r="V40" s="122"/>
      <c r="W40" s="122"/>
      <c r="X40" s="122"/>
      <c r="Y40" s="122"/>
      <c r="Z40" s="122"/>
      <c r="AA40" s="122"/>
      <c r="AB40" s="122"/>
      <c r="AC40" s="122"/>
      <c r="AD40" s="122"/>
      <c r="AE40" s="122"/>
      <c r="AF40" s="122"/>
      <c r="AG40" s="122"/>
      <c r="AH40" s="225"/>
      <c r="AI40" s="229"/>
      <c r="AJ40" s="122"/>
      <c r="AK40" s="127"/>
      <c r="AL40" s="66"/>
      <c r="AM40" s="66"/>
      <c r="AN40" s="66"/>
      <c r="AO40" s="66"/>
      <c r="AP40" s="66"/>
      <c r="AQ40" s="66"/>
      <c r="AR40" s="66"/>
      <c r="AS40" s="66"/>
    </row>
    <row r="41" spans="1:45" s="142" customFormat="1" ht="12.75" thickBot="1">
      <c r="A41" s="66"/>
      <c r="B41" s="66"/>
      <c r="C41" s="100"/>
      <c r="D41" s="100"/>
      <c r="E41" s="100"/>
      <c r="F41" s="100"/>
      <c r="G41" s="100"/>
      <c r="H41" s="100"/>
      <c r="I41" s="100"/>
      <c r="J41" s="100"/>
      <c r="K41" s="100"/>
      <c r="L41" s="152"/>
      <c r="M41" s="100"/>
      <c r="N41" s="100"/>
      <c r="O41" s="100"/>
      <c r="P41" s="100"/>
      <c r="Q41" s="100"/>
      <c r="R41" s="100"/>
      <c r="S41" s="100"/>
      <c r="T41" s="13"/>
      <c r="U41" s="100"/>
      <c r="V41" s="100"/>
      <c r="W41" s="100"/>
      <c r="X41" s="100"/>
      <c r="Y41" s="152"/>
      <c r="Z41" s="152"/>
      <c r="AA41" s="152"/>
      <c r="AB41" s="152"/>
      <c r="AC41" s="152"/>
      <c r="AD41" s="152"/>
      <c r="AE41" s="152"/>
      <c r="AF41" s="100"/>
      <c r="AG41" s="100"/>
      <c r="AH41" s="153"/>
      <c r="AI41" s="153"/>
      <c r="AJ41" s="152"/>
      <c r="AK41" s="152"/>
      <c r="AL41" s="66"/>
      <c r="AM41" s="66"/>
      <c r="AN41" s="66"/>
      <c r="AO41" s="66"/>
      <c r="AP41" s="66"/>
      <c r="AQ41" s="66"/>
      <c r="AR41" s="66"/>
      <c r="AS41" s="66"/>
    </row>
    <row r="42" spans="1:45" s="142" customFormat="1">
      <c r="A42" s="66"/>
      <c r="B42" s="66"/>
      <c r="C42" s="66"/>
      <c r="D42" s="66"/>
      <c r="E42" s="66"/>
      <c r="F42" s="66"/>
      <c r="G42" s="66"/>
      <c r="H42" s="66"/>
      <c r="I42" s="66"/>
      <c r="J42" s="66"/>
      <c r="K42" s="66"/>
      <c r="L42" s="66"/>
      <c r="M42" s="66"/>
      <c r="N42" s="66"/>
      <c r="O42" s="66"/>
      <c r="P42" s="66"/>
      <c r="Q42" s="66"/>
      <c r="R42" s="66"/>
      <c r="S42" s="66"/>
      <c r="T42" s="14"/>
      <c r="U42" s="66"/>
      <c r="V42" s="66"/>
      <c r="W42" s="66"/>
      <c r="X42" s="66"/>
      <c r="Y42" s="66"/>
      <c r="Z42" s="66"/>
      <c r="AA42" s="66"/>
      <c r="AB42" s="66"/>
      <c r="AC42" s="66"/>
      <c r="AD42" s="66"/>
      <c r="AE42" s="66"/>
      <c r="AF42" s="66"/>
      <c r="AG42" s="66"/>
      <c r="AH42" s="55"/>
      <c r="AI42" s="55"/>
      <c r="AJ42" s="66"/>
      <c r="AK42" s="66"/>
      <c r="AL42" s="66"/>
      <c r="AM42" s="66"/>
      <c r="AN42" s="66"/>
      <c r="AO42" s="66"/>
      <c r="AP42" s="66"/>
      <c r="AQ42" s="66"/>
      <c r="AR42" s="66"/>
      <c r="AS42" s="66"/>
    </row>
    <row r="43" spans="1:45" s="142" customFormat="1">
      <c r="A43" s="66"/>
      <c r="B43" s="66"/>
      <c r="C43" s="66"/>
      <c r="D43" s="66"/>
      <c r="E43" s="66"/>
      <c r="F43" s="66"/>
      <c r="G43" s="66"/>
      <c r="H43" s="66"/>
      <c r="I43" s="66"/>
      <c r="J43" s="66"/>
      <c r="K43" s="66"/>
      <c r="L43" s="66"/>
      <c r="M43" s="66"/>
      <c r="N43" s="66"/>
      <c r="O43" s="66"/>
      <c r="P43" s="66"/>
      <c r="Q43" s="66"/>
      <c r="R43" s="66"/>
      <c r="S43" s="66"/>
      <c r="T43" s="10"/>
      <c r="U43" s="66"/>
      <c r="V43" s="66"/>
      <c r="W43" s="66"/>
      <c r="X43" s="66"/>
      <c r="Y43" s="66"/>
      <c r="Z43" s="66"/>
      <c r="AA43" s="66"/>
      <c r="AB43" s="66"/>
      <c r="AC43" s="66"/>
      <c r="AD43" s="66"/>
      <c r="AE43" s="66"/>
      <c r="AF43" s="66"/>
      <c r="AG43" s="66"/>
      <c r="AH43" s="55"/>
      <c r="AI43" s="55"/>
      <c r="AJ43" s="66"/>
      <c r="AK43" s="66"/>
      <c r="AL43" s="66"/>
      <c r="AM43" s="66"/>
      <c r="AN43" s="66"/>
      <c r="AO43" s="66"/>
      <c r="AP43" s="66"/>
      <c r="AQ43" s="66"/>
      <c r="AR43" s="66"/>
      <c r="AS43" s="66"/>
    </row>
    <row r="44" spans="1:45" s="154" customFormat="1">
      <c r="C44" s="66"/>
      <c r="D44" s="66"/>
      <c r="E44" s="66"/>
      <c r="F44" s="66"/>
      <c r="G44" s="66"/>
      <c r="H44" s="66"/>
      <c r="I44" s="66"/>
      <c r="J44" s="66"/>
      <c r="K44" s="66"/>
      <c r="L44" s="66"/>
      <c r="M44" s="66"/>
      <c r="N44" s="66"/>
      <c r="O44" s="66"/>
      <c r="P44" s="66"/>
      <c r="Q44" s="66"/>
      <c r="R44" s="66"/>
      <c r="S44" s="66"/>
      <c r="T44" s="10"/>
      <c r="U44" s="66"/>
      <c r="V44" s="66"/>
      <c r="W44" s="66"/>
      <c r="X44" s="66"/>
      <c r="Y44" s="66"/>
      <c r="Z44" s="66"/>
      <c r="AA44" s="66"/>
      <c r="AB44" s="66"/>
      <c r="AC44" s="66"/>
      <c r="AD44" s="66"/>
      <c r="AE44" s="66"/>
      <c r="AF44" s="66"/>
      <c r="AG44" s="66"/>
      <c r="AH44" s="55"/>
      <c r="AI44" s="55"/>
      <c r="AJ44" s="66"/>
      <c r="AK44" s="66"/>
    </row>
    <row r="45" spans="1:45">
      <c r="V45" s="66"/>
      <c r="W45" s="66"/>
    </row>
    <row r="46" spans="1:45">
      <c r="V46" s="66"/>
      <c r="W46" s="66"/>
    </row>
    <row r="47" spans="1:45">
      <c r="V47" s="66"/>
      <c r="W47" s="66"/>
    </row>
    <row r="48" spans="1:45">
      <c r="V48" s="66"/>
      <c r="W48" s="66"/>
    </row>
    <row r="49" spans="1:45">
      <c r="V49" s="66"/>
      <c r="W49" s="66"/>
    </row>
    <row r="50" spans="1:45">
      <c r="V50" s="66"/>
      <c r="W50" s="66"/>
    </row>
    <row r="51" spans="1:45">
      <c r="V51" s="66"/>
      <c r="W51" s="66"/>
    </row>
    <row r="52" spans="1:45">
      <c r="V52" s="66"/>
      <c r="W52" s="66"/>
    </row>
    <row r="53" spans="1:45">
      <c r="V53" s="66"/>
      <c r="W53" s="66"/>
    </row>
    <row r="54" spans="1:45">
      <c r="V54" s="66"/>
      <c r="W54" s="66"/>
    </row>
    <row r="55" spans="1:45">
      <c r="V55" s="66"/>
      <c r="W55" s="66"/>
    </row>
    <row r="56" spans="1:45">
      <c r="V56" s="66"/>
      <c r="W56" s="66"/>
    </row>
    <row r="57" spans="1:45">
      <c r="V57" s="66"/>
      <c r="W57" s="66"/>
    </row>
    <row r="58" spans="1:45">
      <c r="A58" s="100"/>
      <c r="B58" s="100"/>
      <c r="V58" s="66"/>
      <c r="W58" s="66"/>
    </row>
    <row r="59" spans="1:45">
      <c r="V59" s="66"/>
      <c r="W59" s="66"/>
    </row>
    <row r="60" spans="1:45" s="142" customFormat="1">
      <c r="A60" s="66"/>
      <c r="B60" s="66"/>
      <c r="C60" s="66"/>
      <c r="D60" s="66"/>
      <c r="E60" s="66"/>
      <c r="F60" s="66"/>
      <c r="G60" s="66"/>
      <c r="H60" s="66"/>
      <c r="I60" s="66"/>
      <c r="J60" s="66"/>
      <c r="K60" s="66"/>
      <c r="L60" s="66"/>
      <c r="M60" s="66"/>
      <c r="N60" s="66"/>
      <c r="O60" s="66"/>
      <c r="P60" s="66"/>
      <c r="Q60" s="66"/>
      <c r="R60" s="66"/>
      <c r="S60" s="66"/>
      <c r="T60" s="10"/>
      <c r="U60" s="66"/>
      <c r="V60" s="66"/>
      <c r="W60" s="66"/>
      <c r="X60" s="66"/>
      <c r="Y60" s="66"/>
      <c r="Z60" s="66"/>
      <c r="AA60" s="66"/>
      <c r="AB60" s="66"/>
      <c r="AC60" s="66"/>
      <c r="AD60" s="66"/>
      <c r="AE60" s="66"/>
      <c r="AF60" s="66"/>
      <c r="AG60" s="66"/>
      <c r="AH60" s="55"/>
      <c r="AI60" s="55"/>
      <c r="AJ60" s="66"/>
      <c r="AK60" s="66"/>
      <c r="AL60" s="66"/>
      <c r="AM60" s="66"/>
      <c r="AN60" s="66"/>
      <c r="AO60" s="66"/>
      <c r="AP60" s="66"/>
      <c r="AQ60" s="66"/>
      <c r="AR60" s="66"/>
      <c r="AS60" s="66"/>
    </row>
    <row r="61" spans="1:45" s="142" customFormat="1">
      <c r="A61" s="66"/>
      <c r="B61" s="66"/>
      <c r="C61" s="66"/>
      <c r="D61" s="66"/>
      <c r="E61" s="66"/>
      <c r="F61" s="66"/>
      <c r="G61" s="66"/>
      <c r="H61" s="66"/>
      <c r="I61" s="66"/>
      <c r="J61" s="66"/>
      <c r="K61" s="66"/>
      <c r="L61" s="66"/>
      <c r="M61" s="66"/>
      <c r="N61" s="66"/>
      <c r="O61" s="66"/>
      <c r="P61" s="66"/>
      <c r="Q61" s="66"/>
      <c r="R61" s="66"/>
      <c r="S61" s="66"/>
      <c r="T61" s="10"/>
      <c r="U61" s="66"/>
      <c r="V61" s="66"/>
      <c r="W61" s="66"/>
      <c r="X61" s="66"/>
      <c r="Y61" s="66"/>
      <c r="Z61" s="66"/>
      <c r="AA61" s="66"/>
      <c r="AB61" s="66"/>
      <c r="AC61" s="66"/>
      <c r="AD61" s="66"/>
      <c r="AE61" s="66"/>
      <c r="AF61" s="66"/>
      <c r="AG61" s="66"/>
      <c r="AH61" s="55"/>
      <c r="AI61" s="55"/>
      <c r="AJ61" s="66"/>
      <c r="AK61" s="66"/>
      <c r="AL61" s="66"/>
      <c r="AM61" s="66"/>
      <c r="AN61" s="66"/>
      <c r="AO61" s="66"/>
      <c r="AP61" s="66"/>
      <c r="AQ61" s="66"/>
      <c r="AR61" s="66"/>
      <c r="AS61" s="66"/>
    </row>
    <row r="62" spans="1:45" s="142" customFormat="1">
      <c r="A62" s="66"/>
      <c r="B62" s="66"/>
      <c r="C62" s="66"/>
      <c r="D62" s="66"/>
      <c r="E62" s="66"/>
      <c r="F62" s="66"/>
      <c r="G62" s="66"/>
      <c r="H62" s="66"/>
      <c r="I62" s="66"/>
      <c r="J62" s="66"/>
      <c r="K62" s="66"/>
      <c r="L62" s="66"/>
      <c r="M62" s="66"/>
      <c r="N62" s="66"/>
      <c r="O62" s="66"/>
      <c r="P62" s="66"/>
      <c r="Q62" s="66"/>
      <c r="R62" s="66"/>
      <c r="S62" s="66"/>
      <c r="T62" s="10"/>
      <c r="U62" s="66"/>
      <c r="V62" s="66"/>
      <c r="W62" s="66"/>
      <c r="X62" s="66"/>
      <c r="Y62" s="66"/>
      <c r="Z62" s="66"/>
      <c r="AA62" s="66"/>
      <c r="AB62" s="66"/>
      <c r="AC62" s="66"/>
      <c r="AD62" s="66"/>
      <c r="AE62" s="66"/>
      <c r="AF62" s="66"/>
      <c r="AG62" s="66"/>
      <c r="AH62" s="55"/>
      <c r="AI62" s="55"/>
      <c r="AJ62" s="66"/>
      <c r="AK62" s="66"/>
      <c r="AL62" s="66"/>
      <c r="AM62" s="66"/>
      <c r="AN62" s="66"/>
      <c r="AO62" s="66"/>
      <c r="AP62" s="66"/>
      <c r="AQ62" s="66"/>
      <c r="AR62" s="66"/>
      <c r="AS62" s="66"/>
    </row>
    <row r="63" spans="1:45" s="142" customFormat="1">
      <c r="A63" s="66"/>
      <c r="B63" s="66"/>
      <c r="C63" s="66"/>
      <c r="D63" s="66"/>
      <c r="E63" s="66"/>
      <c r="F63" s="66"/>
      <c r="G63" s="66"/>
      <c r="H63" s="66"/>
      <c r="I63" s="66"/>
      <c r="J63" s="66"/>
      <c r="K63" s="66"/>
      <c r="L63" s="66"/>
      <c r="M63" s="66"/>
      <c r="N63" s="66"/>
      <c r="O63" s="66"/>
      <c r="P63" s="66"/>
      <c r="Q63" s="66"/>
      <c r="R63" s="66"/>
      <c r="S63" s="66"/>
      <c r="T63" s="10"/>
      <c r="U63" s="66"/>
      <c r="V63" s="66"/>
      <c r="W63" s="66"/>
      <c r="X63" s="66"/>
      <c r="Y63" s="66"/>
      <c r="Z63" s="66"/>
      <c r="AA63" s="66"/>
      <c r="AB63" s="66"/>
      <c r="AC63" s="66"/>
      <c r="AD63" s="66"/>
      <c r="AE63" s="66"/>
      <c r="AF63" s="66"/>
      <c r="AG63" s="66"/>
      <c r="AH63" s="55"/>
      <c r="AI63" s="55"/>
      <c r="AJ63" s="66"/>
      <c r="AK63" s="66"/>
      <c r="AL63" s="66"/>
      <c r="AM63" s="66"/>
      <c r="AN63" s="66"/>
      <c r="AO63" s="66"/>
      <c r="AP63" s="66"/>
      <c r="AQ63" s="66"/>
      <c r="AR63" s="66"/>
      <c r="AS63" s="66"/>
    </row>
    <row r="64" spans="1:45" s="142" customFormat="1">
      <c r="A64" s="66"/>
      <c r="B64" s="66"/>
      <c r="C64" s="66"/>
      <c r="D64" s="66"/>
      <c r="E64" s="66"/>
      <c r="F64" s="66"/>
      <c r="G64" s="66"/>
      <c r="H64" s="66"/>
      <c r="I64" s="66"/>
      <c r="J64" s="66"/>
      <c r="K64" s="66"/>
      <c r="L64" s="66"/>
      <c r="M64" s="66"/>
      <c r="N64" s="66"/>
      <c r="O64" s="66"/>
      <c r="P64" s="66"/>
      <c r="Q64" s="66"/>
      <c r="R64" s="66"/>
      <c r="S64" s="66"/>
      <c r="T64" s="10"/>
      <c r="U64" s="66"/>
      <c r="V64" s="66"/>
      <c r="W64" s="66"/>
      <c r="X64" s="66"/>
      <c r="Y64" s="66"/>
      <c r="Z64" s="66"/>
      <c r="AA64" s="66"/>
      <c r="AB64" s="66"/>
      <c r="AC64" s="66"/>
      <c r="AD64" s="66"/>
      <c r="AE64" s="66"/>
      <c r="AF64" s="66"/>
      <c r="AG64" s="66"/>
      <c r="AH64" s="55"/>
      <c r="AI64" s="55"/>
      <c r="AJ64" s="66"/>
      <c r="AK64" s="66"/>
      <c r="AL64" s="66"/>
      <c r="AM64" s="66"/>
      <c r="AN64" s="66"/>
      <c r="AO64" s="66"/>
      <c r="AP64" s="66"/>
      <c r="AQ64" s="66"/>
      <c r="AR64" s="66"/>
      <c r="AS64" s="66"/>
    </row>
    <row r="65" spans="1:45" s="142" customFormat="1">
      <c r="A65" s="66"/>
      <c r="B65" s="66"/>
      <c r="C65" s="66"/>
      <c r="D65" s="66"/>
      <c r="E65" s="66"/>
      <c r="F65" s="66"/>
      <c r="G65" s="66"/>
      <c r="H65" s="66"/>
      <c r="I65" s="66"/>
      <c r="J65" s="66"/>
      <c r="K65" s="66"/>
      <c r="L65" s="66"/>
      <c r="M65" s="66"/>
      <c r="N65" s="66"/>
      <c r="O65" s="66"/>
      <c r="P65" s="66"/>
      <c r="Q65" s="66"/>
      <c r="R65" s="66"/>
      <c r="S65" s="66"/>
      <c r="T65" s="10"/>
      <c r="U65" s="66"/>
      <c r="V65" s="66"/>
      <c r="W65" s="66"/>
      <c r="X65" s="66"/>
      <c r="Y65" s="66"/>
      <c r="Z65" s="66"/>
      <c r="AA65" s="66"/>
      <c r="AB65" s="66"/>
      <c r="AC65" s="66"/>
      <c r="AD65" s="66"/>
      <c r="AE65" s="66"/>
      <c r="AF65" s="66"/>
      <c r="AG65" s="66"/>
      <c r="AH65" s="55"/>
      <c r="AI65" s="55"/>
      <c r="AJ65" s="66"/>
      <c r="AK65" s="66"/>
      <c r="AL65" s="66"/>
      <c r="AM65" s="66"/>
      <c r="AN65" s="66"/>
      <c r="AO65" s="66"/>
      <c r="AP65" s="66"/>
      <c r="AQ65" s="66"/>
      <c r="AR65" s="66"/>
      <c r="AS65" s="66"/>
    </row>
    <row r="66" spans="1:45" s="142" customFormat="1">
      <c r="A66" s="66"/>
      <c r="B66" s="66"/>
      <c r="C66" s="66"/>
      <c r="D66" s="66"/>
      <c r="E66" s="66"/>
      <c r="F66" s="66"/>
      <c r="G66" s="66"/>
      <c r="H66" s="66"/>
      <c r="I66" s="66"/>
      <c r="J66" s="66"/>
      <c r="K66" s="66"/>
      <c r="L66" s="66"/>
      <c r="M66" s="66"/>
      <c r="N66" s="66"/>
      <c r="O66" s="66"/>
      <c r="P66" s="66"/>
      <c r="Q66" s="66"/>
      <c r="R66" s="66"/>
      <c r="S66" s="66"/>
      <c r="T66" s="10"/>
      <c r="U66" s="66"/>
      <c r="V66" s="66"/>
      <c r="W66" s="66"/>
      <c r="X66" s="66"/>
      <c r="Y66" s="66"/>
      <c r="Z66" s="66"/>
      <c r="AA66" s="66"/>
      <c r="AB66" s="66"/>
      <c r="AC66" s="66"/>
      <c r="AD66" s="66"/>
      <c r="AE66" s="66"/>
      <c r="AF66" s="66"/>
      <c r="AG66" s="66"/>
      <c r="AH66" s="55"/>
      <c r="AI66" s="55"/>
      <c r="AJ66" s="66"/>
      <c r="AK66" s="66"/>
      <c r="AL66" s="66"/>
      <c r="AM66" s="66"/>
      <c r="AN66" s="66"/>
      <c r="AO66" s="66"/>
      <c r="AP66" s="66"/>
      <c r="AQ66" s="66"/>
      <c r="AR66" s="66"/>
      <c r="AS66" s="66"/>
    </row>
    <row r="67" spans="1:45" s="142" customFormat="1">
      <c r="A67" s="66"/>
      <c r="B67" s="66"/>
      <c r="C67" s="66"/>
      <c r="D67" s="66"/>
      <c r="E67" s="66"/>
      <c r="F67" s="66"/>
      <c r="G67" s="66"/>
      <c r="H67" s="66"/>
      <c r="I67" s="66"/>
      <c r="J67" s="66"/>
      <c r="K67" s="66"/>
      <c r="L67" s="66"/>
      <c r="M67" s="66"/>
      <c r="N67" s="66"/>
      <c r="O67" s="66"/>
      <c r="P67" s="66"/>
      <c r="Q67" s="66"/>
      <c r="R67" s="66"/>
      <c r="S67" s="66"/>
      <c r="T67" s="10"/>
      <c r="U67" s="66"/>
      <c r="V67" s="66"/>
      <c r="W67" s="66"/>
      <c r="X67" s="66"/>
      <c r="Y67" s="66"/>
      <c r="Z67" s="66"/>
      <c r="AA67" s="66"/>
      <c r="AB67" s="66"/>
      <c r="AC67" s="66"/>
      <c r="AD67" s="66"/>
      <c r="AE67" s="66"/>
      <c r="AF67" s="66"/>
      <c r="AG67" s="66"/>
      <c r="AH67" s="55"/>
      <c r="AI67" s="55"/>
      <c r="AJ67" s="66"/>
      <c r="AK67" s="66"/>
      <c r="AL67" s="66"/>
      <c r="AM67" s="66"/>
      <c r="AN67" s="66"/>
      <c r="AO67" s="66"/>
      <c r="AP67" s="66"/>
      <c r="AQ67" s="66"/>
      <c r="AR67" s="66"/>
      <c r="AS67" s="66"/>
    </row>
    <row r="68" spans="1:45" s="142" customFormat="1">
      <c r="A68" s="66"/>
      <c r="B68" s="66"/>
      <c r="C68" s="66"/>
      <c r="D68" s="66"/>
      <c r="E68" s="66"/>
      <c r="F68" s="66"/>
      <c r="G68" s="66"/>
      <c r="H68" s="66"/>
      <c r="I68" s="66"/>
      <c r="J68" s="66"/>
      <c r="K68" s="66"/>
      <c r="L68" s="66"/>
      <c r="M68" s="66"/>
      <c r="N68" s="66"/>
      <c r="O68" s="66"/>
      <c r="P68" s="66"/>
      <c r="Q68" s="66"/>
      <c r="R68" s="66"/>
      <c r="S68" s="66"/>
      <c r="T68" s="10"/>
      <c r="U68" s="66"/>
      <c r="V68" s="66"/>
      <c r="W68" s="66"/>
      <c r="X68" s="66"/>
      <c r="Y68" s="66"/>
      <c r="Z68" s="66"/>
      <c r="AA68" s="66"/>
      <c r="AB68" s="66"/>
      <c r="AC68" s="66"/>
      <c r="AD68" s="66"/>
      <c r="AE68" s="66"/>
      <c r="AF68" s="66"/>
      <c r="AG68" s="66"/>
      <c r="AH68" s="55"/>
      <c r="AI68" s="55"/>
      <c r="AJ68" s="66"/>
      <c r="AK68" s="66"/>
      <c r="AL68" s="66"/>
      <c r="AM68" s="66"/>
      <c r="AN68" s="66"/>
      <c r="AO68" s="66"/>
      <c r="AP68" s="66"/>
      <c r="AQ68" s="66"/>
      <c r="AR68" s="66"/>
      <c r="AS68" s="66"/>
    </row>
    <row r="69" spans="1:45" s="142" customFormat="1">
      <c r="A69" s="66"/>
      <c r="B69" s="66"/>
      <c r="C69" s="66"/>
      <c r="D69" s="66"/>
      <c r="E69" s="66"/>
      <c r="F69" s="66"/>
      <c r="G69" s="66"/>
      <c r="H69" s="66"/>
      <c r="I69" s="66"/>
      <c r="J69" s="66"/>
      <c r="K69" s="66"/>
      <c r="L69" s="66"/>
      <c r="M69" s="66"/>
      <c r="N69" s="66"/>
      <c r="O69" s="66"/>
      <c r="P69" s="66"/>
      <c r="Q69" s="66"/>
      <c r="R69" s="66"/>
      <c r="S69" s="66"/>
      <c r="T69" s="10"/>
      <c r="U69" s="66"/>
      <c r="V69" s="66"/>
      <c r="W69" s="66"/>
      <c r="X69" s="66"/>
      <c r="Y69" s="66"/>
      <c r="Z69" s="66"/>
      <c r="AA69" s="66"/>
      <c r="AB69" s="66"/>
      <c r="AC69" s="66"/>
      <c r="AD69" s="66"/>
      <c r="AE69" s="66"/>
      <c r="AF69" s="66"/>
      <c r="AG69" s="66"/>
      <c r="AH69" s="55"/>
      <c r="AI69" s="55"/>
      <c r="AJ69" s="66"/>
      <c r="AK69" s="66"/>
      <c r="AL69" s="66"/>
      <c r="AM69" s="66"/>
      <c r="AN69" s="66"/>
      <c r="AO69" s="66"/>
      <c r="AP69" s="66"/>
      <c r="AQ69" s="66"/>
      <c r="AR69" s="66"/>
      <c r="AS69" s="66"/>
    </row>
    <row r="70" spans="1:45" s="142" customFormat="1">
      <c r="A70" s="66"/>
      <c r="B70" s="66"/>
      <c r="C70" s="66"/>
      <c r="D70" s="66"/>
      <c r="E70" s="66"/>
      <c r="F70" s="66"/>
      <c r="G70" s="66"/>
      <c r="H70" s="66"/>
      <c r="I70" s="66"/>
      <c r="J70" s="66"/>
      <c r="K70" s="66"/>
      <c r="L70" s="66"/>
      <c r="M70" s="66"/>
      <c r="N70" s="66"/>
      <c r="O70" s="66"/>
      <c r="P70" s="66"/>
      <c r="Q70" s="66"/>
      <c r="R70" s="66"/>
      <c r="S70" s="66"/>
      <c r="T70" s="10"/>
      <c r="U70" s="66"/>
      <c r="V70" s="66"/>
      <c r="W70" s="66"/>
      <c r="X70" s="66"/>
      <c r="Y70" s="66"/>
      <c r="Z70" s="66"/>
      <c r="AA70" s="66"/>
      <c r="AB70" s="66"/>
      <c r="AC70" s="66"/>
      <c r="AD70" s="66"/>
      <c r="AE70" s="66"/>
      <c r="AF70" s="66"/>
      <c r="AG70" s="66"/>
      <c r="AH70" s="55"/>
      <c r="AI70" s="55"/>
      <c r="AJ70" s="66"/>
      <c r="AK70" s="66"/>
      <c r="AL70" s="66"/>
      <c r="AM70" s="66"/>
      <c r="AN70" s="66"/>
      <c r="AO70" s="66"/>
      <c r="AP70" s="66"/>
      <c r="AQ70" s="66"/>
      <c r="AR70" s="66"/>
      <c r="AS70" s="66"/>
    </row>
    <row r="71" spans="1:45" s="142" customFormat="1">
      <c r="A71" s="66"/>
      <c r="B71" s="66"/>
      <c r="C71" s="66"/>
      <c r="D71" s="66"/>
      <c r="E71" s="66"/>
      <c r="F71" s="66"/>
      <c r="G71" s="66"/>
      <c r="H71" s="66"/>
      <c r="I71" s="66"/>
      <c r="J71" s="66"/>
      <c r="K71" s="66"/>
      <c r="L71" s="66"/>
      <c r="M71" s="66"/>
      <c r="N71" s="66"/>
      <c r="O71" s="66"/>
      <c r="P71" s="66"/>
      <c r="Q71" s="66"/>
      <c r="R71" s="66"/>
      <c r="S71" s="66"/>
      <c r="T71" s="10"/>
      <c r="U71" s="66"/>
      <c r="V71" s="66"/>
      <c r="W71" s="66"/>
      <c r="X71" s="66"/>
      <c r="Y71" s="66"/>
      <c r="Z71" s="66"/>
      <c r="AA71" s="66"/>
      <c r="AB71" s="66"/>
      <c r="AC71" s="66"/>
      <c r="AD71" s="66"/>
      <c r="AE71" s="66"/>
      <c r="AF71" s="66"/>
      <c r="AG71" s="66"/>
      <c r="AH71" s="55"/>
      <c r="AI71" s="55"/>
      <c r="AJ71" s="66"/>
      <c r="AK71" s="66"/>
      <c r="AL71" s="66"/>
      <c r="AM71" s="66"/>
      <c r="AN71" s="66"/>
      <c r="AO71" s="66"/>
      <c r="AP71" s="66"/>
      <c r="AQ71" s="66"/>
      <c r="AR71" s="66"/>
      <c r="AS71" s="66"/>
    </row>
    <row r="72" spans="1:45" s="142" customFormat="1">
      <c r="A72" s="66"/>
      <c r="B72" s="66"/>
      <c r="C72" s="66"/>
      <c r="D72" s="66"/>
      <c r="E72" s="66"/>
      <c r="F72" s="66"/>
      <c r="G72" s="66"/>
      <c r="H72" s="66"/>
      <c r="I72" s="66"/>
      <c r="J72" s="66"/>
      <c r="K72" s="66"/>
      <c r="L72" s="66"/>
      <c r="M72" s="66"/>
      <c r="N72" s="66"/>
      <c r="O72" s="66"/>
      <c r="P72" s="66"/>
      <c r="Q72" s="66"/>
      <c r="R72" s="66"/>
      <c r="S72" s="66"/>
      <c r="T72" s="10"/>
      <c r="U72" s="66"/>
      <c r="V72" s="66"/>
      <c r="W72" s="66"/>
      <c r="X72" s="66"/>
      <c r="Y72" s="66"/>
      <c r="Z72" s="66"/>
      <c r="AA72" s="66"/>
      <c r="AB72" s="66"/>
      <c r="AC72" s="66"/>
      <c r="AD72" s="66"/>
      <c r="AE72" s="66"/>
      <c r="AF72" s="66"/>
      <c r="AG72" s="66"/>
      <c r="AH72" s="55"/>
      <c r="AI72" s="55"/>
      <c r="AJ72" s="66"/>
      <c r="AK72" s="66"/>
      <c r="AL72" s="66"/>
      <c r="AM72" s="66"/>
      <c r="AN72" s="66"/>
      <c r="AO72" s="66"/>
      <c r="AP72" s="66"/>
      <c r="AQ72" s="66"/>
      <c r="AR72" s="66"/>
      <c r="AS72" s="66"/>
    </row>
    <row r="73" spans="1:45" s="142" customFormat="1">
      <c r="A73" s="66"/>
      <c r="B73" s="66"/>
      <c r="C73" s="66"/>
      <c r="D73" s="66"/>
      <c r="E73" s="66"/>
      <c r="F73" s="66"/>
      <c r="G73" s="66"/>
      <c r="H73" s="66"/>
      <c r="I73" s="66"/>
      <c r="J73" s="66"/>
      <c r="K73" s="66"/>
      <c r="L73" s="66"/>
      <c r="M73" s="66"/>
      <c r="N73" s="66"/>
      <c r="O73" s="66"/>
      <c r="P73" s="66"/>
      <c r="Q73" s="66"/>
      <c r="R73" s="66"/>
      <c r="S73" s="66"/>
      <c r="T73" s="10"/>
      <c r="U73" s="66"/>
      <c r="V73" s="66"/>
      <c r="W73" s="66"/>
      <c r="X73" s="66"/>
      <c r="Y73" s="66"/>
      <c r="Z73" s="66"/>
      <c r="AA73" s="66"/>
      <c r="AB73" s="66"/>
      <c r="AC73" s="66"/>
      <c r="AD73" s="66"/>
      <c r="AE73" s="66"/>
      <c r="AF73" s="66"/>
      <c r="AG73" s="66"/>
      <c r="AH73" s="55"/>
      <c r="AI73" s="55"/>
      <c r="AJ73" s="66"/>
      <c r="AK73" s="66"/>
      <c r="AL73" s="66"/>
      <c r="AM73" s="66"/>
      <c r="AN73" s="66"/>
      <c r="AO73" s="66"/>
      <c r="AP73" s="66"/>
      <c r="AQ73" s="66"/>
      <c r="AR73" s="66"/>
      <c r="AS73" s="66"/>
    </row>
    <row r="74" spans="1:45" s="142" customFormat="1">
      <c r="A74" s="66"/>
      <c r="B74" s="66"/>
      <c r="C74" s="66"/>
      <c r="D74" s="66"/>
      <c r="E74" s="66"/>
      <c r="F74" s="66"/>
      <c r="G74" s="66"/>
      <c r="H74" s="66"/>
      <c r="I74" s="66"/>
      <c r="J74" s="66"/>
      <c r="K74" s="66"/>
      <c r="L74" s="66"/>
      <c r="M74" s="66"/>
      <c r="N74" s="66"/>
      <c r="O74" s="66"/>
      <c r="P74" s="66"/>
      <c r="Q74" s="66"/>
      <c r="R74" s="66"/>
      <c r="S74" s="66"/>
      <c r="T74" s="10"/>
      <c r="U74" s="66"/>
      <c r="V74" s="66"/>
      <c r="W74" s="66"/>
      <c r="X74" s="66"/>
      <c r="Y74" s="66"/>
      <c r="Z74" s="66"/>
      <c r="AA74" s="66"/>
      <c r="AB74" s="66"/>
      <c r="AC74" s="66"/>
      <c r="AD74" s="66"/>
      <c r="AE74" s="66"/>
      <c r="AF74" s="66"/>
      <c r="AG74" s="66"/>
      <c r="AH74" s="55"/>
      <c r="AI74" s="55"/>
      <c r="AJ74" s="66"/>
      <c r="AK74" s="66"/>
      <c r="AL74" s="66"/>
      <c r="AM74" s="66"/>
      <c r="AN74" s="66"/>
      <c r="AO74" s="66"/>
      <c r="AP74" s="66"/>
      <c r="AQ74" s="66"/>
      <c r="AR74" s="66"/>
      <c r="AS74" s="66"/>
    </row>
    <row r="75" spans="1:45" s="142" customFormat="1">
      <c r="A75" s="66"/>
      <c r="B75" s="66"/>
      <c r="C75" s="66"/>
      <c r="D75" s="66"/>
      <c r="E75" s="66"/>
      <c r="F75" s="66"/>
      <c r="G75" s="66"/>
      <c r="H75" s="66"/>
      <c r="I75" s="66"/>
      <c r="J75" s="66"/>
      <c r="K75" s="66"/>
      <c r="L75" s="66"/>
      <c r="M75" s="66"/>
      <c r="N75" s="66"/>
      <c r="O75" s="66"/>
      <c r="P75" s="66"/>
      <c r="Q75" s="66"/>
      <c r="R75" s="66"/>
      <c r="S75" s="66"/>
      <c r="T75" s="10"/>
      <c r="U75" s="66"/>
      <c r="V75" s="66"/>
      <c r="W75" s="66"/>
      <c r="X75" s="66"/>
      <c r="Y75" s="66"/>
      <c r="Z75" s="66"/>
      <c r="AA75" s="66"/>
      <c r="AB75" s="66"/>
      <c r="AC75" s="66"/>
      <c r="AD75" s="66"/>
      <c r="AE75" s="66"/>
      <c r="AF75" s="66"/>
      <c r="AG75" s="66"/>
      <c r="AH75" s="55"/>
      <c r="AI75" s="55"/>
      <c r="AJ75" s="66"/>
      <c r="AK75" s="66"/>
      <c r="AL75" s="66"/>
      <c r="AM75" s="66"/>
      <c r="AN75" s="66"/>
      <c r="AO75" s="66"/>
      <c r="AP75" s="66"/>
      <c r="AQ75" s="66"/>
      <c r="AR75" s="66"/>
      <c r="AS75" s="66"/>
    </row>
    <row r="76" spans="1:45" s="142" customFormat="1">
      <c r="A76" s="66"/>
      <c r="B76" s="66"/>
      <c r="C76" s="66"/>
      <c r="D76" s="66"/>
      <c r="E76" s="66"/>
      <c r="F76" s="66"/>
      <c r="G76" s="66"/>
      <c r="H76" s="66"/>
      <c r="I76" s="66"/>
      <c r="J76" s="66"/>
      <c r="K76" s="66"/>
      <c r="L76" s="66"/>
      <c r="M76" s="66"/>
      <c r="N76" s="66"/>
      <c r="O76" s="66"/>
      <c r="P76" s="66"/>
      <c r="Q76" s="66"/>
      <c r="R76" s="66"/>
      <c r="S76" s="66"/>
      <c r="T76" s="10"/>
      <c r="U76" s="66"/>
      <c r="V76" s="66"/>
      <c r="W76" s="66"/>
      <c r="X76" s="66"/>
      <c r="Y76" s="66"/>
      <c r="Z76" s="66"/>
      <c r="AA76" s="66"/>
      <c r="AB76" s="66"/>
      <c r="AC76" s="66"/>
      <c r="AD76" s="66"/>
      <c r="AE76" s="66"/>
      <c r="AF76" s="66"/>
      <c r="AG76" s="66"/>
      <c r="AH76" s="55"/>
      <c r="AI76" s="55"/>
      <c r="AJ76" s="66"/>
      <c r="AK76" s="66"/>
      <c r="AL76" s="66"/>
      <c r="AM76" s="66"/>
      <c r="AN76" s="66"/>
      <c r="AO76" s="66"/>
      <c r="AP76" s="66"/>
      <c r="AQ76" s="66"/>
      <c r="AR76" s="66"/>
      <c r="AS76" s="66"/>
    </row>
    <row r="77" spans="1:45" s="142" customFormat="1">
      <c r="A77" s="66"/>
      <c r="B77" s="66"/>
      <c r="C77" s="66"/>
      <c r="D77" s="66"/>
      <c r="E77" s="66"/>
      <c r="F77" s="66"/>
      <c r="G77" s="66"/>
      <c r="H77" s="66"/>
      <c r="I77" s="66"/>
      <c r="J77" s="66"/>
      <c r="K77" s="66"/>
      <c r="L77" s="66"/>
      <c r="M77" s="66"/>
      <c r="N77" s="66"/>
      <c r="O77" s="66"/>
      <c r="P77" s="66"/>
      <c r="Q77" s="66"/>
      <c r="R77" s="66"/>
      <c r="S77" s="66"/>
      <c r="T77" s="10"/>
      <c r="U77" s="66"/>
      <c r="V77" s="66"/>
      <c r="W77" s="66"/>
      <c r="X77" s="66"/>
      <c r="Y77" s="66"/>
      <c r="Z77" s="66"/>
      <c r="AA77" s="66"/>
      <c r="AB77" s="66"/>
      <c r="AC77" s="66"/>
      <c r="AD77" s="66"/>
      <c r="AE77" s="66"/>
      <c r="AF77" s="66"/>
      <c r="AG77" s="66"/>
      <c r="AH77" s="55"/>
      <c r="AI77" s="55"/>
      <c r="AJ77" s="66"/>
      <c r="AK77" s="66"/>
      <c r="AL77" s="66"/>
      <c r="AM77" s="66"/>
      <c r="AN77" s="66"/>
      <c r="AO77" s="66"/>
      <c r="AP77" s="66"/>
      <c r="AQ77" s="66"/>
      <c r="AR77" s="66"/>
      <c r="AS77" s="66"/>
    </row>
    <row r="78" spans="1:45" s="142" customFormat="1">
      <c r="A78" s="66"/>
      <c r="B78" s="66"/>
      <c r="C78" s="66"/>
      <c r="D78" s="66"/>
      <c r="E78" s="66"/>
      <c r="F78" s="66"/>
      <c r="G78" s="66"/>
      <c r="H78" s="66"/>
      <c r="I78" s="66"/>
      <c r="J78" s="66"/>
      <c r="K78" s="66"/>
      <c r="L78" s="66"/>
      <c r="M78" s="66"/>
      <c r="N78" s="66"/>
      <c r="O78" s="66"/>
      <c r="P78" s="66"/>
      <c r="Q78" s="66"/>
      <c r="R78" s="66"/>
      <c r="S78" s="66"/>
      <c r="T78" s="10"/>
      <c r="U78" s="66"/>
      <c r="V78" s="66"/>
      <c r="W78" s="66"/>
      <c r="X78" s="66"/>
      <c r="Y78" s="66"/>
      <c r="Z78" s="66"/>
      <c r="AA78" s="66"/>
      <c r="AB78" s="66"/>
      <c r="AC78" s="66"/>
      <c r="AD78" s="66"/>
      <c r="AE78" s="66"/>
      <c r="AF78" s="66"/>
      <c r="AG78" s="66"/>
      <c r="AH78" s="55"/>
      <c r="AI78" s="55"/>
      <c r="AJ78" s="66"/>
      <c r="AK78" s="66"/>
      <c r="AL78" s="66"/>
      <c r="AM78" s="66"/>
      <c r="AN78" s="66"/>
      <c r="AO78" s="66"/>
      <c r="AP78" s="66"/>
      <c r="AQ78" s="66"/>
      <c r="AR78" s="66"/>
      <c r="AS78" s="66"/>
    </row>
    <row r="79" spans="1:45" s="142" customFormat="1">
      <c r="A79" s="66"/>
      <c r="B79" s="66"/>
      <c r="C79" s="66"/>
      <c r="D79" s="66"/>
      <c r="E79" s="66"/>
      <c r="F79" s="66"/>
      <c r="G79" s="66"/>
      <c r="H79" s="66"/>
      <c r="I79" s="66"/>
      <c r="J79" s="66"/>
      <c r="K79" s="66"/>
      <c r="L79" s="66"/>
      <c r="M79" s="66"/>
      <c r="N79" s="66"/>
      <c r="O79" s="66"/>
      <c r="P79" s="66"/>
      <c r="Q79" s="66"/>
      <c r="R79" s="66"/>
      <c r="S79" s="66"/>
      <c r="T79" s="10"/>
      <c r="U79" s="66"/>
      <c r="V79" s="66"/>
      <c r="W79" s="66"/>
      <c r="X79" s="66"/>
      <c r="Y79" s="66"/>
      <c r="Z79" s="66"/>
      <c r="AA79" s="66"/>
      <c r="AB79" s="66"/>
      <c r="AC79" s="66"/>
      <c r="AD79" s="66"/>
      <c r="AE79" s="66"/>
      <c r="AF79" s="66"/>
      <c r="AG79" s="66"/>
      <c r="AH79" s="55"/>
      <c r="AI79" s="55"/>
      <c r="AJ79" s="66"/>
      <c r="AK79" s="66"/>
      <c r="AL79" s="66"/>
      <c r="AM79" s="66"/>
      <c r="AN79" s="66"/>
      <c r="AO79" s="66"/>
      <c r="AP79" s="66"/>
      <c r="AQ79" s="66"/>
      <c r="AR79" s="66"/>
      <c r="AS79" s="66"/>
    </row>
    <row r="80" spans="1:45" s="142" customFormat="1">
      <c r="A80" s="66"/>
      <c r="B80" s="66"/>
      <c r="C80" s="66"/>
      <c r="D80" s="66"/>
      <c r="E80" s="66"/>
      <c r="F80" s="66"/>
      <c r="G80" s="66"/>
      <c r="H80" s="66"/>
      <c r="I80" s="66"/>
      <c r="J80" s="66"/>
      <c r="K80" s="66"/>
      <c r="L80" s="66"/>
      <c r="M80" s="66"/>
      <c r="N80" s="66"/>
      <c r="O80" s="66"/>
      <c r="P80" s="66"/>
      <c r="Q80" s="66"/>
      <c r="R80" s="66"/>
      <c r="S80" s="66"/>
      <c r="T80" s="10"/>
      <c r="U80" s="66"/>
      <c r="V80" s="66"/>
      <c r="W80" s="66"/>
      <c r="X80" s="66"/>
      <c r="Y80" s="66"/>
      <c r="Z80" s="66"/>
      <c r="AA80" s="66"/>
      <c r="AB80" s="66"/>
      <c r="AC80" s="66"/>
      <c r="AD80" s="66"/>
      <c r="AE80" s="66"/>
      <c r="AF80" s="66"/>
      <c r="AG80" s="66"/>
      <c r="AH80" s="55"/>
      <c r="AI80" s="55"/>
      <c r="AJ80" s="66"/>
      <c r="AK80" s="66"/>
      <c r="AL80" s="66"/>
      <c r="AM80" s="66"/>
      <c r="AN80" s="66"/>
      <c r="AO80" s="66"/>
      <c r="AP80" s="66"/>
      <c r="AQ80" s="66"/>
      <c r="AR80" s="66"/>
      <c r="AS80" s="66"/>
    </row>
    <row r="81" spans="1:45" s="142" customFormat="1">
      <c r="A81" s="66"/>
      <c r="B81" s="66"/>
      <c r="C81" s="66"/>
      <c r="D81" s="66"/>
      <c r="E81" s="66"/>
      <c r="F81" s="66"/>
      <c r="G81" s="66"/>
      <c r="H81" s="66"/>
      <c r="I81" s="66"/>
      <c r="J81" s="66"/>
      <c r="K81" s="66"/>
      <c r="L81" s="66"/>
      <c r="M81" s="66"/>
      <c r="N81" s="66"/>
      <c r="O81" s="66"/>
      <c r="P81" s="66"/>
      <c r="Q81" s="66"/>
      <c r="R81" s="66"/>
      <c r="S81" s="66"/>
      <c r="T81" s="10"/>
      <c r="U81" s="66"/>
      <c r="V81" s="66"/>
      <c r="W81" s="66"/>
      <c r="X81" s="66"/>
      <c r="Y81" s="66"/>
      <c r="Z81" s="66"/>
      <c r="AA81" s="66"/>
      <c r="AB81" s="66"/>
      <c r="AC81" s="66"/>
      <c r="AD81" s="66"/>
      <c r="AE81" s="66"/>
      <c r="AF81" s="66"/>
      <c r="AG81" s="66"/>
      <c r="AH81" s="55"/>
      <c r="AI81" s="55"/>
      <c r="AJ81" s="66"/>
      <c r="AK81" s="66"/>
      <c r="AL81" s="66"/>
      <c r="AM81" s="66"/>
      <c r="AN81" s="66"/>
      <c r="AO81" s="66"/>
      <c r="AP81" s="66"/>
      <c r="AQ81" s="66"/>
      <c r="AR81" s="66"/>
      <c r="AS81" s="66"/>
    </row>
    <row r="82" spans="1:45" s="142" customFormat="1">
      <c r="A82" s="66"/>
      <c r="B82" s="66"/>
      <c r="C82" s="66"/>
      <c r="D82" s="66"/>
      <c r="E82" s="66"/>
      <c r="F82" s="66"/>
      <c r="G82" s="66"/>
      <c r="H82" s="66"/>
      <c r="I82" s="66"/>
      <c r="J82" s="66"/>
      <c r="K82" s="66"/>
      <c r="L82" s="66"/>
      <c r="M82" s="66"/>
      <c r="N82" s="66"/>
      <c r="O82" s="66"/>
      <c r="P82" s="66"/>
      <c r="Q82" s="66"/>
      <c r="R82" s="66"/>
      <c r="S82" s="66"/>
      <c r="T82" s="10"/>
      <c r="U82" s="66"/>
      <c r="V82" s="66"/>
      <c r="W82" s="66"/>
      <c r="X82" s="66"/>
      <c r="Y82" s="66"/>
      <c r="Z82" s="66"/>
      <c r="AA82" s="66"/>
      <c r="AB82" s="66"/>
      <c r="AC82" s="66"/>
      <c r="AD82" s="66"/>
      <c r="AE82" s="66"/>
      <c r="AF82" s="66"/>
      <c r="AG82" s="66"/>
      <c r="AH82" s="55"/>
      <c r="AI82" s="55"/>
      <c r="AJ82" s="66"/>
      <c r="AK82" s="66"/>
      <c r="AL82" s="66"/>
      <c r="AM82" s="66"/>
      <c r="AN82" s="66"/>
      <c r="AO82" s="66"/>
      <c r="AP82" s="66"/>
      <c r="AQ82" s="66"/>
      <c r="AR82" s="66"/>
      <c r="AS82" s="66"/>
    </row>
    <row r="83" spans="1:45" s="142" customFormat="1">
      <c r="A83" s="66"/>
      <c r="B83" s="66"/>
      <c r="C83" s="66"/>
      <c r="D83" s="66"/>
      <c r="E83" s="66"/>
      <c r="F83" s="66"/>
      <c r="G83" s="66"/>
      <c r="H83" s="66"/>
      <c r="I83" s="66"/>
      <c r="J83" s="66"/>
      <c r="K83" s="66"/>
      <c r="L83" s="66"/>
      <c r="M83" s="66"/>
      <c r="N83" s="66"/>
      <c r="O83" s="66"/>
      <c r="P83" s="66"/>
      <c r="Q83" s="66"/>
      <c r="R83" s="66"/>
      <c r="S83" s="66"/>
      <c r="T83" s="10"/>
      <c r="U83" s="66"/>
      <c r="V83" s="66"/>
      <c r="W83" s="66"/>
      <c r="X83" s="66"/>
      <c r="Y83" s="66"/>
      <c r="Z83" s="66"/>
      <c r="AA83" s="66"/>
      <c r="AB83" s="66"/>
      <c r="AC83" s="66"/>
      <c r="AD83" s="66"/>
      <c r="AE83" s="66"/>
      <c r="AF83" s="66"/>
      <c r="AG83" s="66"/>
      <c r="AH83" s="55"/>
      <c r="AI83" s="55"/>
      <c r="AJ83" s="66"/>
      <c r="AK83" s="66"/>
      <c r="AL83" s="66"/>
      <c r="AM83" s="66"/>
      <c r="AN83" s="66"/>
      <c r="AO83" s="66"/>
      <c r="AP83" s="66"/>
      <c r="AQ83" s="66"/>
      <c r="AR83" s="66"/>
      <c r="AS83" s="66"/>
    </row>
    <row r="84" spans="1:45" s="142" customFormat="1">
      <c r="A84" s="66"/>
      <c r="B84" s="66"/>
      <c r="C84" s="66"/>
      <c r="D84" s="66"/>
      <c r="E84" s="66"/>
      <c r="F84" s="66"/>
      <c r="G84" s="66"/>
      <c r="H84" s="66"/>
      <c r="I84" s="66"/>
      <c r="J84" s="66"/>
      <c r="K84" s="66"/>
      <c r="L84" s="66"/>
      <c r="M84" s="66"/>
      <c r="N84" s="66"/>
      <c r="O84" s="66"/>
      <c r="P84" s="66"/>
      <c r="Q84" s="66"/>
      <c r="R84" s="66"/>
      <c r="S84" s="66"/>
      <c r="T84" s="10"/>
      <c r="U84" s="66"/>
      <c r="V84" s="66"/>
      <c r="W84" s="66"/>
      <c r="X84" s="66"/>
      <c r="Y84" s="66"/>
      <c r="Z84" s="66"/>
      <c r="AA84" s="66"/>
      <c r="AB84" s="66"/>
      <c r="AC84" s="66"/>
      <c r="AD84" s="66"/>
      <c r="AE84" s="66"/>
      <c r="AF84" s="66"/>
      <c r="AG84" s="66"/>
      <c r="AH84" s="55"/>
      <c r="AI84" s="55"/>
      <c r="AJ84" s="66"/>
      <c r="AK84" s="66"/>
      <c r="AL84" s="66"/>
      <c r="AM84" s="66"/>
      <c r="AN84" s="66"/>
      <c r="AO84" s="66"/>
      <c r="AP84" s="66"/>
      <c r="AQ84" s="66"/>
      <c r="AR84" s="66"/>
      <c r="AS84" s="66"/>
    </row>
    <row r="85" spans="1:45" s="142" customFormat="1">
      <c r="A85" s="66"/>
      <c r="B85" s="66"/>
      <c r="C85" s="66"/>
      <c r="D85" s="66"/>
      <c r="E85" s="66"/>
      <c r="F85" s="66"/>
      <c r="G85" s="66"/>
      <c r="H85" s="66"/>
      <c r="I85" s="66"/>
      <c r="J85" s="66"/>
      <c r="K85" s="66"/>
      <c r="L85" s="66"/>
      <c r="M85" s="66"/>
      <c r="N85" s="66"/>
      <c r="O85" s="66"/>
      <c r="P85" s="66"/>
      <c r="Q85" s="66"/>
      <c r="R85" s="66"/>
      <c r="S85" s="66"/>
      <c r="T85" s="10"/>
      <c r="U85" s="66"/>
      <c r="V85" s="66"/>
      <c r="W85" s="66"/>
      <c r="X85" s="66"/>
      <c r="Y85" s="66"/>
      <c r="Z85" s="66"/>
      <c r="AA85" s="66"/>
      <c r="AB85" s="66"/>
      <c r="AC85" s="66"/>
      <c r="AD85" s="66"/>
      <c r="AE85" s="66"/>
      <c r="AF85" s="66"/>
      <c r="AG85" s="66"/>
      <c r="AH85" s="55"/>
      <c r="AI85" s="55"/>
      <c r="AJ85" s="66"/>
      <c r="AK85" s="66"/>
      <c r="AL85" s="66"/>
      <c r="AM85" s="66"/>
      <c r="AN85" s="66"/>
      <c r="AO85" s="66"/>
      <c r="AP85" s="66"/>
      <c r="AQ85" s="66"/>
      <c r="AR85" s="66"/>
      <c r="AS85" s="66"/>
    </row>
    <row r="86" spans="1:45" s="142" customFormat="1">
      <c r="A86" s="66"/>
      <c r="B86" s="66"/>
      <c r="C86" s="66"/>
      <c r="D86" s="66"/>
      <c r="E86" s="66"/>
      <c r="F86" s="66"/>
      <c r="G86" s="66"/>
      <c r="H86" s="66"/>
      <c r="I86" s="66"/>
      <c r="J86" s="66"/>
      <c r="K86" s="66"/>
      <c r="L86" s="66"/>
      <c r="M86" s="66"/>
      <c r="N86" s="66"/>
      <c r="O86" s="66"/>
      <c r="P86" s="66"/>
      <c r="Q86" s="66"/>
      <c r="R86" s="66"/>
      <c r="S86" s="66"/>
      <c r="T86" s="10"/>
      <c r="U86" s="66"/>
      <c r="V86" s="66"/>
      <c r="W86" s="66"/>
      <c r="X86" s="66"/>
      <c r="Y86" s="66"/>
      <c r="Z86" s="66"/>
      <c r="AA86" s="66"/>
      <c r="AB86" s="66"/>
      <c r="AC86" s="66"/>
      <c r="AD86" s="66"/>
      <c r="AE86" s="66"/>
      <c r="AF86" s="66"/>
      <c r="AG86" s="66"/>
      <c r="AH86" s="55"/>
      <c r="AI86" s="55"/>
      <c r="AJ86" s="66"/>
      <c r="AK86" s="66"/>
      <c r="AL86" s="66"/>
      <c r="AM86" s="66"/>
      <c r="AN86" s="66"/>
      <c r="AO86" s="66"/>
      <c r="AP86" s="66"/>
      <c r="AQ86" s="66"/>
      <c r="AR86" s="66"/>
      <c r="AS86" s="66"/>
    </row>
    <row r="87" spans="1:45" s="142" customFormat="1">
      <c r="A87" s="66"/>
      <c r="B87" s="66"/>
      <c r="C87" s="66"/>
      <c r="D87" s="66"/>
      <c r="E87" s="66"/>
      <c r="F87" s="66"/>
      <c r="G87" s="66"/>
      <c r="H87" s="66"/>
      <c r="I87" s="66"/>
      <c r="J87" s="66"/>
      <c r="K87" s="66"/>
      <c r="L87" s="66"/>
      <c r="M87" s="66"/>
      <c r="N87" s="66"/>
      <c r="O87" s="66"/>
      <c r="P87" s="66"/>
      <c r="Q87" s="66"/>
      <c r="R87" s="66"/>
      <c r="S87" s="66"/>
      <c r="T87" s="10"/>
      <c r="U87" s="66"/>
      <c r="V87" s="66"/>
      <c r="W87" s="66"/>
      <c r="X87" s="66"/>
      <c r="Y87" s="66"/>
      <c r="Z87" s="66"/>
      <c r="AA87" s="66"/>
      <c r="AB87" s="66"/>
      <c r="AC87" s="66"/>
      <c r="AD87" s="66"/>
      <c r="AE87" s="66"/>
      <c r="AF87" s="66"/>
      <c r="AG87" s="66"/>
      <c r="AH87" s="55"/>
      <c r="AI87" s="55"/>
      <c r="AJ87" s="66"/>
      <c r="AK87" s="66"/>
      <c r="AL87" s="66"/>
      <c r="AM87" s="66"/>
      <c r="AN87" s="66"/>
      <c r="AO87" s="66"/>
      <c r="AP87" s="66"/>
      <c r="AQ87" s="66"/>
      <c r="AR87" s="66"/>
      <c r="AS87" s="66"/>
    </row>
    <row r="88" spans="1:45" s="142" customFormat="1">
      <c r="A88" s="66"/>
      <c r="B88" s="66"/>
      <c r="C88" s="66"/>
      <c r="D88" s="66"/>
      <c r="E88" s="66"/>
      <c r="F88" s="66"/>
      <c r="G88" s="66"/>
      <c r="H88" s="66"/>
      <c r="I88" s="66"/>
      <c r="J88" s="66"/>
      <c r="K88" s="66"/>
      <c r="L88" s="66"/>
      <c r="M88" s="66"/>
      <c r="N88" s="66"/>
      <c r="O88" s="66"/>
      <c r="P88" s="66"/>
      <c r="Q88" s="66"/>
      <c r="R88" s="66"/>
      <c r="S88" s="66"/>
      <c r="T88" s="10"/>
      <c r="U88" s="66"/>
      <c r="V88" s="66"/>
      <c r="W88" s="66"/>
      <c r="X88" s="66"/>
      <c r="Y88" s="66"/>
      <c r="Z88" s="66"/>
      <c r="AA88" s="66"/>
      <c r="AB88" s="66"/>
      <c r="AC88" s="66"/>
      <c r="AD88" s="66"/>
      <c r="AE88" s="66"/>
      <c r="AF88" s="66"/>
      <c r="AG88" s="66"/>
      <c r="AH88" s="55"/>
      <c r="AI88" s="55"/>
      <c r="AJ88" s="66"/>
      <c r="AK88" s="66"/>
      <c r="AL88" s="66"/>
      <c r="AM88" s="66"/>
      <c r="AN88" s="66"/>
      <c r="AO88" s="66"/>
      <c r="AP88" s="66"/>
      <c r="AQ88" s="66"/>
      <c r="AR88" s="66"/>
      <c r="AS88" s="66"/>
    </row>
    <row r="89" spans="1:45" s="142" customFormat="1">
      <c r="A89" s="66"/>
      <c r="B89" s="66"/>
      <c r="C89" s="66"/>
      <c r="D89" s="66"/>
      <c r="E89" s="66"/>
      <c r="F89" s="66"/>
      <c r="G89" s="66"/>
      <c r="H89" s="66"/>
      <c r="I89" s="66"/>
      <c r="J89" s="66"/>
      <c r="K89" s="66"/>
      <c r="L89" s="66"/>
      <c r="M89" s="66"/>
      <c r="N89" s="66"/>
      <c r="O89" s="66"/>
      <c r="P89" s="66"/>
      <c r="Q89" s="66"/>
      <c r="R89" s="66"/>
      <c r="S89" s="66"/>
      <c r="T89" s="10"/>
      <c r="U89" s="66"/>
      <c r="V89" s="66"/>
      <c r="W89" s="66"/>
      <c r="X89" s="66"/>
      <c r="Y89" s="66"/>
      <c r="Z89" s="66"/>
      <c r="AA89" s="66"/>
      <c r="AB89" s="66"/>
      <c r="AC89" s="66"/>
      <c r="AD89" s="66"/>
      <c r="AE89" s="66"/>
      <c r="AF89" s="66"/>
      <c r="AG89" s="66"/>
      <c r="AH89" s="55"/>
      <c r="AI89" s="55"/>
      <c r="AJ89" s="66"/>
      <c r="AK89" s="66"/>
      <c r="AL89" s="66"/>
      <c r="AM89" s="66"/>
      <c r="AN89" s="66"/>
      <c r="AO89" s="66"/>
      <c r="AP89" s="66"/>
      <c r="AQ89" s="66"/>
      <c r="AR89" s="66"/>
      <c r="AS89" s="66"/>
    </row>
    <row r="90" spans="1:45" s="142" customFormat="1">
      <c r="A90" s="66"/>
      <c r="B90" s="66"/>
      <c r="C90" s="66"/>
      <c r="D90" s="66"/>
      <c r="E90" s="66"/>
      <c r="F90" s="66"/>
      <c r="G90" s="66"/>
      <c r="H90" s="66"/>
      <c r="I90" s="66"/>
      <c r="J90" s="66"/>
      <c r="K90" s="66"/>
      <c r="L90" s="66"/>
      <c r="M90" s="66"/>
      <c r="N90" s="66"/>
      <c r="O90" s="66"/>
      <c r="P90" s="66"/>
      <c r="Q90" s="66"/>
      <c r="R90" s="66"/>
      <c r="S90" s="66"/>
      <c r="T90" s="10"/>
      <c r="U90" s="66"/>
      <c r="V90" s="66"/>
      <c r="W90" s="66"/>
      <c r="X90" s="66"/>
      <c r="Y90" s="66"/>
      <c r="Z90" s="66"/>
      <c r="AA90" s="66"/>
      <c r="AB90" s="66"/>
      <c r="AC90" s="66"/>
      <c r="AD90" s="66"/>
      <c r="AE90" s="66"/>
      <c r="AF90" s="66"/>
      <c r="AG90" s="66"/>
      <c r="AH90" s="55"/>
      <c r="AI90" s="55"/>
      <c r="AJ90" s="66"/>
      <c r="AK90" s="66"/>
      <c r="AL90" s="66"/>
      <c r="AM90" s="66"/>
      <c r="AN90" s="66"/>
      <c r="AO90" s="66"/>
      <c r="AP90" s="66"/>
      <c r="AQ90" s="66"/>
      <c r="AR90" s="66"/>
      <c r="AS90" s="66"/>
    </row>
    <row r="91" spans="1:45" s="142" customFormat="1">
      <c r="A91" s="66"/>
      <c r="B91" s="66"/>
      <c r="C91" s="66"/>
      <c r="D91" s="66"/>
      <c r="E91" s="66"/>
      <c r="F91" s="66"/>
      <c r="G91" s="66"/>
      <c r="H91" s="66"/>
      <c r="I91" s="66"/>
      <c r="J91" s="66"/>
      <c r="K91" s="66"/>
      <c r="L91" s="66"/>
      <c r="M91" s="66"/>
      <c r="N91" s="66"/>
      <c r="O91" s="66"/>
      <c r="P91" s="66"/>
      <c r="Q91" s="66"/>
      <c r="R91" s="66"/>
      <c r="S91" s="66"/>
      <c r="T91" s="10"/>
      <c r="U91" s="66"/>
      <c r="V91" s="66"/>
      <c r="W91" s="66"/>
      <c r="X91" s="66"/>
      <c r="Y91" s="66"/>
      <c r="Z91" s="66"/>
      <c r="AA91" s="66"/>
      <c r="AB91" s="66"/>
      <c r="AC91" s="66"/>
      <c r="AD91" s="66"/>
      <c r="AE91" s="66"/>
      <c r="AF91" s="66"/>
      <c r="AG91" s="66"/>
      <c r="AH91" s="55"/>
      <c r="AI91" s="55"/>
      <c r="AJ91" s="66"/>
      <c r="AK91" s="66"/>
      <c r="AL91" s="66"/>
      <c r="AM91" s="66"/>
      <c r="AN91" s="66"/>
      <c r="AO91" s="66"/>
      <c r="AP91" s="66"/>
      <c r="AQ91" s="66"/>
      <c r="AR91" s="66"/>
      <c r="AS91" s="66"/>
    </row>
    <row r="92" spans="1:45" s="142" customFormat="1">
      <c r="A92" s="66"/>
      <c r="B92" s="66"/>
      <c r="C92" s="66"/>
      <c r="D92" s="66"/>
      <c r="E92" s="66"/>
      <c r="F92" s="66"/>
      <c r="G92" s="66"/>
      <c r="H92" s="66"/>
      <c r="I92" s="66"/>
      <c r="J92" s="66"/>
      <c r="K92" s="66"/>
      <c r="L92" s="66"/>
      <c r="M92" s="66"/>
      <c r="N92" s="66"/>
      <c r="O92" s="66"/>
      <c r="P92" s="66"/>
      <c r="Q92" s="66"/>
      <c r="R92" s="66"/>
      <c r="S92" s="66"/>
      <c r="T92" s="10"/>
      <c r="U92" s="66"/>
      <c r="V92" s="66"/>
      <c r="W92" s="66"/>
      <c r="X92" s="66"/>
      <c r="Y92" s="66"/>
      <c r="Z92" s="66"/>
      <c r="AA92" s="66"/>
      <c r="AB92" s="66"/>
      <c r="AC92" s="66"/>
      <c r="AD92" s="66"/>
      <c r="AE92" s="66"/>
      <c r="AF92" s="66"/>
      <c r="AG92" s="66"/>
      <c r="AH92" s="55"/>
      <c r="AI92" s="55"/>
      <c r="AJ92" s="66"/>
      <c r="AK92" s="66"/>
      <c r="AL92" s="66"/>
      <c r="AM92" s="66"/>
      <c r="AN92" s="66"/>
      <c r="AO92" s="66"/>
      <c r="AP92" s="66"/>
      <c r="AQ92" s="66"/>
      <c r="AR92" s="66"/>
      <c r="AS92" s="66"/>
    </row>
    <row r="93" spans="1:45" s="142" customFormat="1">
      <c r="A93" s="66"/>
      <c r="B93" s="66"/>
      <c r="C93" s="66"/>
      <c r="D93" s="66"/>
      <c r="E93" s="66"/>
      <c r="F93" s="66"/>
      <c r="G93" s="66"/>
      <c r="H93" s="66"/>
      <c r="I93" s="66"/>
      <c r="J93" s="66"/>
      <c r="K93" s="66"/>
      <c r="L93" s="66"/>
      <c r="M93" s="66"/>
      <c r="N93" s="66"/>
      <c r="O93" s="66"/>
      <c r="P93" s="66"/>
      <c r="Q93" s="66"/>
      <c r="R93" s="66"/>
      <c r="S93" s="66"/>
      <c r="T93" s="10"/>
      <c r="U93" s="66"/>
      <c r="V93" s="66"/>
      <c r="W93" s="66"/>
      <c r="X93" s="66"/>
      <c r="Y93" s="66"/>
      <c r="Z93" s="66"/>
      <c r="AA93" s="66"/>
      <c r="AB93" s="66"/>
      <c r="AC93" s="66"/>
      <c r="AD93" s="66"/>
      <c r="AE93" s="66"/>
      <c r="AF93" s="66"/>
      <c r="AG93" s="66"/>
      <c r="AH93" s="55"/>
      <c r="AI93" s="55"/>
      <c r="AJ93" s="66"/>
      <c r="AK93" s="66"/>
      <c r="AL93" s="66"/>
      <c r="AM93" s="66"/>
      <c r="AN93" s="66"/>
      <c r="AO93" s="66"/>
      <c r="AP93" s="66"/>
      <c r="AQ93" s="66"/>
      <c r="AR93" s="66"/>
      <c r="AS93" s="66"/>
    </row>
    <row r="94" spans="1:45" s="142" customFormat="1">
      <c r="A94" s="66"/>
      <c r="B94" s="66"/>
      <c r="C94" s="66"/>
      <c r="D94" s="66"/>
      <c r="E94" s="66"/>
      <c r="F94" s="66"/>
      <c r="G94" s="66"/>
      <c r="H94" s="66"/>
      <c r="I94" s="66"/>
      <c r="J94" s="66"/>
      <c r="K94" s="66"/>
      <c r="L94" s="66"/>
      <c r="M94" s="66"/>
      <c r="N94" s="66"/>
      <c r="O94" s="66"/>
      <c r="P94" s="66"/>
      <c r="Q94" s="66"/>
      <c r="R94" s="66"/>
      <c r="S94" s="66"/>
      <c r="T94" s="10"/>
      <c r="U94" s="66"/>
      <c r="V94" s="66"/>
      <c r="W94" s="66"/>
      <c r="X94" s="66"/>
      <c r="Y94" s="66"/>
      <c r="Z94" s="66"/>
      <c r="AA94" s="66"/>
      <c r="AB94" s="66"/>
      <c r="AC94" s="66"/>
      <c r="AD94" s="66"/>
      <c r="AE94" s="66"/>
      <c r="AF94" s="66"/>
      <c r="AG94" s="66"/>
      <c r="AH94" s="55"/>
      <c r="AI94" s="55"/>
      <c r="AJ94" s="66"/>
      <c r="AK94" s="66"/>
      <c r="AL94" s="66"/>
      <c r="AM94" s="66"/>
      <c r="AN94" s="66"/>
      <c r="AO94" s="66"/>
      <c r="AP94" s="66"/>
      <c r="AQ94" s="66"/>
      <c r="AR94" s="66"/>
      <c r="AS94" s="66"/>
    </row>
    <row r="95" spans="1:45" s="142" customFormat="1">
      <c r="A95" s="66"/>
      <c r="B95" s="66"/>
      <c r="C95" s="66"/>
      <c r="D95" s="66"/>
      <c r="E95" s="66"/>
      <c r="F95" s="66"/>
      <c r="G95" s="66"/>
      <c r="H95" s="66"/>
      <c r="I95" s="66"/>
      <c r="J95" s="66"/>
      <c r="K95" s="66"/>
      <c r="L95" s="66"/>
      <c r="M95" s="66"/>
      <c r="N95" s="66"/>
      <c r="O95" s="66"/>
      <c r="P95" s="66"/>
      <c r="Q95" s="66"/>
      <c r="R95" s="66"/>
      <c r="S95" s="66"/>
      <c r="T95" s="10"/>
      <c r="U95" s="66"/>
      <c r="V95" s="66"/>
      <c r="W95" s="66"/>
      <c r="X95" s="66"/>
      <c r="Y95" s="66"/>
      <c r="Z95" s="66"/>
      <c r="AA95" s="66"/>
      <c r="AB95" s="66"/>
      <c r="AC95" s="66"/>
      <c r="AD95" s="66"/>
      <c r="AE95" s="66"/>
      <c r="AF95" s="66"/>
      <c r="AG95" s="66"/>
      <c r="AH95" s="55"/>
      <c r="AI95" s="55"/>
      <c r="AJ95" s="66"/>
      <c r="AK95" s="66"/>
      <c r="AL95" s="66"/>
      <c r="AM95" s="66"/>
      <c r="AN95" s="66"/>
      <c r="AO95" s="66"/>
      <c r="AP95" s="66"/>
      <c r="AQ95" s="66"/>
      <c r="AR95" s="66"/>
      <c r="AS95" s="66"/>
    </row>
    <row r="96" spans="1:45" s="142" customFormat="1">
      <c r="A96" s="66"/>
      <c r="B96" s="66"/>
      <c r="C96" s="66"/>
      <c r="D96" s="66"/>
      <c r="E96" s="66"/>
      <c r="F96" s="66"/>
      <c r="G96" s="66"/>
      <c r="H96" s="66"/>
      <c r="I96" s="66"/>
      <c r="J96" s="66"/>
      <c r="K96" s="66"/>
      <c r="L96" s="66"/>
      <c r="M96" s="66"/>
      <c r="N96" s="66"/>
      <c r="O96" s="66"/>
      <c r="P96" s="66"/>
      <c r="Q96" s="66"/>
      <c r="R96" s="66"/>
      <c r="S96" s="66"/>
      <c r="T96" s="10"/>
      <c r="U96" s="66"/>
      <c r="V96" s="66"/>
      <c r="W96" s="66"/>
      <c r="X96" s="66"/>
      <c r="Y96" s="66"/>
      <c r="Z96" s="66"/>
      <c r="AA96" s="66"/>
      <c r="AB96" s="66"/>
      <c r="AC96" s="66"/>
      <c r="AD96" s="66"/>
      <c r="AE96" s="66"/>
      <c r="AF96" s="66"/>
      <c r="AG96" s="66"/>
      <c r="AH96" s="55"/>
      <c r="AI96" s="55"/>
      <c r="AJ96" s="66"/>
      <c r="AK96" s="66"/>
      <c r="AL96" s="66"/>
      <c r="AM96" s="66"/>
      <c r="AN96" s="66"/>
      <c r="AO96" s="66"/>
      <c r="AP96" s="66"/>
      <c r="AQ96" s="66"/>
      <c r="AR96" s="66"/>
      <c r="AS96" s="66"/>
    </row>
    <row r="97" spans="1:45" s="142" customFormat="1">
      <c r="A97" s="66"/>
      <c r="B97" s="66"/>
      <c r="C97" s="66"/>
      <c r="D97" s="66"/>
      <c r="E97" s="66"/>
      <c r="F97" s="66"/>
      <c r="G97" s="66"/>
      <c r="H97" s="66"/>
      <c r="I97" s="66"/>
      <c r="J97" s="66"/>
      <c r="K97" s="66"/>
      <c r="L97" s="66"/>
      <c r="M97" s="66"/>
      <c r="N97" s="66"/>
      <c r="O97" s="66"/>
      <c r="P97" s="66"/>
      <c r="Q97" s="66"/>
      <c r="R97" s="66"/>
      <c r="S97" s="66"/>
      <c r="T97" s="10"/>
      <c r="U97" s="66"/>
      <c r="V97" s="66"/>
      <c r="W97" s="66"/>
      <c r="X97" s="66"/>
      <c r="Y97" s="66"/>
      <c r="Z97" s="66"/>
      <c r="AA97" s="66"/>
      <c r="AB97" s="66"/>
      <c r="AC97" s="66"/>
      <c r="AD97" s="66"/>
      <c r="AE97" s="66"/>
      <c r="AF97" s="66"/>
      <c r="AG97" s="66"/>
      <c r="AH97" s="55"/>
      <c r="AI97" s="55"/>
      <c r="AJ97" s="66"/>
      <c r="AK97" s="66"/>
      <c r="AL97" s="66"/>
      <c r="AM97" s="66"/>
      <c r="AN97" s="66"/>
      <c r="AO97" s="66"/>
      <c r="AP97" s="66"/>
      <c r="AQ97" s="66"/>
      <c r="AR97" s="66"/>
      <c r="AS97" s="66"/>
    </row>
    <row r="98" spans="1:45" s="142" customFormat="1">
      <c r="A98" s="66"/>
      <c r="B98" s="66"/>
      <c r="C98" s="66"/>
      <c r="D98" s="66"/>
      <c r="E98" s="66"/>
      <c r="F98" s="66"/>
      <c r="G98" s="66"/>
      <c r="H98" s="66"/>
      <c r="I98" s="66"/>
      <c r="J98" s="66"/>
      <c r="K98" s="66"/>
      <c r="L98" s="66"/>
      <c r="M98" s="66"/>
      <c r="N98" s="66"/>
      <c r="O98" s="66"/>
      <c r="P98" s="66"/>
      <c r="Q98" s="66"/>
      <c r="R98" s="66"/>
      <c r="S98" s="66"/>
      <c r="T98" s="10"/>
      <c r="U98" s="66"/>
      <c r="V98" s="66"/>
      <c r="W98" s="66"/>
      <c r="X98" s="66"/>
      <c r="Y98" s="66"/>
      <c r="Z98" s="66"/>
      <c r="AA98" s="66"/>
      <c r="AB98" s="66"/>
      <c r="AC98" s="66"/>
      <c r="AD98" s="66"/>
      <c r="AE98" s="66"/>
      <c r="AF98" s="66"/>
      <c r="AG98" s="66"/>
      <c r="AH98" s="55"/>
      <c r="AI98" s="55"/>
      <c r="AJ98" s="66"/>
      <c r="AK98" s="66"/>
      <c r="AL98" s="66"/>
      <c r="AM98" s="66"/>
      <c r="AN98" s="66"/>
      <c r="AO98" s="66"/>
      <c r="AP98" s="66"/>
      <c r="AQ98" s="66"/>
      <c r="AR98" s="66"/>
      <c r="AS98" s="66"/>
    </row>
    <row r="99" spans="1:45" s="142" customFormat="1">
      <c r="A99" s="66"/>
      <c r="B99" s="66"/>
      <c r="C99" s="66"/>
      <c r="D99" s="66"/>
      <c r="E99" s="66"/>
      <c r="F99" s="66"/>
      <c r="G99" s="66"/>
      <c r="H99" s="66"/>
      <c r="I99" s="66"/>
      <c r="J99" s="66"/>
      <c r="K99" s="66"/>
      <c r="L99" s="66"/>
      <c r="M99" s="66"/>
      <c r="N99" s="66"/>
      <c r="O99" s="66"/>
      <c r="P99" s="66"/>
      <c r="Q99" s="66"/>
      <c r="R99" s="66"/>
      <c r="S99" s="66"/>
      <c r="T99" s="10"/>
      <c r="U99" s="66"/>
      <c r="V99" s="66"/>
      <c r="W99" s="66"/>
      <c r="X99" s="66"/>
      <c r="Y99" s="66"/>
      <c r="Z99" s="66"/>
      <c r="AA99" s="66"/>
      <c r="AB99" s="66"/>
      <c r="AC99" s="66"/>
      <c r="AD99" s="66"/>
      <c r="AE99" s="66"/>
      <c r="AF99" s="66"/>
      <c r="AG99" s="66"/>
      <c r="AH99" s="55"/>
      <c r="AI99" s="55"/>
      <c r="AJ99" s="66"/>
      <c r="AK99" s="66"/>
      <c r="AL99" s="66"/>
      <c r="AM99" s="66"/>
      <c r="AN99" s="66"/>
      <c r="AO99" s="66"/>
      <c r="AP99" s="66"/>
      <c r="AQ99" s="66"/>
      <c r="AR99" s="66"/>
      <c r="AS99" s="66"/>
    </row>
    <row r="100" spans="1:45" s="142" customFormat="1">
      <c r="A100" s="66"/>
      <c r="B100" s="66"/>
      <c r="C100" s="66"/>
      <c r="D100" s="66"/>
      <c r="E100" s="66"/>
      <c r="F100" s="66"/>
      <c r="G100" s="66"/>
      <c r="H100" s="66"/>
      <c r="I100" s="66"/>
      <c r="J100" s="66"/>
      <c r="K100" s="66"/>
      <c r="L100" s="66"/>
      <c r="M100" s="66"/>
      <c r="N100" s="66"/>
      <c r="O100" s="66"/>
      <c r="P100" s="66"/>
      <c r="Q100" s="66"/>
      <c r="R100" s="66"/>
      <c r="S100" s="66"/>
      <c r="T100" s="10"/>
      <c r="U100" s="66"/>
      <c r="V100" s="66"/>
      <c r="W100" s="66"/>
      <c r="X100" s="66"/>
      <c r="Y100" s="66"/>
      <c r="Z100" s="66"/>
      <c r="AA100" s="66"/>
      <c r="AB100" s="66"/>
      <c r="AC100" s="66"/>
      <c r="AD100" s="66"/>
      <c r="AE100" s="66"/>
      <c r="AF100" s="66"/>
      <c r="AG100" s="66"/>
      <c r="AH100" s="55"/>
      <c r="AI100" s="55"/>
      <c r="AJ100" s="66"/>
      <c r="AK100" s="66"/>
      <c r="AL100" s="66"/>
      <c r="AM100" s="66"/>
      <c r="AN100" s="66"/>
      <c r="AO100" s="66"/>
      <c r="AP100" s="66"/>
      <c r="AQ100" s="66"/>
      <c r="AR100" s="66"/>
      <c r="AS100" s="66"/>
    </row>
    <row r="101" spans="1:45" s="142" customFormat="1">
      <c r="A101" s="66"/>
      <c r="B101" s="66"/>
      <c r="C101" s="66"/>
      <c r="D101" s="66"/>
      <c r="E101" s="66"/>
      <c r="F101" s="66"/>
      <c r="G101" s="66"/>
      <c r="H101" s="66"/>
      <c r="I101" s="66"/>
      <c r="J101" s="66"/>
      <c r="K101" s="66"/>
      <c r="L101" s="66"/>
      <c r="M101" s="66"/>
      <c r="N101" s="66"/>
      <c r="O101" s="66"/>
      <c r="P101" s="66"/>
      <c r="Q101" s="66"/>
      <c r="R101" s="66"/>
      <c r="S101" s="66"/>
      <c r="T101" s="10"/>
      <c r="U101" s="66"/>
      <c r="V101" s="66"/>
      <c r="W101" s="66"/>
      <c r="X101" s="66"/>
      <c r="Y101" s="66"/>
      <c r="Z101" s="66"/>
      <c r="AA101" s="66"/>
      <c r="AB101" s="66"/>
      <c r="AC101" s="66"/>
      <c r="AD101" s="66"/>
      <c r="AE101" s="66"/>
      <c r="AF101" s="66"/>
      <c r="AG101" s="66"/>
      <c r="AH101" s="55"/>
      <c r="AI101" s="55"/>
      <c r="AJ101" s="66"/>
      <c r="AK101" s="66"/>
      <c r="AL101" s="66"/>
      <c r="AM101" s="66"/>
      <c r="AN101" s="66"/>
      <c r="AO101" s="66"/>
      <c r="AP101" s="66"/>
      <c r="AQ101" s="66"/>
      <c r="AR101" s="66"/>
      <c r="AS101" s="66"/>
    </row>
    <row r="102" spans="1:45" s="142" customFormat="1">
      <c r="A102" s="66"/>
      <c r="B102" s="66"/>
      <c r="C102" s="66"/>
      <c r="D102" s="66"/>
      <c r="E102" s="66"/>
      <c r="F102" s="66"/>
      <c r="G102" s="66"/>
      <c r="H102" s="66"/>
      <c r="I102" s="66"/>
      <c r="J102" s="66"/>
      <c r="K102" s="66"/>
      <c r="L102" s="66"/>
      <c r="M102" s="66"/>
      <c r="N102" s="66"/>
      <c r="O102" s="66"/>
      <c r="P102" s="66"/>
      <c r="Q102" s="66"/>
      <c r="R102" s="66"/>
      <c r="S102" s="66"/>
      <c r="T102" s="10"/>
      <c r="U102" s="66"/>
      <c r="V102" s="66"/>
      <c r="W102" s="66"/>
      <c r="X102" s="66"/>
      <c r="Y102" s="66"/>
      <c r="Z102" s="66"/>
      <c r="AA102" s="66"/>
      <c r="AB102" s="66"/>
      <c r="AC102" s="66"/>
      <c r="AD102" s="66"/>
      <c r="AE102" s="66"/>
      <c r="AF102" s="66"/>
      <c r="AG102" s="66"/>
      <c r="AH102" s="55"/>
      <c r="AI102" s="55"/>
      <c r="AJ102" s="66"/>
      <c r="AK102" s="66"/>
      <c r="AL102" s="66"/>
      <c r="AM102" s="66"/>
      <c r="AN102" s="66"/>
      <c r="AO102" s="66"/>
      <c r="AP102" s="66"/>
      <c r="AQ102" s="66"/>
      <c r="AR102" s="66"/>
      <c r="AS102" s="66"/>
    </row>
    <row r="103" spans="1:45" s="142" customFormat="1">
      <c r="A103" s="66"/>
      <c r="B103" s="66"/>
      <c r="C103" s="66"/>
      <c r="D103" s="66"/>
      <c r="E103" s="66"/>
      <c r="F103" s="66"/>
      <c r="G103" s="66"/>
      <c r="H103" s="66"/>
      <c r="I103" s="66"/>
      <c r="J103" s="66"/>
      <c r="K103" s="66"/>
      <c r="L103" s="66"/>
      <c r="M103" s="66"/>
      <c r="N103" s="66"/>
      <c r="O103" s="66"/>
      <c r="P103" s="66"/>
      <c r="Q103" s="66"/>
      <c r="R103" s="66"/>
      <c r="S103" s="66"/>
      <c r="T103" s="10"/>
      <c r="U103" s="66"/>
      <c r="V103" s="66"/>
      <c r="W103" s="66"/>
      <c r="X103" s="66"/>
      <c r="Y103" s="66"/>
      <c r="Z103" s="66"/>
      <c r="AA103" s="66"/>
      <c r="AB103" s="66"/>
      <c r="AC103" s="66"/>
      <c r="AD103" s="66"/>
      <c r="AE103" s="66"/>
      <c r="AF103" s="66"/>
      <c r="AG103" s="66"/>
      <c r="AH103" s="55"/>
      <c r="AI103" s="55"/>
      <c r="AJ103" s="66"/>
      <c r="AK103" s="66"/>
      <c r="AL103" s="66"/>
      <c r="AM103" s="66"/>
      <c r="AN103" s="66"/>
      <c r="AO103" s="66"/>
      <c r="AP103" s="66"/>
      <c r="AQ103" s="66"/>
      <c r="AR103" s="66"/>
      <c r="AS103" s="66"/>
    </row>
    <row r="104" spans="1:45" s="142" customFormat="1">
      <c r="A104" s="66"/>
      <c r="B104" s="66"/>
      <c r="C104" s="66"/>
      <c r="D104" s="66"/>
      <c r="E104" s="66"/>
      <c r="F104" s="66"/>
      <c r="G104" s="66"/>
      <c r="H104" s="66"/>
      <c r="I104" s="66"/>
      <c r="J104" s="66"/>
      <c r="K104" s="66"/>
      <c r="L104" s="66"/>
      <c r="M104" s="66"/>
      <c r="N104" s="66"/>
      <c r="O104" s="66"/>
      <c r="P104" s="66"/>
      <c r="Q104" s="66"/>
      <c r="R104" s="66"/>
      <c r="S104" s="66"/>
      <c r="T104" s="10"/>
      <c r="U104" s="66"/>
      <c r="V104" s="66"/>
      <c r="W104" s="66"/>
      <c r="X104" s="66"/>
      <c r="Y104" s="66"/>
      <c r="Z104" s="66"/>
      <c r="AA104" s="66"/>
      <c r="AB104" s="66"/>
      <c r="AC104" s="66"/>
      <c r="AD104" s="66"/>
      <c r="AE104" s="66"/>
      <c r="AF104" s="66"/>
      <c r="AG104" s="66"/>
      <c r="AH104" s="55"/>
      <c r="AI104" s="55"/>
      <c r="AJ104" s="66"/>
      <c r="AK104" s="66"/>
      <c r="AL104" s="66"/>
      <c r="AM104" s="66"/>
      <c r="AN104" s="66"/>
      <c r="AO104" s="66"/>
      <c r="AP104" s="66"/>
      <c r="AQ104" s="66"/>
      <c r="AR104" s="66"/>
      <c r="AS104" s="66"/>
    </row>
    <row r="105" spans="1:45" s="142" customFormat="1">
      <c r="A105" s="66"/>
      <c r="B105" s="66"/>
      <c r="C105" s="66"/>
      <c r="D105" s="66"/>
      <c r="E105" s="66"/>
      <c r="F105" s="66"/>
      <c r="G105" s="66"/>
      <c r="H105" s="66"/>
      <c r="I105" s="66"/>
      <c r="J105" s="66"/>
      <c r="K105" s="66"/>
      <c r="L105" s="66"/>
      <c r="M105" s="66"/>
      <c r="N105" s="66"/>
      <c r="O105" s="66"/>
      <c r="P105" s="66"/>
      <c r="Q105" s="66"/>
      <c r="R105" s="66"/>
      <c r="S105" s="66"/>
      <c r="T105" s="10"/>
      <c r="U105" s="66"/>
      <c r="V105" s="66"/>
      <c r="W105" s="66"/>
      <c r="X105" s="66"/>
      <c r="Y105" s="66"/>
      <c r="Z105" s="66"/>
      <c r="AA105" s="66"/>
      <c r="AB105" s="66"/>
      <c r="AC105" s="66"/>
      <c r="AD105" s="66"/>
      <c r="AE105" s="66"/>
      <c r="AF105" s="66"/>
      <c r="AG105" s="66"/>
      <c r="AH105" s="55"/>
      <c r="AI105" s="55"/>
      <c r="AJ105" s="66"/>
      <c r="AK105" s="66"/>
      <c r="AL105" s="66"/>
      <c r="AM105" s="66"/>
      <c r="AN105" s="66"/>
      <c r="AO105" s="66"/>
      <c r="AP105" s="66"/>
      <c r="AQ105" s="66"/>
      <c r="AR105" s="66"/>
      <c r="AS105" s="66"/>
    </row>
    <row r="106" spans="1:45" s="142" customFormat="1">
      <c r="A106" s="66"/>
      <c r="B106" s="66"/>
      <c r="C106" s="66"/>
      <c r="D106" s="66"/>
      <c r="E106" s="66"/>
      <c r="F106" s="66"/>
      <c r="G106" s="66"/>
      <c r="H106" s="66"/>
      <c r="I106" s="66"/>
      <c r="J106" s="66"/>
      <c r="K106" s="66"/>
      <c r="L106" s="66"/>
      <c r="M106" s="66"/>
      <c r="N106" s="66"/>
      <c r="O106" s="66"/>
      <c r="P106" s="66"/>
      <c r="Q106" s="66"/>
      <c r="R106" s="66"/>
      <c r="S106" s="66"/>
      <c r="T106" s="10"/>
      <c r="U106" s="66"/>
      <c r="V106" s="66"/>
      <c r="W106" s="66"/>
      <c r="X106" s="66"/>
      <c r="Y106" s="66"/>
      <c r="Z106" s="66"/>
      <c r="AA106" s="66"/>
      <c r="AB106" s="66"/>
      <c r="AC106" s="66"/>
      <c r="AD106" s="66"/>
      <c r="AE106" s="66"/>
      <c r="AF106" s="66"/>
      <c r="AG106" s="66"/>
      <c r="AH106" s="55"/>
      <c r="AI106" s="55"/>
      <c r="AJ106" s="66"/>
      <c r="AK106" s="66"/>
      <c r="AL106" s="66"/>
      <c r="AM106" s="66"/>
      <c r="AN106" s="66"/>
      <c r="AO106" s="66"/>
      <c r="AP106" s="66"/>
      <c r="AQ106" s="66"/>
      <c r="AR106" s="66"/>
      <c r="AS106" s="66"/>
    </row>
    <row r="107" spans="1:45" s="142" customFormat="1">
      <c r="A107" s="66"/>
      <c r="B107" s="66"/>
      <c r="C107" s="66"/>
      <c r="D107" s="66"/>
      <c r="E107" s="66"/>
      <c r="F107" s="66"/>
      <c r="G107" s="66"/>
      <c r="H107" s="66"/>
      <c r="I107" s="66"/>
      <c r="J107" s="66"/>
      <c r="K107" s="66"/>
      <c r="L107" s="66"/>
      <c r="M107" s="66"/>
      <c r="N107" s="66"/>
      <c r="O107" s="66"/>
      <c r="P107" s="66"/>
      <c r="Q107" s="66"/>
      <c r="R107" s="66"/>
      <c r="S107" s="66"/>
      <c r="T107" s="10"/>
      <c r="U107" s="66"/>
      <c r="V107" s="66"/>
      <c r="W107" s="66"/>
      <c r="X107" s="66"/>
      <c r="Y107" s="66"/>
      <c r="Z107" s="66"/>
      <c r="AA107" s="66"/>
      <c r="AB107" s="66"/>
      <c r="AC107" s="66"/>
      <c r="AD107" s="66"/>
      <c r="AE107" s="66"/>
      <c r="AF107" s="66"/>
      <c r="AG107" s="66"/>
      <c r="AH107" s="55"/>
      <c r="AI107" s="55"/>
      <c r="AJ107" s="66"/>
      <c r="AK107" s="66"/>
      <c r="AL107" s="66"/>
      <c r="AM107" s="66"/>
      <c r="AN107" s="66"/>
      <c r="AO107" s="66"/>
      <c r="AP107" s="66"/>
      <c r="AQ107" s="66"/>
      <c r="AR107" s="66"/>
      <c r="AS107" s="66"/>
    </row>
    <row r="108" spans="1:45" s="142" customFormat="1">
      <c r="A108" s="66"/>
      <c r="B108" s="66"/>
      <c r="C108" s="66"/>
      <c r="D108" s="66"/>
      <c r="E108" s="66"/>
      <c r="F108" s="66"/>
      <c r="G108" s="66"/>
      <c r="H108" s="66"/>
      <c r="I108" s="66"/>
      <c r="J108" s="66"/>
      <c r="K108" s="66"/>
      <c r="L108" s="66"/>
      <c r="M108" s="66"/>
      <c r="N108" s="66"/>
      <c r="O108" s="66"/>
      <c r="P108" s="66"/>
      <c r="Q108" s="66"/>
      <c r="R108" s="66"/>
      <c r="S108" s="66"/>
      <c r="T108" s="10"/>
      <c r="U108" s="66"/>
      <c r="V108" s="66"/>
      <c r="W108" s="66"/>
      <c r="X108" s="66"/>
      <c r="Y108" s="66"/>
      <c r="Z108" s="66"/>
      <c r="AA108" s="66"/>
      <c r="AB108" s="66"/>
      <c r="AC108" s="66"/>
      <c r="AD108" s="66"/>
      <c r="AE108" s="66"/>
      <c r="AF108" s="66"/>
      <c r="AG108" s="66"/>
      <c r="AH108" s="55"/>
      <c r="AI108" s="55"/>
      <c r="AJ108" s="66"/>
      <c r="AK108" s="66"/>
      <c r="AL108" s="66"/>
      <c r="AM108" s="66"/>
      <c r="AN108" s="66"/>
      <c r="AO108" s="66"/>
      <c r="AP108" s="66"/>
      <c r="AQ108" s="66"/>
      <c r="AR108" s="66"/>
      <c r="AS108" s="66"/>
    </row>
    <row r="109" spans="1:45" s="142" customFormat="1">
      <c r="A109" s="66"/>
      <c r="B109" s="66"/>
      <c r="C109" s="66"/>
      <c r="D109" s="66"/>
      <c r="E109" s="66"/>
      <c r="F109" s="66"/>
      <c r="G109" s="66"/>
      <c r="H109" s="66"/>
      <c r="I109" s="66"/>
      <c r="J109" s="66"/>
      <c r="K109" s="66"/>
      <c r="L109" s="66"/>
      <c r="M109" s="66"/>
      <c r="N109" s="66"/>
      <c r="O109" s="66"/>
      <c r="P109" s="66"/>
      <c r="Q109" s="66"/>
      <c r="R109" s="66"/>
      <c r="S109" s="66"/>
      <c r="T109" s="10"/>
      <c r="U109" s="66"/>
      <c r="V109" s="66"/>
      <c r="W109" s="66"/>
      <c r="X109" s="66"/>
      <c r="Y109" s="66"/>
      <c r="Z109" s="66"/>
      <c r="AA109" s="66"/>
      <c r="AB109" s="66"/>
      <c r="AC109" s="66"/>
      <c r="AD109" s="66"/>
      <c r="AE109" s="66"/>
      <c r="AF109" s="66"/>
      <c r="AG109" s="66"/>
      <c r="AH109" s="55"/>
      <c r="AI109" s="55"/>
      <c r="AJ109" s="66"/>
      <c r="AK109" s="66"/>
      <c r="AL109" s="66"/>
      <c r="AM109" s="66"/>
      <c r="AN109" s="66"/>
      <c r="AO109" s="66"/>
      <c r="AP109" s="66"/>
      <c r="AQ109" s="66"/>
      <c r="AR109" s="66"/>
      <c r="AS109" s="66"/>
    </row>
    <row r="110" spans="1:45" s="142" customFormat="1">
      <c r="A110" s="66"/>
      <c r="B110" s="66"/>
      <c r="C110" s="66"/>
      <c r="D110" s="66"/>
      <c r="E110" s="66"/>
      <c r="F110" s="66"/>
      <c r="G110" s="66"/>
      <c r="H110" s="66"/>
      <c r="I110" s="66"/>
      <c r="J110" s="66"/>
      <c r="K110" s="66"/>
      <c r="L110" s="66"/>
      <c r="M110" s="66"/>
      <c r="N110" s="66"/>
      <c r="O110" s="66"/>
      <c r="P110" s="66"/>
      <c r="Q110" s="66"/>
      <c r="R110" s="66"/>
      <c r="S110" s="66"/>
      <c r="T110" s="10"/>
      <c r="U110" s="66"/>
      <c r="V110" s="66"/>
      <c r="W110" s="66"/>
      <c r="X110" s="66"/>
      <c r="Y110" s="66"/>
      <c r="Z110" s="66"/>
      <c r="AA110" s="66"/>
      <c r="AB110" s="66"/>
      <c r="AC110" s="66"/>
      <c r="AD110" s="66"/>
      <c r="AE110" s="66"/>
      <c r="AF110" s="66"/>
      <c r="AG110" s="66"/>
      <c r="AH110" s="55"/>
      <c r="AI110" s="55"/>
      <c r="AJ110" s="66"/>
      <c r="AK110" s="66"/>
      <c r="AL110" s="66"/>
      <c r="AM110" s="66"/>
      <c r="AN110" s="66"/>
      <c r="AO110" s="66"/>
      <c r="AP110" s="66"/>
      <c r="AQ110" s="66"/>
      <c r="AR110" s="66"/>
      <c r="AS110" s="66"/>
    </row>
    <row r="111" spans="1:45" s="142" customFormat="1">
      <c r="A111" s="66"/>
      <c r="B111" s="66"/>
      <c r="C111" s="66"/>
      <c r="D111" s="66"/>
      <c r="E111" s="66"/>
      <c r="F111" s="66"/>
      <c r="G111" s="66"/>
      <c r="H111" s="66"/>
      <c r="I111" s="66"/>
      <c r="J111" s="66"/>
      <c r="K111" s="66"/>
      <c r="L111" s="66"/>
      <c r="M111" s="66"/>
      <c r="N111" s="66"/>
      <c r="O111" s="66"/>
      <c r="P111" s="66"/>
      <c r="Q111" s="66"/>
      <c r="R111" s="66"/>
      <c r="S111" s="66"/>
      <c r="T111" s="10"/>
      <c r="U111" s="66"/>
      <c r="V111" s="66"/>
      <c r="W111" s="66"/>
      <c r="X111" s="66"/>
      <c r="Y111" s="66"/>
      <c r="Z111" s="66"/>
      <c r="AA111" s="66"/>
      <c r="AB111" s="66"/>
      <c r="AC111" s="66"/>
      <c r="AD111" s="66"/>
      <c r="AE111" s="66"/>
      <c r="AF111" s="66"/>
      <c r="AG111" s="66"/>
      <c r="AH111" s="55"/>
      <c r="AI111" s="55"/>
      <c r="AJ111" s="66"/>
      <c r="AK111" s="66"/>
      <c r="AL111" s="66"/>
      <c r="AM111" s="66"/>
      <c r="AN111" s="66"/>
      <c r="AO111" s="66"/>
      <c r="AP111" s="66"/>
      <c r="AQ111" s="66"/>
      <c r="AR111" s="66"/>
      <c r="AS111" s="66"/>
    </row>
    <row r="112" spans="1:45" s="142" customFormat="1">
      <c r="A112" s="66"/>
      <c r="B112" s="66"/>
      <c r="C112" s="66"/>
      <c r="D112" s="66"/>
      <c r="E112" s="66"/>
      <c r="F112" s="66"/>
      <c r="G112" s="66"/>
      <c r="H112" s="66"/>
      <c r="I112" s="66"/>
      <c r="J112" s="66"/>
      <c r="K112" s="66"/>
      <c r="L112" s="66"/>
      <c r="M112" s="66"/>
      <c r="N112" s="66"/>
      <c r="O112" s="66"/>
      <c r="P112" s="66"/>
      <c r="Q112" s="66"/>
      <c r="R112" s="66"/>
      <c r="S112" s="66"/>
      <c r="T112" s="10"/>
      <c r="U112" s="66"/>
      <c r="V112" s="66"/>
      <c r="W112" s="66"/>
      <c r="X112" s="66"/>
      <c r="Y112" s="66"/>
      <c r="Z112" s="66"/>
      <c r="AA112" s="66"/>
      <c r="AB112" s="66"/>
      <c r="AC112" s="66"/>
      <c r="AD112" s="66"/>
      <c r="AE112" s="66"/>
      <c r="AF112" s="66"/>
      <c r="AG112" s="66"/>
      <c r="AH112" s="55"/>
      <c r="AI112" s="55"/>
      <c r="AJ112" s="66"/>
      <c r="AK112" s="66"/>
      <c r="AL112" s="66"/>
      <c r="AM112" s="66"/>
      <c r="AN112" s="66"/>
      <c r="AO112" s="66"/>
      <c r="AP112" s="66"/>
      <c r="AQ112" s="66"/>
      <c r="AR112" s="66"/>
      <c r="AS112" s="66"/>
    </row>
    <row r="113" spans="1:45" s="142" customFormat="1">
      <c r="A113" s="66"/>
      <c r="B113" s="66"/>
      <c r="C113" s="66"/>
      <c r="D113" s="66"/>
      <c r="E113" s="66"/>
      <c r="F113" s="66"/>
      <c r="G113" s="66"/>
      <c r="H113" s="66"/>
      <c r="I113" s="66"/>
      <c r="J113" s="66"/>
      <c r="K113" s="66"/>
      <c r="L113" s="66"/>
      <c r="M113" s="66"/>
      <c r="N113" s="66"/>
      <c r="O113" s="66"/>
      <c r="P113" s="66"/>
      <c r="Q113" s="66"/>
      <c r="R113" s="66"/>
      <c r="S113" s="66"/>
      <c r="T113" s="10"/>
      <c r="U113" s="66"/>
      <c r="V113" s="66"/>
      <c r="W113" s="66"/>
      <c r="X113" s="66"/>
      <c r="Y113" s="66"/>
      <c r="Z113" s="66"/>
      <c r="AA113" s="66"/>
      <c r="AB113" s="66"/>
      <c r="AC113" s="66"/>
      <c r="AD113" s="66"/>
      <c r="AE113" s="66"/>
      <c r="AF113" s="66"/>
      <c r="AG113" s="66"/>
      <c r="AH113" s="55"/>
      <c r="AI113" s="55"/>
      <c r="AJ113" s="66"/>
      <c r="AK113" s="66"/>
      <c r="AL113" s="66"/>
      <c r="AM113" s="66"/>
      <c r="AN113" s="66"/>
      <c r="AO113" s="66"/>
      <c r="AP113" s="66"/>
      <c r="AQ113" s="66"/>
      <c r="AR113" s="66"/>
      <c r="AS113" s="66"/>
    </row>
    <row r="114" spans="1:45" s="142" customFormat="1">
      <c r="A114" s="66"/>
      <c r="B114" s="66"/>
      <c r="C114" s="66"/>
      <c r="D114" s="66"/>
      <c r="E114" s="66"/>
      <c r="F114" s="66"/>
      <c r="G114" s="66"/>
      <c r="H114" s="66"/>
      <c r="I114" s="66"/>
      <c r="J114" s="66"/>
      <c r="K114" s="66"/>
      <c r="L114" s="66"/>
      <c r="M114" s="66"/>
      <c r="N114" s="66"/>
      <c r="O114" s="66"/>
      <c r="P114" s="66"/>
      <c r="Q114" s="66"/>
      <c r="R114" s="66"/>
      <c r="S114" s="66"/>
      <c r="T114" s="10"/>
      <c r="U114" s="66"/>
      <c r="V114" s="66"/>
      <c r="W114" s="66"/>
      <c r="X114" s="66"/>
      <c r="Y114" s="66"/>
      <c r="Z114" s="66"/>
      <c r="AA114" s="66"/>
      <c r="AB114" s="66"/>
      <c r="AC114" s="66"/>
      <c r="AD114" s="66"/>
      <c r="AE114" s="66"/>
      <c r="AF114" s="66"/>
      <c r="AG114" s="66"/>
      <c r="AH114" s="55"/>
      <c r="AI114" s="55"/>
      <c r="AJ114" s="66"/>
      <c r="AK114" s="66"/>
      <c r="AL114" s="66"/>
      <c r="AM114" s="66"/>
      <c r="AN114" s="66"/>
      <c r="AO114" s="66"/>
      <c r="AP114" s="66"/>
      <c r="AQ114" s="66"/>
      <c r="AR114" s="66"/>
      <c r="AS114" s="66"/>
    </row>
    <row r="115" spans="1:45" s="142" customFormat="1">
      <c r="A115" s="66"/>
      <c r="B115" s="66"/>
      <c r="C115" s="66"/>
      <c r="D115" s="66"/>
      <c r="E115" s="66"/>
      <c r="F115" s="66"/>
      <c r="G115" s="66"/>
      <c r="H115" s="66"/>
      <c r="I115" s="66"/>
      <c r="J115" s="66"/>
      <c r="K115" s="66"/>
      <c r="L115" s="66"/>
      <c r="M115" s="66"/>
      <c r="N115" s="66"/>
      <c r="O115" s="66"/>
      <c r="P115" s="66"/>
      <c r="Q115" s="66"/>
      <c r="R115" s="66"/>
      <c r="S115" s="66"/>
      <c r="T115" s="10"/>
      <c r="U115" s="66"/>
      <c r="V115" s="66"/>
      <c r="W115" s="66"/>
      <c r="X115" s="66"/>
      <c r="Y115" s="66"/>
      <c r="Z115" s="66"/>
      <c r="AA115" s="66"/>
      <c r="AB115" s="66"/>
      <c r="AC115" s="66"/>
      <c r="AD115" s="66"/>
      <c r="AE115" s="66"/>
      <c r="AF115" s="66"/>
      <c r="AG115" s="66"/>
      <c r="AH115" s="55"/>
      <c r="AI115" s="55"/>
      <c r="AJ115" s="66"/>
      <c r="AK115" s="66"/>
      <c r="AL115" s="66"/>
      <c r="AM115" s="66"/>
      <c r="AN115" s="66"/>
      <c r="AO115" s="66"/>
      <c r="AP115" s="66"/>
      <c r="AQ115" s="66"/>
      <c r="AR115" s="66"/>
      <c r="AS115" s="66"/>
    </row>
    <row r="116" spans="1:45" s="142" customFormat="1">
      <c r="A116" s="66"/>
      <c r="B116" s="66"/>
      <c r="C116" s="66"/>
      <c r="D116" s="66"/>
      <c r="E116" s="66"/>
      <c r="F116" s="66"/>
      <c r="G116" s="66"/>
      <c r="H116" s="66"/>
      <c r="I116" s="66"/>
      <c r="J116" s="66"/>
      <c r="K116" s="66"/>
      <c r="L116" s="66"/>
      <c r="M116" s="66"/>
      <c r="N116" s="66"/>
      <c r="O116" s="66"/>
      <c r="P116" s="66"/>
      <c r="Q116" s="66"/>
      <c r="R116" s="66"/>
      <c r="S116" s="66"/>
      <c r="T116" s="10"/>
      <c r="U116" s="66"/>
      <c r="V116" s="66"/>
      <c r="W116" s="66"/>
      <c r="X116" s="66"/>
      <c r="Y116" s="66"/>
      <c r="Z116" s="66"/>
      <c r="AA116" s="66"/>
      <c r="AB116" s="66"/>
      <c r="AC116" s="66"/>
      <c r="AD116" s="66"/>
      <c r="AE116" s="66"/>
      <c r="AF116" s="66"/>
      <c r="AG116" s="66"/>
      <c r="AH116" s="55"/>
      <c r="AI116" s="55"/>
      <c r="AJ116" s="66"/>
      <c r="AK116" s="66"/>
      <c r="AL116" s="66"/>
      <c r="AM116" s="66"/>
      <c r="AN116" s="66"/>
      <c r="AO116" s="66"/>
      <c r="AP116" s="66"/>
      <c r="AQ116" s="66"/>
      <c r="AR116" s="66"/>
      <c r="AS116" s="66"/>
    </row>
    <row r="117" spans="1:45" s="142" customFormat="1">
      <c r="A117" s="66"/>
      <c r="B117" s="66"/>
      <c r="C117" s="66"/>
      <c r="D117" s="66"/>
      <c r="E117" s="66"/>
      <c r="F117" s="66"/>
      <c r="G117" s="66"/>
      <c r="H117" s="66"/>
      <c r="I117" s="66"/>
      <c r="J117" s="66"/>
      <c r="K117" s="66"/>
      <c r="L117" s="66"/>
      <c r="M117" s="66"/>
      <c r="N117" s="66"/>
      <c r="O117" s="66"/>
      <c r="P117" s="66"/>
      <c r="Q117" s="66"/>
      <c r="R117" s="66"/>
      <c r="S117" s="66"/>
      <c r="T117" s="10"/>
      <c r="U117" s="66"/>
      <c r="V117" s="66"/>
      <c r="W117" s="66"/>
      <c r="X117" s="66"/>
      <c r="Y117" s="66"/>
      <c r="Z117" s="66"/>
      <c r="AA117" s="66"/>
      <c r="AB117" s="66"/>
      <c r="AC117" s="66"/>
      <c r="AD117" s="66"/>
      <c r="AE117" s="66"/>
      <c r="AF117" s="66"/>
      <c r="AG117" s="66"/>
      <c r="AH117" s="55"/>
      <c r="AI117" s="55"/>
      <c r="AJ117" s="66"/>
      <c r="AK117" s="66"/>
      <c r="AL117" s="66"/>
      <c r="AM117" s="66"/>
      <c r="AN117" s="66"/>
      <c r="AO117" s="66"/>
      <c r="AP117" s="66"/>
      <c r="AQ117" s="66"/>
      <c r="AR117" s="66"/>
      <c r="AS117" s="66"/>
    </row>
    <row r="118" spans="1:45" s="142" customFormat="1">
      <c r="A118" s="66"/>
      <c r="B118" s="66"/>
      <c r="C118" s="66"/>
      <c r="D118" s="66"/>
      <c r="E118" s="66"/>
      <c r="F118" s="66"/>
      <c r="G118" s="66"/>
      <c r="H118" s="66"/>
      <c r="I118" s="66"/>
      <c r="J118" s="66"/>
      <c r="K118" s="66"/>
      <c r="L118" s="66"/>
      <c r="M118" s="66"/>
      <c r="N118" s="66"/>
      <c r="O118" s="66"/>
      <c r="P118" s="66"/>
      <c r="Q118" s="66"/>
      <c r="R118" s="66"/>
      <c r="S118" s="66"/>
      <c r="T118" s="10"/>
      <c r="U118" s="66"/>
      <c r="V118" s="66"/>
      <c r="W118" s="66"/>
      <c r="X118" s="66"/>
      <c r="Y118" s="66"/>
      <c r="Z118" s="66"/>
      <c r="AA118" s="66"/>
      <c r="AB118" s="66"/>
      <c r="AC118" s="66"/>
      <c r="AD118" s="66"/>
      <c r="AE118" s="66"/>
      <c r="AF118" s="66"/>
      <c r="AG118" s="66"/>
      <c r="AH118" s="55"/>
      <c r="AI118" s="55"/>
      <c r="AJ118" s="66"/>
      <c r="AK118" s="66"/>
      <c r="AL118" s="66"/>
      <c r="AM118" s="66"/>
      <c r="AN118" s="66"/>
      <c r="AO118" s="66"/>
      <c r="AP118" s="66"/>
      <c r="AQ118" s="66"/>
      <c r="AR118" s="66"/>
      <c r="AS118" s="66"/>
    </row>
    <row r="119" spans="1:45" s="142" customFormat="1">
      <c r="A119" s="66"/>
      <c r="B119" s="66"/>
      <c r="C119" s="66"/>
      <c r="D119" s="66"/>
      <c r="E119" s="66"/>
      <c r="F119" s="66"/>
      <c r="G119" s="66"/>
      <c r="H119" s="66"/>
      <c r="I119" s="66"/>
      <c r="J119" s="66"/>
      <c r="K119" s="66"/>
      <c r="L119" s="66"/>
      <c r="M119" s="66"/>
      <c r="N119" s="66"/>
      <c r="O119" s="66"/>
      <c r="P119" s="66"/>
      <c r="Q119" s="66"/>
      <c r="R119" s="66"/>
      <c r="S119" s="66"/>
      <c r="T119" s="10"/>
      <c r="U119" s="66"/>
      <c r="V119" s="66"/>
      <c r="W119" s="66"/>
      <c r="X119" s="66"/>
      <c r="Y119" s="66"/>
      <c r="Z119" s="66"/>
      <c r="AA119" s="66"/>
      <c r="AB119" s="66"/>
      <c r="AC119" s="66"/>
      <c r="AD119" s="66"/>
      <c r="AE119" s="66"/>
      <c r="AF119" s="66"/>
      <c r="AG119" s="66"/>
      <c r="AH119" s="55"/>
      <c r="AI119" s="55"/>
      <c r="AJ119" s="66"/>
      <c r="AK119" s="66"/>
      <c r="AL119" s="66"/>
      <c r="AM119" s="66"/>
      <c r="AN119" s="66"/>
      <c r="AO119" s="66"/>
      <c r="AP119" s="66"/>
      <c r="AQ119" s="66"/>
      <c r="AR119" s="66"/>
      <c r="AS119" s="66"/>
    </row>
    <row r="120" spans="1:45" s="142" customFormat="1">
      <c r="A120" s="66"/>
      <c r="B120" s="66"/>
      <c r="C120" s="66"/>
      <c r="D120" s="66"/>
      <c r="E120" s="66"/>
      <c r="F120" s="66"/>
      <c r="G120" s="66"/>
      <c r="H120" s="66"/>
      <c r="I120" s="66"/>
      <c r="J120" s="66"/>
      <c r="K120" s="66"/>
      <c r="L120" s="66"/>
      <c r="M120" s="66"/>
      <c r="N120" s="66"/>
      <c r="O120" s="66"/>
      <c r="P120" s="66"/>
      <c r="Q120" s="66"/>
      <c r="R120" s="66"/>
      <c r="S120" s="66"/>
      <c r="T120" s="10"/>
      <c r="U120" s="66"/>
      <c r="V120" s="66"/>
      <c r="W120" s="66"/>
      <c r="X120" s="66"/>
      <c r="Y120" s="66"/>
      <c r="Z120" s="66"/>
      <c r="AA120" s="66"/>
      <c r="AB120" s="66"/>
      <c r="AC120" s="66"/>
      <c r="AD120" s="66"/>
      <c r="AE120" s="66"/>
      <c r="AF120" s="66"/>
      <c r="AG120" s="66"/>
      <c r="AH120" s="55"/>
      <c r="AI120" s="55"/>
      <c r="AJ120" s="66"/>
      <c r="AK120" s="66"/>
      <c r="AL120" s="66"/>
      <c r="AM120" s="66"/>
      <c r="AN120" s="66"/>
      <c r="AO120" s="66"/>
      <c r="AP120" s="66"/>
      <c r="AQ120" s="66"/>
      <c r="AR120" s="66"/>
      <c r="AS120" s="66"/>
    </row>
    <row r="121" spans="1:45" s="142" customFormat="1">
      <c r="A121" s="66"/>
      <c r="B121" s="66"/>
      <c r="C121" s="66"/>
      <c r="D121" s="66"/>
      <c r="E121" s="66"/>
      <c r="F121" s="66"/>
      <c r="G121" s="66"/>
      <c r="H121" s="66"/>
      <c r="I121" s="66"/>
      <c r="J121" s="66"/>
      <c r="K121" s="66"/>
      <c r="L121" s="66"/>
      <c r="M121" s="66"/>
      <c r="N121" s="66"/>
      <c r="O121" s="66"/>
      <c r="P121" s="66"/>
      <c r="Q121" s="66"/>
      <c r="R121" s="66"/>
      <c r="S121" s="66"/>
      <c r="T121" s="10"/>
      <c r="U121" s="66"/>
      <c r="V121" s="66"/>
      <c r="W121" s="66"/>
      <c r="X121" s="66"/>
      <c r="Y121" s="66"/>
      <c r="Z121" s="66"/>
      <c r="AA121" s="66"/>
      <c r="AB121" s="66"/>
      <c r="AC121" s="66"/>
      <c r="AD121" s="66"/>
      <c r="AE121" s="66"/>
      <c r="AF121" s="66"/>
      <c r="AG121" s="66"/>
      <c r="AH121" s="55"/>
      <c r="AI121" s="55"/>
      <c r="AJ121" s="66"/>
      <c r="AK121" s="66"/>
      <c r="AL121" s="66"/>
      <c r="AM121" s="66"/>
      <c r="AN121" s="66"/>
      <c r="AO121" s="66"/>
      <c r="AP121" s="66"/>
      <c r="AQ121" s="66"/>
      <c r="AR121" s="66"/>
      <c r="AS121" s="66"/>
    </row>
    <row r="122" spans="1:45" s="142" customFormat="1">
      <c r="A122" s="66"/>
      <c r="B122" s="66"/>
      <c r="C122" s="66"/>
      <c r="D122" s="66"/>
      <c r="E122" s="66"/>
      <c r="F122" s="66"/>
      <c r="G122" s="66"/>
      <c r="H122" s="66"/>
      <c r="I122" s="66"/>
      <c r="J122" s="66"/>
      <c r="K122" s="66"/>
      <c r="L122" s="66"/>
      <c r="M122" s="66"/>
      <c r="N122" s="66"/>
      <c r="O122" s="66"/>
      <c r="P122" s="66"/>
      <c r="Q122" s="66"/>
      <c r="R122" s="66"/>
      <c r="S122" s="66"/>
      <c r="T122" s="10"/>
      <c r="U122" s="66"/>
      <c r="V122" s="66"/>
      <c r="W122" s="66"/>
      <c r="X122" s="66"/>
      <c r="Y122" s="66"/>
      <c r="Z122" s="66"/>
      <c r="AA122" s="66"/>
      <c r="AB122" s="66"/>
      <c r="AC122" s="66"/>
      <c r="AD122" s="66"/>
      <c r="AE122" s="66"/>
      <c r="AF122" s="66"/>
      <c r="AG122" s="66"/>
      <c r="AH122" s="55"/>
      <c r="AI122" s="55"/>
      <c r="AJ122" s="66"/>
      <c r="AK122" s="66"/>
      <c r="AL122" s="66"/>
      <c r="AM122" s="66"/>
      <c r="AN122" s="66"/>
      <c r="AO122" s="66"/>
      <c r="AP122" s="66"/>
      <c r="AQ122" s="66"/>
      <c r="AR122" s="66"/>
      <c r="AS122" s="66"/>
    </row>
    <row r="123" spans="1:45" s="142" customFormat="1">
      <c r="A123" s="66"/>
      <c r="B123" s="66"/>
      <c r="C123" s="66"/>
      <c r="D123" s="66"/>
      <c r="E123" s="66"/>
      <c r="F123" s="66"/>
      <c r="G123" s="66"/>
      <c r="H123" s="66"/>
      <c r="I123" s="66"/>
      <c r="J123" s="66"/>
      <c r="K123" s="66"/>
      <c r="L123" s="66"/>
      <c r="M123" s="66"/>
      <c r="N123" s="66"/>
      <c r="O123" s="66"/>
      <c r="P123" s="66"/>
      <c r="Q123" s="66"/>
      <c r="R123" s="66"/>
      <c r="S123" s="66"/>
      <c r="T123" s="10"/>
      <c r="U123" s="66"/>
      <c r="V123" s="66"/>
      <c r="W123" s="66"/>
      <c r="X123" s="66"/>
      <c r="Y123" s="66"/>
      <c r="Z123" s="66"/>
      <c r="AA123" s="66"/>
      <c r="AB123" s="66"/>
      <c r="AC123" s="66"/>
      <c r="AD123" s="66"/>
      <c r="AE123" s="66"/>
      <c r="AF123" s="66"/>
      <c r="AG123" s="66"/>
      <c r="AH123" s="55"/>
      <c r="AI123" s="55"/>
      <c r="AJ123" s="66"/>
      <c r="AK123" s="66"/>
      <c r="AL123" s="66"/>
      <c r="AM123" s="66"/>
      <c r="AN123" s="66"/>
      <c r="AO123" s="66"/>
      <c r="AP123" s="66"/>
      <c r="AQ123" s="66"/>
      <c r="AR123" s="66"/>
      <c r="AS123" s="66"/>
    </row>
    <row r="124" spans="1:45" s="142" customFormat="1">
      <c r="A124" s="66"/>
      <c r="B124" s="66"/>
      <c r="C124" s="66"/>
      <c r="D124" s="66"/>
      <c r="E124" s="66"/>
      <c r="F124" s="66"/>
      <c r="G124" s="66"/>
      <c r="H124" s="66"/>
      <c r="I124" s="66"/>
      <c r="J124" s="66"/>
      <c r="K124" s="66"/>
      <c r="L124" s="66"/>
      <c r="M124" s="66"/>
      <c r="N124" s="66"/>
      <c r="O124" s="66"/>
      <c r="P124" s="66"/>
      <c r="Q124" s="66"/>
      <c r="R124" s="66"/>
      <c r="S124" s="66"/>
      <c r="T124" s="10"/>
      <c r="U124" s="66"/>
      <c r="V124" s="66"/>
      <c r="W124" s="66"/>
      <c r="X124" s="66"/>
      <c r="Y124" s="66"/>
      <c r="Z124" s="66"/>
      <c r="AA124" s="66"/>
      <c r="AB124" s="66"/>
      <c r="AC124" s="66"/>
      <c r="AD124" s="66"/>
      <c r="AE124" s="66"/>
      <c r="AF124" s="66"/>
      <c r="AG124" s="66"/>
      <c r="AH124" s="55"/>
      <c r="AI124" s="55"/>
      <c r="AJ124" s="66"/>
      <c r="AK124" s="66"/>
      <c r="AL124" s="66"/>
      <c r="AM124" s="66"/>
      <c r="AN124" s="66"/>
      <c r="AO124" s="66"/>
      <c r="AP124" s="66"/>
      <c r="AQ124" s="66"/>
      <c r="AR124" s="66"/>
      <c r="AS124" s="66"/>
    </row>
    <row r="125" spans="1:45" s="142" customFormat="1">
      <c r="A125" s="66"/>
      <c r="B125" s="66"/>
      <c r="C125" s="66"/>
      <c r="D125" s="66"/>
      <c r="E125" s="66"/>
      <c r="F125" s="66"/>
      <c r="G125" s="66"/>
      <c r="H125" s="66"/>
      <c r="I125" s="66"/>
      <c r="J125" s="66"/>
      <c r="K125" s="66"/>
      <c r="L125" s="66"/>
      <c r="M125" s="66"/>
      <c r="N125" s="66"/>
      <c r="O125" s="66"/>
      <c r="P125" s="66"/>
      <c r="Q125" s="66"/>
      <c r="R125" s="66"/>
      <c r="S125" s="66"/>
      <c r="T125" s="10"/>
      <c r="U125" s="66"/>
      <c r="V125" s="66"/>
      <c r="W125" s="66"/>
      <c r="X125" s="66"/>
      <c r="Y125" s="66"/>
      <c r="Z125" s="66"/>
      <c r="AA125" s="66"/>
      <c r="AB125" s="66"/>
      <c r="AC125" s="66"/>
      <c r="AD125" s="66"/>
      <c r="AE125" s="66"/>
      <c r="AF125" s="66"/>
      <c r="AG125" s="66"/>
      <c r="AH125" s="55"/>
      <c r="AI125" s="55"/>
      <c r="AJ125" s="66"/>
      <c r="AK125" s="66"/>
      <c r="AL125" s="66"/>
      <c r="AM125" s="66"/>
      <c r="AN125" s="66"/>
      <c r="AO125" s="66"/>
      <c r="AP125" s="66"/>
      <c r="AQ125" s="66"/>
      <c r="AR125" s="66"/>
      <c r="AS125" s="66"/>
    </row>
    <row r="126" spans="1:45" s="142" customFormat="1">
      <c r="A126" s="66"/>
      <c r="B126" s="66"/>
      <c r="C126" s="66"/>
      <c r="D126" s="66"/>
      <c r="E126" s="66"/>
      <c r="F126" s="66"/>
      <c r="G126" s="66"/>
      <c r="H126" s="66"/>
      <c r="I126" s="66"/>
      <c r="J126" s="66"/>
      <c r="K126" s="66"/>
      <c r="L126" s="66"/>
      <c r="M126" s="66"/>
      <c r="N126" s="66"/>
      <c r="O126" s="66"/>
      <c r="P126" s="66"/>
      <c r="Q126" s="66"/>
      <c r="R126" s="66"/>
      <c r="S126" s="66"/>
      <c r="T126" s="10"/>
      <c r="U126" s="66"/>
      <c r="V126" s="66"/>
      <c r="W126" s="66"/>
      <c r="X126" s="66"/>
      <c r="Y126" s="66"/>
      <c r="Z126" s="66"/>
      <c r="AA126" s="66"/>
      <c r="AB126" s="66"/>
      <c r="AC126" s="66"/>
      <c r="AD126" s="66"/>
      <c r="AE126" s="66"/>
      <c r="AF126" s="66"/>
      <c r="AG126" s="66"/>
      <c r="AH126" s="55"/>
      <c r="AI126" s="55"/>
      <c r="AJ126" s="66"/>
      <c r="AK126" s="66"/>
      <c r="AL126" s="66"/>
      <c r="AM126" s="66"/>
      <c r="AN126" s="66"/>
      <c r="AO126" s="66"/>
      <c r="AP126" s="66"/>
      <c r="AQ126" s="66"/>
      <c r="AR126" s="66"/>
      <c r="AS126" s="66"/>
    </row>
    <row r="127" spans="1:45" s="142" customFormat="1">
      <c r="A127" s="66"/>
      <c r="B127" s="66"/>
      <c r="C127" s="66"/>
      <c r="D127" s="66"/>
      <c r="E127" s="66"/>
      <c r="F127" s="66"/>
      <c r="G127" s="66"/>
      <c r="H127" s="66"/>
      <c r="I127" s="66"/>
      <c r="J127" s="66"/>
      <c r="K127" s="66"/>
      <c r="L127" s="66"/>
      <c r="M127" s="66"/>
      <c r="N127" s="66"/>
      <c r="O127" s="66"/>
      <c r="P127" s="66"/>
      <c r="Q127" s="66"/>
      <c r="R127" s="66"/>
      <c r="S127" s="66"/>
      <c r="T127" s="10"/>
      <c r="U127" s="66"/>
      <c r="V127" s="66"/>
      <c r="W127" s="66"/>
      <c r="X127" s="66"/>
      <c r="Y127" s="66"/>
      <c r="Z127" s="66"/>
      <c r="AA127" s="66"/>
      <c r="AB127" s="66"/>
      <c r="AC127" s="66"/>
      <c r="AD127" s="66"/>
      <c r="AE127" s="66"/>
      <c r="AF127" s="66"/>
      <c r="AG127" s="66"/>
      <c r="AH127" s="55"/>
      <c r="AI127" s="55"/>
      <c r="AJ127" s="66"/>
      <c r="AK127" s="66"/>
      <c r="AL127" s="66"/>
      <c r="AM127" s="66"/>
      <c r="AN127" s="66"/>
      <c r="AO127" s="66"/>
      <c r="AP127" s="66"/>
      <c r="AQ127" s="66"/>
      <c r="AR127" s="66"/>
      <c r="AS127" s="66"/>
    </row>
    <row r="128" spans="1:45" s="142" customFormat="1">
      <c r="A128" s="66"/>
      <c r="B128" s="66"/>
      <c r="C128" s="66"/>
      <c r="D128" s="66"/>
      <c r="E128" s="66"/>
      <c r="F128" s="66"/>
      <c r="G128" s="66"/>
      <c r="H128" s="66"/>
      <c r="I128" s="66"/>
      <c r="J128" s="66"/>
      <c r="K128" s="66"/>
      <c r="L128" s="66"/>
      <c r="M128" s="66"/>
      <c r="N128" s="66"/>
      <c r="O128" s="66"/>
      <c r="P128" s="66"/>
      <c r="Q128" s="66"/>
      <c r="R128" s="66"/>
      <c r="S128" s="66"/>
      <c r="T128" s="10"/>
      <c r="U128" s="66"/>
      <c r="V128" s="66"/>
      <c r="W128" s="66"/>
      <c r="X128" s="66"/>
      <c r="Y128" s="66"/>
      <c r="Z128" s="66"/>
      <c r="AA128" s="66"/>
      <c r="AB128" s="66"/>
      <c r="AC128" s="66"/>
      <c r="AD128" s="66"/>
      <c r="AE128" s="66"/>
      <c r="AF128" s="66"/>
      <c r="AG128" s="66"/>
      <c r="AH128" s="55"/>
      <c r="AI128" s="55"/>
      <c r="AJ128" s="66"/>
      <c r="AK128" s="66"/>
      <c r="AL128" s="66"/>
      <c r="AM128" s="66"/>
      <c r="AN128" s="66"/>
      <c r="AO128" s="66"/>
      <c r="AP128" s="66"/>
      <c r="AQ128" s="66"/>
      <c r="AR128" s="66"/>
      <c r="AS128" s="66"/>
    </row>
    <row r="129" spans="1:45" s="142" customFormat="1">
      <c r="A129" s="66"/>
      <c r="B129" s="66"/>
      <c r="C129" s="66"/>
      <c r="D129" s="66"/>
      <c r="E129" s="66"/>
      <c r="F129" s="66"/>
      <c r="G129" s="66"/>
      <c r="H129" s="66"/>
      <c r="I129" s="66"/>
      <c r="J129" s="66"/>
      <c r="K129" s="66"/>
      <c r="L129" s="66"/>
      <c r="M129" s="66"/>
      <c r="N129" s="66"/>
      <c r="O129" s="66"/>
      <c r="P129" s="66"/>
      <c r="Q129" s="66"/>
      <c r="R129" s="66"/>
      <c r="S129" s="66"/>
      <c r="T129" s="10"/>
      <c r="U129" s="66"/>
      <c r="V129" s="66"/>
      <c r="W129" s="66"/>
      <c r="X129" s="66"/>
      <c r="Y129" s="66"/>
      <c r="Z129" s="66"/>
      <c r="AA129" s="66"/>
      <c r="AB129" s="66"/>
      <c r="AC129" s="66"/>
      <c r="AD129" s="66"/>
      <c r="AE129" s="66"/>
      <c r="AF129" s="66"/>
      <c r="AG129" s="66"/>
      <c r="AH129" s="55"/>
      <c r="AI129" s="55"/>
      <c r="AJ129" s="66"/>
      <c r="AK129" s="66"/>
      <c r="AL129" s="66"/>
      <c r="AM129" s="66"/>
      <c r="AN129" s="66"/>
      <c r="AO129" s="66"/>
      <c r="AP129" s="66"/>
      <c r="AQ129" s="66"/>
      <c r="AR129" s="66"/>
      <c r="AS129" s="66"/>
    </row>
    <row r="130" spans="1:45" s="142" customFormat="1">
      <c r="A130" s="66"/>
      <c r="B130" s="66"/>
      <c r="C130" s="66"/>
      <c r="D130" s="66"/>
      <c r="E130" s="66"/>
      <c r="F130" s="66"/>
      <c r="G130" s="66"/>
      <c r="H130" s="66"/>
      <c r="I130" s="66"/>
      <c r="J130" s="66"/>
      <c r="K130" s="66"/>
      <c r="L130" s="66"/>
      <c r="M130" s="66"/>
      <c r="N130" s="66"/>
      <c r="O130" s="66"/>
      <c r="P130" s="66"/>
      <c r="Q130" s="66"/>
      <c r="R130" s="66"/>
      <c r="S130" s="66"/>
      <c r="T130" s="10"/>
      <c r="U130" s="66"/>
      <c r="V130" s="66"/>
      <c r="W130" s="66"/>
      <c r="X130" s="66"/>
      <c r="Y130" s="66"/>
      <c r="Z130" s="66"/>
      <c r="AA130" s="66"/>
      <c r="AB130" s="66"/>
      <c r="AC130" s="66"/>
      <c r="AD130" s="66"/>
      <c r="AE130" s="66"/>
      <c r="AF130" s="66"/>
      <c r="AG130" s="66"/>
      <c r="AH130" s="55"/>
      <c r="AI130" s="55"/>
      <c r="AJ130" s="66"/>
      <c r="AK130" s="66"/>
      <c r="AL130" s="66"/>
      <c r="AM130" s="66"/>
      <c r="AN130" s="66"/>
      <c r="AO130" s="66"/>
      <c r="AP130" s="66"/>
      <c r="AQ130" s="66"/>
      <c r="AR130" s="66"/>
      <c r="AS130" s="66"/>
    </row>
    <row r="131" spans="1:45" s="142" customFormat="1">
      <c r="A131" s="66"/>
      <c r="B131" s="66"/>
      <c r="C131" s="66"/>
      <c r="D131" s="66"/>
      <c r="E131" s="66"/>
      <c r="F131" s="66"/>
      <c r="G131" s="66"/>
      <c r="H131" s="66"/>
      <c r="I131" s="66"/>
      <c r="J131" s="66"/>
      <c r="K131" s="66"/>
      <c r="L131" s="66"/>
      <c r="M131" s="66"/>
      <c r="N131" s="66"/>
      <c r="O131" s="66"/>
      <c r="P131" s="66"/>
      <c r="Q131" s="66"/>
      <c r="R131" s="66"/>
      <c r="S131" s="66"/>
      <c r="T131" s="10"/>
      <c r="U131" s="66"/>
      <c r="V131" s="66"/>
      <c r="W131" s="66"/>
      <c r="X131" s="66"/>
      <c r="Y131" s="66"/>
      <c r="Z131" s="66"/>
      <c r="AA131" s="66"/>
      <c r="AB131" s="66"/>
      <c r="AC131" s="66"/>
      <c r="AD131" s="66"/>
      <c r="AE131" s="66"/>
      <c r="AF131" s="66"/>
      <c r="AG131" s="66"/>
      <c r="AH131" s="55"/>
      <c r="AI131" s="55"/>
      <c r="AJ131" s="66"/>
      <c r="AK131" s="66"/>
      <c r="AL131" s="66"/>
      <c r="AM131" s="66"/>
      <c r="AN131" s="66"/>
      <c r="AO131" s="66"/>
      <c r="AP131" s="66"/>
      <c r="AQ131" s="66"/>
      <c r="AR131" s="66"/>
      <c r="AS131" s="66"/>
    </row>
    <row r="132" spans="1:45" s="142" customFormat="1">
      <c r="A132" s="66"/>
      <c r="B132" s="66"/>
      <c r="C132" s="66"/>
      <c r="D132" s="66"/>
      <c r="E132" s="66"/>
      <c r="F132" s="66"/>
      <c r="G132" s="66"/>
      <c r="H132" s="66"/>
      <c r="I132" s="66"/>
      <c r="J132" s="66"/>
      <c r="K132" s="66"/>
      <c r="L132" s="66"/>
      <c r="M132" s="66"/>
      <c r="N132" s="66"/>
      <c r="O132" s="66"/>
      <c r="P132" s="66"/>
      <c r="Q132" s="66"/>
      <c r="R132" s="66"/>
      <c r="S132" s="66"/>
      <c r="T132" s="10"/>
      <c r="U132" s="66"/>
      <c r="V132" s="66"/>
      <c r="W132" s="66"/>
      <c r="X132" s="66"/>
      <c r="Y132" s="66"/>
      <c r="Z132" s="66"/>
      <c r="AA132" s="66"/>
      <c r="AB132" s="66"/>
      <c r="AC132" s="66"/>
      <c r="AD132" s="66"/>
      <c r="AE132" s="66"/>
      <c r="AF132" s="66"/>
      <c r="AG132" s="66"/>
      <c r="AH132" s="55"/>
      <c r="AI132" s="55"/>
      <c r="AJ132" s="66"/>
      <c r="AK132" s="66"/>
      <c r="AL132" s="66"/>
      <c r="AM132" s="66"/>
      <c r="AN132" s="66"/>
      <c r="AO132" s="66"/>
      <c r="AP132" s="66"/>
      <c r="AQ132" s="66"/>
      <c r="AR132" s="66"/>
      <c r="AS132" s="66"/>
    </row>
    <row r="133" spans="1:45" s="142" customFormat="1">
      <c r="A133" s="66"/>
      <c r="B133" s="66"/>
      <c r="C133" s="66"/>
      <c r="D133" s="66"/>
      <c r="E133" s="66"/>
      <c r="F133" s="66"/>
      <c r="G133" s="66"/>
      <c r="H133" s="66"/>
      <c r="I133" s="66"/>
      <c r="J133" s="66"/>
      <c r="K133" s="66"/>
      <c r="L133" s="66"/>
      <c r="M133" s="66"/>
      <c r="N133" s="66"/>
      <c r="O133" s="66"/>
      <c r="P133" s="66"/>
      <c r="Q133" s="66"/>
      <c r="R133" s="66"/>
      <c r="S133" s="66"/>
      <c r="T133" s="10"/>
      <c r="U133" s="66"/>
      <c r="V133" s="66"/>
      <c r="W133" s="66"/>
      <c r="X133" s="66"/>
      <c r="Y133" s="66"/>
      <c r="Z133" s="66"/>
      <c r="AA133" s="66"/>
      <c r="AB133" s="66"/>
      <c r="AC133" s="66"/>
      <c r="AD133" s="66"/>
      <c r="AE133" s="66"/>
      <c r="AF133" s="66"/>
      <c r="AG133" s="66"/>
      <c r="AH133" s="55"/>
      <c r="AI133" s="55"/>
      <c r="AJ133" s="66"/>
      <c r="AK133" s="66"/>
      <c r="AL133" s="66"/>
      <c r="AM133" s="66"/>
      <c r="AN133" s="66"/>
      <c r="AO133" s="66"/>
      <c r="AP133" s="66"/>
      <c r="AQ133" s="66"/>
      <c r="AR133" s="66"/>
      <c r="AS133" s="66"/>
    </row>
    <row r="134" spans="1:45" s="142" customFormat="1">
      <c r="A134" s="66"/>
      <c r="B134" s="66"/>
      <c r="C134" s="66"/>
      <c r="D134" s="66"/>
      <c r="E134" s="66"/>
      <c r="F134" s="66"/>
      <c r="G134" s="66"/>
      <c r="H134" s="66"/>
      <c r="I134" s="66"/>
      <c r="J134" s="66"/>
      <c r="K134" s="66"/>
      <c r="L134" s="66"/>
      <c r="M134" s="66"/>
      <c r="N134" s="66"/>
      <c r="O134" s="66"/>
      <c r="P134" s="66"/>
      <c r="Q134" s="66"/>
      <c r="R134" s="66"/>
      <c r="S134" s="66"/>
      <c r="T134" s="10"/>
      <c r="U134" s="66"/>
      <c r="V134" s="66"/>
      <c r="W134" s="66"/>
      <c r="X134" s="66"/>
      <c r="Y134" s="66"/>
      <c r="Z134" s="66"/>
      <c r="AA134" s="66"/>
      <c r="AB134" s="66"/>
      <c r="AC134" s="66"/>
      <c r="AD134" s="66"/>
      <c r="AE134" s="66"/>
      <c r="AF134" s="66"/>
      <c r="AG134" s="66"/>
      <c r="AH134" s="55"/>
      <c r="AI134" s="55"/>
      <c r="AJ134" s="66"/>
      <c r="AK134" s="66"/>
      <c r="AL134" s="66"/>
      <c r="AM134" s="66"/>
      <c r="AN134" s="66"/>
      <c r="AO134" s="66"/>
      <c r="AP134" s="66"/>
      <c r="AQ134" s="66"/>
      <c r="AR134" s="66"/>
      <c r="AS134" s="66"/>
    </row>
    <row r="135" spans="1:45" s="142" customFormat="1">
      <c r="A135" s="66"/>
      <c r="B135" s="66"/>
      <c r="C135" s="66"/>
      <c r="D135" s="66"/>
      <c r="E135" s="66"/>
      <c r="F135" s="66"/>
      <c r="G135" s="66"/>
      <c r="H135" s="66"/>
      <c r="I135" s="66"/>
      <c r="J135" s="66"/>
      <c r="K135" s="66"/>
      <c r="L135" s="66"/>
      <c r="M135" s="66"/>
      <c r="N135" s="66"/>
      <c r="O135" s="66"/>
      <c r="P135" s="66"/>
      <c r="Q135" s="66"/>
      <c r="R135" s="66"/>
      <c r="S135" s="66"/>
      <c r="T135" s="10"/>
      <c r="U135" s="66"/>
      <c r="V135" s="66"/>
      <c r="W135" s="66"/>
      <c r="X135" s="66"/>
      <c r="Y135" s="66"/>
      <c r="Z135" s="66"/>
      <c r="AA135" s="66"/>
      <c r="AB135" s="66"/>
      <c r="AC135" s="66"/>
      <c r="AD135" s="66"/>
      <c r="AE135" s="66"/>
      <c r="AF135" s="66"/>
      <c r="AG135" s="66"/>
      <c r="AH135" s="55"/>
      <c r="AI135" s="55"/>
      <c r="AJ135" s="66"/>
      <c r="AK135" s="66"/>
      <c r="AL135" s="66"/>
      <c r="AM135" s="66"/>
      <c r="AN135" s="66"/>
      <c r="AO135" s="66"/>
      <c r="AP135" s="66"/>
      <c r="AQ135" s="66"/>
      <c r="AR135" s="66"/>
      <c r="AS135" s="66"/>
    </row>
    <row r="136" spans="1:45" s="142" customFormat="1">
      <c r="A136" s="66"/>
      <c r="B136" s="66"/>
      <c r="C136" s="66"/>
      <c r="D136" s="66"/>
      <c r="E136" s="66"/>
      <c r="F136" s="66"/>
      <c r="G136" s="66"/>
      <c r="H136" s="66"/>
      <c r="I136" s="66"/>
      <c r="J136" s="66"/>
      <c r="K136" s="66"/>
      <c r="L136" s="66"/>
      <c r="M136" s="66"/>
      <c r="N136" s="66"/>
      <c r="O136" s="66"/>
      <c r="P136" s="66"/>
      <c r="Q136" s="66"/>
      <c r="R136" s="66"/>
      <c r="S136" s="66"/>
      <c r="T136" s="10"/>
      <c r="U136" s="66"/>
      <c r="V136" s="66"/>
      <c r="W136" s="66"/>
      <c r="X136" s="66"/>
      <c r="Y136" s="66"/>
      <c r="Z136" s="66"/>
      <c r="AA136" s="66"/>
      <c r="AB136" s="66"/>
      <c r="AC136" s="66"/>
      <c r="AD136" s="66"/>
      <c r="AE136" s="66"/>
      <c r="AF136" s="66"/>
      <c r="AG136" s="66"/>
      <c r="AH136" s="55"/>
      <c r="AI136" s="55"/>
      <c r="AJ136" s="66"/>
      <c r="AK136" s="66"/>
      <c r="AL136" s="66"/>
      <c r="AM136" s="66"/>
      <c r="AN136" s="66"/>
      <c r="AO136" s="66"/>
      <c r="AP136" s="66"/>
      <c r="AQ136" s="66"/>
      <c r="AR136" s="66"/>
      <c r="AS136" s="66"/>
    </row>
    <row r="137" spans="1:45" s="142" customFormat="1">
      <c r="A137" s="66"/>
      <c r="B137" s="66"/>
      <c r="C137" s="66"/>
      <c r="D137" s="66"/>
      <c r="E137" s="66"/>
      <c r="F137" s="66"/>
      <c r="G137" s="66"/>
      <c r="H137" s="66"/>
      <c r="I137" s="66"/>
      <c r="J137" s="66"/>
      <c r="K137" s="66"/>
      <c r="L137" s="66"/>
      <c r="M137" s="66"/>
      <c r="N137" s="66"/>
      <c r="O137" s="66"/>
      <c r="P137" s="66"/>
      <c r="Q137" s="66"/>
      <c r="R137" s="66"/>
      <c r="S137" s="66"/>
      <c r="T137" s="10"/>
      <c r="U137" s="66"/>
      <c r="V137" s="66"/>
      <c r="W137" s="66"/>
      <c r="X137" s="66"/>
      <c r="Y137" s="66"/>
      <c r="Z137" s="66"/>
      <c r="AA137" s="66"/>
      <c r="AB137" s="66"/>
      <c r="AC137" s="66"/>
      <c r="AD137" s="66"/>
      <c r="AE137" s="66"/>
      <c r="AF137" s="66"/>
      <c r="AG137" s="66"/>
      <c r="AH137" s="55"/>
      <c r="AI137" s="55"/>
      <c r="AJ137" s="66"/>
      <c r="AK137" s="66"/>
      <c r="AL137" s="66"/>
      <c r="AM137" s="66"/>
      <c r="AN137" s="66"/>
      <c r="AO137" s="66"/>
      <c r="AP137" s="66"/>
      <c r="AQ137" s="66"/>
      <c r="AR137" s="66"/>
      <c r="AS137" s="66"/>
    </row>
    <row r="138" spans="1:45" s="142" customFormat="1">
      <c r="A138" s="66"/>
      <c r="B138" s="66"/>
      <c r="C138" s="66"/>
      <c r="D138" s="66"/>
      <c r="E138" s="66"/>
      <c r="F138" s="66"/>
      <c r="G138" s="66"/>
      <c r="H138" s="66"/>
      <c r="I138" s="66"/>
      <c r="J138" s="66"/>
      <c r="K138" s="66"/>
      <c r="L138" s="66"/>
      <c r="M138" s="66"/>
      <c r="N138" s="66"/>
      <c r="O138" s="66"/>
      <c r="P138" s="66"/>
      <c r="Q138" s="66"/>
      <c r="R138" s="66"/>
      <c r="S138" s="66"/>
      <c r="T138" s="10"/>
      <c r="U138" s="66"/>
      <c r="V138" s="66"/>
      <c r="W138" s="66"/>
      <c r="X138" s="66"/>
      <c r="Y138" s="66"/>
      <c r="Z138" s="66"/>
      <c r="AA138" s="66"/>
      <c r="AB138" s="66"/>
      <c r="AC138" s="66"/>
      <c r="AD138" s="66"/>
      <c r="AE138" s="66"/>
      <c r="AF138" s="66"/>
      <c r="AG138" s="66"/>
      <c r="AH138" s="55"/>
      <c r="AI138" s="55"/>
      <c r="AJ138" s="66"/>
      <c r="AK138" s="66"/>
      <c r="AL138" s="66"/>
      <c r="AM138" s="66"/>
      <c r="AN138" s="66"/>
      <c r="AO138" s="66"/>
      <c r="AP138" s="66"/>
      <c r="AQ138" s="66"/>
      <c r="AR138" s="66"/>
      <c r="AS138" s="66"/>
    </row>
    <row r="139" spans="1:45" s="142" customFormat="1">
      <c r="A139" s="66"/>
      <c r="B139" s="66"/>
      <c r="C139" s="66"/>
      <c r="D139" s="66"/>
      <c r="E139" s="66"/>
      <c r="F139" s="66"/>
      <c r="G139" s="66"/>
      <c r="H139" s="66"/>
      <c r="I139" s="66"/>
      <c r="J139" s="66"/>
      <c r="K139" s="66"/>
      <c r="L139" s="66"/>
      <c r="M139" s="66"/>
      <c r="N139" s="66"/>
      <c r="O139" s="66"/>
      <c r="P139" s="66"/>
      <c r="Q139" s="66"/>
      <c r="R139" s="66"/>
      <c r="S139" s="66"/>
      <c r="T139" s="10"/>
      <c r="U139" s="66"/>
      <c r="V139" s="66"/>
      <c r="W139" s="66"/>
      <c r="X139" s="66"/>
      <c r="Y139" s="66"/>
      <c r="Z139" s="66"/>
      <c r="AA139" s="66"/>
      <c r="AB139" s="66"/>
      <c r="AC139" s="66"/>
      <c r="AD139" s="66"/>
      <c r="AE139" s="66"/>
      <c r="AF139" s="66"/>
      <c r="AG139" s="66"/>
      <c r="AH139" s="55"/>
      <c r="AI139" s="55"/>
      <c r="AJ139" s="66"/>
      <c r="AK139" s="66"/>
      <c r="AL139" s="66"/>
      <c r="AM139" s="66"/>
      <c r="AN139" s="66"/>
      <c r="AO139" s="66"/>
      <c r="AP139" s="66"/>
      <c r="AQ139" s="66"/>
      <c r="AR139" s="66"/>
      <c r="AS139" s="66"/>
    </row>
    <row r="140" spans="1:45">
      <c r="V140" s="66"/>
      <c r="W140" s="66"/>
    </row>
    <row r="141" spans="1:45">
      <c r="V141" s="66"/>
      <c r="W141" s="66"/>
    </row>
    <row r="142" spans="1:45">
      <c r="V142" s="66"/>
      <c r="W142" s="66"/>
    </row>
    <row r="143" spans="1:45">
      <c r="V143" s="66"/>
      <c r="W143" s="66"/>
    </row>
    <row r="144" spans="1:45">
      <c r="V144" s="66"/>
      <c r="W144" s="66"/>
    </row>
    <row r="145" spans="22:23">
      <c r="V145" s="66"/>
      <c r="W145" s="66"/>
    </row>
    <row r="146" spans="22:23">
      <c r="V146" s="66"/>
      <c r="W146" s="66"/>
    </row>
    <row r="147" spans="22:23">
      <c r="V147" s="66"/>
      <c r="W147" s="66"/>
    </row>
    <row r="148" spans="22:23">
      <c r="V148" s="66"/>
      <c r="W148" s="66"/>
    </row>
    <row r="149" spans="22:23">
      <c r="V149" s="66"/>
      <c r="W149" s="66"/>
    </row>
    <row r="150" spans="22:23">
      <c r="V150" s="66"/>
      <c r="W150" s="66"/>
    </row>
    <row r="151" spans="22:23">
      <c r="V151" s="66"/>
      <c r="W151" s="66"/>
    </row>
    <row r="152" spans="22:23">
      <c r="V152" s="66"/>
      <c r="W152" s="66"/>
    </row>
    <row r="153" spans="22:23">
      <c r="V153" s="66"/>
      <c r="W153" s="66"/>
    </row>
    <row r="154" spans="22:23">
      <c r="V154" s="66"/>
      <c r="W154" s="66"/>
    </row>
    <row r="155" spans="22:23">
      <c r="V155" s="66"/>
      <c r="W155" s="66"/>
    </row>
    <row r="156" spans="22:23">
      <c r="V156" s="66"/>
      <c r="W156" s="66"/>
    </row>
    <row r="157" spans="22:23">
      <c r="V157" s="66"/>
      <c r="W157" s="66"/>
    </row>
    <row r="158" spans="22:23">
      <c r="V158" s="66"/>
      <c r="W158" s="66"/>
    </row>
    <row r="159" spans="22:23">
      <c r="V159" s="66"/>
      <c r="W159" s="66"/>
    </row>
    <row r="160" spans="22:23">
      <c r="V160" s="66"/>
      <c r="W160" s="66"/>
    </row>
    <row r="161" spans="22:23">
      <c r="V161" s="66"/>
      <c r="W161" s="66"/>
    </row>
    <row r="162" spans="22:23">
      <c r="V162" s="66"/>
      <c r="W162" s="66"/>
    </row>
    <row r="163" spans="22:23">
      <c r="V163" s="66"/>
      <c r="W163" s="66"/>
    </row>
    <row r="164" spans="22:23">
      <c r="V164" s="66"/>
      <c r="W164" s="66"/>
    </row>
    <row r="165" spans="22:23">
      <c r="V165" s="66"/>
      <c r="W165" s="66"/>
    </row>
    <row r="166" spans="22:23">
      <c r="V166" s="66"/>
      <c r="W166" s="66"/>
    </row>
    <row r="167" spans="22:23">
      <c r="V167" s="66"/>
      <c r="W167" s="66"/>
    </row>
    <row r="168" spans="22:23">
      <c r="V168" s="66"/>
      <c r="W168" s="66"/>
    </row>
    <row r="169" spans="22:23">
      <c r="V169" s="66"/>
      <c r="W169" s="66"/>
    </row>
    <row r="170" spans="22:23">
      <c r="V170" s="66"/>
      <c r="W170" s="66"/>
    </row>
    <row r="171" spans="22:23">
      <c r="V171" s="66"/>
      <c r="W171" s="66"/>
    </row>
    <row r="172" spans="22:23">
      <c r="V172" s="66"/>
      <c r="W172" s="66"/>
    </row>
    <row r="173" spans="22:23">
      <c r="V173" s="66"/>
      <c r="W173" s="66"/>
    </row>
    <row r="174" spans="22:23">
      <c r="V174" s="66"/>
      <c r="W174" s="66"/>
    </row>
    <row r="175" spans="22:23">
      <c r="V175" s="66"/>
      <c r="W175" s="66"/>
    </row>
    <row r="176" spans="22:23">
      <c r="V176" s="66"/>
      <c r="W176" s="66"/>
    </row>
    <row r="177" spans="22:23">
      <c r="V177" s="66"/>
      <c r="W177" s="66"/>
    </row>
    <row r="178" spans="22:23">
      <c r="V178" s="66"/>
      <c r="W178" s="66"/>
    </row>
    <row r="179" spans="22:23">
      <c r="V179" s="66"/>
      <c r="W179" s="66"/>
    </row>
    <row r="180" spans="22:23">
      <c r="V180" s="66"/>
      <c r="W180" s="66"/>
    </row>
    <row r="181" spans="22:23">
      <c r="V181" s="66"/>
      <c r="W181" s="66"/>
    </row>
    <row r="182" spans="22:23">
      <c r="V182" s="66"/>
      <c r="W182" s="66"/>
    </row>
    <row r="183" spans="22:23">
      <c r="V183" s="66"/>
      <c r="W183" s="66"/>
    </row>
    <row r="184" spans="22:23">
      <c r="V184" s="66"/>
      <c r="W184" s="66"/>
    </row>
    <row r="185" spans="22:23">
      <c r="V185" s="66"/>
      <c r="W185" s="66"/>
    </row>
    <row r="186" spans="22:23">
      <c r="V186" s="66"/>
      <c r="W186" s="66"/>
    </row>
    <row r="187" spans="22:23">
      <c r="V187" s="66"/>
      <c r="W187" s="66"/>
    </row>
    <row r="188" spans="22:23">
      <c r="V188" s="66"/>
      <c r="W188" s="66"/>
    </row>
    <row r="189" spans="22:23">
      <c r="V189" s="66"/>
      <c r="W189" s="66"/>
    </row>
    <row r="190" spans="22:23">
      <c r="V190" s="66"/>
      <c r="W190" s="66"/>
    </row>
    <row r="191" spans="22:23">
      <c r="V191" s="66"/>
      <c r="W191" s="66"/>
    </row>
    <row r="192" spans="22:23">
      <c r="V192" s="66"/>
      <c r="W192" s="66"/>
    </row>
    <row r="193" spans="22:23">
      <c r="V193" s="66"/>
      <c r="W193" s="66"/>
    </row>
    <row r="194" spans="22:23">
      <c r="V194" s="66"/>
      <c r="W194" s="66"/>
    </row>
    <row r="195" spans="22:23">
      <c r="V195" s="66"/>
      <c r="W195" s="66"/>
    </row>
    <row r="196" spans="22:23">
      <c r="V196" s="66"/>
      <c r="W196" s="66"/>
    </row>
    <row r="197" spans="22:23">
      <c r="V197" s="66"/>
      <c r="W197" s="66"/>
    </row>
    <row r="198" spans="22:23">
      <c r="V198" s="66"/>
      <c r="W198" s="66"/>
    </row>
    <row r="199" spans="22:23">
      <c r="V199" s="66"/>
      <c r="W199" s="66"/>
    </row>
    <row r="200" spans="22:23">
      <c r="V200" s="66"/>
      <c r="W200" s="66"/>
    </row>
    <row r="201" spans="22:23">
      <c r="V201" s="66"/>
      <c r="W201" s="66"/>
    </row>
    <row r="202" spans="22:23">
      <c r="V202" s="66"/>
      <c r="W202" s="66"/>
    </row>
    <row r="203" spans="22:23">
      <c r="V203" s="66"/>
      <c r="W203" s="66"/>
    </row>
    <row r="204" spans="22:23">
      <c r="V204" s="66"/>
      <c r="W204" s="66"/>
    </row>
    <row r="205" spans="22:23">
      <c r="V205" s="66"/>
      <c r="W205" s="66"/>
    </row>
    <row r="206" spans="22:23">
      <c r="V206" s="66"/>
      <c r="W206" s="66"/>
    </row>
    <row r="207" spans="22:23">
      <c r="V207" s="66"/>
      <c r="W207" s="66"/>
    </row>
    <row r="208" spans="22:23">
      <c r="V208" s="66"/>
      <c r="W208" s="66"/>
    </row>
    <row r="209" spans="22:23">
      <c r="V209" s="66"/>
      <c r="W209" s="66"/>
    </row>
    <row r="210" spans="22:23">
      <c r="V210" s="66"/>
      <c r="W210" s="66"/>
    </row>
    <row r="211" spans="22:23">
      <c r="V211" s="66"/>
      <c r="W211" s="66"/>
    </row>
    <row r="212" spans="22:23">
      <c r="V212" s="66"/>
      <c r="W212" s="66"/>
    </row>
    <row r="213" spans="22:23">
      <c r="V213" s="66"/>
      <c r="W213" s="66"/>
    </row>
    <row r="214" spans="22:23">
      <c r="V214" s="66"/>
      <c r="W214" s="66"/>
    </row>
    <row r="215" spans="22:23">
      <c r="V215" s="66"/>
      <c r="W215" s="66"/>
    </row>
    <row r="216" spans="22:23">
      <c r="V216" s="66"/>
      <c r="W216" s="66"/>
    </row>
    <row r="217" spans="22:23">
      <c r="V217" s="66"/>
      <c r="W217" s="66"/>
    </row>
    <row r="218" spans="22:23">
      <c r="V218" s="66"/>
      <c r="W218" s="66"/>
    </row>
    <row r="219" spans="22:23">
      <c r="V219" s="66"/>
      <c r="W219" s="66"/>
    </row>
    <row r="220" spans="22:23">
      <c r="V220" s="66"/>
      <c r="W220" s="66"/>
    </row>
    <row r="221" spans="22:23">
      <c r="V221" s="66"/>
      <c r="W221" s="66"/>
    </row>
    <row r="222" spans="22:23">
      <c r="V222" s="66"/>
      <c r="W222" s="66"/>
    </row>
    <row r="223" spans="22:23">
      <c r="V223" s="66"/>
      <c r="W223" s="66"/>
    </row>
    <row r="224" spans="22:23">
      <c r="V224" s="66"/>
      <c r="W224" s="66"/>
    </row>
    <row r="225" spans="22:23">
      <c r="V225" s="66"/>
      <c r="W225" s="66"/>
    </row>
    <row r="226" spans="22:23">
      <c r="V226" s="66"/>
      <c r="W226" s="66"/>
    </row>
    <row r="227" spans="22:23">
      <c r="V227" s="66"/>
      <c r="W227" s="66"/>
    </row>
    <row r="228" spans="22:23">
      <c r="V228" s="66"/>
      <c r="W228" s="66"/>
    </row>
    <row r="229" spans="22:23">
      <c r="V229" s="66"/>
      <c r="W229" s="66"/>
    </row>
    <row r="230" spans="22:23">
      <c r="V230" s="66"/>
      <c r="W230" s="66"/>
    </row>
    <row r="231" spans="22:23">
      <c r="V231" s="66"/>
      <c r="W231" s="66"/>
    </row>
    <row r="232" spans="22:23">
      <c r="V232" s="66"/>
      <c r="W232" s="66"/>
    </row>
    <row r="233" spans="22:23">
      <c r="V233" s="66"/>
      <c r="W233" s="66"/>
    </row>
    <row r="234" spans="22:23">
      <c r="V234" s="66"/>
      <c r="W234" s="66"/>
    </row>
    <row r="235" spans="22:23">
      <c r="V235" s="66"/>
      <c r="W235" s="66"/>
    </row>
    <row r="236" spans="22:23">
      <c r="V236" s="66"/>
      <c r="W236" s="66"/>
    </row>
    <row r="237" spans="22:23">
      <c r="V237" s="66"/>
      <c r="W237" s="66"/>
    </row>
    <row r="238" spans="22:23">
      <c r="V238" s="66"/>
      <c r="W238" s="66"/>
    </row>
    <row r="239" spans="22:23">
      <c r="V239" s="66"/>
      <c r="W239" s="66"/>
    </row>
    <row r="240" spans="22:23">
      <c r="V240" s="66"/>
      <c r="W240" s="66"/>
    </row>
    <row r="241" spans="22:23">
      <c r="V241" s="66"/>
      <c r="W241" s="66"/>
    </row>
    <row r="242" spans="22:23">
      <c r="V242" s="66"/>
      <c r="W242" s="66"/>
    </row>
    <row r="243" spans="22:23">
      <c r="V243" s="66"/>
      <c r="W243" s="66"/>
    </row>
    <row r="244" spans="22:23">
      <c r="V244" s="66"/>
      <c r="W244" s="66"/>
    </row>
    <row r="245" spans="22:23">
      <c r="V245" s="66"/>
      <c r="W245" s="66"/>
    </row>
    <row r="246" spans="22:23">
      <c r="V246" s="66"/>
      <c r="W246" s="66"/>
    </row>
    <row r="247" spans="22:23">
      <c r="V247" s="66"/>
      <c r="W247" s="66"/>
    </row>
    <row r="248" spans="22:23">
      <c r="V248" s="66"/>
      <c r="W248" s="66"/>
    </row>
    <row r="249" spans="22:23">
      <c r="V249" s="66"/>
      <c r="W249" s="66"/>
    </row>
    <row r="250" spans="22:23">
      <c r="V250" s="66"/>
      <c r="W250" s="66"/>
    </row>
    <row r="251" spans="22:23">
      <c r="V251" s="66"/>
      <c r="W251" s="66"/>
    </row>
    <row r="252" spans="22:23">
      <c r="V252" s="66"/>
      <c r="W252" s="66"/>
    </row>
    <row r="253" spans="22:23">
      <c r="V253" s="66"/>
      <c r="W253" s="66"/>
    </row>
    <row r="254" spans="22:23">
      <c r="V254" s="66"/>
      <c r="W254" s="66"/>
    </row>
    <row r="255" spans="22:23">
      <c r="V255" s="66"/>
      <c r="W255" s="66"/>
    </row>
    <row r="256" spans="22:23">
      <c r="V256" s="66"/>
      <c r="W256" s="66"/>
    </row>
    <row r="257" spans="22:23">
      <c r="V257" s="66"/>
      <c r="W257" s="66"/>
    </row>
    <row r="258" spans="22:23">
      <c r="V258" s="66"/>
      <c r="W258" s="66"/>
    </row>
    <row r="259" spans="22:23">
      <c r="V259" s="66"/>
      <c r="W259" s="66"/>
    </row>
    <row r="260" spans="22:23">
      <c r="V260" s="66"/>
      <c r="W260" s="66"/>
    </row>
    <row r="261" spans="22:23">
      <c r="V261" s="66"/>
      <c r="W261" s="66"/>
    </row>
    <row r="262" spans="22:23">
      <c r="V262" s="66"/>
      <c r="W262" s="66"/>
    </row>
    <row r="263" spans="22:23">
      <c r="V263" s="66"/>
      <c r="W263" s="66"/>
    </row>
    <row r="264" spans="22:23">
      <c r="V264" s="66"/>
      <c r="W264" s="66"/>
    </row>
    <row r="265" spans="22:23">
      <c r="V265" s="66"/>
      <c r="W265" s="66"/>
    </row>
    <row r="266" spans="22:23">
      <c r="V266" s="66"/>
      <c r="W266" s="66"/>
    </row>
    <row r="267" spans="22:23">
      <c r="V267" s="66"/>
      <c r="W267" s="66"/>
    </row>
    <row r="268" spans="22:23">
      <c r="V268" s="66"/>
      <c r="W268" s="66"/>
    </row>
    <row r="269" spans="22:23">
      <c r="V269" s="66"/>
      <c r="W269" s="66"/>
    </row>
    <row r="270" spans="22:23">
      <c r="V270" s="66"/>
      <c r="W270" s="66"/>
    </row>
    <row r="271" spans="22:23">
      <c r="V271" s="66"/>
      <c r="W271" s="66"/>
    </row>
    <row r="272" spans="22:23">
      <c r="V272" s="66"/>
      <c r="W272" s="66"/>
    </row>
    <row r="273" spans="22:23">
      <c r="V273" s="66"/>
      <c r="W273" s="66"/>
    </row>
    <row r="274" spans="22:23">
      <c r="V274" s="66"/>
      <c r="W274" s="66"/>
    </row>
    <row r="275" spans="22:23">
      <c r="V275" s="66"/>
      <c r="W275" s="66"/>
    </row>
    <row r="276" spans="22:23">
      <c r="V276" s="66"/>
      <c r="W276" s="66"/>
    </row>
    <row r="277" spans="22:23">
      <c r="V277" s="66"/>
      <c r="W277" s="66"/>
    </row>
    <row r="278" spans="22:23">
      <c r="V278" s="66"/>
      <c r="W278" s="66"/>
    </row>
    <row r="279" spans="22:23">
      <c r="V279" s="66"/>
      <c r="W279" s="66"/>
    </row>
    <row r="280" spans="22:23">
      <c r="V280" s="66"/>
      <c r="W280" s="66"/>
    </row>
    <row r="281" spans="22:23">
      <c r="V281" s="66"/>
      <c r="W281" s="66"/>
    </row>
    <row r="282" spans="22:23">
      <c r="V282" s="66"/>
      <c r="W282" s="66"/>
    </row>
    <row r="283" spans="22:23">
      <c r="V283" s="66"/>
      <c r="W283" s="66"/>
    </row>
    <row r="284" spans="22:23">
      <c r="V284" s="66"/>
      <c r="W284" s="66"/>
    </row>
    <row r="285" spans="22:23">
      <c r="V285" s="66"/>
      <c r="W285" s="66"/>
    </row>
    <row r="286" spans="22:23">
      <c r="V286" s="66"/>
      <c r="W286" s="66"/>
    </row>
    <row r="287" spans="22:23">
      <c r="V287" s="66"/>
      <c r="W287" s="66"/>
    </row>
    <row r="288" spans="22:23">
      <c r="V288" s="66"/>
      <c r="W288" s="66"/>
    </row>
    <row r="289" spans="22:23">
      <c r="V289" s="66"/>
      <c r="W289" s="66"/>
    </row>
    <row r="290" spans="22:23">
      <c r="V290" s="66"/>
      <c r="W290" s="66"/>
    </row>
    <row r="291" spans="22:23">
      <c r="V291" s="66"/>
      <c r="W291" s="66"/>
    </row>
    <row r="292" spans="22:23">
      <c r="V292" s="66"/>
      <c r="W292" s="66"/>
    </row>
    <row r="293" spans="22:23">
      <c r="V293" s="66"/>
      <c r="W293" s="66"/>
    </row>
    <row r="294" spans="22:23">
      <c r="V294" s="66"/>
      <c r="W294" s="66"/>
    </row>
    <row r="295" spans="22:23">
      <c r="V295" s="66"/>
      <c r="W295" s="66"/>
    </row>
    <row r="296" spans="22:23">
      <c r="V296" s="66"/>
      <c r="W296" s="66"/>
    </row>
    <row r="297" spans="22:23">
      <c r="V297" s="66"/>
      <c r="W297" s="66"/>
    </row>
    <row r="298" spans="22:23">
      <c r="V298" s="66"/>
      <c r="W298" s="66"/>
    </row>
    <row r="299" spans="22:23">
      <c r="V299" s="66"/>
      <c r="W299" s="66"/>
    </row>
    <row r="300" spans="22:23">
      <c r="V300" s="66"/>
      <c r="W300" s="66"/>
    </row>
    <row r="301" spans="22:23">
      <c r="V301" s="66"/>
      <c r="W301" s="66"/>
    </row>
    <row r="302" spans="22:23">
      <c r="V302" s="66"/>
      <c r="W302" s="66"/>
    </row>
    <row r="303" spans="22:23">
      <c r="V303" s="66"/>
      <c r="W303" s="66"/>
    </row>
    <row r="304" spans="22:23">
      <c r="V304" s="66"/>
      <c r="W304" s="66"/>
    </row>
    <row r="305" spans="22:23">
      <c r="V305" s="66"/>
      <c r="W305" s="66"/>
    </row>
    <row r="306" spans="22:23">
      <c r="V306" s="66"/>
      <c r="W306" s="66"/>
    </row>
    <row r="307" spans="22:23">
      <c r="V307" s="66"/>
      <c r="W307" s="66"/>
    </row>
    <row r="308" spans="22:23">
      <c r="V308" s="66"/>
      <c r="W308" s="66"/>
    </row>
    <row r="309" spans="22:23">
      <c r="V309" s="66"/>
      <c r="W309" s="66"/>
    </row>
    <row r="310" spans="22:23">
      <c r="V310" s="66"/>
      <c r="W310" s="66"/>
    </row>
    <row r="311" spans="22:23">
      <c r="V311" s="66"/>
      <c r="W311" s="66"/>
    </row>
    <row r="312" spans="22:23">
      <c r="V312" s="66"/>
      <c r="W312" s="66"/>
    </row>
    <row r="313" spans="22:23">
      <c r="V313" s="66"/>
      <c r="W313" s="66"/>
    </row>
    <row r="314" spans="22:23">
      <c r="V314" s="66"/>
      <c r="W314" s="66"/>
    </row>
    <row r="315" spans="22:23">
      <c r="V315" s="66"/>
      <c r="W315" s="66"/>
    </row>
    <row r="316" spans="22:23">
      <c r="V316" s="66"/>
      <c r="W316" s="66"/>
    </row>
    <row r="317" spans="22:23">
      <c r="V317" s="66"/>
      <c r="W317" s="66"/>
    </row>
    <row r="318" spans="22:23">
      <c r="V318" s="66"/>
      <c r="W318" s="66"/>
    </row>
    <row r="319" spans="22:23">
      <c r="V319" s="66"/>
      <c r="W319" s="66"/>
    </row>
    <row r="320" spans="22:23">
      <c r="V320" s="66"/>
      <c r="W320" s="66"/>
    </row>
    <row r="321" spans="22:23">
      <c r="V321" s="66"/>
      <c r="W321" s="66"/>
    </row>
    <row r="322" spans="22:23">
      <c r="V322" s="66"/>
      <c r="W322" s="66"/>
    </row>
    <row r="323" spans="22:23">
      <c r="V323" s="66"/>
      <c r="W323" s="66"/>
    </row>
    <row r="324" spans="22:23">
      <c r="V324" s="66"/>
      <c r="W324" s="66"/>
    </row>
    <row r="325" spans="22:23">
      <c r="V325" s="66"/>
      <c r="W325" s="66"/>
    </row>
    <row r="326" spans="22:23">
      <c r="V326" s="66"/>
      <c r="W326" s="66"/>
    </row>
    <row r="327" spans="22:23">
      <c r="V327" s="66"/>
      <c r="W327" s="66"/>
    </row>
    <row r="328" spans="22:23">
      <c r="V328" s="66"/>
      <c r="W328" s="66"/>
    </row>
    <row r="329" spans="22:23">
      <c r="V329" s="66"/>
      <c r="W329" s="66"/>
    </row>
    <row r="330" spans="22:23">
      <c r="V330" s="66"/>
      <c r="W330" s="66"/>
    </row>
    <row r="331" spans="22:23">
      <c r="V331" s="66"/>
      <c r="W331" s="66"/>
    </row>
    <row r="332" spans="22:23">
      <c r="V332" s="66"/>
      <c r="W332" s="66"/>
    </row>
    <row r="333" spans="22:23">
      <c r="V333" s="66"/>
      <c r="W333" s="66"/>
    </row>
    <row r="334" spans="22:23">
      <c r="V334" s="66"/>
      <c r="W334" s="66"/>
    </row>
    <row r="335" spans="22:23">
      <c r="V335" s="66"/>
      <c r="W335" s="66"/>
    </row>
    <row r="336" spans="22:23">
      <c r="V336" s="66"/>
      <c r="W336" s="66"/>
    </row>
    <row r="337" spans="22:23">
      <c r="V337" s="66"/>
      <c r="W337" s="66"/>
    </row>
    <row r="338" spans="22:23">
      <c r="V338" s="66"/>
      <c r="W338" s="66"/>
    </row>
    <row r="339" spans="22:23">
      <c r="V339" s="66"/>
      <c r="W339" s="66"/>
    </row>
    <row r="340" spans="22:23">
      <c r="V340" s="66"/>
      <c r="W340" s="66"/>
    </row>
    <row r="341" spans="22:23">
      <c r="V341" s="66"/>
      <c r="W341" s="66"/>
    </row>
    <row r="342" spans="22:23">
      <c r="V342" s="66"/>
      <c r="W342" s="66"/>
    </row>
    <row r="343" spans="22:23">
      <c r="V343" s="66"/>
      <c r="W343" s="66"/>
    </row>
    <row r="344" spans="22:23">
      <c r="V344" s="66"/>
      <c r="W344" s="66"/>
    </row>
    <row r="345" spans="22:23">
      <c r="V345" s="66"/>
      <c r="W345" s="66"/>
    </row>
    <row r="346" spans="22:23">
      <c r="V346" s="66"/>
      <c r="W346" s="66"/>
    </row>
    <row r="347" spans="22:23">
      <c r="V347" s="66"/>
      <c r="W347" s="66"/>
    </row>
    <row r="348" spans="22:23">
      <c r="V348" s="66"/>
      <c r="W348" s="66"/>
    </row>
    <row r="349" spans="22:23">
      <c r="V349" s="66"/>
      <c r="W349" s="66"/>
    </row>
    <row r="350" spans="22:23">
      <c r="V350" s="66"/>
      <c r="W350" s="66"/>
    </row>
    <row r="351" spans="22:23">
      <c r="V351" s="66"/>
      <c r="W351" s="66"/>
    </row>
    <row r="352" spans="22:23">
      <c r="V352" s="66"/>
      <c r="W352" s="66"/>
    </row>
    <row r="353" spans="22:23">
      <c r="V353" s="66"/>
      <c r="W353" s="66"/>
    </row>
    <row r="354" spans="22:23">
      <c r="V354" s="66"/>
      <c r="W354" s="66"/>
    </row>
    <row r="355" spans="22:23">
      <c r="V355" s="66"/>
      <c r="W355" s="66"/>
    </row>
    <row r="356" spans="22:23">
      <c r="V356" s="66"/>
      <c r="W356" s="66"/>
    </row>
    <row r="357" spans="22:23">
      <c r="V357" s="66"/>
      <c r="W357" s="66"/>
    </row>
    <row r="358" spans="22:23">
      <c r="V358" s="66"/>
      <c r="W358" s="66"/>
    </row>
    <row r="359" spans="22:23">
      <c r="V359" s="66"/>
      <c r="W359" s="66"/>
    </row>
    <row r="360" spans="22:23">
      <c r="V360" s="66"/>
      <c r="W360" s="66"/>
    </row>
    <row r="361" spans="22:23">
      <c r="V361" s="66"/>
      <c r="W361" s="66"/>
    </row>
    <row r="362" spans="22:23">
      <c r="V362" s="66"/>
      <c r="W362" s="66"/>
    </row>
    <row r="363" spans="22:23">
      <c r="V363" s="66"/>
      <c r="W363" s="66"/>
    </row>
    <row r="364" spans="22:23">
      <c r="V364" s="66"/>
      <c r="W364" s="66"/>
    </row>
    <row r="365" spans="22:23">
      <c r="V365" s="66"/>
      <c r="W365" s="66"/>
    </row>
    <row r="366" spans="22:23">
      <c r="V366" s="66"/>
      <c r="W366" s="66"/>
    </row>
    <row r="367" spans="22:23">
      <c r="V367" s="66"/>
      <c r="W367" s="66"/>
    </row>
    <row r="368" spans="22:23">
      <c r="V368" s="66"/>
      <c r="W368" s="66"/>
    </row>
    <row r="369" spans="22:23">
      <c r="V369" s="66"/>
      <c r="W369" s="66"/>
    </row>
    <row r="370" spans="22:23">
      <c r="V370" s="66"/>
      <c r="W370" s="66"/>
    </row>
    <row r="371" spans="22:23">
      <c r="V371" s="66"/>
      <c r="W371" s="66"/>
    </row>
    <row r="372" spans="22:23">
      <c r="V372" s="66"/>
      <c r="W372" s="66"/>
    </row>
    <row r="373" spans="22:23">
      <c r="V373" s="66"/>
      <c r="W373" s="66"/>
    </row>
    <row r="374" spans="22:23">
      <c r="V374" s="66"/>
      <c r="W374" s="66"/>
    </row>
    <row r="375" spans="22:23">
      <c r="V375" s="66"/>
      <c r="W375" s="66"/>
    </row>
    <row r="376" spans="22:23">
      <c r="V376" s="66"/>
      <c r="W376" s="66"/>
    </row>
    <row r="377" spans="22:23">
      <c r="V377" s="66"/>
      <c r="W377" s="66"/>
    </row>
    <row r="378" spans="22:23">
      <c r="V378" s="66"/>
      <c r="W378" s="66"/>
    </row>
    <row r="379" spans="22:23">
      <c r="V379" s="66"/>
      <c r="W379" s="66"/>
    </row>
    <row r="380" spans="22:23">
      <c r="V380" s="66"/>
      <c r="W380" s="66"/>
    </row>
    <row r="381" spans="22:23">
      <c r="V381" s="66"/>
      <c r="W381" s="66"/>
    </row>
    <row r="382" spans="22:23">
      <c r="V382" s="66"/>
      <c r="W382" s="66"/>
    </row>
    <row r="383" spans="22:23">
      <c r="V383" s="66"/>
      <c r="W383" s="66"/>
    </row>
    <row r="384" spans="22:23">
      <c r="V384" s="66"/>
      <c r="W384" s="66"/>
    </row>
    <row r="385" spans="22:23">
      <c r="V385" s="66"/>
      <c r="W385" s="66"/>
    </row>
    <row r="386" spans="22:23">
      <c r="V386" s="66"/>
      <c r="W386" s="66"/>
    </row>
    <row r="387" spans="22:23">
      <c r="V387" s="66"/>
      <c r="W387" s="66"/>
    </row>
    <row r="388" spans="22:23">
      <c r="V388" s="66"/>
      <c r="W388" s="66"/>
    </row>
    <row r="389" spans="22:23">
      <c r="V389" s="66"/>
      <c r="W389" s="66"/>
    </row>
    <row r="390" spans="22:23">
      <c r="V390" s="66"/>
      <c r="W390" s="66"/>
    </row>
    <row r="391" spans="22:23">
      <c r="V391" s="66"/>
      <c r="W391" s="66"/>
    </row>
    <row r="392" spans="22:23">
      <c r="V392" s="66"/>
      <c r="W392" s="66"/>
    </row>
    <row r="393" spans="22:23">
      <c r="V393" s="66"/>
      <c r="W393" s="66"/>
    </row>
    <row r="394" spans="22:23">
      <c r="V394" s="66"/>
      <c r="W394" s="66"/>
    </row>
    <row r="395" spans="22:23">
      <c r="V395" s="66"/>
      <c r="W395" s="66"/>
    </row>
    <row r="396" spans="22:23">
      <c r="V396" s="66"/>
      <c r="W396" s="66"/>
    </row>
    <row r="397" spans="22:23">
      <c r="V397" s="66"/>
      <c r="W397" s="66"/>
    </row>
    <row r="398" spans="22:23">
      <c r="V398" s="66"/>
      <c r="W398" s="66"/>
    </row>
    <row r="399" spans="22:23">
      <c r="V399" s="66"/>
      <c r="W399" s="66"/>
    </row>
    <row r="400" spans="22:23">
      <c r="V400" s="66"/>
      <c r="W400" s="66"/>
    </row>
    <row r="401" spans="22:23">
      <c r="V401" s="66"/>
      <c r="W401" s="66"/>
    </row>
    <row r="402" spans="22:23">
      <c r="V402" s="66"/>
      <c r="W402" s="66"/>
    </row>
    <row r="403" spans="22:23">
      <c r="V403" s="66"/>
      <c r="W403" s="66"/>
    </row>
    <row r="404" spans="22:23">
      <c r="V404" s="66"/>
      <c r="W404" s="66"/>
    </row>
    <row r="405" spans="22:23">
      <c r="V405" s="66"/>
      <c r="W405" s="66"/>
    </row>
    <row r="406" spans="22:23">
      <c r="V406" s="66"/>
      <c r="W406" s="66"/>
    </row>
    <row r="407" spans="22:23">
      <c r="V407" s="66"/>
      <c r="W407" s="66"/>
    </row>
    <row r="408" spans="22:23">
      <c r="V408" s="66"/>
      <c r="W408" s="66"/>
    </row>
    <row r="409" spans="22:23">
      <c r="V409" s="66"/>
      <c r="W409" s="66"/>
    </row>
    <row r="410" spans="22:23">
      <c r="V410" s="66"/>
      <c r="W410" s="66"/>
    </row>
    <row r="411" spans="22:23">
      <c r="V411" s="66"/>
      <c r="W411" s="66"/>
    </row>
    <row r="412" spans="22:23">
      <c r="V412" s="66"/>
      <c r="W412" s="66"/>
    </row>
    <row r="413" spans="22:23">
      <c r="V413" s="66"/>
      <c r="W413" s="66"/>
    </row>
    <row r="414" spans="22:23">
      <c r="V414" s="66"/>
      <c r="W414" s="66"/>
    </row>
    <row r="415" spans="22:23">
      <c r="V415" s="66"/>
      <c r="W415" s="66"/>
    </row>
    <row r="416" spans="22:23">
      <c r="V416" s="66"/>
      <c r="W416" s="66"/>
    </row>
    <row r="417" spans="22:23">
      <c r="V417" s="66"/>
      <c r="W417" s="66"/>
    </row>
    <row r="418" spans="22:23">
      <c r="V418" s="66"/>
      <c r="W418" s="66"/>
    </row>
    <row r="419" spans="22:23">
      <c r="V419" s="66"/>
      <c r="W419" s="66"/>
    </row>
    <row r="420" spans="22:23">
      <c r="V420" s="66"/>
      <c r="W420" s="66"/>
    </row>
    <row r="421" spans="22:23">
      <c r="V421" s="66"/>
      <c r="W421" s="66"/>
    </row>
    <row r="422" spans="22:23">
      <c r="V422" s="66"/>
      <c r="W422" s="66"/>
    </row>
    <row r="423" spans="22:23">
      <c r="V423" s="66"/>
      <c r="W423" s="66"/>
    </row>
    <row r="424" spans="22:23">
      <c r="V424" s="66"/>
      <c r="W424" s="66"/>
    </row>
    <row r="425" spans="22:23">
      <c r="V425" s="66"/>
      <c r="W425" s="66"/>
    </row>
    <row r="426" spans="22:23">
      <c r="V426" s="66"/>
      <c r="W426" s="66"/>
    </row>
    <row r="427" spans="22:23">
      <c r="V427" s="66"/>
      <c r="W427" s="66"/>
    </row>
    <row r="428" spans="22:23">
      <c r="V428" s="66"/>
      <c r="W428" s="66"/>
    </row>
    <row r="429" spans="22:23">
      <c r="V429" s="66"/>
      <c r="W429" s="66"/>
    </row>
    <row r="430" spans="22:23">
      <c r="V430" s="66"/>
      <c r="W430" s="66"/>
    </row>
    <row r="431" spans="22:23">
      <c r="V431" s="66"/>
      <c r="W431" s="66"/>
    </row>
    <row r="432" spans="22:23">
      <c r="V432" s="66"/>
      <c r="W432" s="66"/>
    </row>
    <row r="433" spans="22:23">
      <c r="V433" s="66"/>
      <c r="W433" s="66"/>
    </row>
    <row r="434" spans="22:23">
      <c r="V434" s="66"/>
      <c r="W434" s="66"/>
    </row>
    <row r="435" spans="22:23">
      <c r="V435" s="66"/>
      <c r="W435" s="66"/>
    </row>
    <row r="436" spans="22:23">
      <c r="V436" s="66"/>
      <c r="W436" s="66"/>
    </row>
    <row r="437" spans="22:23">
      <c r="V437" s="66"/>
      <c r="W437" s="66"/>
    </row>
    <row r="438" spans="22:23">
      <c r="V438" s="66"/>
      <c r="W438" s="66"/>
    </row>
    <row r="439" spans="22:23">
      <c r="V439" s="66"/>
      <c r="W439" s="66"/>
    </row>
    <row r="440" spans="22:23">
      <c r="V440" s="66"/>
      <c r="W440" s="66"/>
    </row>
    <row r="441" spans="22:23">
      <c r="V441" s="66"/>
      <c r="W441" s="66"/>
    </row>
    <row r="442" spans="22:23">
      <c r="V442" s="66"/>
      <c r="W442" s="66"/>
    </row>
    <row r="443" spans="22:23">
      <c r="V443" s="66"/>
      <c r="W443" s="66"/>
    </row>
    <row r="444" spans="22:23">
      <c r="V444" s="66"/>
      <c r="W444" s="66"/>
    </row>
    <row r="445" spans="22:23">
      <c r="V445" s="66"/>
      <c r="W445" s="66"/>
    </row>
    <row r="446" spans="22:23">
      <c r="V446" s="66"/>
      <c r="W446" s="66"/>
    </row>
    <row r="447" spans="22:23">
      <c r="V447" s="66"/>
      <c r="W447" s="66"/>
    </row>
    <row r="448" spans="22:23">
      <c r="V448" s="66"/>
      <c r="W448" s="66"/>
    </row>
    <row r="449" spans="22:23">
      <c r="V449" s="66"/>
      <c r="W449" s="66"/>
    </row>
    <row r="450" spans="22:23">
      <c r="V450" s="66"/>
      <c r="W450" s="66"/>
    </row>
    <row r="451" spans="22:23">
      <c r="V451" s="66"/>
      <c r="W451" s="66"/>
    </row>
    <row r="452" spans="22:23">
      <c r="V452" s="66"/>
      <c r="W452" s="66"/>
    </row>
    <row r="453" spans="22:23">
      <c r="V453" s="66"/>
      <c r="W453" s="66"/>
    </row>
    <row r="454" spans="22:23">
      <c r="V454" s="66"/>
      <c r="W454" s="66"/>
    </row>
    <row r="455" spans="22:23">
      <c r="V455" s="66"/>
      <c r="W455" s="66"/>
    </row>
    <row r="456" spans="22:23">
      <c r="V456" s="66"/>
      <c r="W456" s="66"/>
    </row>
    <row r="457" spans="22:23">
      <c r="V457" s="66"/>
      <c r="W457" s="66"/>
    </row>
    <row r="458" spans="22:23">
      <c r="V458" s="66"/>
      <c r="W458" s="66"/>
    </row>
    <row r="459" spans="22:23">
      <c r="V459" s="66"/>
      <c r="W459" s="66"/>
    </row>
    <row r="460" spans="22:23">
      <c r="V460" s="66"/>
      <c r="W460" s="66"/>
    </row>
    <row r="461" spans="22:23">
      <c r="V461" s="66"/>
      <c r="W461" s="66"/>
    </row>
    <row r="462" spans="22:23">
      <c r="V462" s="66"/>
      <c r="W462" s="66"/>
    </row>
    <row r="463" spans="22:23">
      <c r="V463" s="66"/>
      <c r="W463" s="66"/>
    </row>
    <row r="464" spans="22:23">
      <c r="V464" s="66"/>
      <c r="W464" s="66"/>
    </row>
    <row r="465" spans="22:23">
      <c r="V465" s="66"/>
      <c r="W465" s="66"/>
    </row>
    <row r="466" spans="22:23">
      <c r="V466" s="66"/>
      <c r="W466" s="66"/>
    </row>
    <row r="467" spans="22:23">
      <c r="V467" s="66"/>
      <c r="W467" s="66"/>
    </row>
    <row r="468" spans="22:23">
      <c r="V468" s="66"/>
      <c r="W468" s="66"/>
    </row>
    <row r="469" spans="22:23">
      <c r="V469" s="66"/>
      <c r="W469" s="66"/>
    </row>
    <row r="470" spans="22:23">
      <c r="V470" s="66"/>
      <c r="W470" s="66"/>
    </row>
    <row r="471" spans="22:23">
      <c r="V471" s="66"/>
      <c r="W471" s="66"/>
    </row>
    <row r="472" spans="22:23">
      <c r="V472" s="66"/>
      <c r="W472" s="66"/>
    </row>
    <row r="473" spans="22:23">
      <c r="V473" s="66"/>
      <c r="W473" s="66"/>
    </row>
    <row r="474" spans="22:23">
      <c r="V474" s="66"/>
      <c r="W474" s="66"/>
    </row>
    <row r="475" spans="22:23">
      <c r="V475" s="66"/>
      <c r="W475" s="66"/>
    </row>
    <row r="476" spans="22:23">
      <c r="V476" s="66"/>
      <c r="W476" s="66"/>
    </row>
    <row r="477" spans="22:23">
      <c r="V477" s="66"/>
      <c r="W477" s="66"/>
    </row>
    <row r="478" spans="22:23">
      <c r="V478" s="66"/>
      <c r="W478" s="66"/>
    </row>
    <row r="479" spans="22:23">
      <c r="V479" s="66"/>
      <c r="W479" s="66"/>
    </row>
    <row r="480" spans="22:23">
      <c r="V480" s="66"/>
      <c r="W480" s="66"/>
    </row>
    <row r="481" spans="22:23">
      <c r="V481" s="66"/>
      <c r="W481" s="66"/>
    </row>
    <row r="482" spans="22:23">
      <c r="V482" s="66"/>
      <c r="W482" s="66"/>
    </row>
    <row r="483" spans="22:23">
      <c r="V483" s="66"/>
      <c r="W483" s="66"/>
    </row>
    <row r="484" spans="22:23">
      <c r="V484" s="66"/>
      <c r="W484" s="66"/>
    </row>
    <row r="485" spans="22:23">
      <c r="V485" s="66"/>
      <c r="W485" s="66"/>
    </row>
    <row r="486" spans="22:23">
      <c r="V486" s="66"/>
      <c r="W486" s="66"/>
    </row>
    <row r="487" spans="22:23">
      <c r="V487" s="66"/>
      <c r="W487" s="66"/>
    </row>
    <row r="488" spans="22:23">
      <c r="V488" s="66"/>
      <c r="W488" s="66"/>
    </row>
    <row r="489" spans="22:23">
      <c r="V489" s="66"/>
      <c r="W489" s="66"/>
    </row>
    <row r="490" spans="22:23">
      <c r="V490" s="66"/>
      <c r="W490" s="66"/>
    </row>
    <row r="491" spans="22:23">
      <c r="V491" s="66"/>
      <c r="W491" s="66"/>
    </row>
    <row r="492" spans="22:23">
      <c r="V492" s="66"/>
      <c r="W492" s="66"/>
    </row>
    <row r="493" spans="22:23">
      <c r="V493" s="66"/>
      <c r="W493" s="66"/>
    </row>
    <row r="494" spans="22:23">
      <c r="V494" s="66"/>
      <c r="W494" s="66"/>
    </row>
    <row r="495" spans="22:23">
      <c r="V495" s="66"/>
      <c r="W495" s="66"/>
    </row>
    <row r="496" spans="22:23">
      <c r="V496" s="66"/>
      <c r="W496" s="66"/>
    </row>
    <row r="497" spans="22:23">
      <c r="V497" s="66"/>
      <c r="W497" s="66"/>
    </row>
    <row r="498" spans="22:23">
      <c r="V498" s="66"/>
      <c r="W498" s="66"/>
    </row>
    <row r="499" spans="22:23">
      <c r="V499" s="66"/>
      <c r="W499" s="66"/>
    </row>
    <row r="500" spans="22:23">
      <c r="V500" s="66"/>
      <c r="W500" s="66"/>
    </row>
    <row r="501" spans="22:23">
      <c r="V501" s="66"/>
      <c r="W501" s="66"/>
    </row>
    <row r="502" spans="22:23">
      <c r="V502" s="66"/>
      <c r="W502" s="66"/>
    </row>
    <row r="503" spans="22:23">
      <c r="V503" s="66"/>
      <c r="W503" s="66"/>
    </row>
    <row r="504" spans="22:23">
      <c r="V504" s="66"/>
      <c r="W504" s="66"/>
    </row>
    <row r="505" spans="22:23">
      <c r="V505" s="66"/>
      <c r="W505" s="66"/>
    </row>
    <row r="506" spans="22:23">
      <c r="V506" s="66"/>
      <c r="W506" s="66"/>
    </row>
    <row r="507" spans="22:23">
      <c r="V507" s="66"/>
      <c r="W507" s="66"/>
    </row>
    <row r="508" spans="22:23">
      <c r="V508" s="66"/>
      <c r="W508" s="66"/>
    </row>
    <row r="509" spans="22:23">
      <c r="V509" s="66"/>
      <c r="W509" s="66"/>
    </row>
    <row r="510" spans="22:23">
      <c r="V510" s="66"/>
      <c r="W510" s="66"/>
    </row>
    <row r="511" spans="22:23">
      <c r="V511" s="66"/>
      <c r="W511" s="66"/>
    </row>
    <row r="512" spans="22:23">
      <c r="V512" s="66"/>
      <c r="W512" s="66"/>
    </row>
    <row r="513" spans="22:23">
      <c r="V513" s="66"/>
      <c r="W513" s="66"/>
    </row>
    <row r="514" spans="22:23">
      <c r="V514" s="66"/>
      <c r="W514" s="66"/>
    </row>
    <row r="515" spans="22:23">
      <c r="V515" s="66"/>
      <c r="W515" s="66"/>
    </row>
    <row r="516" spans="22:23">
      <c r="V516" s="66"/>
      <c r="W516" s="66"/>
    </row>
    <row r="517" spans="22:23">
      <c r="V517" s="66"/>
      <c r="W517" s="66"/>
    </row>
    <row r="518" spans="22:23">
      <c r="V518" s="66"/>
      <c r="W518" s="66"/>
    </row>
    <row r="519" spans="22:23">
      <c r="V519" s="66"/>
      <c r="W519" s="66"/>
    </row>
    <row r="520" spans="22:23">
      <c r="V520" s="66"/>
      <c r="W520" s="66"/>
    </row>
    <row r="521" spans="22:23">
      <c r="V521" s="66"/>
      <c r="W521" s="66"/>
    </row>
    <row r="522" spans="22:23">
      <c r="V522" s="66"/>
      <c r="W522" s="66"/>
    </row>
    <row r="523" spans="22:23">
      <c r="V523" s="66"/>
      <c r="W523" s="66"/>
    </row>
    <row r="524" spans="22:23">
      <c r="V524" s="66"/>
      <c r="W524" s="66"/>
    </row>
    <row r="525" spans="22:23">
      <c r="V525" s="66"/>
      <c r="W525" s="66"/>
    </row>
    <row r="526" spans="22:23">
      <c r="V526" s="66"/>
      <c r="W526" s="66"/>
    </row>
    <row r="527" spans="22:23">
      <c r="V527" s="66"/>
      <c r="W527" s="66"/>
    </row>
    <row r="528" spans="22:23">
      <c r="V528" s="66"/>
      <c r="W528" s="66"/>
    </row>
    <row r="529" spans="22:23">
      <c r="V529" s="66"/>
      <c r="W529" s="66"/>
    </row>
    <row r="530" spans="22:23">
      <c r="V530" s="66"/>
      <c r="W530" s="66"/>
    </row>
    <row r="531" spans="22:23">
      <c r="V531" s="66"/>
      <c r="W531" s="66"/>
    </row>
    <row r="532" spans="22:23">
      <c r="V532" s="66"/>
      <c r="W532" s="66"/>
    </row>
    <row r="533" spans="22:23">
      <c r="V533" s="66"/>
      <c r="W533" s="66"/>
    </row>
    <row r="534" spans="22:23">
      <c r="V534" s="66"/>
      <c r="W534" s="66"/>
    </row>
    <row r="535" spans="22:23">
      <c r="V535" s="66"/>
      <c r="W535" s="66"/>
    </row>
    <row r="536" spans="22:23">
      <c r="V536" s="66"/>
      <c r="W536" s="66"/>
    </row>
    <row r="537" spans="22:23">
      <c r="V537" s="66"/>
      <c r="W537" s="66"/>
    </row>
    <row r="538" spans="22:23">
      <c r="V538" s="66"/>
      <c r="W538" s="66"/>
    </row>
    <row r="539" spans="22:23">
      <c r="V539" s="66"/>
      <c r="W539" s="66"/>
    </row>
    <row r="540" spans="22:23">
      <c r="V540" s="66"/>
      <c r="W540" s="66"/>
    </row>
    <row r="541" spans="22:23">
      <c r="V541" s="66"/>
      <c r="W541" s="66"/>
    </row>
    <row r="542" spans="22:23">
      <c r="V542" s="66"/>
      <c r="W542" s="66"/>
    </row>
    <row r="543" spans="22:23">
      <c r="V543" s="66"/>
      <c r="W543" s="66"/>
    </row>
    <row r="544" spans="22:23">
      <c r="V544" s="66"/>
      <c r="W544" s="66"/>
    </row>
    <row r="545" spans="22:23">
      <c r="V545" s="66"/>
      <c r="W545" s="66"/>
    </row>
    <row r="546" spans="22:23">
      <c r="V546" s="66"/>
      <c r="W546" s="66"/>
    </row>
    <row r="547" spans="22:23">
      <c r="V547" s="66"/>
      <c r="W547" s="66"/>
    </row>
    <row r="548" spans="22:23">
      <c r="V548" s="66"/>
      <c r="W548" s="66"/>
    </row>
    <row r="549" spans="22:23">
      <c r="V549" s="66"/>
      <c r="W549" s="66"/>
    </row>
    <row r="550" spans="22:23">
      <c r="V550" s="66"/>
      <c r="W550" s="66"/>
    </row>
    <row r="551" spans="22:23">
      <c r="V551" s="66"/>
      <c r="W551" s="66"/>
    </row>
    <row r="552" spans="22:23">
      <c r="V552" s="66"/>
      <c r="W552" s="66"/>
    </row>
    <row r="553" spans="22:23">
      <c r="V553" s="66"/>
      <c r="W553" s="66"/>
    </row>
    <row r="554" spans="22:23">
      <c r="V554" s="66"/>
      <c r="W554" s="66"/>
    </row>
    <row r="555" spans="22:23">
      <c r="V555" s="66"/>
      <c r="W555" s="66"/>
    </row>
    <row r="556" spans="22:23">
      <c r="V556" s="66"/>
      <c r="W556" s="66"/>
    </row>
    <row r="557" spans="22:23">
      <c r="V557" s="66"/>
      <c r="W557" s="66"/>
    </row>
    <row r="558" spans="22:23">
      <c r="V558" s="66"/>
      <c r="W558" s="66"/>
    </row>
    <row r="559" spans="22:23">
      <c r="V559" s="66"/>
      <c r="W559" s="66"/>
    </row>
    <row r="560" spans="22:23">
      <c r="V560" s="66"/>
      <c r="W560" s="66"/>
    </row>
    <row r="561" spans="22:23">
      <c r="V561" s="66"/>
      <c r="W561" s="66"/>
    </row>
    <row r="562" spans="22:23">
      <c r="V562" s="66"/>
      <c r="W562" s="66"/>
    </row>
    <row r="563" spans="22:23">
      <c r="V563" s="66"/>
      <c r="W563" s="66"/>
    </row>
    <row r="564" spans="22:23">
      <c r="V564" s="66"/>
      <c r="W564" s="66"/>
    </row>
    <row r="565" spans="22:23">
      <c r="V565" s="66"/>
      <c r="W565" s="66"/>
    </row>
    <row r="566" spans="22:23">
      <c r="V566" s="66"/>
      <c r="W566" s="66"/>
    </row>
    <row r="567" spans="22:23">
      <c r="V567" s="66"/>
      <c r="W567" s="66"/>
    </row>
    <row r="568" spans="22:23">
      <c r="V568" s="66"/>
      <c r="W568" s="66"/>
    </row>
    <row r="569" spans="22:23">
      <c r="V569" s="66"/>
      <c r="W569" s="66"/>
    </row>
    <row r="570" spans="22:23">
      <c r="V570" s="66"/>
      <c r="W570" s="66"/>
    </row>
    <row r="571" spans="22:23">
      <c r="V571" s="66"/>
      <c r="W571" s="66"/>
    </row>
    <row r="572" spans="22:23">
      <c r="V572" s="66"/>
      <c r="W572" s="66"/>
    </row>
    <row r="573" spans="22:23">
      <c r="V573" s="66"/>
      <c r="W573" s="66"/>
    </row>
    <row r="574" spans="22:23">
      <c r="V574" s="66"/>
      <c r="W574" s="66"/>
    </row>
    <row r="575" spans="22:23">
      <c r="V575" s="66"/>
      <c r="W575" s="66"/>
    </row>
    <row r="576" spans="22:23">
      <c r="V576" s="66"/>
      <c r="W576" s="66"/>
    </row>
    <row r="577" spans="22:23">
      <c r="V577" s="66"/>
      <c r="W577" s="66"/>
    </row>
    <row r="578" spans="22:23">
      <c r="V578" s="66"/>
      <c r="W578" s="66"/>
    </row>
    <row r="579" spans="22:23">
      <c r="V579" s="66"/>
      <c r="W579" s="66"/>
    </row>
    <row r="580" spans="22:23">
      <c r="V580" s="66"/>
      <c r="W580" s="66"/>
    </row>
    <row r="581" spans="22:23">
      <c r="V581" s="66"/>
      <c r="W581" s="66"/>
    </row>
    <row r="582" spans="22:23">
      <c r="V582" s="66"/>
      <c r="W582" s="66"/>
    </row>
    <row r="583" spans="22:23">
      <c r="V583" s="66"/>
      <c r="W583" s="66"/>
    </row>
    <row r="584" spans="22:23">
      <c r="V584" s="66"/>
      <c r="W584" s="66"/>
    </row>
    <row r="585" spans="22:23">
      <c r="V585" s="66"/>
      <c r="W585" s="66"/>
    </row>
    <row r="586" spans="22:23">
      <c r="V586" s="66"/>
      <c r="W586" s="66"/>
    </row>
    <row r="587" spans="22:23">
      <c r="V587" s="66"/>
      <c r="W587" s="66"/>
    </row>
    <row r="588" spans="22:23">
      <c r="V588" s="66"/>
      <c r="W588" s="66"/>
    </row>
    <row r="589" spans="22:23">
      <c r="V589" s="66"/>
      <c r="W589" s="66"/>
    </row>
    <row r="590" spans="22:23">
      <c r="V590" s="66"/>
      <c r="W590" s="66"/>
    </row>
    <row r="591" spans="22:23">
      <c r="V591" s="66"/>
      <c r="W591" s="66"/>
    </row>
    <row r="592" spans="22:23">
      <c r="V592" s="66"/>
      <c r="W592" s="66"/>
    </row>
    <row r="593" spans="22:23">
      <c r="V593" s="66"/>
      <c r="W593" s="66"/>
    </row>
    <row r="594" spans="22:23">
      <c r="V594" s="66"/>
      <c r="W594" s="66"/>
    </row>
    <row r="595" spans="22:23">
      <c r="V595" s="66"/>
      <c r="W595" s="66"/>
    </row>
    <row r="596" spans="22:23">
      <c r="V596" s="66"/>
      <c r="W596" s="66"/>
    </row>
    <row r="597" spans="22:23">
      <c r="V597" s="66"/>
      <c r="W597" s="66"/>
    </row>
    <row r="598" spans="22:23">
      <c r="V598" s="66"/>
      <c r="W598" s="66"/>
    </row>
    <row r="599" spans="22:23">
      <c r="V599" s="66"/>
      <c r="W599" s="66"/>
    </row>
    <row r="600" spans="22:23">
      <c r="V600" s="66"/>
      <c r="W600" s="66"/>
    </row>
    <row r="601" spans="22:23">
      <c r="V601" s="66"/>
      <c r="W601" s="66"/>
    </row>
    <row r="602" spans="22:23">
      <c r="V602" s="66"/>
      <c r="W602" s="66"/>
    </row>
    <row r="603" spans="22:23">
      <c r="V603" s="66"/>
      <c r="W603" s="66"/>
    </row>
    <row r="604" spans="22:23">
      <c r="V604" s="66"/>
      <c r="W604" s="66"/>
    </row>
    <row r="605" spans="22:23">
      <c r="V605" s="66"/>
      <c r="W605" s="66"/>
    </row>
    <row r="606" spans="22:23">
      <c r="V606" s="66"/>
      <c r="W606" s="66"/>
    </row>
    <row r="607" spans="22:23">
      <c r="V607" s="66"/>
      <c r="W607" s="66"/>
    </row>
    <row r="608" spans="22:23">
      <c r="V608" s="66"/>
      <c r="W608" s="66"/>
    </row>
    <row r="609" spans="22:23">
      <c r="V609" s="66"/>
      <c r="W609" s="66"/>
    </row>
    <row r="610" spans="22:23">
      <c r="V610" s="66"/>
      <c r="W610" s="66"/>
    </row>
    <row r="611" spans="22:23">
      <c r="V611" s="66"/>
      <c r="W611" s="66"/>
    </row>
    <row r="612" spans="22:23">
      <c r="V612" s="66"/>
      <c r="W612" s="66"/>
    </row>
    <row r="613" spans="22:23">
      <c r="V613" s="66"/>
      <c r="W613" s="66"/>
    </row>
    <row r="614" spans="22:23">
      <c r="V614" s="66"/>
      <c r="W614" s="66"/>
    </row>
    <row r="615" spans="22:23">
      <c r="V615" s="66"/>
      <c r="W615" s="66"/>
    </row>
    <row r="616" spans="22:23">
      <c r="V616" s="66"/>
      <c r="W616" s="66"/>
    </row>
    <row r="617" spans="22:23">
      <c r="V617" s="66"/>
      <c r="W617" s="66"/>
    </row>
    <row r="618" spans="22:23">
      <c r="V618" s="66"/>
      <c r="W618" s="66"/>
    </row>
    <row r="619" spans="22:23">
      <c r="V619" s="66"/>
      <c r="W619" s="66"/>
    </row>
    <row r="620" spans="22:23">
      <c r="V620" s="66"/>
      <c r="W620" s="66"/>
    </row>
    <row r="621" spans="22:23">
      <c r="V621" s="66"/>
      <c r="W621" s="66"/>
    </row>
    <row r="622" spans="22:23">
      <c r="V622" s="66"/>
      <c r="W622" s="66"/>
    </row>
    <row r="623" spans="22:23">
      <c r="V623" s="66"/>
      <c r="W623" s="66"/>
    </row>
    <row r="624" spans="22:23">
      <c r="V624" s="66"/>
      <c r="W624" s="66"/>
    </row>
    <row r="625" spans="22:23">
      <c r="V625" s="66"/>
      <c r="W625" s="66"/>
    </row>
    <row r="626" spans="22:23">
      <c r="V626" s="66"/>
      <c r="W626" s="66"/>
    </row>
    <row r="627" spans="22:23">
      <c r="V627" s="66"/>
      <c r="W627" s="66"/>
    </row>
    <row r="628" spans="22:23">
      <c r="V628" s="66"/>
      <c r="W628" s="66"/>
    </row>
    <row r="629" spans="22:23">
      <c r="V629" s="66"/>
      <c r="W629" s="66"/>
    </row>
    <row r="630" spans="22:23">
      <c r="V630" s="66"/>
      <c r="W630" s="66"/>
    </row>
    <row r="631" spans="22:23">
      <c r="V631" s="66"/>
      <c r="W631" s="66"/>
    </row>
    <row r="632" spans="22:23">
      <c r="V632" s="66"/>
      <c r="W632" s="66"/>
    </row>
    <row r="633" spans="22:23">
      <c r="V633" s="66"/>
      <c r="W633" s="66"/>
    </row>
    <row r="634" spans="22:23">
      <c r="V634" s="66"/>
      <c r="W634" s="66"/>
    </row>
    <row r="635" spans="22:23">
      <c r="V635" s="66"/>
      <c r="W635" s="66"/>
    </row>
    <row r="636" spans="22:23">
      <c r="V636" s="66"/>
      <c r="W636" s="66"/>
    </row>
    <row r="637" spans="22:23">
      <c r="V637" s="66"/>
      <c r="W637" s="66"/>
    </row>
    <row r="638" spans="22:23">
      <c r="V638" s="66"/>
      <c r="W638" s="66"/>
    </row>
    <row r="639" spans="22:23">
      <c r="V639" s="66"/>
      <c r="W639" s="66"/>
    </row>
    <row r="640" spans="22:23">
      <c r="V640" s="66"/>
      <c r="W640" s="66"/>
    </row>
    <row r="641" spans="22:23">
      <c r="V641" s="66"/>
      <c r="W641" s="66"/>
    </row>
    <row r="642" spans="22:23">
      <c r="V642" s="66"/>
      <c r="W642" s="66"/>
    </row>
    <row r="643" spans="22:23">
      <c r="V643" s="66"/>
      <c r="W643" s="66"/>
    </row>
    <row r="644" spans="22:23">
      <c r="V644" s="66"/>
      <c r="W644" s="66"/>
    </row>
    <row r="645" spans="22:23">
      <c r="V645" s="66"/>
      <c r="W645" s="66"/>
    </row>
    <row r="646" spans="22:23">
      <c r="V646" s="66"/>
      <c r="W646" s="66"/>
    </row>
    <row r="647" spans="22:23">
      <c r="V647" s="66"/>
      <c r="W647" s="66"/>
    </row>
    <row r="648" spans="22:23">
      <c r="V648" s="66"/>
      <c r="W648" s="66"/>
    </row>
    <row r="649" spans="22:23">
      <c r="V649" s="66"/>
      <c r="W649" s="66"/>
    </row>
    <row r="650" spans="22:23">
      <c r="V650" s="66"/>
      <c r="W650" s="66"/>
    </row>
    <row r="651" spans="22:23">
      <c r="V651" s="66"/>
      <c r="W651" s="66"/>
    </row>
    <row r="652" spans="22:23">
      <c r="V652" s="66"/>
      <c r="W652" s="66"/>
    </row>
    <row r="653" spans="22:23">
      <c r="V653" s="66"/>
      <c r="W653" s="66"/>
    </row>
    <row r="654" spans="22:23">
      <c r="V654" s="66"/>
      <c r="W654" s="66"/>
    </row>
    <row r="655" spans="22:23">
      <c r="V655" s="66"/>
      <c r="W655" s="66"/>
    </row>
    <row r="656" spans="22:23">
      <c r="V656" s="66"/>
      <c r="W656" s="66"/>
    </row>
    <row r="657" spans="22:23">
      <c r="V657" s="66"/>
      <c r="W657" s="66"/>
    </row>
    <row r="658" spans="22:23">
      <c r="V658" s="66"/>
      <c r="W658" s="66"/>
    </row>
    <row r="659" spans="22:23">
      <c r="V659" s="66"/>
      <c r="W659" s="66"/>
    </row>
    <row r="660" spans="22:23">
      <c r="V660" s="66"/>
      <c r="W660" s="66"/>
    </row>
    <row r="661" spans="22:23">
      <c r="V661" s="66"/>
      <c r="W661" s="66"/>
    </row>
    <row r="662" spans="22:23">
      <c r="V662" s="66"/>
      <c r="W662" s="66"/>
    </row>
    <row r="663" spans="22:23">
      <c r="V663" s="66"/>
      <c r="W663" s="66"/>
    </row>
    <row r="664" spans="22:23">
      <c r="V664" s="66"/>
      <c r="W664" s="66"/>
    </row>
    <row r="665" spans="22:23">
      <c r="V665" s="66"/>
      <c r="W665" s="66"/>
    </row>
    <row r="666" spans="22:23">
      <c r="V666" s="66"/>
      <c r="W666" s="66"/>
    </row>
    <row r="667" spans="22:23">
      <c r="V667" s="66"/>
      <c r="W667" s="66"/>
    </row>
    <row r="668" spans="22:23">
      <c r="V668" s="66"/>
      <c r="W668" s="66"/>
    </row>
    <row r="669" spans="22:23">
      <c r="V669" s="66"/>
      <c r="W669" s="66"/>
    </row>
    <row r="670" spans="22:23">
      <c r="V670" s="66"/>
      <c r="W670" s="66"/>
    </row>
    <row r="671" spans="22:23">
      <c r="V671" s="66"/>
      <c r="W671" s="66"/>
    </row>
    <row r="672" spans="22:23">
      <c r="V672" s="66"/>
      <c r="W672" s="66"/>
    </row>
    <row r="673" spans="22:23">
      <c r="V673" s="66"/>
      <c r="W673" s="66"/>
    </row>
    <row r="674" spans="22:23">
      <c r="V674" s="66"/>
      <c r="W674" s="66"/>
    </row>
    <row r="675" spans="22:23">
      <c r="V675" s="66"/>
      <c r="W675" s="66"/>
    </row>
    <row r="676" spans="22:23">
      <c r="V676" s="66"/>
      <c r="W676" s="66"/>
    </row>
    <row r="677" spans="22:23">
      <c r="V677" s="66"/>
      <c r="W677" s="66"/>
    </row>
    <row r="678" spans="22:23">
      <c r="V678" s="66"/>
      <c r="W678" s="66"/>
    </row>
    <row r="679" spans="22:23">
      <c r="V679" s="66"/>
      <c r="W679" s="66"/>
    </row>
    <row r="680" spans="22:23">
      <c r="V680" s="66"/>
      <c r="W680" s="66"/>
    </row>
    <row r="681" spans="22:23">
      <c r="V681" s="66"/>
      <c r="W681" s="66"/>
    </row>
    <row r="682" spans="22:23">
      <c r="V682" s="66"/>
      <c r="W682" s="66"/>
    </row>
    <row r="683" spans="22:23">
      <c r="V683" s="66"/>
      <c r="W683" s="66"/>
    </row>
    <row r="684" spans="22:23">
      <c r="V684" s="66"/>
      <c r="W684" s="66"/>
    </row>
    <row r="685" spans="22:23">
      <c r="V685" s="66"/>
      <c r="W685" s="66"/>
    </row>
    <row r="686" spans="22:23">
      <c r="V686" s="66"/>
      <c r="W686" s="66"/>
    </row>
    <row r="687" spans="22:23">
      <c r="V687" s="66"/>
      <c r="W687" s="66"/>
    </row>
    <row r="688" spans="22:23">
      <c r="V688" s="66"/>
      <c r="W688" s="66"/>
    </row>
    <row r="689" spans="22:23">
      <c r="V689" s="66"/>
      <c r="W689" s="66"/>
    </row>
    <row r="690" spans="22:23">
      <c r="V690" s="66"/>
      <c r="W690" s="66"/>
    </row>
    <row r="691" spans="22:23">
      <c r="V691" s="66"/>
      <c r="W691" s="66"/>
    </row>
    <row r="692" spans="22:23">
      <c r="V692" s="66"/>
      <c r="W692" s="66"/>
    </row>
    <row r="693" spans="22:23">
      <c r="V693" s="66"/>
      <c r="W693" s="66"/>
    </row>
    <row r="694" spans="22:23">
      <c r="V694" s="66"/>
      <c r="W694" s="66"/>
    </row>
    <row r="695" spans="22:23">
      <c r="V695" s="66"/>
      <c r="W695" s="66"/>
    </row>
    <row r="696" spans="22:23">
      <c r="V696" s="66"/>
      <c r="W696" s="66"/>
    </row>
    <row r="697" spans="22:23">
      <c r="V697" s="66"/>
      <c r="W697" s="66"/>
    </row>
    <row r="698" spans="22:23">
      <c r="V698" s="66"/>
      <c r="W698" s="66"/>
    </row>
    <row r="699" spans="22:23">
      <c r="V699" s="66"/>
      <c r="W699" s="66"/>
    </row>
    <row r="700" spans="22:23">
      <c r="V700" s="66"/>
      <c r="W700" s="66"/>
    </row>
    <row r="701" spans="22:23">
      <c r="V701" s="66"/>
      <c r="W701" s="66"/>
    </row>
    <row r="702" spans="22:23">
      <c r="V702" s="66"/>
      <c r="W702" s="66"/>
    </row>
    <row r="703" spans="22:23">
      <c r="V703" s="66"/>
      <c r="W703" s="66"/>
    </row>
    <row r="704" spans="22:23">
      <c r="V704" s="66"/>
      <c r="W704" s="66"/>
    </row>
    <row r="705" spans="22:23">
      <c r="V705" s="66"/>
      <c r="W705" s="66"/>
    </row>
    <row r="706" spans="22:23">
      <c r="V706" s="66"/>
      <c r="W706" s="66"/>
    </row>
    <row r="707" spans="22:23">
      <c r="V707" s="66"/>
      <c r="W707" s="66"/>
    </row>
    <row r="708" spans="22:23">
      <c r="V708" s="66"/>
      <c r="W708" s="66"/>
    </row>
    <row r="709" spans="22:23">
      <c r="V709" s="66"/>
      <c r="W709" s="66"/>
    </row>
    <row r="710" spans="22:23">
      <c r="V710" s="66"/>
      <c r="W710" s="66"/>
    </row>
    <row r="711" spans="22:23">
      <c r="V711" s="66"/>
      <c r="W711" s="66"/>
    </row>
    <row r="712" spans="22:23">
      <c r="V712" s="66"/>
      <c r="W712" s="66"/>
    </row>
    <row r="713" spans="22:23">
      <c r="V713" s="66"/>
      <c r="W713" s="66"/>
    </row>
    <row r="714" spans="22:23">
      <c r="V714" s="66"/>
      <c r="W714" s="66"/>
    </row>
    <row r="715" spans="22:23">
      <c r="V715" s="66"/>
      <c r="W715" s="66"/>
    </row>
    <row r="716" spans="22:23">
      <c r="V716" s="66"/>
      <c r="W716" s="66"/>
    </row>
    <row r="717" spans="22:23">
      <c r="V717" s="66"/>
      <c r="W717" s="66"/>
    </row>
    <row r="718" spans="22:23">
      <c r="V718" s="66"/>
      <c r="W718" s="66"/>
    </row>
    <row r="719" spans="22:23">
      <c r="V719" s="66"/>
      <c r="W719" s="66"/>
    </row>
    <row r="720" spans="22:23">
      <c r="V720" s="66"/>
      <c r="W720" s="66"/>
    </row>
    <row r="721" spans="22:23">
      <c r="V721" s="66"/>
      <c r="W721" s="66"/>
    </row>
    <row r="722" spans="22:23">
      <c r="V722" s="66"/>
      <c r="W722" s="66"/>
    </row>
    <row r="723" spans="22:23">
      <c r="V723" s="66"/>
      <c r="W723" s="66"/>
    </row>
    <row r="724" spans="22:23">
      <c r="V724" s="66"/>
      <c r="W724" s="66"/>
    </row>
    <row r="725" spans="22:23">
      <c r="V725" s="66"/>
      <c r="W725" s="66"/>
    </row>
    <row r="726" spans="22:23">
      <c r="V726" s="66"/>
      <c r="W726" s="66"/>
    </row>
    <row r="727" spans="22:23">
      <c r="V727" s="66"/>
      <c r="W727" s="66"/>
    </row>
    <row r="728" spans="22:23">
      <c r="V728" s="66"/>
      <c r="W728" s="66"/>
    </row>
    <row r="729" spans="22:23">
      <c r="V729" s="66"/>
      <c r="W729" s="66"/>
    </row>
    <row r="730" spans="22:23">
      <c r="V730" s="66"/>
      <c r="W730" s="66"/>
    </row>
    <row r="731" spans="22:23">
      <c r="V731" s="66"/>
      <c r="W731" s="66"/>
    </row>
    <row r="732" spans="22:23">
      <c r="V732" s="66"/>
      <c r="W732" s="66"/>
    </row>
    <row r="733" spans="22:23">
      <c r="V733" s="66"/>
      <c r="W733" s="66"/>
    </row>
    <row r="734" spans="22:23">
      <c r="V734" s="66"/>
      <c r="W734" s="66"/>
    </row>
    <row r="735" spans="22:23">
      <c r="V735" s="66"/>
      <c r="W735" s="66"/>
    </row>
    <row r="736" spans="22:23">
      <c r="V736" s="66"/>
      <c r="W736" s="66"/>
    </row>
    <row r="737" spans="22:23">
      <c r="V737" s="66"/>
      <c r="W737" s="66"/>
    </row>
    <row r="738" spans="22:23">
      <c r="V738" s="66"/>
      <c r="W738" s="66"/>
    </row>
    <row r="739" spans="22:23">
      <c r="V739" s="66"/>
      <c r="W739" s="66"/>
    </row>
    <row r="740" spans="22:23">
      <c r="V740" s="66"/>
      <c r="W740" s="66"/>
    </row>
    <row r="741" spans="22:23">
      <c r="V741" s="66"/>
      <c r="W741" s="66"/>
    </row>
    <row r="742" spans="22:23">
      <c r="V742" s="66"/>
      <c r="W742" s="66"/>
    </row>
    <row r="743" spans="22:23">
      <c r="V743" s="66"/>
      <c r="W743" s="66"/>
    </row>
    <row r="744" spans="22:23">
      <c r="V744" s="66"/>
      <c r="W744" s="66"/>
    </row>
    <row r="745" spans="22:23">
      <c r="V745" s="66"/>
      <c r="W745" s="66"/>
    </row>
    <row r="746" spans="22:23">
      <c r="V746" s="66"/>
      <c r="W746" s="66"/>
    </row>
    <row r="747" spans="22:23">
      <c r="V747" s="66"/>
      <c r="W747" s="66"/>
    </row>
    <row r="748" spans="22:23">
      <c r="V748" s="66"/>
      <c r="W748" s="66"/>
    </row>
    <row r="749" spans="22:23">
      <c r="V749" s="66"/>
      <c r="W749" s="66"/>
    </row>
    <row r="750" spans="22:23">
      <c r="V750" s="66"/>
      <c r="W750" s="66"/>
    </row>
    <row r="751" spans="22:23">
      <c r="V751" s="66"/>
      <c r="W751" s="66"/>
    </row>
    <row r="752" spans="22:23">
      <c r="V752" s="66"/>
      <c r="W752" s="66"/>
    </row>
    <row r="753" spans="22:23">
      <c r="V753" s="66"/>
      <c r="W753" s="66"/>
    </row>
    <row r="754" spans="22:23">
      <c r="V754" s="66"/>
      <c r="W754" s="66"/>
    </row>
    <row r="755" spans="22:23">
      <c r="V755" s="66"/>
      <c r="W755" s="66"/>
    </row>
    <row r="756" spans="22:23">
      <c r="V756" s="66"/>
      <c r="W756" s="66"/>
    </row>
    <row r="757" spans="22:23">
      <c r="V757" s="66"/>
      <c r="W757" s="66"/>
    </row>
    <row r="758" spans="22:23">
      <c r="V758" s="66"/>
      <c r="W758" s="66"/>
    </row>
    <row r="759" spans="22:23">
      <c r="V759" s="66"/>
      <c r="W759" s="66"/>
    </row>
    <row r="760" spans="22:23">
      <c r="V760" s="66"/>
      <c r="W760" s="66"/>
    </row>
    <row r="761" spans="22:23">
      <c r="V761" s="66"/>
      <c r="W761" s="66"/>
    </row>
    <row r="762" spans="22:23">
      <c r="V762" s="66"/>
      <c r="W762" s="66"/>
    </row>
    <row r="763" spans="22:23">
      <c r="V763" s="66"/>
      <c r="W763" s="66"/>
    </row>
    <row r="764" spans="22:23">
      <c r="V764" s="66"/>
      <c r="W764" s="66"/>
    </row>
    <row r="765" spans="22:23">
      <c r="V765" s="66"/>
      <c r="W765" s="66"/>
    </row>
    <row r="766" spans="22:23">
      <c r="V766" s="66"/>
      <c r="W766" s="66"/>
    </row>
    <row r="767" spans="22:23">
      <c r="V767" s="66"/>
      <c r="W767" s="66"/>
    </row>
    <row r="768" spans="22:23">
      <c r="V768" s="66"/>
      <c r="W768" s="66"/>
    </row>
    <row r="769" spans="22:23">
      <c r="V769" s="66"/>
      <c r="W769" s="66"/>
    </row>
    <row r="770" spans="22:23">
      <c r="V770" s="66"/>
      <c r="W770" s="66"/>
    </row>
    <row r="771" spans="22:23">
      <c r="V771" s="66"/>
      <c r="W771" s="66"/>
    </row>
    <row r="772" spans="22:23">
      <c r="V772" s="66"/>
      <c r="W772" s="66"/>
    </row>
    <row r="773" spans="22:23">
      <c r="V773" s="66"/>
      <c r="W773" s="66"/>
    </row>
    <row r="774" spans="22:23">
      <c r="V774" s="66"/>
      <c r="W774" s="66"/>
    </row>
    <row r="775" spans="22:23">
      <c r="V775" s="66"/>
      <c r="W775" s="66"/>
    </row>
    <row r="776" spans="22:23">
      <c r="V776" s="66"/>
      <c r="W776" s="66"/>
    </row>
    <row r="777" spans="22:23">
      <c r="V777" s="66"/>
      <c r="W777" s="66"/>
    </row>
    <row r="778" spans="22:23">
      <c r="V778" s="66"/>
      <c r="W778" s="66"/>
    </row>
    <row r="779" spans="22:23">
      <c r="V779" s="66"/>
      <c r="W779" s="66"/>
    </row>
    <row r="780" spans="22:23">
      <c r="V780" s="66"/>
      <c r="W780" s="66"/>
    </row>
    <row r="781" spans="22:23">
      <c r="V781" s="66"/>
      <c r="W781" s="66"/>
    </row>
    <row r="782" spans="22:23">
      <c r="V782" s="66"/>
      <c r="W782" s="66"/>
    </row>
    <row r="783" spans="22:23">
      <c r="V783" s="66"/>
      <c r="W783" s="66"/>
    </row>
    <row r="784" spans="22:23">
      <c r="V784" s="66"/>
      <c r="W784" s="66"/>
    </row>
    <row r="785" spans="22:23">
      <c r="V785" s="66"/>
      <c r="W785" s="66"/>
    </row>
    <row r="786" spans="22:23">
      <c r="V786" s="66"/>
      <c r="W786" s="66"/>
    </row>
    <row r="787" spans="22:23">
      <c r="V787" s="66"/>
      <c r="W787" s="66"/>
    </row>
    <row r="788" spans="22:23">
      <c r="V788" s="66"/>
      <c r="W788" s="66"/>
    </row>
    <row r="789" spans="22:23">
      <c r="V789" s="66"/>
      <c r="W789" s="66"/>
    </row>
    <row r="790" spans="22:23">
      <c r="V790" s="66"/>
      <c r="W790" s="66"/>
    </row>
    <row r="791" spans="22:23">
      <c r="V791" s="66"/>
      <c r="W791" s="66"/>
    </row>
    <row r="792" spans="22:23">
      <c r="V792" s="66"/>
      <c r="W792" s="66"/>
    </row>
    <row r="793" spans="22:23">
      <c r="V793" s="66"/>
      <c r="W793" s="66"/>
    </row>
    <row r="794" spans="22:23">
      <c r="V794" s="66"/>
      <c r="W794" s="66"/>
    </row>
    <row r="795" spans="22:23">
      <c r="V795" s="66"/>
      <c r="W795" s="66"/>
    </row>
    <row r="796" spans="22:23">
      <c r="V796" s="66"/>
      <c r="W796" s="66"/>
    </row>
    <row r="797" spans="22:23">
      <c r="V797" s="66"/>
      <c r="W797" s="66"/>
    </row>
    <row r="798" spans="22:23">
      <c r="V798" s="66"/>
      <c r="W798" s="66"/>
    </row>
    <row r="799" spans="22:23">
      <c r="V799" s="66"/>
      <c r="W799" s="66"/>
    </row>
    <row r="800" spans="22:23">
      <c r="V800" s="66"/>
      <c r="W800" s="66"/>
    </row>
    <row r="801" spans="22:23">
      <c r="V801" s="66"/>
      <c r="W801" s="66"/>
    </row>
    <row r="802" spans="22:23">
      <c r="V802" s="66"/>
      <c r="W802" s="66"/>
    </row>
    <row r="803" spans="22:23">
      <c r="V803" s="66"/>
      <c r="W803" s="66"/>
    </row>
    <row r="804" spans="22:23">
      <c r="V804" s="66"/>
      <c r="W804" s="66"/>
    </row>
    <row r="805" spans="22:23">
      <c r="V805" s="66"/>
      <c r="W805" s="66"/>
    </row>
    <row r="806" spans="22:23">
      <c r="V806" s="66"/>
      <c r="W806" s="66"/>
    </row>
    <row r="807" spans="22:23">
      <c r="V807" s="66"/>
      <c r="W807" s="66"/>
    </row>
    <row r="808" spans="22:23">
      <c r="V808" s="66"/>
      <c r="W808" s="66"/>
    </row>
    <row r="809" spans="22:23">
      <c r="V809" s="66"/>
      <c r="W809" s="66"/>
    </row>
    <row r="810" spans="22:23">
      <c r="V810" s="66"/>
      <c r="W810" s="66"/>
    </row>
    <row r="811" spans="22:23">
      <c r="V811" s="66"/>
      <c r="W811" s="66"/>
    </row>
    <row r="812" spans="22:23">
      <c r="V812" s="66"/>
      <c r="W812" s="66"/>
    </row>
    <row r="813" spans="22:23">
      <c r="V813" s="66"/>
      <c r="W813" s="66"/>
    </row>
    <row r="814" spans="22:23">
      <c r="V814" s="66"/>
      <c r="W814" s="66"/>
    </row>
    <row r="815" spans="22:23">
      <c r="V815" s="66"/>
      <c r="W815" s="66"/>
    </row>
    <row r="816" spans="22:23">
      <c r="V816" s="66"/>
      <c r="W816" s="66"/>
    </row>
    <row r="817" spans="22:23">
      <c r="V817" s="66"/>
      <c r="W817" s="66"/>
    </row>
    <row r="818" spans="22:23">
      <c r="V818" s="66"/>
      <c r="W818" s="66"/>
    </row>
    <row r="819" spans="22:23">
      <c r="V819" s="66"/>
      <c r="W819" s="66"/>
    </row>
    <row r="820" spans="22:23">
      <c r="V820" s="66"/>
      <c r="W820" s="66"/>
    </row>
    <row r="821" spans="22:23">
      <c r="V821" s="66"/>
      <c r="W821" s="66"/>
    </row>
    <row r="822" spans="22:23">
      <c r="V822" s="66"/>
      <c r="W822" s="66"/>
    </row>
    <row r="823" spans="22:23">
      <c r="V823" s="66"/>
      <c r="W823" s="66"/>
    </row>
    <row r="824" spans="22:23">
      <c r="V824" s="66"/>
      <c r="W824" s="66"/>
    </row>
    <row r="825" spans="22:23">
      <c r="V825" s="66"/>
      <c r="W825" s="66"/>
    </row>
    <row r="826" spans="22:23">
      <c r="V826" s="66"/>
      <c r="W826" s="66"/>
    </row>
    <row r="827" spans="22:23">
      <c r="V827" s="66"/>
      <c r="W827" s="66"/>
    </row>
    <row r="828" spans="22:23">
      <c r="V828" s="66"/>
      <c r="W828" s="66"/>
    </row>
    <row r="829" spans="22:23">
      <c r="V829" s="66"/>
      <c r="W829" s="66"/>
    </row>
    <row r="830" spans="22:23">
      <c r="V830" s="66"/>
      <c r="W830" s="66"/>
    </row>
    <row r="831" spans="22:23">
      <c r="V831" s="66"/>
      <c r="W831" s="66"/>
    </row>
    <row r="832" spans="22:23">
      <c r="V832" s="66"/>
      <c r="W832" s="66"/>
    </row>
    <row r="833" spans="22:23">
      <c r="V833" s="66"/>
      <c r="W833" s="66"/>
    </row>
    <row r="834" spans="22:23">
      <c r="V834" s="66"/>
      <c r="W834" s="66"/>
    </row>
    <row r="835" spans="22:23">
      <c r="V835" s="66"/>
      <c r="W835" s="66"/>
    </row>
    <row r="836" spans="22:23">
      <c r="V836" s="66"/>
      <c r="W836" s="66"/>
    </row>
    <row r="837" spans="22:23">
      <c r="V837" s="66"/>
      <c r="W837" s="66"/>
    </row>
    <row r="838" spans="22:23">
      <c r="V838" s="66"/>
      <c r="W838" s="66"/>
    </row>
    <row r="839" spans="22:23">
      <c r="V839" s="66"/>
      <c r="W839" s="66"/>
    </row>
    <row r="840" spans="22:23">
      <c r="V840" s="66"/>
      <c r="W840" s="66"/>
    </row>
    <row r="841" spans="22:23">
      <c r="V841" s="66"/>
      <c r="W841" s="66"/>
    </row>
    <row r="842" spans="22:23">
      <c r="V842" s="66"/>
      <c r="W842" s="66"/>
    </row>
    <row r="843" spans="22:23">
      <c r="V843" s="66"/>
      <c r="W843" s="66"/>
    </row>
    <row r="844" spans="22:23">
      <c r="V844" s="66"/>
      <c r="W844" s="66"/>
    </row>
    <row r="845" spans="22:23">
      <c r="V845" s="66"/>
      <c r="W845" s="66"/>
    </row>
    <row r="846" spans="22:23">
      <c r="V846" s="66"/>
      <c r="W846" s="66"/>
    </row>
    <row r="847" spans="22:23">
      <c r="V847" s="66"/>
      <c r="W847" s="66"/>
    </row>
    <row r="848" spans="22:23">
      <c r="V848" s="66"/>
      <c r="W848" s="66"/>
    </row>
    <row r="849" spans="22:23">
      <c r="V849" s="66"/>
      <c r="W849" s="66"/>
    </row>
    <row r="850" spans="22:23">
      <c r="V850" s="66"/>
      <c r="W850" s="66"/>
    </row>
    <row r="851" spans="22:23">
      <c r="V851" s="66"/>
      <c r="W851" s="66"/>
    </row>
    <row r="852" spans="22:23">
      <c r="V852" s="66"/>
      <c r="W852" s="66"/>
    </row>
    <row r="853" spans="22:23">
      <c r="V853" s="66"/>
      <c r="W853" s="66"/>
    </row>
    <row r="854" spans="22:23">
      <c r="V854" s="66"/>
      <c r="W854" s="66"/>
    </row>
    <row r="855" spans="22:23">
      <c r="V855" s="66"/>
      <c r="W855" s="66"/>
    </row>
    <row r="856" spans="22:23">
      <c r="V856" s="66"/>
      <c r="W856" s="66"/>
    </row>
    <row r="857" spans="22:23">
      <c r="V857" s="66"/>
      <c r="W857" s="66"/>
    </row>
    <row r="858" spans="22:23">
      <c r="V858" s="66"/>
      <c r="W858" s="66"/>
    </row>
    <row r="859" spans="22:23">
      <c r="V859" s="66"/>
      <c r="W859" s="66"/>
    </row>
    <row r="860" spans="22:23">
      <c r="V860" s="66"/>
      <c r="W860" s="66"/>
    </row>
    <row r="861" spans="22:23">
      <c r="V861" s="66"/>
      <c r="W861" s="66"/>
    </row>
    <row r="862" spans="22:23">
      <c r="V862" s="66"/>
      <c r="W862" s="66"/>
    </row>
    <row r="863" spans="22:23">
      <c r="V863" s="66"/>
      <c r="W863" s="66"/>
    </row>
    <row r="864" spans="22:23">
      <c r="V864" s="66"/>
      <c r="W864" s="66"/>
    </row>
    <row r="865" spans="22:23">
      <c r="V865" s="66"/>
      <c r="W865" s="66"/>
    </row>
    <row r="866" spans="22:23">
      <c r="V866" s="66"/>
      <c r="W866" s="66"/>
    </row>
    <row r="867" spans="22:23">
      <c r="V867" s="66"/>
      <c r="W867" s="66"/>
    </row>
    <row r="868" spans="22:23">
      <c r="V868" s="66"/>
      <c r="W868" s="66"/>
    </row>
    <row r="869" spans="22:23">
      <c r="V869" s="66"/>
      <c r="W869" s="66"/>
    </row>
    <row r="870" spans="22:23">
      <c r="V870" s="66"/>
      <c r="W870" s="66"/>
    </row>
    <row r="871" spans="22:23">
      <c r="V871" s="66"/>
      <c r="W871" s="66"/>
    </row>
    <row r="872" spans="22:23">
      <c r="V872" s="66"/>
      <c r="W872" s="66"/>
    </row>
    <row r="873" spans="22:23">
      <c r="V873" s="66"/>
      <c r="W873" s="66"/>
    </row>
    <row r="874" spans="22:23">
      <c r="V874" s="66"/>
      <c r="W874" s="66"/>
    </row>
    <row r="875" spans="22:23">
      <c r="V875" s="66"/>
      <c r="W875" s="66"/>
    </row>
    <row r="876" spans="22:23">
      <c r="V876" s="66"/>
      <c r="W876" s="66"/>
    </row>
    <row r="877" spans="22:23">
      <c r="V877" s="66"/>
      <c r="W877" s="66"/>
    </row>
    <row r="878" spans="22:23">
      <c r="V878" s="66"/>
      <c r="W878" s="66"/>
    </row>
    <row r="879" spans="22:23">
      <c r="V879" s="66"/>
      <c r="W879" s="66"/>
    </row>
    <row r="880" spans="22:23">
      <c r="V880" s="66"/>
      <c r="W880" s="66"/>
    </row>
    <row r="881" spans="22:23">
      <c r="V881" s="66"/>
      <c r="W881" s="66"/>
    </row>
    <row r="882" spans="22:23">
      <c r="V882" s="66"/>
      <c r="W882" s="66"/>
    </row>
    <row r="883" spans="22:23">
      <c r="V883" s="66"/>
      <c r="W883" s="66"/>
    </row>
    <row r="884" spans="22:23">
      <c r="V884" s="66"/>
      <c r="W884" s="66"/>
    </row>
    <row r="885" spans="22:23">
      <c r="V885" s="66"/>
      <c r="W885" s="66"/>
    </row>
    <row r="886" spans="22:23">
      <c r="V886" s="66"/>
      <c r="W886" s="66"/>
    </row>
    <row r="887" spans="22:23">
      <c r="V887" s="66"/>
      <c r="W887" s="66"/>
    </row>
    <row r="888" spans="22:23">
      <c r="V888" s="66"/>
      <c r="W888" s="66"/>
    </row>
    <row r="889" spans="22:23">
      <c r="V889" s="66"/>
      <c r="W889" s="66"/>
    </row>
    <row r="890" spans="22:23">
      <c r="V890" s="66"/>
      <c r="W890" s="66"/>
    </row>
    <row r="891" spans="22:23">
      <c r="V891" s="66"/>
      <c r="W891" s="66"/>
    </row>
    <row r="892" spans="22:23">
      <c r="V892" s="66"/>
      <c r="W892" s="66"/>
    </row>
    <row r="893" spans="22:23">
      <c r="V893" s="66"/>
      <c r="W893" s="66"/>
    </row>
    <row r="894" spans="22:23">
      <c r="V894" s="66"/>
      <c r="W894" s="66"/>
    </row>
    <row r="895" spans="22:23">
      <c r="V895" s="66"/>
      <c r="W895" s="66"/>
    </row>
    <row r="896" spans="22:23">
      <c r="V896" s="66"/>
      <c r="W896" s="66"/>
    </row>
    <row r="897" spans="22:23">
      <c r="V897" s="66"/>
      <c r="W897" s="66"/>
    </row>
    <row r="898" spans="22:23">
      <c r="V898" s="66"/>
      <c r="W898" s="66"/>
    </row>
    <row r="899" spans="22:23">
      <c r="V899" s="66"/>
      <c r="W899" s="66"/>
    </row>
    <row r="900" spans="22:23">
      <c r="V900" s="66"/>
      <c r="W900" s="66"/>
    </row>
    <row r="901" spans="22:23">
      <c r="V901" s="66"/>
      <c r="W901" s="66"/>
    </row>
    <row r="902" spans="22:23">
      <c r="V902" s="66"/>
      <c r="W902" s="66"/>
    </row>
    <row r="903" spans="22:23">
      <c r="V903" s="66"/>
      <c r="W903" s="66"/>
    </row>
    <row r="904" spans="22:23">
      <c r="V904" s="66"/>
      <c r="W904" s="66"/>
    </row>
    <row r="905" spans="22:23">
      <c r="V905" s="66"/>
      <c r="W905" s="66"/>
    </row>
    <row r="906" spans="22:23">
      <c r="V906" s="66"/>
      <c r="W906" s="66"/>
    </row>
    <row r="907" spans="22:23">
      <c r="V907" s="66"/>
      <c r="W907" s="66"/>
    </row>
    <row r="908" spans="22:23">
      <c r="V908" s="66"/>
      <c r="W908" s="66"/>
    </row>
    <row r="909" spans="22:23">
      <c r="V909" s="66"/>
      <c r="W909" s="66"/>
    </row>
    <row r="910" spans="22:23">
      <c r="V910" s="66"/>
      <c r="W910" s="66"/>
    </row>
    <row r="911" spans="22:23">
      <c r="V911" s="66"/>
      <c r="W911" s="66"/>
    </row>
    <row r="912" spans="22:23">
      <c r="V912" s="66"/>
      <c r="W912" s="66"/>
    </row>
    <row r="913" spans="22:23">
      <c r="V913" s="66"/>
      <c r="W913" s="66"/>
    </row>
    <row r="914" spans="22:23">
      <c r="V914" s="66"/>
      <c r="W914" s="66"/>
    </row>
    <row r="915" spans="22:23">
      <c r="V915" s="66"/>
      <c r="W915" s="66"/>
    </row>
    <row r="916" spans="22:23">
      <c r="V916" s="66"/>
      <c r="W916" s="66"/>
    </row>
    <row r="917" spans="22:23">
      <c r="V917" s="66"/>
      <c r="W917" s="66"/>
    </row>
    <row r="918" spans="22:23">
      <c r="V918" s="66"/>
      <c r="W918" s="66"/>
    </row>
    <row r="919" spans="22:23">
      <c r="V919" s="66"/>
      <c r="W919" s="66"/>
    </row>
    <row r="920" spans="22:23">
      <c r="V920" s="66"/>
      <c r="W920" s="66"/>
    </row>
    <row r="921" spans="22:23">
      <c r="V921" s="66"/>
      <c r="W921" s="66"/>
    </row>
    <row r="922" spans="22:23">
      <c r="V922" s="66"/>
      <c r="W922" s="66"/>
    </row>
    <row r="923" spans="22:23">
      <c r="V923" s="66"/>
      <c r="W923" s="66"/>
    </row>
    <row r="924" spans="22:23">
      <c r="V924" s="66"/>
      <c r="W924" s="66"/>
    </row>
    <row r="925" spans="22:23">
      <c r="V925" s="66"/>
      <c r="W925" s="66"/>
    </row>
    <row r="926" spans="22:23">
      <c r="V926" s="66"/>
      <c r="W926" s="66"/>
    </row>
    <row r="927" spans="22:23">
      <c r="V927" s="66"/>
      <c r="W927" s="66"/>
    </row>
    <row r="928" spans="22:23">
      <c r="V928" s="66"/>
      <c r="W928" s="66"/>
    </row>
    <row r="929" spans="22:23">
      <c r="V929" s="66"/>
      <c r="W929" s="66"/>
    </row>
    <row r="930" spans="22:23">
      <c r="V930" s="66"/>
      <c r="W930" s="66"/>
    </row>
    <row r="931" spans="22:23">
      <c r="V931" s="66"/>
      <c r="W931" s="66"/>
    </row>
    <row r="932" spans="22:23">
      <c r="V932" s="66"/>
      <c r="W932" s="66"/>
    </row>
    <row r="933" spans="22:23">
      <c r="V933" s="66"/>
      <c r="W933" s="66"/>
    </row>
    <row r="934" spans="22:23">
      <c r="V934" s="66"/>
      <c r="W934" s="66"/>
    </row>
    <row r="935" spans="22:23">
      <c r="V935" s="66"/>
      <c r="W935" s="66"/>
    </row>
    <row r="936" spans="22:23">
      <c r="V936" s="66"/>
      <c r="W936" s="66"/>
    </row>
    <row r="937" spans="22:23">
      <c r="V937" s="66"/>
      <c r="W937" s="66"/>
    </row>
    <row r="938" spans="22:23">
      <c r="V938" s="66"/>
      <c r="W938" s="66"/>
    </row>
    <row r="939" spans="22:23">
      <c r="V939" s="66"/>
      <c r="W939" s="66"/>
    </row>
    <row r="940" spans="22:23">
      <c r="V940" s="66"/>
      <c r="W940" s="66"/>
    </row>
    <row r="941" spans="22:23">
      <c r="V941" s="66"/>
      <c r="W941" s="66"/>
    </row>
    <row r="942" spans="22:23">
      <c r="V942" s="66"/>
      <c r="W942" s="66"/>
    </row>
    <row r="943" spans="22:23">
      <c r="V943" s="66"/>
      <c r="W943" s="66"/>
    </row>
    <row r="944" spans="22:23">
      <c r="V944" s="66"/>
      <c r="W944" s="66"/>
    </row>
    <row r="945" spans="22:23">
      <c r="V945" s="66"/>
      <c r="W945" s="66"/>
    </row>
    <row r="946" spans="22:23">
      <c r="V946" s="66"/>
      <c r="W946" s="66"/>
    </row>
    <row r="947" spans="22:23">
      <c r="V947" s="66"/>
      <c r="W947" s="66"/>
    </row>
    <row r="948" spans="22:23">
      <c r="V948" s="66"/>
      <c r="W948" s="66"/>
    </row>
    <row r="949" spans="22:23">
      <c r="V949" s="66"/>
      <c r="W949" s="66"/>
    </row>
    <row r="950" spans="22:23">
      <c r="V950" s="66"/>
      <c r="W950" s="66"/>
    </row>
    <row r="951" spans="22:23">
      <c r="V951" s="66"/>
      <c r="W951" s="66"/>
    </row>
    <row r="952" spans="22:23">
      <c r="V952" s="66"/>
      <c r="W952" s="66"/>
    </row>
    <row r="953" spans="22:23">
      <c r="V953" s="66"/>
      <c r="W953" s="66"/>
    </row>
    <row r="954" spans="22:23">
      <c r="V954" s="66"/>
      <c r="W954" s="66"/>
    </row>
    <row r="955" spans="22:23">
      <c r="V955" s="66"/>
      <c r="W955" s="66"/>
    </row>
    <row r="956" spans="22:23">
      <c r="V956" s="66"/>
      <c r="W956" s="66"/>
    </row>
    <row r="957" spans="22:23">
      <c r="V957" s="66"/>
      <c r="W957" s="66"/>
    </row>
    <row r="958" spans="22:23">
      <c r="V958" s="66"/>
      <c r="W958" s="66"/>
    </row>
    <row r="959" spans="22:23">
      <c r="V959" s="66"/>
      <c r="W959" s="66"/>
    </row>
    <row r="960" spans="22:23">
      <c r="V960" s="66"/>
      <c r="W960" s="66"/>
    </row>
    <row r="961" spans="22:23">
      <c r="V961" s="66"/>
      <c r="W961" s="66"/>
    </row>
    <row r="962" spans="22:23">
      <c r="V962" s="66"/>
      <c r="W962" s="66"/>
    </row>
    <row r="963" spans="22:23">
      <c r="V963" s="66"/>
      <c r="W963" s="66"/>
    </row>
    <row r="964" spans="22:23">
      <c r="V964" s="66"/>
      <c r="W964" s="66"/>
    </row>
    <row r="965" spans="22:23">
      <c r="V965" s="66"/>
      <c r="W965" s="66"/>
    </row>
    <row r="966" spans="22:23">
      <c r="V966" s="66"/>
      <c r="W966" s="66"/>
    </row>
    <row r="967" spans="22:23">
      <c r="V967" s="66"/>
      <c r="W967" s="66"/>
    </row>
    <row r="968" spans="22:23">
      <c r="V968" s="66"/>
      <c r="W968" s="66"/>
    </row>
    <row r="969" spans="22:23">
      <c r="V969" s="66"/>
      <c r="W969" s="66"/>
    </row>
    <row r="970" spans="22:23">
      <c r="V970" s="66"/>
      <c r="W970" s="66"/>
    </row>
    <row r="971" spans="22:23">
      <c r="V971" s="66"/>
      <c r="W971" s="66"/>
    </row>
    <row r="972" spans="22:23">
      <c r="V972" s="66"/>
      <c r="W972" s="66"/>
    </row>
    <row r="973" spans="22:23">
      <c r="V973" s="66"/>
      <c r="W973" s="66"/>
    </row>
    <row r="974" spans="22:23">
      <c r="V974" s="66"/>
      <c r="W974" s="66"/>
    </row>
    <row r="975" spans="22:23">
      <c r="V975" s="66"/>
      <c r="W975" s="66"/>
    </row>
    <row r="976" spans="22:23">
      <c r="V976" s="66"/>
      <c r="W976" s="66"/>
    </row>
    <row r="977" spans="22:23">
      <c r="V977" s="66"/>
      <c r="W977" s="66"/>
    </row>
    <row r="978" spans="22:23">
      <c r="V978" s="66"/>
      <c r="W978" s="66"/>
    </row>
    <row r="979" spans="22:23">
      <c r="V979" s="66"/>
      <c r="W979" s="66"/>
    </row>
    <row r="980" spans="22:23">
      <c r="V980" s="66"/>
      <c r="W980" s="66"/>
    </row>
    <row r="981" spans="22:23">
      <c r="V981" s="66"/>
      <c r="W981" s="66"/>
    </row>
    <row r="982" spans="22:23">
      <c r="V982" s="66"/>
      <c r="W982" s="66"/>
    </row>
    <row r="983" spans="22:23">
      <c r="V983" s="66"/>
      <c r="W983" s="66"/>
    </row>
    <row r="984" spans="22:23">
      <c r="V984" s="66"/>
      <c r="W984" s="66"/>
    </row>
    <row r="985" spans="22:23">
      <c r="V985" s="66"/>
      <c r="W985" s="66"/>
    </row>
    <row r="986" spans="22:23">
      <c r="V986" s="66"/>
      <c r="W986" s="66"/>
    </row>
    <row r="987" spans="22:23">
      <c r="V987" s="66"/>
      <c r="W987" s="66"/>
    </row>
    <row r="988" spans="22:23">
      <c r="V988" s="66"/>
      <c r="W988" s="66"/>
    </row>
    <row r="989" spans="22:23">
      <c r="V989" s="66"/>
      <c r="W989" s="66"/>
    </row>
    <row r="990" spans="22:23">
      <c r="V990" s="66"/>
      <c r="W990" s="66"/>
    </row>
    <row r="991" spans="22:23">
      <c r="V991" s="66"/>
      <c r="W991" s="66"/>
    </row>
    <row r="992" spans="22:23">
      <c r="V992" s="66"/>
      <c r="W992" s="66"/>
    </row>
    <row r="993" spans="22:23">
      <c r="V993" s="66"/>
      <c r="W993" s="66"/>
    </row>
    <row r="994" spans="22:23">
      <c r="V994" s="66"/>
      <c r="W994" s="66"/>
    </row>
    <row r="995" spans="22:23">
      <c r="V995" s="66"/>
      <c r="W995" s="66"/>
    </row>
    <row r="996" spans="22:23">
      <c r="V996" s="66"/>
      <c r="W996" s="66"/>
    </row>
    <row r="997" spans="22:23">
      <c r="V997" s="66"/>
      <c r="W997" s="66"/>
    </row>
    <row r="998" spans="22:23">
      <c r="V998" s="66"/>
      <c r="W998" s="66"/>
    </row>
    <row r="999" spans="22:23">
      <c r="V999" s="66"/>
      <c r="W999" s="66"/>
    </row>
    <row r="1000" spans="22:23">
      <c r="V1000" s="66"/>
      <c r="W1000" s="66"/>
    </row>
    <row r="1001" spans="22:23">
      <c r="V1001" s="66"/>
      <c r="W1001" s="66"/>
    </row>
    <row r="1002" spans="22:23">
      <c r="V1002" s="66"/>
      <c r="W1002" s="66"/>
    </row>
    <row r="1003" spans="22:23">
      <c r="V1003" s="66"/>
      <c r="W1003" s="66"/>
    </row>
    <row r="1004" spans="22:23">
      <c r="V1004" s="66"/>
      <c r="W1004" s="66"/>
    </row>
    <row r="1005" spans="22:23">
      <c r="V1005" s="66"/>
      <c r="W1005" s="66"/>
    </row>
    <row r="1006" spans="22:23">
      <c r="V1006" s="66"/>
      <c r="W1006" s="66"/>
    </row>
    <row r="1007" spans="22:23">
      <c r="V1007" s="66"/>
      <c r="W1007" s="66"/>
    </row>
    <row r="1008" spans="22:23">
      <c r="V1008" s="66"/>
      <c r="W1008" s="66"/>
    </row>
    <row r="1009" spans="22:23">
      <c r="V1009" s="66"/>
      <c r="W1009" s="66"/>
    </row>
    <row r="1010" spans="22:23">
      <c r="V1010" s="66"/>
      <c r="W1010" s="66"/>
    </row>
    <row r="1011" spans="22:23">
      <c r="V1011" s="66"/>
      <c r="W1011" s="66"/>
    </row>
    <row r="1012" spans="22:23">
      <c r="V1012" s="66"/>
      <c r="W1012" s="66"/>
    </row>
    <row r="1013" spans="22:23">
      <c r="V1013" s="66"/>
      <c r="W1013" s="66"/>
    </row>
    <row r="1014" spans="22:23">
      <c r="V1014" s="66"/>
      <c r="W1014" s="66"/>
    </row>
    <row r="1015" spans="22:23">
      <c r="V1015" s="66"/>
      <c r="W1015" s="66"/>
    </row>
    <row r="1016" spans="22:23">
      <c r="V1016" s="66"/>
      <c r="W1016" s="66"/>
    </row>
    <row r="1017" spans="22:23">
      <c r="V1017" s="66"/>
      <c r="W1017" s="66"/>
    </row>
    <row r="1018" spans="22:23">
      <c r="V1018" s="66"/>
      <c r="W1018" s="66"/>
    </row>
    <row r="1019" spans="22:23">
      <c r="V1019" s="66"/>
      <c r="W1019" s="66"/>
    </row>
    <row r="1020" spans="22:23">
      <c r="V1020" s="66"/>
      <c r="W1020" s="66"/>
    </row>
    <row r="1021" spans="22:23">
      <c r="V1021" s="66"/>
      <c r="W1021" s="66"/>
    </row>
    <row r="1022" spans="22:23">
      <c r="V1022" s="66"/>
      <c r="W1022" s="66"/>
    </row>
    <row r="1023" spans="22:23">
      <c r="V1023" s="66"/>
      <c r="W1023" s="66"/>
    </row>
    <row r="1024" spans="22:23">
      <c r="V1024" s="66"/>
      <c r="W1024" s="66"/>
    </row>
    <row r="1025" spans="22:23">
      <c r="V1025" s="66"/>
      <c r="W1025" s="66"/>
    </row>
    <row r="1026" spans="22:23">
      <c r="V1026" s="66"/>
      <c r="W1026" s="66"/>
    </row>
    <row r="1027" spans="22:23">
      <c r="V1027" s="66"/>
      <c r="W1027" s="66"/>
    </row>
    <row r="1028" spans="22:23">
      <c r="V1028" s="66"/>
      <c r="W1028" s="66"/>
    </row>
    <row r="1029" spans="22:23">
      <c r="V1029" s="66"/>
      <c r="W1029" s="66"/>
    </row>
    <row r="1030" spans="22:23">
      <c r="V1030" s="66"/>
      <c r="W1030" s="66"/>
    </row>
    <row r="1031" spans="22:23">
      <c r="V1031" s="66"/>
      <c r="W1031" s="66"/>
    </row>
    <row r="1032" spans="22:23">
      <c r="V1032" s="66"/>
      <c r="W1032" s="66"/>
    </row>
    <row r="1033" spans="22:23">
      <c r="V1033" s="66"/>
      <c r="W1033" s="66"/>
    </row>
    <row r="1034" spans="22:23">
      <c r="V1034" s="66"/>
      <c r="W1034" s="66"/>
    </row>
    <row r="1035" spans="22:23">
      <c r="V1035" s="66"/>
      <c r="W1035" s="66"/>
    </row>
    <row r="1036" spans="22:23">
      <c r="V1036" s="66"/>
      <c r="W1036" s="66"/>
    </row>
    <row r="1037" spans="22:23">
      <c r="V1037" s="66"/>
      <c r="W1037" s="66"/>
    </row>
    <row r="1038" spans="22:23">
      <c r="V1038" s="66"/>
      <c r="W1038" s="66"/>
    </row>
    <row r="1039" spans="22:23">
      <c r="V1039" s="66"/>
      <c r="W1039" s="66"/>
    </row>
    <row r="1040" spans="22:23">
      <c r="V1040" s="66"/>
      <c r="W1040" s="66"/>
    </row>
    <row r="1041" spans="22:23">
      <c r="V1041" s="66"/>
      <c r="W1041" s="66"/>
    </row>
    <row r="1042" spans="22:23">
      <c r="V1042" s="66"/>
      <c r="W1042" s="66"/>
    </row>
    <row r="1043" spans="22:23">
      <c r="V1043" s="66"/>
      <c r="W1043" s="66"/>
    </row>
    <row r="1044" spans="22:23">
      <c r="V1044" s="66"/>
      <c r="W1044" s="66"/>
    </row>
    <row r="1045" spans="22:23">
      <c r="V1045" s="66"/>
      <c r="W1045" s="66"/>
    </row>
    <row r="1046" spans="22:23">
      <c r="V1046" s="66"/>
      <c r="W1046" s="66"/>
    </row>
    <row r="1047" spans="22:23">
      <c r="V1047" s="66"/>
      <c r="W1047" s="66"/>
    </row>
    <row r="1048" spans="22:23">
      <c r="V1048" s="66"/>
      <c r="W1048" s="66"/>
    </row>
    <row r="1049" spans="22:23">
      <c r="V1049" s="66"/>
      <c r="W1049" s="66"/>
    </row>
    <row r="1050" spans="22:23">
      <c r="V1050" s="66"/>
      <c r="W1050" s="66"/>
    </row>
    <row r="1051" spans="22:23">
      <c r="V1051" s="66"/>
      <c r="W1051" s="66"/>
    </row>
    <row r="1052" spans="22:23">
      <c r="V1052" s="66"/>
      <c r="W1052" s="66"/>
    </row>
    <row r="1053" spans="22:23">
      <c r="V1053" s="66"/>
      <c r="W1053" s="66"/>
    </row>
    <row r="1054" spans="22:23">
      <c r="V1054" s="66"/>
      <c r="W1054" s="66"/>
    </row>
    <row r="1055" spans="22:23">
      <c r="V1055" s="66"/>
      <c r="W1055" s="66"/>
    </row>
    <row r="1056" spans="22:23">
      <c r="V1056" s="66"/>
      <c r="W1056" s="66"/>
    </row>
    <row r="1057" spans="22:23">
      <c r="V1057" s="66"/>
      <c r="W1057" s="66"/>
    </row>
    <row r="1058" spans="22:23">
      <c r="V1058" s="66"/>
      <c r="W1058" s="66"/>
    </row>
    <row r="1059" spans="22:23">
      <c r="V1059" s="66"/>
      <c r="W1059" s="66"/>
    </row>
    <row r="1060" spans="22:23">
      <c r="V1060" s="66"/>
      <c r="W1060" s="66"/>
    </row>
    <row r="1061" spans="22:23">
      <c r="V1061" s="66"/>
      <c r="W1061" s="66"/>
    </row>
    <row r="1062" spans="22:23">
      <c r="V1062" s="66"/>
      <c r="W1062" s="66"/>
    </row>
    <row r="1063" spans="22:23">
      <c r="V1063" s="66"/>
      <c r="W1063" s="66"/>
    </row>
    <row r="1064" spans="22:23">
      <c r="V1064" s="66"/>
      <c r="W1064" s="66"/>
    </row>
    <row r="1065" spans="22:23">
      <c r="V1065" s="66"/>
      <c r="W1065" s="66"/>
    </row>
    <row r="1066" spans="22:23">
      <c r="V1066" s="66"/>
      <c r="W1066" s="66"/>
    </row>
    <row r="1067" spans="22:23">
      <c r="V1067" s="66"/>
      <c r="W1067" s="66"/>
    </row>
    <row r="1068" spans="22:23">
      <c r="V1068" s="66"/>
      <c r="W1068" s="66"/>
    </row>
    <row r="1069" spans="22:23">
      <c r="V1069" s="66"/>
      <c r="W1069" s="66"/>
    </row>
    <row r="1070" spans="22:23">
      <c r="V1070" s="66"/>
      <c r="W1070" s="66"/>
    </row>
    <row r="1071" spans="22:23">
      <c r="V1071" s="66"/>
      <c r="W1071" s="66"/>
    </row>
    <row r="1072" spans="22:23">
      <c r="V1072" s="66"/>
      <c r="W1072" s="66"/>
    </row>
    <row r="1073" spans="22:23">
      <c r="V1073" s="66"/>
      <c r="W1073" s="66"/>
    </row>
    <row r="1074" spans="22:23">
      <c r="V1074" s="66"/>
      <c r="W1074" s="66"/>
    </row>
    <row r="1075" spans="22:23">
      <c r="V1075" s="66"/>
      <c r="W1075" s="66"/>
    </row>
    <row r="1076" spans="22:23">
      <c r="V1076" s="66"/>
      <c r="W1076" s="66"/>
    </row>
    <row r="1077" spans="22:23">
      <c r="V1077" s="66"/>
      <c r="W1077" s="66"/>
    </row>
    <row r="1078" spans="22:23">
      <c r="V1078" s="66"/>
      <c r="W1078" s="66"/>
    </row>
    <row r="1079" spans="22:23">
      <c r="V1079" s="66"/>
      <c r="W1079" s="66"/>
    </row>
    <row r="1080" spans="22:23">
      <c r="V1080" s="66"/>
      <c r="W1080" s="66"/>
    </row>
    <row r="1081" spans="22:23">
      <c r="V1081" s="66"/>
      <c r="W1081" s="66"/>
    </row>
    <row r="1082" spans="22:23">
      <c r="V1082" s="66"/>
      <c r="W1082" s="66"/>
    </row>
    <row r="1083" spans="22:23">
      <c r="V1083" s="66"/>
      <c r="W1083" s="66"/>
    </row>
    <row r="1084" spans="22:23">
      <c r="V1084" s="66"/>
      <c r="W1084" s="66"/>
    </row>
    <row r="1085" spans="22:23">
      <c r="V1085" s="66"/>
      <c r="W1085" s="66"/>
    </row>
    <row r="1086" spans="22:23">
      <c r="V1086" s="66"/>
      <c r="W1086" s="66"/>
    </row>
    <row r="1087" spans="22:23">
      <c r="V1087" s="66"/>
      <c r="W1087" s="66"/>
    </row>
    <row r="1088" spans="22:23">
      <c r="V1088" s="66"/>
      <c r="W1088" s="66"/>
    </row>
    <row r="1089" spans="22:23">
      <c r="V1089" s="66"/>
      <c r="W1089" s="66"/>
    </row>
    <row r="1090" spans="22:23">
      <c r="V1090" s="66"/>
      <c r="W1090" s="66"/>
    </row>
    <row r="1091" spans="22:23">
      <c r="V1091" s="66"/>
      <c r="W1091" s="66"/>
    </row>
    <row r="1092" spans="22:23">
      <c r="V1092" s="66"/>
      <c r="W1092" s="66"/>
    </row>
    <row r="1093" spans="22:23">
      <c r="V1093" s="66"/>
      <c r="W1093" s="66"/>
    </row>
    <row r="1094" spans="22:23">
      <c r="V1094" s="66"/>
      <c r="W1094" s="66"/>
    </row>
    <row r="1095" spans="22:23">
      <c r="V1095" s="66"/>
      <c r="W1095" s="66"/>
    </row>
    <row r="1096" spans="22:23">
      <c r="V1096" s="66"/>
      <c r="W1096" s="66"/>
    </row>
    <row r="1097" spans="22:23">
      <c r="V1097" s="66"/>
      <c r="W1097" s="66"/>
    </row>
    <row r="1098" spans="22:23">
      <c r="V1098" s="66"/>
      <c r="W1098" s="66"/>
    </row>
    <row r="1099" spans="22:23">
      <c r="V1099" s="66"/>
      <c r="W1099" s="66"/>
    </row>
    <row r="1100" spans="22:23">
      <c r="V1100" s="66"/>
      <c r="W1100" s="66"/>
    </row>
    <row r="1101" spans="22:23">
      <c r="V1101" s="66"/>
      <c r="W1101" s="66"/>
    </row>
    <row r="1102" spans="22:23">
      <c r="V1102" s="66"/>
      <c r="W1102" s="66"/>
    </row>
    <row r="1103" spans="22:23">
      <c r="V1103" s="66"/>
      <c r="W1103" s="66"/>
    </row>
    <row r="1104" spans="22:23">
      <c r="V1104" s="66"/>
      <c r="W1104" s="66"/>
    </row>
    <row r="1105" spans="22:23">
      <c r="V1105" s="66"/>
      <c r="W1105" s="66"/>
    </row>
    <row r="1106" spans="22:23">
      <c r="V1106" s="66"/>
      <c r="W1106" s="66"/>
    </row>
    <row r="1107" spans="22:23">
      <c r="V1107" s="66"/>
      <c r="W1107" s="66"/>
    </row>
    <row r="1108" spans="22:23">
      <c r="V1108" s="66"/>
      <c r="W1108" s="66"/>
    </row>
    <row r="1109" spans="22:23">
      <c r="V1109" s="66"/>
      <c r="W1109" s="66"/>
    </row>
    <row r="1110" spans="22:23">
      <c r="V1110" s="66"/>
      <c r="W1110" s="66"/>
    </row>
    <row r="1111" spans="22:23">
      <c r="V1111" s="66"/>
      <c r="W1111" s="66"/>
    </row>
    <row r="1112" spans="22:23">
      <c r="V1112" s="66"/>
      <c r="W1112" s="66"/>
    </row>
    <row r="1113" spans="22:23">
      <c r="V1113" s="66"/>
      <c r="W1113" s="66"/>
    </row>
    <row r="1114" spans="22:23">
      <c r="V1114" s="66"/>
      <c r="W1114" s="66"/>
    </row>
    <row r="1115" spans="22:23">
      <c r="V1115" s="66"/>
      <c r="W1115" s="66"/>
    </row>
    <row r="1116" spans="22:23">
      <c r="V1116" s="66"/>
      <c r="W1116" s="66"/>
    </row>
    <row r="1117" spans="22:23">
      <c r="V1117" s="66"/>
      <c r="W1117" s="66"/>
    </row>
    <row r="1118" spans="22:23">
      <c r="V1118" s="66"/>
      <c r="W1118" s="66"/>
    </row>
    <row r="1119" spans="22:23">
      <c r="V1119" s="66"/>
      <c r="W1119" s="66"/>
    </row>
    <row r="1120" spans="22:23">
      <c r="V1120" s="66"/>
      <c r="W1120" s="66"/>
    </row>
    <row r="1121" spans="22:23">
      <c r="V1121" s="66"/>
      <c r="W1121" s="66"/>
    </row>
    <row r="1122" spans="22:23">
      <c r="V1122" s="66"/>
      <c r="W1122" s="66"/>
    </row>
    <row r="1123" spans="22:23">
      <c r="V1123" s="66"/>
      <c r="W1123" s="66"/>
    </row>
    <row r="1124" spans="22:23">
      <c r="V1124" s="66"/>
      <c r="W1124" s="66"/>
    </row>
    <row r="1125" spans="22:23">
      <c r="V1125" s="66"/>
      <c r="W1125" s="66"/>
    </row>
    <row r="1126" spans="22:23">
      <c r="V1126" s="66"/>
      <c r="W1126" s="66"/>
    </row>
    <row r="1127" spans="22:23">
      <c r="V1127" s="66"/>
      <c r="W1127" s="66"/>
    </row>
    <row r="1128" spans="22:23">
      <c r="V1128" s="66"/>
      <c r="W1128" s="66"/>
    </row>
    <row r="1129" spans="22:23">
      <c r="V1129" s="66"/>
      <c r="W1129" s="66"/>
    </row>
    <row r="1130" spans="22:23">
      <c r="V1130" s="66"/>
      <c r="W1130" s="66"/>
    </row>
    <row r="1131" spans="22:23">
      <c r="V1131" s="66"/>
      <c r="W1131" s="66"/>
    </row>
    <row r="1132" spans="22:23">
      <c r="V1132" s="66"/>
      <c r="W1132" s="66"/>
    </row>
    <row r="1133" spans="22:23">
      <c r="V1133" s="66"/>
      <c r="W1133" s="66"/>
    </row>
    <row r="1134" spans="22:23">
      <c r="V1134" s="66"/>
      <c r="W1134" s="66"/>
    </row>
    <row r="1135" spans="22:23">
      <c r="V1135" s="66"/>
      <c r="W1135" s="66"/>
    </row>
    <row r="1136" spans="22:23">
      <c r="V1136" s="66"/>
      <c r="W1136" s="66"/>
    </row>
    <row r="1137" spans="22:23">
      <c r="V1137" s="66"/>
      <c r="W1137" s="66"/>
    </row>
    <row r="1138" spans="22:23">
      <c r="V1138" s="66"/>
      <c r="W1138" s="66"/>
    </row>
    <row r="1139" spans="22:23">
      <c r="V1139" s="66"/>
      <c r="W1139" s="66"/>
    </row>
    <row r="1140" spans="22:23">
      <c r="V1140" s="66"/>
      <c r="W1140" s="66"/>
    </row>
    <row r="1141" spans="22:23">
      <c r="V1141" s="66"/>
      <c r="W1141" s="66"/>
    </row>
    <row r="1142" spans="22:23">
      <c r="V1142" s="66"/>
      <c r="W1142" s="66"/>
    </row>
    <row r="1143" spans="22:23">
      <c r="V1143" s="66"/>
      <c r="W1143" s="66"/>
    </row>
    <row r="1144" spans="22:23">
      <c r="V1144" s="66"/>
      <c r="W1144" s="66"/>
    </row>
    <row r="1145" spans="22:23">
      <c r="V1145" s="66"/>
      <c r="W1145" s="66"/>
    </row>
    <row r="1146" spans="22:23">
      <c r="V1146" s="66"/>
      <c r="W1146" s="66"/>
    </row>
    <row r="1147" spans="22:23">
      <c r="V1147" s="66"/>
      <c r="W1147" s="66"/>
    </row>
    <row r="1148" spans="22:23">
      <c r="V1148" s="66"/>
      <c r="W1148" s="66"/>
    </row>
    <row r="1149" spans="22:23">
      <c r="V1149" s="66"/>
      <c r="W1149" s="66"/>
    </row>
    <row r="1150" spans="22:23">
      <c r="V1150" s="66"/>
      <c r="W1150" s="66"/>
    </row>
    <row r="1151" spans="22:23">
      <c r="V1151" s="66"/>
      <c r="W1151" s="66"/>
    </row>
    <row r="1152" spans="22:23">
      <c r="V1152" s="66"/>
      <c r="W1152" s="66"/>
    </row>
    <row r="1153" spans="22:23">
      <c r="V1153" s="66"/>
      <c r="W1153" s="66"/>
    </row>
    <row r="1154" spans="22:23">
      <c r="V1154" s="66"/>
      <c r="W1154" s="66"/>
    </row>
    <row r="1155" spans="22:23">
      <c r="V1155" s="66"/>
      <c r="W1155" s="66"/>
    </row>
    <row r="1156" spans="22:23">
      <c r="V1156" s="66"/>
      <c r="W1156" s="66"/>
    </row>
    <row r="1157" spans="22:23">
      <c r="V1157" s="66"/>
      <c r="W1157" s="66"/>
    </row>
    <row r="1158" spans="22:23">
      <c r="V1158" s="66"/>
      <c r="W1158" s="66"/>
    </row>
    <row r="1159" spans="22:23">
      <c r="V1159" s="66"/>
      <c r="W1159" s="66"/>
    </row>
    <row r="1160" spans="22:23">
      <c r="V1160" s="66"/>
      <c r="W1160" s="66"/>
    </row>
    <row r="1161" spans="22:23">
      <c r="V1161" s="66"/>
      <c r="W1161" s="66"/>
    </row>
    <row r="1162" spans="22:23">
      <c r="V1162" s="66"/>
      <c r="W1162" s="66"/>
    </row>
    <row r="1163" spans="22:23">
      <c r="V1163" s="66"/>
      <c r="W1163" s="66"/>
    </row>
    <row r="1164" spans="22:23">
      <c r="V1164" s="66"/>
      <c r="W1164" s="66"/>
    </row>
    <row r="1165" spans="22:23">
      <c r="V1165" s="66"/>
      <c r="W1165" s="66"/>
    </row>
    <row r="1166" spans="22:23">
      <c r="V1166" s="66"/>
      <c r="W1166" s="66"/>
    </row>
    <row r="1167" spans="22:23">
      <c r="V1167" s="66"/>
      <c r="W1167" s="66"/>
    </row>
    <row r="1168" spans="22:23">
      <c r="V1168" s="66"/>
      <c r="W1168" s="66"/>
    </row>
    <row r="1169" spans="22:23">
      <c r="V1169" s="66"/>
      <c r="W1169" s="66"/>
    </row>
    <row r="1170" spans="22:23">
      <c r="V1170" s="66"/>
      <c r="W1170" s="66"/>
    </row>
    <row r="1171" spans="22:23">
      <c r="V1171" s="66"/>
      <c r="W1171" s="66"/>
    </row>
    <row r="1172" spans="22:23">
      <c r="V1172" s="66"/>
      <c r="W1172" s="66"/>
    </row>
    <row r="1173" spans="22:23">
      <c r="V1173" s="66"/>
      <c r="W1173" s="66"/>
    </row>
    <row r="1174" spans="22:23">
      <c r="V1174" s="66"/>
      <c r="W1174" s="66"/>
    </row>
    <row r="1175" spans="22:23">
      <c r="V1175" s="66"/>
      <c r="W1175" s="66"/>
    </row>
    <row r="1176" spans="22:23">
      <c r="V1176" s="66"/>
      <c r="W1176" s="66"/>
    </row>
    <row r="1177" spans="22:23">
      <c r="V1177" s="66"/>
      <c r="W1177" s="66"/>
    </row>
    <row r="1178" spans="22:23">
      <c r="V1178" s="66"/>
      <c r="W1178" s="66"/>
    </row>
    <row r="1179" spans="22:23">
      <c r="V1179" s="66"/>
      <c r="W1179" s="66"/>
    </row>
    <row r="1180" spans="22:23">
      <c r="V1180" s="66"/>
      <c r="W1180" s="66"/>
    </row>
    <row r="1181" spans="22:23">
      <c r="V1181" s="66"/>
      <c r="W1181" s="66"/>
    </row>
    <row r="1182" spans="22:23">
      <c r="V1182" s="66"/>
      <c r="W1182" s="66"/>
    </row>
    <row r="1183" spans="22:23">
      <c r="V1183" s="66"/>
      <c r="W1183" s="66"/>
    </row>
    <row r="1184" spans="22:23">
      <c r="V1184" s="66"/>
      <c r="W1184" s="66"/>
    </row>
    <row r="1185" spans="22:23">
      <c r="V1185" s="66"/>
      <c r="W1185" s="66"/>
    </row>
    <row r="1186" spans="22:23">
      <c r="V1186" s="66"/>
      <c r="W1186" s="66"/>
    </row>
    <row r="1187" spans="22:23">
      <c r="V1187" s="66"/>
      <c r="W1187" s="66"/>
    </row>
    <row r="1188" spans="22:23">
      <c r="V1188" s="66"/>
      <c r="W1188" s="66"/>
    </row>
    <row r="1189" spans="22:23">
      <c r="V1189" s="66"/>
      <c r="W1189" s="66"/>
    </row>
    <row r="1190" spans="22:23">
      <c r="V1190" s="66"/>
      <c r="W1190" s="66"/>
    </row>
    <row r="1191" spans="22:23">
      <c r="V1191" s="66"/>
      <c r="W1191" s="66"/>
    </row>
    <row r="1192" spans="22:23">
      <c r="V1192" s="66"/>
      <c r="W1192" s="66"/>
    </row>
    <row r="1193" spans="22:23">
      <c r="V1193" s="66"/>
      <c r="W1193" s="66"/>
    </row>
    <row r="1194" spans="22:23">
      <c r="V1194" s="66"/>
      <c r="W1194" s="66"/>
    </row>
    <row r="1195" spans="22:23">
      <c r="V1195" s="66"/>
      <c r="W1195" s="66"/>
    </row>
    <row r="1196" spans="22:23">
      <c r="V1196" s="66"/>
      <c r="W1196" s="66"/>
    </row>
    <row r="1197" spans="22:23">
      <c r="V1197" s="66"/>
      <c r="W1197" s="66"/>
    </row>
    <row r="1198" spans="22:23">
      <c r="V1198" s="66"/>
      <c r="W1198" s="66"/>
    </row>
    <row r="1199" spans="22:23">
      <c r="V1199" s="66"/>
      <c r="W1199" s="66"/>
    </row>
    <row r="1200" spans="22:23">
      <c r="V1200" s="66"/>
      <c r="W1200" s="66"/>
    </row>
    <row r="1201" spans="22:23">
      <c r="V1201" s="66"/>
      <c r="W1201" s="66"/>
    </row>
    <row r="1202" spans="22:23">
      <c r="V1202" s="66"/>
      <c r="W1202" s="66"/>
    </row>
    <row r="1203" spans="22:23">
      <c r="V1203" s="66"/>
      <c r="W1203" s="66"/>
    </row>
    <row r="1204" spans="22:23">
      <c r="V1204" s="66"/>
      <c r="W1204" s="66"/>
    </row>
    <row r="1205" spans="22:23">
      <c r="V1205" s="66"/>
      <c r="W1205" s="66"/>
    </row>
    <row r="1206" spans="22:23">
      <c r="V1206" s="66"/>
      <c r="W1206" s="66"/>
    </row>
    <row r="1207" spans="22:23">
      <c r="V1207" s="66"/>
      <c r="W1207" s="66"/>
    </row>
    <row r="1208" spans="22:23">
      <c r="V1208" s="66"/>
      <c r="W1208" s="66"/>
    </row>
    <row r="1209" spans="22:23">
      <c r="V1209" s="66"/>
      <c r="W1209" s="66"/>
    </row>
    <row r="1210" spans="22:23">
      <c r="V1210" s="66"/>
      <c r="W1210" s="66"/>
    </row>
    <row r="1211" spans="22:23">
      <c r="V1211" s="66"/>
      <c r="W1211" s="66"/>
    </row>
    <row r="1212" spans="22:23">
      <c r="V1212" s="66"/>
      <c r="W1212" s="66"/>
    </row>
    <row r="1213" spans="22:23">
      <c r="V1213" s="66"/>
      <c r="W1213" s="66"/>
    </row>
    <row r="1214" spans="22:23">
      <c r="V1214" s="66"/>
      <c r="W1214" s="66"/>
    </row>
    <row r="1215" spans="22:23">
      <c r="V1215" s="66"/>
      <c r="W1215" s="66"/>
    </row>
    <row r="1216" spans="22:23">
      <c r="V1216" s="66"/>
      <c r="W1216" s="66"/>
    </row>
    <row r="1217" spans="22:23">
      <c r="V1217" s="66"/>
      <c r="W1217" s="66"/>
    </row>
    <row r="1218" spans="22:23">
      <c r="V1218" s="66"/>
      <c r="W1218" s="66"/>
    </row>
    <row r="1219" spans="22:23">
      <c r="V1219" s="66"/>
      <c r="W1219" s="66"/>
    </row>
    <row r="1220" spans="22:23">
      <c r="V1220" s="66"/>
      <c r="W1220" s="66"/>
    </row>
    <row r="1221" spans="22:23">
      <c r="V1221" s="66"/>
      <c r="W1221" s="66"/>
    </row>
    <row r="1222" spans="22:23">
      <c r="V1222" s="66"/>
      <c r="W1222" s="66"/>
    </row>
    <row r="1223" spans="22:23">
      <c r="V1223" s="66"/>
      <c r="W1223" s="66"/>
    </row>
    <row r="1224" spans="22:23">
      <c r="V1224" s="66"/>
      <c r="W1224" s="66"/>
    </row>
    <row r="1225" spans="22:23">
      <c r="V1225" s="66"/>
      <c r="W1225" s="66"/>
    </row>
    <row r="1226" spans="22:23">
      <c r="V1226" s="66"/>
      <c r="W1226" s="66"/>
    </row>
    <row r="1227" spans="22:23">
      <c r="V1227" s="66"/>
      <c r="W1227" s="66"/>
    </row>
    <row r="1228" spans="22:23">
      <c r="V1228" s="66"/>
      <c r="W1228" s="66"/>
    </row>
    <row r="1229" spans="22:23">
      <c r="V1229" s="66"/>
      <c r="W1229" s="66"/>
    </row>
    <row r="1230" spans="22:23">
      <c r="V1230" s="66"/>
      <c r="W1230" s="66"/>
    </row>
    <row r="1231" spans="22:23">
      <c r="V1231" s="66"/>
      <c r="W1231" s="66"/>
    </row>
    <row r="1232" spans="22:23">
      <c r="V1232" s="66"/>
      <c r="W1232" s="66"/>
    </row>
    <row r="1233" spans="22:23">
      <c r="V1233" s="66"/>
      <c r="W1233" s="66"/>
    </row>
    <row r="1234" spans="22:23">
      <c r="V1234" s="66"/>
      <c r="W1234" s="66"/>
    </row>
    <row r="1235" spans="22:23">
      <c r="V1235" s="66"/>
      <c r="W1235" s="66"/>
    </row>
    <row r="1236" spans="22:23">
      <c r="V1236" s="66"/>
      <c r="W1236" s="66"/>
    </row>
    <row r="1237" spans="22:23">
      <c r="V1237" s="66"/>
      <c r="W1237" s="66"/>
    </row>
    <row r="1238" spans="22:23">
      <c r="V1238" s="66"/>
      <c r="W1238" s="66"/>
    </row>
    <row r="1239" spans="22:23">
      <c r="V1239" s="66"/>
      <c r="W1239" s="66"/>
    </row>
    <row r="1240" spans="22:23">
      <c r="V1240" s="66"/>
      <c r="W1240" s="66"/>
    </row>
    <row r="1241" spans="22:23">
      <c r="V1241" s="66"/>
      <c r="W1241" s="66"/>
    </row>
    <row r="1242" spans="22:23">
      <c r="V1242" s="66"/>
      <c r="W1242" s="66"/>
    </row>
    <row r="1243" spans="22:23">
      <c r="V1243" s="66"/>
      <c r="W1243" s="66"/>
    </row>
    <row r="1244" spans="22:23">
      <c r="V1244" s="66"/>
      <c r="W1244" s="66"/>
    </row>
    <row r="1245" spans="22:23">
      <c r="V1245" s="66"/>
      <c r="W1245" s="66"/>
    </row>
    <row r="1246" spans="22:23">
      <c r="V1246" s="66"/>
      <c r="W1246" s="66"/>
    </row>
    <row r="1247" spans="22:23">
      <c r="V1247" s="66"/>
      <c r="W1247" s="66"/>
    </row>
    <row r="1248" spans="22:23">
      <c r="V1248" s="66"/>
      <c r="W1248" s="66"/>
    </row>
    <row r="1249" spans="22:23">
      <c r="V1249" s="66"/>
      <c r="W1249" s="66"/>
    </row>
    <row r="1250" spans="22:23">
      <c r="V1250" s="66"/>
      <c r="W1250" s="66"/>
    </row>
    <row r="1251" spans="22:23">
      <c r="V1251" s="66"/>
      <c r="W1251" s="66"/>
    </row>
    <row r="1252" spans="22:23">
      <c r="V1252" s="66"/>
      <c r="W1252" s="66"/>
    </row>
    <row r="1253" spans="22:23">
      <c r="V1253" s="66"/>
      <c r="W1253" s="66"/>
    </row>
    <row r="1254" spans="22:23">
      <c r="V1254" s="66"/>
      <c r="W1254" s="66"/>
    </row>
    <row r="1255" spans="22:23">
      <c r="V1255" s="66"/>
      <c r="W1255" s="66"/>
    </row>
    <row r="1256" spans="22:23">
      <c r="V1256" s="66"/>
      <c r="W1256" s="66"/>
    </row>
    <row r="1257" spans="22:23">
      <c r="V1257" s="66"/>
      <c r="W1257" s="66"/>
    </row>
    <row r="1258" spans="22:23">
      <c r="V1258" s="66"/>
      <c r="W1258" s="66"/>
    </row>
    <row r="1259" spans="22:23">
      <c r="V1259" s="66"/>
      <c r="W1259" s="66"/>
    </row>
    <row r="1260" spans="22:23">
      <c r="V1260" s="66"/>
      <c r="W1260" s="66"/>
    </row>
    <row r="1261" spans="22:23">
      <c r="V1261" s="66"/>
      <c r="W1261" s="66"/>
    </row>
    <row r="1262" spans="22:23">
      <c r="V1262" s="66"/>
      <c r="W1262" s="66"/>
    </row>
    <row r="1263" spans="22:23">
      <c r="V1263" s="66"/>
      <c r="W1263" s="66"/>
    </row>
    <row r="1264" spans="22:23">
      <c r="V1264" s="66"/>
      <c r="W1264" s="66"/>
    </row>
    <row r="1265" spans="22:23">
      <c r="V1265" s="66"/>
      <c r="W1265" s="66"/>
    </row>
    <row r="1266" spans="22:23">
      <c r="V1266" s="66"/>
      <c r="W1266" s="66"/>
    </row>
    <row r="1267" spans="22:23">
      <c r="V1267" s="66"/>
      <c r="W1267" s="66"/>
    </row>
    <row r="1268" spans="22:23">
      <c r="V1268" s="66"/>
      <c r="W1268" s="66"/>
    </row>
    <row r="1269" spans="22:23">
      <c r="V1269" s="66"/>
      <c r="W1269" s="66"/>
    </row>
    <row r="1270" spans="22:23">
      <c r="V1270" s="66"/>
      <c r="W1270" s="66"/>
    </row>
    <row r="1271" spans="22:23">
      <c r="V1271" s="66"/>
      <c r="W1271" s="66"/>
    </row>
    <row r="1272" spans="22:23">
      <c r="V1272" s="66"/>
      <c r="W1272" s="66"/>
    </row>
    <row r="1273" spans="22:23">
      <c r="V1273" s="66"/>
      <c r="W1273" s="66"/>
    </row>
    <row r="1274" spans="22:23">
      <c r="V1274" s="66"/>
      <c r="W1274" s="66"/>
    </row>
    <row r="1275" spans="22:23">
      <c r="V1275" s="66"/>
      <c r="W1275" s="66"/>
    </row>
    <row r="1276" spans="22:23">
      <c r="V1276" s="66"/>
      <c r="W1276" s="66"/>
    </row>
    <row r="1277" spans="22:23">
      <c r="V1277" s="66"/>
      <c r="W1277" s="66"/>
    </row>
    <row r="1278" spans="22:23">
      <c r="V1278" s="66"/>
      <c r="W1278" s="66"/>
    </row>
    <row r="1279" spans="22:23">
      <c r="V1279" s="66"/>
      <c r="W1279" s="66"/>
    </row>
    <row r="1280" spans="22:23">
      <c r="V1280" s="66"/>
      <c r="W1280" s="66"/>
    </row>
    <row r="1281" spans="22:23">
      <c r="V1281" s="66"/>
      <c r="W1281" s="66"/>
    </row>
    <row r="1282" spans="22:23">
      <c r="V1282" s="66"/>
      <c r="W1282" s="66"/>
    </row>
    <row r="1283" spans="22:23">
      <c r="V1283" s="66"/>
      <c r="W1283" s="66"/>
    </row>
    <row r="1284" spans="22:23">
      <c r="V1284" s="66"/>
      <c r="W1284" s="66"/>
    </row>
    <row r="1285" spans="22:23">
      <c r="V1285" s="66"/>
      <c r="W1285" s="66"/>
    </row>
    <row r="1286" spans="22:23">
      <c r="V1286" s="66"/>
      <c r="W1286" s="66"/>
    </row>
    <row r="1287" spans="22:23">
      <c r="V1287" s="66"/>
      <c r="W1287" s="66"/>
    </row>
    <row r="1288" spans="22:23">
      <c r="V1288" s="66"/>
      <c r="W1288" s="66"/>
    </row>
    <row r="1289" spans="22:23">
      <c r="V1289" s="66"/>
      <c r="W1289" s="66"/>
    </row>
    <row r="1290" spans="22:23">
      <c r="V1290" s="66"/>
      <c r="W1290" s="66"/>
    </row>
    <row r="1291" spans="22:23">
      <c r="V1291" s="66"/>
      <c r="W1291" s="66"/>
    </row>
    <row r="1292" spans="22:23">
      <c r="V1292" s="66"/>
      <c r="W1292" s="66"/>
    </row>
    <row r="1293" spans="22:23">
      <c r="V1293" s="66"/>
      <c r="W1293" s="66"/>
    </row>
    <row r="1294" spans="22:23">
      <c r="V1294" s="66"/>
      <c r="W1294" s="66"/>
    </row>
    <row r="1295" spans="22:23">
      <c r="V1295" s="66"/>
      <c r="W1295" s="66"/>
    </row>
    <row r="1296" spans="22:23">
      <c r="V1296" s="66"/>
      <c r="W1296" s="66"/>
    </row>
    <row r="1297" spans="22:23">
      <c r="V1297" s="66"/>
      <c r="W1297" s="66"/>
    </row>
    <row r="1298" spans="22:23">
      <c r="V1298" s="66"/>
      <c r="W1298" s="66"/>
    </row>
    <row r="1299" spans="22:23">
      <c r="V1299" s="66"/>
      <c r="W1299" s="66"/>
    </row>
    <row r="1300" spans="22:23">
      <c r="V1300" s="66"/>
      <c r="W1300" s="66"/>
    </row>
    <row r="1301" spans="22:23">
      <c r="V1301" s="66"/>
      <c r="W1301" s="66"/>
    </row>
    <row r="1302" spans="22:23">
      <c r="V1302" s="66"/>
      <c r="W1302" s="66"/>
    </row>
    <row r="1303" spans="22:23">
      <c r="V1303" s="66"/>
      <c r="W1303" s="66"/>
    </row>
    <row r="1304" spans="22:23">
      <c r="V1304" s="66"/>
      <c r="W1304" s="66"/>
    </row>
    <row r="1305" spans="22:23">
      <c r="V1305" s="66"/>
      <c r="W1305" s="66"/>
    </row>
    <row r="1306" spans="22:23">
      <c r="V1306" s="66"/>
      <c r="W1306" s="66"/>
    </row>
    <row r="1307" spans="22:23">
      <c r="V1307" s="66"/>
      <c r="W1307" s="66"/>
    </row>
    <row r="1308" spans="22:23">
      <c r="V1308" s="66"/>
      <c r="W1308" s="66"/>
    </row>
    <row r="1309" spans="22:23">
      <c r="V1309" s="66"/>
      <c r="W1309" s="66"/>
    </row>
    <row r="1310" spans="22:23">
      <c r="V1310" s="66"/>
      <c r="W1310" s="66"/>
    </row>
    <row r="1311" spans="22:23">
      <c r="V1311" s="66"/>
      <c r="W1311" s="66"/>
    </row>
    <row r="1312" spans="22:23">
      <c r="V1312" s="66"/>
      <c r="W1312" s="66"/>
    </row>
    <row r="1313" spans="22:23">
      <c r="V1313" s="66"/>
      <c r="W1313" s="66"/>
    </row>
    <row r="1314" spans="22:23">
      <c r="V1314" s="66"/>
      <c r="W1314" s="66"/>
    </row>
    <row r="1315" spans="22:23">
      <c r="V1315" s="66"/>
      <c r="W1315" s="66"/>
    </row>
    <row r="1316" spans="22:23">
      <c r="V1316" s="66"/>
      <c r="W1316" s="66"/>
    </row>
    <row r="1317" spans="22:23">
      <c r="V1317" s="66"/>
      <c r="W1317" s="66"/>
    </row>
    <row r="1318" spans="22:23">
      <c r="V1318" s="66"/>
      <c r="W1318" s="66"/>
    </row>
    <row r="1319" spans="22:23">
      <c r="V1319" s="66"/>
      <c r="W1319" s="66"/>
    </row>
    <row r="1320" spans="22:23">
      <c r="V1320" s="66"/>
      <c r="W1320" s="66"/>
    </row>
    <row r="1321" spans="22:23">
      <c r="V1321" s="66"/>
      <c r="W1321" s="66"/>
    </row>
    <row r="1322" spans="22:23">
      <c r="V1322" s="66"/>
      <c r="W1322" s="66"/>
    </row>
    <row r="1323" spans="22:23">
      <c r="V1323" s="66"/>
      <c r="W1323" s="66"/>
    </row>
    <row r="1324" spans="22:23">
      <c r="V1324" s="66"/>
      <c r="W1324" s="66"/>
    </row>
    <row r="1325" spans="22:23">
      <c r="V1325" s="66"/>
      <c r="W1325" s="66"/>
    </row>
    <row r="1326" spans="22:23">
      <c r="V1326" s="66"/>
      <c r="W1326" s="66"/>
    </row>
    <row r="1327" spans="22:23">
      <c r="V1327" s="66"/>
      <c r="W1327" s="66"/>
    </row>
    <row r="1328" spans="22:23">
      <c r="V1328" s="66"/>
      <c r="W1328" s="66"/>
    </row>
    <row r="1329" spans="22:23">
      <c r="V1329" s="66"/>
      <c r="W1329" s="66"/>
    </row>
    <row r="1330" spans="22:23">
      <c r="V1330" s="66"/>
      <c r="W1330" s="66"/>
    </row>
    <row r="1331" spans="22:23">
      <c r="V1331" s="66"/>
      <c r="W1331" s="66"/>
    </row>
    <row r="1332" spans="22:23">
      <c r="V1332" s="66"/>
      <c r="W1332" s="66"/>
    </row>
    <row r="1333" spans="22:23">
      <c r="V1333" s="66"/>
      <c r="W1333" s="66"/>
    </row>
    <row r="1334" spans="22:23">
      <c r="V1334" s="66"/>
      <c r="W1334" s="66"/>
    </row>
    <row r="1335" spans="22:23">
      <c r="V1335" s="66"/>
      <c r="W1335" s="66"/>
    </row>
    <row r="1336" spans="22:23">
      <c r="V1336" s="66"/>
      <c r="W1336" s="66"/>
    </row>
    <row r="1337" spans="22:23">
      <c r="V1337" s="66"/>
      <c r="W1337" s="66"/>
    </row>
    <row r="1338" spans="22:23">
      <c r="V1338" s="66"/>
      <c r="W1338" s="66"/>
    </row>
    <row r="1339" spans="22:23">
      <c r="V1339" s="66"/>
      <c r="W1339" s="66"/>
    </row>
    <row r="1340" spans="22:23">
      <c r="V1340" s="66"/>
      <c r="W1340" s="66"/>
    </row>
    <row r="1341" spans="22:23">
      <c r="V1341" s="66"/>
      <c r="W1341" s="66"/>
    </row>
    <row r="1342" spans="22:23">
      <c r="V1342" s="66"/>
      <c r="W1342" s="66"/>
    </row>
    <row r="1343" spans="22:23">
      <c r="V1343" s="66"/>
      <c r="W1343" s="66"/>
    </row>
    <row r="1344" spans="22:23">
      <c r="V1344" s="66"/>
      <c r="W1344" s="66"/>
    </row>
    <row r="1345" spans="22:23">
      <c r="V1345" s="66"/>
      <c r="W1345" s="66"/>
    </row>
    <row r="1346" spans="22:23">
      <c r="V1346" s="66"/>
      <c r="W1346" s="66"/>
    </row>
    <row r="1347" spans="22:23">
      <c r="V1347" s="66"/>
      <c r="W1347" s="66"/>
    </row>
    <row r="1348" spans="22:23">
      <c r="V1348" s="66"/>
      <c r="W1348" s="66"/>
    </row>
    <row r="1349" spans="22:23">
      <c r="V1349" s="66"/>
      <c r="W1349" s="66"/>
    </row>
    <row r="1350" spans="22:23">
      <c r="V1350" s="66"/>
      <c r="W1350" s="66"/>
    </row>
    <row r="1351" spans="22:23">
      <c r="V1351" s="66"/>
      <c r="W1351" s="66"/>
    </row>
    <row r="1352" spans="22:23">
      <c r="V1352" s="66"/>
      <c r="W1352" s="66"/>
    </row>
    <row r="1353" spans="22:23">
      <c r="V1353" s="66"/>
      <c r="W1353" s="66"/>
    </row>
    <row r="1354" spans="22:23">
      <c r="V1354" s="66"/>
      <c r="W1354" s="66"/>
    </row>
    <row r="1355" spans="22:23">
      <c r="V1355" s="66"/>
      <c r="W1355" s="66"/>
    </row>
    <row r="1356" spans="22:23">
      <c r="V1356" s="66"/>
      <c r="W1356" s="66"/>
    </row>
    <row r="1357" spans="22:23">
      <c r="V1357" s="66"/>
      <c r="W1357" s="66"/>
    </row>
    <row r="1358" spans="22:23">
      <c r="V1358" s="66"/>
      <c r="W1358" s="66"/>
    </row>
    <row r="1359" spans="22:23">
      <c r="V1359" s="66"/>
      <c r="W1359" s="66"/>
    </row>
    <row r="1360" spans="22:23">
      <c r="V1360" s="66"/>
      <c r="W1360" s="66"/>
    </row>
    <row r="1361" spans="22:23">
      <c r="V1361" s="66"/>
      <c r="W1361" s="66"/>
    </row>
    <row r="1362" spans="22:23">
      <c r="V1362" s="66"/>
      <c r="W1362" s="66"/>
    </row>
    <row r="1363" spans="22:23">
      <c r="V1363" s="66"/>
      <c r="W1363" s="66"/>
    </row>
    <row r="1364" spans="22:23">
      <c r="V1364" s="66"/>
      <c r="W1364" s="66"/>
    </row>
    <row r="1365" spans="22:23">
      <c r="V1365" s="66"/>
      <c r="W1365" s="66"/>
    </row>
    <row r="1366" spans="22:23">
      <c r="V1366" s="66"/>
      <c r="W1366" s="66"/>
    </row>
    <row r="1367" spans="22:23">
      <c r="V1367" s="66"/>
      <c r="W1367" s="66"/>
    </row>
    <row r="1368" spans="22:23">
      <c r="V1368" s="66"/>
      <c r="W1368" s="66"/>
    </row>
    <row r="1369" spans="22:23">
      <c r="V1369" s="66"/>
      <c r="W1369" s="66"/>
    </row>
    <row r="1370" spans="22:23">
      <c r="V1370" s="66"/>
      <c r="W1370" s="66"/>
    </row>
    <row r="1371" spans="22:23">
      <c r="V1371" s="66"/>
      <c r="W1371" s="66"/>
    </row>
    <row r="1372" spans="22:23">
      <c r="V1372" s="66"/>
      <c r="W1372" s="66"/>
    </row>
    <row r="1373" spans="22:23">
      <c r="V1373" s="66"/>
      <c r="W1373" s="66"/>
    </row>
    <row r="1374" spans="22:23">
      <c r="V1374" s="66"/>
      <c r="W1374" s="66"/>
    </row>
    <row r="1375" spans="22:23">
      <c r="V1375" s="66"/>
      <c r="W1375" s="66"/>
    </row>
    <row r="1376" spans="22:23">
      <c r="V1376" s="66"/>
      <c r="W1376" s="66"/>
    </row>
    <row r="1377" spans="22:23">
      <c r="V1377" s="66"/>
      <c r="W1377" s="66"/>
    </row>
    <row r="1378" spans="22:23">
      <c r="V1378" s="66"/>
      <c r="W1378" s="66"/>
    </row>
    <row r="1379" spans="22:23">
      <c r="V1379" s="66"/>
      <c r="W1379" s="66"/>
    </row>
    <row r="1380" spans="22:23">
      <c r="V1380" s="66"/>
      <c r="W1380" s="66"/>
    </row>
    <row r="1381" spans="22:23">
      <c r="V1381" s="66"/>
      <c r="W1381" s="66"/>
    </row>
    <row r="1382" spans="22:23">
      <c r="V1382" s="66"/>
      <c r="W1382" s="66"/>
    </row>
    <row r="1383" spans="22:23">
      <c r="V1383" s="66"/>
      <c r="W1383" s="66"/>
    </row>
    <row r="1384" spans="22:23">
      <c r="V1384" s="66"/>
      <c r="W1384" s="66"/>
    </row>
    <row r="1385" spans="22:23">
      <c r="V1385" s="66"/>
      <c r="W1385" s="66"/>
    </row>
    <row r="1386" spans="22:23">
      <c r="V1386" s="66"/>
      <c r="W1386" s="66"/>
    </row>
    <row r="1387" spans="22:23">
      <c r="V1387" s="66"/>
      <c r="W1387" s="66"/>
    </row>
    <row r="1388" spans="22:23">
      <c r="V1388" s="66"/>
      <c r="W1388" s="66"/>
    </row>
    <row r="1389" spans="22:23">
      <c r="V1389" s="66"/>
      <c r="W1389" s="66"/>
    </row>
    <row r="1390" spans="22:23">
      <c r="V1390" s="66"/>
      <c r="W1390" s="66"/>
    </row>
    <row r="1391" spans="22:23">
      <c r="V1391" s="66"/>
      <c r="W1391" s="66"/>
    </row>
    <row r="1392" spans="22:23">
      <c r="V1392" s="66"/>
      <c r="W1392" s="66"/>
    </row>
    <row r="1393" spans="22:23">
      <c r="V1393" s="66"/>
      <c r="W1393" s="66"/>
    </row>
    <row r="1394" spans="22:23">
      <c r="V1394" s="66"/>
      <c r="W1394" s="66"/>
    </row>
    <row r="1395" spans="22:23">
      <c r="V1395" s="66"/>
      <c r="W1395" s="66"/>
    </row>
    <row r="1396" spans="22:23">
      <c r="V1396" s="66"/>
      <c r="W1396" s="66"/>
    </row>
    <row r="1397" spans="22:23">
      <c r="V1397" s="66"/>
      <c r="W1397" s="66"/>
    </row>
    <row r="1398" spans="22:23">
      <c r="V1398" s="66"/>
      <c r="W1398" s="66"/>
    </row>
    <row r="1399" spans="22:23">
      <c r="V1399" s="66"/>
      <c r="W1399" s="66"/>
    </row>
    <row r="1400" spans="22:23">
      <c r="V1400" s="66"/>
      <c r="W1400" s="66"/>
    </row>
    <row r="1401" spans="22:23">
      <c r="V1401" s="66"/>
      <c r="W1401" s="66"/>
    </row>
    <row r="1402" spans="22:23">
      <c r="V1402" s="66"/>
      <c r="W1402" s="66"/>
    </row>
    <row r="1403" spans="22:23">
      <c r="V1403" s="66"/>
      <c r="W1403" s="66"/>
    </row>
    <row r="1404" spans="22:23">
      <c r="V1404" s="66"/>
      <c r="W1404" s="66"/>
    </row>
    <row r="1405" spans="22:23">
      <c r="V1405" s="66"/>
      <c r="W1405" s="66"/>
    </row>
    <row r="1406" spans="22:23">
      <c r="V1406" s="66"/>
      <c r="W1406" s="66"/>
    </row>
    <row r="1407" spans="22:23">
      <c r="V1407" s="66"/>
      <c r="W1407" s="66"/>
    </row>
    <row r="1408" spans="22:23">
      <c r="V1408" s="66"/>
      <c r="W1408" s="66"/>
    </row>
    <row r="1409" spans="22:23">
      <c r="V1409" s="66"/>
      <c r="W1409" s="66"/>
    </row>
    <row r="1410" spans="22:23">
      <c r="V1410" s="66"/>
      <c r="W1410" s="66"/>
    </row>
    <row r="1411" spans="22:23">
      <c r="V1411" s="66"/>
      <c r="W1411" s="66"/>
    </row>
    <row r="1412" spans="22:23">
      <c r="V1412" s="66"/>
      <c r="W1412" s="66"/>
    </row>
    <row r="1413" spans="22:23">
      <c r="V1413" s="66"/>
      <c r="W1413" s="66"/>
    </row>
    <row r="1414" spans="22:23">
      <c r="V1414" s="66"/>
      <c r="W1414" s="66"/>
    </row>
    <row r="1415" spans="22:23">
      <c r="V1415" s="66"/>
      <c r="W1415" s="66"/>
    </row>
    <row r="1416" spans="22:23">
      <c r="V1416" s="66"/>
      <c r="W1416" s="66"/>
    </row>
    <row r="1417" spans="22:23">
      <c r="V1417" s="66"/>
      <c r="W1417" s="66"/>
    </row>
    <row r="1418" spans="22:23">
      <c r="V1418" s="66"/>
      <c r="W1418" s="66"/>
    </row>
    <row r="1419" spans="22:23">
      <c r="V1419" s="66"/>
      <c r="W1419" s="66"/>
    </row>
    <row r="1420" spans="22:23">
      <c r="V1420" s="66"/>
      <c r="W1420" s="66"/>
    </row>
    <row r="1421" spans="22:23">
      <c r="V1421" s="66"/>
      <c r="W1421" s="66"/>
    </row>
    <row r="1422" spans="22:23">
      <c r="V1422" s="66"/>
      <c r="W1422" s="66"/>
    </row>
    <row r="1423" spans="22:23">
      <c r="V1423" s="66"/>
      <c r="W1423" s="66"/>
    </row>
    <row r="1424" spans="22:23">
      <c r="V1424" s="66"/>
      <c r="W1424" s="66"/>
    </row>
    <row r="1425" spans="22:23">
      <c r="V1425" s="66"/>
      <c r="W1425" s="66"/>
    </row>
    <row r="1426" spans="22:23">
      <c r="V1426" s="66"/>
      <c r="W1426" s="66"/>
    </row>
    <row r="1427" spans="22:23">
      <c r="V1427" s="66"/>
      <c r="W1427" s="66"/>
    </row>
    <row r="1428" spans="22:23">
      <c r="V1428" s="66"/>
      <c r="W1428" s="66"/>
    </row>
    <row r="1429" spans="22:23">
      <c r="V1429" s="66"/>
      <c r="W1429" s="66"/>
    </row>
    <row r="1430" spans="22:23">
      <c r="V1430" s="66"/>
      <c r="W1430" s="66"/>
    </row>
    <row r="1431" spans="22:23">
      <c r="V1431" s="66"/>
      <c r="W1431" s="66"/>
    </row>
    <row r="1432" spans="22:23">
      <c r="V1432" s="66"/>
      <c r="W1432" s="66"/>
    </row>
    <row r="1433" spans="22:23">
      <c r="V1433" s="66"/>
      <c r="W1433" s="66"/>
    </row>
    <row r="1434" spans="22:23">
      <c r="V1434" s="66"/>
      <c r="W1434" s="66"/>
    </row>
    <row r="1435" spans="22:23">
      <c r="V1435" s="66"/>
      <c r="W1435" s="66"/>
    </row>
    <row r="1436" spans="22:23">
      <c r="V1436" s="66"/>
      <c r="W1436" s="66"/>
    </row>
    <row r="1437" spans="22:23">
      <c r="V1437" s="66"/>
      <c r="W1437" s="66"/>
    </row>
    <row r="1438" spans="22:23">
      <c r="V1438" s="66"/>
      <c r="W1438" s="66"/>
    </row>
    <row r="1439" spans="22:23">
      <c r="V1439" s="66"/>
      <c r="W1439" s="66"/>
    </row>
    <row r="1440" spans="22:23">
      <c r="V1440" s="66"/>
      <c r="W1440" s="66"/>
    </row>
    <row r="1441" spans="22:23">
      <c r="V1441" s="66"/>
      <c r="W1441" s="66"/>
    </row>
    <row r="1442" spans="22:23">
      <c r="V1442" s="66"/>
      <c r="W1442" s="66"/>
    </row>
    <row r="1443" spans="22:23">
      <c r="V1443" s="66"/>
      <c r="W1443" s="66"/>
    </row>
    <row r="1444" spans="22:23">
      <c r="V1444" s="66"/>
      <c r="W1444" s="66"/>
    </row>
    <row r="1445" spans="22:23">
      <c r="V1445" s="66"/>
      <c r="W1445" s="66"/>
    </row>
    <row r="1446" spans="22:23">
      <c r="V1446" s="66"/>
      <c r="W1446" s="66"/>
    </row>
    <row r="1447" spans="22:23">
      <c r="V1447" s="66"/>
      <c r="W1447" s="66"/>
    </row>
    <row r="1448" spans="22:23">
      <c r="V1448" s="66"/>
      <c r="W1448" s="66"/>
    </row>
    <row r="1449" spans="22:23">
      <c r="V1449" s="66"/>
      <c r="W1449" s="66"/>
    </row>
    <row r="1450" spans="22:23">
      <c r="V1450" s="66"/>
      <c r="W1450" s="66"/>
    </row>
    <row r="1451" spans="22:23">
      <c r="V1451" s="66"/>
      <c r="W1451" s="66"/>
    </row>
    <row r="1452" spans="22:23">
      <c r="V1452" s="66"/>
      <c r="W1452" s="66"/>
    </row>
    <row r="1453" spans="22:23">
      <c r="V1453" s="66"/>
      <c r="W1453" s="66"/>
    </row>
    <row r="1454" spans="22:23">
      <c r="V1454" s="66"/>
      <c r="W1454" s="66"/>
    </row>
    <row r="1455" spans="22:23">
      <c r="V1455" s="66"/>
      <c r="W1455" s="66"/>
    </row>
    <row r="1456" spans="22:23">
      <c r="V1456" s="66"/>
      <c r="W1456" s="66"/>
    </row>
    <row r="1457" spans="22:23">
      <c r="V1457" s="66"/>
      <c r="W1457" s="66"/>
    </row>
    <row r="1458" spans="22:23">
      <c r="V1458" s="66"/>
      <c r="W1458" s="66"/>
    </row>
    <row r="1459" spans="22:23">
      <c r="V1459" s="66"/>
      <c r="W1459" s="66"/>
    </row>
    <row r="1460" spans="22:23">
      <c r="V1460" s="66"/>
      <c r="W1460" s="66"/>
    </row>
    <row r="1461" spans="22:23">
      <c r="V1461" s="66"/>
      <c r="W1461" s="66"/>
    </row>
    <row r="1462" spans="22:23">
      <c r="V1462" s="66"/>
      <c r="W1462" s="66"/>
    </row>
    <row r="1463" spans="22:23">
      <c r="V1463" s="66"/>
      <c r="W1463" s="66"/>
    </row>
    <row r="1464" spans="22:23">
      <c r="V1464" s="66"/>
      <c r="W1464" s="66"/>
    </row>
    <row r="1465" spans="22:23">
      <c r="V1465" s="66"/>
      <c r="W1465" s="66"/>
    </row>
    <row r="1466" spans="22:23">
      <c r="V1466" s="66"/>
      <c r="W1466" s="66"/>
    </row>
    <row r="1467" spans="22:23">
      <c r="V1467" s="66"/>
      <c r="W1467" s="66"/>
    </row>
    <row r="1468" spans="22:23">
      <c r="V1468" s="66"/>
      <c r="W1468" s="66"/>
    </row>
    <row r="1469" spans="22:23">
      <c r="V1469" s="66"/>
      <c r="W1469" s="66"/>
    </row>
    <row r="1470" spans="22:23">
      <c r="V1470" s="66"/>
      <c r="W1470" s="66"/>
    </row>
    <row r="1471" spans="22:23">
      <c r="V1471" s="66"/>
      <c r="W1471" s="66"/>
    </row>
    <row r="1472" spans="22:23">
      <c r="V1472" s="66"/>
      <c r="W1472" s="66"/>
    </row>
    <row r="1473" spans="22:23">
      <c r="V1473" s="66"/>
      <c r="W1473" s="66"/>
    </row>
    <row r="1474" spans="22:23">
      <c r="V1474" s="66"/>
      <c r="W1474" s="66"/>
    </row>
    <row r="1475" spans="22:23">
      <c r="V1475" s="66"/>
      <c r="W1475" s="66"/>
    </row>
    <row r="1476" spans="22:23">
      <c r="V1476" s="66"/>
      <c r="W1476" s="66"/>
    </row>
    <row r="1477" spans="22:23">
      <c r="V1477" s="66"/>
      <c r="W1477" s="66"/>
    </row>
    <row r="1478" spans="22:23">
      <c r="V1478" s="66"/>
      <c r="W1478" s="66"/>
    </row>
    <row r="1479" spans="22:23">
      <c r="V1479" s="66"/>
      <c r="W1479" s="66"/>
    </row>
    <row r="1480" spans="22:23">
      <c r="V1480" s="66"/>
      <c r="W1480" s="66"/>
    </row>
    <row r="1481" spans="22:23">
      <c r="V1481" s="66"/>
      <c r="W1481" s="66"/>
    </row>
    <row r="1482" spans="22:23">
      <c r="V1482" s="66"/>
      <c r="W1482" s="66"/>
    </row>
    <row r="1483" spans="22:23">
      <c r="V1483" s="66"/>
      <c r="W1483" s="66"/>
    </row>
    <row r="1484" spans="22:23">
      <c r="V1484" s="66"/>
      <c r="W1484" s="66"/>
    </row>
    <row r="1485" spans="22:23">
      <c r="V1485" s="66"/>
      <c r="W1485" s="66"/>
    </row>
    <row r="1486" spans="22:23">
      <c r="V1486" s="66"/>
      <c r="W1486" s="66"/>
    </row>
    <row r="1487" spans="22:23">
      <c r="V1487" s="66"/>
      <c r="W1487" s="66"/>
    </row>
    <row r="1488" spans="22:23">
      <c r="V1488" s="66"/>
      <c r="W1488" s="66"/>
    </row>
    <row r="1489" spans="22:23">
      <c r="V1489" s="66"/>
      <c r="W1489" s="66"/>
    </row>
    <row r="1490" spans="22:23">
      <c r="V1490" s="66"/>
      <c r="W1490" s="66"/>
    </row>
    <row r="1491" spans="22:23">
      <c r="V1491" s="66"/>
      <c r="W1491" s="66"/>
    </row>
    <row r="1492" spans="22:23">
      <c r="V1492" s="66"/>
      <c r="W1492" s="66"/>
    </row>
    <row r="1493" spans="22:23">
      <c r="V1493" s="66"/>
      <c r="W1493" s="66"/>
    </row>
    <row r="1494" spans="22:23">
      <c r="V1494" s="66"/>
      <c r="W1494" s="66"/>
    </row>
    <row r="1495" spans="22:23">
      <c r="V1495" s="66"/>
      <c r="W1495" s="66"/>
    </row>
    <row r="1496" spans="22:23">
      <c r="V1496" s="66"/>
      <c r="W1496" s="66"/>
    </row>
    <row r="1497" spans="22:23">
      <c r="V1497" s="66"/>
      <c r="W1497" s="66"/>
    </row>
    <row r="1498" spans="22:23">
      <c r="V1498" s="66"/>
      <c r="W1498" s="66"/>
    </row>
    <row r="1499" spans="22:23">
      <c r="V1499" s="66"/>
      <c r="W1499" s="66"/>
    </row>
    <row r="1500" spans="22:23">
      <c r="V1500" s="66"/>
      <c r="W1500" s="66"/>
    </row>
    <row r="1501" spans="22:23">
      <c r="V1501" s="66"/>
      <c r="W1501" s="66"/>
    </row>
    <row r="1502" spans="22:23">
      <c r="V1502" s="66"/>
      <c r="W1502" s="66"/>
    </row>
    <row r="1503" spans="22:23">
      <c r="V1503" s="66"/>
      <c r="W1503" s="66"/>
    </row>
    <row r="1504" spans="22:23">
      <c r="V1504" s="66"/>
      <c r="W1504" s="66"/>
    </row>
    <row r="1505" spans="22:23">
      <c r="V1505" s="66"/>
      <c r="W1505" s="66"/>
    </row>
    <row r="1506" spans="22:23">
      <c r="V1506" s="66"/>
      <c r="W1506" s="66"/>
    </row>
    <row r="1507" spans="22:23">
      <c r="V1507" s="66"/>
      <c r="W1507" s="66"/>
    </row>
    <row r="1508" spans="22:23">
      <c r="V1508" s="66"/>
      <c r="W1508" s="66"/>
    </row>
    <row r="1509" spans="22:23">
      <c r="V1509" s="66"/>
      <c r="W1509" s="66"/>
    </row>
    <row r="1510" spans="22:23">
      <c r="V1510" s="66"/>
      <c r="W1510" s="66"/>
    </row>
    <row r="1511" spans="22:23">
      <c r="V1511" s="66"/>
      <c r="W1511" s="66"/>
    </row>
    <row r="1512" spans="22:23">
      <c r="V1512" s="66"/>
      <c r="W1512" s="66"/>
    </row>
    <row r="1513" spans="22:23">
      <c r="V1513" s="66"/>
      <c r="W1513" s="66"/>
    </row>
    <row r="1514" spans="22:23">
      <c r="V1514" s="66"/>
      <c r="W1514" s="66"/>
    </row>
    <row r="1515" spans="22:23">
      <c r="V1515" s="66"/>
      <c r="W1515" s="66"/>
    </row>
    <row r="1516" spans="22:23">
      <c r="V1516" s="66"/>
      <c r="W1516" s="66"/>
    </row>
    <row r="1517" spans="22:23">
      <c r="V1517" s="66"/>
      <c r="W1517" s="66"/>
    </row>
    <row r="1518" spans="22:23">
      <c r="V1518" s="66"/>
      <c r="W1518" s="66"/>
    </row>
    <row r="1519" spans="22:23">
      <c r="V1519" s="66"/>
      <c r="W1519" s="66"/>
    </row>
    <row r="1520" spans="22:23">
      <c r="V1520" s="66"/>
      <c r="W1520" s="66"/>
    </row>
    <row r="1521" spans="22:23">
      <c r="V1521" s="66"/>
      <c r="W1521" s="66"/>
    </row>
    <row r="1522" spans="22:23">
      <c r="V1522" s="66"/>
      <c r="W1522" s="66"/>
    </row>
    <row r="1523" spans="22:23">
      <c r="V1523" s="66"/>
      <c r="W1523" s="66"/>
    </row>
    <row r="1524" spans="22:23">
      <c r="V1524" s="66"/>
      <c r="W1524" s="66"/>
    </row>
    <row r="1525" spans="22:23">
      <c r="V1525" s="66"/>
      <c r="W1525" s="66"/>
    </row>
    <row r="1526" spans="22:23">
      <c r="V1526" s="66"/>
      <c r="W1526" s="66"/>
    </row>
    <row r="1527" spans="22:23">
      <c r="V1527" s="66"/>
      <c r="W1527" s="66"/>
    </row>
    <row r="1528" spans="22:23">
      <c r="V1528" s="66"/>
      <c r="W1528" s="66"/>
    </row>
    <row r="1529" spans="22:23">
      <c r="V1529" s="66"/>
      <c r="W1529" s="66"/>
    </row>
    <row r="1530" spans="22:23">
      <c r="V1530" s="66"/>
      <c r="W1530" s="66"/>
    </row>
    <row r="1531" spans="22:23">
      <c r="V1531" s="66"/>
      <c r="W1531" s="66"/>
    </row>
    <row r="1532" spans="22:23">
      <c r="V1532" s="66"/>
      <c r="W1532" s="66"/>
    </row>
    <row r="1533" spans="22:23">
      <c r="V1533" s="66"/>
      <c r="W1533" s="66"/>
    </row>
    <row r="1534" spans="22:23">
      <c r="V1534" s="66"/>
      <c r="W1534" s="66"/>
    </row>
    <row r="1535" spans="22:23">
      <c r="V1535" s="66"/>
      <c r="W1535" s="66"/>
    </row>
    <row r="1536" spans="22:23">
      <c r="V1536" s="66"/>
      <c r="W1536" s="66"/>
    </row>
    <row r="1537" spans="22:23">
      <c r="V1537" s="66"/>
      <c r="W1537" s="66"/>
    </row>
    <row r="1538" spans="22:23">
      <c r="V1538" s="66"/>
      <c r="W1538" s="66"/>
    </row>
    <row r="1539" spans="22:23">
      <c r="V1539" s="66"/>
      <c r="W1539" s="66"/>
    </row>
    <row r="1540" spans="22:23">
      <c r="V1540" s="66"/>
      <c r="W1540" s="66"/>
    </row>
    <row r="1541" spans="22:23">
      <c r="V1541" s="66"/>
      <c r="W1541" s="66"/>
    </row>
    <row r="1542" spans="22:23">
      <c r="V1542" s="66"/>
      <c r="W1542" s="66"/>
    </row>
    <row r="1543" spans="22:23">
      <c r="V1543" s="66"/>
      <c r="W1543" s="66"/>
    </row>
    <row r="1544" spans="22:23">
      <c r="V1544" s="66"/>
      <c r="W1544" s="66"/>
    </row>
    <row r="1545" spans="22:23">
      <c r="V1545" s="66"/>
      <c r="W1545" s="66"/>
    </row>
    <row r="1546" spans="22:23">
      <c r="V1546" s="66"/>
      <c r="W1546" s="66"/>
    </row>
    <row r="1547" spans="22:23">
      <c r="V1547" s="66"/>
      <c r="W1547" s="66"/>
    </row>
    <row r="1548" spans="22:23">
      <c r="V1548" s="66"/>
      <c r="W1548" s="66"/>
    </row>
    <row r="1549" spans="22:23">
      <c r="V1549" s="66"/>
      <c r="W1549" s="66"/>
    </row>
    <row r="1550" spans="22:23">
      <c r="V1550" s="66"/>
      <c r="W1550" s="66"/>
    </row>
    <row r="1551" spans="22:23">
      <c r="V1551" s="66"/>
      <c r="W1551" s="66"/>
    </row>
    <row r="1552" spans="22:23">
      <c r="V1552" s="66"/>
      <c r="W1552" s="66"/>
    </row>
    <row r="1553" spans="22:23">
      <c r="V1553" s="66"/>
      <c r="W1553" s="66"/>
    </row>
    <row r="1554" spans="22:23">
      <c r="V1554" s="66"/>
      <c r="W1554" s="66"/>
    </row>
    <row r="1555" spans="22:23">
      <c r="V1555" s="66"/>
      <c r="W1555" s="66"/>
    </row>
    <row r="1556" spans="22:23">
      <c r="V1556" s="66"/>
      <c r="W1556" s="66"/>
    </row>
    <row r="1557" spans="22:23">
      <c r="V1557" s="66"/>
      <c r="W1557" s="66"/>
    </row>
    <row r="1558" spans="22:23">
      <c r="V1558" s="66"/>
      <c r="W1558" s="66"/>
    </row>
    <row r="1559" spans="22:23">
      <c r="V1559" s="66"/>
      <c r="W1559" s="66"/>
    </row>
    <row r="1560" spans="22:23">
      <c r="V1560" s="66"/>
      <c r="W1560" s="66"/>
    </row>
    <row r="1561" spans="22:23">
      <c r="V1561" s="66"/>
      <c r="W1561" s="66"/>
    </row>
    <row r="1562" spans="22:23">
      <c r="V1562" s="66"/>
      <c r="W1562" s="66"/>
    </row>
    <row r="1563" spans="22:23">
      <c r="V1563" s="66"/>
      <c r="W1563" s="66"/>
    </row>
    <row r="1564" spans="22:23">
      <c r="V1564" s="66"/>
      <c r="W1564" s="66"/>
    </row>
    <row r="1565" spans="22:23">
      <c r="V1565" s="66"/>
      <c r="W1565" s="66"/>
    </row>
    <row r="1566" spans="22:23">
      <c r="V1566" s="66"/>
      <c r="W1566" s="66"/>
    </row>
    <row r="1567" spans="22:23">
      <c r="V1567" s="66"/>
      <c r="W1567" s="66"/>
    </row>
    <row r="1568" spans="22:23">
      <c r="V1568" s="66"/>
      <c r="W1568" s="66"/>
    </row>
    <row r="1569" spans="22:23">
      <c r="V1569" s="66"/>
      <c r="W1569" s="66"/>
    </row>
    <row r="1570" spans="22:23">
      <c r="V1570" s="66"/>
      <c r="W1570" s="66"/>
    </row>
    <row r="1571" spans="22:23">
      <c r="V1571" s="66"/>
      <c r="W1571" s="66"/>
    </row>
    <row r="1572" spans="22:23">
      <c r="V1572" s="66"/>
      <c r="W1572" s="66"/>
    </row>
    <row r="1573" spans="22:23">
      <c r="V1573" s="66"/>
      <c r="W1573" s="66"/>
    </row>
    <row r="1574" spans="22:23">
      <c r="V1574" s="66"/>
      <c r="W1574" s="66"/>
    </row>
    <row r="1575" spans="22:23">
      <c r="V1575" s="66"/>
      <c r="W1575" s="66"/>
    </row>
    <row r="1576" spans="22:23">
      <c r="V1576" s="66"/>
      <c r="W1576" s="66"/>
    </row>
    <row r="1577" spans="22:23">
      <c r="V1577" s="66"/>
      <c r="W1577" s="66"/>
    </row>
    <row r="1578" spans="22:23">
      <c r="V1578" s="66"/>
      <c r="W1578" s="66"/>
    </row>
    <row r="1579" spans="22:23">
      <c r="V1579" s="66"/>
      <c r="W1579" s="66"/>
    </row>
    <row r="1580" spans="22:23">
      <c r="V1580" s="66"/>
      <c r="W1580" s="66"/>
    </row>
    <row r="1581" spans="22:23">
      <c r="V1581" s="66"/>
      <c r="W1581" s="66"/>
    </row>
    <row r="1582" spans="22:23">
      <c r="V1582" s="66"/>
      <c r="W1582" s="66"/>
    </row>
  </sheetData>
  <sheetProtection formatCells="0" formatColumns="0" formatRows="0" insertRows="0" deleteRows="0" autoFilter="0"/>
  <autoFilter ref="A3:AK3" xr:uid="{E9141C76-73EB-4F64-84AE-D4AEF6044B65}"/>
  <conditionalFormatting sqref="L25 H24:H25 I24:K24 U24:V25 M24:T24">
    <cfRule type="cellIs" dxfId="1" priority="3" stopIfTrue="1" operator="equal">
      <formula>" "</formula>
    </cfRule>
  </conditionalFormatting>
  <conditionalFormatting sqref="V5 V7 V9 V11 V13 V15 V17 V19 V21 V23">
    <cfRule type="cellIs" dxfId="0" priority="2" stopIfTrue="1" operator="equal">
      <formula>" "</formula>
    </cfRule>
  </conditionalFormatting>
  <dataValidations count="23">
    <dataValidation type="list" allowBlank="1" sqref="X24:X25" xr:uid="{00000000-0002-0000-0200-000001000000}">
      <formula1>$X$28</formula1>
    </dataValidation>
    <dataValidation type="list" allowBlank="1" sqref="Z25 Y24:Y25" xr:uid="{00000000-0002-0000-0200-000003000000}">
      <formula1>$Y$28:$Y$31</formula1>
    </dataValidation>
    <dataValidation type="list" allowBlank="1" sqref="AE24:AE25" xr:uid="{00000000-0002-0000-0200-000005000000}">
      <formula1>$AE$28:$AE$39</formula1>
    </dataValidation>
    <dataValidation type="list" allowBlank="1" sqref="AH24:AK25" xr:uid="{00000000-0002-0000-0200-000006000000}">
      <formula1>$AJ$28:$AJ$30</formula1>
    </dataValidation>
    <dataValidation type="list" allowBlank="1" showInputMessage="1" showErrorMessage="1" sqref="D4:D23" xr:uid="{9E01F623-867F-4A65-9C09-BDBB66A4C6C7}">
      <formula1>$D$28:$D$29</formula1>
    </dataValidation>
    <dataValidation type="textLength" operator="lessThan" allowBlank="1" showInputMessage="1" showErrorMessage="1" sqref="F4:H23" xr:uid="{7D6142C4-C0A1-4587-942F-D329E7A3B048}">
      <formula1>75</formula1>
    </dataValidation>
    <dataValidation allowBlank="1" sqref="M4:M23" xr:uid="{A900C0E2-3C05-4FE8-9138-58089E999F93}"/>
    <dataValidation type="textLength" operator="lessThanOrEqual" allowBlank="1" showInputMessage="1" showErrorMessage="1" sqref="U4:V23" xr:uid="{C43C9375-E34E-4269-9E4E-47CAD9F2DB73}">
      <formula1>24</formula1>
    </dataValidation>
    <dataValidation type="list" allowBlank="1" sqref="AG4:AH23" xr:uid="{EC70F311-950F-4C8E-B0A6-02E9AF7DE2E4}">
      <formula1>$AB$603:$AB$605</formula1>
    </dataValidation>
    <dataValidation type="list" allowBlank="1" showInputMessage="1" showErrorMessage="1" sqref="O4:O23" xr:uid="{70942426-C94B-45BF-928C-9ADB17A2E864}">
      <formula1>$O$28:$O$35</formula1>
    </dataValidation>
    <dataValidation type="list" errorStyle="warning" allowBlank="1" showInputMessage="1" showErrorMessage="1" errorTitle="String error" error="Vul String lengte in tussen vierkante haakjes" sqref="P4:P23" xr:uid="{526E38A5-6A6E-49C6-9B72-2D83D7A145B5}">
      <formula1>$P$28:$P$35</formula1>
    </dataValidation>
    <dataValidation type="list" allowBlank="1" showInputMessage="1" showErrorMessage="1" sqref="Q4:Q23" xr:uid="{EC6EAF7E-FFCC-4127-BC13-69DCCDBD0F2F}">
      <formula1>$Q$28:$Q$34</formula1>
    </dataValidation>
    <dataValidation type="list" allowBlank="1" showInputMessage="1" showErrorMessage="1" sqref="X4:X23" xr:uid="{412D1F04-3BED-4E24-908F-8812FBFC29AF}">
      <formula1>$X$28:$X$31</formula1>
    </dataValidation>
    <dataValidation type="list" allowBlank="1" sqref="AE4:AE23" xr:uid="{D6A9BE8B-157D-49B1-BAE2-BEC690963E61}">
      <formula1>$AE$28:$AE$38</formula1>
    </dataValidation>
    <dataValidation type="list" allowBlank="1" sqref="L24:L25" xr:uid="{00000000-0002-0000-0200-000008000000}">
      <formula1>$L$28:$L$34</formula1>
    </dataValidation>
    <dataValidation type="list" allowBlank="1" showErrorMessage="1" errorTitle="Wrong input" error="Only I, V or blanks are allowed" sqref="W24:W25" xr:uid="{00000000-0002-0000-0200-000000000000}">
      <formula1>#REF!</formula1>
    </dataValidation>
    <dataValidation type="list" allowBlank="1" showDropDown="1" showInputMessage="1" sqref="AB4:AB23" xr:uid="{34320C74-588C-41C9-B243-9C82CDB5BFF9}">
      <formula1>$AB$28:$AB$34</formula1>
    </dataValidation>
    <dataValidation type="list" allowBlank="1" showDropDown="1" showInputMessage="1" sqref="AC4:AC23" xr:uid="{5F806197-D5FF-4053-9885-B2C3638C9283}">
      <formula1>$AC$28:$AC$35</formula1>
    </dataValidation>
    <dataValidation type="list" allowBlank="1" showDropDown="1" showInputMessage="1" sqref="AD4:AD23" xr:uid="{93B72728-221A-4B49-AFC4-663A3D484E99}">
      <formula1>$AD$28:$AD$35</formula1>
    </dataValidation>
    <dataValidation type="list" errorStyle="warning" allowBlank="1" showInputMessage="1" showErrorMessage="1" errorTitle="String error" error="Vul String lengte in tussen vierkante haakjes" sqref="K4:K23" xr:uid="{3D42B825-DACE-48D4-82B7-2FEAE2433E27}">
      <formula1>$K$28:$K$35</formula1>
    </dataValidation>
    <dataValidation errorStyle="warning" allowBlank="1" showInputMessage="1" showErrorMessage="1" errorTitle="String error" error="Vul String lengte in tussen vierkante haakjes" sqref="L4:L23" xr:uid="{08C8F15A-76BC-4F5B-8912-EF33187DB484}"/>
    <dataValidation type="list" allowBlank="1" sqref="Y4:Y23" xr:uid="{412AB5A5-D4F3-45F7-BD09-DD9DDA93428E}">
      <formula1>$Y$28</formula1>
    </dataValidation>
    <dataValidation type="list" allowBlank="1" showInputMessage="1" sqref="Z4:Z23" xr:uid="{8734EEA7-52C5-4E80-8031-DE9ABEAF8FF0}">
      <formula1>$Z$28:$Z$34</formula1>
    </dataValidation>
  </dataValidations>
  <pageMargins left="0.74803149606299213" right="0.74803149606299213" top="1.1023622047244095" bottom="0.98425196850393704" header="0.51181102362204722" footer="0.51181102362204722"/>
  <pageSetup paperSize="9" fitToHeight="0" orientation="landscape" r:id="rId1"/>
  <headerFooter alignWithMargins="0">
    <oddHeader>&amp;C
DOWNLOAD LIST&amp;RFilename: &amp;F
Date: &amp;D&amp;L&amp;9Machine Number : 84130001
Machine Name : IFC - VL1 - Washer
CU Number : 7000
VU Number : 3920</oddHeader>
    <oddFooter>&amp;LBased on template :&amp;CDownloadList_CUxxxx_A3&amp;RPage &amp;P/&amp;N</oddFooter>
  </headerFooter>
  <drawing r:id="rId2"/>
  <legacyDrawing r:id="rId3"/>
  <controls>
    <mc:AlternateContent xmlns:mc="http://schemas.openxmlformats.org/markup-compatibility/2006">
      <mc:Choice Requires="x14">
        <control shapeId="4103" r:id="rId4" name="Visual">
          <controlPr defaultSize="0" autoLine="0" r:id="rId5">
            <anchor moveWithCells="1">
              <from>
                <xdr:col>4</xdr:col>
                <xdr:colOff>285750</xdr:colOff>
                <xdr:row>0</xdr:row>
                <xdr:rowOff>0</xdr:rowOff>
              </from>
              <to>
                <xdr:col>5</xdr:col>
                <xdr:colOff>885825</xdr:colOff>
                <xdr:row>0</xdr:row>
                <xdr:rowOff>419100</xdr:rowOff>
              </to>
            </anchor>
          </controlPr>
        </control>
      </mc:Choice>
      <mc:Fallback>
        <control shapeId="4103" r:id="rId4" name="Visual"/>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10997F5-320A-454E-8832-AA0253185A8F}">
          <x14:formula1>
            <xm:f>OFFSET(StatusTags!$F$4,0,0,COUNTIF(StatusTags!$F$4:$F$80000,"&lt;&gt;"))</xm:f>
          </x14:formula1>
          <xm:sqref>T4:T23</xm:sqref>
        </x14:dataValidation>
        <x14:dataValidation type="list" allowBlank="1" showDropDown="1" showInputMessage="1" xr:uid="{4D236214-F59B-4133-A2BC-094E6AF25757}">
          <x14:formula1>
            <xm:f>ComponentTypes!$B$2:$B$8</xm:f>
          </x14:formula1>
          <xm:sqref>W4:W23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0AC55-60D8-417C-A811-B48575A0B262}">
  <sheetPr codeName="Sheet9"/>
  <dimension ref="A1:AF14"/>
  <sheetViews>
    <sheetView workbookViewId="0">
      <selection activeCell="C4" sqref="C4"/>
    </sheetView>
  </sheetViews>
  <sheetFormatPr defaultColWidth="9.33203125" defaultRowHeight="11.25"/>
  <cols>
    <col min="3" max="3" width="51.6640625" customWidth="1"/>
    <col min="5" max="5" width="27.6640625" bestFit="1" customWidth="1"/>
    <col min="6" max="6" width="29.5" customWidth="1"/>
  </cols>
  <sheetData>
    <row r="1" spans="1:32" s="67" customFormat="1" ht="36.75" customHeight="1" thickBot="1">
      <c r="B1" s="68" t="s">
        <v>861</v>
      </c>
      <c r="F1" s="69"/>
      <c r="M1" s="70"/>
      <c r="N1" s="70"/>
      <c r="AE1" s="71"/>
      <c r="AF1" s="71"/>
    </row>
    <row r="2" spans="1:32" ht="12.75" thickBot="1">
      <c r="A2" s="72"/>
      <c r="B2" s="73"/>
      <c r="C2" s="74"/>
      <c r="D2" s="76" t="s">
        <v>107</v>
      </c>
      <c r="E2" s="77"/>
      <c r="F2" s="78"/>
    </row>
    <row r="3" spans="1:32" ht="24.75" thickBot="1">
      <c r="A3" s="72" t="s">
        <v>109</v>
      </c>
      <c r="B3" s="73" t="s">
        <v>110</v>
      </c>
      <c r="C3" s="88" t="s">
        <v>862</v>
      </c>
      <c r="D3" s="89" t="s">
        <v>863</v>
      </c>
      <c r="E3" s="90" t="s">
        <v>117</v>
      </c>
      <c r="F3" s="89" t="s">
        <v>864</v>
      </c>
    </row>
    <row r="4" spans="1:32" ht="12.75">
      <c r="A4" s="329" t="s">
        <v>30</v>
      </c>
      <c r="B4" s="91">
        <v>1</v>
      </c>
      <c r="C4" s="91" t="s">
        <v>865</v>
      </c>
      <c r="D4" s="91" t="s">
        <v>866</v>
      </c>
      <c r="E4" s="62" t="s">
        <v>814</v>
      </c>
      <c r="F4" s="63" t="s">
        <v>867</v>
      </c>
    </row>
    <row r="5" spans="1:32" s="166" customFormat="1" ht="12.75">
      <c r="A5" s="92" t="s">
        <v>15</v>
      </c>
      <c r="B5" s="61">
        <v>2</v>
      </c>
      <c r="C5" s="61" t="s">
        <v>868</v>
      </c>
      <c r="D5" s="61" t="s">
        <v>869</v>
      </c>
      <c r="E5" s="62" t="s">
        <v>870</v>
      </c>
      <c r="F5" s="63" t="s">
        <v>871</v>
      </c>
    </row>
    <row r="6" spans="1:32" ht="12.75">
      <c r="A6" s="92" t="s">
        <v>15</v>
      </c>
      <c r="B6" s="61">
        <v>3</v>
      </c>
      <c r="C6" s="61" t="s">
        <v>872</v>
      </c>
      <c r="D6" s="61" t="s">
        <v>873</v>
      </c>
      <c r="E6" s="62" t="s">
        <v>874</v>
      </c>
      <c r="F6" s="63" t="s">
        <v>875</v>
      </c>
    </row>
    <row r="7" spans="1:32" ht="12.75">
      <c r="A7" s="92" t="s">
        <v>15</v>
      </c>
      <c r="B7" s="61">
        <v>4</v>
      </c>
      <c r="C7" s="61" t="s">
        <v>876</v>
      </c>
      <c r="D7" s="61" t="s">
        <v>877</v>
      </c>
      <c r="E7" s="62" t="s">
        <v>878</v>
      </c>
      <c r="F7" s="63" t="s">
        <v>879</v>
      </c>
    </row>
    <row r="8" spans="1:32" ht="12.75">
      <c r="A8" s="92" t="s">
        <v>15</v>
      </c>
      <c r="B8" s="61">
        <v>5</v>
      </c>
      <c r="C8" s="61" t="s">
        <v>880</v>
      </c>
      <c r="D8" s="61" t="s">
        <v>881</v>
      </c>
      <c r="E8" s="62" t="s">
        <v>882</v>
      </c>
      <c r="F8" s="63" t="s">
        <v>883</v>
      </c>
    </row>
    <row r="9" spans="1:32" ht="12.75">
      <c r="A9" s="92" t="s">
        <v>15</v>
      </c>
      <c r="B9" s="61">
        <v>6</v>
      </c>
      <c r="C9" s="61" t="s">
        <v>884</v>
      </c>
      <c r="D9" s="61" t="s">
        <v>885</v>
      </c>
      <c r="E9" s="62" t="s">
        <v>886</v>
      </c>
      <c r="F9" s="63" t="s">
        <v>887</v>
      </c>
    </row>
    <row r="10" spans="1:32" ht="12.75">
      <c r="A10" s="92" t="s">
        <v>15</v>
      </c>
      <c r="B10" s="61">
        <v>7</v>
      </c>
      <c r="C10" s="61" t="s">
        <v>888</v>
      </c>
      <c r="D10" s="61" t="s">
        <v>889</v>
      </c>
      <c r="E10" s="62" t="s">
        <v>890</v>
      </c>
      <c r="F10" s="63" t="s">
        <v>891</v>
      </c>
    </row>
    <row r="11" spans="1:32" ht="12.75">
      <c r="A11" s="92" t="s">
        <v>15</v>
      </c>
      <c r="B11" s="61">
        <v>8</v>
      </c>
      <c r="C11" s="61" t="s">
        <v>892</v>
      </c>
      <c r="D11" s="61" t="s">
        <v>893</v>
      </c>
      <c r="E11" s="62" t="s">
        <v>894</v>
      </c>
      <c r="F11" s="63" t="s">
        <v>895</v>
      </c>
    </row>
    <row r="12" spans="1:32" ht="12.75">
      <c r="A12" s="92" t="s">
        <v>15</v>
      </c>
      <c r="B12" s="61">
        <v>9</v>
      </c>
      <c r="C12" s="61" t="s">
        <v>896</v>
      </c>
      <c r="D12" s="61" t="s">
        <v>897</v>
      </c>
      <c r="E12" s="62" t="s">
        <v>898</v>
      </c>
      <c r="F12" s="63" t="s">
        <v>899</v>
      </c>
    </row>
    <row r="13" spans="1:32" ht="12.75">
      <c r="A13" s="92" t="s">
        <v>15</v>
      </c>
      <c r="B13" s="61">
        <v>10</v>
      </c>
      <c r="C13" s="61" t="s">
        <v>900</v>
      </c>
      <c r="D13" s="61" t="s">
        <v>901</v>
      </c>
      <c r="E13" s="62" t="s">
        <v>902</v>
      </c>
      <c r="F13" s="63" t="s">
        <v>903</v>
      </c>
    </row>
    <row r="14" spans="1:32" ht="12.75">
      <c r="F14" s="169"/>
    </row>
  </sheetData>
  <dataConsolidate/>
  <phoneticPr fontId="0" type="noConversion"/>
  <pageMargins left="0.7" right="0.7" top="0.75" bottom="0.75" header="0.3" footer="0.3"/>
  <pageSetup paperSize="9" orientation="portrait" r:id="rId1"/>
  <headerFooter>
    <oddHeader>&amp;L&amp;9Machine Number : 84130001
Machine Name : IFC - VL1 - Washer
CU Number : 7000
VU Number : 3920</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C97"/>
  <sheetViews>
    <sheetView workbookViewId="0">
      <selection activeCell="B19" sqref="B19"/>
    </sheetView>
  </sheetViews>
  <sheetFormatPr defaultColWidth="9.33203125" defaultRowHeight="11.25"/>
  <cols>
    <col min="1" max="1" width="23.5" style="16" bestFit="1" customWidth="1"/>
    <col min="2" max="2" width="35.5" style="46" customWidth="1"/>
    <col min="3" max="3" width="212.5" style="16" bestFit="1" customWidth="1"/>
    <col min="4" max="16384" width="9.33203125" style="16"/>
  </cols>
  <sheetData>
    <row r="1" spans="1:3" ht="18">
      <c r="A1" s="30" t="s">
        <v>904</v>
      </c>
    </row>
    <row r="2" spans="1:3">
      <c r="A2" s="31"/>
    </row>
    <row r="3" spans="1:3">
      <c r="A3" s="31"/>
    </row>
    <row r="4" spans="1:3">
      <c r="A4" s="306" t="s">
        <v>4</v>
      </c>
      <c r="B4" s="307" t="s">
        <v>905</v>
      </c>
      <c r="C4" s="308" t="s">
        <v>906</v>
      </c>
    </row>
    <row r="5" spans="1:3">
      <c r="A5" s="320" t="s">
        <v>64</v>
      </c>
      <c r="B5" s="321">
        <v>7000</v>
      </c>
      <c r="C5" s="322" t="s">
        <v>907</v>
      </c>
    </row>
    <row r="6" spans="1:3">
      <c r="A6" s="309" t="s">
        <v>69</v>
      </c>
      <c r="B6" s="310">
        <v>3920</v>
      </c>
      <c r="C6" s="323" t="s">
        <v>908</v>
      </c>
    </row>
    <row r="7" spans="1:3">
      <c r="A7" s="320" t="s">
        <v>909</v>
      </c>
      <c r="B7" s="321" t="s">
        <v>910</v>
      </c>
      <c r="C7" s="322" t="s">
        <v>911</v>
      </c>
    </row>
    <row r="8" spans="1:3">
      <c r="A8" s="309" t="s">
        <v>912</v>
      </c>
      <c r="B8" s="310" t="s">
        <v>913</v>
      </c>
      <c r="C8" s="323" t="s">
        <v>914</v>
      </c>
    </row>
    <row r="9" spans="1:3">
      <c r="A9" s="320" t="s">
        <v>915</v>
      </c>
      <c r="B9" s="321" t="b">
        <v>1</v>
      </c>
      <c r="C9" s="322" t="s">
        <v>916</v>
      </c>
    </row>
    <row r="10" spans="1:3">
      <c r="A10" s="309" t="s">
        <v>917</v>
      </c>
      <c r="B10" s="310" t="b">
        <v>1</v>
      </c>
      <c r="C10" s="323" t="s">
        <v>918</v>
      </c>
    </row>
    <row r="11" spans="1:3">
      <c r="A11" s="320" t="s">
        <v>919</v>
      </c>
      <c r="B11" s="321" t="b">
        <v>1</v>
      </c>
      <c r="C11" s="324" t="s">
        <v>920</v>
      </c>
    </row>
    <row r="12" spans="1:3">
      <c r="A12" s="309" t="s">
        <v>921</v>
      </c>
      <c r="B12" s="310" t="b">
        <v>1</v>
      </c>
      <c r="C12" s="323" t="s">
        <v>922</v>
      </c>
    </row>
    <row r="13" spans="1:3">
      <c r="A13" s="320" t="s">
        <v>923</v>
      </c>
      <c r="B13" s="321" t="b">
        <v>1</v>
      </c>
      <c r="C13" s="324" t="s">
        <v>924</v>
      </c>
    </row>
    <row r="14" spans="1:3">
      <c r="A14" s="309" t="s">
        <v>925</v>
      </c>
      <c r="B14" s="310" t="b">
        <v>0</v>
      </c>
      <c r="C14" s="323" t="s">
        <v>926</v>
      </c>
    </row>
    <row r="15" spans="1:3">
      <c r="A15" s="320" t="s">
        <v>927</v>
      </c>
      <c r="B15" s="321" t="s">
        <v>928</v>
      </c>
      <c r="C15" s="322" t="s">
        <v>929</v>
      </c>
    </row>
    <row r="16" spans="1:3">
      <c r="A16" s="320" t="s">
        <v>930</v>
      </c>
      <c r="B16" s="321" t="s">
        <v>931</v>
      </c>
      <c r="C16" s="322"/>
    </row>
    <row r="17" spans="1:3">
      <c r="A17" s="320" t="s">
        <v>932</v>
      </c>
      <c r="B17" s="321" t="s">
        <v>933</v>
      </c>
      <c r="C17" s="322"/>
    </row>
    <row r="18" spans="1:3">
      <c r="A18" s="320" t="s">
        <v>934</v>
      </c>
      <c r="B18" s="321" t="s">
        <v>935</v>
      </c>
      <c r="C18" s="322"/>
    </row>
    <row r="19" spans="1:3">
      <c r="A19" s="309" t="s">
        <v>936</v>
      </c>
      <c r="B19" s="310" t="s">
        <v>937</v>
      </c>
      <c r="C19" s="323" t="s">
        <v>938</v>
      </c>
    </row>
    <row r="20" spans="1:3">
      <c r="A20" s="320" t="s">
        <v>939</v>
      </c>
      <c r="B20" s="321" t="s">
        <v>940</v>
      </c>
      <c r="C20" s="322" t="s">
        <v>941</v>
      </c>
    </row>
    <row r="21" spans="1:3">
      <c r="A21" s="309" t="s">
        <v>942</v>
      </c>
      <c r="B21" s="310" t="s">
        <v>943</v>
      </c>
      <c r="C21" s="323" t="s">
        <v>944</v>
      </c>
    </row>
    <row r="22" spans="1:3">
      <c r="A22" s="320" t="s">
        <v>945</v>
      </c>
      <c r="B22" s="321" t="s">
        <v>249</v>
      </c>
      <c r="C22" s="322" t="s">
        <v>946</v>
      </c>
    </row>
    <row r="23" spans="1:3">
      <c r="A23" s="326" t="s">
        <v>947</v>
      </c>
      <c r="B23" s="327" t="s">
        <v>948</v>
      </c>
      <c r="C23" s="328" t="s">
        <v>949</v>
      </c>
    </row>
    <row r="24" spans="1:3">
      <c r="A24" s="309" t="s">
        <v>950</v>
      </c>
      <c r="B24" s="310" t="s">
        <v>951</v>
      </c>
      <c r="C24" s="323" t="s">
        <v>952</v>
      </c>
    </row>
    <row r="25" spans="1:3">
      <c r="A25" s="320" t="s">
        <v>953</v>
      </c>
      <c r="B25" s="321">
        <v>0</v>
      </c>
      <c r="C25" s="322" t="s">
        <v>954</v>
      </c>
    </row>
    <row r="26" spans="1:3">
      <c r="A26" s="309" t="s">
        <v>955</v>
      </c>
      <c r="B26" s="310">
        <v>0</v>
      </c>
      <c r="C26" s="311" t="s">
        <v>954</v>
      </c>
    </row>
    <row r="27" spans="1:3">
      <c r="A27" s="43"/>
      <c r="B27" s="44"/>
    </row>
    <row r="28" spans="1:3">
      <c r="A28" s="43"/>
      <c r="B28" s="44"/>
    </row>
    <row r="29" spans="1:3">
      <c r="A29" s="43"/>
      <c r="B29" s="44"/>
    </row>
    <row r="30" spans="1:3">
      <c r="A30" s="43"/>
      <c r="B30" s="44"/>
    </row>
    <row r="31" spans="1:3">
      <c r="A31" s="43"/>
      <c r="B31" s="44"/>
    </row>
    <row r="32" spans="1:3">
      <c r="A32" s="43"/>
      <c r="B32" s="44"/>
    </row>
    <row r="33" spans="1:2">
      <c r="A33" s="43"/>
      <c r="B33" s="44"/>
    </row>
    <row r="34" spans="1:2">
      <c r="A34" s="43"/>
      <c r="B34" s="44"/>
    </row>
    <row r="35" spans="1:2">
      <c r="A35" s="43"/>
      <c r="B35" s="44"/>
    </row>
    <row r="36" spans="1:2">
      <c r="A36" s="43"/>
      <c r="B36" s="44"/>
    </row>
    <row r="37" spans="1:2">
      <c r="A37" s="43"/>
      <c r="B37" s="44"/>
    </row>
    <row r="38" spans="1:2">
      <c r="A38" s="43"/>
      <c r="B38" s="44"/>
    </row>
    <row r="39" spans="1:2">
      <c r="A39" s="43"/>
      <c r="B39" s="44"/>
    </row>
    <row r="40" spans="1:2">
      <c r="A40" s="43"/>
      <c r="B40" s="44"/>
    </row>
    <row r="41" spans="1:2">
      <c r="A41" s="43"/>
      <c r="B41" s="44"/>
    </row>
    <row r="42" spans="1:2">
      <c r="A42" s="43"/>
      <c r="B42" s="44"/>
    </row>
    <row r="43" spans="1:2">
      <c r="A43" s="43"/>
      <c r="B43" s="44"/>
    </row>
    <row r="44" spans="1:2">
      <c r="A44" s="43"/>
      <c r="B44" s="44"/>
    </row>
    <row r="45" spans="1:2">
      <c r="A45" s="43"/>
      <c r="B45" s="44"/>
    </row>
    <row r="46" spans="1:2">
      <c r="A46" s="43"/>
      <c r="B46" s="44"/>
    </row>
    <row r="47" spans="1:2">
      <c r="A47" s="43"/>
      <c r="B47" s="44"/>
    </row>
    <row r="48" spans="1:2">
      <c r="A48" s="43"/>
      <c r="B48" s="44"/>
    </row>
    <row r="49" spans="1:2">
      <c r="A49" s="43"/>
      <c r="B49" s="44"/>
    </row>
    <row r="50" spans="1:2">
      <c r="A50" s="43"/>
      <c r="B50" s="44"/>
    </row>
    <row r="51" spans="1:2">
      <c r="A51" s="43"/>
      <c r="B51" s="44"/>
    </row>
    <row r="52" spans="1:2">
      <c r="A52" s="43"/>
      <c r="B52" s="44"/>
    </row>
    <row r="53" spans="1:2">
      <c r="A53" s="43"/>
      <c r="B53" s="44"/>
    </row>
    <row r="54" spans="1:2">
      <c r="A54" s="43"/>
      <c r="B54" s="44"/>
    </row>
    <row r="55" spans="1:2">
      <c r="A55" s="43"/>
      <c r="B55" s="44"/>
    </row>
    <row r="56" spans="1:2">
      <c r="A56" s="43"/>
      <c r="B56" s="44"/>
    </row>
    <row r="57" spans="1:2">
      <c r="A57" s="43"/>
      <c r="B57" s="44"/>
    </row>
    <row r="58" spans="1:2">
      <c r="A58" s="43"/>
      <c r="B58" s="44"/>
    </row>
    <row r="59" spans="1:2">
      <c r="A59" s="43"/>
      <c r="B59" s="44"/>
    </row>
    <row r="60" spans="1:2">
      <c r="A60" s="43"/>
      <c r="B60" s="44"/>
    </row>
    <row r="61" spans="1:2">
      <c r="A61" s="43"/>
      <c r="B61" s="44"/>
    </row>
    <row r="62" spans="1:2">
      <c r="A62" s="43"/>
      <c r="B62" s="44"/>
    </row>
    <row r="63" spans="1:2">
      <c r="A63" s="43"/>
      <c r="B63" s="44"/>
    </row>
    <row r="64" spans="1:2">
      <c r="A64" s="43"/>
      <c r="B64" s="44"/>
    </row>
    <row r="65" spans="1:2">
      <c r="A65" s="43"/>
      <c r="B65" s="44"/>
    </row>
    <row r="66" spans="1:2">
      <c r="A66" s="43"/>
      <c r="B66" s="44"/>
    </row>
    <row r="67" spans="1:2">
      <c r="A67" s="43"/>
      <c r="B67" s="44"/>
    </row>
    <row r="68" spans="1:2">
      <c r="A68" s="43"/>
      <c r="B68" s="44"/>
    </row>
    <row r="69" spans="1:2">
      <c r="A69" s="43"/>
      <c r="B69" s="44"/>
    </row>
    <row r="70" spans="1:2">
      <c r="A70" s="43"/>
      <c r="B70" s="44"/>
    </row>
    <row r="71" spans="1:2">
      <c r="A71" s="43"/>
      <c r="B71" s="44"/>
    </row>
    <row r="72" spans="1:2">
      <c r="A72" s="43"/>
      <c r="B72" s="44"/>
    </row>
    <row r="73" spans="1:2">
      <c r="A73" s="43"/>
      <c r="B73" s="44"/>
    </row>
    <row r="74" spans="1:2">
      <c r="A74" s="43"/>
      <c r="B74" s="44"/>
    </row>
    <row r="75" spans="1:2">
      <c r="A75" s="43"/>
      <c r="B75" s="44"/>
    </row>
    <row r="76" spans="1:2">
      <c r="A76" s="43"/>
      <c r="B76" s="44"/>
    </row>
    <row r="77" spans="1:2">
      <c r="A77" s="43"/>
      <c r="B77" s="44"/>
    </row>
    <row r="78" spans="1:2">
      <c r="A78" s="43"/>
      <c r="B78" s="44"/>
    </row>
    <row r="79" spans="1:2">
      <c r="A79" s="43"/>
      <c r="B79" s="44"/>
    </row>
    <row r="80" spans="1:2">
      <c r="A80" s="43"/>
      <c r="B80" s="44"/>
    </row>
    <row r="81" spans="1:2">
      <c r="A81" s="43"/>
      <c r="B81" s="44"/>
    </row>
    <row r="82" spans="1:2">
      <c r="A82" s="43"/>
      <c r="B82" s="44"/>
    </row>
    <row r="83" spans="1:2">
      <c r="A83" s="43"/>
      <c r="B83" s="44"/>
    </row>
    <row r="84" spans="1:2">
      <c r="A84" s="43"/>
      <c r="B84" s="44"/>
    </row>
    <row r="85" spans="1:2">
      <c r="A85" s="43"/>
      <c r="B85" s="44"/>
    </row>
    <row r="86" spans="1:2">
      <c r="A86" s="43"/>
      <c r="B86" s="44"/>
    </row>
    <row r="87" spans="1:2">
      <c r="A87" s="43"/>
      <c r="B87" s="44"/>
    </row>
    <row r="88" spans="1:2">
      <c r="A88" s="43"/>
      <c r="B88" s="44"/>
    </row>
    <row r="89" spans="1:2">
      <c r="A89" s="43"/>
      <c r="B89" s="44"/>
    </row>
    <row r="90" spans="1:2">
      <c r="A90" s="43"/>
      <c r="B90" s="44"/>
    </row>
    <row r="91" spans="1:2">
      <c r="A91" s="34"/>
      <c r="B91" s="33"/>
    </row>
    <row r="92" spans="1:2">
      <c r="A92" s="43"/>
      <c r="B92" s="44"/>
    </row>
    <row r="93" spans="1:2">
      <c r="A93" s="43"/>
      <c r="B93" s="44"/>
    </row>
    <row r="94" spans="1:2">
      <c r="A94" s="43"/>
      <c r="B94" s="44"/>
    </row>
    <row r="95" spans="1:2">
      <c r="A95" s="43"/>
      <c r="B95" s="44"/>
    </row>
    <row r="96" spans="1:2">
      <c r="A96" s="43"/>
      <c r="B96" s="44"/>
    </row>
    <row r="97" spans="1:2">
      <c r="A97" s="43"/>
      <c r="B97" s="44"/>
    </row>
  </sheetData>
  <phoneticPr fontId="0" type="noConversion"/>
  <pageMargins left="0.74803149606299213" right="0.74803149606299213" top="1.1023622047244095" bottom="0.98425196850393704" header="0.51181102362204722" footer="0.51181102362204722"/>
  <pageSetup paperSize="9" orientation="landscape" r:id="rId1"/>
  <headerFooter alignWithMargins="0">
    <oddHeader>&amp;C
DOWNLOAD LIST&amp;RFilename: &amp;F
Date: &amp;D&amp;L&amp;9Machine Number : 84130001
Machine Name : IFC - VL1 - Washer
CU Number : 7000
VU Number : 3920</oddHeader>
    <oddFooter>&amp;LBased on template :&amp;CDownloadList_CUxxxx_A3&amp;RPage &amp;P/&amp;N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59C80-8FFF-422B-BC4A-6C2C5D732EF4}">
  <sheetPr codeName="Sheet5"/>
  <dimension ref="A1:F9"/>
  <sheetViews>
    <sheetView zoomScale="170" zoomScaleNormal="170" workbookViewId="0">
      <selection activeCell="J34" sqref="J34"/>
    </sheetView>
  </sheetViews>
  <sheetFormatPr defaultColWidth="9.33203125" defaultRowHeight="11.25"/>
  <cols>
    <col min="1" max="1" width="19" customWidth="1"/>
    <col min="2" max="2" width="13.33203125" customWidth="1"/>
  </cols>
  <sheetData>
    <row r="1" spans="1:6">
      <c r="A1" s="305" t="s">
        <v>956</v>
      </c>
      <c r="B1" s="305" t="s">
        <v>957</v>
      </c>
      <c r="C1" s="305" t="s">
        <v>958</v>
      </c>
      <c r="D1" s="305" t="s">
        <v>959</v>
      </c>
      <c r="E1" s="305" t="s">
        <v>960</v>
      </c>
      <c r="F1" s="305" t="s">
        <v>961</v>
      </c>
    </row>
    <row r="2" spans="1:6">
      <c r="A2" t="s">
        <v>962</v>
      </c>
      <c r="B2" t="s">
        <v>235</v>
      </c>
      <c r="C2" t="s">
        <v>963</v>
      </c>
      <c r="D2" t="s">
        <v>963</v>
      </c>
      <c r="F2">
        <v>1</v>
      </c>
    </row>
    <row r="3" spans="1:6">
      <c r="A3" t="s">
        <v>964</v>
      </c>
      <c r="B3" t="s">
        <v>965</v>
      </c>
      <c r="D3" t="s">
        <v>963</v>
      </c>
      <c r="F3">
        <v>2</v>
      </c>
    </row>
    <row r="4" spans="1:6">
      <c r="A4" t="s">
        <v>280</v>
      </c>
      <c r="B4" t="s">
        <v>222</v>
      </c>
      <c r="D4" t="s">
        <v>963</v>
      </c>
      <c r="F4">
        <v>3</v>
      </c>
    </row>
    <row r="5" spans="1:6">
      <c r="A5" t="s">
        <v>966</v>
      </c>
      <c r="B5" t="s">
        <v>967</v>
      </c>
      <c r="D5" t="s">
        <v>963</v>
      </c>
      <c r="F5">
        <v>4</v>
      </c>
    </row>
    <row r="6" spans="1:6">
      <c r="A6" t="s">
        <v>968</v>
      </c>
      <c r="B6" t="s">
        <v>969</v>
      </c>
      <c r="D6" t="s">
        <v>963</v>
      </c>
      <c r="F6">
        <v>5</v>
      </c>
    </row>
    <row r="7" spans="1:6">
      <c r="A7" t="s">
        <v>160</v>
      </c>
      <c r="B7" t="s">
        <v>158</v>
      </c>
      <c r="C7" t="s">
        <v>963</v>
      </c>
      <c r="D7" t="s">
        <v>963</v>
      </c>
      <c r="F7">
        <v>7</v>
      </c>
    </row>
    <row r="8" spans="1:6">
      <c r="A8" t="s">
        <v>970</v>
      </c>
      <c r="B8" t="s">
        <v>971</v>
      </c>
      <c r="E8" t="s">
        <v>963</v>
      </c>
      <c r="F8">
        <v>8</v>
      </c>
    </row>
    <row r="9" spans="1:6">
      <c r="A9" t="s">
        <v>380</v>
      </c>
      <c r="B9" t="s">
        <v>380</v>
      </c>
      <c r="E9" t="s">
        <v>963</v>
      </c>
      <c r="F9">
        <v>9</v>
      </c>
    </row>
  </sheetData>
  <pageMargins left="0.7" right="0.7" top="0.75" bottom="0.75" header="0.3" footer="0.3"/>
  <pageSetup paperSize="9" orientation="portrait" r:id="rId1"/>
  <headerFooter>
    <oddHeader>&amp;L&amp;9Machine Number : 84130001
Machine Name : IFC - VL1 - Washer
CU Number : 7000
VU Number : 3920</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4:H11"/>
  <sheetViews>
    <sheetView showGridLines="0" zoomScaleNormal="100" workbookViewId="0">
      <selection activeCell="D10" sqref="D10"/>
    </sheetView>
  </sheetViews>
  <sheetFormatPr defaultColWidth="9.33203125" defaultRowHeight="14.25"/>
  <cols>
    <col min="1" max="1" width="1.6640625" style="1" customWidth="1"/>
    <col min="2" max="2" width="30" style="1" customWidth="1"/>
    <col min="3" max="3" width="13.33203125" style="1" customWidth="1"/>
    <col min="4" max="4" width="39.5" style="1" customWidth="1"/>
    <col min="5" max="16384" width="9.33203125" style="1"/>
  </cols>
  <sheetData>
    <row r="4" spans="2:8" ht="16.5">
      <c r="B4" s="301" t="s">
        <v>972</v>
      </c>
      <c r="C4" s="302">
        <f>COUNTA('Download list'!F4:F138)-COUNTIF('Download list'!F4:F138,"Spare")</f>
        <v>93</v>
      </c>
      <c r="D4" s="9" t="s">
        <v>973</v>
      </c>
      <c r="E4" s="8"/>
      <c r="H4" s="1" t="b">
        <v>0</v>
      </c>
    </row>
    <row r="5" spans="2:8" ht="7.5" customHeight="1">
      <c r="B5" s="2"/>
      <c r="C5" s="3"/>
    </row>
    <row r="6" spans="2:8">
      <c r="B6" s="4" t="s">
        <v>974</v>
      </c>
      <c r="C6" s="5">
        <f>COUNTIF('Download list'!$Y$4:$Y$138,"P1")</f>
        <v>7</v>
      </c>
    </row>
    <row r="7" spans="2:8">
      <c r="B7" s="4" t="s">
        <v>975</v>
      </c>
      <c r="C7" s="5">
        <f>COUNTIF('Download list'!$Y$4:$Y$138,"P2")</f>
        <v>27</v>
      </c>
    </row>
    <row r="8" spans="2:8">
      <c r="B8" s="4" t="s">
        <v>976</v>
      </c>
      <c r="C8" s="5">
        <f>COUNTIF('Download list'!$Y$4:$Y$138,"P3")</f>
        <v>41</v>
      </c>
    </row>
    <row r="9" spans="2:8">
      <c r="B9" s="6" t="s">
        <v>977</v>
      </c>
      <c r="C9" s="7">
        <f>COUNTIF('Download list'!$Y$4:$Y$138,"P4")</f>
        <v>15</v>
      </c>
    </row>
    <row r="11" spans="2:8" ht="15">
      <c r="B11" s="301" t="s">
        <v>978</v>
      </c>
      <c r="C11" s="15" t="s">
        <v>21</v>
      </c>
    </row>
  </sheetData>
  <phoneticPr fontId="0" type="noConversion"/>
  <pageMargins left="0.74803149606299213" right="0.74803149606299213" top="1.1023622047244095" bottom="0.98425196850393704" header="0.51181102362204722" footer="0.51181102362204722"/>
  <pageSetup paperSize="9" orientation="landscape" r:id="rId1"/>
  <headerFooter alignWithMargins="0">
    <oddHeader>&amp;C
DOWNLOAD LIST&amp;RFilename: &amp;F
Date: &amp;D&amp;L&amp;9Machine Number : 84130001
Machine Name : IFC - VL1 - Washer
CU Number : 7000
VU Number : 3920</oddHeader>
    <oddFooter>&amp;LBased on template :&amp;CDownloadList_CUxxxx_A3&amp;RPage &amp;P/&amp;N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heck Box 1">
              <controlPr defaultSize="0" autoFill="0" autoLine="0" autoPict="0" altText="Checkbox6">
                <anchor>
                  <from>
                    <xdr:col>1</xdr:col>
                    <xdr:colOff>171450</xdr:colOff>
                    <xdr:row>0</xdr:row>
                    <xdr:rowOff>95250</xdr:rowOff>
                  </from>
                  <to>
                    <xdr:col>2</xdr:col>
                    <xdr:colOff>57150</xdr:colOff>
                    <xdr:row>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FE3E2-5232-4D00-9335-5B54A65A0C80}">
  <sheetPr codeName="Sheet11"/>
  <dimension ref="A1:D20"/>
  <sheetViews>
    <sheetView showGridLines="0" zoomScaleNormal="100" workbookViewId="0">
      <selection activeCell="D12" sqref="D12"/>
    </sheetView>
  </sheetViews>
  <sheetFormatPr defaultColWidth="9.33203125" defaultRowHeight="12.75"/>
  <cols>
    <col min="1" max="1" width="8.6640625" style="178" customWidth="1"/>
    <col min="2" max="2" width="25.6640625" style="178" customWidth="1"/>
    <col min="3" max="3" width="15.6640625" style="178" customWidth="1"/>
    <col min="4" max="4" width="109.6640625" style="173" customWidth="1"/>
    <col min="5" max="16384" width="9.33203125" style="56"/>
  </cols>
  <sheetData>
    <row r="1" spans="1:4" s="173" customFormat="1" ht="20.25">
      <c r="A1" s="170" t="s">
        <v>979</v>
      </c>
      <c r="B1" s="171"/>
      <c r="C1" s="171"/>
      <c r="D1" s="172"/>
    </row>
    <row r="2" spans="1:4" ht="21" thickBot="1">
      <c r="A2" s="174"/>
      <c r="B2" s="175"/>
      <c r="C2" s="175"/>
      <c r="D2" s="172"/>
    </row>
    <row r="3" spans="1:4" s="178" customFormat="1" ht="30" customHeight="1">
      <c r="A3" s="176" t="s">
        <v>109</v>
      </c>
      <c r="B3" s="177" t="s">
        <v>2</v>
      </c>
      <c r="C3" s="177" t="s">
        <v>3</v>
      </c>
      <c r="D3" s="177" t="s">
        <v>4</v>
      </c>
    </row>
    <row r="4" spans="1:4">
      <c r="A4" s="57" t="s">
        <v>15</v>
      </c>
      <c r="B4" s="57" t="s">
        <v>27</v>
      </c>
      <c r="C4" s="58"/>
      <c r="D4" s="179" t="s">
        <v>980</v>
      </c>
    </row>
    <row r="5" spans="1:4" ht="25.5">
      <c r="A5" s="57" t="s">
        <v>21</v>
      </c>
      <c r="B5" s="57" t="s">
        <v>55</v>
      </c>
      <c r="C5" s="58">
        <v>43794</v>
      </c>
      <c r="D5" s="179" t="s">
        <v>981</v>
      </c>
    </row>
    <row r="6" spans="1:4" ht="25.5">
      <c r="A6" s="57" t="s">
        <v>23</v>
      </c>
      <c r="B6" s="59" t="s">
        <v>982</v>
      </c>
      <c r="C6" s="60" t="s">
        <v>983</v>
      </c>
      <c r="D6" s="180" t="s">
        <v>984</v>
      </c>
    </row>
    <row r="7" spans="1:4" ht="51">
      <c r="A7" s="57" t="s">
        <v>26</v>
      </c>
      <c r="B7" s="59" t="s">
        <v>985</v>
      </c>
      <c r="C7" s="58">
        <v>43859</v>
      </c>
      <c r="D7" s="180" t="s">
        <v>986</v>
      </c>
    </row>
    <row r="8" spans="1:4" ht="63.75">
      <c r="A8" s="57" t="s">
        <v>30</v>
      </c>
      <c r="B8" s="57" t="s">
        <v>987</v>
      </c>
      <c r="C8" s="58">
        <v>44589</v>
      </c>
      <c r="D8" s="181" t="s">
        <v>988</v>
      </c>
    </row>
    <row r="9" spans="1:4">
      <c r="A9" s="57" t="s">
        <v>989</v>
      </c>
      <c r="B9" s="57" t="s">
        <v>24</v>
      </c>
      <c r="C9" s="58">
        <v>44750</v>
      </c>
      <c r="D9" s="182" t="s">
        <v>990</v>
      </c>
    </row>
    <row r="10" spans="1:4">
      <c r="A10" s="57" t="s">
        <v>34</v>
      </c>
      <c r="B10" s="57" t="s">
        <v>24</v>
      </c>
      <c r="C10" s="58">
        <v>44831</v>
      </c>
      <c r="D10" s="182" t="s">
        <v>991</v>
      </c>
    </row>
    <row r="11" spans="1:4">
      <c r="A11" s="57" t="s">
        <v>37</v>
      </c>
      <c r="B11" s="57" t="s">
        <v>24</v>
      </c>
      <c r="C11" s="58">
        <v>44839</v>
      </c>
      <c r="D11" s="182" t="s">
        <v>992</v>
      </c>
    </row>
    <row r="12" spans="1:4">
      <c r="A12" s="57" t="s">
        <v>50</v>
      </c>
      <c r="B12" s="57" t="s">
        <v>55</v>
      </c>
      <c r="C12" s="58">
        <v>45058</v>
      </c>
      <c r="D12" s="182" t="s">
        <v>993</v>
      </c>
    </row>
    <row r="13" spans="1:4">
      <c r="A13" s="57"/>
      <c r="B13" s="57"/>
      <c r="C13" s="57"/>
      <c r="D13" s="182"/>
    </row>
    <row r="14" spans="1:4">
      <c r="A14" s="57"/>
      <c r="B14" s="57"/>
      <c r="C14" s="57"/>
      <c r="D14" s="182"/>
    </row>
    <row r="15" spans="1:4">
      <c r="A15" s="57"/>
      <c r="B15" s="57"/>
      <c r="C15" s="57"/>
      <c r="D15" s="182"/>
    </row>
    <row r="16" spans="1:4">
      <c r="A16" s="57"/>
      <c r="B16" s="57"/>
      <c r="C16" s="57"/>
      <c r="D16" s="182"/>
    </row>
    <row r="17" spans="1:4">
      <c r="A17" s="57"/>
      <c r="B17" s="57"/>
      <c r="C17" s="57"/>
      <c r="D17" s="182"/>
    </row>
    <row r="18" spans="1:4">
      <c r="A18" s="57"/>
      <c r="B18" s="57"/>
      <c r="C18" s="57"/>
      <c r="D18" s="182"/>
    </row>
    <row r="19" spans="1:4">
      <c r="A19" s="57"/>
      <c r="B19" s="57"/>
      <c r="C19" s="57"/>
      <c r="D19" s="182"/>
    </row>
    <row r="20" spans="1:4">
      <c r="A20" s="57"/>
      <c r="B20" s="57"/>
      <c r="C20" s="57"/>
      <c r="D20" s="182"/>
    </row>
  </sheetData>
  <pageMargins left="0.74803149606299213" right="0.74803149606299213" top="1.2083333333333333" bottom="0.98425196850393704" header="0.51181102362204722" footer="0.51181102362204722"/>
  <pageSetup paperSize="9" orientation="landscape" r:id="rId1"/>
  <headerFooter alignWithMargins="0">
    <oddHeader>&amp;C
DOWNLOAD LIST&amp;RFilename: &amp;F
Date: &amp;D&amp;L&amp;9Machine Number : 84130001
Machine Name : IFC - VL1 - Washer
CU Number : 7000
VU Number : 3920</oddHeader>
    <oddFooter>&amp;LBased on template :&amp;CDownloadList_CUxxxx_A3&amp;RPage &amp;P/&amp;N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596579382B69149A835DEFE0E132D53" ma:contentTypeVersion="4" ma:contentTypeDescription="Create a new document." ma:contentTypeScope="" ma:versionID="ab97049ab69d6c31926ba3984516367f">
  <xsd:schema xmlns:xsd="http://www.w3.org/2001/XMLSchema" xmlns:xs="http://www.w3.org/2001/XMLSchema" xmlns:p="http://schemas.microsoft.com/office/2006/metadata/properties" xmlns:ns2="9242fad9-1d17-4546-a2ad-13cc31a6d3be" targetNamespace="http://schemas.microsoft.com/office/2006/metadata/properties" ma:root="true" ma:fieldsID="f17d7a2905985b64c475d1b5e74a8538" ns2:_="">
    <xsd:import namespace="9242fad9-1d17-4546-a2ad-13cc31a6d3b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2fad9-1d17-4546-a2ad-13cc31a6d3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33A50D74-969F-47C3-B742-BB33141D68B0}"/>
</file>

<file path=customXml/itemProps2.xml><?xml version="1.0" encoding="utf-8"?>
<ds:datastoreItem xmlns:ds="http://schemas.openxmlformats.org/officeDocument/2006/customXml" ds:itemID="{C31A0D21-5FB1-4B61-A8F0-57CC6077ABCF}"/>
</file>

<file path=customXml/itemProps3.xml><?xml version="1.0" encoding="utf-8"?>
<ds:datastoreItem xmlns:ds="http://schemas.openxmlformats.org/officeDocument/2006/customXml" ds:itemID="{5F177067-8CE9-4E9D-B671-72487EDF60D3}"/>
</file>

<file path=docProps/app.xml><?xml version="1.0" encoding="utf-8"?>
<Properties xmlns="http://schemas.openxmlformats.org/officeDocument/2006/extended-properties" xmlns:vt="http://schemas.openxmlformats.org/officeDocument/2006/docPropsVTypes">
  <Application>Microsoft Excel Online</Application>
  <Manager/>
  <Company>Pfizer</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Download list (DB12)</dc:title>
  <dc:subject/>
  <dc:creator>Oberndörfer, Bernd</dc:creator>
  <cp:keywords/>
  <dc:description/>
  <cp:lastModifiedBy>Bresseleers, Nick</cp:lastModifiedBy>
  <cp:revision/>
  <dcterms:created xsi:type="dcterms:W3CDTF">1998-01-20T12:15:24Z</dcterms:created>
  <dcterms:modified xsi:type="dcterms:W3CDTF">2025-01-14T14:35:32Z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chine Name">
    <vt:lpwstr>IFC - VL1 - Washer</vt:lpwstr>
  </property>
  <property fmtid="{D5CDD505-2E9C-101B-9397-08002B2CF9AE}" pid="3" name="Machine Number">
    <vt:lpwstr>84130001</vt:lpwstr>
  </property>
  <property fmtid="{D5CDD505-2E9C-101B-9397-08002B2CF9AE}" pid="4" name="CU Number">
    <vt:lpwstr>7000</vt:lpwstr>
  </property>
  <property fmtid="{D5CDD505-2E9C-101B-9397-08002B2CF9AE}" pid="5" name="VU Number">
    <vt:lpwstr>3920</vt:lpwstr>
  </property>
  <property fmtid="{D5CDD505-2E9C-101B-9397-08002B2CF9AE}" pid="6" name="ContentTypeId">
    <vt:lpwstr>0x010100B596579382B69149A835DEFE0E132D53</vt:lpwstr>
  </property>
  <property fmtid="{D5CDD505-2E9C-101B-9397-08002B2CF9AE}" pid="7" name="_dlc_DocIdItemGuid">
    <vt:lpwstr>93cc1b60-7f07-47a9-bceb-abb9de5ab103</vt:lpwstr>
  </property>
  <property fmtid="{D5CDD505-2E9C-101B-9397-08002B2CF9AE}" pid="8" name="MediaServiceImageTags">
    <vt:lpwstr/>
  </property>
  <property fmtid="{D5CDD505-2E9C-101B-9397-08002B2CF9AE}" pid="9" name="MSIP_Label_4791b42f-c435-42ca-9531-75a3f42aae3d_Enabled">
    <vt:lpwstr>true</vt:lpwstr>
  </property>
  <property fmtid="{D5CDD505-2E9C-101B-9397-08002B2CF9AE}" pid="10" name="MSIP_Label_4791b42f-c435-42ca-9531-75a3f42aae3d_SetDate">
    <vt:lpwstr>2023-04-04T08:52:20Z</vt:lpwstr>
  </property>
  <property fmtid="{D5CDD505-2E9C-101B-9397-08002B2CF9AE}" pid="11" name="MSIP_Label_4791b42f-c435-42ca-9531-75a3f42aae3d_Method">
    <vt:lpwstr>Privileged</vt:lpwstr>
  </property>
  <property fmtid="{D5CDD505-2E9C-101B-9397-08002B2CF9AE}" pid="12" name="MSIP_Label_4791b42f-c435-42ca-9531-75a3f42aae3d_Name">
    <vt:lpwstr>4791b42f-c435-42ca-9531-75a3f42aae3d</vt:lpwstr>
  </property>
  <property fmtid="{D5CDD505-2E9C-101B-9397-08002B2CF9AE}" pid="13" name="MSIP_Label_4791b42f-c435-42ca-9531-75a3f42aae3d_SiteId">
    <vt:lpwstr>7a916015-20ae-4ad1-9170-eefd915e9272</vt:lpwstr>
  </property>
  <property fmtid="{D5CDD505-2E9C-101B-9397-08002B2CF9AE}" pid="14" name="MSIP_Label_4791b42f-c435-42ca-9531-75a3f42aae3d_ActionId">
    <vt:lpwstr>b3e7aa34-cb70-4d06-b014-509288b29de7</vt:lpwstr>
  </property>
  <property fmtid="{D5CDD505-2E9C-101B-9397-08002B2CF9AE}" pid="15" name="MSIP_Label_4791b42f-c435-42ca-9531-75a3f42aae3d_ContentBits">
    <vt:lpwstr>0</vt:lpwstr>
  </property>
</Properties>
</file>