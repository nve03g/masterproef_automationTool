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fileSharing readOnlyRecommended="1"/>
  <workbookPr codeName="ThisWorkbook"/>
  <mc:AlternateContent xmlns:mc="http://schemas.openxmlformats.org/markup-compatibility/2006">
    <mc:Choice Requires="x15">
      <x15ac:absPath xmlns:x15ac="http://schemas.microsoft.com/office/spreadsheetml/2010/11/ac" url="https://pfizer.sharepoint.com/sites/MasterproefNellieVanEeckhaute/Shared Documents/Algemeen/interface lists/Interfacelijsten ingevuld (meerdere VU's)/"/>
    </mc:Choice>
  </mc:AlternateContent>
  <xr:revisionPtr revIDLastSave="1" documentId="13_ncr:1_{8F48EF67-10B6-4EAA-AE98-FEBA9C70A684}" xr6:coauthVersionLast="47" xr6:coauthVersionMax="47" xr10:uidLastSave="{1F57C537-6D36-4079-9A3B-444372E7ED19}"/>
  <bookViews>
    <workbookView xWindow="28680" yWindow="-120" windowWidth="29040" windowHeight="15840" activeTab="2" xr2:uid="{00000000-000D-0000-FFFF-FFFF00000000}"/>
  </bookViews>
  <sheets>
    <sheet name="Version control" sheetId="5" r:id="rId1"/>
    <sheet name="General info" sheetId="9" r:id="rId2"/>
    <sheet name="Alarmlist" sheetId="1" r:id="rId3"/>
    <sheet name="Colour Pictures" sheetId="11" r:id="rId4"/>
    <sheet name="Farma Alarm" sheetId="8" r:id="rId5"/>
    <sheet name="General" sheetId="3" r:id="rId6"/>
    <sheet name="macro_report" sheetId="6" r:id="rId7"/>
    <sheet name="ALERT" sheetId="7" r:id="rId8"/>
    <sheet name="Object type list" sheetId="12" r:id="rId9"/>
    <sheet name="Template history" sheetId="10" r:id="rId10"/>
  </sheets>
  <externalReferences>
    <externalReference r:id="rId11"/>
    <externalReference r:id="rId12"/>
  </externalReferences>
  <definedNames>
    <definedName name="_xlnm._FilterDatabase" localSheetId="2" hidden="1">Alarmlist!$A$3:$AH$1606</definedName>
    <definedName name="alarm_class" localSheetId="4">'Farma Alarm'!#REF!</definedName>
    <definedName name="alarm_class">Alarmlist!$Q$3</definedName>
    <definedName name="alarmtext_eng" localSheetId="4">'Farma Alarm'!#REF!</definedName>
    <definedName name="alarmtext_eng">Alarmlist!$D$3</definedName>
    <definedName name="alarmtext_nl" localSheetId="4">'Farma Alarm'!#REF!</definedName>
    <definedName name="alarmtext_nl">Alarmlist!$F$3</definedName>
    <definedName name="archive" localSheetId="3">[1]Alarmlist!#REF!</definedName>
    <definedName name="archive" localSheetId="4">'Farma Alarm'!#REF!</definedName>
    <definedName name="archive" localSheetId="8">[1]Alarmlist!#REF!</definedName>
    <definedName name="archive">Alarmlist!#REF!</definedName>
    <definedName name="bypass" localSheetId="4">'Farma Alarm'!#REF!</definedName>
    <definedName name="bypass">Alarmlist!$H$3</definedName>
    <definedName name="db11_address" localSheetId="3">[1]Alarmlist!#REF!</definedName>
    <definedName name="db11_address" localSheetId="4">'Farma Alarm'!#REF!</definedName>
    <definedName name="db11_address" localSheetId="8">[1]Alarmlist!#REF!</definedName>
    <definedName name="db11_address">Alarmlist!#REF!</definedName>
    <definedName name="interlock" localSheetId="4">'Farma Alarm'!#REF!</definedName>
    <definedName name="interlock">Alarmlist!$G$3</definedName>
    <definedName name="lichtbalk_nr" localSheetId="7">[2]Alarmlist!#REF!</definedName>
    <definedName name="lichtbalk_nr" localSheetId="4">'Farma Alarm'!#REF!</definedName>
    <definedName name="lichtbalk_nr">Alarmlist!$X$3</definedName>
    <definedName name="lichtbalk_tekst" localSheetId="7">[2]Alarmlist!#REF!</definedName>
    <definedName name="lichtbalk_tekst" localSheetId="4">'Farma Alarm'!#REF!</definedName>
    <definedName name="lichtbalk_tekst">Alarmlist!$W$3</definedName>
    <definedName name="manueel" localSheetId="3">[1]Alarmlist!#REF!</definedName>
    <definedName name="manueel" localSheetId="4">'Farma Alarm'!#REF!</definedName>
    <definedName name="manueel" localSheetId="8">[1]Alarmlist!#REF!</definedName>
    <definedName name="manueel">Alarmlist!#REF!</definedName>
    <definedName name="pass_fail" localSheetId="4">'Farma Alarm'!#REF!</definedName>
    <definedName name="pass_fail">Alarmlist!$AE$3</definedName>
    <definedName name="pfizernr" localSheetId="4">'Farma Alarm'!#REF!</definedName>
    <definedName name="pfizernr">Alarmlist!$C$3</definedName>
    <definedName name="picture" localSheetId="4">'Farma Alarm'!#REF!</definedName>
    <definedName name="picture">Alarmlist!$T$3</definedName>
    <definedName name="PLC_IO" localSheetId="4">'Farma Alarm'!#REF!</definedName>
    <definedName name="PLC_IO">Alarmlist!$P$3</definedName>
    <definedName name="popup_text" localSheetId="4">'Farma Alarm'!#REF!</definedName>
    <definedName name="popup_text">Alarmlist!$Y$3</definedName>
    <definedName name="_xlnm.Print_Area" localSheetId="2">Alarmlist!$B$1:$AE$1606</definedName>
    <definedName name="_xlnm.Print_Area" localSheetId="4">'Farma Alarm'!$A$1:$Y$1</definedName>
    <definedName name="_xlnm.Print_Titles" localSheetId="2">Alarmlist!$3:$3</definedName>
    <definedName name="_xlnm.Print_Titles" localSheetId="4">'Farma Alarm'!#REF!</definedName>
    <definedName name="removed" localSheetId="3">[1]Alarmlist!#REF!</definedName>
    <definedName name="removed" localSheetId="4">'Farma Alarm'!#REF!</definedName>
    <definedName name="removed" localSheetId="8">[1]Alarmlist!#REF!</definedName>
    <definedName name="removed">Alarmlist!#REF!</definedName>
    <definedName name="scada_alarmnr" localSheetId="4">'Farma Alarm'!#REF!</definedName>
    <definedName name="scada_alarmnr">Alarmlist!$J$3</definedName>
    <definedName name="stopmode" localSheetId="4">'Farma Alarm'!#REF!</definedName>
    <definedName name="stopmode">Alarmlist!$I$3</definedName>
    <definedName name="tagname" localSheetId="4">'Farma Alarm'!#REF!</definedName>
    <definedName name="tagname">Alarmlist!$K$3</definedName>
    <definedName name="tags_color" localSheetId="4">'Farma Alarm'!#REF!</definedName>
    <definedName name="tags_color">Alarmlist!$U$3</definedName>
    <definedName name="version" localSheetId="4">'Farma Alarm'!#REF!</definedName>
    <definedName name="version">Alarmlist!$B$3</definedName>
    <definedName name="Z_5E8D4A93_237D_11D1_AB2C_00609709CD69_.wvu.PrintTitles" localSheetId="2">Alarmlist!$3:$3</definedName>
    <definedName name="Z_5E8D4A93_237D_11D1_AB2C_00609709CD69_.wvu.PrintTitles" localSheetId="4">'Farma Alarm'!#REF!</definedName>
    <definedName name="Z_EC2AFA19_2818_11D1_AB31_00609709CD69_.wvu.PrintTitles" localSheetId="2">Alarmlist!$3:$3</definedName>
    <definedName name="Z_EC2AFA19_2818_11D1_AB31_00609709CD69_.wvu.PrintTitles" localSheetId="4">'Farma Alarm'!#REF!</definedName>
    <definedName name="Z_EC2AFA1A_2818_11D1_AB31_00609709CD69_.wvu.Cols" localSheetId="2">Alarmlist!$D:$F,Alarmlist!$J:$Q</definedName>
    <definedName name="Z_EC2AFA1A_2818_11D1_AB31_00609709CD69_.wvu.Cols" localSheetId="4">'Farma Alarm'!$C:$D,'Farma Alarm'!$H:$L</definedName>
    <definedName name="Z_EC2AFA1A_2818_11D1_AB31_00609709CD69_.wvu.PrintTitles" localSheetId="2">Alarmlist!$3:$3</definedName>
    <definedName name="Z_EC2AFA1A_2818_11D1_AB31_00609709CD69_.wvu.PrintTitles" localSheetId="4">'Farma Alarm'!#REF!</definedName>
    <definedName name="Z_EC2AFA1B_2818_11D1_AB31_00609709CD69_.wvu.Cols" localSheetId="2">Alarmlist!$D:$Q</definedName>
    <definedName name="Z_EC2AFA1B_2818_11D1_AB31_00609709CD69_.wvu.Cols" localSheetId="4">'Farma Alarm'!$C:$L</definedName>
    <definedName name="Z_EC2AFA1B_2818_11D1_AB31_00609709CD69_.wvu.PrintTitles" localSheetId="2">Alarmlist!$3:$3</definedName>
    <definedName name="Z_EC2AFA1B_2818_11D1_AB31_00609709CD69_.wvu.PrintTitles" localSheetId="4">'Farma Alarm'!#REF!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417" i="1" l="1"/>
  <c r="N417" i="1"/>
  <c r="X416" i="1"/>
  <c r="N416" i="1"/>
  <c r="X671" i="1"/>
  <c r="X672" i="1"/>
  <c r="X673" i="1"/>
  <c r="X674" i="1"/>
  <c r="X675" i="1"/>
  <c r="X676" i="1"/>
  <c r="N884" i="1" l="1"/>
  <c r="M884" i="1"/>
  <c r="N883" i="1"/>
  <c r="M883" i="1"/>
  <c r="N695" i="1"/>
  <c r="N694" i="1"/>
  <c r="N482" i="1"/>
  <c r="X420" i="1"/>
  <c r="N420" i="1"/>
  <c r="X419" i="1"/>
  <c r="N419" i="1"/>
  <c r="X298" i="1"/>
  <c r="N298" i="1"/>
  <c r="X991" i="1" l="1"/>
  <c r="X990" i="1"/>
  <c r="N843" i="1"/>
  <c r="N842" i="1"/>
  <c r="N841" i="1"/>
  <c r="N840" i="1"/>
  <c r="N839" i="1"/>
  <c r="N838" i="1"/>
  <c r="N837" i="1"/>
  <c r="N836" i="1"/>
  <c r="N835" i="1"/>
  <c r="N834" i="1"/>
  <c r="N833" i="1"/>
  <c r="N832" i="1"/>
  <c r="N831" i="1"/>
  <c r="N830" i="1"/>
  <c r="N829" i="1"/>
  <c r="N828" i="1"/>
  <c r="N827" i="1"/>
  <c r="N826" i="1"/>
  <c r="N825" i="1"/>
  <c r="N824" i="1"/>
  <c r="N823" i="1"/>
  <c r="N822" i="1"/>
  <c r="N821" i="1"/>
  <c r="N820" i="1"/>
  <c r="N819" i="1"/>
  <c r="N818" i="1"/>
  <c r="N817" i="1"/>
  <c r="N816" i="1"/>
  <c r="N815" i="1"/>
  <c r="N814" i="1"/>
  <c r="N813" i="1"/>
  <c r="N812" i="1"/>
  <c r="N811" i="1"/>
  <c r="N810" i="1"/>
  <c r="N809" i="1"/>
  <c r="N808" i="1"/>
  <c r="N807" i="1"/>
  <c r="N806"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804" i="1"/>
  <c r="N803" i="1"/>
  <c r="N802" i="1"/>
  <c r="N801" i="1"/>
  <c r="N800" i="1"/>
  <c r="N799" i="1"/>
  <c r="N798" i="1"/>
  <c r="N797" i="1"/>
  <c r="N796" i="1"/>
  <c r="N795" i="1"/>
  <c r="N794" i="1"/>
  <c r="N793" i="1"/>
  <c r="N792" i="1"/>
  <c r="N791" i="1"/>
  <c r="N790" i="1"/>
  <c r="N789" i="1"/>
  <c r="N788" i="1"/>
  <c r="N787" i="1"/>
  <c r="N786" i="1"/>
  <c r="N785" i="1"/>
  <c r="N784" i="1"/>
  <c r="N783" i="1"/>
  <c r="N782" i="1"/>
  <c r="N781" i="1"/>
  <c r="N780" i="1"/>
  <c r="N779" i="1"/>
  <c r="N778" i="1"/>
  <c r="N777" i="1"/>
  <c r="N776" i="1"/>
  <c r="N775" i="1"/>
  <c r="N774" i="1"/>
  <c r="N773" i="1"/>
  <c r="N772" i="1"/>
  <c r="N771" i="1"/>
  <c r="N770" i="1"/>
  <c r="N769" i="1"/>
  <c r="N768" i="1"/>
  <c r="N767" i="1"/>
  <c r="N766" i="1"/>
  <c r="N765" i="1"/>
  <c r="N764" i="1"/>
  <c r="N763" i="1"/>
  <c r="N762" i="1"/>
  <c r="N761" i="1"/>
  <c r="N760" i="1"/>
  <c r="N759" i="1"/>
  <c r="N758" i="1"/>
  <c r="N757" i="1"/>
  <c r="N756" i="1"/>
  <c r="N755" i="1"/>
  <c r="N754" i="1"/>
  <c r="N753" i="1"/>
  <c r="N752" i="1"/>
  <c r="N751" i="1"/>
  <c r="N750" i="1"/>
  <c r="N749" i="1"/>
  <c r="N748" i="1"/>
  <c r="N747" i="1"/>
  <c r="N746" i="1"/>
  <c r="N745" i="1"/>
  <c r="N744" i="1"/>
  <c r="N743" i="1"/>
  <c r="N742" i="1"/>
  <c r="N741" i="1"/>
  <c r="N740" i="1"/>
  <c r="N739" i="1"/>
  <c r="N738" i="1"/>
  <c r="N737" i="1"/>
  <c r="N736" i="1"/>
  <c r="N735" i="1"/>
  <c r="N734" i="1"/>
  <c r="N733" i="1"/>
  <c r="N732" i="1"/>
  <c r="N731" i="1"/>
  <c r="N730" i="1"/>
  <c r="N729" i="1"/>
  <c r="N728" i="1"/>
  <c r="N727" i="1"/>
  <c r="N726" i="1"/>
  <c r="N725" i="1"/>
  <c r="N724" i="1"/>
  <c r="N723" i="1"/>
  <c r="N722" i="1"/>
  <c r="N721" i="1"/>
  <c r="N720" i="1"/>
  <c r="N719" i="1"/>
  <c r="N718" i="1"/>
  <c r="N717" i="1"/>
  <c r="N716" i="1"/>
  <c r="N715" i="1"/>
  <c r="N714" i="1"/>
  <c r="N713" i="1"/>
  <c r="N712" i="1"/>
  <c r="N711" i="1"/>
  <c r="N710" i="1"/>
  <c r="N709" i="1"/>
  <c r="N708" i="1"/>
  <c r="N707" i="1"/>
  <c r="N706" i="1"/>
  <c r="N705" i="1"/>
  <c r="N704" i="1"/>
  <c r="N703" i="1"/>
  <c r="N702" i="1"/>
  <c r="N701" i="1"/>
  <c r="N700" i="1"/>
  <c r="N699" i="1"/>
  <c r="N698" i="1"/>
  <c r="N697" i="1"/>
  <c r="N696" i="1"/>
  <c r="N693" i="1"/>
  <c r="N692" i="1"/>
  <c r="N691" i="1"/>
  <c r="N690" i="1"/>
  <c r="N689" i="1"/>
  <c r="N688" i="1"/>
  <c r="N687" i="1"/>
  <c r="N686" i="1"/>
  <c r="N685" i="1"/>
  <c r="N684" i="1"/>
  <c r="N683" i="1"/>
  <c r="N682" i="1"/>
  <c r="N681" i="1"/>
  <c r="N680" i="1"/>
  <c r="N679" i="1"/>
  <c r="N678" i="1"/>
  <c r="N677" i="1"/>
  <c r="N676" i="1"/>
  <c r="N675" i="1"/>
  <c r="N674" i="1"/>
  <c r="N673" i="1"/>
  <c r="N672" i="1"/>
  <c r="N671" i="1"/>
  <c r="N670" i="1"/>
  <c r="N669" i="1"/>
  <c r="N668" i="1"/>
  <c r="N667" i="1"/>
  <c r="N666" i="1"/>
  <c r="N665" i="1"/>
  <c r="N664" i="1"/>
  <c r="N663" i="1"/>
  <c r="N662" i="1"/>
  <c r="N661" i="1"/>
  <c r="N660" i="1"/>
  <c r="N659" i="1"/>
  <c r="N658" i="1"/>
  <c r="N657" i="1"/>
  <c r="N656" i="1"/>
  <c r="N655" i="1"/>
  <c r="N654" i="1"/>
  <c r="N653" i="1"/>
  <c r="N652" i="1"/>
  <c r="N651" i="1"/>
  <c r="N650" i="1"/>
  <c r="N649" i="1"/>
  <c r="N648" i="1"/>
  <c r="N647" i="1"/>
  <c r="N646" i="1"/>
  <c r="N645" i="1"/>
  <c r="N644" i="1"/>
  <c r="N643" i="1"/>
  <c r="N642" i="1"/>
  <c r="N641" i="1"/>
  <c r="N640" i="1"/>
  <c r="N639" i="1"/>
  <c r="N638" i="1"/>
  <c r="N637" i="1"/>
  <c r="N636" i="1"/>
  <c r="N635" i="1"/>
  <c r="N634" i="1"/>
  <c r="N633" i="1"/>
  <c r="N632" i="1"/>
  <c r="N631" i="1"/>
  <c r="N630" i="1"/>
  <c r="N629" i="1"/>
  <c r="N628" i="1"/>
  <c r="N627" i="1"/>
  <c r="N626" i="1"/>
  <c r="N625" i="1"/>
  <c r="N624" i="1"/>
  <c r="N623" i="1"/>
  <c r="N622" i="1"/>
  <c r="N621" i="1"/>
  <c r="N620" i="1"/>
  <c r="N619" i="1"/>
  <c r="N618" i="1"/>
  <c r="N617" i="1"/>
  <c r="N616" i="1"/>
  <c r="N615" i="1"/>
  <c r="N614" i="1"/>
  <c r="N613" i="1"/>
  <c r="N612" i="1"/>
  <c r="N611" i="1"/>
  <c r="N610" i="1"/>
  <c r="N609" i="1"/>
  <c r="N608" i="1"/>
  <c r="N607" i="1"/>
  <c r="N606" i="1"/>
  <c r="N605" i="1"/>
  <c r="N604" i="1"/>
  <c r="N603" i="1"/>
  <c r="N602" i="1"/>
  <c r="N601" i="1"/>
  <c r="N600" i="1"/>
  <c r="N599" i="1"/>
  <c r="N598" i="1"/>
  <c r="N597" i="1"/>
  <c r="N596" i="1"/>
  <c r="N595" i="1"/>
  <c r="N594" i="1"/>
  <c r="N593" i="1"/>
  <c r="N592" i="1"/>
  <c r="N591" i="1"/>
  <c r="N590" i="1"/>
  <c r="N589" i="1"/>
  <c r="N588" i="1"/>
  <c r="N587" i="1"/>
  <c r="N586" i="1"/>
  <c r="N585" i="1"/>
  <c r="N584" i="1"/>
  <c r="N583" i="1"/>
  <c r="N582" i="1"/>
  <c r="N581" i="1"/>
  <c r="N580" i="1"/>
  <c r="N579" i="1"/>
  <c r="N578" i="1"/>
  <c r="N577" i="1"/>
  <c r="N576" i="1"/>
  <c r="N575" i="1"/>
  <c r="N574" i="1"/>
  <c r="N573" i="1"/>
  <c r="N572" i="1"/>
  <c r="N571" i="1"/>
  <c r="N569" i="1"/>
  <c r="N568" i="1"/>
  <c r="N567" i="1"/>
  <c r="N566" i="1"/>
  <c r="N565" i="1"/>
  <c r="N564" i="1"/>
  <c r="N563" i="1"/>
  <c r="N562" i="1"/>
  <c r="N561" i="1"/>
  <c r="N560" i="1"/>
  <c r="N559" i="1"/>
  <c r="N558" i="1"/>
  <c r="N557" i="1"/>
  <c r="N556" i="1"/>
  <c r="N555" i="1"/>
  <c r="N554" i="1"/>
  <c r="N553" i="1"/>
  <c r="N552" i="1"/>
  <c r="N551" i="1"/>
  <c r="N550" i="1"/>
  <c r="N549" i="1"/>
  <c r="N548" i="1"/>
  <c r="N547" i="1"/>
  <c r="N546" i="1"/>
  <c r="N545" i="1"/>
  <c r="N544" i="1"/>
  <c r="N543" i="1"/>
  <c r="N542" i="1"/>
  <c r="N541" i="1"/>
  <c r="N540" i="1"/>
  <c r="N539" i="1"/>
  <c r="N538" i="1"/>
  <c r="N537" i="1"/>
  <c r="N536" i="1"/>
  <c r="N535" i="1"/>
  <c r="N534" i="1"/>
  <c r="N533" i="1"/>
  <c r="N532" i="1"/>
  <c r="N531" i="1"/>
  <c r="N530" i="1"/>
  <c r="N529" i="1"/>
  <c r="N528" i="1"/>
  <c r="N527" i="1"/>
  <c r="N526" i="1"/>
  <c r="N525" i="1"/>
  <c r="N524" i="1"/>
  <c r="N523" i="1"/>
  <c r="N522" i="1"/>
  <c r="N521" i="1"/>
  <c r="N520" i="1"/>
  <c r="N519" i="1"/>
  <c r="N518" i="1"/>
  <c r="N517" i="1"/>
  <c r="N516" i="1"/>
  <c r="N515" i="1"/>
  <c r="N514" i="1"/>
  <c r="N513" i="1"/>
  <c r="N512" i="1"/>
  <c r="N511" i="1"/>
  <c r="N510" i="1"/>
  <c r="N509" i="1"/>
  <c r="N508" i="1"/>
  <c r="N507" i="1"/>
  <c r="N506" i="1"/>
  <c r="N505" i="1"/>
  <c r="N504" i="1"/>
  <c r="N503" i="1"/>
  <c r="N502" i="1"/>
  <c r="N501" i="1"/>
  <c r="N500" i="1"/>
  <c r="N499" i="1"/>
  <c r="N498" i="1"/>
  <c r="N497" i="1"/>
  <c r="N496" i="1"/>
  <c r="N495" i="1"/>
  <c r="N494" i="1"/>
  <c r="N493" i="1"/>
  <c r="N492" i="1"/>
  <c r="N491" i="1"/>
  <c r="N490" i="1"/>
  <c r="N489" i="1"/>
  <c r="N488" i="1"/>
  <c r="N487" i="1"/>
  <c r="N486" i="1"/>
  <c r="N485" i="1"/>
  <c r="N484" i="1"/>
  <c r="N483" i="1"/>
  <c r="N481" i="1"/>
  <c r="N480" i="1"/>
  <c r="N479" i="1"/>
  <c r="N478" i="1"/>
  <c r="N477" i="1"/>
  <c r="N476" i="1"/>
  <c r="N475" i="1"/>
  <c r="N474" i="1"/>
  <c r="N473" i="1"/>
  <c r="N472" i="1"/>
  <c r="N471" i="1"/>
  <c r="N470" i="1"/>
  <c r="N469" i="1"/>
  <c r="N468" i="1"/>
  <c r="N467" i="1"/>
  <c r="N466" i="1"/>
  <c r="N465" i="1"/>
  <c r="N464" i="1"/>
  <c r="N463" i="1"/>
  <c r="N462" i="1"/>
  <c r="N461" i="1"/>
  <c r="N460" i="1"/>
  <c r="N459" i="1"/>
  <c r="N458" i="1"/>
  <c r="N457" i="1"/>
  <c r="N456" i="1"/>
  <c r="N455" i="1"/>
  <c r="N454" i="1"/>
  <c r="N453" i="1"/>
  <c r="N452" i="1"/>
  <c r="N451" i="1"/>
  <c r="N450" i="1"/>
  <c r="N449" i="1"/>
  <c r="N448" i="1"/>
  <c r="N447" i="1"/>
  <c r="N446" i="1"/>
  <c r="N445" i="1"/>
  <c r="N444" i="1"/>
  <c r="N443" i="1"/>
  <c r="N442" i="1"/>
  <c r="N441" i="1"/>
  <c r="N440" i="1"/>
  <c r="N439" i="1"/>
  <c r="N438" i="1"/>
  <c r="N437" i="1"/>
  <c r="N436" i="1"/>
  <c r="N435" i="1"/>
  <c r="N434" i="1"/>
  <c r="N433" i="1"/>
  <c r="N432" i="1"/>
  <c r="N431" i="1"/>
  <c r="N430" i="1"/>
  <c r="N429" i="1"/>
  <c r="N428" i="1"/>
  <c r="N427" i="1"/>
  <c r="N426" i="1"/>
  <c r="N425" i="1"/>
  <c r="N424" i="1"/>
  <c r="N423" i="1"/>
  <c r="N422" i="1"/>
  <c r="N421" i="1"/>
  <c r="N418" i="1"/>
  <c r="N415" i="1"/>
  <c r="N414" i="1"/>
  <c r="N413" i="1"/>
  <c r="N412" i="1"/>
  <c r="N411" i="1"/>
  <c r="N410" i="1"/>
  <c r="N409" i="1"/>
  <c r="N408" i="1"/>
  <c r="N407" i="1"/>
  <c r="N406" i="1"/>
  <c r="N405" i="1"/>
  <c r="N404" i="1"/>
  <c r="N403" i="1"/>
  <c r="N402" i="1"/>
  <c r="N401" i="1"/>
  <c r="N400" i="1"/>
  <c r="N399" i="1"/>
  <c r="N398" i="1"/>
  <c r="N397" i="1"/>
  <c r="N396" i="1"/>
  <c r="N395" i="1"/>
  <c r="N394" i="1"/>
  <c r="N393" i="1"/>
  <c r="N392" i="1"/>
  <c r="N391" i="1"/>
  <c r="N390" i="1"/>
  <c r="N389" i="1"/>
  <c r="N388" i="1"/>
  <c r="N387" i="1"/>
  <c r="N386" i="1"/>
  <c r="N385" i="1"/>
  <c r="N384" i="1"/>
  <c r="N383" i="1"/>
  <c r="N382" i="1"/>
  <c r="N381" i="1"/>
  <c r="N380" i="1"/>
  <c r="N379" i="1"/>
  <c r="N378" i="1"/>
  <c r="N377" i="1"/>
  <c r="N376" i="1"/>
  <c r="N375" i="1"/>
  <c r="N374" i="1"/>
  <c r="N373" i="1"/>
  <c r="N372" i="1"/>
  <c r="N371" i="1"/>
  <c r="N370" i="1"/>
  <c r="N369" i="1"/>
  <c r="N368" i="1"/>
  <c r="N367" i="1"/>
  <c r="N366" i="1"/>
  <c r="N365" i="1"/>
  <c r="N364" i="1"/>
  <c r="N363" i="1"/>
  <c r="N362" i="1"/>
  <c r="N361" i="1"/>
  <c r="N360" i="1"/>
  <c r="N359" i="1"/>
  <c r="N358" i="1"/>
  <c r="N357" i="1"/>
  <c r="N356" i="1"/>
  <c r="N355" i="1"/>
  <c r="N354" i="1"/>
  <c r="N353" i="1"/>
  <c r="N352" i="1"/>
  <c r="N351" i="1"/>
  <c r="N350" i="1"/>
  <c r="N349" i="1"/>
  <c r="N348" i="1"/>
  <c r="N347" i="1"/>
  <c r="N346" i="1"/>
  <c r="N345" i="1"/>
  <c r="N344" i="1"/>
  <c r="N343" i="1"/>
  <c r="N342" i="1"/>
  <c r="N341" i="1"/>
  <c r="N340" i="1"/>
  <c r="N339" i="1"/>
  <c r="N338" i="1"/>
  <c r="N337" i="1"/>
  <c r="N336" i="1"/>
  <c r="N335" i="1"/>
  <c r="N334" i="1"/>
  <c r="N333" i="1"/>
  <c r="N332" i="1"/>
  <c r="N331" i="1"/>
  <c r="N330" i="1"/>
  <c r="N329" i="1"/>
  <c r="N328" i="1"/>
  <c r="N327" i="1"/>
  <c r="N326" i="1"/>
  <c r="N325" i="1"/>
  <c r="N324" i="1"/>
  <c r="N323" i="1"/>
  <c r="N322" i="1"/>
  <c r="N321" i="1"/>
  <c r="N320" i="1"/>
  <c r="N319" i="1"/>
  <c r="N318" i="1"/>
  <c r="N317" i="1"/>
  <c r="N316" i="1"/>
  <c r="N315" i="1"/>
  <c r="N314" i="1"/>
  <c r="N313" i="1"/>
  <c r="N312" i="1"/>
  <c r="N311" i="1"/>
  <c r="N310" i="1"/>
  <c r="N309" i="1"/>
  <c r="N308" i="1"/>
  <c r="N307" i="1"/>
  <c r="N306" i="1"/>
  <c r="N305" i="1"/>
  <c r="N304" i="1"/>
  <c r="N303" i="1"/>
  <c r="N302" i="1"/>
  <c r="N301" i="1"/>
  <c r="N300" i="1"/>
  <c r="N299" i="1"/>
  <c r="N297" i="1"/>
  <c r="N296" i="1"/>
  <c r="N295" i="1"/>
  <c r="N294" i="1"/>
  <c r="N293" i="1"/>
  <c r="N292" i="1"/>
  <c r="N291" i="1"/>
  <c r="N290" i="1"/>
  <c r="N289" i="1"/>
  <c r="N288" i="1"/>
  <c r="N287" i="1"/>
  <c r="N286" i="1"/>
  <c r="N285" i="1"/>
  <c r="N284" i="1"/>
  <c r="N283" i="1"/>
  <c r="N282" i="1"/>
  <c r="N281" i="1"/>
  <c r="N280" i="1"/>
  <c r="N279" i="1"/>
  <c r="N278" i="1"/>
  <c r="N277" i="1"/>
  <c r="N276" i="1"/>
  <c r="N275" i="1"/>
  <c r="N274" i="1"/>
  <c r="N273" i="1"/>
  <c r="N272" i="1"/>
  <c r="N271" i="1"/>
  <c r="N270" i="1"/>
  <c r="N269" i="1"/>
  <c r="N268" i="1"/>
  <c r="N267" i="1"/>
  <c r="N266" i="1"/>
  <c r="N265" i="1"/>
  <c r="N264" i="1"/>
  <c r="N263" i="1"/>
  <c r="N262" i="1"/>
  <c r="N261" i="1"/>
  <c r="N260" i="1"/>
  <c r="N259" i="1"/>
  <c r="N258" i="1"/>
  <c r="N257" i="1"/>
  <c r="N256" i="1"/>
  <c r="N255" i="1"/>
  <c r="N254" i="1"/>
  <c r="N253" i="1"/>
  <c r="N252" i="1"/>
  <c r="N251" i="1"/>
  <c r="N250" i="1"/>
  <c r="N249" i="1"/>
  <c r="N248" i="1"/>
  <c r="N247" i="1"/>
  <c r="N246" i="1"/>
  <c r="N245" i="1"/>
  <c r="N244" i="1"/>
  <c r="N243" i="1"/>
  <c r="N242" i="1"/>
  <c r="N241" i="1"/>
  <c r="N240" i="1"/>
  <c r="N239" i="1"/>
  <c r="N238" i="1"/>
  <c r="N237" i="1"/>
  <c r="N236" i="1"/>
  <c r="N235" i="1"/>
  <c r="N234" i="1"/>
  <c r="N233" i="1"/>
  <c r="N232" i="1"/>
  <c r="N231" i="1"/>
  <c r="N230" i="1"/>
  <c r="N229" i="1"/>
  <c r="N228" i="1"/>
  <c r="N227" i="1"/>
  <c r="N226" i="1"/>
  <c r="N225" i="1"/>
  <c r="N224" i="1"/>
  <c r="N223" i="1"/>
  <c r="N222" i="1"/>
  <c r="N221" i="1"/>
  <c r="N220" i="1"/>
  <c r="N219" i="1"/>
  <c r="N218" i="1"/>
  <c r="N217"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170" i="1"/>
  <c r="N169" i="1"/>
  <c r="N168" i="1"/>
  <c r="N167" i="1"/>
  <c r="N166" i="1"/>
  <c r="N165" i="1"/>
  <c r="N164" i="1"/>
  <c r="N163" i="1"/>
  <c r="N162" i="1"/>
  <c r="N161" i="1"/>
  <c r="N160" i="1"/>
  <c r="N159" i="1"/>
  <c r="N158" i="1"/>
  <c r="N157" i="1"/>
  <c r="N156" i="1"/>
  <c r="N155" i="1"/>
  <c r="N154" i="1"/>
  <c r="N153" i="1"/>
  <c r="N152" i="1"/>
  <c r="N151" i="1"/>
  <c r="N150" i="1"/>
  <c r="N149" i="1"/>
  <c r="N148" i="1"/>
  <c r="N147" i="1"/>
  <c r="N146" i="1"/>
  <c r="N145" i="1"/>
  <c r="N144" i="1"/>
  <c r="N143" i="1"/>
  <c r="N142" i="1"/>
  <c r="N141" i="1"/>
  <c r="N140" i="1"/>
  <c r="N139" i="1"/>
  <c r="N138" i="1"/>
  <c r="N137" i="1"/>
  <c r="N136" i="1"/>
  <c r="N135" i="1"/>
  <c r="N134" i="1"/>
  <c r="N133" i="1"/>
  <c r="N132" i="1"/>
  <c r="N131" i="1"/>
  <c r="N130" i="1"/>
  <c r="N129" i="1"/>
  <c r="N128" i="1"/>
  <c r="N127" i="1"/>
  <c r="N126" i="1"/>
  <c r="N125" i="1"/>
  <c r="N124" i="1"/>
  <c r="N123" i="1"/>
  <c r="N122" i="1"/>
  <c r="N121" i="1"/>
  <c r="N120" i="1"/>
  <c r="N119" i="1"/>
  <c r="N118" i="1"/>
  <c r="N117" i="1"/>
  <c r="N116" i="1"/>
  <c r="N115" i="1"/>
  <c r="N114" i="1"/>
  <c r="N113" i="1"/>
  <c r="N112" i="1"/>
  <c r="N111" i="1"/>
  <c r="N110" i="1"/>
  <c r="N109" i="1"/>
  <c r="N108" i="1"/>
  <c r="N107" i="1"/>
  <c r="N106" i="1"/>
  <c r="N105" i="1"/>
  <c r="N104" i="1"/>
  <c r="N103" i="1"/>
  <c r="N102" i="1"/>
  <c r="N101" i="1"/>
  <c r="N100" i="1"/>
  <c r="N99" i="1"/>
  <c r="N98" i="1"/>
  <c r="N97" i="1"/>
  <c r="N96" i="1"/>
  <c r="N95" i="1"/>
  <c r="N94" i="1"/>
  <c r="N93" i="1"/>
  <c r="N92" i="1"/>
  <c r="N91" i="1"/>
  <c r="N90" i="1"/>
  <c r="N89" i="1"/>
  <c r="N88" i="1"/>
  <c r="N87" i="1"/>
  <c r="N86" i="1"/>
  <c r="N85" i="1"/>
  <c r="N84" i="1"/>
  <c r="N83" i="1"/>
  <c r="N82" i="1"/>
  <c r="N81" i="1"/>
  <c r="N80" i="1"/>
  <c r="N79" i="1"/>
  <c r="N78" i="1"/>
  <c r="N77" i="1"/>
  <c r="N76" i="1"/>
  <c r="N75" i="1"/>
  <c r="N74" i="1"/>
  <c r="N73" i="1"/>
  <c r="N72" i="1"/>
  <c r="N71" i="1"/>
  <c r="N70" i="1"/>
  <c r="N69" i="1"/>
  <c r="N68" i="1"/>
  <c r="N67" i="1"/>
  <c r="N66" i="1"/>
  <c r="N65" i="1"/>
  <c r="N64" i="1"/>
  <c r="N63" i="1"/>
  <c r="N62" i="1"/>
  <c r="N61" i="1"/>
  <c r="N60" i="1"/>
  <c r="N59" i="1"/>
  <c r="N58" i="1"/>
  <c r="N57" i="1"/>
  <c r="N56" i="1"/>
  <c r="N55" i="1"/>
  <c r="N54" i="1"/>
  <c r="N53" i="1"/>
  <c r="N52" i="1"/>
  <c r="N51" i="1"/>
  <c r="N50" i="1"/>
  <c r="N49" i="1"/>
  <c r="N48" i="1"/>
  <c r="N47" i="1"/>
  <c r="N46" i="1"/>
  <c r="N45" i="1"/>
  <c r="N44" i="1"/>
  <c r="N43" i="1"/>
  <c r="N42" i="1"/>
  <c r="N41" i="1"/>
  <c r="N40" i="1"/>
  <c r="N39" i="1"/>
  <c r="N38" i="1"/>
  <c r="N37" i="1"/>
  <c r="N36" i="1"/>
  <c r="N35" i="1"/>
  <c r="N34" i="1"/>
  <c r="N33" i="1"/>
  <c r="N32" i="1"/>
  <c r="N31" i="1"/>
  <c r="N30" i="1"/>
  <c r="N29" i="1"/>
  <c r="N28" i="1"/>
  <c r="N27" i="1"/>
  <c r="N26" i="1"/>
  <c r="N25" i="1"/>
  <c r="N24" i="1"/>
  <c r="N23" i="1"/>
  <c r="N22" i="1"/>
  <c r="N21" i="1"/>
  <c r="N20" i="1"/>
  <c r="N19" i="1"/>
  <c r="N18" i="1"/>
  <c r="N17" i="1"/>
  <c r="N16" i="1"/>
  <c r="N15" i="1"/>
  <c r="N14" i="1"/>
  <c r="N13" i="1"/>
  <c r="N12" i="1"/>
  <c r="N11" i="1"/>
  <c r="N10" i="1"/>
  <c r="N9" i="1"/>
  <c r="N8" i="1"/>
  <c r="N7" i="1"/>
  <c r="N6" i="1"/>
  <c r="N5" i="1"/>
  <c r="X1145" i="1" l="1"/>
  <c r="X1144" i="1"/>
  <c r="X1143" i="1"/>
  <c r="X1142" i="1"/>
  <c r="X986" i="1" l="1"/>
  <c r="X867" i="1"/>
  <c r="X859" i="1"/>
  <c r="X858" i="1"/>
  <c r="X857" i="1"/>
  <c r="X856" i="1"/>
  <c r="X855" i="1"/>
  <c r="X693" i="1"/>
  <c r="X692" i="1"/>
  <c r="X691" i="1"/>
  <c r="X690" i="1"/>
  <c r="X689" i="1"/>
  <c r="X688" i="1"/>
  <c r="X687" i="1"/>
  <c r="X686" i="1"/>
  <c r="X685" i="1"/>
  <c r="X684" i="1"/>
  <c r="X574" i="1"/>
  <c r="X519" i="1"/>
  <c r="X518" i="1"/>
  <c r="X485" i="1"/>
  <c r="X484" i="1"/>
  <c r="X483" i="1"/>
  <c r="X475" i="1"/>
  <c r="X474" i="1"/>
  <c r="X438" i="1"/>
  <c r="X437" i="1"/>
  <c r="X414" i="1"/>
  <c r="X337" i="1"/>
  <c r="X336" i="1"/>
  <c r="X248" i="1"/>
  <c r="X241" i="1"/>
  <c r="X61" i="1"/>
  <c r="X66" i="1"/>
  <c r="X854" i="1"/>
  <c r="X860" i="1"/>
  <c r="X861" i="1"/>
  <c r="X862" i="1"/>
  <c r="X866"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4" i="1"/>
  <c r="X927" i="1"/>
  <c r="X928" i="1"/>
  <c r="X929" i="1"/>
  <c r="X930" i="1"/>
  <c r="X931" i="1"/>
  <c r="X932" i="1"/>
  <c r="X933" i="1"/>
  <c r="X934" i="1"/>
  <c r="X935" i="1"/>
  <c r="X936" i="1"/>
  <c r="X937" i="1"/>
  <c r="X938" i="1"/>
  <c r="X939" i="1"/>
  <c r="X940" i="1"/>
  <c r="X941" i="1"/>
  <c r="X942" i="1"/>
  <c r="X943" i="1"/>
  <c r="X944" i="1"/>
  <c r="X945" i="1"/>
  <c r="X946" i="1"/>
  <c r="X947"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83" i="1"/>
  <c r="X984" i="1"/>
  <c r="X985" i="1"/>
  <c r="X987" i="1"/>
  <c r="X988" i="1"/>
  <c r="X989" i="1"/>
  <c r="X992" i="1"/>
  <c r="X993" i="1"/>
  <c r="X994" i="1"/>
  <c r="X995" i="1"/>
  <c r="X996" i="1"/>
  <c r="X997" i="1"/>
  <c r="X998"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57" i="1"/>
  <c r="X1058" i="1"/>
  <c r="X1061" i="1"/>
  <c r="X1062" i="1"/>
  <c r="X1063" i="1"/>
  <c r="X1064" i="1"/>
  <c r="X1070" i="1"/>
  <c r="X1071" i="1"/>
  <c r="X1075" i="1"/>
  <c r="X1079" i="1"/>
  <c r="X1082" i="1"/>
  <c r="X1083" i="1"/>
  <c r="X1088" i="1"/>
  <c r="X1093" i="1"/>
  <c r="X1098" i="1"/>
  <c r="X1102" i="1"/>
  <c r="X1103" i="1"/>
  <c r="X1104" i="1"/>
  <c r="X1105" i="1"/>
  <c r="X1106" i="1"/>
  <c r="X1107" i="1"/>
  <c r="X1108" i="1"/>
  <c r="X1109" i="1"/>
  <c r="X1110" i="1"/>
  <c r="X1111" i="1"/>
  <c r="X1112" i="1"/>
  <c r="X1113" i="1"/>
  <c r="X1114" i="1"/>
  <c r="X1115" i="1"/>
  <c r="X1116" i="1"/>
  <c r="X1117" i="1"/>
  <c r="X1118" i="1"/>
  <c r="X1119" i="1"/>
  <c r="X1120" i="1"/>
  <c r="X1121" i="1"/>
  <c r="X1127" i="1"/>
  <c r="X1128" i="1"/>
  <c r="X1129" i="1"/>
  <c r="X1130" i="1"/>
  <c r="X1132" i="1"/>
  <c r="X1133" i="1"/>
  <c r="X1134" i="1"/>
  <c r="X1135" i="1"/>
  <c r="X1136" i="1"/>
  <c r="X1137" i="1"/>
  <c r="X864" i="1"/>
  <c r="X865" i="1"/>
  <c r="X921" i="1"/>
  <c r="X922" i="1"/>
  <c r="X923" i="1"/>
  <c r="X925" i="1"/>
  <c r="X926" i="1"/>
  <c r="X948" i="1"/>
  <c r="X949" i="1"/>
  <c r="X977" i="1"/>
  <c r="X978" i="1"/>
  <c r="X979" i="1"/>
  <c r="X980" i="1"/>
  <c r="X981" i="1"/>
  <c r="X982" i="1"/>
  <c r="X999" i="1"/>
  <c r="X1000" i="1"/>
  <c r="X1001" i="1"/>
  <c r="X1002" i="1"/>
  <c r="X1042" i="1"/>
  <c r="X1043" i="1"/>
  <c r="X1044" i="1"/>
  <c r="X1045" i="1"/>
  <c r="X1046" i="1"/>
  <c r="X1047" i="1"/>
  <c r="X1048" i="1"/>
  <c r="X1049" i="1"/>
  <c r="X1050" i="1"/>
  <c r="X1051" i="1"/>
  <c r="X1052" i="1"/>
  <c r="X1053" i="1"/>
  <c r="X1054" i="1"/>
  <c r="X1055" i="1"/>
  <c r="X1056" i="1"/>
  <c r="X1059" i="1"/>
  <c r="X1060" i="1"/>
  <c r="X1065" i="1"/>
  <c r="X1066" i="1"/>
  <c r="X1067" i="1"/>
  <c r="X1068" i="1"/>
  <c r="X1069" i="1"/>
  <c r="X1072" i="1"/>
  <c r="X1073" i="1"/>
  <c r="X1074" i="1"/>
  <c r="X1076" i="1"/>
  <c r="X1077" i="1"/>
  <c r="X1078" i="1"/>
  <c r="X1080" i="1"/>
  <c r="X1081" i="1"/>
  <c r="X1084" i="1"/>
  <c r="X1085" i="1"/>
  <c r="X1086" i="1"/>
  <c r="X1087" i="1"/>
  <c r="X1089" i="1"/>
  <c r="X1090" i="1"/>
  <c r="X1091" i="1"/>
  <c r="X1092" i="1"/>
  <c r="X1094" i="1"/>
  <c r="X1095" i="1"/>
  <c r="X1096" i="1"/>
  <c r="X1097" i="1"/>
  <c r="X1099" i="1"/>
  <c r="X1100" i="1"/>
  <c r="X1101" i="1"/>
  <c r="X1122" i="1"/>
  <c r="X1123" i="1"/>
  <c r="X1124" i="1"/>
  <c r="X1125" i="1"/>
  <c r="X1126" i="1"/>
  <c r="X1131" i="1"/>
  <c r="X863" i="1"/>
  <c r="M870" i="1" l="1"/>
  <c r="M886" i="1" s="1"/>
  <c r="M871" i="1"/>
  <c r="M887" i="1" s="1"/>
  <c r="M872" i="1"/>
  <c r="M888" i="1" s="1"/>
  <c r="M873" i="1"/>
  <c r="M889" i="1" s="1"/>
  <c r="M874" i="1"/>
  <c r="M890" i="1" s="1"/>
  <c r="M875" i="1"/>
  <c r="M891" i="1" s="1"/>
  <c r="M876" i="1"/>
  <c r="M892" i="1" s="1"/>
  <c r="M877" i="1"/>
  <c r="M893" i="1" s="1"/>
  <c r="M878" i="1"/>
  <c r="M894" i="1" s="1"/>
  <c r="M879" i="1"/>
  <c r="M895" i="1" s="1"/>
  <c r="M880" i="1"/>
  <c r="M896" i="1" s="1"/>
  <c r="M881" i="1"/>
  <c r="M897" i="1" s="1"/>
  <c r="M882" i="1"/>
  <c r="M898" i="1" s="1"/>
  <c r="M899" i="1"/>
  <c r="M900" i="1"/>
  <c r="M885" i="1"/>
  <c r="M901" i="1" s="1"/>
  <c r="M918" i="1"/>
  <c r="M934" i="1" s="1"/>
  <c r="M919" i="1"/>
  <c r="M935" i="1" s="1"/>
  <c r="M920" i="1"/>
  <c r="M936" i="1" s="1"/>
  <c r="M921" i="1"/>
  <c r="M937" i="1" s="1"/>
  <c r="M922" i="1"/>
  <c r="M938" i="1" s="1"/>
  <c r="M923" i="1"/>
  <c r="M939" i="1" s="1"/>
  <c r="M924" i="1"/>
  <c r="M940" i="1" s="1"/>
  <c r="M925" i="1"/>
  <c r="M941" i="1" s="1"/>
  <c r="M926" i="1"/>
  <c r="M942" i="1" s="1"/>
  <c r="M927" i="1"/>
  <c r="M943" i="1" s="1"/>
  <c r="M928" i="1"/>
  <c r="M944" i="1" s="1"/>
  <c r="M929" i="1"/>
  <c r="M945" i="1" s="1"/>
  <c r="M930" i="1"/>
  <c r="M946" i="1" s="1"/>
  <c r="M931" i="1"/>
  <c r="M947" i="1" s="1"/>
  <c r="M932" i="1"/>
  <c r="M948" i="1" s="1"/>
  <c r="M933" i="1"/>
  <c r="M949" i="1" s="1"/>
  <c r="M966" i="1"/>
  <c r="M982" i="1" s="1"/>
  <c r="M967" i="1"/>
  <c r="M983" i="1" s="1"/>
  <c r="M968" i="1"/>
  <c r="M984" i="1" s="1"/>
  <c r="M969" i="1"/>
  <c r="M985" i="1" s="1"/>
  <c r="M970" i="1"/>
  <c r="M971" i="1"/>
  <c r="M987" i="1" s="1"/>
  <c r="M972" i="1"/>
  <c r="M988" i="1" s="1"/>
  <c r="M973" i="1"/>
  <c r="M989" i="1" s="1"/>
  <c r="M974" i="1"/>
  <c r="M990" i="1" s="1"/>
  <c r="M975" i="1"/>
  <c r="M991" i="1" s="1"/>
  <c r="M976" i="1"/>
  <c r="M992" i="1" s="1"/>
  <c r="M977" i="1"/>
  <c r="M993" i="1" s="1"/>
  <c r="M978" i="1"/>
  <c r="M994" i="1" s="1"/>
  <c r="M979" i="1"/>
  <c r="M995" i="1" s="1"/>
  <c r="M980" i="1"/>
  <c r="M996" i="1" s="1"/>
  <c r="M981" i="1"/>
  <c r="M997" i="1" s="1"/>
  <c r="M1014" i="1"/>
  <c r="M1030" i="1" s="1"/>
  <c r="M1015" i="1"/>
  <c r="M1031" i="1" s="1"/>
  <c r="M1016" i="1"/>
  <c r="M1032" i="1" s="1"/>
  <c r="M1017" i="1"/>
  <c r="M1033" i="1" s="1"/>
  <c r="M1018" i="1"/>
  <c r="M1034" i="1" s="1"/>
  <c r="M1019" i="1"/>
  <c r="M1035" i="1" s="1"/>
  <c r="M1020" i="1"/>
  <c r="M1036" i="1" s="1"/>
  <c r="M1021" i="1"/>
  <c r="M1037" i="1" s="1"/>
  <c r="M1022" i="1"/>
  <c r="M1038" i="1" s="1"/>
  <c r="M1023" i="1"/>
  <c r="M1039" i="1" s="1"/>
  <c r="M1024" i="1"/>
  <c r="M1040" i="1" s="1"/>
  <c r="M1025" i="1"/>
  <c r="M1041" i="1" s="1"/>
  <c r="M1026" i="1"/>
  <c r="M1042" i="1" s="1"/>
  <c r="M1027" i="1"/>
  <c r="M1043" i="1" s="1"/>
  <c r="M1028" i="1"/>
  <c r="M1044" i="1" s="1"/>
  <c r="M1029" i="1"/>
  <c r="M1045" i="1" s="1"/>
  <c r="M1062" i="1"/>
  <c r="M1078" i="1" s="1"/>
  <c r="M1063" i="1"/>
  <c r="M1079" i="1" s="1"/>
  <c r="M1064" i="1"/>
  <c r="M1080" i="1" s="1"/>
  <c r="M1065" i="1"/>
  <c r="M1081" i="1" s="1"/>
  <c r="M1066" i="1"/>
  <c r="M1082" i="1" s="1"/>
  <c r="M1067" i="1"/>
  <c r="M1083" i="1" s="1"/>
  <c r="M1068" i="1"/>
  <c r="M1084" i="1" s="1"/>
  <c r="M1069" i="1"/>
  <c r="M1085" i="1" s="1"/>
  <c r="M1070" i="1"/>
  <c r="M1086" i="1" s="1"/>
  <c r="M1071" i="1"/>
  <c r="M1087" i="1" s="1"/>
  <c r="M1072" i="1"/>
  <c r="M1088" i="1" s="1"/>
  <c r="M1073" i="1"/>
  <c r="M1089" i="1" s="1"/>
  <c r="M1074" i="1"/>
  <c r="M1090" i="1" s="1"/>
  <c r="M1075" i="1"/>
  <c r="M1091" i="1" s="1"/>
  <c r="M1076" i="1"/>
  <c r="M1092" i="1" s="1"/>
  <c r="M1077" i="1"/>
  <c r="M1093" i="1" s="1"/>
  <c r="M1110" i="1"/>
  <c r="M1126" i="1" s="1"/>
  <c r="M1111" i="1"/>
  <c r="M1127" i="1" s="1"/>
  <c r="M1112" i="1"/>
  <c r="M1128" i="1" s="1"/>
  <c r="M1113" i="1"/>
  <c r="M1129" i="1" s="1"/>
  <c r="M1114" i="1"/>
  <c r="M1130" i="1" s="1"/>
  <c r="M1115" i="1"/>
  <c r="M1131" i="1" s="1"/>
  <c r="M1116" i="1"/>
  <c r="M1132" i="1" s="1"/>
  <c r="M1117" i="1"/>
  <c r="M1133" i="1" s="1"/>
  <c r="M1118" i="1"/>
  <c r="M1134" i="1" s="1"/>
  <c r="M1119" i="1"/>
  <c r="M1135" i="1" s="1"/>
  <c r="M1120" i="1"/>
  <c r="M1136" i="1" s="1"/>
  <c r="M1121" i="1"/>
  <c r="M1137" i="1" s="1"/>
  <c r="M1122" i="1"/>
  <c r="M1138" i="1" s="1"/>
  <c r="M1123" i="1"/>
  <c r="M1139" i="1" s="1"/>
  <c r="M1124" i="1"/>
  <c r="M1140" i="1" s="1"/>
  <c r="M1125" i="1"/>
  <c r="M1141" i="1" s="1"/>
  <c r="M1158" i="1"/>
  <c r="M1174" i="1" s="1"/>
  <c r="M1159" i="1"/>
  <c r="M1175" i="1" s="1"/>
  <c r="M1160" i="1"/>
  <c r="M1176" i="1" s="1"/>
  <c r="M1161" i="1"/>
  <c r="M1177" i="1" s="1"/>
  <c r="M1162" i="1"/>
  <c r="M1178" i="1" s="1"/>
  <c r="M1163" i="1"/>
  <c r="M1179" i="1" s="1"/>
  <c r="M1164" i="1"/>
  <c r="M1180" i="1" s="1"/>
  <c r="M1165" i="1"/>
  <c r="M1181" i="1" s="1"/>
  <c r="M1166" i="1"/>
  <c r="M1182" i="1" s="1"/>
  <c r="M1167" i="1"/>
  <c r="M1183" i="1" s="1"/>
  <c r="M1168" i="1"/>
  <c r="M1184" i="1" s="1"/>
  <c r="M1169" i="1"/>
  <c r="M1185" i="1" s="1"/>
  <c r="M1170" i="1"/>
  <c r="M1186" i="1" s="1"/>
  <c r="M1171" i="1"/>
  <c r="M1187" i="1" s="1"/>
  <c r="M1172" i="1"/>
  <c r="M1188" i="1" s="1"/>
  <c r="M1173" i="1"/>
  <c r="M1189" i="1" s="1"/>
  <c r="M1206" i="1"/>
  <c r="M1222" i="1" s="1"/>
  <c r="M1207" i="1"/>
  <c r="M1223" i="1" s="1"/>
  <c r="M1208" i="1"/>
  <c r="M1224" i="1" s="1"/>
  <c r="M1209" i="1"/>
  <c r="M1225" i="1" s="1"/>
  <c r="M1210" i="1"/>
  <c r="M1226" i="1" s="1"/>
  <c r="M1211" i="1"/>
  <c r="M1227" i="1" s="1"/>
  <c r="M1212" i="1"/>
  <c r="M1228" i="1" s="1"/>
  <c r="M1213" i="1"/>
  <c r="M1229" i="1" s="1"/>
  <c r="M1214" i="1"/>
  <c r="M1230" i="1" s="1"/>
  <c r="M1215" i="1"/>
  <c r="M1231" i="1" s="1"/>
  <c r="M1216" i="1"/>
  <c r="M1232" i="1" s="1"/>
  <c r="M1217" i="1"/>
  <c r="M1233" i="1" s="1"/>
  <c r="M1218" i="1"/>
  <c r="M1234" i="1" s="1"/>
  <c r="M1219" i="1"/>
  <c r="M1235" i="1" s="1"/>
  <c r="M1220" i="1"/>
  <c r="M1236" i="1" s="1"/>
  <c r="M1221" i="1"/>
  <c r="M1237" i="1" s="1"/>
  <c r="M1254" i="1"/>
  <c r="M1270" i="1" s="1"/>
  <c r="M1255" i="1"/>
  <c r="M1271" i="1" s="1"/>
  <c r="M1256" i="1"/>
  <c r="M1272" i="1" s="1"/>
  <c r="M1257" i="1"/>
  <c r="M1273" i="1" s="1"/>
  <c r="M1258" i="1"/>
  <c r="M1274" i="1" s="1"/>
  <c r="M1259" i="1"/>
  <c r="M1275" i="1" s="1"/>
  <c r="M1260" i="1"/>
  <c r="M1276" i="1" s="1"/>
  <c r="M1261" i="1"/>
  <c r="M1277" i="1" s="1"/>
  <c r="M1262" i="1"/>
  <c r="M1278" i="1" s="1"/>
  <c r="M1263" i="1"/>
  <c r="M1279" i="1" s="1"/>
  <c r="M1264" i="1"/>
  <c r="M1280" i="1" s="1"/>
  <c r="M1265" i="1"/>
  <c r="M1281" i="1" s="1"/>
  <c r="M1266" i="1"/>
  <c r="M1282" i="1" s="1"/>
  <c r="M1267" i="1"/>
  <c r="M1283" i="1" s="1"/>
  <c r="M1268" i="1"/>
  <c r="M1284" i="1" s="1"/>
  <c r="M1269" i="1"/>
  <c r="M1285" i="1" s="1"/>
  <c r="M1302" i="1"/>
  <c r="M1318" i="1" s="1"/>
  <c r="M1303" i="1"/>
  <c r="M1319" i="1" s="1"/>
  <c r="M1304" i="1"/>
  <c r="M1320" i="1" s="1"/>
  <c r="M1305" i="1"/>
  <c r="M1321" i="1" s="1"/>
  <c r="M1306" i="1"/>
  <c r="M1322" i="1" s="1"/>
  <c r="M1307" i="1"/>
  <c r="M1323" i="1" s="1"/>
  <c r="M1308" i="1"/>
  <c r="M1324" i="1" s="1"/>
  <c r="M1309" i="1"/>
  <c r="M1325" i="1" s="1"/>
  <c r="M1310" i="1"/>
  <c r="M1326" i="1" s="1"/>
  <c r="M1311" i="1"/>
  <c r="M1327" i="1" s="1"/>
  <c r="M1312" i="1"/>
  <c r="M1328" i="1" s="1"/>
  <c r="M1313" i="1"/>
  <c r="M1329" i="1" s="1"/>
  <c r="M1314" i="1"/>
  <c r="M1330" i="1" s="1"/>
  <c r="M1315" i="1"/>
  <c r="M1331" i="1" s="1"/>
  <c r="M1316" i="1"/>
  <c r="M1332" i="1" s="1"/>
  <c r="M1317" i="1"/>
  <c r="M1333" i="1" s="1"/>
  <c r="M1350" i="1"/>
  <c r="M1366" i="1" s="1"/>
  <c r="M1351" i="1"/>
  <c r="M1367" i="1" s="1"/>
  <c r="M1352" i="1"/>
  <c r="M1368" i="1" s="1"/>
  <c r="M1353" i="1"/>
  <c r="M1369" i="1" s="1"/>
  <c r="M1354" i="1"/>
  <c r="M1370" i="1" s="1"/>
  <c r="M1355" i="1"/>
  <c r="M1371" i="1" s="1"/>
  <c r="M1356" i="1"/>
  <c r="M1372" i="1" s="1"/>
  <c r="M1357" i="1"/>
  <c r="M1373" i="1" s="1"/>
  <c r="M1358" i="1"/>
  <c r="M1374" i="1" s="1"/>
  <c r="M1359" i="1"/>
  <c r="M1375" i="1" s="1"/>
  <c r="M1360" i="1"/>
  <c r="M1376" i="1" s="1"/>
  <c r="M1361" i="1"/>
  <c r="M1377" i="1" s="1"/>
  <c r="M1362" i="1"/>
  <c r="M1378" i="1" s="1"/>
  <c r="M1363" i="1"/>
  <c r="M1379" i="1" s="1"/>
  <c r="M1364" i="1"/>
  <c r="M1380" i="1" s="1"/>
  <c r="M1365" i="1"/>
  <c r="M1381" i="1" s="1"/>
  <c r="M1398" i="1"/>
  <c r="M1414" i="1" s="1"/>
  <c r="M1399" i="1"/>
  <c r="M1415" i="1" s="1"/>
  <c r="M1400" i="1"/>
  <c r="M1416" i="1" s="1"/>
  <c r="M1401" i="1"/>
  <c r="M1417" i="1" s="1"/>
  <c r="M1402" i="1"/>
  <c r="M1418" i="1" s="1"/>
  <c r="M1403" i="1"/>
  <c r="M1419" i="1" s="1"/>
  <c r="M1404" i="1"/>
  <c r="M1420" i="1" s="1"/>
  <c r="M1405" i="1"/>
  <c r="M1421" i="1" s="1"/>
  <c r="M1406" i="1"/>
  <c r="M1422" i="1" s="1"/>
  <c r="M1407" i="1"/>
  <c r="M1423" i="1" s="1"/>
  <c r="M1408" i="1"/>
  <c r="M1424" i="1" s="1"/>
  <c r="M1409" i="1"/>
  <c r="M1425" i="1" s="1"/>
  <c r="M1410" i="1"/>
  <c r="M1426" i="1" s="1"/>
  <c r="M1411" i="1"/>
  <c r="M1427" i="1" s="1"/>
  <c r="M1412" i="1"/>
  <c r="M1428" i="1" s="1"/>
  <c r="M1413" i="1"/>
  <c r="M1429" i="1" s="1"/>
  <c r="M1446" i="1"/>
  <c r="M1462" i="1" s="1"/>
  <c r="M1447" i="1"/>
  <c r="M1463" i="1" s="1"/>
  <c r="M1448" i="1"/>
  <c r="M1464" i="1" s="1"/>
  <c r="M1449" i="1"/>
  <c r="M1465" i="1" s="1"/>
  <c r="M1450" i="1"/>
  <c r="M1466" i="1" s="1"/>
  <c r="M1451" i="1"/>
  <c r="M1467" i="1" s="1"/>
  <c r="M1452" i="1"/>
  <c r="M1468" i="1" s="1"/>
  <c r="M1453" i="1"/>
  <c r="M1469" i="1" s="1"/>
  <c r="M1454" i="1"/>
  <c r="M1470" i="1" s="1"/>
  <c r="M1455" i="1"/>
  <c r="M1471" i="1" s="1"/>
  <c r="M1456" i="1"/>
  <c r="M1472" i="1" s="1"/>
  <c r="M1457" i="1"/>
  <c r="M1473" i="1" s="1"/>
  <c r="M1458" i="1"/>
  <c r="M1474" i="1" s="1"/>
  <c r="M1459" i="1"/>
  <c r="M1475" i="1" s="1"/>
  <c r="M1460" i="1"/>
  <c r="M1476" i="1" s="1"/>
  <c r="M1461" i="1"/>
  <c r="M1477" i="1" s="1"/>
  <c r="M1494" i="1"/>
  <c r="M1510" i="1" s="1"/>
  <c r="M1495" i="1"/>
  <c r="M1511" i="1" s="1"/>
  <c r="M1496" i="1"/>
  <c r="M1512" i="1" s="1"/>
  <c r="M1497" i="1"/>
  <c r="M1513" i="1" s="1"/>
  <c r="M1498" i="1"/>
  <c r="M1514" i="1" s="1"/>
  <c r="M1499" i="1"/>
  <c r="M1515" i="1" s="1"/>
  <c r="M1500" i="1"/>
  <c r="M1516" i="1" s="1"/>
  <c r="M1501" i="1"/>
  <c r="M1517" i="1" s="1"/>
  <c r="M1502" i="1"/>
  <c r="M1518" i="1" s="1"/>
  <c r="M1503" i="1"/>
  <c r="M1519" i="1" s="1"/>
  <c r="M1504" i="1"/>
  <c r="M1520" i="1" s="1"/>
  <c r="M1505" i="1"/>
  <c r="M1521" i="1" s="1"/>
  <c r="M1506" i="1"/>
  <c r="M1522" i="1" s="1"/>
  <c r="M1507" i="1"/>
  <c r="M1523" i="1" s="1"/>
  <c r="M1508" i="1"/>
  <c r="M1524" i="1" s="1"/>
  <c r="M1509" i="1"/>
  <c r="M1525" i="1" s="1"/>
  <c r="M1542" i="1"/>
  <c r="M1558" i="1" s="1"/>
  <c r="M1543" i="1"/>
  <c r="M1559" i="1" s="1"/>
  <c r="M1544" i="1"/>
  <c r="M1560" i="1" s="1"/>
  <c r="M1545" i="1"/>
  <c r="M1561" i="1" s="1"/>
  <c r="M1546" i="1"/>
  <c r="M1562" i="1" s="1"/>
  <c r="M1547" i="1"/>
  <c r="M1563" i="1" s="1"/>
  <c r="M1548" i="1"/>
  <c r="M1564" i="1" s="1"/>
  <c r="M1549" i="1"/>
  <c r="M1565" i="1" s="1"/>
  <c r="M1550" i="1"/>
  <c r="M1566" i="1" s="1"/>
  <c r="M1551" i="1"/>
  <c r="M1567" i="1" s="1"/>
  <c r="M1552" i="1"/>
  <c r="M1568" i="1" s="1"/>
  <c r="M1553" i="1"/>
  <c r="M1569" i="1" s="1"/>
  <c r="M1554" i="1"/>
  <c r="M1570" i="1" s="1"/>
  <c r="M1555" i="1"/>
  <c r="M1571" i="1" s="1"/>
  <c r="M1556" i="1"/>
  <c r="M1572" i="1" s="1"/>
  <c r="M1557" i="1"/>
  <c r="M1573" i="1" s="1"/>
  <c r="M1590" i="1"/>
  <c r="M1591" i="1"/>
  <c r="M1592" i="1"/>
  <c r="M1593" i="1"/>
  <c r="M1594" i="1"/>
  <c r="M1595" i="1"/>
  <c r="M1596" i="1"/>
  <c r="M1597" i="1"/>
  <c r="M1598" i="1"/>
  <c r="M1599" i="1"/>
  <c r="M1600" i="1"/>
  <c r="M1601" i="1"/>
  <c r="M1602" i="1"/>
  <c r="M1603" i="1"/>
  <c r="M1604" i="1"/>
  <c r="M1605" i="1"/>
  <c r="M822" i="1" l="1"/>
  <c r="M838" i="1" s="1"/>
  <c r="M823" i="1"/>
  <c r="M839" i="1" s="1"/>
  <c r="M824" i="1"/>
  <c r="M840" i="1" s="1"/>
  <c r="M825" i="1"/>
  <c r="M841" i="1" s="1"/>
  <c r="M826" i="1"/>
  <c r="M842" i="1" s="1"/>
  <c r="M827" i="1"/>
  <c r="M843" i="1" s="1"/>
  <c r="M828" i="1"/>
  <c r="M844" i="1" s="1"/>
  <c r="M829" i="1"/>
  <c r="M845" i="1" s="1"/>
  <c r="M830" i="1"/>
  <c r="M846" i="1" s="1"/>
  <c r="M831" i="1"/>
  <c r="M847" i="1" s="1"/>
  <c r="M832" i="1"/>
  <c r="M848" i="1" s="1"/>
  <c r="M833" i="1"/>
  <c r="M849" i="1" s="1"/>
  <c r="M834" i="1"/>
  <c r="M850" i="1" s="1"/>
  <c r="M835" i="1"/>
  <c r="M851" i="1" s="1"/>
  <c r="M836" i="1"/>
  <c r="M852" i="1" s="1"/>
  <c r="M837" i="1"/>
  <c r="M853" i="1" s="1"/>
  <c r="E13" i="8" l="1"/>
  <c r="E14" i="8"/>
  <c r="E15" i="8"/>
  <c r="B22" i="8"/>
  <c r="C22" i="8"/>
  <c r="B23" i="8"/>
  <c r="C23" i="8"/>
  <c r="B24" i="8"/>
  <c r="C24" i="8"/>
  <c r="B25" i="8"/>
  <c r="C25" i="8"/>
  <c r="B26" i="8"/>
  <c r="C26" i="8"/>
  <c r="B27" i="8"/>
  <c r="C27" i="8"/>
  <c r="B28" i="8"/>
  <c r="C28" i="8"/>
  <c r="B29" i="8"/>
  <c r="C29" i="8"/>
  <c r="B30" i="8"/>
  <c r="C30" i="8"/>
  <c r="B31" i="8"/>
  <c r="C31" i="8"/>
  <c r="B32" i="8"/>
  <c r="C32" i="8"/>
  <c r="B33" i="8"/>
  <c r="C33" i="8"/>
  <c r="B34" i="8"/>
  <c r="C34" i="8"/>
  <c r="B35" i="8"/>
  <c r="C35" i="8"/>
  <c r="B36" i="8"/>
  <c r="C36" i="8"/>
  <c r="B37" i="8"/>
  <c r="C37" i="8"/>
  <c r="B38" i="8"/>
  <c r="C38" i="8"/>
  <c r="B39" i="8"/>
  <c r="C39" i="8"/>
  <c r="B40" i="8"/>
  <c r="C40" i="8"/>
  <c r="B41" i="8"/>
  <c r="C41" i="8"/>
  <c r="X853" i="1" l="1"/>
  <c r="X852" i="1"/>
  <c r="X851" i="1"/>
  <c r="X850" i="1"/>
  <c r="X849" i="1"/>
  <c r="X848" i="1"/>
  <c r="X847" i="1"/>
  <c r="X846" i="1"/>
  <c r="X845" i="1"/>
  <c r="X844" i="1"/>
  <c r="X843" i="1"/>
  <c r="X842" i="1"/>
  <c r="X841" i="1"/>
  <c r="X840" i="1"/>
  <c r="X839" i="1"/>
  <c r="X838" i="1"/>
  <c r="X837" i="1"/>
  <c r="X836" i="1"/>
  <c r="X835" i="1"/>
  <c r="X834" i="1"/>
  <c r="X833" i="1"/>
  <c r="X832" i="1"/>
  <c r="X831" i="1"/>
  <c r="X830" i="1"/>
  <c r="X829" i="1"/>
  <c r="X828" i="1"/>
  <c r="X827" i="1"/>
  <c r="X826" i="1"/>
  <c r="X825" i="1"/>
  <c r="X824" i="1"/>
  <c r="X823" i="1"/>
  <c r="X822" i="1"/>
  <c r="X821" i="1"/>
  <c r="X820" i="1"/>
  <c r="X819" i="1"/>
  <c r="X818" i="1"/>
  <c r="X817" i="1"/>
  <c r="X816" i="1"/>
  <c r="X815" i="1"/>
  <c r="X814" i="1"/>
  <c r="X813" i="1"/>
  <c r="X812" i="1"/>
  <c r="X811" i="1"/>
  <c r="X810" i="1"/>
  <c r="X809" i="1"/>
  <c r="X808" i="1"/>
  <c r="X807" i="1"/>
  <c r="X806" i="1"/>
  <c r="X54" i="1" l="1"/>
  <c r="X53" i="1"/>
  <c r="X36" i="1"/>
  <c r="X35" i="1"/>
  <c r="X34" i="1"/>
  <c r="X33" i="1"/>
  <c r="X32" i="1"/>
  <c r="X31" i="1"/>
  <c r="X30" i="1"/>
  <c r="X29" i="1"/>
  <c r="X55" i="1" l="1"/>
  <c r="X56" i="1"/>
  <c r="X57" i="1"/>
  <c r="X58" i="1"/>
  <c r="X59" i="1"/>
  <c r="X6" i="1" l="1"/>
  <c r="X7" i="1"/>
  <c r="X8" i="1"/>
  <c r="X9" i="1"/>
  <c r="X10" i="1"/>
  <c r="X11" i="1"/>
  <c r="X12" i="1"/>
  <c r="X13" i="1"/>
  <c r="X14" i="1"/>
  <c r="X15" i="1"/>
  <c r="X16" i="1"/>
  <c r="X17" i="1"/>
  <c r="X18" i="1"/>
  <c r="X19" i="1"/>
  <c r="X20" i="1"/>
  <c r="X21" i="1"/>
  <c r="X22" i="1"/>
  <c r="X23" i="1"/>
  <c r="X24" i="1"/>
  <c r="X25" i="1"/>
  <c r="X26" i="1"/>
  <c r="X27" i="1"/>
  <c r="X28" i="1"/>
  <c r="X37" i="1"/>
  <c r="X38" i="1"/>
  <c r="X39" i="1"/>
  <c r="X40" i="1"/>
  <c r="X41" i="1"/>
  <c r="X42" i="1"/>
  <c r="X43" i="1"/>
  <c r="X44" i="1"/>
  <c r="X45" i="1"/>
  <c r="X46" i="1"/>
  <c r="X47" i="1"/>
  <c r="X48" i="1"/>
  <c r="X49" i="1"/>
  <c r="X50" i="1"/>
  <c r="X51" i="1"/>
  <c r="X52" i="1"/>
  <c r="X60" i="1"/>
  <c r="X62" i="1"/>
  <c r="X63" i="1"/>
  <c r="X64" i="1"/>
  <c r="X65"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01" i="1"/>
  <c r="X202" i="1"/>
  <c r="X203" i="1"/>
  <c r="X204" i="1"/>
  <c r="X205" i="1"/>
  <c r="X206" i="1"/>
  <c r="X207" i="1"/>
  <c r="X208" i="1"/>
  <c r="X209" i="1"/>
  <c r="X210" i="1"/>
  <c r="X211" i="1"/>
  <c r="X212" i="1"/>
  <c r="X213" i="1"/>
  <c r="X214" i="1"/>
  <c r="X215" i="1"/>
  <c r="X216" i="1"/>
  <c r="X217" i="1"/>
  <c r="X218" i="1"/>
  <c r="X219" i="1"/>
  <c r="X220" i="1"/>
  <c r="X221" i="1"/>
  <c r="X222" i="1"/>
  <c r="X223" i="1"/>
  <c r="X224" i="1"/>
  <c r="X225" i="1"/>
  <c r="X226" i="1"/>
  <c r="X227" i="1"/>
  <c r="X228" i="1"/>
  <c r="X229" i="1"/>
  <c r="X230" i="1"/>
  <c r="X231" i="1"/>
  <c r="X232" i="1"/>
  <c r="X233" i="1"/>
  <c r="X234" i="1"/>
  <c r="X235" i="1"/>
  <c r="X236" i="1"/>
  <c r="X237" i="1"/>
  <c r="X238" i="1"/>
  <c r="X239" i="1"/>
  <c r="X240" i="1"/>
  <c r="X242" i="1"/>
  <c r="X243" i="1"/>
  <c r="X244" i="1"/>
  <c r="X245" i="1"/>
  <c r="X246" i="1"/>
  <c r="X247" i="1"/>
  <c r="X249" i="1"/>
  <c r="X250" i="1"/>
  <c r="X251" i="1"/>
  <c r="X252" i="1"/>
  <c r="X253" i="1"/>
  <c r="X254" i="1"/>
  <c r="X255" i="1"/>
  <c r="X256" i="1"/>
  <c r="X257" i="1"/>
  <c r="X258" i="1"/>
  <c r="X259" i="1"/>
  <c r="X260" i="1"/>
  <c r="X261" i="1"/>
  <c r="X262" i="1"/>
  <c r="X263" i="1"/>
  <c r="X264" i="1"/>
  <c r="X265" i="1"/>
  <c r="X266" i="1"/>
  <c r="X267" i="1"/>
  <c r="X268" i="1"/>
  <c r="X269" i="1"/>
  <c r="X270" i="1"/>
  <c r="X271" i="1"/>
  <c r="X272" i="1"/>
  <c r="X273" i="1"/>
  <c r="X274" i="1"/>
  <c r="X275" i="1"/>
  <c r="X276" i="1"/>
  <c r="X277" i="1"/>
  <c r="X278" i="1"/>
  <c r="X279" i="1"/>
  <c r="X280" i="1"/>
  <c r="X281" i="1"/>
  <c r="X282" i="1"/>
  <c r="X283" i="1"/>
  <c r="X284" i="1"/>
  <c r="X285" i="1"/>
  <c r="X286" i="1"/>
  <c r="X287" i="1"/>
  <c r="X288" i="1"/>
  <c r="X289" i="1"/>
  <c r="X290" i="1"/>
  <c r="X291" i="1"/>
  <c r="X292" i="1"/>
  <c r="X293" i="1"/>
  <c r="X294" i="1"/>
  <c r="X295" i="1"/>
  <c r="X296" i="1"/>
  <c r="X297"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5" i="1"/>
  <c r="X418" i="1"/>
  <c r="X421" i="1"/>
  <c r="X422" i="1"/>
  <c r="X423" i="1"/>
  <c r="X424" i="1"/>
  <c r="X425" i="1"/>
  <c r="X426" i="1"/>
  <c r="X427" i="1"/>
  <c r="X428" i="1"/>
  <c r="X429" i="1"/>
  <c r="X430" i="1"/>
  <c r="X431" i="1"/>
  <c r="X432" i="1"/>
  <c r="X433" i="1"/>
  <c r="X434" i="1"/>
  <c r="X435" i="1"/>
  <c r="X436"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6" i="1"/>
  <c r="X477" i="1"/>
  <c r="X478" i="1"/>
  <c r="X479" i="1"/>
  <c r="X480" i="1"/>
  <c r="X481" i="1"/>
  <c r="X482"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1" i="1"/>
  <c r="X572" i="1"/>
  <c r="X573"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7" i="1"/>
  <c r="X678" i="1"/>
  <c r="X679" i="1"/>
  <c r="X680" i="1"/>
  <c r="X681" i="1"/>
  <c r="X682" i="1"/>
  <c r="X68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5" i="1"/>
  <c r="C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Daems, Ivan</author>
  </authors>
  <commentList>
    <comment ref="A3" authorId="0" shapeId="0" xr:uid="{C5C1A75A-40D0-480C-9AB6-9259EAF1A60B}">
      <text>
        <r>
          <rPr>
            <sz val="9"/>
            <color indexed="81"/>
            <rFont val="Tahoma"/>
            <family val="2"/>
          </rPr>
          <t>The new Version control template (and CRF / PCN column on the other tab pages) makes it easier to trace each modification within a DB list update back to the corresponding CRF / PCN number and initiator.  This is especially useful in post-project phase software updates where a DB list is updated with the scope &amp; changes from multiple CRF's or PCN's at once.</t>
        </r>
      </text>
    </comment>
    <comment ref="E3" authorId="0" shapeId="0" xr:uid="{745A855A-E61C-4688-8F63-D2FBF0AD3FC1}">
      <text>
        <r>
          <rPr>
            <b/>
            <sz val="9"/>
            <color indexed="81"/>
            <rFont val="Tahoma"/>
            <family val="2"/>
          </rPr>
          <t>In the project phase (when only 1 CRF is applicable) :</t>
        </r>
        <r>
          <rPr>
            <sz val="9"/>
            <color indexed="81"/>
            <rFont val="Tahoma"/>
            <family val="2"/>
          </rPr>
          <t xml:space="preserve">
=&gt; Use your project CRF on the Version control tab page. It is not needed to fill in the CRF / PCN column on all the other tab pages.
</t>
        </r>
        <r>
          <rPr>
            <b/>
            <sz val="9"/>
            <color indexed="81"/>
            <rFont val="Tahoma"/>
            <family val="2"/>
          </rPr>
          <t>Post-project / update phase (when only 1 CRF or PCN is used for a DB list update) :</t>
        </r>
        <r>
          <rPr>
            <sz val="9"/>
            <color indexed="81"/>
            <rFont val="Tahoma"/>
            <family val="2"/>
          </rPr>
          <t xml:space="preserve">
=&gt; Use your CRF or PCN on the Version control tab page. It is not needed to fill in the CRF / PCN column on all the other tab pages.
</t>
        </r>
        <r>
          <rPr>
            <b/>
            <sz val="9"/>
            <color indexed="81"/>
            <rFont val="Tahoma"/>
            <family val="2"/>
          </rPr>
          <t xml:space="preserve">
Post-project / update phase (when multiple CRFs or PCNs are used for the same DB list update) :</t>
        </r>
        <r>
          <rPr>
            <sz val="9"/>
            <color indexed="81"/>
            <rFont val="Tahoma"/>
            <family val="2"/>
          </rPr>
          <t xml:space="preserve">
=&gt; On the Version control tab page: For each CRF or PCN the corresponding initiator needs to add a line to the DB list version.
=&gt; On all the other tab pages, for each modification the CRF / PCN column needs to be filled in so that each modification can be linked to the correct CRF number.
=&gt; If a CRF or PCN number is not yet known at the time of making changes in the DB list, then temporary use your own initials instead of the CRF / PCN number.  Later, update this to the real CRF / PCN number.</t>
        </r>
      </text>
    </comment>
    <comment ref="F3" authorId="0" shapeId="0" xr:uid="{1EA95484-F3E4-43B9-B67B-4A22F3671786}">
      <text>
        <r>
          <rPr>
            <sz val="9"/>
            <color indexed="81"/>
            <rFont val="Tahoma"/>
            <family val="2"/>
          </rPr>
          <t>WO number (if applicable) is supplied by the production department</t>
        </r>
      </text>
    </comment>
    <comment ref="G3" authorId="0" shapeId="0" xr:uid="{92F6F6A9-BD0D-4E46-8A82-9498C2A31FA3}">
      <text>
        <r>
          <rPr>
            <sz val="9"/>
            <color indexed="81"/>
            <rFont val="Tahoma"/>
            <family val="2"/>
          </rPr>
          <t>=&gt; "</t>
        </r>
        <r>
          <rPr>
            <b/>
            <sz val="9"/>
            <color indexed="81"/>
            <rFont val="Tahoma"/>
            <family val="2"/>
          </rPr>
          <t>Yes</t>
        </r>
        <r>
          <rPr>
            <sz val="9"/>
            <color indexed="81"/>
            <rFont val="Tahoma"/>
            <family val="2"/>
          </rPr>
          <t>" means this discipline is in scope and needs to be updated once the changes of this DB list version go live.
=&gt; "</t>
        </r>
        <r>
          <rPr>
            <b/>
            <sz val="9"/>
            <color indexed="81"/>
            <rFont val="Tahoma"/>
            <family val="2"/>
          </rPr>
          <t>No</t>
        </r>
        <r>
          <rPr>
            <sz val="9"/>
            <color indexed="81"/>
            <rFont val="Tahoma"/>
            <family val="2"/>
          </rPr>
          <t>" means this discipline is in not in scope and no update is required.
=&gt; "</t>
        </r>
        <r>
          <rPr>
            <b/>
            <sz val="9"/>
            <color indexed="81"/>
            <rFont val="Tahoma"/>
            <family val="2"/>
          </rPr>
          <t>Future</t>
        </r>
        <r>
          <rPr>
            <sz val="9"/>
            <color indexed="81"/>
            <rFont val="Tahoma"/>
            <family val="2"/>
          </rPr>
          <t xml:space="preserve">" means this discipline is in scope and the required changes are already prepared in this DB list, but the update will not be done yet once the changes of this DB list go live.  That means, somwhere in the future this discipline still needs to be updated.
This can be used for example if a certain change has impact on both SCADA and PI/TRT but you only want to update SCADA now and do PI/TRT later.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Daems, Ivan</author>
  </authors>
  <commentList>
    <comment ref="A6" authorId="0" shapeId="0" xr:uid="{9B8AF2EA-9077-4227-9630-60BFE901A709}">
      <text>
        <r>
          <rPr>
            <b/>
            <sz val="9"/>
            <color indexed="81"/>
            <rFont val="Tahoma"/>
            <family val="2"/>
          </rPr>
          <t xml:space="preserve">During project phase: </t>
        </r>
        <r>
          <rPr>
            <sz val="9"/>
            <color indexed="81"/>
            <rFont val="Tahoma"/>
            <family val="2"/>
          </rPr>
          <t xml:space="preserve">
=&gt; Link or reference to where the PLC software can be found
</t>
        </r>
        <r>
          <rPr>
            <b/>
            <sz val="9"/>
            <color indexed="81"/>
            <rFont val="Tahoma"/>
            <family val="2"/>
          </rPr>
          <t xml:space="preserve">Post-project phase: </t>
        </r>
        <r>
          <rPr>
            <sz val="9"/>
            <color indexed="81"/>
            <rFont val="Tahoma"/>
            <family val="2"/>
          </rPr>
          <t xml:space="preserve">
=&gt; Location (path) in VersionDog where the software can be found</t>
        </r>
      </text>
    </comment>
    <comment ref="A24" authorId="0" shapeId="0" xr:uid="{FA663E63-0F5A-4C27-88FD-16D3CC035C40}">
      <text>
        <r>
          <rPr>
            <sz val="9"/>
            <color indexed="81"/>
            <rFont val="Tahoma"/>
            <family val="2"/>
          </rPr>
          <t>If 1 or more SCADA clients are preferred to be used for PA for support (for example clients located on a technical platform, a supervisor room or any other non-production area) then write them down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Tom Van Kerckhove</author>
    <author>Johan Van Acker</author>
    <author>tc={4A68216A-2FC6-4F9D-A33B-D9FF6D99228B}</author>
    <author>tc={36315C18-6537-4EA2-A342-1E73711B9072}</author>
    <author>tc={A0127ADA-8C89-41E9-939F-CF3E7EEED827}</author>
    <author>tc={818CBB0D-6816-4CA6-BFEA-F2A3BD7ADC66}</author>
    <author>tc={0F698DF1-3E51-4CF1-8484-E63E4E2813B2}</author>
    <author>tc={D7307D44-23C0-401E-BC55-0145698A6D47}</author>
  </authors>
  <commentList>
    <comment ref="G3" authorId="0" shapeId="0" xr:uid="{00000000-0006-0000-0100-000001000000}">
      <text>
        <r>
          <rPr>
            <b/>
            <sz val="8"/>
            <color indexed="81"/>
            <rFont val="Tahoma"/>
            <family val="2"/>
          </rPr>
          <t>Dutch translation:</t>
        </r>
        <r>
          <rPr>
            <sz val="8"/>
            <color indexed="81"/>
            <rFont val="Tahoma"/>
            <family val="2"/>
          </rPr>
          <t xml:space="preserve">
max. 75 characters</t>
        </r>
      </text>
    </comment>
    <comment ref="J3" authorId="1" shapeId="0" xr:uid="{00000000-0006-0000-0100-000002000000}">
      <text>
        <r>
          <rPr>
            <b/>
            <sz val="9"/>
            <color indexed="81"/>
            <rFont val="Tahoma"/>
            <family val="2"/>
          </rPr>
          <t>Format: 
CU number + Pfizernumber (4 characters)</t>
        </r>
        <r>
          <rPr>
            <sz val="9"/>
            <color indexed="81"/>
            <rFont val="Tahoma"/>
            <family val="2"/>
          </rPr>
          <t xml:space="preserve">
</t>
        </r>
      </text>
    </comment>
    <comment ref="P443" authorId="2" shapeId="0" xr:uid="{4A68216A-2FC6-4F9D-A33B-D9FF6D99228B}">
      <text>
        <t>[Threaded comment]
Your version of Excel allows you to read this threaded comment; however, any edits to it will get removed if the file is opened in a newer version of Excel. Learn more: https://go.microsoft.com/fwlink/?linkid=870924
Comment:
    Isn't connected + 45QS6 not found on the WID</t>
      </text>
    </comment>
    <comment ref="P445" authorId="3" shapeId="0" xr:uid="{36315C18-6537-4EA2-A342-1E73711B9072}">
      <text>
        <t>[Threaded comment]
Your version of Excel allows you to read this threaded comment; however, any edits to it will get removed if the file is opened in a newer version of Excel. Learn more: https://go.microsoft.com/fwlink/?linkid=870924
Comment:
    Isn't connected + 45QS7 not found on the WID</t>
      </text>
    </comment>
    <comment ref="K613" authorId="4" shapeId="0" xr:uid="{A0127ADA-8C89-41E9-939F-CF3E7EEED827}">
      <text>
        <t>[Threaded comment]
Your version of Excel allows you to read this threaded comment; however, any edits to it will get removed if the file is opened in a newer version of Excel. Learn more: https://go.microsoft.com/fwlink/?linkid=870924
Comment:
    tag not consistent with P&amp;ID</t>
      </text>
    </comment>
    <comment ref="K614" authorId="5" shapeId="0" xr:uid="{818CBB0D-6816-4CA6-BFEA-F2A3BD7ADC66}">
      <text>
        <t>[Threaded comment]
Your version of Excel allows you to read this threaded comment; however, any edits to it will get removed if the file is opened in a newer version of Excel. Learn more: https://go.microsoft.com/fwlink/?linkid=870924
Comment:
    tag not consistent with P&amp;ID</t>
      </text>
    </comment>
    <comment ref="K615" authorId="6" shapeId="0" xr:uid="{0F698DF1-3E51-4CF1-8484-E63E4E2813B2}">
      <text>
        <t>[Threaded comment]
Your version of Excel allows you to read this threaded comment; however, any edits to it will get removed if the file is opened in a newer version of Excel. Learn more: https://go.microsoft.com/fwlink/?linkid=870924
Comment:
    tag not consistent with P&amp;ID</t>
      </text>
    </comment>
    <comment ref="K616" authorId="7" shapeId="0" xr:uid="{D7307D44-23C0-401E-BC55-0145698A6D47}">
      <text>
        <t>[Threaded comment]
Your version of Excel allows you to read this threaded comment; however, any edits to it will get removed if the file is opened in a newer version of Excel. Learn more: https://go.microsoft.com/fwlink/?linkid=870924
Comment:
    tag not consistent with P&amp;ID</t>
      </text>
    </comment>
    <comment ref="C1606" authorId="0" shapeId="0" xr:uid="{00000000-0006-0000-0100-000003000000}">
      <text>
        <r>
          <rPr>
            <b/>
            <sz val="8"/>
            <color indexed="81"/>
            <rFont val="Tahoma"/>
            <family val="2"/>
          </rPr>
          <t xml:space="preserve">Attention!
</t>
        </r>
        <r>
          <rPr>
            <sz val="8"/>
            <color indexed="81"/>
            <rFont val="Tahoma"/>
            <family val="2"/>
          </rPr>
          <t>Insert line before this one to add parameters.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 Van Acker</author>
    <author>Goossens, Danny</author>
    <author>Leslie Matheus</author>
    <author>PLOMPRO</author>
    <author>Tom Van Kerckhove</author>
  </authors>
  <commentList>
    <comment ref="D3" authorId="0" shapeId="0" xr:uid="{C554CFB6-2F25-4A15-9C49-3FAE49FDD97A}">
      <text>
        <r>
          <rPr>
            <b/>
            <sz val="9"/>
            <color indexed="81"/>
            <rFont val="Tahoma"/>
            <family val="2"/>
          </rPr>
          <t>Tag:</t>
        </r>
        <r>
          <rPr>
            <sz val="9"/>
            <color indexed="81"/>
            <rFont val="Tahoma"/>
            <family val="2"/>
          </rPr>
          <t xml:space="preserve">
VUNr/Tagname 
</t>
        </r>
      </text>
    </comment>
    <comment ref="G3" authorId="1" shapeId="0" xr:uid="{C10BC9C3-A543-4FB4-BCA2-1BF38C7D52BE}">
      <text>
        <r>
          <rPr>
            <b/>
            <sz val="9"/>
            <color indexed="81"/>
            <rFont val="Tahoma"/>
            <family val="2"/>
          </rPr>
          <t xml:space="preserve">Object type:
</t>
        </r>
        <r>
          <rPr>
            <sz val="9"/>
            <color indexed="81"/>
            <rFont val="Tahoma"/>
            <family val="2"/>
          </rPr>
          <t>Object type of the linked interface object must be filled in when 'Object Tag status' is used. Indicates the tab in the 'Visualisation&amp;CommandList' were the tagname can be found.</t>
        </r>
      </text>
    </comment>
    <comment ref="H3" authorId="2" shapeId="0" xr:uid="{FC91F110-392D-41CA-948C-1CFEB302C848}">
      <text>
        <r>
          <rPr>
            <b/>
            <sz val="9"/>
            <color indexed="81"/>
            <rFont val="Tahoma"/>
            <family val="2"/>
          </rPr>
          <t xml:space="preserve">Object TAG status:
</t>
        </r>
        <r>
          <rPr>
            <sz val="9"/>
            <color indexed="81"/>
            <rFont val="Tahoma"/>
            <family val="2"/>
          </rPr>
          <t>Additional status of an object (Valve / Motor / MotorSP / Output values) can be linked. The object TAG-name from 'Visualisation&amp;CommandList' must be filled in. 
Remark: Objects with boolean information (e.g. sensor,…) must be tranformed to an output value, the correcponding numbers for colour indicating TRUE / FALSE are written via the PLC.</t>
        </r>
      </text>
    </comment>
    <comment ref="J3" authorId="3" shapeId="0" xr:uid="{16BC1E65-431F-4E62-9685-2B1C0FF6270B}">
      <text>
        <r>
          <rPr>
            <b/>
            <sz val="8"/>
            <color indexed="81"/>
            <rFont val="Tahoma"/>
            <family val="2"/>
          </rPr>
          <t xml:space="preserve">Indicate in which screen(s) this item needs to be visualised
</t>
        </r>
      </text>
    </comment>
    <comment ref="C170" authorId="4" shapeId="0" xr:uid="{534DB238-B646-4E88-99BD-7EF710FAFAD0}">
      <text>
        <r>
          <rPr>
            <b/>
            <sz val="8"/>
            <color indexed="81"/>
            <rFont val="Tahoma"/>
            <family val="2"/>
          </rPr>
          <t xml:space="preserve">Attention!
</t>
        </r>
        <r>
          <rPr>
            <sz val="8"/>
            <color indexed="81"/>
            <rFont val="Tahoma"/>
            <family val="2"/>
          </rPr>
          <t>Insert line before this one to add parameters.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Paelinck, Mathieu</author>
  </authors>
  <commentList>
    <comment ref="A20" authorId="0" shapeId="0" xr:uid="{F69C5D1B-74C4-4C4F-8E6B-1A6E1B8D8317}">
      <text>
        <r>
          <rPr>
            <b/>
            <sz val="9"/>
            <color indexed="81"/>
            <rFont val="Tahoma"/>
            <family val="2"/>
          </rPr>
          <t>Paelinck, Mathieu:</t>
        </r>
        <r>
          <rPr>
            <sz val="9"/>
            <color indexed="81"/>
            <rFont val="Tahoma"/>
            <family val="2"/>
          </rPr>
          <t xml:space="preserve">
To be removed in case of 1 Virtual Unit</t>
        </r>
      </text>
    </comment>
  </commentList>
</comments>
</file>

<file path=xl/sharedStrings.xml><?xml version="1.0" encoding="utf-8"?>
<sst xmlns="http://schemas.openxmlformats.org/spreadsheetml/2006/main" count="13584" uniqueCount="3363">
  <si>
    <t>Alarmtext machine constructor</t>
  </si>
  <si>
    <t>Interlocks</t>
  </si>
  <si>
    <t>Bypass</t>
  </si>
  <si>
    <t>Stopmode</t>
  </si>
  <si>
    <t>Class</t>
  </si>
  <si>
    <t>Scada Alarmnr</t>
  </si>
  <si>
    <t>Tagname</t>
  </si>
  <si>
    <t>PLC I/O</t>
  </si>
  <si>
    <t>Version</t>
  </si>
  <si>
    <t>Time-out upload request</t>
  </si>
  <si>
    <t>Time-out upload aanvraag</t>
  </si>
  <si>
    <t>PLC-intern</t>
  </si>
  <si>
    <t>D2</t>
  </si>
  <si>
    <t>Database error</t>
  </si>
  <si>
    <t>Database fout</t>
  </si>
  <si>
    <t>ULDL PLC read error</t>
  </si>
  <si>
    <t>ULDL PLC leesfout</t>
  </si>
  <si>
    <t>reserved</t>
  </si>
  <si>
    <t>gereserveerd</t>
  </si>
  <si>
    <t>Time-out download request</t>
  </si>
  <si>
    <t>Time-out download aanvraag</t>
  </si>
  <si>
    <t>SON does not exist</t>
  </si>
  <si>
    <t>SON bestaat niet</t>
  </si>
  <si>
    <t>No SON filled in</t>
  </si>
  <si>
    <t>Geen SON opgegeven</t>
  </si>
  <si>
    <t>Mode does not exist</t>
  </si>
  <si>
    <t>Mode bestaat niet</t>
  </si>
  <si>
    <t>Pharmaceutical parameter(s) missing</t>
  </si>
  <si>
    <t>Pharmaceutische parameter(s) ontbreken</t>
  </si>
  <si>
    <t>Non-pharmaceutical parameter(s) missing</t>
  </si>
  <si>
    <t>Niet-pharmaceutische parameter(s) ontbreken</t>
  </si>
  <si>
    <t>ULDL PLC read or write error</t>
  </si>
  <si>
    <t>ULDL PLC lees- of schrijffout</t>
  </si>
  <si>
    <t>A3</t>
  </si>
  <si>
    <t>A1</t>
  </si>
  <si>
    <t>gereserveerd (ULDL warning bits)</t>
  </si>
  <si>
    <t># Alarms</t>
  </si>
  <si>
    <t>end</t>
  </si>
  <si>
    <t>Std.desc.</t>
  </si>
  <si>
    <t>Std.d.</t>
  </si>
  <si>
    <t>None</t>
  </si>
  <si>
    <t>No</t>
  </si>
  <si>
    <t>[xxx] meting fout</t>
  </si>
  <si>
    <t>Automaat [tag] uit</t>
  </si>
  <si>
    <t>Beveiligingsschakelaar motor [tag] uit</t>
  </si>
  <si>
    <t>Beveiligingsschakelaar voeding [tag] uit</t>
  </si>
  <si>
    <t>Overbelasting [tag]</t>
  </si>
  <si>
    <t>Noodstop [tag] ingedrukt</t>
  </si>
  <si>
    <t>Beschermkap [tag] open</t>
  </si>
  <si>
    <t>Stelknop ingeplugd</t>
  </si>
  <si>
    <t>fout veiligheidsrelais</t>
  </si>
  <si>
    <t>fout frekwentieomvormer</t>
  </si>
  <si>
    <t>Stuurspanning uit</t>
  </si>
  <si>
    <t>Werkschakelaar [tag] uit</t>
  </si>
  <si>
    <t>hoofdschakelaar niet ingeschakeld</t>
  </si>
  <si>
    <t>Geen vacuum aanwezig</t>
  </si>
  <si>
    <t>Geen perslucht aanwezig</t>
  </si>
  <si>
    <t>Minimum/Maximum lading op/in [tag]</t>
  </si>
  <si>
    <t>Batterij PLC-CPU leeg</t>
  </si>
  <si>
    <t>Temperatuur in elektrisch bord te hoog</t>
  </si>
  <si>
    <t>Temperatuur [tag] te hoog/laag</t>
  </si>
  <si>
    <t>Klep [tag] niet open/gesloten</t>
  </si>
  <si>
    <t>Stand klep [tag] onbekend</t>
  </si>
  <si>
    <t>Klep [tag] terugmelding niet gesloten of open</t>
  </si>
  <si>
    <t>Klep [tag] open en (utility) niet klaar voor verbruik</t>
  </si>
  <si>
    <t>Klep [tag] niet open en (utility) gevraagd</t>
  </si>
  <si>
    <t>Klep [tag] open en (utility) niet gevraagd</t>
  </si>
  <si>
    <t>Manuele klep [tag] niet open/gesloten</t>
  </si>
  <si>
    <t>breekschijf op tank gebroken</t>
  </si>
  <si>
    <t>mangat niet gesloten</t>
  </si>
  <si>
    <t>droogloopbeveiliging [tag]</t>
  </si>
  <si>
    <t>pomp [tag] stopt/start niet</t>
  </si>
  <si>
    <t>All</t>
  </si>
  <si>
    <t>[mode]</t>
  </si>
  <si>
    <t>[phase]</t>
  </si>
  <si>
    <t>[motor]</t>
  </si>
  <si>
    <t>[valve]</t>
  </si>
  <si>
    <t>Initialisation</t>
  </si>
  <si>
    <t>Manual</t>
  </si>
  <si>
    <t>Stand-by</t>
  </si>
  <si>
    <t>Stop</t>
  </si>
  <si>
    <t>Jog</t>
  </si>
  <si>
    <t>Direct</t>
  </si>
  <si>
    <t>Phase</t>
  </si>
  <si>
    <t>Immediately</t>
  </si>
  <si>
    <t>Positioned</t>
  </si>
  <si>
    <t>Empty machine</t>
  </si>
  <si>
    <t>A4</t>
  </si>
  <si>
    <t>A5</t>
  </si>
  <si>
    <t>B</t>
  </si>
  <si>
    <t>C1</t>
  </si>
  <si>
    <t>C2</t>
  </si>
  <si>
    <t>C3</t>
  </si>
  <si>
    <t>D1</t>
  </si>
  <si>
    <t>D3</t>
  </si>
  <si>
    <t>*This is the number of Alarms on the condition that all descriptions are not empty, 'Reserved' or 'N/A'</t>
  </si>
  <si>
    <t>Picture</t>
  </si>
  <si>
    <t>Machine constructor</t>
  </si>
  <si>
    <t>UL/DL</t>
  </si>
  <si>
    <t>PLC-extern</t>
  </si>
  <si>
    <t>PfizerNR</t>
  </si>
  <si>
    <t>Initiator</t>
  </si>
  <si>
    <t>Date</t>
  </si>
  <si>
    <t>Description</t>
  </si>
  <si>
    <t>A2</t>
  </si>
  <si>
    <t>Pfizer</t>
  </si>
  <si>
    <t>Company</t>
  </si>
  <si>
    <t>Yes</t>
  </si>
  <si>
    <t>Version control</t>
  </si>
  <si>
    <t>Pfizer/Machine const.</t>
  </si>
  <si>
    <t>ALARM LIST</t>
  </si>
  <si>
    <t>Opkleuring
(tags)</t>
  </si>
  <si>
    <t>Lichtbalk (nummer)</t>
  </si>
  <si>
    <t>Lichtbalk
(tekst)</t>
  </si>
  <si>
    <t>Popup (tekst)</t>
  </si>
  <si>
    <t>Scada Supplier</t>
  </si>
  <si>
    <t>lichtbalk lookup table</t>
  </si>
  <si>
    <t>noodstop</t>
  </si>
  <si>
    <t>beschermkap</t>
  </si>
  <si>
    <t>temperatuur</t>
  </si>
  <si>
    <t>druk vacuum</t>
  </si>
  <si>
    <t>aanwezigheid</t>
  </si>
  <si>
    <t>hoeveelheid</t>
  </si>
  <si>
    <t>snelheid debiet</t>
  </si>
  <si>
    <t>tijd</t>
  </si>
  <si>
    <t>automaat thermiek</t>
  </si>
  <si>
    <t>overbelasting</t>
  </si>
  <si>
    <t>positie</t>
  </si>
  <si>
    <t>herhaling</t>
  </si>
  <si>
    <t>alarmlogger</t>
  </si>
  <si>
    <t>Alarmmacro report</t>
  </si>
  <si>
    <t>Missing tags</t>
  </si>
  <si>
    <t>No alarmbar defined</t>
  </si>
  <si>
    <t>SCADA functionality test - D1 alarm of VU</t>
  </si>
  <si>
    <t>SCADA functionaliteit test - D1 alarm van VU</t>
  </si>
  <si>
    <t>SCADA functionality test - D2 alarm of VU</t>
  </si>
  <si>
    <t>SCADA functionality test - D3 alarm of VU</t>
  </si>
  <si>
    <t>SCADA functionality test - C1 alarm of VU</t>
  </si>
  <si>
    <t>SCADA functionality test - C2 alarm of VU</t>
  </si>
  <si>
    <t>SCADA functionality test - C3 alarm of VU</t>
  </si>
  <si>
    <t>SCADA functionality test - B alarm of VU</t>
  </si>
  <si>
    <t>SCADA functionality test - A3 alarm of VU</t>
  </si>
  <si>
    <t>SCADA functionality test - A4 alarm of VU</t>
  </si>
  <si>
    <t>SCADA functionality test - A5 alarm of VU</t>
  </si>
  <si>
    <t>SCADA functionaliteit test - D2 alarm van VU</t>
  </si>
  <si>
    <t>SCADA functionaliteit test - D3 alarm van VU</t>
  </si>
  <si>
    <t>SCADA functionaliteit test - C1 alarm van VU</t>
  </si>
  <si>
    <t>SCADA functionaliteit test - C2 alarm van VU</t>
  </si>
  <si>
    <t>SCADA functionaliteit test - C3 alarm van VU</t>
  </si>
  <si>
    <t>SCADA functionaliteit test - B alarm van VU</t>
  </si>
  <si>
    <t>SCADA functionaliteit test - A3 alarm van VU</t>
  </si>
  <si>
    <t>SCADA functionaliteit test - A4 alarm van VU</t>
  </si>
  <si>
    <t>SCADA functionaliteit test - A5 alarm van VU</t>
  </si>
  <si>
    <t>VU-number</t>
  </si>
  <si>
    <t>n.a</t>
  </si>
  <si>
    <t>QSI</t>
  </si>
  <si>
    <t>gereserveerd (SCADA functionaliteit test bits)</t>
  </si>
  <si>
    <t>Software change detected in CUxxxx</t>
  </si>
  <si>
    <t>Hardware change detected in CUxxxx</t>
  </si>
  <si>
    <t>Software wijziging gedetecteerd in CUxxxx</t>
  </si>
  <si>
    <t>Hardware wijziging gedetecteerd in CUxxxx</t>
  </si>
  <si>
    <t>The downloaded recipe is only suited for testing</t>
  </si>
  <si>
    <t>Het gedownloade recept is enkel geschikt voor testen</t>
  </si>
  <si>
    <t>n.a.</t>
  </si>
  <si>
    <t>Alert
monitoring</t>
  </si>
  <si>
    <t>bit in WORD</t>
  </si>
  <si>
    <t>WORD number</t>
  </si>
  <si>
    <t>DB "Lalm_Data"
"Alm"-array</t>
  </si>
  <si>
    <t>Aux3</t>
  </si>
  <si>
    <t>Aux4</t>
  </si>
  <si>
    <t>Aux5</t>
  </si>
  <si>
    <t>Aux6</t>
  </si>
  <si>
    <t>Aux7</t>
  </si>
  <si>
    <t>Aux8</t>
  </si>
  <si>
    <t>Symbolic</t>
  </si>
  <si>
    <t>Absolute</t>
  </si>
  <si>
    <t>Fill in when symbolic program</t>
  </si>
  <si>
    <t>Fill in when Absolute program</t>
  </si>
  <si>
    <t>PLC Data Type</t>
  </si>
  <si>
    <t>typeLAlm_GenAlarms</t>
  </si>
  <si>
    <t>typeLAlm_SpecVUX</t>
  </si>
  <si>
    <t>LAlm address</t>
  </si>
  <si>
    <t>Station</t>
  </si>
  <si>
    <t>DataServer</t>
  </si>
  <si>
    <t>Identifier</t>
  </si>
  <si>
    <t>OPC</t>
  </si>
  <si>
    <t>Type</t>
  </si>
  <si>
    <t>Code</t>
  </si>
  <si>
    <t>Message</t>
  </si>
  <si>
    <t>Condition Value</t>
  </si>
  <si>
    <t>Pulse</t>
  </si>
  <si>
    <t>Reactive</t>
  </si>
  <si>
    <t>Condition</t>
  </si>
  <si>
    <t>Priority</t>
  </si>
  <si>
    <t>TagGroup</t>
  </si>
  <si>
    <t>S Type 1</t>
  </si>
  <si>
    <t>S ID 1</t>
  </si>
  <si>
    <t>S Type 2</t>
  </si>
  <si>
    <t>S ID 2</t>
  </si>
  <si>
    <t>CallGroups</t>
  </si>
  <si>
    <t>ALARMNUMMER</t>
  </si>
  <si>
    <t>Versie Alarmlijst</t>
  </si>
  <si>
    <t>PASAL001</t>
  </si>
  <si>
    <t>Simon Bruneel</t>
  </si>
  <si>
    <t>Add tab ALERT</t>
  </si>
  <si>
    <t>Ivan Daems</t>
  </si>
  <si>
    <t>Change P&amp;ID column to WO-Nr</t>
  </si>
  <si>
    <t>Mathieu Paelinck</t>
  </si>
  <si>
    <t>- Removed buttons 'New Version' and 'Remove Format on sheets.
- Added Document properties for Header texts</t>
  </si>
  <si>
    <t>Tekst 10</t>
  </si>
  <si>
    <t>Tekst 9</t>
  </si>
  <si>
    <t>Tekst 8</t>
  </si>
  <si>
    <t>Tekst 7</t>
  </si>
  <si>
    <t>Tekst 6</t>
  </si>
  <si>
    <t>Tekst 5</t>
  </si>
  <si>
    <t>Tekst 4</t>
  </si>
  <si>
    <t>Tekst 3</t>
  </si>
  <si>
    <t>Tekst 2</t>
  </si>
  <si>
    <t>Tekst 1</t>
  </si>
  <si>
    <t>Start value</t>
  </si>
  <si>
    <t>SCADA Tagname</t>
  </si>
  <si>
    <t>Identification Property</t>
  </si>
  <si>
    <t>zzz2</t>
  </si>
  <si>
    <t>Virtual Unit Number 2 :</t>
  </si>
  <si>
    <t>zzz1</t>
  </si>
  <si>
    <t>Virtual Unit Number 1 :</t>
  </si>
  <si>
    <t>Virtual Unit Propertyies</t>
  </si>
  <si>
    <t>_maxD1Popups</t>
  </si>
  <si>
    <t>Maximum D1 Pop-ups Open :</t>
  </si>
  <si>
    <t xml:space="preserve">D1 Signed Message can be OPEN or CLOSED, chosable for each signed message in the Scada pop-up </t>
  </si>
  <si>
    <t>_D1Signed_ReplyType</t>
  </si>
  <si>
    <t>D1 Message Signed Reply Type :</t>
  </si>
  <si>
    <t>D1 Arrival Message is CLOSED in Eventviewer (No further actions required in EventViewer)</t>
  </si>
  <si>
    <t>_D1Arrival_ReplyType</t>
  </si>
  <si>
    <t>D1 Message Arrival Reply Type :</t>
  </si>
  <si>
    <t>Acknowledge Pharmaceutical alarms with Pop-up in SCADA</t>
  </si>
  <si>
    <t>_Enable_AckFarma</t>
  </si>
  <si>
    <t>Enable AckFarma function :</t>
  </si>
  <si>
    <t>Setting</t>
  </si>
  <si>
    <t>BEPUUSCxx</t>
  </si>
  <si>
    <t>SCADA Server :</t>
  </si>
  <si>
    <t>General Properties (Scada Server-wide)</t>
  </si>
  <si>
    <t>D1 Signed Message is CLOSED  in Eventviewer (No further actions required in EventViewer)</t>
  </si>
  <si>
    <t>D1 Signed Message is OPEN in Eventviewer (each Arrival Message must be manually closed in EventViewer)</t>
  </si>
  <si>
    <t>D1 Arrival Message is OPEN in Eventviewer (each Arrival Message must be manually closed in EventViewer)</t>
  </si>
  <si>
    <t>Acknowledge Pharmaceutical alarms without Pop-up in SCADA</t>
  </si>
  <si>
    <t>Properties Pharmaceutical Alarm Handling</t>
  </si>
  <si>
    <t>Created PfizerTools Macro :
- Equipment properties macro (added on Distributionlist sheet).
- Track Changes macro (added)
- Added tab Farma Alarm</t>
  </si>
  <si>
    <t>Upload Datablock not cleared</t>
  </si>
  <si>
    <t>Upload datablock niet gewist</t>
  </si>
  <si>
    <t>A6</t>
  </si>
  <si>
    <t>Mathieu Paelinck
Dervis Anil</t>
  </si>
  <si>
    <t>- Added auxiliary alarm 3, 4</t>
  </si>
  <si>
    <t>Machine running in IDLE</t>
  </si>
  <si>
    <t>Machine gestart in IDLE</t>
  </si>
  <si>
    <t>Template history</t>
  </si>
  <si>
    <t>A7</t>
  </si>
  <si>
    <t>CRF / PCN</t>
  </si>
  <si>
    <t>General info</t>
  </si>
  <si>
    <t>Machine name</t>
  </si>
  <si>
    <t>Machine number</t>
  </si>
  <si>
    <t>CU number</t>
  </si>
  <si>
    <t>DB list location (machine folder)</t>
  </si>
  <si>
    <t>VU name</t>
  </si>
  <si>
    <t>VU number</t>
  </si>
  <si>
    <t>VU 1</t>
  </si>
  <si>
    <t>VU 2</t>
  </si>
  <si>
    <t>VU 3</t>
  </si>
  <si>
    <t>VU 4</t>
  </si>
  <si>
    <t>VU 5</t>
  </si>
  <si>
    <t>VU 6</t>
  </si>
  <si>
    <t>VU 7</t>
  </si>
  <si>
    <t>VU 8</t>
  </si>
  <si>
    <t>VU 9</t>
  </si>
  <si>
    <t>VU 10</t>
  </si>
  <si>
    <t>SCADA client(s)</t>
  </si>
  <si>
    <t>OPC server (main)</t>
  </si>
  <si>
    <t>OPC server (backup)</t>
  </si>
  <si>
    <t>OPC project / SCoreS7 location</t>
  </si>
  <si>
    <t>ENG-station(s) for WinCC</t>
  </si>
  <si>
    <t>ENG-station(s) for PLC</t>
  </si>
  <si>
    <t>VMP number SCADA</t>
  </si>
  <si>
    <t>VMP number RMS</t>
  </si>
  <si>
    <t>B0198</t>
  </si>
  <si>
    <t>VMP number ULDL</t>
  </si>
  <si>
    <t>B0182</t>
  </si>
  <si>
    <t>VMP number PI</t>
  </si>
  <si>
    <t>B0183</t>
  </si>
  <si>
    <t>VMP number TRT</t>
  </si>
  <si>
    <t>B0199</t>
  </si>
  <si>
    <t>Project team</t>
  </si>
  <si>
    <t>PE name</t>
  </si>
  <si>
    <t>engineering</t>
  </si>
  <si>
    <t>process automation</t>
  </si>
  <si>
    <t>PLC</t>
  </si>
  <si>
    <t>SCADA</t>
  </si>
  <si>
    <t>PI/TRT</t>
  </si>
  <si>
    <t>RMS</t>
  </si>
  <si>
    <t>ULDL</t>
  </si>
  <si>
    <t>EBR</t>
  </si>
  <si>
    <t>n/a</t>
  </si>
  <si>
    <t>Alarmtext English</t>
  </si>
  <si>
    <t>PM67
Class</t>
  </si>
  <si>
    <t>Special remarks</t>
  </si>
  <si>
    <t>VQS reference</t>
  </si>
  <si>
    <t>Dutch translation</t>
  </si>
  <si>
    <t>- Added new tab pages "Version control", "Template history" and "General info" to replace "Distribution list".
- Replaced "implementation date" from version control table with "discipline in scope".
- Updated layout of Version control to allow multiple CRF/PCN numbers in the same version.
- Added CRF/PCN column to relevant data tab pages.
- Added new columns "PM67 class", "Alarmtext English" &amp; "VQS reference"
- Removed columns "Archive", "Manueel" &amp; "Removed"</t>
  </si>
  <si>
    <t>Document
Version</t>
  </si>
  <si>
    <t>WO number
(for EV)</t>
  </si>
  <si>
    <t>CRF / PCN number</t>
  </si>
  <si>
    <t>Pass / fail</t>
  </si>
  <si>
    <t>WinCC version</t>
  </si>
  <si>
    <t>Discipline in scope?</t>
  </si>
  <si>
    <t>PLC software location</t>
  </si>
  <si>
    <t>DB list location (project phase)</t>
  </si>
  <si>
    <t>SCADA server(s)</t>
  </si>
  <si>
    <t>SCADA client for PA support</t>
  </si>
  <si>
    <t>ALERT</t>
  </si>
  <si>
    <t>(Yes/No/Future)</t>
  </si>
  <si>
    <t>IFC - VL1 - Filling Machine &amp; Capper</t>
  </si>
  <si>
    <t>IFC - VL1 - Filling Machine</t>
  </si>
  <si>
    <t>IFC - VL1 - Capper</t>
  </si>
  <si>
    <t>B+S</t>
  </si>
  <si>
    <t>Philipp Andörfer</t>
  </si>
  <si>
    <t>Batterie SPS-CPU wechseln</t>
  </si>
  <si>
    <t>Change PLC-CPU battery</t>
  </si>
  <si>
    <t>Wartungsschalter betätigt</t>
  </si>
  <si>
    <t>Maintenance switch actuated</t>
  </si>
  <si>
    <t>LOTO Schakelaar afgeschakeld</t>
  </si>
  <si>
    <t>Main drive</t>
  </si>
  <si>
    <t>Übertemperatur Schaltschrank 1</t>
  </si>
  <si>
    <t>Switch cabinet 1 overheated</t>
  </si>
  <si>
    <t>Kast 1 temperatuur te hoog</t>
  </si>
  <si>
    <t>Übertemperatur Schaltschrank 2</t>
  </si>
  <si>
    <t>Switch cabinet 2 overheated</t>
  </si>
  <si>
    <t>Kast 2 temperatuur te hoog</t>
  </si>
  <si>
    <t>Übertemperatur Schaltschrank 3</t>
  </si>
  <si>
    <t>Switch cabinet 3 overheated</t>
  </si>
  <si>
    <t>Kast 3 temperatuur te hoog</t>
  </si>
  <si>
    <t>Sensoren einlernen aktiv</t>
  </si>
  <si>
    <t>Teaching sensors active</t>
  </si>
  <si>
    <t>Sensoren teachen actief</t>
  </si>
  <si>
    <t>2S1</t>
  </si>
  <si>
    <t>5TS2</t>
  </si>
  <si>
    <t>5TS4</t>
  </si>
  <si>
    <t>5TS6</t>
  </si>
  <si>
    <t>13U1</t>
  </si>
  <si>
    <t>E34.0</t>
  </si>
  <si>
    <t>E34.1</t>
  </si>
  <si>
    <t>E34.2</t>
  </si>
  <si>
    <t>E34.3</t>
  </si>
  <si>
    <t>Capper not ready</t>
  </si>
  <si>
    <t>RVB nicht bereit</t>
  </si>
  <si>
    <t>Filling/docking nicht bereit</t>
  </si>
  <si>
    <t>Filling/docking not ready</t>
  </si>
  <si>
    <t>Wachten op Filling Docking</t>
  </si>
  <si>
    <t>Infeed gates</t>
  </si>
  <si>
    <t>Störung Kommunikation filling/docking</t>
  </si>
  <si>
    <t>Fault: communication with filling/docking</t>
  </si>
  <si>
    <t>Servicefunction</t>
  </si>
  <si>
    <t>Störung Kommunikation Isolator</t>
  </si>
  <si>
    <t>Fault: communication with isolator</t>
  </si>
  <si>
    <t>Storing Communicatie met Isolator</t>
  </si>
  <si>
    <t>Isolator unsteril</t>
  </si>
  <si>
    <t>Isolator unsterile</t>
  </si>
  <si>
    <t>Isolator Niet Steriel</t>
  </si>
  <si>
    <t>Störung Isolator</t>
  </si>
  <si>
    <t>Fault: isolator</t>
  </si>
  <si>
    <t>Storing Isolator</t>
  </si>
  <si>
    <t>Freigabe Produktion Isolator fehlt</t>
  </si>
  <si>
    <t>No production release from isolator</t>
  </si>
  <si>
    <t>Geen vrijgave van Isolator</t>
  </si>
  <si>
    <t>Störung Kommunikation ATEC</t>
  </si>
  <si>
    <t>Fault: communication with ATEC</t>
  </si>
  <si>
    <t>Storing Communicatie met ATEC</t>
  </si>
  <si>
    <t>Störung Kommunikation SCADA</t>
  </si>
  <si>
    <t>Fault: communication with SCADA</t>
  </si>
  <si>
    <t>Storing - Communicatie met SCADA</t>
  </si>
  <si>
    <t>Storing - Communicatie met Filling Docking</t>
  </si>
  <si>
    <t>Störung Kommunikation Füllkontrolle</t>
  </si>
  <si>
    <t>Fault: communication with Fill Control</t>
  </si>
  <si>
    <t>Storing - Communicatie met IPT vulcontrole</t>
  </si>
  <si>
    <t>Puffer voll Füllkontrolle</t>
  </si>
  <si>
    <t>Fill Control buffer full</t>
  </si>
  <si>
    <t>Buffer voor IPT vulcontrole vol</t>
  </si>
  <si>
    <t>Störung Kommunikation DHT</t>
  </si>
  <si>
    <t>Fault: communication with DHT</t>
  </si>
  <si>
    <t>Storing - Communicatie met Tunnel</t>
  </si>
  <si>
    <t>Anfahrhilfe entnehmen</t>
  </si>
  <si>
    <t>Remove start up support</t>
  </si>
  <si>
    <t>Wegnemen ketting Tunnel</t>
  </si>
  <si>
    <t xml:space="preserve">Verweilzeit DHT überschritten </t>
  </si>
  <si>
    <t xml:space="preserve">Time for containers in DHT exceeded </t>
  </si>
  <si>
    <t>Reject vials uit Tunnel</t>
  </si>
  <si>
    <t>Objektführung Schlechtauslauf Einlaufdrehteller einlegen</t>
  </si>
  <si>
    <t>Place guide for reject discharge on infeed rotary table</t>
  </si>
  <si>
    <t>Plaats geleiding aan invoerdraaitafel voor reject</t>
  </si>
  <si>
    <t>Objektführung Produktion Einlaufdrehteller einlegen</t>
  </si>
  <si>
    <t>Place guide for production on infeed rotary table</t>
  </si>
  <si>
    <t>Plaats geleiding aan invoerdraaitafel voor productie</t>
  </si>
  <si>
    <t>Servicefunktion Maschinenbetrieb ohne Füllkontrollsystem</t>
  </si>
  <si>
    <t>Service function: machine operation without Fill Control</t>
  </si>
  <si>
    <t>Servicefunctie - Machinegebruik zonder IPT vulcontrole</t>
  </si>
  <si>
    <t>Servicefunktion Maschinenbetrieb ohne Isolator</t>
  </si>
  <si>
    <t>Service function: machine operation without isolator</t>
  </si>
  <si>
    <t>Servicefunctie - Machinegebruik zonder Isolator</t>
  </si>
  <si>
    <t>Servicefunktion IPC-Ablauf ohne Objekte</t>
  </si>
  <si>
    <t>Service function: IPC without containers</t>
  </si>
  <si>
    <t>Servicefunctie - IPC zonder vials</t>
  </si>
  <si>
    <t>IPC deaktiviert durch Parameter</t>
  </si>
  <si>
    <t>IPC deactivated by parameter</t>
  </si>
  <si>
    <t>IPC gedeactiveerd door parameter</t>
  </si>
  <si>
    <t>Niveauregulierung deaktiviert durch Parameter</t>
  </si>
  <si>
    <t>Rührer deaktiviert durch Parameter</t>
  </si>
  <si>
    <t>Working without mixer</t>
  </si>
  <si>
    <t>Werking zonder mixer</t>
  </si>
  <si>
    <t>Umpumpen deaktiviert durch Parameter</t>
  </si>
  <si>
    <t>Working without product recirculation</t>
  </si>
  <si>
    <t>Werking zonder productrecirculatie</t>
  </si>
  <si>
    <t>Dosierstation deaktiviert durch Parameter</t>
  </si>
  <si>
    <t>Working without filling</t>
  </si>
  <si>
    <t>Werking zonder vullen</t>
  </si>
  <si>
    <t>Dosiermenge automatisch nachregeln deaktiviert durch Parameter</t>
  </si>
  <si>
    <t>Working without automatic regulation of the pumps</t>
  </si>
  <si>
    <t>Werking zonder automatische afstelling pompen</t>
  </si>
  <si>
    <t>Stopfenstation deaktiviert durch Parameter</t>
  </si>
  <si>
    <t>Working without stopper placement</t>
  </si>
  <si>
    <t>Werking zonder stopperplaatsing</t>
  </si>
  <si>
    <t>Stopfen prüfen deaktiviert durch Parameter</t>
  </si>
  <si>
    <t>Working without stopper placement check</t>
  </si>
  <si>
    <t>Werking zonder stoppenaanwezigheidsdetectie in vulmachine</t>
  </si>
  <si>
    <t>Servicefunction Pharmazeutische Alarme unterdrücken</t>
  </si>
  <si>
    <t>Service function: Suppress pharmaceutical alarms</t>
  </si>
  <si>
    <t>1F1</t>
  </si>
  <si>
    <t>1Q1</t>
  </si>
  <si>
    <t>Schutzschalter ausgelöst Hauptstromkreis - Spannungsüberwachung</t>
  </si>
  <si>
    <t>Main power circuit protection switch triggered - voltage monitoring</t>
  </si>
  <si>
    <t>E200.0</t>
  </si>
  <si>
    <t>1US1</t>
  </si>
  <si>
    <t>E39.0</t>
  </si>
  <si>
    <t>Spannungsüberwachung Hauptstromversorgung</t>
  </si>
  <si>
    <t>Voltage monitoring main power supply</t>
  </si>
  <si>
    <t>E200.1</t>
  </si>
  <si>
    <t>E200.2</t>
  </si>
  <si>
    <t>1F2</t>
  </si>
  <si>
    <t>Schutzschalter ausgelöst Hauptstromkreis - Netzkontrolle</t>
  </si>
  <si>
    <t>Main power circuit protection switch triggered - pilot lamp</t>
  </si>
  <si>
    <t>Schutzschalter ausgelöst Hauptstromkreis - Belüftung Schaltschrank</t>
  </si>
  <si>
    <t>Main power circuit protection switch triggered - switch cabinet fan</t>
  </si>
  <si>
    <t>Schutzschalter ausgelöst Hauptstromkreis - Steckdose Schaltschrank</t>
  </si>
  <si>
    <t>Main power circuit protection switch triggered - switch cabinet socket</t>
  </si>
  <si>
    <t>Schutzschalter ausgelöst Hauptstromkreis - Steckdose Klemmkasten</t>
  </si>
  <si>
    <t>Main power circuit protection switch triggered - terminal box socket</t>
  </si>
  <si>
    <t>Schutzschalter ausgelöst Hauptstromkreis - Beleuchtung Schaltschrank</t>
  </si>
  <si>
    <t>Main power circuit protection switch triggered - switch cabinet lighting</t>
  </si>
  <si>
    <t>5F1</t>
  </si>
  <si>
    <t>5F2</t>
  </si>
  <si>
    <t>5F3</t>
  </si>
  <si>
    <t>6F1</t>
  </si>
  <si>
    <t>6F2</t>
  </si>
  <si>
    <t>E200.3</t>
  </si>
  <si>
    <t>E200.4</t>
  </si>
  <si>
    <t>E200.5</t>
  </si>
  <si>
    <t>E200.6</t>
  </si>
  <si>
    <t>Schutzschalter ausgelöst Hauptstromkreis - Steckdosen Maschine</t>
  </si>
  <si>
    <t>6F3</t>
  </si>
  <si>
    <t>E200.7</t>
  </si>
  <si>
    <t>E201.0</t>
  </si>
  <si>
    <t>8F1</t>
  </si>
  <si>
    <t>E201.1</t>
  </si>
  <si>
    <t>Main power circuit protection switch triggered - machine sockets</t>
  </si>
  <si>
    <t>Schutzschalter ausgelöst Hauptstromkreis - Netzteil 24V</t>
  </si>
  <si>
    <t>Main power circuit protection switch triggered - 24V power pack</t>
  </si>
  <si>
    <t>Automaat Hoofdstroomkring uit - Voeding 24V</t>
  </si>
  <si>
    <t>Schutzschalter ausgelöst Steuerstromkreis - Spannungsversorgung 24V</t>
  </si>
  <si>
    <t>Control power circuit protection switch triggered - 24V power supply</t>
  </si>
  <si>
    <t>Automaat uit - 24V voorziening</t>
  </si>
  <si>
    <t>9F1</t>
  </si>
  <si>
    <t>E201.2</t>
  </si>
  <si>
    <t>9F2</t>
  </si>
  <si>
    <t>E201.3</t>
  </si>
  <si>
    <t>10Q1</t>
  </si>
  <si>
    <t>E203.3</t>
  </si>
  <si>
    <t>E201.4</t>
  </si>
  <si>
    <t>E201.5</t>
  </si>
  <si>
    <t>E201.6</t>
  </si>
  <si>
    <t>10F1</t>
  </si>
  <si>
    <t>10F2</t>
  </si>
  <si>
    <t>10F3</t>
  </si>
  <si>
    <t>10Q2</t>
  </si>
  <si>
    <t>E201.7</t>
  </si>
  <si>
    <t>10Q3</t>
  </si>
  <si>
    <t>E202.0</t>
  </si>
  <si>
    <t>10Q4</t>
  </si>
  <si>
    <t>10F4</t>
  </si>
  <si>
    <t>10F5</t>
  </si>
  <si>
    <t>E202.1</t>
  </si>
  <si>
    <t>E202.2</t>
  </si>
  <si>
    <t>E202.3</t>
  </si>
  <si>
    <t>10F6</t>
  </si>
  <si>
    <t>10F7</t>
  </si>
  <si>
    <t>10F8</t>
  </si>
  <si>
    <t>10F9</t>
  </si>
  <si>
    <t>E202.4</t>
  </si>
  <si>
    <t>E202.5</t>
  </si>
  <si>
    <t>E202.6</t>
  </si>
  <si>
    <t>E202.7</t>
  </si>
  <si>
    <t>E203.0</t>
  </si>
  <si>
    <t>10F10</t>
  </si>
  <si>
    <t>E203.1</t>
  </si>
  <si>
    <t>E203.2</t>
  </si>
  <si>
    <t>10F11</t>
  </si>
  <si>
    <t>10F12</t>
  </si>
  <si>
    <t>10Q5</t>
  </si>
  <si>
    <t>E203.6</t>
  </si>
  <si>
    <t>10Q6</t>
  </si>
  <si>
    <t>10F13</t>
  </si>
  <si>
    <t>E203.4</t>
  </si>
  <si>
    <t>E203.5</t>
  </si>
  <si>
    <t>E203.7</t>
  </si>
  <si>
    <t>E204.1</t>
  </si>
  <si>
    <t>E204.0</t>
  </si>
  <si>
    <t>10F14</t>
  </si>
  <si>
    <t>10F15</t>
  </si>
  <si>
    <t>Schutzschalter ausgelöst Steuerstromkreis - Spannungsversorgung AS-i Strang</t>
  </si>
  <si>
    <t>Control power circuit protection switch triggered - power supply for AS-I, field bus</t>
  </si>
  <si>
    <t>Automaat uit - Voeding AS-I Bus</t>
  </si>
  <si>
    <t>11F1</t>
  </si>
  <si>
    <t>E204.2</t>
  </si>
  <si>
    <t>Schutzschalter ausgelöst Steuerstromkreis - Reserve</t>
  </si>
  <si>
    <t>Control power circuit protection switch triggered - spare</t>
  </si>
  <si>
    <t>11F2</t>
  </si>
  <si>
    <t>E204.3</t>
  </si>
  <si>
    <t>Automaat Stuurkring uit - reserve</t>
  </si>
  <si>
    <t>Schutzschalter ausgelöst Steuerstromkreis - SPS Antriebe</t>
  </si>
  <si>
    <t>Control power circuit protection switch triggered - PLC for drives</t>
  </si>
  <si>
    <t>Automaat uit - Jetter PLC</t>
  </si>
  <si>
    <t>Schutzschalter ausgelöst Steuerstromkreis - Fernzugriff</t>
  </si>
  <si>
    <t>Control power circuit protection switch triggered - Remote access</t>
  </si>
  <si>
    <t>Automaat uit - Remote access</t>
  </si>
  <si>
    <t>14F1</t>
  </si>
  <si>
    <t>14F2</t>
  </si>
  <si>
    <t>E204.4</t>
  </si>
  <si>
    <t>E204.5</t>
  </si>
  <si>
    <t>16F1</t>
  </si>
  <si>
    <t>E204.6</t>
  </si>
  <si>
    <t>Schutzschalter ausgelöst Steuerstromkreis - Powermodul SPS dezentral</t>
  </si>
  <si>
    <t>Control power circuit protection switch triggered - power module for distributed I/O system of the PLC</t>
  </si>
  <si>
    <t>Automaat uit - Voeding Decentrale I/O</t>
  </si>
  <si>
    <t>21F1</t>
  </si>
  <si>
    <t>E204.7</t>
  </si>
  <si>
    <t>21F2</t>
  </si>
  <si>
    <t>E205.0</t>
  </si>
  <si>
    <t>21F3</t>
  </si>
  <si>
    <t>22F1</t>
  </si>
  <si>
    <t>E205.1</t>
  </si>
  <si>
    <t>22F2</t>
  </si>
  <si>
    <t>E205.2</t>
  </si>
  <si>
    <t>23F1</t>
  </si>
  <si>
    <t>E205.3</t>
  </si>
  <si>
    <t>23F2</t>
  </si>
  <si>
    <t>E205.4</t>
  </si>
  <si>
    <t>23F3</t>
  </si>
  <si>
    <t>E205.5</t>
  </si>
  <si>
    <t>24F1</t>
  </si>
  <si>
    <t>E205.6</t>
  </si>
  <si>
    <t>24F2</t>
  </si>
  <si>
    <t>E205.7</t>
  </si>
  <si>
    <t>24F3</t>
  </si>
  <si>
    <t>E206.0</t>
  </si>
  <si>
    <t>25F1</t>
  </si>
  <si>
    <t>25F2</t>
  </si>
  <si>
    <t>25F3</t>
  </si>
  <si>
    <t>25F4</t>
  </si>
  <si>
    <t>25F5</t>
  </si>
  <si>
    <t>25F6</t>
  </si>
  <si>
    <t>26F1</t>
  </si>
  <si>
    <t>26F2</t>
  </si>
  <si>
    <t>26F3</t>
  </si>
  <si>
    <t>E206.7</t>
  </si>
  <si>
    <t>E206.1</t>
  </si>
  <si>
    <t>E206.2</t>
  </si>
  <si>
    <t>E206.3</t>
  </si>
  <si>
    <t>E206.4</t>
  </si>
  <si>
    <t>E206.5</t>
  </si>
  <si>
    <t>E206.6</t>
  </si>
  <si>
    <t>E207.0</t>
  </si>
  <si>
    <t>E207.1</t>
  </si>
  <si>
    <t>Schutzschalter ausgelöst Hauptstromkreis - Vakuumpumpe Einlauf</t>
  </si>
  <si>
    <t>Main power circuit protection switch triggered - vacuum pump at infeed</t>
  </si>
  <si>
    <t>Automaat Hoofdstroomkring uit - Vacuum pomp invoer sterwielen</t>
  </si>
  <si>
    <t>Schutzschalter ausgelöst Hauptstromkreis - Belüftung Motoren Vakuumpumpen</t>
  </si>
  <si>
    <t>Main power circuit protection switch triggered - fans for vacuum pump motors</t>
  </si>
  <si>
    <t>40Q1</t>
  </si>
  <si>
    <t>E207.2</t>
  </si>
  <si>
    <t>40F1</t>
  </si>
  <si>
    <t>E207.3</t>
  </si>
  <si>
    <t>Schutzschalter ausgelöst Hauptstromkreis - Vakuumpumpe Stopfenstation</t>
  </si>
  <si>
    <t>Main power circuit protection switch triggered - vacuum pump at stopper station</t>
  </si>
  <si>
    <t>Automaat Hoofdstroomkring uit - Vacuum pomp stopper station</t>
  </si>
  <si>
    <t>Schutzschalter ausgelöst Hauptstromkreis - Vakuumpumpe Auslauf</t>
  </si>
  <si>
    <t>Main power circuit protection switch triggered - vacuum pump at discharge</t>
  </si>
  <si>
    <t>Automaat Hoofdstroomkring uit - Vacuum pomp uitvoer sterwielen</t>
  </si>
  <si>
    <t>Schutzschalter ausgelöst Hauptstromkreis - Hauptantrieb</t>
  </si>
  <si>
    <t>Main power circuit protection switch triggered - main drive</t>
  </si>
  <si>
    <t>Automaat Hoofdstroomkring uit - Motor hoofd aandrijving</t>
  </si>
  <si>
    <t>40Q2</t>
  </si>
  <si>
    <t>E207.4</t>
  </si>
  <si>
    <t>40Q3</t>
  </si>
  <si>
    <t>E207.5</t>
  </si>
  <si>
    <t>41Q1</t>
  </si>
  <si>
    <t>E207.6</t>
  </si>
  <si>
    <t>42F1</t>
  </si>
  <si>
    <t>E207.7</t>
  </si>
  <si>
    <t>Schutzschalter ausgelöst Steuerstromkreis - Überleitung schwenken</t>
  </si>
  <si>
    <t>Control power circuit protection switch triggered - swiveling transfer plate</t>
  </si>
  <si>
    <t>Automaat Stuurkring uit - Motor beweging transfer plaat tunnel</t>
  </si>
  <si>
    <t>Schutzschalter ausgelöst Steuerstromkreis - Einlaufdrehteller innen</t>
  </si>
  <si>
    <t>Control power circuit protection switch triggered - infeed rotary table inner disc</t>
  </si>
  <si>
    <t>Automaat Stuurkring uit - Motor binnenste ring invoer draaitafel</t>
  </si>
  <si>
    <t>Schutzschalter ausgelöst Steuerstromkreis - Einlaufdrehteller aussen</t>
  </si>
  <si>
    <t>Control power circuit protection switch triggered - infeed rotary table outer ring</t>
  </si>
  <si>
    <t>Automaat Stuurkring uit - Motor buitenste ring invoer draaitafel</t>
  </si>
  <si>
    <t>Schutzschalter ausgelöst Steuerstromkreis - Umlenkdrehteller Einlauf 1 + 2</t>
  </si>
  <si>
    <t>Control power circuit protection switch triggered - infeed rotary transfer table 1+2</t>
  </si>
  <si>
    <t>Automaat Stuurkring uit - Motor invoer draaitafels 1 en 2</t>
  </si>
  <si>
    <t>Automaat Stuurkring uit - Ionisator</t>
  </si>
  <si>
    <t>43F1</t>
  </si>
  <si>
    <t>E208.0</t>
  </si>
  <si>
    <t>43F2</t>
  </si>
  <si>
    <t>E208.1</t>
  </si>
  <si>
    <t>E208.2</t>
  </si>
  <si>
    <t>E208.3</t>
  </si>
  <si>
    <t>44F1</t>
  </si>
  <si>
    <t>Schutzschalter ausgelöst Steuerstromkreis - Formatverstellung Sensor liegendes Objekt Bahn 1</t>
  </si>
  <si>
    <t>Control power circuit protection switch triggered - Size adjustment, fallen container sensor, track 1</t>
  </si>
  <si>
    <t>Schutzschalter ausgelöst Steuerstromkreis - Formatverstellung Sensor liegendes Objekt Bahn 2</t>
  </si>
  <si>
    <t>Control power circuit protection switch triggered - Size adjustment, fallen container sensor, track 2</t>
  </si>
  <si>
    <t>45F1</t>
  </si>
  <si>
    <t>45F2</t>
  </si>
  <si>
    <t>E208.4</t>
  </si>
  <si>
    <t>E208.5</t>
  </si>
  <si>
    <t>47F1</t>
  </si>
  <si>
    <t>Schutzschalter ausgelöst Hauptstromkreis - Objektentnahme Tarawiegung schwenken</t>
  </si>
  <si>
    <t>Main power circuit protection switch triggered - container removal swivel movement for tare weighing</t>
  </si>
  <si>
    <t>Automaat Hoofdstroomkring uit - Weegrobot draaibew.gripper nemen vial tarra</t>
  </si>
  <si>
    <t>Schutzschalter ausgelöst Hauptstromkreis - Objektentnahme Tarawiegung  vor / zurück</t>
  </si>
  <si>
    <t>Main power circuit protection switch triggered - container removal horizontal movement for tare weighing</t>
  </si>
  <si>
    <t>Automaat Hoofdstroomkring uit - Weegrobot voor-achterw.gripper nemen vial tarra</t>
  </si>
  <si>
    <t>Schutzschalter ausgelöst Hauptstromkreis - Objektrückgabe Tarawiegung schwenken</t>
  </si>
  <si>
    <t>Main power circuit protection switch triggered - container return swivel movement after tare weighing</t>
  </si>
  <si>
    <t>Automaat Hoofdstroomkring uit - Weegrobot draaibew.gripper terugpl. vial tarra</t>
  </si>
  <si>
    <t>Schutzschalter ausgelöst Hauptstromkreis - Objektrückgabe Tarawiegung  vor / zurück</t>
  </si>
  <si>
    <t>Main power circuit protection switch triggered - container return horizontal movement after tare weighing</t>
  </si>
  <si>
    <t>Automaat Hoofdstroomkring uit - Weegrobot voor-achterw.grippers terugpl. vial tarra</t>
  </si>
  <si>
    <t>48Q1</t>
  </si>
  <si>
    <t>E208.6</t>
  </si>
  <si>
    <t>E208.7</t>
  </si>
  <si>
    <t>48Q2</t>
  </si>
  <si>
    <t>50Q1</t>
  </si>
  <si>
    <t>50Q2</t>
  </si>
  <si>
    <t>E209.0</t>
  </si>
  <si>
    <t>E209.1</t>
  </si>
  <si>
    <t>Schutzschalter ausgelöst Hauptstromkreis - Reserve</t>
  </si>
  <si>
    <t>FI-Schutzschalter ausgelöst Hauptstromkreis - Reserve</t>
  </si>
  <si>
    <t>Main power circuit protection switch triggered - spare</t>
  </si>
  <si>
    <t>Main power residual current device triggered - spare</t>
  </si>
  <si>
    <t>51F1</t>
  </si>
  <si>
    <t>E209.2</t>
  </si>
  <si>
    <t>51F2</t>
  </si>
  <si>
    <t>E209.3</t>
  </si>
  <si>
    <t>51F3</t>
  </si>
  <si>
    <t>E209.4</t>
  </si>
  <si>
    <t>Schutzschalter ausgelöst Steuerstromkreis - Rührer Dosierbehälter</t>
  </si>
  <si>
    <t>Control power circuit protection switch triggered - dosing vessel stirrer</t>
  </si>
  <si>
    <t>52F1</t>
  </si>
  <si>
    <t>E209.5</t>
  </si>
  <si>
    <t>Schutzschalter ausgelöst Steuerstromkreis - Verstellung Ventil Produktzirkulation</t>
  </si>
  <si>
    <t>Control power circuit protection switch triggered - adjustment of product circulation valve</t>
  </si>
  <si>
    <t>Automaat Stuurkring uit - Drieweg klep product circulatie</t>
  </si>
  <si>
    <t>54F1</t>
  </si>
  <si>
    <t>E209.6</t>
  </si>
  <si>
    <t>Schutzschalter ausgelöst Hauptstromkreis - Nadelhub Dosierstation</t>
  </si>
  <si>
    <t>Main power circuit protection switch triggered - dosing station needle lift</t>
  </si>
  <si>
    <t>Automaat Hoofdstroomkring uit - Motor op-neer beweging vulnaalden</t>
  </si>
  <si>
    <t>Schutzschalter ausgelöst Hauptstromkreis - Pumpenhub</t>
  </si>
  <si>
    <t>Main power circuit protection switch triggered - pump stroke</t>
  </si>
  <si>
    <t>Automaat Hoofdstroomkring uit - Motor pomp slag beweging piston pompen</t>
  </si>
  <si>
    <t>Schutzschalter ausgelöst Hauptstromkreis - Antrieb Pumpen umsteuern</t>
  </si>
  <si>
    <t>Main power circuit protection switch triggered - pump rotation drive</t>
  </si>
  <si>
    <t>Automaat Hoofdstroomkring uit - Motor rotatie beweging piston pompen</t>
  </si>
  <si>
    <t>Schutzschalter ausgelöst Hauptstromkreis - Objektentnahme Bruttowiegung schwenken</t>
  </si>
  <si>
    <t>Main power circuit protection switch triggered - container removal swivel movement for gross weighing</t>
  </si>
  <si>
    <t>Automaat Hoofdstroomkring uit - Weegrobot draaibew.gripper nemen vial bruto</t>
  </si>
  <si>
    <t>Schutzschalter ausgelöst Hauptstromkreis - Objektentnahme Bruttowiegung  vor / zurück</t>
  </si>
  <si>
    <t>Main power circuit protection switch triggered - container removal horizontal movement for gross weighing</t>
  </si>
  <si>
    <t>Automaat Hoofdstroomkring uit - Weegrobot voor-achterw.gripper nemen vial bruto</t>
  </si>
  <si>
    <t>Schutzschalter ausgelöst Hauptstromkreis - Objektrückgabe Bruttowiegung schwenken</t>
  </si>
  <si>
    <t>Main power circuit protection switch triggered - container return swivel movement after gross weighing</t>
  </si>
  <si>
    <t>Automaat Hoofdstroomkring uit - Weegrobot draaibew.gripper terugpl. vial bruto</t>
  </si>
  <si>
    <t>Schutzschalter ausgelöst Hauptstromkreis - Objektrückgabe Bruttowiegung  vor / zurück</t>
  </si>
  <si>
    <t>Main power circuit protection switch triggered - container return horizontal movement after gross weighing</t>
  </si>
  <si>
    <t>Automaat Hoofdstroomkring uit - Weegrobot voor-achterw.grippers terugpl. vial bruto</t>
  </si>
  <si>
    <t xml:space="preserve">Schutzschalter ausgelöst Steuerstromkreis - Höhenverstellung Durchtransport </t>
  </si>
  <si>
    <t xml:space="preserve">Control power circuit protection switch triggered - transport system height adjustment </t>
  </si>
  <si>
    <t>Automaat Stuurkring uit - Motor hoogte instelling transport systeem</t>
  </si>
  <si>
    <t>Schutzschalter ausgelöst Steuerstromkreis - Höhenverstellung Stopfenstation</t>
  </si>
  <si>
    <t>Control power circuit protection switch triggered - stopper station height adjustment</t>
  </si>
  <si>
    <t>Automaat Stuurkring uit - Motor hoogte instelling stopper station</t>
  </si>
  <si>
    <t>Schutzschalter ausgelöst Hauptstromkreis - Voratsbehälter Stopfen</t>
  </si>
  <si>
    <t>Main power circuit protection switch triggered - stopper supply hopper</t>
  </si>
  <si>
    <t>Automaat Hoofdstroomkring uit - Triller stopper hopper</t>
  </si>
  <si>
    <t>Schutzschalter ausgelöst Steuerstromkreis - Zuführung Stopfen Vereinzelungsrolle 1</t>
  </si>
  <si>
    <t>Control power circuit protection switch triggered - stopper feed to separation roller 1</t>
  </si>
  <si>
    <t>Automaat Stuurkring uit - Motor 1 stopper scheider</t>
  </si>
  <si>
    <t>Schutzschalter ausgelöst Steuerstromkreis - Zuführung Stopfen Vereinzelungsrolle 2</t>
  </si>
  <si>
    <t>Control power circuit protection switch triggered - stopper feed to separation roller 2</t>
  </si>
  <si>
    <t>Automaat Stuurkring uit - Motor 2 stopper scheider</t>
  </si>
  <si>
    <t>Schutzschalter ausgelöst Hauptstromkreis - Sortierung Stopfen</t>
  </si>
  <si>
    <t>Main power circuit protection switch triggered - stopper sorter</t>
  </si>
  <si>
    <t>Automaat Hoofdstroomkring uit - Triller trilkuip stoppers</t>
  </si>
  <si>
    <t>Schutzschalter ausgelöst Steuerstromkreis - Höhenverstellung Sortierung Stopfen</t>
  </si>
  <si>
    <t>Control power circuit protection switch triggered - stopper sorter height adjustment</t>
  </si>
  <si>
    <t>Automaat Stuurkring uit - Motor hoogte instelling trilkuip stoppers</t>
  </si>
  <si>
    <t>54F2</t>
  </si>
  <si>
    <t>E209.7</t>
  </si>
  <si>
    <t>55Q1</t>
  </si>
  <si>
    <t>E210.0</t>
  </si>
  <si>
    <t>56Q1</t>
  </si>
  <si>
    <t>E210.1</t>
  </si>
  <si>
    <t>57Q1</t>
  </si>
  <si>
    <t>E210.2</t>
  </si>
  <si>
    <t>58Q1</t>
  </si>
  <si>
    <t>E210.3</t>
  </si>
  <si>
    <t>65Q1</t>
  </si>
  <si>
    <t>E210.4</t>
  </si>
  <si>
    <t>65Q2</t>
  </si>
  <si>
    <t>E210.5</t>
  </si>
  <si>
    <t>E210.6</t>
  </si>
  <si>
    <t>E210.7</t>
  </si>
  <si>
    <t>67Q1</t>
  </si>
  <si>
    <t>67Q2</t>
  </si>
  <si>
    <t>68F1</t>
  </si>
  <si>
    <t>E211.0</t>
  </si>
  <si>
    <t>69F1</t>
  </si>
  <si>
    <t>E211.1</t>
  </si>
  <si>
    <t>70F1</t>
  </si>
  <si>
    <t>E211.2</t>
  </si>
  <si>
    <t>71F1</t>
  </si>
  <si>
    <t>E211.3</t>
  </si>
  <si>
    <t>71F2</t>
  </si>
  <si>
    <t>E211.4</t>
  </si>
  <si>
    <t>72F1</t>
  </si>
  <si>
    <t>E211.5</t>
  </si>
  <si>
    <t>72F2</t>
  </si>
  <si>
    <t>E211.6</t>
  </si>
  <si>
    <t>Schutzschalter ausgelöst Hauptstromkreis - Vakuumpumpe Partikelmonitoring</t>
  </si>
  <si>
    <t>Main power circuit protection switch triggered - vacuum pump at particle monitoring</t>
  </si>
  <si>
    <t>Automaat Hoofdstroomkring uit - Vacuum pomp VHP bypass circuit PMS</t>
  </si>
  <si>
    <t>Automaat Hoofdstroomkring uit - Geforceerde koeling Vacuum pompen PMS AAS</t>
  </si>
  <si>
    <t>Schutzschalter ausgelöst Hauptstromkreis - Vakuumpumpe Luftkeimsammler</t>
  </si>
  <si>
    <t>Main power circuit protection switch triggered - vacuum pump at air sampler</t>
  </si>
  <si>
    <t>Automaat Hoofdstroomkring uit - Vacuum pomp VHP bypass circuit AAS</t>
  </si>
  <si>
    <t>78Q1</t>
  </si>
  <si>
    <t>E211.7</t>
  </si>
  <si>
    <t>78F1</t>
  </si>
  <si>
    <t>E212.0</t>
  </si>
  <si>
    <t>78Q2</t>
  </si>
  <si>
    <t>E212.1</t>
  </si>
  <si>
    <t>Schutzschalter ausgelöst Steuerstromkreis - Partikelmonitoring Stopfenstation</t>
  </si>
  <si>
    <t>Control power circuit protection switch triggered - particle monitoring at stopper station</t>
  </si>
  <si>
    <t>Automaat Stuurkring uit - PMS bij stopper station</t>
  </si>
  <si>
    <t>Schutzschalter ausgelöst Steuerstromkreis - Partikelmonitoring Einlaufdrehteller/Nadelbewegung</t>
  </si>
  <si>
    <t>Control power circuit protection switch triggered - particle monitoring at infeed rotary table/needle movement</t>
  </si>
  <si>
    <t>80F1</t>
  </si>
  <si>
    <t>E212.5</t>
  </si>
  <si>
    <t>80F2</t>
  </si>
  <si>
    <t>E212.6</t>
  </si>
  <si>
    <t>Schutzschalter ausgelöst Steuerstromkreis - Beleuchtung Schaltschrank</t>
  </si>
  <si>
    <t>Main power circuit protection switch triggered - Machine lighting</t>
  </si>
  <si>
    <t>Control power circuit protection switch triggered - Machine lighting</t>
  </si>
  <si>
    <t>typeLAlm_SpecVU1</t>
  </si>
  <si>
    <t>typeLAlm_SpecVU2</t>
  </si>
  <si>
    <t>21U1</t>
  </si>
  <si>
    <t>Störung Profinet Station 3 Busmodul S2MPH</t>
  </si>
  <si>
    <t>Fault: Profinet station 3 - bus module S2MPH</t>
  </si>
  <si>
    <t>Storing - Profinet station 3 - Bus module S2MPH</t>
  </si>
  <si>
    <t>22U1</t>
  </si>
  <si>
    <t>Storing - Profinet station 2 - Bus module S3MPH</t>
  </si>
  <si>
    <t>Fault: Profinet station 2 - bus module S3MPH</t>
  </si>
  <si>
    <t>Störung Profinet Station 2 Busmodul S3MPH</t>
  </si>
  <si>
    <t xml:space="preserve">Störung Profinet Station 4 Sicherheitsschaltgerät 5 </t>
  </si>
  <si>
    <t xml:space="preserve">Fault: Profinet station 4 - safety relay 5 </t>
  </si>
  <si>
    <t>Storing - Profinet station 4 - Veiligheidsrelais 5</t>
  </si>
  <si>
    <t>29U1</t>
  </si>
  <si>
    <t xml:space="preserve">Störung Profinet Station 5 Sicherheitsschaltgerät 8 </t>
  </si>
  <si>
    <t>Fault: Profinet station 5 - safety relay 8</t>
  </si>
  <si>
    <t>Storing - Profinet station 5 - Veiligheidsrelais 8</t>
  </si>
  <si>
    <t>113U1</t>
  </si>
  <si>
    <t xml:space="preserve">Störung Profinet Station 6 Vorratsbehälter Stopfen </t>
  </si>
  <si>
    <t xml:space="preserve">Fault: Profinet station 6 - stopper supply hopper </t>
  </si>
  <si>
    <t>Storing - Profinet station 6 - Triller stopper hopper</t>
  </si>
  <si>
    <t>70SY1</t>
  </si>
  <si>
    <t xml:space="preserve">Störung Profinet Station 7 Sortierung Stopfen </t>
  </si>
  <si>
    <t xml:space="preserve">Fault: Profinet station 7 - stopper sorter </t>
  </si>
  <si>
    <t>Storing - Profinet station 7 - Triller trilkuip stoppers</t>
  </si>
  <si>
    <t>72SY1</t>
  </si>
  <si>
    <t>41ZS2</t>
  </si>
  <si>
    <t>Störung Profinet Station 14 Tara Waage</t>
  </si>
  <si>
    <t>Fault: Profinet station 14, tare scales</t>
  </si>
  <si>
    <t>Storing - Profinet station 14 - IPC Tarra weging</t>
  </si>
  <si>
    <t>49W1</t>
  </si>
  <si>
    <t>66W1</t>
  </si>
  <si>
    <t>Störung Profinet Station 15 Brutto Waage</t>
  </si>
  <si>
    <t>Fault: Profinet station 15, gross scales</t>
  </si>
  <si>
    <t>Storing - Profinet station 15 - IPC Bruto weging</t>
  </si>
  <si>
    <t>Fault: Profibus station 16 - input/output module stopper inspection 1</t>
  </si>
  <si>
    <t>Storing Profibus Station 16 - Ingangen en uitgangen camera 1 stopperpositie</t>
  </si>
  <si>
    <t>Fault: Profibus station 17 - input/output module stopper inspection 2</t>
  </si>
  <si>
    <t>Storing Profibus Station 17 -  Ingangen en uitgangen camera 2 stopperpositie</t>
  </si>
  <si>
    <t>Fault: Profinet station 10 - crimp-cap supply bin</t>
  </si>
  <si>
    <t>Storing - Profinet Station 10 - Trillers voorraad bunker caps</t>
  </si>
  <si>
    <t>Storing - Profinet Station 11 - Triller hopper caps</t>
  </si>
  <si>
    <t>Storing - Profinet Station 12 - Triller trilkuip caps</t>
  </si>
  <si>
    <t>Fault: Profinet station 11 - crimp-cap supply hopper</t>
  </si>
  <si>
    <t>Fault: Profinet station 12 - crimp-cap sorter</t>
  </si>
  <si>
    <t>132SY1</t>
  </si>
  <si>
    <t>133SY1</t>
  </si>
  <si>
    <t>136SY1</t>
  </si>
  <si>
    <t>Störung Profinet Station 10 Vorratsbunker Bördelkappen</t>
  </si>
  <si>
    <t>Störung Profinet Station 11 Vorratsbehälter Bördelkappen</t>
  </si>
  <si>
    <t>Störung Profinet Station 12 Sortierung Bördelkappen</t>
  </si>
  <si>
    <t>23U1</t>
  </si>
  <si>
    <t>24U1</t>
  </si>
  <si>
    <t>Störung Profinet Station 17 Busmodul M1KK1</t>
  </si>
  <si>
    <t>Störung Profinet Station 18 Busmodul M1KK2</t>
  </si>
  <si>
    <t>Fault: Profinet station 17 - bus module M1KK1</t>
  </si>
  <si>
    <t>Fault: Profinet station 18 - bus module M1KK2</t>
  </si>
  <si>
    <t>Storing - Profinet station 17 - Bus module M1KK1</t>
  </si>
  <si>
    <t>Storing - Profinet station 18 - Bus module M1KK2</t>
  </si>
  <si>
    <t>25U1</t>
  </si>
  <si>
    <t>26U1</t>
  </si>
  <si>
    <t>Störung Profinet Station 19 Busmodul M1KK3</t>
  </si>
  <si>
    <t>Störung Profinet Station 20 Busmodul M1KK4</t>
  </si>
  <si>
    <t>Fault: Profinet station 19 - bus module M1KK3</t>
  </si>
  <si>
    <t>Fault: Profinet station 20 - bus module M1KK4</t>
  </si>
  <si>
    <t>Storing - Profinet station 19 - Bus module M1KK3</t>
  </si>
  <si>
    <t>Storing - Profinet station 20 - Bus module M1KK4</t>
  </si>
  <si>
    <t xml:space="preserve">Störung Profinet Station 21 Position Höhenverstellung Durchtransport </t>
  </si>
  <si>
    <t xml:space="preserve">Störung Profinet Station 22 Position Höhenverstellung Stopfenstation </t>
  </si>
  <si>
    <t>Störung Profinet Station 23 Position Höhenverstellung Sortierung Stopfenstation</t>
  </si>
  <si>
    <t xml:space="preserve">Fault: Profinet station 21 - transport system height adjustment </t>
  </si>
  <si>
    <t xml:space="preserve">Fault: Profinet station 22 - stopper station height adjustment </t>
  </si>
  <si>
    <t>Fault: Profinet station 23 - stopper sorter height adjustment</t>
  </si>
  <si>
    <t>Storing - Profinet station 21 - Motor hoogte instelling transport systeem</t>
  </si>
  <si>
    <t>Storing - Profinet station 22 - Motor hoogte instelling trilkuip stoppers</t>
  </si>
  <si>
    <t>Storing - Profinet station 23 - Motor hoogte instelling stopper station</t>
  </si>
  <si>
    <t>68ZS1</t>
  </si>
  <si>
    <t>69ZS1</t>
  </si>
  <si>
    <t>72ZS1</t>
  </si>
  <si>
    <t>Störung Profinet Station 25 Busmodul M1KK1</t>
  </si>
  <si>
    <t>Fault: Profinet station 25 - bus module M1KK1</t>
  </si>
  <si>
    <t>Storing - Profinet station 25 - Bus module M1KK1</t>
  </si>
  <si>
    <t>109U1</t>
  </si>
  <si>
    <t>Fault: Profinet station 26 - crimping tool height adjustment position</t>
  </si>
  <si>
    <t>Fault: Profinet station 27 - crimp-cap feed track height adjustment</t>
  </si>
  <si>
    <t>Fault: Profinet station 28 - stopper inspection height adjustment</t>
  </si>
  <si>
    <t>Storing - Profinet station 26 - Hoogteverstelling rolmes</t>
  </si>
  <si>
    <t>Storing - Profinet station 27 - Hoogteverstelling langsbaan caps</t>
  </si>
  <si>
    <t>Storing - Profinet station 28 - Hoogteverstelling camera 1 en 2 stopperpositie</t>
  </si>
  <si>
    <t>134M1</t>
  </si>
  <si>
    <t>128M1</t>
  </si>
  <si>
    <t>Störung Profinet Station 26 Position Höhenverstellung Bördelkopf</t>
  </si>
  <si>
    <t>Störung Profinet Station 27 Höhenverstellung Zuführbahn Bördelkappen</t>
  </si>
  <si>
    <t>Störung Profinet Station 28 Höhenverstellung Stopfenpositionskontrolle</t>
  </si>
  <si>
    <t>128Q1</t>
  </si>
  <si>
    <t>129Q1</t>
  </si>
  <si>
    <t>Störung Profibus Station 16 Ein-/Ausgabemodul Stopfenpositionskontrolle 1</t>
  </si>
  <si>
    <t>Störung Profibus Station 17 Ein-/Ausgabemodul Stopfenpositionskontrolle 2</t>
  </si>
  <si>
    <t>Störung Profinet Station 8 Nockenschaltwerk FFV</t>
  </si>
  <si>
    <t>Fault: Profinet station 8 - cam controller filler</t>
  </si>
  <si>
    <t>130ZS2</t>
  </si>
  <si>
    <t>Mehrere Zustimmungsschalter entnommen</t>
  </si>
  <si>
    <t>Several enabling switches removed</t>
  </si>
  <si>
    <t>Beide jogknoppen in gebruik</t>
  </si>
  <si>
    <t>Störung Sicherheitsschaltgerät 5</t>
  </si>
  <si>
    <t>Fault: safety relay 5</t>
  </si>
  <si>
    <t>Storing - Veiligheidsrelais 5</t>
  </si>
  <si>
    <t>Störung Sicherheitsschaltgerät 8</t>
  </si>
  <si>
    <t>Fault: safety relay 8</t>
  </si>
  <si>
    <t>Storing - Veiligheidsrelais 8</t>
  </si>
  <si>
    <t>NOT-HALT betätigt Einlauf Bedienseite</t>
  </si>
  <si>
    <t>Noodstop ingedrukt - Voorzijde vullijn - invoer</t>
  </si>
  <si>
    <t>NOT-HALT betätigt Auslauf Bedienseite</t>
  </si>
  <si>
    <t>NOT-HALT betätigt Auslauf Rückseite</t>
  </si>
  <si>
    <t>NOT-HALT betätigt extern</t>
  </si>
  <si>
    <t>External emergency stop button pressed</t>
  </si>
  <si>
    <t>Noodstop ingedrukt - Op andere machine(s) in noodstopzone</t>
  </si>
  <si>
    <t>32SO1</t>
  </si>
  <si>
    <t>Emergency stop button pressed at infeed rear</t>
  </si>
  <si>
    <t>Emergency stop button pressed at infeed front</t>
  </si>
  <si>
    <t>Noodstop ingedrukt - Achterzijde vullijn - invoer</t>
  </si>
  <si>
    <t>32SO2</t>
  </si>
  <si>
    <t>NOT-HALT betätigt Einlauf Rückseites</t>
  </si>
  <si>
    <t>Emergency stop button pressed at discharge front</t>
  </si>
  <si>
    <t>Emergency stop button pressed at discharg rear</t>
  </si>
  <si>
    <t>115SO1</t>
  </si>
  <si>
    <t>115SO2</t>
  </si>
  <si>
    <t>Verkleidung offen Tür 1 FFV</t>
  </si>
  <si>
    <t>Guard door 1 open FFV</t>
  </si>
  <si>
    <t>Deur 1 Vullijn open</t>
  </si>
  <si>
    <t>Verkleidung offen Tür 2 FFV</t>
  </si>
  <si>
    <t>Guard door 2 open FFV</t>
  </si>
  <si>
    <t>Deur 2 Vullijn open</t>
  </si>
  <si>
    <t>Verkleidung offen Tür 3 FFV</t>
  </si>
  <si>
    <t>Guard door 3 open FFV</t>
  </si>
  <si>
    <t>Deur 3 Vullijn open</t>
  </si>
  <si>
    <t>Verkleidung offen Tür 4 FFV</t>
  </si>
  <si>
    <t>Guard door 4 open FFV</t>
  </si>
  <si>
    <t>Deur 4 Vullijn open</t>
  </si>
  <si>
    <t>Verkleidung offen Tür 5 FFV</t>
  </si>
  <si>
    <t>Guard door 5 open FFV</t>
  </si>
  <si>
    <t>Deur 5 Vullijn open</t>
  </si>
  <si>
    <t>Verkleidung offen Tür 6 FFV</t>
  </si>
  <si>
    <t>Guard door 6 open FFV</t>
  </si>
  <si>
    <t>Deur 6 Vullijn open</t>
  </si>
  <si>
    <t>Verkleidung offen Tür 7 FFV</t>
  </si>
  <si>
    <t>Guard door 7 open FFV</t>
  </si>
  <si>
    <t>Deur 7 Vullijn open</t>
  </si>
  <si>
    <t>Verkleidung offen Tür 8 FFV</t>
  </si>
  <si>
    <t>Guard door 8 open FFV</t>
  </si>
  <si>
    <t>Deur 8 Vullijn open</t>
  </si>
  <si>
    <t>Verkleidung offen Tür 9 FFV</t>
  </si>
  <si>
    <t>Guard door 9 open FFV</t>
  </si>
  <si>
    <t>Deur 9 Vullijn open</t>
  </si>
  <si>
    <t>Verkleidung offen Tür 10 FFV</t>
  </si>
  <si>
    <t>Guard door 10 open FFV</t>
  </si>
  <si>
    <t>Deur 10 Vullijn open</t>
  </si>
  <si>
    <t>Verkleidung offen Tür 11 FFV</t>
  </si>
  <si>
    <t>Guard door 11 open FFV</t>
  </si>
  <si>
    <t>Deur 11 Vullijn open</t>
  </si>
  <si>
    <t>Verkleidung offen Tür 12 FFV</t>
  </si>
  <si>
    <t>Guard door 12 open FFV</t>
  </si>
  <si>
    <t>Deur 12 Vullijn open</t>
  </si>
  <si>
    <t>Verkleidung offen Tür 1 RVB</t>
  </si>
  <si>
    <t>Guard door 1 open RVB</t>
  </si>
  <si>
    <t>Verkleidung offen Tür 2 RVB</t>
  </si>
  <si>
    <t>Guard door 2 open RVB</t>
  </si>
  <si>
    <t>Verkleidung offen Tür 3 RVB</t>
  </si>
  <si>
    <t>Guard door 3 open RVB</t>
  </si>
  <si>
    <t>Verkleidung offen Tür 4 RVB</t>
  </si>
  <si>
    <t>Guard door 4 open RVB</t>
  </si>
  <si>
    <t>Verkleidung offen Tür 5 RVB</t>
  </si>
  <si>
    <t>Guard door 5 open RVB</t>
  </si>
  <si>
    <t>Verkleidung offen Tür 6 RVB</t>
  </si>
  <si>
    <t>Guard door 6 open RVB</t>
  </si>
  <si>
    <t>Deur 1 Capper open</t>
  </si>
  <si>
    <t>Deur 2 Capper open</t>
  </si>
  <si>
    <t>Deur 3 Capper open</t>
  </si>
  <si>
    <t>Deur 4 Capper open</t>
  </si>
  <si>
    <t>Deur 5 Capper open</t>
  </si>
  <si>
    <t>Deur 6 Capper open</t>
  </si>
  <si>
    <t>118S1</t>
  </si>
  <si>
    <t>118S2</t>
  </si>
  <si>
    <t>118S3</t>
  </si>
  <si>
    <t>118S4</t>
  </si>
  <si>
    <t>118S5</t>
  </si>
  <si>
    <t>118S6</t>
  </si>
  <si>
    <t>Verkleidung offen Schlechtausschub 1</t>
  </si>
  <si>
    <t>Verkleidung offen Schlechtausschub 2</t>
  </si>
  <si>
    <t>Guard open reject discharge 1</t>
  </si>
  <si>
    <t>Guard open reject discharge 2</t>
  </si>
  <si>
    <t>118S7</t>
  </si>
  <si>
    <t>118S8</t>
  </si>
  <si>
    <t>Lichtgitter unterbrochen Tür 6 FFV</t>
  </si>
  <si>
    <t>Light curtain actuated at door 6 FFV</t>
  </si>
  <si>
    <t>Lichtgitter unterbrochen Tür 1 FFV</t>
  </si>
  <si>
    <t>Lichtgitter unterbrochen Tür 2 FFV</t>
  </si>
  <si>
    <t>Lichtgitter unterbrochen Tür 3 FFV</t>
  </si>
  <si>
    <t>Light curtain actuated at door 1 FFV</t>
  </si>
  <si>
    <t>Lichtgitter unterbrochen Tür 4+5 FFV</t>
  </si>
  <si>
    <t>Light curtain actuated at door 2 FFV</t>
  </si>
  <si>
    <t>Light curtain actuated at door 3 FFV</t>
  </si>
  <si>
    <t>Light curtain actuated at door 4+5 FFV</t>
  </si>
  <si>
    <t xml:space="preserve">Lichtgordijn vullijn onderbroken - deur 1 </t>
  </si>
  <si>
    <t>Lichtgordijn vullijn onderbroken - deur 2</t>
  </si>
  <si>
    <t>Lichtgordijn vullijn onderbroken - deur 3</t>
  </si>
  <si>
    <t>Lichtgordijn vullijn onderbroken - deur 4+5</t>
  </si>
  <si>
    <t>Lichtgitter unterbrochen Tür 7 FFV</t>
  </si>
  <si>
    <t>Lichtgitter unterbrochen Port 7.3 FFV</t>
  </si>
  <si>
    <t>Lichtgitter unterbrochen Tür 8-11 FFV</t>
  </si>
  <si>
    <t>Lichtgitter unterbrochen Tür 12 FFV</t>
  </si>
  <si>
    <t>Light curtain actuated at door 7 FFV</t>
  </si>
  <si>
    <t>Light curtain actuated at port 7.3 FFV</t>
  </si>
  <si>
    <t>Light curtain actuated at door 8-11 FFV</t>
  </si>
  <si>
    <t>Light curtain actuated at door 12 FFV</t>
  </si>
  <si>
    <t xml:space="preserve">Lichtgordijn vullijn onderbroken - deur 6 </t>
  </si>
  <si>
    <t>Lichtgordijn vullijn onderbroken - deur 7</t>
  </si>
  <si>
    <t>Lichtgordijn vullijn onderbroken - deur 8-11</t>
  </si>
  <si>
    <t>Lichtgordijn vullijn onderbroken - deur 12</t>
  </si>
  <si>
    <t>Störung Laserscanner 1</t>
  </si>
  <si>
    <t>Fault: laser scanner 1</t>
  </si>
  <si>
    <t>Laserscanner 1 unterbrochen</t>
  </si>
  <si>
    <t>Laser scanner 1 actuated</t>
  </si>
  <si>
    <t>Laserscanner 1 Warnfeld betreten</t>
  </si>
  <si>
    <t>Protective field of laser scanner 1 entered</t>
  </si>
  <si>
    <t>Störung Laserscanner 2</t>
  </si>
  <si>
    <t>Fault: laser scanner 2</t>
  </si>
  <si>
    <t>Laserscanner 2 unterbrochen</t>
  </si>
  <si>
    <t>Laser scanner 2 actuated</t>
  </si>
  <si>
    <t>Laserscanner 2 Warnfeld betreten</t>
  </si>
  <si>
    <t>Protective field of laser scanner 2 entered</t>
  </si>
  <si>
    <t>Störung Laserscanner 3</t>
  </si>
  <si>
    <t>Fault: laser scanner 3</t>
  </si>
  <si>
    <t>Laserscanner 3 unterbrochen</t>
  </si>
  <si>
    <t>Laser scanner 3 actuated</t>
  </si>
  <si>
    <t>Laserscanner 3 Warnfeld betreten</t>
  </si>
  <si>
    <t>Protective field of laser scanner 3 entered</t>
  </si>
  <si>
    <t>Störung Laserscanner 4</t>
  </si>
  <si>
    <t>Fault: laser scanner 4</t>
  </si>
  <si>
    <t>Laserscanner 4 unterbrochen</t>
  </si>
  <si>
    <t>Laser scanner 4 actuated</t>
  </si>
  <si>
    <t>Laserscanner 4 Warnfeld betreten</t>
  </si>
  <si>
    <t>Protective field of laser scanner 4 entered</t>
  </si>
  <si>
    <t>Störung Laserscanner 5</t>
  </si>
  <si>
    <t>Fault: laser scanner 5</t>
  </si>
  <si>
    <t>Laserscanner 5 unterbrochen</t>
  </si>
  <si>
    <t>Laser scanner 5 actuated</t>
  </si>
  <si>
    <t>Laserscanner 5 Warnfeld betreten</t>
  </si>
  <si>
    <t>Protective field of laser scanner 5 entered</t>
  </si>
  <si>
    <t>Störung Laserscanner 6</t>
  </si>
  <si>
    <t>Fault: laser scanner 6</t>
  </si>
  <si>
    <t>Laserscanner 6 unterbrochen</t>
  </si>
  <si>
    <t>Laser scanner 6 actuated</t>
  </si>
  <si>
    <t>Laserscanner 6 Warnfeld betreten</t>
  </si>
  <si>
    <t>Protective field of laser scanner 6 entered</t>
  </si>
  <si>
    <t>E70.1</t>
  </si>
  <si>
    <t>36SO1</t>
  </si>
  <si>
    <t>36SO2</t>
  </si>
  <si>
    <t>36SO3</t>
  </si>
  <si>
    <t>36SO4</t>
  </si>
  <si>
    <t>36SO5</t>
  </si>
  <si>
    <t>36SO6</t>
  </si>
  <si>
    <t>E70.2</t>
  </si>
  <si>
    <t>E70.3</t>
  </si>
  <si>
    <t>E70.4</t>
  </si>
  <si>
    <t>E35.0</t>
  </si>
  <si>
    <t>E35.1</t>
  </si>
  <si>
    <t>E35.2</t>
  </si>
  <si>
    <t>E35.3</t>
  </si>
  <si>
    <t>E35.4</t>
  </si>
  <si>
    <t>E35.5</t>
  </si>
  <si>
    <t>E35.6</t>
  </si>
  <si>
    <t>E35.7</t>
  </si>
  <si>
    <t>VHP</t>
  </si>
  <si>
    <t>Protective guard not installed</t>
  </si>
  <si>
    <t>Eingriffschutz nicht eingebaut</t>
  </si>
  <si>
    <t>118S9</t>
  </si>
  <si>
    <t>Mousehole at discharge not removed for production</t>
  </si>
  <si>
    <t>Störung Kommunikation Jetter</t>
  </si>
  <si>
    <t>Fault: communication with Jetter</t>
  </si>
  <si>
    <t>Storing Communicatie Jetter</t>
  </si>
  <si>
    <t>Störung aktive Baugruppe</t>
  </si>
  <si>
    <t>Fault: active module</t>
  </si>
  <si>
    <t>Storing Jetter</t>
  </si>
  <si>
    <t>Störung Hauptantrieb</t>
  </si>
  <si>
    <t>Fault: main drive</t>
  </si>
  <si>
    <t>Storing - Motor hoofdaandrijving</t>
  </si>
  <si>
    <t>Störung Drehbewegung Entnahme Tarawiegung</t>
  </si>
  <si>
    <t>Fault: rotation movement of removal gripper for tare weighing</t>
  </si>
  <si>
    <t>Storing - Tarra weegrobot: draaibeweging gripper bij nemen vial vóór weging</t>
  </si>
  <si>
    <t>Drehbewegung Entnahme Tarawiegung im Kollisionsbereich des Durchtransports</t>
  </si>
  <si>
    <t>Removal gripper for tare weighing in collision area with transport system</t>
  </si>
  <si>
    <t>Storing - Tarra weegrobot: Botsingsgevaar met transportband bij gripperbeweging vóór weging</t>
  </si>
  <si>
    <t>Störung Zange vor / zurück Entnahme Tarawiegung</t>
  </si>
  <si>
    <t>Fault: horizontal movement of removal gripper for tare weighing</t>
  </si>
  <si>
    <t xml:space="preserve">Storing - Tarra weegrobot: gripper beweging "voor-achterwaarts" vóór weging </t>
  </si>
  <si>
    <t>Störung Drehbewegung Rückgabe Tarawiegung</t>
  </si>
  <si>
    <t>Fault: rotation movement of return gripper after tare weighing</t>
  </si>
  <si>
    <t>Storing - Tarra weegrobot: draaibeweging gripper bij terugplaatsen vial na weging</t>
  </si>
  <si>
    <t>Drehbewegung Rückgabe Tarawiegung im Kollisionsbereich des Durchtransports</t>
  </si>
  <si>
    <t>Return gripper after tare weighing in collision area with transport system</t>
  </si>
  <si>
    <t>Storing - Tarra weegrobot: botsingsgevaar met transportband bij gripperbeweging na weging</t>
  </si>
  <si>
    <t>Störung Zange vor / zurück Rückgabe Tarawiegung</t>
  </si>
  <si>
    <t>Fault: horizontal movement of return gripper after tare weighing</t>
  </si>
  <si>
    <t xml:space="preserve">Storing - Tarra weegrobot: gripper beweging "voor-achterwaarts" na weging </t>
  </si>
  <si>
    <t>Störung Nadelhub</t>
  </si>
  <si>
    <t>Fault: needle lift</t>
  </si>
  <si>
    <t xml:space="preserve">Storing - Motor op-neer beweging vulnaalden </t>
  </si>
  <si>
    <t>Störung Pumpenhub</t>
  </si>
  <si>
    <t>Fault: pump stroke</t>
  </si>
  <si>
    <t>Storing - Motor op-beer beweging pompslag</t>
  </si>
  <si>
    <t>Störung Pumpenumsteuerung</t>
  </si>
  <si>
    <t>Fault: pump rotation</t>
  </si>
  <si>
    <t>Storing - Motor rotatie beweging aanzuigen/persen</t>
  </si>
  <si>
    <t>Störung Drehbewegung Entnahme Bruttowiegung</t>
  </si>
  <si>
    <t>Fault: rotation movement of removal gripper for gross weighing</t>
  </si>
  <si>
    <t>Storing - Bruto weegrobot: draaibeweging gripper bij nemen vial vóór weging</t>
  </si>
  <si>
    <t>Drehbewegung Entnahme Bruttowiegung im Kollisionsbereich des Durchtransports</t>
  </si>
  <si>
    <t>Removal gripper for gross weighing in collision area with transport system</t>
  </si>
  <si>
    <t>Storing - Bruto weegrobot: botsingsgevaar met transportband bij gripperbeweging vóór weging</t>
  </si>
  <si>
    <t>Störung Zange vor / zurück Entnahme Bruttowiegung</t>
  </si>
  <si>
    <t>Fault: horizontal movement of removal gripper for gross weighing</t>
  </si>
  <si>
    <t xml:space="preserve">Storing - Bruto weegrobot: gripper beweging "voor-achterwaarts" vóór weging </t>
  </si>
  <si>
    <t>Störung Drehbewegung Rückgabe Bruttowiegung</t>
  </si>
  <si>
    <t>Fault: rotation movement of return gripper after gross weighing</t>
  </si>
  <si>
    <t>Storing - Bruto weegrobot: draaibeweging gripper bij terugplaatsen vial na weging</t>
  </si>
  <si>
    <t>Drehbewegung Rückgabe Bruttowiegung im Kollisionsbereich des Durchtransports</t>
  </si>
  <si>
    <t>Return gripper after gross weighing in collision area with transport system</t>
  </si>
  <si>
    <t>Storing - Bruto weegrobot: botsingsgevaar met transportband bij gripperbeweging na weging</t>
  </si>
  <si>
    <t>Störung Zange vor / zurück Rückgabe Bruttowiegung</t>
  </si>
  <si>
    <t>Fault: horizontal movement of return gripper after gross weighing</t>
  </si>
  <si>
    <t xml:space="preserve">Storing - Bruto weegrobot: gripper beweging "voor-achterwaarts" na weging </t>
  </si>
  <si>
    <t>14U1</t>
  </si>
  <si>
    <t>41SY1</t>
  </si>
  <si>
    <t>48SY1</t>
  </si>
  <si>
    <t>48SY2</t>
  </si>
  <si>
    <t>50SY1</t>
  </si>
  <si>
    <t>50SY2</t>
  </si>
  <si>
    <t>55SY1</t>
  </si>
  <si>
    <t>57SY1</t>
  </si>
  <si>
    <t>58SY1</t>
  </si>
  <si>
    <t>65SY1</t>
  </si>
  <si>
    <t>65SY2</t>
  </si>
  <si>
    <t>67SY1</t>
  </si>
  <si>
    <t>67SY2</t>
  </si>
  <si>
    <t>Störung Achsverbund Maschinenablauf</t>
  </si>
  <si>
    <t>Fault: machine sequence axis group</t>
  </si>
  <si>
    <t>Störung Achsverbund Dosierstation Nadelhub</t>
  </si>
  <si>
    <t>Fault: dosing station axis group, needle lift</t>
  </si>
  <si>
    <t>Störung Achsverbund Dosierstation Drehkolbenpumpen</t>
  </si>
  <si>
    <t>Fault: dosing station axis group, rotary piston pumps</t>
  </si>
  <si>
    <t>RVB guard door 1 unlatched</t>
  </si>
  <si>
    <t>Deur 1 capper niet vergrendeld</t>
  </si>
  <si>
    <t>RVB guard door 2 unlatched</t>
  </si>
  <si>
    <t>Deur 2 capper niet vergrendeld</t>
  </si>
  <si>
    <t>RVB guard door 3 unlatched</t>
  </si>
  <si>
    <t>Deur 3 capper niet vergrendeld</t>
  </si>
  <si>
    <t>RVB guard door 4 unlatched</t>
  </si>
  <si>
    <t>Deur 4 capper niet vergrendeld</t>
  </si>
  <si>
    <t>RVB guard door 5 unlatched</t>
  </si>
  <si>
    <t>Deur 5 capper niet vergrendeld</t>
  </si>
  <si>
    <t>RVB guard door 6 unlatched</t>
  </si>
  <si>
    <t>Deur 6 capper niet vergrendeld</t>
  </si>
  <si>
    <t>116ZS1</t>
  </si>
  <si>
    <t>E120.0</t>
  </si>
  <si>
    <t>116ZS2</t>
  </si>
  <si>
    <t>E120.1</t>
  </si>
  <si>
    <t>116ZS3</t>
  </si>
  <si>
    <t>E120.2</t>
  </si>
  <si>
    <t>116ZS4</t>
  </si>
  <si>
    <t>E120.3</t>
  </si>
  <si>
    <t>116ZS5</t>
  </si>
  <si>
    <t>E120.4</t>
  </si>
  <si>
    <t>116ZS6</t>
  </si>
  <si>
    <t>E120.5</t>
  </si>
  <si>
    <t>Verkleidung nicht verriegelt Tür 1 RVB</t>
  </si>
  <si>
    <t>Verkleidung nicht verriegelt Tür 2 RVB</t>
  </si>
  <si>
    <t>Verkleidung nicht verriegelt Tür 3 RVB</t>
  </si>
  <si>
    <t>Verkleidung nicht verriegelt Tür 4 RVB</t>
  </si>
  <si>
    <t>Verkleidung nicht verriegelt Tür 5 RVB</t>
  </si>
  <si>
    <t>Verkleidung nicht verriegelt Tür 6 RVB</t>
  </si>
  <si>
    <t>Storing hoofdaandrijving</t>
  </si>
  <si>
    <t>Fault: container rotation</t>
  </si>
  <si>
    <t>Storing vial rotatie</t>
  </si>
  <si>
    <t>Fault: target lift at stopper inspection</t>
  </si>
  <si>
    <t>Storing verticale bew. camera 1 &amp; 2 voor vial verificatie aan stopperpositie</t>
  </si>
  <si>
    <t>Fault: target swivel movement at stopper inspection</t>
  </si>
  <si>
    <t>Storing draaibew. camera 1 &amp; 2 voor vial verificatie aan stopperpositie</t>
  </si>
  <si>
    <t>Störung Prüfteilhub Stopfenpositionskontrolle</t>
  </si>
  <si>
    <t>Störung Prüfteil schwenken Stopfenpositionskontrolle</t>
  </si>
  <si>
    <t>Störung Objektrotation</t>
  </si>
  <si>
    <t>131SY1</t>
  </si>
  <si>
    <t>130SY1</t>
  </si>
  <si>
    <t>127SY1</t>
  </si>
  <si>
    <t>127SY2</t>
  </si>
  <si>
    <t>Eingabefehler: Grundposition Nadel &gt; Einrichtmaß Nadel</t>
  </si>
  <si>
    <t xml:space="preserve">Wrong input: basic needle position &gt; needle setting dimension </t>
  </si>
  <si>
    <t>Fout parameter ingave: basispositie naald &gt; instelpositie naald</t>
  </si>
  <si>
    <t>Status</t>
  </si>
  <si>
    <t>Eingabefehler: Nadel Dosieren Ende &gt; Nadel unten (mm)</t>
  </si>
  <si>
    <t>Wrong input: needle at end of dosing &gt; needle down (mm)</t>
  </si>
  <si>
    <t>Fout parameter ingave: einde naald dosering &gt; naald naar beneden sturen</t>
  </si>
  <si>
    <t>Eingabefehler: Grundposition Nadel &gt;= maximaler Weg Nadel</t>
  </si>
  <si>
    <t>Wrong input: basic needle position &gt;= max. needle travel</t>
  </si>
  <si>
    <t>Fout parameter ingave: basispositie naald &gt; = maximale naaldafstand</t>
  </si>
  <si>
    <t>Eingabefehler: Nadel unten (mm) &gt;= maximaler Weg Nadel</t>
  </si>
  <si>
    <t>Wrong input: needle down (mm) &gt;= max. needle travel</t>
  </si>
  <si>
    <t>Fout parameter ingave: naald naar beneden sturen (mm) &gt; = maximale naaldafstand</t>
  </si>
  <si>
    <t>Eingabefehler: Start Nadel ab &gt;= Nadel unten</t>
  </si>
  <si>
    <t>Wrong input: start needle down &gt;= needle down</t>
  </si>
  <si>
    <t>Fout parameter ingave: start naald benedenpositie &gt; = naald naar beneden sturen</t>
  </si>
  <si>
    <t>Eingabefehler: Nadel unten &gt;= Start Nadel auf</t>
  </si>
  <si>
    <t>Wrong input: needle down &gt;= start needle up</t>
  </si>
  <si>
    <t>Fout parameter ingave: naald naar beneden sturen &gt; = start naald boven sturing</t>
  </si>
  <si>
    <t>Eingabefehler: Start Nadel auf &gt;= Nadel Dosieren Ende</t>
  </si>
  <si>
    <t>Wrong input: start needle up &gt;= needle at end of dosing</t>
  </si>
  <si>
    <t>Fout parameter ingave: start naald boven sturing &gt; = naald einde doseringpositie</t>
  </si>
  <si>
    <t>Eingabefehler: Nadel unten &gt; Start Nadel Grundposition</t>
  </si>
  <si>
    <t>Wrong input: needle down &gt; start needle to basic position</t>
  </si>
  <si>
    <t>Fout parameter ingave: naald naar beneden sturing &gt; start naald basispositie</t>
  </si>
  <si>
    <t>Eingabefehler: Nadel Dosieren Ende &gt; Start Nadel Grundposition</t>
  </si>
  <si>
    <t>Wrong input: needle at end of dosing &gt; start needle to basic position</t>
  </si>
  <si>
    <t>Fout parameter ingave: sturing einde naald dosering &gt; start naald basispositie</t>
  </si>
  <si>
    <t>Eingabefehler: Start Nadel Grundposition &gt;= Nadel Grundposition erreicht</t>
  </si>
  <si>
    <t>Wrong input: start needle to basic position &gt;= basic needle position reached</t>
  </si>
  <si>
    <t>Fout parameter ingave: start basispositie naald &gt; = naald basispositie bereikt</t>
  </si>
  <si>
    <t>Eingabefehler: Dosierhub zu groß in Produktion</t>
  </si>
  <si>
    <t>Wrong input: dosing stroke too large during production</t>
  </si>
  <si>
    <t>Fout parameter ingave: instelling pompslag te groot in produktie</t>
  </si>
  <si>
    <t>Eingabefehler: Dosierhub zu groß im langen Umpumpen</t>
  </si>
  <si>
    <t>Wrong input: dosing stroke too large during long product circulation</t>
  </si>
  <si>
    <t>Fout parameter ingave: Instelling pompslag te groot voor lang ompompen</t>
  </si>
  <si>
    <t>Eingabefehler: Start Pumpe Dosieren &gt;= Startrampe Pumpe Dosieren</t>
  </si>
  <si>
    <t>Wrong input: start pump dosing &gt;= pump dosing start ramp</t>
  </si>
  <si>
    <t>Fout parameter ingave: start pomp instelling &gt; = opstartcurve pomp instelling</t>
  </si>
  <si>
    <t>Eingabefehler: Startrampe Pumpe Dosieren &gt; Stopprampe Pumpe Dosieren</t>
  </si>
  <si>
    <t>Wrong input: pump dosing start ramp &gt; stop ramp</t>
  </si>
  <si>
    <t>Fout parameter ingave: opstartcurve pomp instelling &gt; stopcurve pomp instelling</t>
  </si>
  <si>
    <t>Eingabefehler: Stopprampe Pumpe Dosieren &gt;= Ende Pumpe Dosieren</t>
  </si>
  <si>
    <t>Wrong input: pump dosing stop ramp &gt;= end pump dosing</t>
  </si>
  <si>
    <t>Fout parameter ingave: stopcurve &gt; = einde pomp instelling</t>
  </si>
  <si>
    <t>Eingabefehler: Ende Pumpe Dosieren &gt;= Ende Pumpe Rücksaugen</t>
  </si>
  <si>
    <t>Wrong input: end pump dosing &gt;= end drip retraction</t>
  </si>
  <si>
    <t>Fout parameter ingave: einde pomp instelling &gt;= einde pomp retourslag</t>
  </si>
  <si>
    <t>Eingabefehler: Ende Pumpe Rücksaugen +25° &gt; Start Pumpe Ansaugen</t>
  </si>
  <si>
    <t>Wrong input: end drip retraction +25° &gt; start pump suction</t>
  </si>
  <si>
    <t>Fout parameter ingave: einde pompretourslag +25° &gt; start pomp aanzuiging</t>
  </si>
  <si>
    <t>Eingabefehler: Ende Pumpe Dosieren +25° &gt; Start Pumpe Ansaugen</t>
  </si>
  <si>
    <t>Wrong input: end pump dosing +25° &gt; start pump suction</t>
  </si>
  <si>
    <t>Fout parameter ingave: einde pompdosering +25° &gt; start pomp aanzuiging</t>
  </si>
  <si>
    <t>Eingabefehler: Start Pumpe Ansaugen &gt;= Ende Pumpe Ansaugen</t>
  </si>
  <si>
    <t>Wrong input: start pump suction &gt;= end pump suction</t>
  </si>
  <si>
    <t>Fout parameter ingave: start pomp aanzuiging &gt;= einde pomp aanzuiging</t>
  </si>
  <si>
    <t>Eingabefehler: Ende Pumpe Ansaugen +25° &gt; Start Pumpe Dosieren</t>
  </si>
  <si>
    <t>Wrong input: end pump suction +25° &gt; start pump dosing</t>
  </si>
  <si>
    <t>Fout parameter ingave: einde pomp aanzuiging +25° &gt; start pomp instelling</t>
  </si>
  <si>
    <t>Leistungsreduzierung durch Parameter</t>
  </si>
  <si>
    <t>Output reduction caused by parameters</t>
  </si>
  <si>
    <t>Snelheidsbegrenzing door parameter</t>
  </si>
  <si>
    <t>Min.Hauptantriebsleistung unterschritten durch Leistungsbegrenzung</t>
  </si>
  <si>
    <t>Output reduced by parameters below min. main drive speed</t>
  </si>
  <si>
    <t xml:space="preserve">Snelheidsbegrenzing onder minimum snelheid hoofdaandrijving  </t>
  </si>
  <si>
    <t>Druck Steuerluft zu niedrig</t>
  </si>
  <si>
    <t>Control air pressure too low</t>
  </si>
  <si>
    <t>39Y2</t>
  </si>
  <si>
    <t>E64.0</t>
  </si>
  <si>
    <t>E64.2</t>
  </si>
  <si>
    <t>E64.4</t>
  </si>
  <si>
    <t>E64.5</t>
  </si>
  <si>
    <t>E64.6</t>
  </si>
  <si>
    <t>E64.7</t>
  </si>
  <si>
    <t>Druck Druckluft zu niedrig nach Entlüftungsventil Einlaufsperren</t>
  </si>
  <si>
    <t>Compressed air pressure too low beyond vent valve infeed gates</t>
  </si>
  <si>
    <t>Perslucht druk te laag na ontluchtingsventiel invoersper</t>
  </si>
  <si>
    <t>39PS1</t>
  </si>
  <si>
    <t>Vakuum zu niedrig Einlauf</t>
  </si>
  <si>
    <t>Insufficient vacuum at infeed</t>
  </si>
  <si>
    <t>Vacuum invoer sterwielen vullijn te laag</t>
  </si>
  <si>
    <t>Überwachung Analogwert Vakuumerfassung Einlauf</t>
  </si>
  <si>
    <t>Monitoring error: analog value of vacuum sensor at infeed</t>
  </si>
  <si>
    <t>Vakuum zu niedrig Stopfenstation</t>
  </si>
  <si>
    <t>Insufficient vacuum at stopper station</t>
  </si>
  <si>
    <t>Vacuum stopper station te laag</t>
  </si>
  <si>
    <t>Überwachung Analogwert Vakuumerfassung Stopfenstation</t>
  </si>
  <si>
    <t>Monitoring error: analog value of vacuum sensor at stopper station</t>
  </si>
  <si>
    <t>Vakuum zu niedrig Auslauf</t>
  </si>
  <si>
    <t>Insufficient vacuum at discharge</t>
  </si>
  <si>
    <t>Vacuum uitvoer sterwielen vullijn te laag</t>
  </si>
  <si>
    <t>Überwachung Analogwert Vakuumerfassung Auslauf</t>
  </si>
  <si>
    <t>Monitoring error: analog value of vacuum sensor at discharge</t>
  </si>
  <si>
    <t>Störung Datenübertragung Nockenschaltwerk</t>
  </si>
  <si>
    <t>Fault: transfer of cam controller data</t>
  </si>
  <si>
    <t>Motor hoofd aandrijving - Storing dataoverdracht nokkenschakelaar hoofdas</t>
  </si>
  <si>
    <t>Laufüberwachung Nockenschaltwerk</t>
  </si>
  <si>
    <t>Cam controller operation monitoring</t>
  </si>
  <si>
    <t>Motor hoofd aandrijving - Storing nokkenschakelaar hoofdas</t>
  </si>
  <si>
    <t>40PT1</t>
  </si>
  <si>
    <t>PEW768</t>
  </si>
  <si>
    <t>40PT2</t>
  </si>
  <si>
    <t>PEW928</t>
  </si>
  <si>
    <t>40PT3</t>
  </si>
  <si>
    <t>PEW930</t>
  </si>
  <si>
    <t>41ZS1</t>
  </si>
  <si>
    <t>Überlast Überleitung schwenken</t>
  </si>
  <si>
    <t>Overload: swiveling transfer plate</t>
  </si>
  <si>
    <t>Motor beweging transfer plaat tunnel - Overbelasting</t>
  </si>
  <si>
    <t>Überwachung Überleitung schwenken</t>
  </si>
  <si>
    <t>Monitoring error: swiveling transfer plate</t>
  </si>
  <si>
    <t>Motor beweging overgangsplaat tunnel - Geen beweging gedetecteerd</t>
  </si>
  <si>
    <t>Überleitung nicht auf Position</t>
  </si>
  <si>
    <t>Transfer plate not in position</t>
  </si>
  <si>
    <t>Motor beweging overgangsplaat tunnel - Niet binnen positie tolerantie</t>
  </si>
  <si>
    <t>Überwachung Objektstau Einlaufdrehteller</t>
  </si>
  <si>
    <t>Monitoring error: container build-up on infeed rotary table</t>
  </si>
  <si>
    <t>Tunnel</t>
  </si>
  <si>
    <t>Störung Einlaufdrehteller innen</t>
  </si>
  <si>
    <t>Fault: infeed rotary table inner disc</t>
  </si>
  <si>
    <t>Storing - Motor binnenste ring invoer draaitafel</t>
  </si>
  <si>
    <t>Main drive / turn table</t>
  </si>
  <si>
    <t>Störung Einlaufdrehteller außen</t>
  </si>
  <si>
    <t>Fault: infeed rotary table outer ring</t>
  </si>
  <si>
    <t>Storing - Motor buitenste ring invoer draaitafel</t>
  </si>
  <si>
    <t>E34.7</t>
  </si>
  <si>
    <t>42Y1</t>
  </si>
  <si>
    <t>42M1</t>
  </si>
  <si>
    <t>PEW770</t>
  </si>
  <si>
    <t>PEW772</t>
  </si>
  <si>
    <t>43M1</t>
  </si>
  <si>
    <t>43M2</t>
  </si>
  <si>
    <t>Störung Umlenkdrehteller Einlauf 1+2</t>
  </si>
  <si>
    <t>Fault: infeed rotary transfer table 1+2</t>
  </si>
  <si>
    <t>Storing - Motor invoer draaitafels 1+2 vullijn</t>
  </si>
  <si>
    <t>44M1</t>
  </si>
  <si>
    <t>E65.6</t>
  </si>
  <si>
    <t>Objektmangel Einlaufbahn 1</t>
  </si>
  <si>
    <t>Too few containers in infeed track 1</t>
  </si>
  <si>
    <t>Te weinig vials aan invoerbaan 1</t>
  </si>
  <si>
    <t>Liegendes Objekt Einlauf 1</t>
  </si>
  <si>
    <t>Fallen container, infeed 1</t>
  </si>
  <si>
    <t>Gevallen vial gedetecteerd aan invoerbaan 1</t>
  </si>
  <si>
    <t>Objektmangel Einlaufbahn 2</t>
  </si>
  <si>
    <t>Too few containers in infeed track 2</t>
  </si>
  <si>
    <t>Te weinig vials aan invoerbaan 2</t>
  </si>
  <si>
    <t>Liegendes Objekt Einlauf 2</t>
  </si>
  <si>
    <t>Fallen container, infeed 2</t>
  </si>
  <si>
    <t>Gevallen vial gedetecteerd aan invoerbaan 2</t>
  </si>
  <si>
    <t>Überlast Gegenführung Einlaufbahn 1</t>
  </si>
  <si>
    <t>Overload: infeed track 1 counterguide</t>
  </si>
  <si>
    <t xml:space="preserve">Overbelasting tegengeleiding invoerbaan 1 </t>
  </si>
  <si>
    <t>Überlast Gegenführung Einlaufbahn 2</t>
  </si>
  <si>
    <t>Overload: infeed track 2 counterguide</t>
  </si>
  <si>
    <t xml:space="preserve">Overbelasting tegengeleiding invoerbaan 2 </t>
  </si>
  <si>
    <t>Überwachung Objekt einlesen</t>
  </si>
  <si>
    <t>Monitoring error: container registration</t>
  </si>
  <si>
    <t>E65.2</t>
  </si>
  <si>
    <t>45WS1</t>
  </si>
  <si>
    <t>45WS2</t>
  </si>
  <si>
    <t>E65.7</t>
  </si>
  <si>
    <t>E65.5</t>
  </si>
  <si>
    <t>45QS5</t>
  </si>
  <si>
    <t>45Y3</t>
  </si>
  <si>
    <t>45M1</t>
  </si>
  <si>
    <t>E36.0</t>
  </si>
  <si>
    <t>PEW774</t>
  </si>
  <si>
    <t>45Y4</t>
  </si>
  <si>
    <t>45M2</t>
  </si>
  <si>
    <t>PEW776</t>
  </si>
  <si>
    <t>Störung Ionisator</t>
  </si>
  <si>
    <t>Fault: static elimination</t>
  </si>
  <si>
    <t>Storing - Ionisator</t>
  </si>
  <si>
    <t>47T1</t>
  </si>
  <si>
    <t>E80.0</t>
  </si>
  <si>
    <t>Drehbewegung Entnahme Tarawiegung ausgerastet</t>
  </si>
  <si>
    <t>Rotation movement disengaged, removal gripper for tare weighing</t>
  </si>
  <si>
    <t>Overbelasting - Tarra weegrobot - draaibeweging gripper bij nemen vial vóór weging</t>
  </si>
  <si>
    <t>main drive</t>
  </si>
  <si>
    <t>Überwachung Zange auf / zu Entnahme Tarawiegung</t>
  </si>
  <si>
    <t>Monitoring error: removal gripper for tare weighing open/closed</t>
  </si>
  <si>
    <t>Time-out - Tarra weegrobot - nemen vial vóór weging - positie niet tijdig bereikt</t>
  </si>
  <si>
    <t>Störung IPC Tara Waage</t>
  </si>
  <si>
    <t>Fault: IPC tare scale</t>
  </si>
  <si>
    <t>Storing - IPC Tarra weging</t>
  </si>
  <si>
    <t>Tara außerhalb Toleranz</t>
  </si>
  <si>
    <t>Tare weight outside tolerance range</t>
  </si>
  <si>
    <t>Tarra buiten tolerantie</t>
  </si>
  <si>
    <t>Summenfehler Kein stabiler Gewichtswert von Tarawaage empfangen</t>
  </si>
  <si>
    <t>Consecutive fault: no stable weight received from tare scales</t>
  </si>
  <si>
    <t>Geen stabiel gewicht van Tarra balans ontvangen - Herhalingsfout</t>
  </si>
  <si>
    <t>Waagenfunktion aktiv</t>
  </si>
  <si>
    <t>Scales function active</t>
  </si>
  <si>
    <t>Verificatie vulgewicht balansen</t>
  </si>
  <si>
    <t>Waage prüfen Tara Waage aktiv</t>
  </si>
  <si>
    <t>Tare weighing: internal verification</t>
  </si>
  <si>
    <t>IPC Tarra weging - Interne verificatie actief</t>
  </si>
  <si>
    <t>Waage prüfen Tara Waage erfolgreich</t>
  </si>
  <si>
    <t>Tare weighing: internal verification successfull</t>
  </si>
  <si>
    <t>IPC Tarra weging - Interne verificatie geslaagd</t>
  </si>
  <si>
    <t>Waage prüfen Tara Waage nicht erfolgreich</t>
  </si>
  <si>
    <t>Tare weighing: internal verification not successfull</t>
  </si>
  <si>
    <t>IPC Tarra weging - Interne verificatie niet geslaagd</t>
  </si>
  <si>
    <t>Drehbewegung Rückgabe Tarawiegung ausgerastet</t>
  </si>
  <si>
    <t>Rotation movement disengaged, return gripper after tare weighing</t>
  </si>
  <si>
    <t>Overbelasting - Tarra weegrobot - draaibeweging gripper bij nemen vial na weging</t>
  </si>
  <si>
    <t>Überwachung Zange auf / zu Rückgabe Tarawiegung</t>
  </si>
  <si>
    <t>Monitoring error: return gripper after tare weighing open/closed</t>
  </si>
  <si>
    <t>Time-out - Tarra weegrobot - terugpl. vial na weging -  positie niet tijdig bereikt</t>
  </si>
  <si>
    <t>Störung IPC-Ablauf Tarawiegung</t>
  </si>
  <si>
    <t>Fault: IPC tare‐weighing process</t>
  </si>
  <si>
    <t>Storing - IPC Tarra weging - weegproces</t>
  </si>
  <si>
    <t>48WS1</t>
  </si>
  <si>
    <t>50WS1</t>
  </si>
  <si>
    <t>50XS1/50XS2</t>
  </si>
  <si>
    <t>Tarra weging: interne verificatie niet succesvol [Hertart interne verificatie][Annuleer interne verificatie]</t>
  </si>
  <si>
    <t>E66.7</t>
  </si>
  <si>
    <t>48XS1 / 48XS2</t>
  </si>
  <si>
    <t>E67.0 / E67.1</t>
  </si>
  <si>
    <t>E67.3</t>
  </si>
  <si>
    <t>E67.4 / E67.5</t>
  </si>
  <si>
    <t>Waage Dosierbehälter nullstellen</t>
  </si>
  <si>
    <t>Set dosing vessel scales to zero</t>
  </si>
  <si>
    <t>Level control</t>
  </si>
  <si>
    <t>Min-Niveau Dosierbehälter unterschritten</t>
  </si>
  <si>
    <t>Level in dosing vessel below minimum</t>
  </si>
  <si>
    <t>Max-Niveau Dosierbehälter überschritten</t>
  </si>
  <si>
    <t>Level in dosing vessel above maximum</t>
  </si>
  <si>
    <t>Überwachung Waage Dosierbehälter</t>
  </si>
  <si>
    <t>Monitoring error: dosing vessel scales</t>
  </si>
  <si>
    <t>Störung Rührer Dosierbehälter</t>
  </si>
  <si>
    <t>Fault: dosing vessel stirrer</t>
  </si>
  <si>
    <t>Main drive / stirrer</t>
  </si>
  <si>
    <t>Überwachung Drehzahl Rührer Dosierbehälter</t>
  </si>
  <si>
    <t>Monitoring error: dosing vessel stirrer speed</t>
  </si>
  <si>
    <t>Gelieve de weegschaal van het buffervat te tareren. Bevestig met OK [OK] [CANCEL]</t>
  </si>
  <si>
    <t>53E1</t>
  </si>
  <si>
    <t>52M1</t>
  </si>
  <si>
    <t>E92.0</t>
  </si>
  <si>
    <t>Störung Verstellung Ventil Produktzirkulation</t>
  </si>
  <si>
    <t>Fault: adjustment of product circulation valve</t>
  </si>
  <si>
    <t>Drieweg klep product circulatie - Storing verstelling</t>
  </si>
  <si>
    <t>Überwachung Zirkulationsposition Umpumpventil</t>
  </si>
  <si>
    <t>Monitoring error: circulation position of circulation valve</t>
  </si>
  <si>
    <t>Drieweg klep product circulatie - Niet in circulatie stand</t>
  </si>
  <si>
    <t>Überwachung Produktionsposition Umpumpventil</t>
  </si>
  <si>
    <t>Monitoring error: production position of circulation valve</t>
  </si>
  <si>
    <t>Drieweg klep product circulatie - Niet in product stand</t>
  </si>
  <si>
    <t>Umpumpen aktiv</t>
  </si>
  <si>
    <t>Product circulation active</t>
  </si>
  <si>
    <t>Produkt circulatie Actief</t>
  </si>
  <si>
    <t>54M1</t>
  </si>
  <si>
    <t>E92.2</t>
  </si>
  <si>
    <t>Nadel abgehoben</t>
  </si>
  <si>
    <t>Needle displaced</t>
  </si>
  <si>
    <t>Vulnaald niet in positie</t>
  </si>
  <si>
    <t>54XS2</t>
  </si>
  <si>
    <t>E92.4</t>
  </si>
  <si>
    <t>54XS1</t>
  </si>
  <si>
    <t>E92.3</t>
  </si>
  <si>
    <t>55ZS1</t>
  </si>
  <si>
    <t>E93.0</t>
  </si>
  <si>
    <t>Pumpe steuert nicht um Stelle 1</t>
  </si>
  <si>
    <t>Pump does not rotate, position 1</t>
  </si>
  <si>
    <t>Pomp 1 draait niet</t>
  </si>
  <si>
    <t>Pumpe steuert nicht um Stelle 2</t>
  </si>
  <si>
    <t>Pump does not rotate, position 2</t>
  </si>
  <si>
    <t>Pomp 2 draait niet</t>
  </si>
  <si>
    <t>Pumpe steuert nicht um Stelle 3</t>
  </si>
  <si>
    <t>Pump does not rotate, position 3</t>
  </si>
  <si>
    <t>Pomp 3 draait niet</t>
  </si>
  <si>
    <t>Pumpe steuert nicht um Stelle 4</t>
  </si>
  <si>
    <t>Pump does not rotate, position 4</t>
  </si>
  <si>
    <t>Pomp 4 draait niet</t>
  </si>
  <si>
    <t>Pumpe steuert nicht um Stelle 5</t>
  </si>
  <si>
    <t>Pump does not rotate, position 5</t>
  </si>
  <si>
    <t>Pomp 5 draait niet</t>
  </si>
  <si>
    <t>Pumpe steuert nicht um Stelle 6</t>
  </si>
  <si>
    <t>Pump does not rotate, position 6</t>
  </si>
  <si>
    <t>Pomp 6 draait niet</t>
  </si>
  <si>
    <t>Pumpe steuert nicht um Stelle 7</t>
  </si>
  <si>
    <t>Pump does not rotate, position 7</t>
  </si>
  <si>
    <t>Pomp 7 draait niet</t>
  </si>
  <si>
    <t>Pumpe steuert nicht um Stelle 8</t>
  </si>
  <si>
    <t>Pump does not rotate, position 8</t>
  </si>
  <si>
    <t>Pomp 8 draait niet</t>
  </si>
  <si>
    <t>Pumpe steuert nicht um Stelle 9</t>
  </si>
  <si>
    <t>Pump does not rotate, position 9</t>
  </si>
  <si>
    <t>Pomp 9 draait niet</t>
  </si>
  <si>
    <t>Pumpe steuert nicht um Stelle 10</t>
  </si>
  <si>
    <t>Pump does not rotate, position 10</t>
  </si>
  <si>
    <t>Pomp 10 draait niet</t>
  </si>
  <si>
    <t>Pumpe steuert nicht um Stelle 11</t>
  </si>
  <si>
    <t>Pump does not rotate, position 11</t>
  </si>
  <si>
    <t>Pomp 11 draait niet</t>
  </si>
  <si>
    <t>Pumpe steuert nicht um Stelle 12</t>
  </si>
  <si>
    <t>Pump does not rotate, position 12</t>
  </si>
  <si>
    <t>Pomp 12 draait niet</t>
  </si>
  <si>
    <t>Pumpe dreht durch Stelle 1</t>
  </si>
  <si>
    <t>Pump slips, position 1</t>
  </si>
  <si>
    <t>Pomp 1 blijft doordraaien</t>
  </si>
  <si>
    <t>Pumpe dreht durch Stelle 2</t>
  </si>
  <si>
    <t>Pump slips, position 2</t>
  </si>
  <si>
    <t>Pomp 2 blijft doordraaien</t>
  </si>
  <si>
    <t>Pumpe dreht durch Stelle 3</t>
  </si>
  <si>
    <t>Pump slips, position 3</t>
  </si>
  <si>
    <t>Pomp 3 blijft doordraaien</t>
  </si>
  <si>
    <t>Pumpe dreht durch Stelle 4</t>
  </si>
  <si>
    <t>Pump slips, position 4</t>
  </si>
  <si>
    <t>Pomp 4 blijft doordraaien</t>
  </si>
  <si>
    <t>Pumpe dreht durch Stelle 5</t>
  </si>
  <si>
    <t>Pump slips, position 5</t>
  </si>
  <si>
    <t>Pomp 5 blijft doordraaien</t>
  </si>
  <si>
    <t>Pumpe dreht durch Stelle 6</t>
  </si>
  <si>
    <t>Pump slips, position 6</t>
  </si>
  <si>
    <t>Pomp 6 blijft doordraaien</t>
  </si>
  <si>
    <t>Pumpe dreht durch Stelle 7</t>
  </si>
  <si>
    <t>Pump slips, position 7</t>
  </si>
  <si>
    <t>Pomp 7 blijft doordraaien</t>
  </si>
  <si>
    <t>Pumpe dreht durch Stelle 8</t>
  </si>
  <si>
    <t>Pump slips, position 8</t>
  </si>
  <si>
    <t>Pomp 8 blijft doordraaien</t>
  </si>
  <si>
    <t>Pumpe dreht durch Stelle 9</t>
  </si>
  <si>
    <t>Pump slips, position 9</t>
  </si>
  <si>
    <t>Pomp 9 blijft doordraaien</t>
  </si>
  <si>
    <t>Pumpe dreht durch Stelle 10</t>
  </si>
  <si>
    <t>Pump slips, position 10</t>
  </si>
  <si>
    <t>Pomp 10 blijft doordraaien</t>
  </si>
  <si>
    <t>Pumpe dreht durch Stelle 11</t>
  </si>
  <si>
    <t>Pump slips, position 11</t>
  </si>
  <si>
    <t>Pomp 11 blijft doordraaien</t>
  </si>
  <si>
    <t>Pumpe dreht durch Stelle 12</t>
  </si>
  <si>
    <t>Pump slips, position 12</t>
  </si>
  <si>
    <t>Pomp 12 blijft doordraaien</t>
  </si>
  <si>
    <t>60ZS1</t>
  </si>
  <si>
    <t>60ZS2</t>
  </si>
  <si>
    <t>60ZS3</t>
  </si>
  <si>
    <t>60ZS4</t>
  </si>
  <si>
    <t>60ZS5</t>
  </si>
  <si>
    <t>60ZS6</t>
  </si>
  <si>
    <t>60ZS7</t>
  </si>
  <si>
    <t>60ZS8</t>
  </si>
  <si>
    <t>60ZS9</t>
  </si>
  <si>
    <t>60ZS10</t>
  </si>
  <si>
    <t>60ZS11</t>
  </si>
  <si>
    <t>60ZS12</t>
  </si>
  <si>
    <t>E88.0 / E90.0</t>
  </si>
  <si>
    <t>E88.1 / E90.1</t>
  </si>
  <si>
    <t>E88.2 / E90.2</t>
  </si>
  <si>
    <t>E88.3 / E90.3</t>
  </si>
  <si>
    <t>E88.4 / E90.4</t>
  </si>
  <si>
    <t>E88.5 / E90.5</t>
  </si>
  <si>
    <t>E88.6 / E90.6</t>
  </si>
  <si>
    <t>E88.7 / E90.7</t>
  </si>
  <si>
    <t>E89.0 / E91.0</t>
  </si>
  <si>
    <t>E89.1 / E91.1</t>
  </si>
  <si>
    <t>E89.2 / E91.2</t>
  </si>
  <si>
    <t>E89.3 / E91.3</t>
  </si>
  <si>
    <t>Drehbewegung Entnahme Bruttowiegung ausgerastet</t>
  </si>
  <si>
    <t>Rotation movement disengaged, removal gripper for gross weighing</t>
  </si>
  <si>
    <t>Overbelasting - Bruto weegrobot - draaibeweging gripper bij nemen vial vóór weging</t>
  </si>
  <si>
    <t>Überwachung Zange auf / zu Entnahme Bruttowiegung</t>
  </si>
  <si>
    <t>Monitoring error: removal gripper for gross weighing open/closed</t>
  </si>
  <si>
    <t>Time-out - Bruto weegrobot - nemen vial vóór weging - positie niet tijdig bereikt</t>
  </si>
  <si>
    <t>Störung IPC Brutto Waage</t>
  </si>
  <si>
    <t>Fault: IPC gross scale</t>
  </si>
  <si>
    <t>Storing - IPC Bruto weging</t>
  </si>
  <si>
    <t>Netto außerhalb Toleranz</t>
  </si>
  <si>
    <t>Net weight outside tolerance range</t>
  </si>
  <si>
    <t>Nettogewicht buiten tolerantie</t>
  </si>
  <si>
    <t>Summenfehler Netto Warngrenze überschritten</t>
  </si>
  <si>
    <t>Consecutive fault: net weight outside warning limit</t>
  </si>
  <si>
    <t>Seriefout netto vulgewichten waarschuwingsgrens overschreden</t>
  </si>
  <si>
    <t>Summenfehler Kein stabiler Gewichtswert von Bruttowaage empfangen</t>
  </si>
  <si>
    <t>Consecutive fault: no stable weight received from gross scales</t>
  </si>
  <si>
    <t>Geen stabiel gewicht van Bruto balans ontvangen - Herhalingsfout</t>
  </si>
  <si>
    <t>Objekt fehlt in IPC Brutto</t>
  </si>
  <si>
    <t>Fallen vial at IPC gross-weighing</t>
  </si>
  <si>
    <t>Vials gevallen aan IPC brutoweging</t>
  </si>
  <si>
    <t>Hauptantrieb</t>
  </si>
  <si>
    <t>Waage prüfen Brutto Waage aktiv</t>
  </si>
  <si>
    <t>Gross weighing: internal verification</t>
  </si>
  <si>
    <t>IPC Bruto weging - Interne verificatie actief</t>
  </si>
  <si>
    <t>Waage prüfen Brutto Waage erfolgreich</t>
  </si>
  <si>
    <t>Gross weighing: internal verification successfull</t>
  </si>
  <si>
    <t>IPC Bruto weging - Interne verificatie geslaagd</t>
  </si>
  <si>
    <t>Waage prüfen Brutto Waage nicht erfolgreich</t>
  </si>
  <si>
    <t>Gross weighing: internal verification not successfull</t>
  </si>
  <si>
    <t>IPC Bruto weging - Interne verificatie niet geslaagd</t>
  </si>
  <si>
    <t>Drehbewegung Rückgabe Bruttowiegung ausgerastet</t>
  </si>
  <si>
    <t>Rotation movement disengaged, return gripper after gross weighing</t>
  </si>
  <si>
    <t>Overbelasting - Bruto weegrobot - draaibeweging gripper bij nemen vial na weging</t>
  </si>
  <si>
    <t>Überwachung Zange auf / zu Rückgabe Bruttowiegung</t>
  </si>
  <si>
    <t>Monitoring error: return gripper after gross weighing open/closed</t>
  </si>
  <si>
    <t>Time-out - Bruto weegrobot - terugpl. vial na weging -  positie niet tijdig bereikt</t>
  </si>
  <si>
    <t>Störung IPC-Ablauf Bruttowiegung</t>
  </si>
  <si>
    <t>Fault: IPC gross‐weighing process</t>
  </si>
  <si>
    <t>IPC Bruto weging - Storing weeg proces</t>
  </si>
  <si>
    <t>Korrekturwert Füllmenge zu groß</t>
  </si>
  <si>
    <t>Dose correction value too high</t>
  </si>
  <si>
    <t>Correctiewaarde doseren te hoog</t>
  </si>
  <si>
    <t>65WS1</t>
  </si>
  <si>
    <t>65XS1/65XS2</t>
  </si>
  <si>
    <t>67WS1</t>
  </si>
  <si>
    <t>67XS1/67XS2</t>
  </si>
  <si>
    <t>E68.0</t>
  </si>
  <si>
    <t>E68.1 / E68.2</t>
  </si>
  <si>
    <t>E68.4</t>
  </si>
  <si>
    <t>E68.5 / E68.6</t>
  </si>
  <si>
    <t>Bruto weging: interne verificatie niet succesvol [Hertart interne verificatie][Annuleer interne verificatie]</t>
  </si>
  <si>
    <t>Schutzschalter ausgelöst Hauptstromkreis - Prüfteilhub Sotpfenpositionskontrolle</t>
  </si>
  <si>
    <t>Schutzschalter ausgelöst Hauptstromkreis - Prüfteil schwenken Sotpfenpositionskontrolle</t>
  </si>
  <si>
    <t>Schutzschalter ausgelöst Steuerstromkreis - Höhenverstellung Stopfenpositionskontrolle</t>
  </si>
  <si>
    <t>Schutzschalter ausgelöst Hauptstromkreis - Objektrotation</t>
  </si>
  <si>
    <t xml:space="preserve">Main power circuit protection switch triggered - container rotation </t>
  </si>
  <si>
    <t>Automaat Hoofdstroomkring uit - Vial rotatie</t>
  </si>
  <si>
    <t>Schutzschalter ausgelöst Hauptstromkreis - Höhenverstellung Vorratsbunker Bördelkappen</t>
  </si>
  <si>
    <t xml:space="preserve">Main power circuit protection switch triggered - crimp cap supply bin up/down </t>
  </si>
  <si>
    <t>Automaat Hoofdstroomkring uit - Hoogteverstelling bunker caps</t>
  </si>
  <si>
    <t>Schutzschalter ausgelöst Hauptstromkreis - Vorratsbunker Bördelkappen</t>
  </si>
  <si>
    <t xml:space="preserve">Protection switch triggered - crimp-cap supply bin </t>
  </si>
  <si>
    <t>Automaat trillers voorraad bunker caps uitgeschakeld</t>
  </si>
  <si>
    <t>Schutzschalter ausgelöst Hauptstromkreis - Vorratsbehälter Bördelkappen</t>
  </si>
  <si>
    <t xml:space="preserve">Protection switch triggered - crimp-cap supply hopper </t>
  </si>
  <si>
    <t>Automaat trillers hopper caps uitgeschakeld</t>
  </si>
  <si>
    <t>Protection switch triggered - spare</t>
  </si>
  <si>
    <t>Schutzschalter ausgelöst Hauptstromkreis - Sortierung Bördelkappen</t>
  </si>
  <si>
    <t xml:space="preserve">Protection switch triggered - crimp-cap sorter </t>
  </si>
  <si>
    <t>Automaat triller trilkuip caps uitgeschakeld</t>
  </si>
  <si>
    <t>Schutzschalter ausgelöst Steuerstromkreis - Umlenkdrehteller Auslauf 1</t>
  </si>
  <si>
    <t>Control power circuit protection switch triggered - discharge rotary transfer table 1</t>
  </si>
  <si>
    <t xml:space="preserve">Automaat Stuurkring uit - Motor vullijn draaitafel 1 - uitvoer </t>
  </si>
  <si>
    <t>Schutzschalter ausgelöst Steuerstromkreis - Umlenkdrehteller Auslauf 2</t>
  </si>
  <si>
    <t>Control power circuit protection switch triggered - discharge rotary transfer table 2</t>
  </si>
  <si>
    <t xml:space="preserve">Automaat Stuurkring uit - Motor vullijn draaitafel 2 - uitvoer </t>
  </si>
  <si>
    <t>Schutzschalter ausgelöst Steuerstromkreis - Umlenkdrehteller Auslauf 3</t>
  </si>
  <si>
    <t>Control power circuit protection switch triggered - discharge rotary transfer table 3</t>
  </si>
  <si>
    <t xml:space="preserve">Automaat Stuurkring uit - Motor vullijn draaitafel 3 - uitvoer </t>
  </si>
  <si>
    <t>Schutzschalter ausgelöst Steuerstromkreis - Umlenkdrehteller Auslauf 4</t>
  </si>
  <si>
    <t>Control power circuit protection switch triggered - discharge rotary transfer table 4</t>
  </si>
  <si>
    <t xml:space="preserve">Automaat Stuurkring uit - Motor vullijn draaitafel 4 - uitvoer </t>
  </si>
  <si>
    <t>Schutzschalter ausgelöst Steuerstromkreis - Auslaufband</t>
  </si>
  <si>
    <t>101F1</t>
  </si>
  <si>
    <t>101F2</t>
  </si>
  <si>
    <t>103F1</t>
  </si>
  <si>
    <t>103F2</t>
  </si>
  <si>
    <t>104Q1</t>
  </si>
  <si>
    <t>104F1</t>
  </si>
  <si>
    <t>104F2</t>
  </si>
  <si>
    <t>104F3</t>
  </si>
  <si>
    <t>104F4</t>
  </si>
  <si>
    <t>104F5</t>
  </si>
  <si>
    <t>104F6</t>
  </si>
  <si>
    <t>104F7</t>
  </si>
  <si>
    <t>104Q2</t>
  </si>
  <si>
    <t>104F8</t>
  </si>
  <si>
    <t>105F1</t>
  </si>
  <si>
    <t>106F1</t>
  </si>
  <si>
    <t>109F1</t>
  </si>
  <si>
    <t>109F2</t>
  </si>
  <si>
    <t>109F3</t>
  </si>
  <si>
    <t>116F1</t>
  </si>
  <si>
    <t>127Q1</t>
  </si>
  <si>
    <t>127Q2</t>
  </si>
  <si>
    <t>128F1</t>
  </si>
  <si>
    <t>130Q1</t>
  </si>
  <si>
    <t>131Q1</t>
  </si>
  <si>
    <t>132Q1</t>
  </si>
  <si>
    <t>132F1</t>
  </si>
  <si>
    <t>133F1</t>
  </si>
  <si>
    <t>134F1</t>
  </si>
  <si>
    <t>135F1</t>
  </si>
  <si>
    <t>136F1</t>
  </si>
  <si>
    <t>137F1</t>
  </si>
  <si>
    <t>142F1</t>
  </si>
  <si>
    <t>142F2</t>
  </si>
  <si>
    <t>142F3</t>
  </si>
  <si>
    <t>142F4</t>
  </si>
  <si>
    <t>143F1</t>
  </si>
  <si>
    <t>E214.0</t>
  </si>
  <si>
    <t>E214.1</t>
  </si>
  <si>
    <t>E214.4</t>
  </si>
  <si>
    <t>E214.5</t>
  </si>
  <si>
    <t>E214.6</t>
  </si>
  <si>
    <t>E214.7</t>
  </si>
  <si>
    <t>E215.0</t>
  </si>
  <si>
    <t>E215.1</t>
  </si>
  <si>
    <t>E215.2</t>
  </si>
  <si>
    <t>E215.3</t>
  </si>
  <si>
    <t>E215.4</t>
  </si>
  <si>
    <t>E214.3</t>
  </si>
  <si>
    <t>E215.5</t>
  </si>
  <si>
    <t>E215.6</t>
  </si>
  <si>
    <t>E215.7</t>
  </si>
  <si>
    <t>E216.0</t>
  </si>
  <si>
    <t>E216.1</t>
  </si>
  <si>
    <t>E216.2</t>
  </si>
  <si>
    <t>E216.3</t>
  </si>
  <si>
    <t>E216.4</t>
  </si>
  <si>
    <t>E216.5</t>
  </si>
  <si>
    <t>E216.6</t>
  </si>
  <si>
    <t>E216.7</t>
  </si>
  <si>
    <t>E217.0</t>
  </si>
  <si>
    <t>E217.1</t>
  </si>
  <si>
    <t>E217.2</t>
  </si>
  <si>
    <t>E217.3</t>
  </si>
  <si>
    <t>E217.4</t>
  </si>
  <si>
    <t>E217.5</t>
  </si>
  <si>
    <t>E217.6</t>
  </si>
  <si>
    <t>E217.7</t>
  </si>
  <si>
    <t>E218.0</t>
  </si>
  <si>
    <t>E218.1</t>
  </si>
  <si>
    <t>E218.2</t>
  </si>
  <si>
    <t>E218.3</t>
  </si>
  <si>
    <t>E218.4</t>
  </si>
  <si>
    <t>E218.5</t>
  </si>
  <si>
    <t>Störung Höhenverstellung Durchtransport</t>
  </si>
  <si>
    <t>Fault: transport system height adjustment</t>
  </si>
  <si>
    <t>Storing - Motor hoogte instelling transport systeem</t>
  </si>
  <si>
    <t>Main dirve / height adjustment</t>
  </si>
  <si>
    <t>Überwachung Höhenverstellung Durchtransport</t>
  </si>
  <si>
    <t>Monitoring error: transport system height adjustment</t>
  </si>
  <si>
    <t>Motor hoogte instelling transport systeem - geen beweging gedetecteerd</t>
  </si>
  <si>
    <t>Endschalter Höhenverstellung Durchtransport</t>
  </si>
  <si>
    <t>Limit switch  transport system height adjustment</t>
  </si>
  <si>
    <t>Motor hoogte instelling transport systeem - Eindschakelaar bediend</t>
  </si>
  <si>
    <t>Höhenverstellung Durchtransport außerhalb Positionierfenster</t>
  </si>
  <si>
    <t>Transport system height adjustment outside positioning window</t>
  </si>
  <si>
    <t>Motor hoogte instelling transport systeem - Niet binnen positie tolerantie</t>
  </si>
  <si>
    <t>Störung Höhenverstellung Stopfenstation</t>
  </si>
  <si>
    <t>Fault: stopper station height adjustment</t>
  </si>
  <si>
    <t>Storing - Motor hoogte instelling stopper station</t>
  </si>
  <si>
    <t>Überwachung Höhenverstellung Stopfenstation</t>
  </si>
  <si>
    <t>Monitoring error: stopper station height adjustment</t>
  </si>
  <si>
    <t>Motor hoogte instelling stopper station - geen beweging gedetecteerd</t>
  </si>
  <si>
    <t>Endschalter Höhenverstellung Stopfenstation</t>
  </si>
  <si>
    <t>Limit switch: stopper station height adjustment</t>
  </si>
  <si>
    <t>Motor hoogte instelling stopper station - Eindschakelaar bediend</t>
  </si>
  <si>
    <t>Höhenverstellung Stopfenstation außerhalb Positionierfenster</t>
  </si>
  <si>
    <t>Stopper station height adjustment outside positioning window</t>
  </si>
  <si>
    <t>Motor hoogte instelling stopper station - Niet binnen positie tolerantie</t>
  </si>
  <si>
    <t>68M1</t>
  </si>
  <si>
    <t>69M1</t>
  </si>
  <si>
    <t>E104.0</t>
  </si>
  <si>
    <t>E104.1</t>
  </si>
  <si>
    <t>Störung Höhenverstellung Sortierung Stopfen</t>
  </si>
  <si>
    <t>Fault: stopper sorter height adjustment</t>
  </si>
  <si>
    <t>Storing - Motor hoogte instelling trilkuip stoppers</t>
  </si>
  <si>
    <t>Überwachung Höhenverstellung Sortierung Stopfen</t>
  </si>
  <si>
    <t>Monitoring error: stopper sorter height adjustment</t>
  </si>
  <si>
    <t>Motor hoogte instelling trilkuip stoppers - geen beweging gedetecteerd</t>
  </si>
  <si>
    <t>Endschalter Höhenverstellung Sortierung Stopfen</t>
  </si>
  <si>
    <t>Limit switch: stopper sorting bowl height adjustment</t>
  </si>
  <si>
    <t>Motor hoogte instelling trilkuip stoppers - Eindschakelaar bediend</t>
  </si>
  <si>
    <t>Höhenverstellung Sortierung Stopfen außerhalb Positionierfenster</t>
  </si>
  <si>
    <t>Stopper sorter height adjustment outside positioning window</t>
  </si>
  <si>
    <t>Motor hoogte instelling trilkuip stoppers - Niet binnen positie tolerantie</t>
  </si>
  <si>
    <t>72M1</t>
  </si>
  <si>
    <t>E104.4</t>
  </si>
  <si>
    <t>Störung Schwingförderregler Vorratsbehälter Stopfen</t>
  </si>
  <si>
    <t>Fault: stopper supply hopper vibrator controller</t>
  </si>
  <si>
    <t>Storing - Triller stopper hopper</t>
  </si>
  <si>
    <t>Vorratsbehälter Stopfen fast leer (5min)</t>
  </si>
  <si>
    <t>Stopper supply hopper nearly empty (5min)</t>
  </si>
  <si>
    <t>Niveau stoppers in de stopper hopper - Bijna leeg</t>
  </si>
  <si>
    <t>Min-Vorrat Vorratsbehälter Stopfen</t>
  </si>
  <si>
    <t>Stopper supply hopper nearly empty</t>
  </si>
  <si>
    <t>Niveau stoppers in de stopper hopper - Minimum niveau</t>
  </si>
  <si>
    <t>Überwachung Niveauerfassung Vorratsbehälter Stopfen</t>
  </si>
  <si>
    <t>Monitoring error: stopper supply hopper level sensor</t>
  </si>
  <si>
    <t>Fault: separation roller 1 stopper supply</t>
  </si>
  <si>
    <t>Storing - Motor 1 stopper separator</t>
  </si>
  <si>
    <t>Fault: separation roller 2 stopper supply</t>
  </si>
  <si>
    <t>Storing - Motor 2 stopper separator</t>
  </si>
  <si>
    <t>Störung Schwingförderregler Sortierung Stopfen</t>
  </si>
  <si>
    <t>Fault: stopper sorting bowl vibrator controller</t>
  </si>
  <si>
    <t>Storing - Triller trilkuip stoppers</t>
  </si>
  <si>
    <t>70US1</t>
  </si>
  <si>
    <t>71M1</t>
  </si>
  <si>
    <t>71M2</t>
  </si>
  <si>
    <t>Min-Vorrat Sortierung Stopfen</t>
  </si>
  <si>
    <t>Stopper sorter nearly empty</t>
  </si>
  <si>
    <t>Triller trilkuip stoppers - Minimum niveau</t>
  </si>
  <si>
    <t>Überwachung Niveauerfassung Sortierung Stopfen</t>
  </si>
  <si>
    <t>Monitoring error: stopper sorter level sensor</t>
  </si>
  <si>
    <t>72US1</t>
  </si>
  <si>
    <t>Laufüberwachung Stopfenzuführbahn</t>
  </si>
  <si>
    <t>Stopper feed track operation monitoring</t>
  </si>
  <si>
    <t>Sensor Toevoerbaan stoppers - geen pulsen gedetecteerd</t>
  </si>
  <si>
    <t>Summenfehler Stopfen fehlt</t>
  </si>
  <si>
    <t>Consecutive fault: no stopper</t>
  </si>
  <si>
    <t>Stopperstation - Herhalingsfout geen stopper aanwezig</t>
  </si>
  <si>
    <t>Überwachung Stopfen prüfen</t>
  </si>
  <si>
    <t>Monitoring error: stopper check</t>
  </si>
  <si>
    <t>Gegenhalter nicht frei Stopfen eindrücken</t>
  </si>
  <si>
    <t>Stopper insertion countersupport not free</t>
  </si>
  <si>
    <t>Tegengeleiding stopperplaatsing niet vrij</t>
  </si>
  <si>
    <t>73QS1</t>
  </si>
  <si>
    <t>74ZS1</t>
  </si>
  <si>
    <t>74ZS2</t>
  </si>
  <si>
    <t>PEW932</t>
  </si>
  <si>
    <t>PEW934</t>
  </si>
  <si>
    <t>PEW936</t>
  </si>
  <si>
    <t>PEW938</t>
  </si>
  <si>
    <t>Störung Zuführung Stopfen Vereinzelungsrolle 1</t>
  </si>
  <si>
    <t>Störung Zuführung Stopfen Vereinzelungsrolle 2</t>
  </si>
  <si>
    <t>E104.2</t>
  </si>
  <si>
    <t>E104.3</t>
  </si>
  <si>
    <t>E104.5</t>
  </si>
  <si>
    <t>E104.6</t>
  </si>
  <si>
    <t>E104.7</t>
  </si>
  <si>
    <t>Noodstop ingedrukt - Voorzijde capper - uitvoer</t>
  </si>
  <si>
    <t>Noodstop ingedrukt - Achterzijde capper - uitvoer</t>
  </si>
  <si>
    <t>Positioned with auto restart</t>
  </si>
  <si>
    <t>76Q2</t>
  </si>
  <si>
    <t>Warten bis Leitungen mit Gas geflutet</t>
  </si>
  <si>
    <t>Wait until supply lines filled with gas</t>
  </si>
  <si>
    <t>Durchfluss VHP nicht erreicht Einlaufrad 1</t>
  </si>
  <si>
    <t>Flow rate not reached during VHP at infeed wheel 1</t>
  </si>
  <si>
    <t>Durchfluss VHP nicht erreicht Einlaufrad 2</t>
  </si>
  <si>
    <t>Flow rate not reached during VHP at infeed wheel 2</t>
  </si>
  <si>
    <t>Durchfluss VHP nicht erreicht Einlaufrad 3</t>
  </si>
  <si>
    <t>Flow rate not reached during VHP at infeed wheel 3</t>
  </si>
  <si>
    <t>Durchfluss VHP nicht erreicht Einlaufrad 4</t>
  </si>
  <si>
    <t>Flow rate not reached during VHP at infeed wheel 4</t>
  </si>
  <si>
    <t>Durchfluss VHP nicht erreicht Stopfenstation</t>
  </si>
  <si>
    <t>Flow rate not reached during VHP at stopper station</t>
  </si>
  <si>
    <t>Durchfluss VHP nicht erreicht Auslaufrad 2</t>
  </si>
  <si>
    <t>Flow rate not reached during VHP at discharge wheel 2</t>
  </si>
  <si>
    <t>Durchfluss VHP nicht erreicht Auslaufrad 3</t>
  </si>
  <si>
    <t>Flow rate not reached during VHP at discharge wheel 3</t>
  </si>
  <si>
    <t>Durchfluss VHP nicht erreicht Einlaufrad 5</t>
  </si>
  <si>
    <t>Flow rate not reached during VHP at infeed wheel 5</t>
  </si>
  <si>
    <t>Durchfluss VHP nicht erreicht Einlaufrad 6</t>
  </si>
  <si>
    <t>Flow rate not reached during VHP at infeed wheel 6</t>
  </si>
  <si>
    <t>46FS1</t>
  </si>
  <si>
    <t>46FS2</t>
  </si>
  <si>
    <t>46FS3</t>
  </si>
  <si>
    <t>46FS4</t>
  </si>
  <si>
    <t>46FS5</t>
  </si>
  <si>
    <t>46FS6</t>
  </si>
  <si>
    <t>E66.1</t>
  </si>
  <si>
    <t>E66.2</t>
  </si>
  <si>
    <t>E66.3</t>
  </si>
  <si>
    <t>E66.4</t>
  </si>
  <si>
    <t>E66.5</t>
  </si>
  <si>
    <t>E66.6</t>
  </si>
  <si>
    <t>77FS4</t>
  </si>
  <si>
    <t>E105.5</t>
  </si>
  <si>
    <t>77FS1</t>
  </si>
  <si>
    <t>77FS2</t>
  </si>
  <si>
    <t>77FS3</t>
  </si>
  <si>
    <t>E105.0</t>
  </si>
  <si>
    <t>E105.1</t>
  </si>
  <si>
    <t>E105.2</t>
  </si>
  <si>
    <t>Vakuum zu niedrig Bypass PMS</t>
  </si>
  <si>
    <t>Insufficient vacuum at by-pass PMS</t>
  </si>
  <si>
    <t>Vacuum vullijn PMS (VHP bypass) te laag</t>
  </si>
  <si>
    <t>Überwachung Analogwert Vakuumerfassung Bypass PMS</t>
  </si>
  <si>
    <t>Monitoring error: analog value of vacuum sensor at by-pass PMS</t>
  </si>
  <si>
    <t>Vakuum zu niedrig Bypass AAS</t>
  </si>
  <si>
    <t>Insufficient vacuum at by-pass AAS</t>
  </si>
  <si>
    <t>Vacuum vullijn AAS (VHP bypass) te laag</t>
  </si>
  <si>
    <t>Überwachung Analogwert Vakuumerfassung Bypass AAS</t>
  </si>
  <si>
    <t>Monitoring error: analog value of vacuum sensor at by-pass AAS</t>
  </si>
  <si>
    <t>78PT1</t>
  </si>
  <si>
    <t>PEW832</t>
  </si>
  <si>
    <t>PEW834</t>
  </si>
  <si>
    <t>78PT2</t>
  </si>
  <si>
    <t>Durchfluss VHP nicht erreicht PMS Einlaufdrehteller</t>
  </si>
  <si>
    <t>Flow rate not reached during VHP - PMS at infeed rotary table</t>
  </si>
  <si>
    <t>Durchfluss VHP nicht erreicht PMS Nadelbewegung</t>
  </si>
  <si>
    <t>Flow rate not reached during VHP - PMS at needle movement</t>
  </si>
  <si>
    <t>Durchfluss VHP nicht erreicht PMS Stopfenstation</t>
  </si>
  <si>
    <t>Flow rate not reached during VHP - PMS at stopper station</t>
  </si>
  <si>
    <t>80FS1</t>
  </si>
  <si>
    <t>80FS2</t>
  </si>
  <si>
    <t>80FS3</t>
  </si>
  <si>
    <t>E69.2</t>
  </si>
  <si>
    <t>E69.5</t>
  </si>
  <si>
    <t>E106.0</t>
  </si>
  <si>
    <t>Durchfluss VHP nicht erreicht AAS Nadelbewegung</t>
  </si>
  <si>
    <t>Flow rate not reached during VHP - AAS at needle movement</t>
  </si>
  <si>
    <t>Durchfluss VHP nicht erreicht AAS Stopfenstation</t>
  </si>
  <si>
    <t>Flow rate not reached during VHP - AAS at stopper station</t>
  </si>
  <si>
    <t>81FS4</t>
  </si>
  <si>
    <t>E106.6</t>
  </si>
  <si>
    <t>81FS2</t>
  </si>
  <si>
    <t>E93.3</t>
  </si>
  <si>
    <t>Störung Ventil Vakuum PMS Einlaufdrehteller</t>
  </si>
  <si>
    <t>Fault: vacuum valve PMS at infeed rotary table</t>
  </si>
  <si>
    <t>Terugmeldingsfout - Vacuumklep PMS invoerdraaitafel</t>
  </si>
  <si>
    <t>Störung Ventil Bypass PMS Einlaufdrehteller</t>
  </si>
  <si>
    <t>Fault: bypass valve PMS at infeed rotary table</t>
  </si>
  <si>
    <t>Terugmeldingsfout -VHP Bypassklep PMS invoerdraaitafel</t>
  </si>
  <si>
    <t>Störung Ventil Vakuum PMS Nadelbewegung</t>
  </si>
  <si>
    <t>Fault: vacuum valve PMS at needle movement</t>
  </si>
  <si>
    <t>Terugmeldingsfout -Vacuumklep PMS vulnaalden</t>
  </si>
  <si>
    <t>Störung Ventil Bypass PMS Nadelbewegung</t>
  </si>
  <si>
    <t>Fault: bypass valve PMS at needle movement</t>
  </si>
  <si>
    <t>Terugmeldingsfout -VHP Bypassklep PMS vulnaalden</t>
  </si>
  <si>
    <t>Störung Ventil Vakuum PMS Stopfenstation</t>
  </si>
  <si>
    <t>Fault: vacuum valve PMS at stopper station</t>
  </si>
  <si>
    <t>Terugmeldingsfout -Vacuumklep PMS stopper station</t>
  </si>
  <si>
    <t>Störung Ventil Bypass PMS Stopfenstation</t>
  </si>
  <si>
    <t>Fault: bypass valve PMS at stopper station</t>
  </si>
  <si>
    <t>Terugmeldingsfout -VHP Bypassklep PMS stopper station</t>
  </si>
  <si>
    <t>80ZS1</t>
  </si>
  <si>
    <t>E69.0</t>
  </si>
  <si>
    <t>80ZS2</t>
  </si>
  <si>
    <t>E69.1</t>
  </si>
  <si>
    <t>E69.4</t>
  </si>
  <si>
    <t>E69.3</t>
  </si>
  <si>
    <t>80ZS3</t>
  </si>
  <si>
    <t>80ZS4</t>
  </si>
  <si>
    <t>80ZS5</t>
  </si>
  <si>
    <t>80ZS6</t>
  </si>
  <si>
    <t>E105.6</t>
  </si>
  <si>
    <t>E105.7</t>
  </si>
  <si>
    <t>Störung Ventil Vakuum AAS Nadelbewegung</t>
  </si>
  <si>
    <t>Fault: vacuum valve AAS at needle movement</t>
  </si>
  <si>
    <t>Terugmeldingsfout -Vacuumklep AAS vulnaalden</t>
  </si>
  <si>
    <t>Störung Ventil Bypass AAS Nadelbewegung</t>
  </si>
  <si>
    <t>Fault: bypass valve AAS at needle movement</t>
  </si>
  <si>
    <t>Terugmeldingsfout -VHP Bypassklep AAS vulnaalden</t>
  </si>
  <si>
    <t>Störung Ventil Vakuum AAS Stopfenstation</t>
  </si>
  <si>
    <t>Fault: vacuum valve AAS at stopper station</t>
  </si>
  <si>
    <t>Terugmeldingsfout -Vacuumklep AAS stopper station</t>
  </si>
  <si>
    <t>Störung Ventil Bypass AAS Stopfenstation</t>
  </si>
  <si>
    <t>Fault: bypass valve AAS at stopper station</t>
  </si>
  <si>
    <t>Terugmeldingsfout -VHP Bypassklep AAS stopper station</t>
  </si>
  <si>
    <t>81ZS1</t>
  </si>
  <si>
    <t>81ZS2</t>
  </si>
  <si>
    <t>E93.1</t>
  </si>
  <si>
    <t>E93.2</t>
  </si>
  <si>
    <t>81ZS3</t>
  </si>
  <si>
    <t>81ZS4</t>
  </si>
  <si>
    <t>E106.4</t>
  </si>
  <si>
    <t>E106.5</t>
  </si>
  <si>
    <t>AAS: Flussrate zu niedrig AAS Nadelbewegung</t>
  </si>
  <si>
    <t>AAS: Flow rate too low, AAS at needle movement</t>
  </si>
  <si>
    <t>AAS: Flussrate zu niedrig AAS Stopfenstation</t>
  </si>
  <si>
    <t>AAS: Flow rate too low, AAS at stopper station</t>
  </si>
  <si>
    <t>AAS: Flussrate zu hoch AAS Nadelbewegung</t>
  </si>
  <si>
    <t>AAS: Flow rate too high, AAS at needle movement</t>
  </si>
  <si>
    <t>Flow AAS vulnaalden te hoog</t>
  </si>
  <si>
    <t>AAS: Flussrate zu hoch AAS Stopfenstation</t>
  </si>
  <si>
    <t>AAS: Flow rate too high, AAS at stopper station</t>
  </si>
  <si>
    <t>Flow AAS stopper station te hoog</t>
  </si>
  <si>
    <t>Überwachung Analogwert Luftströmung AAS Nadelbewegung</t>
  </si>
  <si>
    <t>Monitoring error: analog value of flow rate AAS at needle movement</t>
  </si>
  <si>
    <t>Überwachung Analogwert Luftströmung AAS Stopfenstation</t>
  </si>
  <si>
    <t>Monitoring error: analog value of flow rate AAS at stopper station</t>
  </si>
  <si>
    <t>81FS1</t>
  </si>
  <si>
    <t>PEW866</t>
  </si>
  <si>
    <t>81FS3</t>
  </si>
  <si>
    <t>80D1</t>
  </si>
  <si>
    <t>80D2</t>
  </si>
  <si>
    <t>80D3</t>
  </si>
  <si>
    <t>AAS: Bitte schließen Sie die Probeentnahme an der Nadelbewegung</t>
  </si>
  <si>
    <t>AAS: Bitte schließen Sie die Probeentnahme an der Stopfenstation</t>
  </si>
  <si>
    <t>AAS: Bitte starten Sie die Probeentnahme am der Stopfenstation</t>
  </si>
  <si>
    <t>AAS: Please close sampling plate at needle movement</t>
  </si>
  <si>
    <t>AAS: Wiederholung der Probeentnahme durchgeführt Stopfenstation</t>
  </si>
  <si>
    <t>AAS: Resampling performed at stopper station</t>
  </si>
  <si>
    <t>FFV nicht bereit</t>
  </si>
  <si>
    <t>Filler not ready</t>
  </si>
  <si>
    <t>Service function: stopper inspection signal evaluation deactivated</t>
  </si>
  <si>
    <t>Servicefunctie - Camera 1 en 2  stopperpositie uitgeschakeld</t>
  </si>
  <si>
    <t>Service function: Without check-sequence at stopper inspection station</t>
  </si>
  <si>
    <t xml:space="preserve">Servicefunctie - Stopper inspectie station zonder check-sequentie </t>
  </si>
  <si>
    <t>Servicefunktion Signalauswertung Stopfenpositionskontrolle deaktiviert</t>
  </si>
  <si>
    <t>Servicefunktion ohne Prüfablauf Stopfenpositionskontrolle</t>
  </si>
  <si>
    <t>Working without stopper presence check</t>
  </si>
  <si>
    <t>Werking zonder stopper aanwezigheidscontrole</t>
  </si>
  <si>
    <t>Working without stopper position check</t>
  </si>
  <si>
    <t>Werking zonder stopper positiecontrole</t>
  </si>
  <si>
    <t>Working without crimping station</t>
  </si>
  <si>
    <t>Werking zonder krimpstation</t>
  </si>
  <si>
    <t>Working without crimp-cap check before crimping</t>
  </si>
  <si>
    <t>Werking zonder krimp-kap controle voor krimpen</t>
  </si>
  <si>
    <t>Working without crimp-cap check after crimping</t>
  </si>
  <si>
    <t>Werking zonder krimp-kap controle na krimpen</t>
  </si>
  <si>
    <t>Working without crimp-cap orientation check</t>
  </si>
  <si>
    <t>Werking zonder krimp-kap oriëntering controle</t>
  </si>
  <si>
    <t>Working without crimp-cap transfer leveler check</t>
  </si>
  <si>
    <t>Werking zonder krimp-kap transfer en nivelering controle</t>
  </si>
  <si>
    <t>Mousehole Auslauf nicht geöffnet in Produktion</t>
  </si>
  <si>
    <t>Nockendatenübertragung aktiv</t>
  </si>
  <si>
    <t>Einlaufrad 1 nicht in Produktionsposition</t>
  </si>
  <si>
    <t>Infeed wheel 1 not in production position</t>
  </si>
  <si>
    <t>No vacuum</t>
  </si>
  <si>
    <t>122Y1</t>
  </si>
  <si>
    <t>E121.3</t>
  </si>
  <si>
    <t>123PS1</t>
  </si>
  <si>
    <t>E121.4</t>
  </si>
  <si>
    <t>Störung Profinet Station 13 Nockenschaltwerk RVB</t>
  </si>
  <si>
    <t>Fault: Profinet station 13 - cam controller capper</t>
  </si>
  <si>
    <t>126ZS1</t>
  </si>
  <si>
    <t>E122.0</t>
  </si>
  <si>
    <t>Stopper inspection 1 not ready</t>
  </si>
  <si>
    <t>Camera 1 stopperpositie niet gereed</t>
  </si>
  <si>
    <t>Stopper inspection 2 not ready</t>
  </si>
  <si>
    <t>Camera 2 stopperpositie niet gereed</t>
  </si>
  <si>
    <t>Fault: communication with stopper inspection 1</t>
  </si>
  <si>
    <t>Storing bus communicatie camera 1 stopperpositie</t>
  </si>
  <si>
    <t>Fault: communication with stopper inspection 2</t>
  </si>
  <si>
    <t>Storing bus communicatie camera 2 stopperpositie</t>
  </si>
  <si>
    <t>Monitoring error: I/O communication with stopper inspection 1</t>
  </si>
  <si>
    <t>Storing I/O communicatie camera 1 stopperpositie</t>
  </si>
  <si>
    <t>Monitoring error: I/O communication with stopper inspection 2</t>
  </si>
  <si>
    <t>Storing I/O communicatie camera 2 stopperpositie</t>
  </si>
  <si>
    <t>Consecutive fault from stopper inspection: wrong stopper gap</t>
  </si>
  <si>
    <t>Herhalingsfout stopper te hoog door camera 1 en 2 stopperpositie</t>
  </si>
  <si>
    <t>Consecutive fault from stopper inspection: stopper missing</t>
  </si>
  <si>
    <t>Herhalingsfout ontbrekende stopper door camera 1 en 2 stopperpositie</t>
  </si>
  <si>
    <t>Consecutive fault from stopper inspection: container too high</t>
  </si>
  <si>
    <t>Herhalingsfout vial positie te hoog door camera 1 en 2 stopperpositie</t>
  </si>
  <si>
    <t>Target test incorrect at stopper inspection 1</t>
  </si>
  <si>
    <t>Verificatietest camera 1 stopperpositie niet geslaagd</t>
  </si>
  <si>
    <t>Target test incorrect at stopper inspection 2</t>
  </si>
  <si>
    <t>Verificatietest camera 2 stopperpositie niet geslaagd</t>
  </si>
  <si>
    <t>Release production from stopper inspection missing - execute check-sequence</t>
  </si>
  <si>
    <t>Camera 1 en 2 stopperpos. - Vrijgave voor productie ontbreekt - testseq. uitvoeren</t>
  </si>
  <si>
    <t>Fault: stopper inspection height adjustment</t>
  </si>
  <si>
    <t>Storing hoogteverstelling camera 1 en 2 stopperpositie</t>
  </si>
  <si>
    <t>Limit switch: stopper inspection height adjustment</t>
  </si>
  <si>
    <t>Eindpositie bereikt hoogteverstelling camera 1 en 2 stopperpositie</t>
  </si>
  <si>
    <t>Monitoring error: stopper inspection height adjustment</t>
  </si>
  <si>
    <t>Stopfenpositionskontrolle deaktiviert durch Parameter</t>
  </si>
  <si>
    <t>Stopfenanwesenheitskontrolle deaktiviert durch Parameter</t>
  </si>
  <si>
    <t>Störung Höhenverstellung Stopfenpositionskontrolle</t>
  </si>
  <si>
    <t>Überwachung Höhenverstellung Stopfenpositionskontrolle</t>
  </si>
  <si>
    <t>Endschalter Höhenverstellung Stopfenpositionskontrolle</t>
  </si>
  <si>
    <t>Freigabe Produktion Stopfenpositionskontrolle fehlt Prüfablauf durchführen</t>
  </si>
  <si>
    <t>Stopfenpositionskontrolle 1 nicht bereit</t>
  </si>
  <si>
    <t>Stopfenpositionskontrolle 2 nicht bereit</t>
  </si>
  <si>
    <t>Störung Kommunikation Stopfenpositionskontrolle 1</t>
  </si>
  <si>
    <t>Störung Kommunikation Stopfenpositionskontrolle 2</t>
  </si>
  <si>
    <t>Überwachung E/A Kommunikation Stopfenpositionskontrolle 1</t>
  </si>
  <si>
    <t>Überwachung E/A Kommunikation Stopfenpositionskontrolle 2</t>
  </si>
  <si>
    <t>Summenfehler Stopfenspalt falsch Stopfenpositionskontrolle</t>
  </si>
  <si>
    <t>Summenfehler Stopfen fehlt Stopfenpositionskontrolle</t>
  </si>
  <si>
    <t>Summenfehler Objekt zu hoch Stopfenpositionskontrolle</t>
  </si>
  <si>
    <t>Prüfteiltest fehlerhaft Stopfenpositionskontrolle 1</t>
  </si>
  <si>
    <t>Prüfteiltest fehlerhaft Stopfenpositionskontrolle 2</t>
  </si>
  <si>
    <t>128I1</t>
  </si>
  <si>
    <t>129I1</t>
  </si>
  <si>
    <t>128I1 / 129I1</t>
  </si>
  <si>
    <t>E123.0</t>
  </si>
  <si>
    <t>E124.0</t>
  </si>
  <si>
    <t>Gegenkontrolle Gutobjekt fehlt im Durchtransport Einlauf</t>
  </si>
  <si>
    <t>Gegenkontrolle Schlechtobjekt im Durchtransport Einlauf</t>
  </si>
  <si>
    <t>Überwachung Gegenkontrolle Durchtransport Einlauf - Sensorposition prüfen</t>
  </si>
  <si>
    <t>Verification fault: good container not in transport system infeed</t>
  </si>
  <si>
    <t>Verification fault: reject in transport system infeed</t>
  </si>
  <si>
    <t>Monitoring error: verification sensor at transport system infeed - Check sensor position</t>
  </si>
  <si>
    <t>Goede vial ontbreekt in vacuumsterwiel invoer</t>
  </si>
  <si>
    <t>Slechte vial in vacuumsterwiel invoer</t>
  </si>
  <si>
    <t>Behälter Schlechtauslauf Einlauf fast voll</t>
  </si>
  <si>
    <t>Behälter Schlechtauslauf Einlauf voll</t>
  </si>
  <si>
    <t xml:space="preserve">Rohr Schlechtauslauf Einlauf nicht in Position </t>
  </si>
  <si>
    <t>126XS1</t>
  </si>
  <si>
    <t>E122.1</t>
  </si>
  <si>
    <t>Monitoring error: crimp cap supply bin level sensor</t>
  </si>
  <si>
    <t>Fault: crimp-cap supply bin lift movement</t>
  </si>
  <si>
    <t>Storing hoogteverstelling bunker caps</t>
  </si>
  <si>
    <t>Crimp-cap supply bin not in place</t>
  </si>
  <si>
    <t>Bunker caps niet in vertikale positie</t>
  </si>
  <si>
    <t>Crimp-cap supply bin nearly empty</t>
  </si>
  <si>
    <t>Te weinig caps in bunker</t>
  </si>
  <si>
    <t>Fault: crimp-cap supply bin vibrator controller</t>
  </si>
  <si>
    <t>Storing triller voorraad bunker caps</t>
  </si>
  <si>
    <t>Crimp-cap supply bin not aligned with machine</t>
  </si>
  <si>
    <t>Bunker caps niet aangedocked met machine</t>
  </si>
  <si>
    <t>132US1</t>
  </si>
  <si>
    <t>PEW992</t>
  </si>
  <si>
    <t>E38.4</t>
  </si>
  <si>
    <t>132Q2</t>
  </si>
  <si>
    <t>132ZS1</t>
  </si>
  <si>
    <t>E38.3</t>
  </si>
  <si>
    <t>132ZS2</t>
  </si>
  <si>
    <t>E125.2</t>
  </si>
  <si>
    <t>Überwachung Niveauerfassung Vorratsbunker Bördelkappen</t>
  </si>
  <si>
    <t>Störung Vertikalhub Vorratsbunker Bördelkappen</t>
  </si>
  <si>
    <t>Vorratsbunker Bördelkappen nicht in Position</t>
  </si>
  <si>
    <t>Vorratsbunker Bördelkappen steht nicht korrekt an Maschine</t>
  </si>
  <si>
    <t>Crimp-cap supply hopper nearly empty</t>
  </si>
  <si>
    <t>Te weinig caps in hopper</t>
  </si>
  <si>
    <t>Monitoring error: crimp-cap supply hopper level sensor</t>
  </si>
  <si>
    <t>Fault: crimp-cap supply hopper vibrator controller</t>
  </si>
  <si>
    <t>Storing triller hopper caps</t>
  </si>
  <si>
    <t>133US1</t>
  </si>
  <si>
    <t>PEW994</t>
  </si>
  <si>
    <t>Störung Schwingförderregler Vorratsbunker Bördelkappen</t>
  </si>
  <si>
    <t>Störung Schwingförderregler Vorratsbehälter Bördelkappen</t>
  </si>
  <si>
    <t>Min-Vorrat Vorratsbehälter Bördelkappen</t>
  </si>
  <si>
    <t>Min-Vorrat Vorratsbunker Bördelkappen</t>
  </si>
  <si>
    <t>Überwachung Niveauerfassung Vorratsbehälter Bördelkappen</t>
  </si>
  <si>
    <t>Fault: crimp-cap feed track height adjustment</t>
  </si>
  <si>
    <t>Storing hoogteverstelling langsbaan caps</t>
  </si>
  <si>
    <t>Limit switch: crimp-cap feed track height adjustment</t>
  </si>
  <si>
    <t>Eindpositie hoogteverstelling langsbaan caps bereikt</t>
  </si>
  <si>
    <t>Monitoring error: crimp-cap feed track height adjustment</t>
  </si>
  <si>
    <t>Störung Höhenverstellung Zuführbahn Bördelkappen</t>
  </si>
  <si>
    <t>Endschalter Höhenverstellung Zuführbahn Bördelkappen</t>
  </si>
  <si>
    <t>Überwachung Höhenverstellung Zuführbahn Bördelkappen</t>
  </si>
  <si>
    <t>Crimp-cap sorting bowl nearly empty</t>
  </si>
  <si>
    <t>Te weinig caps in trilkuip</t>
  </si>
  <si>
    <t>Monitoring error: crimp-cap sorter level sensor</t>
  </si>
  <si>
    <t>Fault: crimp-cap sorting bowl vibrator controller</t>
  </si>
  <si>
    <t>Storing triller trilkuip caps</t>
  </si>
  <si>
    <t>136US1</t>
  </si>
  <si>
    <t>PEW996</t>
  </si>
  <si>
    <t>Störung Schwingförderregler Sortierung Bördelkappen</t>
  </si>
  <si>
    <t>Überwachung Niveauerfassung Sortierung Bördelkappen</t>
  </si>
  <si>
    <t>Min-Vorrat Sortierung Bördelkappen</t>
  </si>
  <si>
    <t>Crimp-cap feed track empty</t>
  </si>
  <si>
    <t>Langsbaan caps leeg</t>
  </si>
  <si>
    <t>Crimp cap jammed in track</t>
  </si>
  <si>
    <t>Langsbaan caps geblokkeerd</t>
  </si>
  <si>
    <t>Crimp caps not oriented correctly in crimp-cap feed track</t>
  </si>
  <si>
    <t>Verkeerde oriëntatie caps op langsbaan caps</t>
  </si>
  <si>
    <t>Cap leveler at cap transfer displaced</t>
  </si>
  <si>
    <t>Positie fout detectie capafgave</t>
  </si>
  <si>
    <t>135QS1</t>
  </si>
  <si>
    <t>E125.3</t>
  </si>
  <si>
    <t>135QS2</t>
  </si>
  <si>
    <t>E125.4</t>
  </si>
  <si>
    <t>135ZS1</t>
  </si>
  <si>
    <t>E125.5</t>
  </si>
  <si>
    <t>135WS1</t>
  </si>
  <si>
    <t>E125.6</t>
  </si>
  <si>
    <t>Bördelkappenzuführbahn leer</t>
  </si>
  <si>
    <t>Nachlaufüberwachung Bördelkappenzuführbahn</t>
  </si>
  <si>
    <t>Bördelkappen falsche Lage in Bördelkappenzuführbahn</t>
  </si>
  <si>
    <t>Niederhalter abgehoben Bördelkappenübergabe</t>
  </si>
  <si>
    <t>Fault: crimping tool height adjustment</t>
  </si>
  <si>
    <t>Storing hoogteverstelling rolmes</t>
  </si>
  <si>
    <t>Limit switch: crimping tool height adjustment</t>
  </si>
  <si>
    <t>Eindpositie hoogteverstelling rolmes bereikt</t>
  </si>
  <si>
    <t>Monitoring error: crimping tool height adjustment</t>
  </si>
  <si>
    <t>Crimping tool height adjustment outside positioning window</t>
  </si>
  <si>
    <t>Hoogteverstelling rolmes buiten eindposities</t>
  </si>
  <si>
    <t>E125.7</t>
  </si>
  <si>
    <t>137M1</t>
  </si>
  <si>
    <t>Störung Höhenverstellung Bördelkopf</t>
  </si>
  <si>
    <t>Endschalter Höhenverstellung Bördelkopf</t>
  </si>
  <si>
    <t>Überwachung Höhenverstellung Bördelkopf</t>
  </si>
  <si>
    <t>Höhenverstellung Bördelkopf außerhalb Positionierfenster</t>
  </si>
  <si>
    <t>Consecutive fault: no crimp cap before crimping</t>
  </si>
  <si>
    <t>Herhalinsfout geen cap aanwezig vòòr cappen</t>
  </si>
  <si>
    <t>Monitoring error: crimp-cap check before crimping</t>
  </si>
  <si>
    <t>Consecutive fault: no crimp cap after crimping</t>
  </si>
  <si>
    <t>Herhalinsfout geen cap aanwezig na cappen</t>
  </si>
  <si>
    <t>Monitoring error: crimp-cap check after crimping</t>
  </si>
  <si>
    <t>138ZS1</t>
  </si>
  <si>
    <t>E126.0</t>
  </si>
  <si>
    <t>138ZS2</t>
  </si>
  <si>
    <t>E126.1</t>
  </si>
  <si>
    <t>Summenfehler Bördelkappe fehlt vor Bördeln</t>
  </si>
  <si>
    <t>Überwachung Bördelkappe prüfen vor Bördeln</t>
  </si>
  <si>
    <t>Summenfehler Bördelkappe fehlt nach Bördeln</t>
  </si>
  <si>
    <t>Überwachung Bördelkappe prüfen nach Bördeln</t>
  </si>
  <si>
    <t>Crimp cap application pressure too low</t>
  </si>
  <si>
    <t>Capping druk te laag</t>
  </si>
  <si>
    <t>Crimp cap application pressure too high</t>
  </si>
  <si>
    <t>Capping druk te hoog</t>
  </si>
  <si>
    <t>Monitoring error: crimp cap application pressure</t>
  </si>
  <si>
    <t>Anpressdruck Bördelkappen zu hoch</t>
  </si>
  <si>
    <t>Anpressdruck Bördelkappen zu niedrig</t>
  </si>
  <si>
    <t>Überwachung Anpressdruck Bördelkappen</t>
  </si>
  <si>
    <t>138PC1</t>
  </si>
  <si>
    <t>PEW998</t>
  </si>
  <si>
    <t>140XS1</t>
  </si>
  <si>
    <t>E126.2</t>
  </si>
  <si>
    <t>E126.3</t>
  </si>
  <si>
    <t>Behälter Schlechtauslauf Auslauf fast voll</t>
  </si>
  <si>
    <t>Behälter Schlechtauslauf Auslauf voll</t>
  </si>
  <si>
    <t>Pipe at reject bin at infeed not in position</t>
  </si>
  <si>
    <t xml:space="preserve">Rohr Schlechtauslauf Auslauf nicht in Position </t>
  </si>
  <si>
    <t>Pipe at reject bin at discharge not in position</t>
  </si>
  <si>
    <t>Reject bin at discharge almost full</t>
  </si>
  <si>
    <t>Reject bin at discharge full</t>
  </si>
  <si>
    <t>Reject bin at infeed almost full</t>
  </si>
  <si>
    <t>Reject bin at infeed full</t>
  </si>
  <si>
    <t>140ZS2</t>
  </si>
  <si>
    <t>Gegenkontrolle Gutobjekt fehlt im Gutauslauf</t>
  </si>
  <si>
    <t>Gegenkontrolle Schlechtobjekt im Gutauslauf</t>
  </si>
  <si>
    <t>Überwachung Gegenkontrolle Gutauslauf - Sensorposition prüfen</t>
  </si>
  <si>
    <t>Verification fault: good container not in good discharge</t>
  </si>
  <si>
    <t>Verification fault: reject in good discharge</t>
  </si>
  <si>
    <t>Monitoring error: verification sensor at good discharge - Check sensor position</t>
  </si>
  <si>
    <t>Goede vial ontbreekt in uitvoerbaan goede vials</t>
  </si>
  <si>
    <t>Slechte vial in uitvoerbaan goede vials</t>
  </si>
  <si>
    <t>Gegenkontrolle Gutobjekt fehlt im Gutauslauf Bahn 1</t>
  </si>
  <si>
    <t>Gegenkontrolle Schlechtobjekt im Gutauslauf Bahn 1</t>
  </si>
  <si>
    <t>Überwachung Gegenkontrolle Gutauslauf Bahn 1 - Sensorposition prüfen</t>
  </si>
  <si>
    <t>Verification fault: good container not in good discharge track 1</t>
  </si>
  <si>
    <t>Verification fault: reject in good discharge track 1</t>
  </si>
  <si>
    <t>Monitoring error: verification sensor at good discharge track 1 - Check sensor position</t>
  </si>
  <si>
    <t>141ZS1</t>
  </si>
  <si>
    <t>E126.4</t>
  </si>
  <si>
    <t>141ZS2</t>
  </si>
  <si>
    <t>E126.5</t>
  </si>
  <si>
    <t>Störung Umlenkdrehteller Auslauf 1</t>
  </si>
  <si>
    <t>Fault: discharge rotary transfer table 1</t>
  </si>
  <si>
    <t>Storing - Motor vullijn draaitafel 1 - uitvoer</t>
  </si>
  <si>
    <t>Störung Umlenkdrehteller Auslauf 2</t>
  </si>
  <si>
    <t>Fault: discharge rotary transfer table 2</t>
  </si>
  <si>
    <t>Storing - Motor vullijn draaitafel 2 - uitvoer</t>
  </si>
  <si>
    <t>142M1</t>
  </si>
  <si>
    <t>E126.6</t>
  </si>
  <si>
    <t>142M2</t>
  </si>
  <si>
    <t>E126.7</t>
  </si>
  <si>
    <t>Störung Umlenkdrehteller Auslauf 3</t>
  </si>
  <si>
    <t>Fault: discharge rotary transfer table 3</t>
  </si>
  <si>
    <t>Störung Umlenkdrehteller Auslauf 4</t>
  </si>
  <si>
    <t>Fault: discharge rotary transfer table 4</t>
  </si>
  <si>
    <t>Storing - Motor vullijn draaitafel 3 - uitvoer</t>
  </si>
  <si>
    <t>Storing - Motor vullijn draaitafel 4 - uitvoer</t>
  </si>
  <si>
    <t>142M3</t>
  </si>
  <si>
    <t>142M4</t>
  </si>
  <si>
    <t>E127.0</t>
  </si>
  <si>
    <t>E127.1</t>
  </si>
  <si>
    <t>E127.2</t>
  </si>
  <si>
    <t>143M1</t>
  </si>
  <si>
    <t>Störung Auslaufband</t>
  </si>
  <si>
    <t>Fault: discharge belt</t>
  </si>
  <si>
    <t>143ZS1</t>
  </si>
  <si>
    <t>E127.3</t>
  </si>
  <si>
    <t>Service function: machine operation without LF</t>
  </si>
  <si>
    <t>Servicefunktion Maschinenbetrieb ohne LF</t>
  </si>
  <si>
    <t>Fault: LF</t>
  </si>
  <si>
    <t>Störung LF</t>
  </si>
  <si>
    <t>E38.6</t>
  </si>
  <si>
    <t>Air flow velocity at LF too low</t>
  </si>
  <si>
    <t>Air flow velocity at LF too high</t>
  </si>
  <si>
    <t>PEW642</t>
  </si>
  <si>
    <t>PEW640</t>
  </si>
  <si>
    <t>Monitoring error: air flow velocity at LF</t>
  </si>
  <si>
    <t>Differential pressure at HEPA filter of LF too low</t>
  </si>
  <si>
    <t>Differential pressure at HEPA filter of LF too high</t>
  </si>
  <si>
    <t>Monitoring HEPA filter of LF</t>
  </si>
  <si>
    <t>Cam data transfer active</t>
  </si>
  <si>
    <t>Hardware change detected in CU7002</t>
  </si>
  <si>
    <t>Software change detected in CU7002</t>
  </si>
  <si>
    <t>Hardware wijziging gedetecteerd in CU7002</t>
  </si>
  <si>
    <t>Software wijziging gedetecteerd in CU7002</t>
  </si>
  <si>
    <t>VU 3922 - Filling Machine</t>
  </si>
  <si>
    <t>VU 3923 - Capper</t>
  </si>
  <si>
    <t>Bördelstation deaktiviert durch Parameter</t>
  </si>
  <si>
    <t>Bördelkappen prüfen vor bördeln deaktiviert durch Parameter</t>
  </si>
  <si>
    <t>Bördelkappen prüfen nach bördeln deaktiviert durch Parameter</t>
  </si>
  <si>
    <t>Bördelkappe falsche Lage prüfen deaktiviert durch Parameter</t>
  </si>
  <si>
    <t>Niederhalter Bördelkappenübergabe prüfen deaktiviert durch Parameter</t>
  </si>
  <si>
    <t>Vakuum zu niedrig</t>
  </si>
  <si>
    <t>Luftströmung zu hoch LF</t>
  </si>
  <si>
    <t>Luftströmung zu gering LF</t>
  </si>
  <si>
    <t>Überwachung Luftströmung LF</t>
  </si>
  <si>
    <t>Differenzdruck Hepafilter LF zu niedrig</t>
  </si>
  <si>
    <t>Differenzdruck Hepafilter LF zu hoch</t>
  </si>
  <si>
    <t>Überwachung Differenzdruck Hepafilter LF</t>
  </si>
  <si>
    <t>Störung Achsverbund Maschinenablauf FFV-&gt;RVB</t>
  </si>
  <si>
    <t>Fault: machine sequence axis group FFV -&gt; RVB</t>
  </si>
  <si>
    <t>Servicefunktion: Isolatoreingangssignale manuell steuern</t>
  </si>
  <si>
    <t>Service function: manual isolator signal input control</t>
  </si>
  <si>
    <t>Servicefunktion: Isolatorausgangssignale manuell steuern</t>
  </si>
  <si>
    <t>Service function: manual isolator signal output control</t>
  </si>
  <si>
    <t>Draft1_B+S / Philipp Andörfer</t>
  </si>
  <si>
    <t>Initial Draft1 Version by B+S</t>
  </si>
  <si>
    <t>Überlast Formatverstellung Sensor liegendes Objekt Bahn 1</t>
  </si>
  <si>
    <t>Überwachung Formatverstellung Sensor liegendes Objekt Bahn 1</t>
  </si>
  <si>
    <t>Endschalter Formatverstellung Sensor liegendes Objekt Bahn 1</t>
  </si>
  <si>
    <t>Formatverstellung Sensor liegendes Objekt außerhalb vom Positionierfenster Bahn 1</t>
  </si>
  <si>
    <t>Überlast Formatverstellung Sensor liegendes Objekt Bahn 2</t>
  </si>
  <si>
    <t>Überwachung Formatverstellung Sensor liegendes Objekt Bahn 2</t>
  </si>
  <si>
    <t>Endschalter Formatverstellung Sensor liegendes Objekt Bahn 2</t>
  </si>
  <si>
    <t>Formatverstellung Sensor liegendes Objekt außerhalb vom Positionierfenster Bahn 2</t>
  </si>
  <si>
    <t>Overload: fallen container sensor size adjustment, track 1</t>
  </si>
  <si>
    <t>Monitoring error: fallen container sensor size adjustment, track 1</t>
  </si>
  <si>
    <t>Limit switch: fallen container sensor size adjustment, track 1</t>
  </si>
  <si>
    <t>Fallen container sensor size adjustment not in positioning window, track 1</t>
  </si>
  <si>
    <t>Overload: fallen container sensor size adjustment, track 2</t>
  </si>
  <si>
    <t>Monitoring error: fallen container sensor size adjustment, track 2</t>
  </si>
  <si>
    <t>Limit switch: fallen container sensor size adjustment, track 2</t>
  </si>
  <si>
    <t>Fallen container sensor size adjustment not in positioning window, track 2</t>
  </si>
  <si>
    <t>Gegenkontrolle Gutobjekt fehlt im Gutauslauf Bahn 2</t>
  </si>
  <si>
    <t>Gegenkontrolle Schlechtobjekt im Gutauslauf Bahn 2</t>
  </si>
  <si>
    <t>Überwachung Gegenkontrolle Gutauslauf Bahn 2 - Sensorposition prüfen</t>
  </si>
  <si>
    <t>Verification fault: good container not in good discharge track 2</t>
  </si>
  <si>
    <t>Verification fault: reject in good discharge track 2</t>
  </si>
  <si>
    <t>Monitoring error: verification sensor at good discharge track 2 - Check sensor position</t>
  </si>
  <si>
    <t>Störung virtueller Master Hauptantrieb</t>
  </si>
  <si>
    <t>Störung virtueller Master Dosierstation</t>
  </si>
  <si>
    <t>Fault: virtual master axis, main drive</t>
  </si>
  <si>
    <t>Fault: virtual master axis, dosing station</t>
  </si>
  <si>
    <t>Draft2_B+S / Philipp Andörfer</t>
  </si>
  <si>
    <t>Transfer plate swivel movement</t>
  </si>
  <si>
    <t>45QS2/45QS6</t>
  </si>
  <si>
    <t>45QS4/45QS7</t>
  </si>
  <si>
    <t>E65.0 / E65.1</t>
  </si>
  <si>
    <t>E65.3 / E65.4</t>
  </si>
  <si>
    <t>Adaptions on 371, 372, 439, 441, 446-453,1108-1113 marked in yellow
New alarms 587, 588 marked in yellow</t>
  </si>
  <si>
    <t>40M1_2-00P01</t>
  </si>
  <si>
    <t>40M4_5-00P01</t>
  </si>
  <si>
    <t>40M7_7-00P01</t>
  </si>
  <si>
    <t>41M1</t>
  </si>
  <si>
    <t>57M1</t>
  </si>
  <si>
    <t>58M1</t>
  </si>
  <si>
    <t>78M1_3-00P01</t>
  </si>
  <si>
    <t>78M4_4-00P01</t>
  </si>
  <si>
    <t>55M1</t>
  </si>
  <si>
    <t>79Y1_1-07V01-1</t>
  </si>
  <si>
    <t>79Y1_1-07V01-2</t>
  </si>
  <si>
    <t>79Y1_1-07V02-1</t>
  </si>
  <si>
    <t>79Y1_1-07V02-2</t>
  </si>
  <si>
    <t>79Y1_1-07V03-1</t>
  </si>
  <si>
    <t>79Y1_1-07V03-2</t>
  </si>
  <si>
    <t>79Y1_1-07V07-1</t>
  </si>
  <si>
    <t>79Y1_1-07V07-2</t>
  </si>
  <si>
    <t>79Y1_1-07V08-1</t>
  </si>
  <si>
    <t>79Y1_1-07V08-2</t>
  </si>
  <si>
    <t>131M1</t>
  </si>
  <si>
    <t>127M1</t>
  </si>
  <si>
    <t>127M2</t>
  </si>
  <si>
    <t>132Y1</t>
  </si>
  <si>
    <t>133Y1</t>
  </si>
  <si>
    <t>136Y1</t>
  </si>
  <si>
    <t>Gelieve de ketting weg te nemen - bevestig met [OK]</t>
  </si>
  <si>
    <t>Glaswerk vernietigen via reject 1 omwille van overschrijding verblijftijd tunnel - bevestig met [OK]</t>
  </si>
  <si>
    <t>Gelieve te controleren dat de invoerdraaitafel en vullijn leeg zijn. Draai invoerbanen leeg met stelknop- bevestig met [OK].</t>
  </si>
  <si>
    <t>Camera 1 en 2 Stopperpositie - Vrijgave voor productie ontbreekt - testsequentie uitvoeren [OK].</t>
  </si>
  <si>
    <t>Update after review</t>
  </si>
  <si>
    <t>Marnix Van Rompaey</t>
  </si>
  <si>
    <t>Wachten op Capper</t>
  </si>
  <si>
    <t>Servicefunctie - phamaceutische alarmen onderdrukt</t>
  </si>
  <si>
    <t>Servicefunctie - isolator input signalen in manuele mode</t>
  </si>
  <si>
    <t>Servicefunctie - isolator output signalen in manuele mode</t>
  </si>
  <si>
    <t>Automaat spanningsmonitoring hoofdstroomkring afgeschakeld</t>
  </si>
  <si>
    <t>Spanningsmonitoring hoofdvoeding</t>
  </si>
  <si>
    <t>Automaat hoofdstroomkring uit - Stopcontacten machine</t>
  </si>
  <si>
    <t xml:space="preserve">Automaat Stuurkring uit - PMS bij invoer draaitafel </t>
  </si>
  <si>
    <t>Automaat Hoofdstroomkring uit - controlelamp Schakelkast</t>
  </si>
  <si>
    <t xml:space="preserve">Automaat uit - verlichting machine </t>
  </si>
  <si>
    <t>AAS: Herstaalname ter hoogte van stopper station uitgevoerd.</t>
  </si>
  <si>
    <t>Wachten op vulmachine</t>
  </si>
  <si>
    <t>Afschermkap aan reject 1 open</t>
  </si>
  <si>
    <t>Afschermkap aan reject 2 open</t>
  </si>
  <si>
    <t>Invoer sterwiel 1 niet in positie voor productie</t>
  </si>
  <si>
    <t>Reject 2 niet in positie</t>
  </si>
  <si>
    <t>Automaat Hoofdstroomkring uit - Geforceerde koeling Vacuum pompen invoer sterwielen</t>
  </si>
  <si>
    <t>Automaat stuurkring uit - hoogte instelling sensor gevallen vials in baan 1</t>
  </si>
  <si>
    <t>Automaat stuurkring uit - hoogte instelling sensor gevallen vials in baan 2</t>
  </si>
  <si>
    <t>Automaat Hoofdstroomkring uit - Ventilatie elektrische kast</t>
  </si>
  <si>
    <t>Automaat Hoofdstroomkring uit - Stopcontakt elektrische kast</t>
  </si>
  <si>
    <t>Automaat Hoofdstroomkring uit - Verlichting elektrische kast</t>
  </si>
  <si>
    <t xml:space="preserve">Automaat Hoofdstroomkring uit - Stopcontact klemmenkast +M1KK1 </t>
  </si>
  <si>
    <t xml:space="preserve">Automaat hoofdvoeding 24V uit - machine verlichting  </t>
  </si>
  <si>
    <t xml:space="preserve">Storing - Profinet station 8 - encoder hoofdaandrijving </t>
  </si>
  <si>
    <t>Lichtgordijn vullijn onderbroken - deur 7 handschoen 3</t>
  </si>
  <si>
    <t>Storing - laser scanner t.h.v. deur 8</t>
  </si>
  <si>
    <t xml:space="preserve">Storing - virtuele hoofdas hoofdaandrijving </t>
  </si>
  <si>
    <t xml:space="preserve">Storing - virtuele hoofdas doseerstation </t>
  </si>
  <si>
    <t>Dataoverdracht nokkenschakelaar hoofdas actief</t>
  </si>
  <si>
    <t>Wachten op vullen stikstof toevoerleidingen</t>
  </si>
  <si>
    <t>Laser scanner 2 t.h.v. deur 7 geactiveerd</t>
  </si>
  <si>
    <t>Storing - laser scanner 1 tussen stoppertoevoer en deur 6</t>
  </si>
  <si>
    <t xml:space="preserve">Laser scanner 1 tussen stoppertoevoer en deur 6 geactiveerd </t>
  </si>
  <si>
    <t>Storing - laser scanner 2 tussen stoppertoevoer en deur 7</t>
  </si>
  <si>
    <t>Zone van laser scanner 2 (tussen stoppertoevoer en deur 7) betreden</t>
  </si>
  <si>
    <t>Storing - laser scanner 3 t.h.v. deur 7</t>
  </si>
  <si>
    <t>Zone van laser scanner 3 (t.h.v. deur 7) betreden</t>
  </si>
  <si>
    <t>Zone van laser scanner 1 (tussen stoppertoevoer en deur 6) betreden</t>
  </si>
  <si>
    <t>Laser scanner 3 t.h.v. deur 7 geactiveerd</t>
  </si>
  <si>
    <t>Laser scanner 4 t.h.v. deur 8 geactiveerd</t>
  </si>
  <si>
    <t>Storing - laser scanner 5 t.h.v. deur 9</t>
  </si>
  <si>
    <t>Laser scanner 5 t.h.v. deur 9 geactiveerd</t>
  </si>
  <si>
    <t>Zone van laser scanner 4 (t.h.v. deur 8) betreden</t>
  </si>
  <si>
    <t xml:space="preserve">Zone van laser scanner 5 (t.h.v. deur 9) betreden  </t>
  </si>
  <si>
    <t xml:space="preserve">Storing - laser scanner 6 t.h.v. deur 10-11 </t>
  </si>
  <si>
    <t xml:space="preserve">Laser scanner 6 t.h.v. deur 10-11 geactiveerd </t>
  </si>
  <si>
    <t xml:space="preserve">Zone van laser scanner 6 (t.h.v. deur 10-11) betreden </t>
  </si>
  <si>
    <t xml:space="preserve">Mousehole tussen vullijn en capper is niet verwijderd. </t>
  </si>
  <si>
    <t>AAS: Please close sampling plate at stopper station</t>
  </si>
  <si>
    <t>AAS: Please start sampling at needle at stopper station</t>
  </si>
  <si>
    <t>AAS: Gelieve Active Air staalname ter hoogte van stopper station te starten</t>
  </si>
  <si>
    <t xml:space="preserve">AAS: Gelieve Active Air staalname ter hoogte van stopper station af te sluiten </t>
  </si>
  <si>
    <t>Automaat Hoofdstroomkring uit - Stopcontact klemmenkast</t>
  </si>
  <si>
    <t>Automaat Hoofdstroomkring uit - stopcontacten machine</t>
  </si>
  <si>
    <t>Automaat Hoofdstroomkring uit - Machine verlichting</t>
  </si>
  <si>
    <t xml:space="preserve">Automaat uit - machine verlichting </t>
  </si>
  <si>
    <t xml:space="preserve">Reject 1 niet in positie </t>
  </si>
  <si>
    <t xml:space="preserve">Emmer reject 1 bijna vol </t>
  </si>
  <si>
    <t xml:space="preserve">Emmer reject 1 vol </t>
  </si>
  <si>
    <t>Overbelasting op hoogte instelling sensor gevallen vials invoerbaan 1</t>
  </si>
  <si>
    <t>Hoogte instelling sensor gevallen vials invoerbaan 1 - Eindschakelaar bediend</t>
  </si>
  <si>
    <t xml:space="preserve">Hoogte instelling sensor gevallen vials invoerbaan 1 - niet binnen positie tolerantie </t>
  </si>
  <si>
    <t xml:space="preserve">Overbelasting op hoogte instelling sensor gevallen vials invoerbaan 2 </t>
  </si>
  <si>
    <t>Hoogte instelling sensor gevallen vials invoerbaan 2 - Eindschakelaar bediend</t>
  </si>
  <si>
    <t xml:space="preserve">Hoogte instelling sensor gevallen vials invoerbaan 2 - niet binnen positie tolerantie </t>
  </si>
  <si>
    <t>Debiet vacuum invoersterwiel 2 te laag tijdens VHP</t>
  </si>
  <si>
    <t>Debiet vacuum invoersterwiel 3 te laag tijdens VHP</t>
  </si>
  <si>
    <t>Debiet vacuum invoersterwiel 1 te laag tijdens VHP</t>
  </si>
  <si>
    <t>Debiet vacuum invoersterwiel 4 te laag tijdens VHP</t>
  </si>
  <si>
    <t>Debiet vacuum invoersterwiel 5 te laag tijdens VHP</t>
  </si>
  <si>
    <t>Debiet vacuum stopperstation te laag tijdens VHP</t>
  </si>
  <si>
    <t>Debiet vacuum uitvoersterwiel 2 te laag tijdens VHP</t>
  </si>
  <si>
    <t>Debiet vacuum uitvoersterwiel 3 te laag tijdens VHP</t>
  </si>
  <si>
    <t>Debiet PMS invoerdraaitafel te laag tijdens VHP</t>
  </si>
  <si>
    <t>Debiet PMS vulnaalden te laag tijdens VHP</t>
  </si>
  <si>
    <t>Debiet PMS stopper station te laag tijdens VHP</t>
  </si>
  <si>
    <t>Debiet AAS vulnaalden te laag tijdens VHP</t>
  </si>
  <si>
    <t>Debiet AAS stopper station te laag tijdens VHP</t>
  </si>
  <si>
    <t>Debiet AAS vulnaalden te laag</t>
  </si>
  <si>
    <t>Debiet AAS stopper station te laag</t>
  </si>
  <si>
    <t xml:space="preserve">Storing - Profinet station 13 - encoder hoofdaandrijving capper </t>
  </si>
  <si>
    <t xml:space="preserve">Emmer reject 2 bijna vol </t>
  </si>
  <si>
    <t xml:space="preserve">Emmer reject 2 vol </t>
  </si>
  <si>
    <t>Goede vial ontbreekt in uitvoerbaan 1</t>
  </si>
  <si>
    <t>Slechte vial in uitvoerbaan 1</t>
  </si>
  <si>
    <t>Goede vial ontbreekt in uitvoerbaan 2</t>
  </si>
  <si>
    <t>Slechte vial in uitvoerbaan 2</t>
  </si>
  <si>
    <t>Updates based on special requirements from Pfizer - marked in yellow</t>
  </si>
  <si>
    <t>Abschaltung druckbringende Medien von Isolator</t>
  </si>
  <si>
    <t>Min-Vorrat Stopfenzufuhr ATEC</t>
  </si>
  <si>
    <t>Stopper supply nearly empty at ATEC</t>
  </si>
  <si>
    <t>Störung Profinet Station 9 Switch</t>
  </si>
  <si>
    <t>Fault: Profinet station 9 - switch</t>
  </si>
  <si>
    <t>20U1</t>
  </si>
  <si>
    <t>Storing - Profinet station 9 - switch</t>
  </si>
  <si>
    <t>Störung Profinet Station 16 Switch</t>
  </si>
  <si>
    <t>Fault: Profinet station 16 - switch</t>
  </si>
  <si>
    <t>20U2</t>
  </si>
  <si>
    <t>Storing - Profinet station 16 - switch</t>
  </si>
  <si>
    <t>Verkleidung offen Mousehole Auslauf - während VHP</t>
  </si>
  <si>
    <t>Guard open, mousehole at discharge - during VHP</t>
  </si>
  <si>
    <t>Mousehole aan uitvoer open -  tijdens VHP</t>
  </si>
  <si>
    <t>Production</t>
  </si>
  <si>
    <t>Verkleidung offen Mousehole Einlaufdrehteller - während VHP</t>
  </si>
  <si>
    <t>Guard open, mousehole at infeed rotary table - during VHP</t>
  </si>
  <si>
    <t>Mousehole aan invoerdraaitafel open - tijdens VHP</t>
  </si>
  <si>
    <t>Min. Leistung Hauptantrieb unterschritten (par208) - Leistung erhöhen um Absetzen des Produktes zu vermeiden.</t>
  </si>
  <si>
    <t>Production speed below "Min. speed of main drive" (par208) - Increase speed to avoid product settlement.</t>
  </si>
  <si>
    <t>Überwachung Sensoren Liegendes Objekt Einlauf 1</t>
  </si>
  <si>
    <t>Monitoring error sensors: Fallen container, infeed 1</t>
  </si>
  <si>
    <t>Überwachung Sensoren Liegendes Objekt Einlauf 2</t>
  </si>
  <si>
    <t>Monitoring error sensors: Fallen container, infeed 2</t>
  </si>
  <si>
    <t>Rührer Dosierbehälter gestoppt</t>
  </si>
  <si>
    <t>Dosing vessel stirrer stopped</t>
  </si>
  <si>
    <t>PED880</t>
  </si>
  <si>
    <t>Max. Dauer keine Dosierung abgelaufen</t>
  </si>
  <si>
    <t>No filling for max. time</t>
  </si>
  <si>
    <t>Ventil Produktzirkulation nicht in Zirkulationsposition obwohl Dosierstopp abgelaufen</t>
  </si>
  <si>
    <t xml:space="preserve">Circulation valve not in circulation position although dosing downtime is elapsed </t>
  </si>
  <si>
    <t>Auffangbehälter für Produktverwurf voll</t>
  </si>
  <si>
    <t>Product reject bottle is full</t>
  </si>
  <si>
    <t>Maschine nicht bereit für auto. Produktpfadspülen in Produktauffangbehälter (anti-crystalization)</t>
  </si>
  <si>
    <t>Machine not ready for automatic flush sequence (anti-crystalization)</t>
  </si>
  <si>
    <t>Download für neuen Objekttyp erkannt.
Um Beschädigungen zu vermeiden bitte alle Formatteile ausbauen!</t>
  </si>
  <si>
    <t>Download for new vial type detected.
To avoid damage please remove all size parts now!</t>
  </si>
  <si>
    <t>Maschine nicht positioniert</t>
  </si>
  <si>
    <t>Machine not in position</t>
  </si>
  <si>
    <t>Machine niet gepositioneerd</t>
  </si>
  <si>
    <t>Bitte neue Formatteile einbauen! Bitte Funktion "IPC Zangen auf Einbauposition fahren" nutzen.</t>
  </si>
  <si>
    <t>Please install new size parts now! For IPC grippers please use function "Move IPC grippers to installation position"</t>
  </si>
  <si>
    <t>Gelieve de nieuwe formaatdelen te plaatsen</t>
  </si>
  <si>
    <t>Gelieve de formaatdelen te plaatsen en bevestig met OK wanneer dit uitgevoerd is.</t>
  </si>
  <si>
    <t>Bitte Sensoren Teachen!</t>
  </si>
  <si>
    <t>Please teach sensors now!</t>
  </si>
  <si>
    <t>Gelieve de sensoren te teachen</t>
  </si>
  <si>
    <t xml:space="preserve">Gelieve de sensoren te teachen en bevestig met OK </t>
  </si>
  <si>
    <t>Aktivieren Sie die Entlüftung, um die Charge zu starten</t>
  </si>
  <si>
    <t>Activate bleeding to start batch</t>
  </si>
  <si>
    <t>Activeer de "Ontluchten" functie om de batch te starten. 
Deze pop-up verdwijnt automatisch wanneer ontluchten en voorproductie doorlopen zijn.</t>
  </si>
  <si>
    <t>Waage Dosierbehälter nicht innerhalb der Toleranz</t>
  </si>
  <si>
    <t>Value of dosing vessel scale not within tolerance</t>
  </si>
  <si>
    <t>Waarde balans buffervat niet binnnen limieten bij start opvullen</t>
  </si>
  <si>
    <t>Waarde balans buffervat niet binnnen limieten bij start opvullen. Druk "OK" om opnieuw tarreren of "Doorgaan zonder tarreren" om verder te gaan.</t>
  </si>
  <si>
    <t>Befüllen Dosierbehälter begann ohne korrektes Tarieren der Waage</t>
  </si>
  <si>
    <t>Level control dosing vessel started without correct scale taring</t>
  </si>
  <si>
    <t>Opvullen buffervat gestart zonder correcte tarrering van de balans</t>
  </si>
  <si>
    <t>Störung Kommunikation nachgeschaltete Maschine</t>
  </si>
  <si>
    <t>Fault: communication with machine downstream</t>
  </si>
  <si>
    <t>Freigabe Produktion von nachgeschalteter Maschine fehlt</t>
  </si>
  <si>
    <t>No production release from machine downstream</t>
  </si>
  <si>
    <t>Leistungsreduzierung Objektstau nachgeschaltete Maschine</t>
  </si>
  <si>
    <t>Output reduction caused by machine downstream</t>
  </si>
  <si>
    <t>Servicefunktion Maschinenbetrieb ohne nachgeschaltete Maschine</t>
  </si>
  <si>
    <t>Service function: machine operation without machine downstream</t>
  </si>
  <si>
    <t>Objektstau Auslaufband</t>
  </si>
  <si>
    <t>Download van ander vial type gedetecteerd.
Gelieve alle formaatdelen te verwijderen</t>
  </si>
  <si>
    <t>Bitte neue Formatteile einbauen!</t>
  </si>
  <si>
    <t>Please install new size parts now!</t>
  </si>
  <si>
    <t>Storing: geen communicatie met volgende machine</t>
  </si>
  <si>
    <t>Geen vrijgave voor productie door volgende machine</t>
  </si>
  <si>
    <t>Daling van uitvoer door volgende machine</t>
  </si>
  <si>
    <t>Servicefunctie - Machinegebruik zonder volgende machine</t>
  </si>
  <si>
    <t>Sensor vacuum sterwielen invoer - Sensorfout</t>
  </si>
  <si>
    <t>Vacuum sensor stopper station - Sensorfout</t>
  </si>
  <si>
    <t>Vacuum sensor sterwielen uitvoer - Sensorfout</t>
  </si>
  <si>
    <t>Sensor detectie Invoerdraaitafel vol - Sensorfout</t>
  </si>
  <si>
    <t>Gevallen vials aan invoerbaan 1 - Sensorfout</t>
  </si>
  <si>
    <t>Gevallen vials aan invoerbaan 2 - Sensorfout</t>
  </si>
  <si>
    <t>Vial detectie aan invoer transportband - Sensorfout</t>
  </si>
  <si>
    <t>Hoogte instelling sensor gevallen vials invoerbaan 1 - Sensorfout</t>
  </si>
  <si>
    <t>Hoogte instelling sensor gevallen vials invoerbaan 2 - Sensorfout</t>
  </si>
  <si>
    <t xml:space="preserve">Machine niet gereed voor automatische spoel sequentie (anti-kristallisatie) </t>
  </si>
  <si>
    <t>Niveaumeting stoppers in de stopper hopper - Sensorfout</t>
  </si>
  <si>
    <t>Niveaumeting stoppers in de trilkuip - Sensorfout</t>
  </si>
  <si>
    <t>Sensor aanwezigheid stoppers - Sensorfout</t>
  </si>
  <si>
    <t>Vacuumsensor vullijn PMS (VHP bypass) cyclus - Sensorfout</t>
  </si>
  <si>
    <t>Vacuumsensor vullijn AAS (VHP bypass) - Sensorfout</t>
  </si>
  <si>
    <t>Flowmeting AAS vulnaalden - Sensorfout</t>
  </si>
  <si>
    <t>Flowmeting AAS stopper station - Sensorfout</t>
  </si>
  <si>
    <t>Sensorfout tegencontrole vacuum sterwiel invoer - Controleer sensor positie</t>
  </si>
  <si>
    <t>PAS: Please close sampling plate at needle movement</t>
  </si>
  <si>
    <t>PAS: Please start sampling at needle movement</t>
  </si>
  <si>
    <t>PAS: Please close sampling plate at infeed turning table</t>
  </si>
  <si>
    <t>PAS: Please start sampling at infeed turning table</t>
  </si>
  <si>
    <t>Disconnection of pressurised media by isolator</t>
  </si>
  <si>
    <t>Container build-up on discharge belt</t>
  </si>
  <si>
    <t>Sensorfout tegencontrole uitvoerbaan goede vials - Controleer sensor positie</t>
  </si>
  <si>
    <t>Sensorfout tegencontrole uitvoerbaan 1 - Controleer sensor positie</t>
  </si>
  <si>
    <t>Sensorfout tegencontrole uitvoerbaan 2 - Controleer sensor positie</t>
  </si>
  <si>
    <t>Stopper voorraad bijna leeg aan ATEC</t>
  </si>
  <si>
    <t>PAS: Gelieve Passive Air staalname ter hoogte van de naalden af te sluiten</t>
  </si>
  <si>
    <t>PAS: Gelieve Passive Air staalname ter hoogte van de naalden te starten.</t>
  </si>
  <si>
    <t>PAS: Gelieve Passive Air staalname ter hoogte van invoer draaitafel af te sluiten</t>
  </si>
  <si>
    <t>PAS: Gelieve Passive Air staalname ter hoogte van invoer draaitafel te starten.</t>
  </si>
  <si>
    <t>Onmiddelijke stopknop ingedrukt - voorzijde</t>
  </si>
  <si>
    <t>Onmiddelijke stopknop ingedrukt - achterzijde</t>
  </si>
  <si>
    <t>Immediate stop button pressed front</t>
  </si>
  <si>
    <t>Immediate stop button pressed rear</t>
  </si>
  <si>
    <t>115S2</t>
  </si>
  <si>
    <t>115S1</t>
  </si>
  <si>
    <t>Mechanische barriere aan capper niet geïnstalleerd</t>
  </si>
  <si>
    <t>Fout op de virtuele as-groep van de Jetter drives voor machinesequentie - Assen uitgeschakeld</t>
  </si>
  <si>
    <t>Fout op de virtuele as-groep van de Jetter drives voor dosing station - Assen uitgeschakeld</t>
  </si>
  <si>
    <t>Fout op de virtuele as-groep van de Jetter drives voor rotary piston pompen - Assen uitgeschakeld</t>
  </si>
  <si>
    <t>Fout op de virtuele as-groep vulmachine --&gt; capper van de Jetter drives voor machinesequentie - Assen uitgeschakeld</t>
  </si>
  <si>
    <t>Lijnsnelheid te laag - Gelieve snelheid te verhogen om product neerslag te voorkomen</t>
  </si>
  <si>
    <t>Maximale tijd zonder afvulling overschreden</t>
  </si>
  <si>
    <t xml:space="preserve">Drieweg klep niet in circulatie stand na verstrijken van dosering stilstandtijd </t>
  </si>
  <si>
    <t>Container voor productcollectie is vol</t>
  </si>
  <si>
    <t>Hoogteverstelling camera 1 en 2 stopperpositie - Sensorfout</t>
  </si>
  <si>
    <t>Niveau caps in bunker caps - Sensorfout</t>
  </si>
  <si>
    <t>Niveaumeting caps in hopper - Sensorfout</t>
  </si>
  <si>
    <t>Hoogteverstelling rolmes - Sensorfout</t>
  </si>
  <si>
    <t>Cap detectie VOOR cappen - Sensorfout</t>
  </si>
  <si>
    <t>Capdetectie NA cappen - Sensorfout</t>
  </si>
  <si>
    <t xml:space="preserve">Capping druk - Sensorfout </t>
  </si>
  <si>
    <t>Hoogteverstelling langsbaan caps - Sensorfout</t>
  </si>
  <si>
    <t>Niveaumeting caps in trilkuip - Sensorfout</t>
  </si>
  <si>
    <t>Control power circuit protection switch triggered - discharge belt</t>
  </si>
  <si>
    <t>Automaat Stuurkring uit - Motor uitvoerband</t>
  </si>
  <si>
    <t>Accumulatie vials aan uitvoerband</t>
  </si>
  <si>
    <t>Storing - Motor uitvoerband</t>
  </si>
  <si>
    <t>Update after meetings with B&amp;S</t>
  </si>
  <si>
    <t xml:space="preserve">Drukhoudende media afgesloten door isolator </t>
  </si>
  <si>
    <t>Niveau in doseervat onder minimum. Ga door totdat de slangen leeg zijn en vermijd draaien met droge pompen! [OK]</t>
  </si>
  <si>
    <t>130M1</t>
  </si>
  <si>
    <t>48M1</t>
  </si>
  <si>
    <t>48M2</t>
  </si>
  <si>
    <t>50M1</t>
  </si>
  <si>
    <t>50M2</t>
  </si>
  <si>
    <t>65M1</t>
  </si>
  <si>
    <t>65M2</t>
  </si>
  <si>
    <t>67M1</t>
  </si>
  <si>
    <t>67M2</t>
  </si>
  <si>
    <t>70Y2</t>
  </si>
  <si>
    <t>72Y2</t>
  </si>
  <si>
    <t>CAP_Capper.pdl</t>
  </si>
  <si>
    <t>VLM_Vulmachine.pdl</t>
  </si>
  <si>
    <t>Automaat Hoofdstroomkring uit - Reserve</t>
  </si>
  <si>
    <t>Aardlekschakelaar uit - Reserve</t>
  </si>
  <si>
    <t>Automaat Stuurkring uit - Reserve</t>
  </si>
  <si>
    <t>Automaat uit - Reserve</t>
  </si>
  <si>
    <t>Servicefunktion Maschinenbetrieb ohne DHT</t>
  </si>
  <si>
    <t>Service function: machine operation without DHT</t>
  </si>
  <si>
    <t>Servicefunctie - Machinegebruik zonder DHT</t>
  </si>
  <si>
    <t>Störung Profinet Station 24 Switch</t>
  </si>
  <si>
    <t>Fault: Profinet station 24 - switch</t>
  </si>
  <si>
    <t>Storing - Profinet station 24 - switch</t>
  </si>
  <si>
    <t>20U3</t>
  </si>
  <si>
    <t>Eingabefehler: Dosierhub zu groß im Umpumpen</t>
  </si>
  <si>
    <t>Wrong input: dosing stroke too large during product circulation</t>
  </si>
  <si>
    <t>Fout parameter ingave: Instelling pompslag te groot voor ompompen</t>
  </si>
  <si>
    <t>Compressed air pressure too low beyond vent valve product supply</t>
  </si>
  <si>
    <t>51PS1</t>
  </si>
  <si>
    <t>E92.6</t>
  </si>
  <si>
    <t>Summenfehler Objekt fehlt im Transport</t>
  </si>
  <si>
    <t>Consecutive fault: container missing in transport</t>
  </si>
  <si>
    <t>Überwachung Drehzahlsensor Rührer Dosierbehälter</t>
  </si>
  <si>
    <t>52ZS1</t>
  </si>
  <si>
    <t>PEW868</t>
  </si>
  <si>
    <t>Dosierung unterbrochen</t>
  </si>
  <si>
    <t>Dosing interrupted</t>
  </si>
  <si>
    <t>Monitoring error: dosing vessel stirrer speed sensor</t>
  </si>
  <si>
    <t>Durchfluss VHP nicht erreicht Auslaufrad 1 Sensor 1</t>
  </si>
  <si>
    <t>Flow rate not reached during VHP at discharge wheel 1 sensor 1</t>
  </si>
  <si>
    <t>Durchfluss VHP nicht erreicht Auslaufrad 1 Sensor 2</t>
  </si>
  <si>
    <t>Flow rate not reached during VHP at discharge wheel 1 sensor 2</t>
  </si>
  <si>
    <t>76FS1</t>
  </si>
  <si>
    <t>76ZS2</t>
  </si>
  <si>
    <t>E94.2</t>
  </si>
  <si>
    <t>E94.1</t>
  </si>
  <si>
    <t>77FS5</t>
  </si>
  <si>
    <t>76ZS1</t>
  </si>
  <si>
    <t>E105.3</t>
  </si>
  <si>
    <t>E94.0</t>
  </si>
  <si>
    <t>Sofort-Stopp betätigt Bedienseite</t>
  </si>
  <si>
    <t>Sofort-Stopp betätigt Rückseite</t>
  </si>
  <si>
    <t>Antidrip active</t>
  </si>
  <si>
    <t>Antidrip aktiv</t>
  </si>
  <si>
    <t>B&amp;S</t>
  </si>
  <si>
    <t>N/A</t>
  </si>
  <si>
    <t>Daniele Vellei</t>
  </si>
  <si>
    <t>Alarm class review</t>
  </si>
  <si>
    <t>Vial ontbreekt aan invoer transportband - Herhalingsfout</t>
  </si>
  <si>
    <t>Afvullen onderbroken</t>
  </si>
  <si>
    <t>Drieweg klep schakelen actief om terugtrekking product /druppende naalden te vermijden</t>
  </si>
  <si>
    <t>Debiet vacuum uitvoersterwiel 1 te laag tijdens VHP - Sensor 2</t>
  </si>
  <si>
    <t>Debiet vacuum uitvoersterwiel 1 te laag tijdens VHP - Sensor 1</t>
  </si>
  <si>
    <t>Elke Fransen</t>
  </si>
  <si>
    <t>Dutch translations + opkleuring + lichtbalk aangevuld</t>
  </si>
  <si>
    <t>Activeer ontluchten</t>
  </si>
  <si>
    <t>Siemens</t>
  </si>
  <si>
    <t>pfnr 985 and 986 changed picture</t>
  </si>
  <si>
    <t>Femke Pinxten</t>
  </si>
  <si>
    <t>Schutzschalter ausgelöst Hauptstromkreis - 400V</t>
  </si>
  <si>
    <t>Main power circuit protection switch triggered - 400V</t>
  </si>
  <si>
    <t>Automaat Hoofdstroomkring uit - 400V</t>
  </si>
  <si>
    <t>Abdeckung offen Produktzirkulationsventil</t>
  </si>
  <si>
    <t>Guard open product circulation valve</t>
  </si>
  <si>
    <t>Product circulation valve</t>
  </si>
  <si>
    <t>Druck Druckluft zu niedrig nach Entlüftungsventil Produktzirkulation</t>
  </si>
  <si>
    <t>Compressed air pressure too low beyond vent valve product circulation</t>
  </si>
  <si>
    <t>Druck Druckluft zu niedrig nach Entlüftungsventil Produktzufuhr</t>
  </si>
  <si>
    <t>E36.1</t>
  </si>
  <si>
    <t>Durchfluss Begasungskanal zu gering</t>
  </si>
  <si>
    <t>Gas flow rate too low, gas-flushing tunnel</t>
  </si>
  <si>
    <t>Überwachung Begasungskanal</t>
  </si>
  <si>
    <t>Monitoring error: gas-flushing tunnel</t>
  </si>
  <si>
    <t>PAS: Bitte schließen Sie die Probeentnahme an der Nadelbewegung</t>
  </si>
  <si>
    <t>PAS: Bitte starten Sie die Probeentnahme an der Nadelbewegung</t>
  </si>
  <si>
    <t>PAS: Bitte schließen Sie die Probeentnahme an der Einlaufdrehteller</t>
  </si>
  <si>
    <t>PAS: Bitte starten Sie die Probeentnahme an der Einlaufdrehteller</t>
  </si>
  <si>
    <t>Überwachung Analogwert Sauerstoffgehalt</t>
  </si>
  <si>
    <t>Monitoring error: analog value of level of oxygen</t>
  </si>
  <si>
    <t>84US1</t>
  </si>
  <si>
    <t>PEW778</t>
  </si>
  <si>
    <t>Minimaler Sauerstoffgehalt unterschritten</t>
  </si>
  <si>
    <t>Oxygen level below minimum</t>
  </si>
  <si>
    <t>Schutzschalter ausgelöst Hauptstromkreis - Spannungsversorgung LF</t>
  </si>
  <si>
    <t>Main power circuit protection switch triggered - LFO power supply</t>
  </si>
  <si>
    <t>1F4</t>
  </si>
  <si>
    <t>E213.0</t>
  </si>
  <si>
    <t>Schutzschalter ausgelöst Hauptstromkreis - Netzkontrolle LF</t>
  </si>
  <si>
    <t>Main power circuit protection switch triggered - LFO pilot lamp</t>
  </si>
  <si>
    <t>1F5</t>
  </si>
  <si>
    <t>E213.1</t>
  </si>
  <si>
    <t>Adaptions during commissioning + New requirements by Pfizer (marked in yellow)</t>
  </si>
  <si>
    <t>51PS2</t>
  </si>
  <si>
    <t>E92.7</t>
  </si>
  <si>
    <t>Afschermkap pinch valve grote recicrulatie loop open</t>
  </si>
  <si>
    <t>Druk stuurperslucht te laag - vulmachine</t>
  </si>
  <si>
    <t>Druk stuurperslucht te laag - capper</t>
  </si>
  <si>
    <t>Perslucht druk te laag na ontluchtingsventiel pinch valve grote recirculatie loop</t>
  </si>
  <si>
    <t>Perslucht druk te laag na ontluchtingsventiel pinch valve producttoevoer naar buffervat</t>
  </si>
  <si>
    <t xml:space="preserve">Stikstofdebiet begassingstation te laag </t>
  </si>
  <si>
    <t>Stikstofdebiet begassingstation - Sensorfout</t>
  </si>
  <si>
    <t>Zuurstofmeting onder vulmachine - Sensorfout</t>
  </si>
  <si>
    <t>Zuurstofniveau onder vulmachine te laag - veiligheidsgevaar bij betreden technische ruimte!</t>
  </si>
  <si>
    <t>IPC tarra weging - verificatie geslaagd. Afwijking gewicht = xxxx (DB59010.DBD16868) [OK]</t>
  </si>
  <si>
    <t>IPC bruto weging - verificatie geslaagd. Afwijking gewicht = xxxx (DB59010.DBD16872) [OK]</t>
  </si>
  <si>
    <t>Debiet vacuum invoersterwiel 6 te laag tijdens VHP</t>
  </si>
  <si>
    <t>Automaat Stuurkring uit - Mixer buffervat</t>
  </si>
  <si>
    <t>Toerentalmeting mixer buffervat - Sensorfout</t>
  </si>
  <si>
    <t xml:space="preserve">Mixer van buffervat gestopt met werken </t>
  </si>
  <si>
    <t>Gelieve weegschaal buffervat te tarreren</t>
  </si>
  <si>
    <t>Netto gewicht in de buffervat - Waarschuwing Laag niveau</t>
  </si>
  <si>
    <t>Netto gewicht in de buffervat - Hoog niveau</t>
  </si>
  <si>
    <t>Weegcel buffervat - Sensorfout</t>
  </si>
  <si>
    <t>Toerentalmeting mixer buffervat - Afwijking snelheid te hoog</t>
  </si>
  <si>
    <t>Mixer buffervat - Storing</t>
  </si>
  <si>
    <t>Working without level control</t>
  </si>
  <si>
    <t>Schutzschalter ausgelöst Hauptstromkreis - Ionisation</t>
  </si>
  <si>
    <t>Main power circuit protection switch triggered - static elimination</t>
  </si>
  <si>
    <t>stopper separator</t>
  </si>
  <si>
    <t>43US1</t>
  </si>
  <si>
    <t>45QS1/45QS2/45QS6</t>
  </si>
  <si>
    <t>45QS3/45QS4/45QS7</t>
  </si>
  <si>
    <t>Durchfluss VHP nicht erreicht Begasungskanal</t>
  </si>
  <si>
    <t>Flow rate not reached during VHP at gas-flushing tunnel</t>
  </si>
  <si>
    <t>Störung Ventil Bypass Begasungskanal</t>
  </si>
  <si>
    <t>Fault: bypass valve at gas-flushing tunnel</t>
  </si>
  <si>
    <t>Störung Ventil Begasungskanal</t>
  </si>
  <si>
    <t>Fault: valve at gas-flushing tunnel</t>
  </si>
  <si>
    <t>Schutzschalter ausgelöst Steuerstromkreis - Höhenverst. Zuführbahn Bördelkappen</t>
  </si>
  <si>
    <t xml:space="preserve">Control power protection switch triggered - crimp-cap feed track height adjustment </t>
  </si>
  <si>
    <t>Schutzschalter ausgelöst Steuerstromkreis - Höhenverstellung Bördelkopf</t>
  </si>
  <si>
    <t>Control power protection switch triggered - crimping tool height adjustment</t>
  </si>
  <si>
    <t>137ZS1</t>
  </si>
  <si>
    <t>125ZS1</t>
  </si>
  <si>
    <t>Reject emmer 1 is bijna vol. Gelieve lege emmer te plaatsen - bevestig met "Reset" aan reject 1.</t>
  </si>
  <si>
    <t>Reject emmer 2 is bijna vol. Gelieve lege emmer te plaatsen - bevestig met "Reset" aan reject 2.</t>
  </si>
  <si>
    <t>Download van een ander vial type gedetecteerd. Selecteer "Formaat wissel positie" en wacht tot hoogste positie bereikt is.
Verwijder daarna alle formaatdelen om beschadiging te voorkomen. Bevestig pas met OK wanneer alle formaatdelen verwijderd zijn!</t>
  </si>
  <si>
    <t>Niveauregeling gedeactiveerd door parameter</t>
  </si>
  <si>
    <t>Debiet vacuum stikstofbegassingsleiding te laag tijdens VHP</t>
  </si>
  <si>
    <t>Terugmeldingsfout - VHP bypassklep stikstofbegassingsleiding</t>
  </si>
  <si>
    <t xml:space="preserve">Terugmeldingsfout - Klep stikstoftoevoer </t>
  </si>
  <si>
    <t>Automaat Stuurkring uit - Hoogteverstelling langsbaan caps</t>
  </si>
  <si>
    <t>Automaat Stuurkring uit - Hoogteverstelling rolmes</t>
  </si>
  <si>
    <t>Updates after FAT + Bugfix</t>
  </si>
  <si>
    <t>51S1</t>
  </si>
  <si>
    <t>Download für neuen Objekttyp erkannt.
Um Beschädigungen zu vermeiden bitte alle Formatteile außer IPC Zangen ausbauen!</t>
  </si>
  <si>
    <t>Main power circuit protection switch triggered - raise target, stopper inspection</t>
  </si>
  <si>
    <t>Main power circuit protection switch triggered - swivel target, stopper inspection</t>
  </si>
  <si>
    <t>Control power circuit protection switch triggered - stopper inspection height adjustment</t>
  </si>
  <si>
    <t>A8</t>
  </si>
  <si>
    <t>Changes after FAT VL3</t>
  </si>
  <si>
    <t>Automaat Hoofdstroomkring uit - Verticale beweging stopperinspectie</t>
  </si>
  <si>
    <t>Automaat Hoofdstroomkring uit - Draai beweging stopperinspectie</t>
  </si>
  <si>
    <t>Automaat Stuurkring uit - Hoogteverstelling voor stopperinspectie</t>
  </si>
  <si>
    <t>Download van ander vial type gedetecteerd. Verwijder alle formaatdelen, behalve de IPC grijpers, om schade te voorkomen !</t>
  </si>
  <si>
    <t>Draft3_B+S / Philipp Andörfer</t>
  </si>
  <si>
    <t>Alarm 301 removed, Alarmclass 1030 + 1105 changed to D2 according to Femke Pinxten</t>
  </si>
  <si>
    <t>A9</t>
  </si>
  <si>
    <t>Servicefunctie - Machinegebruik zonder AHU</t>
  </si>
  <si>
    <t>Automaat Hoofdstroomkring uit - Voeding AHU capper</t>
  </si>
  <si>
    <t>Automaat Hoofdstroomkring uit - Voeding indicatie led AHU capper</t>
  </si>
  <si>
    <t>Storing AHU</t>
  </si>
  <si>
    <t>Luchtsnelheid bij AHU - Sensorfout</t>
  </si>
  <si>
    <t>Luchtsnelheid bij AHU te laag</t>
  </si>
  <si>
    <t>Luchtsnelheid bij AHU te hoog</t>
  </si>
  <si>
    <t>Verschildruk HEPA filter AHU te laag</t>
  </si>
  <si>
    <t>Verschildruk HEPA filter AHU te hoog</t>
  </si>
  <si>
    <t>Verschildruk HEPA filter AHU - Sensorfout</t>
  </si>
  <si>
    <t>Changes see details</t>
  </si>
  <si>
    <t>Maindrive</t>
  </si>
  <si>
    <t>PMS-A</t>
  </si>
  <si>
    <t>PMS invoerdraaitafel: Technisch alarm vanuit PMS teller | alarm_code: TEMVDIA</t>
  </si>
  <si>
    <t>PMS invoerdraaitafel: Geen communicatie met Edge Device</t>
  </si>
  <si>
    <t>PMS invoerdraaitafel: Geen comunicatie tussen Edge Device en PMS teller | alarm_code: CNNCDIA</t>
  </si>
  <si>
    <t>PMS-W</t>
  </si>
  <si>
    <t>PMS invoerdraaitafel: Storing debietmeting | alarm_code: FLMVDIA</t>
  </si>
  <si>
    <t>PMS invoerdraaitafel: Onjuist antwoord van Edge Device</t>
  </si>
  <si>
    <t>PMS invoerdraaitafel: Aantal 0.5µm deeltjes per ft³ te hoog | alarm_code: 05MVDIA</t>
  </si>
  <si>
    <t>PMS invoerdraaitafel: Aantal 5.0µm deeltjes per ft³ te hoog | alarm_code: 50MVDIA</t>
  </si>
  <si>
    <t>PMS invoerdraaitafel: Waarschuwing aantal 0.5 µm deeltjes per ft³ in laatste 10min 3x overschreden | alarm_code: 05CRTXW</t>
  </si>
  <si>
    <t>PMS invoerdraaitafel: Waarschuwing aantal 5.0 µm deeltjes per ft³ in laatste 10min 3x overschreden | alarm_code:  50CRTXW</t>
  </si>
  <si>
    <t>PMS invoerdraaitafel: Waarschuwing aantal 0.5 µm deeltjes per m³ te hoog | alarm_code:  05CRTIW</t>
  </si>
  <si>
    <t>PMS invoerdraaitafel: Waarschuwing aantal 5.0 µm deeltjes per m³ te hoog | alarm_code:  50CRTIW</t>
  </si>
  <si>
    <t>PMS invoerdraaitafel: Aantal 0.5 µm deeltjes per m³ te hoog | alarm_code: 05CRTIA</t>
  </si>
  <si>
    <t>PMS invoerdraaitafel: Aantal 5.0 µm deeltjes per m³ te hoog | alarm_code: 50CRTIA</t>
  </si>
  <si>
    <t>PMS vulnaalden: Geen communicatie met Edge Device</t>
  </si>
  <si>
    <t>PMS vulnaalden: Technisch alarm vanuit PMS teller | alarm_code: TEMVDIA</t>
  </si>
  <si>
    <t>PMS vulnaalden: Geen comunicatie tussen Edge Device en PMS teller | alarm_code: CNNCDIA</t>
  </si>
  <si>
    <t>PMS vulnaalden: Storing debietmeting | alarm_code: FLMVDIA</t>
  </si>
  <si>
    <t>PMS vulnaalden: Onjuist antwoord van Edge Device</t>
  </si>
  <si>
    <t>PMS vulnaalden: Aantal 0.5µm deeltjes per ft³ te hoog | alarm_code: 05MVDIA</t>
  </si>
  <si>
    <t>PMS vulnaalden: Aantal 5.0µm deeltjes per ft³ te hoog | alarm_code: 50MVDIA</t>
  </si>
  <si>
    <t>PMS vulnaalden: Waarschuwing aantal 0.5 µm deeltjes per ft³ in laatste 10min 3x overschreden | alarm_code: 05CRTXW</t>
  </si>
  <si>
    <t>PMS vulnaalden: Waarschuwing aantal 5.0 µm deeltjes per ft³ in laatste 10min 3x overschreden | alarm_code:  50CRTXW</t>
  </si>
  <si>
    <t>PMS vulnaalden: Waarschuwing aantal 0.5 µm deeltjes per m³ te hoog | alarm_code:  05CRTIW</t>
  </si>
  <si>
    <t>PMS vulnaalden: Waarschuwing aantal 5.0 µm deeltjes per m³ te hoog | alarm_code:  50CRTIW</t>
  </si>
  <si>
    <t>PMS vulnaalden: Aantal 0.5 µm deeltjes per m³ te hoog | alarm_code: 05CRTIA</t>
  </si>
  <si>
    <t>PMS vulnaalden: Aantal 5.0 µm deeltjes per m³ te hoog | alarm_code: 50CRTIA</t>
  </si>
  <si>
    <t>PMS Stopper station: Geen communicatie met Edge Device</t>
  </si>
  <si>
    <t>No communication with PMS Edge Device of PMS at stopper station</t>
  </si>
  <si>
    <t>Technical alarm with the particle counter PMS at stopper station</t>
  </si>
  <si>
    <t>Communication alarm between EDGE and PMS counter at stopper station</t>
  </si>
  <si>
    <t>Flow error PMS at stopper station</t>
  </si>
  <si>
    <t>Incorrect Respons from Edge device PMS at stopper station</t>
  </si>
  <si>
    <t>Measurement 0.5 µm/ft³ above limit PMS at stopper station</t>
  </si>
  <si>
    <t>Measurement 5.0 µm/ft³ above limit PMS at stopper station</t>
  </si>
  <si>
    <t>Warning with measurement 3x 0.5 µm/ft³ last 10min. PMS at stopper station</t>
  </si>
  <si>
    <t>Warning with measurement 3x 5.0 µm/ft³ last 10min. PMS at stopper station</t>
  </si>
  <si>
    <t>Warning with calculation 0.5 µm/m³ PMS at stopper station</t>
  </si>
  <si>
    <t>Warning with calculation 5.0 µm/m³ PMS at stopper station</t>
  </si>
  <si>
    <t>Alarm with calculation 0.5 µm/m³ PMS at stopper station</t>
  </si>
  <si>
    <t>Alarm with calculation 5.0 µm/m³ PMS at stopper station</t>
  </si>
  <si>
    <t>PMS Stopper station: Technisch alarm vanuit PMS teller | alarm_code: TEMVDIA</t>
  </si>
  <si>
    <t>PMS Stopper station: Geen comunicatie tussen Edge Device en PMS teller | alarm_code: CNNCDIA</t>
  </si>
  <si>
    <t>PMS Stopper station: Storing debietmeting | alarm_code: FLMVDIA</t>
  </si>
  <si>
    <t>PMS Stopper station: Onjuist antwoord van Edge Device</t>
  </si>
  <si>
    <t>PMS Stopper station: Aantal 0.5µm deeltjes per ft³ te hoog | alarm_code: 05MVDIA</t>
  </si>
  <si>
    <t>PMS Stopper station: Aantal 5.0µm deeltjes per ft³ te hoog | alarm_code: 50MVDIA</t>
  </si>
  <si>
    <t>PMS Stopper station: Waarschuwing aantal 0.5 µm deeltjes per ft³ in laatste 10min 3x overschreden | alarm_code: 05CRTXW</t>
  </si>
  <si>
    <t>PMS Stopper station: Waarschuwing aantal 5.0 µm deeltjes per ft³ in laatste 10min 3x overschreden | alarm_code:  50CRTXW</t>
  </si>
  <si>
    <t>PMS Stopper station: Waarschuwing aantal 0.5 µm deeltjes per m³ te hoog | alarm_code:  05CRTIW</t>
  </si>
  <si>
    <t>PMS Stopper station: Waarschuwing aantal 5.0 µm deeltjes per m³ te hoog | alarm_code:  50CRTIW</t>
  </si>
  <si>
    <t>PMS Stopper station: Aantal 0.5 µm deeltjes per m³ te hoog | alarm_code: 05CRTIA</t>
  </si>
  <si>
    <t>PMS Stopper station: Aantal 5.0 µm deeltjes per m³ te hoog | alarm_code: 50CRTIA</t>
  </si>
  <si>
    <t>No communication with PMS Edge Device of PMS at infeed rotary table</t>
  </si>
  <si>
    <t>Technical alarm with the particle counter PMS at infeed rotary table</t>
  </si>
  <si>
    <t>Communication alarm between EDGE and PMS counter at infeed rotary table</t>
  </si>
  <si>
    <t>Flow error PMS at infeed rotary table</t>
  </si>
  <si>
    <t>Incorrect Respons from Edge device PMS at infeed rotary table</t>
  </si>
  <si>
    <t>Measurement 0.5 µm/ft³ above limit PMS at infeed rotary table</t>
  </si>
  <si>
    <t>Measurement 5.0 µm/ft³ above limit PMS at infeed rotary table</t>
  </si>
  <si>
    <t>Warning with measurement 3x 0.5 µm/ft³ last 10min. PMS at infeed rotary table</t>
  </si>
  <si>
    <t>Warning with measurement 3x 5.0 µm/ft³ last 10min. PMS at infeed rotary table</t>
  </si>
  <si>
    <t>Warning with calculation 0.5 µm/m³ PMS at infeed rotary table</t>
  </si>
  <si>
    <t>Warning with calculation 5.0 µm/m³ PMS at infeed rotary table</t>
  </si>
  <si>
    <t>Alarm with calculation 0.5 µm/m³ PMS at infeed rotary table</t>
  </si>
  <si>
    <t>Alarm with calculation 5.0 µm/m³ PMS at infeed rotary table</t>
  </si>
  <si>
    <t>No communication with PMS Edge Device of PMS at needle movement</t>
  </si>
  <si>
    <t>Technical alarm with the particle counter PMS at needle movement</t>
  </si>
  <si>
    <t>Communication alarm between EDGE and PMS counter at needle movement</t>
  </si>
  <si>
    <t>Flow error PMS at needle movement</t>
  </si>
  <si>
    <t>Incorrect Respons from Edge device PMS at needle movement</t>
  </si>
  <si>
    <t>Measurement 0.5 µm/ft³ above limit PMS at needle movement</t>
  </si>
  <si>
    <t>Measurement 5.0 µm/ft³ above limit PMS at needle movement</t>
  </si>
  <si>
    <t>Warning with measurement 3x 0.5 µm/ft³ last 10min. PMS at needle movement</t>
  </si>
  <si>
    <t>Warning with measurement 3x 5.0 µm/ft³ last 10min. PMS at needle movement</t>
  </si>
  <si>
    <t>Warning with calculation 0.5 µm/m³ PMS at needle movement</t>
  </si>
  <si>
    <t>Warning with calculation 5.0 µm/m³ PMS at needle movement</t>
  </si>
  <si>
    <t>Alarm with calculation 0.5 µm/m³ PMS at needle movement</t>
  </si>
  <si>
    <t>Alarm with calculation 5.0 µm/m³ PMS at needle movement</t>
  </si>
  <si>
    <t>AAS: Bitte starten Sie die Probeentnahme am der Nadelbewegung</t>
  </si>
  <si>
    <t>AAS: Bitte wiederholen Sie die Probeentnahme an der Nadelbewegung</t>
  </si>
  <si>
    <t>AAS: Bitte wiederholen Sie die Probeentnahme an der Stopfenstation</t>
  </si>
  <si>
    <t>AAS: Please start sampling at needle movement</t>
  </si>
  <si>
    <t>AAS: Please start Resampling at needle movement</t>
  </si>
  <si>
    <t>AAS: Please start sampling at stopper station</t>
  </si>
  <si>
    <t>AAS: Please start Resampling at stopper station</t>
  </si>
  <si>
    <t>AAS vulnaalden: Sluit sampling plaat en documenteer in MODA</t>
  </si>
  <si>
    <t>AAS vulnaalden: Gelieve sampling plaat te leggen en sampling te starten</t>
  </si>
  <si>
    <t>AAS vulnaalden: Gelieve nieuwe sampling plaat te leggen en herstaalname te starten</t>
  </si>
  <si>
    <t>AAS stopper station: Sluit sampling plaat en documenteer in MODA</t>
  </si>
  <si>
    <t>AAS stopper station: Gelieve sampling plaat te leggen en sampling te starten</t>
  </si>
  <si>
    <t>AAS stopper station: Gelieve nieuwe sampling plaat te leggen en herstaalname te starten</t>
  </si>
  <si>
    <t>PMS Edge block - Alarm 24</t>
  </si>
  <si>
    <t>PMS Edge block - Alarm 27</t>
  </si>
  <si>
    <t>PMS Edge block - Alarm 01
Process value 5 = Output value 2001</t>
  </si>
  <si>
    <t>PMS Edge block - Alarm 13
Process value 5 = Output value 2013</t>
  </si>
  <si>
    <t>PMS Edge block - Alarm 02
Process value 5 = Output value 2002</t>
  </si>
  <si>
    <t>PMS Edge block - Alarm 03
Process value 5 = Output value 2003</t>
  </si>
  <si>
    <t>PMS Edge block - Alarm 04
Process value 5 = Output value 2004</t>
  </si>
  <si>
    <t>PMS Edge block - Alarm 14
Process value 5 = Output value 2014</t>
  </si>
  <si>
    <t>PMS Edge block - Alarm 15
Process value 5 = Output value 2015</t>
  </si>
  <si>
    <t>PMS Edge block - Alarm 16
Process value 5 = Output value 2016</t>
  </si>
  <si>
    <t>PMS Edge block - Alarm 17
Process value 5 = Output value 2017</t>
  </si>
  <si>
    <t>PMS Edge block - Alarm 09
Process value 5 = Output value 2009</t>
  </si>
  <si>
    <t>PMS Edge block - Alarm 10
Process value 5 = Output value 2010</t>
  </si>
  <si>
    <t>PMS Edge block - Alarm 01
Process value 5 = Output value 2033</t>
  </si>
  <si>
    <t>PMS Edge block - Alarm 13
Process value 5 = Output value 2045</t>
  </si>
  <si>
    <t>PMS Edge block - Alarm 02
Process value 5 = Output value 2034</t>
  </si>
  <si>
    <t>PMS Edge block - Alarm 03
Process value 5 = Output value 2035</t>
  </si>
  <si>
    <t>PMS Edge block - Alarm 04
Process value 5 = Output value 2036</t>
  </si>
  <si>
    <t>PMS Edge block - Alarm 14
Process value 5 = Output value 2046</t>
  </si>
  <si>
    <t>PMS Edge block - Alarm 15
Process value 5 = Output value 2047</t>
  </si>
  <si>
    <t>PMS Edge block - Alarm 16
Process value 5 = Output value 2048</t>
  </si>
  <si>
    <t>PMS Edge block - Alarm 17
Process value 5 = Output value 2049</t>
  </si>
  <si>
    <t>PMS Edge block - Alarm 09
Process value 5 = Output value 2041</t>
  </si>
  <si>
    <t>PMS Edge block - Alarm 10
Process value 5 = Output value 2042</t>
  </si>
  <si>
    <t>PMS Edge block - Alarm 01
Process value 5 = Output value 2065</t>
  </si>
  <si>
    <t>PMS Edge block - Alarm 13
Process value 5 = Output value 2077</t>
  </si>
  <si>
    <t>PMS Edge block - Alarm 02
Process value 5 = Output value 2066</t>
  </si>
  <si>
    <t>PMS Edge block - Alarm 03
Process value 5 = Output value 2067</t>
  </si>
  <si>
    <t>PMS Edge block - Alarm 04
Process value 5 = Output value 2068</t>
  </si>
  <si>
    <t>PMS Edge block - Alarm 14
Process value 5 = Output value 2078</t>
  </si>
  <si>
    <t>PMS Edge block - Alarm 15
Process value 5 = Output value 2079</t>
  </si>
  <si>
    <t>PMS Edge block - Alarm 16
Process value 5 = Output value 2080</t>
  </si>
  <si>
    <t>PMS Edge block - Alarm 17
Process value 5 = Output value 2081</t>
  </si>
  <si>
    <t>PMS Edge block - Alarm 09
Process value 5 = Output value 2073</t>
  </si>
  <si>
    <t>PMS Edge block - Alarm 10
Process value 5 = Output value 2074</t>
  </si>
  <si>
    <t>Gelieve de sampling plaat aan de vulnaalden te sluiten en in MODA te documenteren. 
[button 93]</t>
  </si>
  <si>
    <t>Start AAS:
Gelieve een sampling plaat aan de vulnaalden te leggen en de sampling te starten. 
[button 94]</t>
  </si>
  <si>
    <t>Herstart AAS : 
Gelieve een nieuwe sampling plaat aan de vulnaalden te leggen en de sampling te herstarten. 
Documenteer in MODA.
[button 94]</t>
  </si>
  <si>
    <t>Gelieve de sampling plaat aan het stopper station te sluiten en in MODA te documenteren. 
[button 95]</t>
  </si>
  <si>
    <t>Start AAS:
Gelieve een sampling plaat aan het stopper station te leggen en de sampling te starten. 
[button 96]</t>
  </si>
  <si>
    <t>Herstart AAS:
Gelieve een nieuwe sampling plaat aan het stopper station te leggen en de sampling te herstarten.
Documenteer in MODA.
[button 96]</t>
  </si>
  <si>
    <t>80D3_Flow</t>
  </si>
  <si>
    <t>80D3_05_m</t>
  </si>
  <si>
    <t>80D3_50_m</t>
  </si>
  <si>
    <t>Intern</t>
  </si>
  <si>
    <t>B2</t>
  </si>
  <si>
    <t>Valve</t>
  </si>
  <si>
    <t>Motor SP</t>
  </si>
  <si>
    <t>Deur_6</t>
  </si>
  <si>
    <t>Deur_5</t>
  </si>
  <si>
    <t>Deur_4</t>
  </si>
  <si>
    <t>Deur_3</t>
  </si>
  <si>
    <t>Deur_2</t>
  </si>
  <si>
    <t>Deur_1</t>
  </si>
  <si>
    <t>TAG Object status</t>
  </si>
  <si>
    <t>Object type</t>
  </si>
  <si>
    <t>SCADA Intern</t>
  </si>
  <si>
    <t>Tag</t>
  </si>
  <si>
    <t>Length : 1 byte</t>
  </si>
  <si>
    <t>Colour pictures</t>
  </si>
  <si>
    <t>Colour Picture</t>
  </si>
  <si>
    <t>omkadering + waarschuwingdriehoek laten opkomen als de alarm actief is.</t>
  </si>
  <si>
    <t>VU3923 : Capper</t>
  </si>
  <si>
    <t>45Y1_1-01V01</t>
  </si>
  <si>
    <t>45Y2_1-02V01</t>
  </si>
  <si>
    <t>47T1/47T2</t>
  </si>
  <si>
    <t>Pomp 1</t>
  </si>
  <si>
    <t>Pomp 2</t>
  </si>
  <si>
    <t>Pomp 3</t>
  </si>
  <si>
    <t>Pomp 4</t>
  </si>
  <si>
    <t>Pomp 5</t>
  </si>
  <si>
    <t>Pomp 6</t>
  </si>
  <si>
    <t>Pomp 7</t>
  </si>
  <si>
    <t>Pomp 8</t>
  </si>
  <si>
    <t>Pomp 9</t>
  </si>
  <si>
    <t>Pomp 10</t>
  </si>
  <si>
    <t>Pomp 11</t>
  </si>
  <si>
    <t>Pomp 12</t>
  </si>
  <si>
    <t>Invoerdraaitafel binnenring</t>
  </si>
  <si>
    <t>Invoerdraaitafel buitenring</t>
  </si>
  <si>
    <t>Invoerdraaitafel klein links</t>
  </si>
  <si>
    <t>Invoerdraaitafel klein rechts</t>
  </si>
  <si>
    <t>Invoersterwiel 1</t>
  </si>
  <si>
    <t>Invoersterwiel 2</t>
  </si>
  <si>
    <t>Invoersterwiel 3</t>
  </si>
  <si>
    <t>Invoersterwiel 4</t>
  </si>
  <si>
    <t>Invoersterwiel 5</t>
  </si>
  <si>
    <t>Invoersterwiel 6</t>
  </si>
  <si>
    <t>Tunnelplaat</t>
  </si>
  <si>
    <t>Weegschaal Tarra</t>
  </si>
  <si>
    <t>Weegschaal Bruto</t>
  </si>
  <si>
    <t>Uitvoersterwiel 1</t>
  </si>
  <si>
    <t>Uitvoersterwiel 2</t>
  </si>
  <si>
    <t>Uitvoersterwiel 3</t>
  </si>
  <si>
    <t>Invoersper links</t>
  </si>
  <si>
    <t>Invoersper rechts</t>
  </si>
  <si>
    <t>Stopperstation</t>
  </si>
  <si>
    <t>Noodstop Voorzijde</t>
  </si>
  <si>
    <t>Noodstop Achterzijde</t>
  </si>
  <si>
    <t>Noodstop Extern</t>
  </si>
  <si>
    <t>Werkschakelaar geactiveerd</t>
  </si>
  <si>
    <t>Deur 1</t>
  </si>
  <si>
    <t>Deur 2</t>
  </si>
  <si>
    <t>Deur 3</t>
  </si>
  <si>
    <t>Deur 4</t>
  </si>
  <si>
    <t>Deur 5</t>
  </si>
  <si>
    <t>Deur 6</t>
  </si>
  <si>
    <t>Deur 7</t>
  </si>
  <si>
    <t>Deur 8</t>
  </si>
  <si>
    <t>Deur 9</t>
  </si>
  <si>
    <t>Deur 10</t>
  </si>
  <si>
    <t>Deur 11</t>
  </si>
  <si>
    <t>Deur 12</t>
  </si>
  <si>
    <t>Vulnaalden</t>
  </si>
  <si>
    <t>Lightgordijn vullijn onderbroken - poort 7.3</t>
  </si>
  <si>
    <t>Laserscanner 1</t>
  </si>
  <si>
    <t>Laserscanner 2</t>
  </si>
  <si>
    <t>Laserscanner 3</t>
  </si>
  <si>
    <t>Laserscanner 4</t>
  </si>
  <si>
    <t>Laserscanner 5</t>
  </si>
  <si>
    <t>Laserscanner 6</t>
  </si>
  <si>
    <t>PMS invoer</t>
  </si>
  <si>
    <t>PMS vulnaalden</t>
  </si>
  <si>
    <t>PMS stopperstation</t>
  </si>
  <si>
    <t>AAS vulnaalden</t>
  </si>
  <si>
    <t>AAS stopperstation</t>
  </si>
  <si>
    <t>Pistonpompen</t>
  </si>
  <si>
    <t>Trilkuip</t>
  </si>
  <si>
    <t>Hopper</t>
  </si>
  <si>
    <t>Transportsysteem</t>
  </si>
  <si>
    <t>Reject fles</t>
  </si>
  <si>
    <t>Buffervat</t>
  </si>
  <si>
    <t>stoppenscheider 1</t>
  </si>
  <si>
    <t>stoppenscheider 2</t>
  </si>
  <si>
    <t>accumulatie invoer links</t>
  </si>
  <si>
    <t>accumulatie invoer rechts</t>
  </si>
  <si>
    <t>Mousehole uitvoer</t>
  </si>
  <si>
    <t>Ionisator</t>
  </si>
  <si>
    <t>Stikstofbegassing actief</t>
  </si>
  <si>
    <t>Zuurstof meting</t>
  </si>
  <si>
    <t>Previous Tagname: 3922/CP013</t>
  </si>
  <si>
    <t>Previous Tagname: 3922/CP014</t>
  </si>
  <si>
    <t>Previous Tagname: 3922/CP015</t>
  </si>
  <si>
    <t>Previous Tagname: 3922/CP016</t>
  </si>
  <si>
    <t>Previous Tagname: 3922/CP023</t>
  </si>
  <si>
    <t>Previous Tagname: 3922/CP029</t>
  </si>
  <si>
    <t>Previous Tagname: 3922/CP030</t>
  </si>
  <si>
    <t>Previous Tagname: 3922/CP073</t>
  </si>
  <si>
    <t>Previous Tagname: 3922/CP078</t>
  </si>
  <si>
    <t>Previous Tagname: 3922/CP079</t>
  </si>
  <si>
    <t>Previous Tagname: 3922/CP080</t>
  </si>
  <si>
    <t>Previous Tagname: 3922/CP081</t>
  </si>
  <si>
    <t>Niet zichtbaar indien waarde = 0 Previous Tagname: 3922/CP032</t>
  </si>
  <si>
    <t>Niet zichtbaar indien waarde = 0 Previous Tagname: 3922/CP033</t>
  </si>
  <si>
    <t>Niet zichtbaar indien waarde = 0 Previous Tagname: 3922/CP034</t>
  </si>
  <si>
    <t>Niet zichtbaar indien waarde = 0 Previous Tagname: 3922/CP035</t>
  </si>
  <si>
    <t>Niet zichtbaar indien waarde = 0 Previous Tagname: 3922/CP036</t>
  </si>
  <si>
    <t>Niet zichtbaar indien waarde = 0 Previous Tagname: 3922/CP037</t>
  </si>
  <si>
    <t>Niet zichtbaar indien waarde = 0 Previous Tagname: 3922/CP038</t>
  </si>
  <si>
    <t>Niet zichtbaar indien waarde = 0 Previous Tagname: 3922/CP039</t>
  </si>
  <si>
    <t>Niet zichtbaar indien waarde = 0 Previous Tagname: 3922/CP040</t>
  </si>
  <si>
    <t>Niet zichtbaar indien waarde = 0 Previous Tagname: 3922/CP041</t>
  </si>
  <si>
    <t>Niet zichtbaar indien waarde = 0 Previous Tagname: 3922/CP042</t>
  </si>
  <si>
    <t>Niet zichtbaar indien waarde = 0 Previous Tagname: 3922/CP043</t>
  </si>
  <si>
    <t>Niet zichtbaar indien waarde = 0 Previous Tagname: 3922/CP044</t>
  </si>
  <si>
    <t>Niet zichtbaar indien waarde = 0 Previous Tagname: 3922/CP045</t>
  </si>
  <si>
    <t>Niet zichtbaar indien waarde = 0 Previous Tagname: 3922/CP046</t>
  </si>
  <si>
    <t>Niet zichtbaar indien waarde = 0 Previous Tagname: 3922/CP047</t>
  </si>
  <si>
    <t>Niet zichtbaar indien waarde = 0 Previous Tagname: 3922/CP049</t>
  </si>
  <si>
    <t>Niet zichtbaar indien waarde = 0 Previous Tagname: 3922/CP050</t>
  </si>
  <si>
    <t>Niet zichtbaar indien waarde = 0 Previous Tagname: 3922/CP051</t>
  </si>
  <si>
    <t>Niet zichtbaar indien waarde = 0 Previous Tagname: 3922/CP052</t>
  </si>
  <si>
    <t>Niet zichtbaar indien waarde = 0 Previous Tagname: 3922/CP053</t>
  </si>
  <si>
    <t>Niet zichtbaar indien waarde = 0 Previous Tagname: 3922/CP054</t>
  </si>
  <si>
    <t>Niet zichtbaar indien waarde = 0 Previous Tagname: 3922/CP055</t>
  </si>
  <si>
    <t>Niet zichtbaar indien waarde = 0 Previous Tagname: 3922/CP056</t>
  </si>
  <si>
    <t>Niet zichtbaar indien waarde = 0 Previous Tagname: 3922/CP057</t>
  </si>
  <si>
    <t>Niet zichtbaar indien waarde = 0 Previous Tagname: 3922/CP058</t>
  </si>
  <si>
    <t>Niet zichtbaar indien waarde = 0 Previous Tagname: 3922/CP059</t>
  </si>
  <si>
    <t>Niet zichtbaar indien waarde = 0 Previous Tagname: 3922/CP060</t>
  </si>
  <si>
    <t>Niet zichtbaar indien waarde = 0 Previous Tagname: 3922/CP061</t>
  </si>
  <si>
    <t>Niet zichtbaar indien waarde = 0 Previous Tagname: 3922/CP062</t>
  </si>
  <si>
    <t>Niet zichtbaar indien waarde = 0 Previous Tagname: 3922/CP063</t>
  </si>
  <si>
    <t>Indien Bit Info 94 actief Previous Tagname: 3922/CP082</t>
  </si>
  <si>
    <t>VLM/CP1</t>
  </si>
  <si>
    <t>VLM/CP2</t>
  </si>
  <si>
    <t>VLM/CP3</t>
  </si>
  <si>
    <t>VLM/CP4</t>
  </si>
  <si>
    <t>VLM/CP5</t>
  </si>
  <si>
    <t>VLM/CP6</t>
  </si>
  <si>
    <t>VLM/CP7</t>
  </si>
  <si>
    <t>VLM/CP8</t>
  </si>
  <si>
    <t>VLM/CP9</t>
  </si>
  <si>
    <t>VLM/CP10</t>
  </si>
  <si>
    <t>VLM/CP11</t>
  </si>
  <si>
    <t>VLM/CP12</t>
  </si>
  <si>
    <t>VLM/CP13</t>
  </si>
  <si>
    <t>VLM/CP14</t>
  </si>
  <si>
    <t>VLM/CP15</t>
  </si>
  <si>
    <t>VLM/CP16</t>
  </si>
  <si>
    <t>VLM/CP17</t>
  </si>
  <si>
    <t>VLM/CP18</t>
  </si>
  <si>
    <t>VLM/CP19</t>
  </si>
  <si>
    <t>VLM/CP20</t>
  </si>
  <si>
    <t>VLM/CP21</t>
  </si>
  <si>
    <t>VLM/CP22</t>
  </si>
  <si>
    <t>VLM/CP23</t>
  </si>
  <si>
    <t>VLM/CP24</t>
  </si>
  <si>
    <t>VLM/CP25</t>
  </si>
  <si>
    <t>VLM/CP26</t>
  </si>
  <si>
    <t>VLM/CP27</t>
  </si>
  <si>
    <t>VLM/CP28</t>
  </si>
  <si>
    <t>VLM/CP29</t>
  </si>
  <si>
    <t>VLM/CP30</t>
  </si>
  <si>
    <t>VLM/CP31</t>
  </si>
  <si>
    <t>VLM/CP32</t>
  </si>
  <si>
    <t>VLM/CP33</t>
  </si>
  <si>
    <t>VLM/CP34</t>
  </si>
  <si>
    <t>VLM/CP35</t>
  </si>
  <si>
    <t>VLM/CP36</t>
  </si>
  <si>
    <t>VLM/CP37</t>
  </si>
  <si>
    <t>VLM/CP38</t>
  </si>
  <si>
    <t>VLM/CP39</t>
  </si>
  <si>
    <t>VLM/CP40</t>
  </si>
  <si>
    <t>VLM/CP41</t>
  </si>
  <si>
    <t>VLM/CP42</t>
  </si>
  <si>
    <t>VLM/CP43</t>
  </si>
  <si>
    <t>VLM/CP44</t>
  </si>
  <si>
    <t>VLM/CP45</t>
  </si>
  <si>
    <t>VLM/CP46</t>
  </si>
  <si>
    <t>VLM/CP47</t>
  </si>
  <si>
    <t>VLM/CP48</t>
  </si>
  <si>
    <t>VLM/CP49</t>
  </si>
  <si>
    <t>VLM/CP50</t>
  </si>
  <si>
    <t>VLM/CP51</t>
  </si>
  <si>
    <t>VLM/CP52</t>
  </si>
  <si>
    <t>VLM/CP53</t>
  </si>
  <si>
    <t>VLM/CP54</t>
  </si>
  <si>
    <t>VLM/CP55</t>
  </si>
  <si>
    <t>VLM/CP56</t>
  </si>
  <si>
    <t>VLM/CP57</t>
  </si>
  <si>
    <t>VLM/CP58</t>
  </si>
  <si>
    <t>VLM/CP59</t>
  </si>
  <si>
    <t>VLM/CP60</t>
  </si>
  <si>
    <t>VLM/CP61</t>
  </si>
  <si>
    <t>VLM/CP62</t>
  </si>
  <si>
    <t>VLM/CP63</t>
  </si>
  <si>
    <t>VLM/CP64</t>
  </si>
  <si>
    <t>VLM/CP65</t>
  </si>
  <si>
    <t>VLM/CP66</t>
  </si>
  <si>
    <t>VLM/CP67</t>
  </si>
  <si>
    <t>VLM/CP68</t>
  </si>
  <si>
    <t>VLM/CP69</t>
  </si>
  <si>
    <t>VLM/CP70</t>
  </si>
  <si>
    <t>VLM/CP71</t>
  </si>
  <si>
    <t>VLM/CP72</t>
  </si>
  <si>
    <t>VLM/CP73</t>
  </si>
  <si>
    <t>VLM/CP75</t>
  </si>
  <si>
    <t>VLM/CP76</t>
  </si>
  <si>
    <t>VLM/CP77</t>
  </si>
  <si>
    <t>VLM/CP78</t>
  </si>
  <si>
    <t>VLM/CP79</t>
  </si>
  <si>
    <t>VLM/CP80</t>
  </si>
  <si>
    <t>VLM/CP81</t>
  </si>
  <si>
    <t>VLM/CP82</t>
  </si>
  <si>
    <t>VLM/CP85</t>
  </si>
  <si>
    <t>Previous Tagname: 3923/CP11</t>
  </si>
  <si>
    <t>Previous Tagname: 3923/CP12</t>
  </si>
  <si>
    <t>Previous Tagname: 3923/CP13</t>
  </si>
  <si>
    <t>Previous Tagname: 3923/CP14</t>
  </si>
  <si>
    <t>Previous Tagname: 3923/CP15</t>
  </si>
  <si>
    <t>Previous Tagname: 3923/CP18</t>
  </si>
  <si>
    <t>Previous Tagname: 3923/CP19</t>
  </si>
  <si>
    <t>Previous Tagname: 3923/CP28</t>
  </si>
  <si>
    <t>Niet zichtbaar indien waarde = 0 Previous Tagname: 3923/CP01</t>
  </si>
  <si>
    <t>Niet zichtbaar indien waarde = 0  Previous Tagname: 3923/CP20</t>
  </si>
  <si>
    <t>Niet zichtbaar indien waarde = 0  Previous Tagname: 3923/CP21</t>
  </si>
  <si>
    <t>Niet zichtbaar indien waarde = 0  Previous Tagname: 3923/CP22</t>
  </si>
  <si>
    <t>Niet zichtbaar indien waarde = 0  Previous Tagname: 3923/CP23</t>
  </si>
  <si>
    <t>Niet zichtbaar indien waarde = 0  Previous Tagname: 3923/CP24</t>
  </si>
  <si>
    <t>Niet zichtbaar indien waarde = 0  Previous Tagname: 3923/CP25</t>
  </si>
  <si>
    <t>Niet zichtbaar indien waarde = 0  Previous Tagname: 3923/CP26</t>
  </si>
  <si>
    <t>Niet zichtbaar indien waarde = 0  Previous Tagname: 3923/CP27</t>
  </si>
  <si>
    <t>Niet zichtbaar indien waarde = 0  Previous Tagname: 3923/CP33</t>
  </si>
  <si>
    <t>Noodstop_voor</t>
  </si>
  <si>
    <t>InvoerSterwiel_1</t>
  </si>
  <si>
    <t>InvoerSterwiel_Stopperinspectie</t>
  </si>
  <si>
    <t>Sterwiel_Capaanvoer</t>
  </si>
  <si>
    <t>Capperstation</t>
  </si>
  <si>
    <t>Uitvoersterwiel_1</t>
  </si>
  <si>
    <t>Uitvoersterwiel_2</t>
  </si>
  <si>
    <t>Uitvoersterwiel_3</t>
  </si>
  <si>
    <t>Uitvoersterwiel_4</t>
  </si>
  <si>
    <t>Uitvoersterwiel_5</t>
  </si>
  <si>
    <t>Uitvoerdraaitafel_1</t>
  </si>
  <si>
    <t>Uitvoerdraaitafel_2</t>
  </si>
  <si>
    <t>Uitvoerdraaitafel_3</t>
  </si>
  <si>
    <t>Uitvoerdraaitafel_4</t>
  </si>
  <si>
    <t>Uitvoerband</t>
  </si>
  <si>
    <t>Camera_1</t>
  </si>
  <si>
    <t>Camera_2</t>
  </si>
  <si>
    <t>Reject_voor</t>
  </si>
  <si>
    <t>Reject_achter</t>
  </si>
  <si>
    <t>Afschermkap_Reject_1</t>
  </si>
  <si>
    <t>Afschermkap_Reject_2</t>
  </si>
  <si>
    <t>Accumulatie_vials_aan_uitvoerband</t>
  </si>
  <si>
    <t>Langsbaan</t>
  </si>
  <si>
    <t>Bunker</t>
  </si>
  <si>
    <t>Noodstop_achter</t>
  </si>
  <si>
    <t>CAP/CP10</t>
  </si>
  <si>
    <t>CAP/CP11</t>
  </si>
  <si>
    <t>CAP/CP12</t>
  </si>
  <si>
    <t>CAP/CP13</t>
  </si>
  <si>
    <t>CAP/CP14</t>
  </si>
  <si>
    <t>CAP/CP15</t>
  </si>
  <si>
    <t>CAP/CP16</t>
  </si>
  <si>
    <t>CAP/CP17</t>
  </si>
  <si>
    <t>CAP/CP18</t>
  </si>
  <si>
    <t>CAP/CP19</t>
  </si>
  <si>
    <t>CAP/CP20</t>
  </si>
  <si>
    <t>CAP/CP21</t>
  </si>
  <si>
    <t>CAP/CP22</t>
  </si>
  <si>
    <t>CAP/CP23</t>
  </si>
  <si>
    <t>CAP/CP24</t>
  </si>
  <si>
    <t>CAP/CP25</t>
  </si>
  <si>
    <t>CAP/CP26</t>
  </si>
  <si>
    <t>CAP/CP27</t>
  </si>
  <si>
    <t>CAP/CP28</t>
  </si>
  <si>
    <t>CAP/CP29</t>
  </si>
  <si>
    <t>CAP/CP30</t>
  </si>
  <si>
    <t>CAP/CP31</t>
  </si>
  <si>
    <t>CAP/CP32</t>
  </si>
  <si>
    <t>CAP/CP33</t>
  </si>
  <si>
    <t>CAP/CP1</t>
  </si>
  <si>
    <t>CAP/CP2</t>
  </si>
  <si>
    <t>CAP/CP3</t>
  </si>
  <si>
    <t>CAP/CP4</t>
  </si>
  <si>
    <t>CAP/CP5</t>
  </si>
  <si>
    <t>CAP/CP6</t>
  </si>
  <si>
    <t>CAP/CP7</t>
  </si>
  <si>
    <t>CAP/CP8</t>
  </si>
  <si>
    <t>CAP/CP9</t>
  </si>
  <si>
    <t>Colour Pictures Status</t>
  </si>
  <si>
    <t>Motor</t>
  </si>
  <si>
    <t>VLM/CP1,VLM/CP2,VLM/CP3,VLM/CP4,VLM/CP5,VLM/CP6,VLM/CP7,VLM/CP8,VLM/CP9,VLM/CP10,VLM/CP11,VLM/CP12</t>
  </si>
  <si>
    <t>VLM/CP15,VLM/CP16</t>
  </si>
  <si>
    <t>VLM/CP17,VLM/CP18,VLM/CP19,VLM/CP20,VLM/CP21,VLM/CP22</t>
  </si>
  <si>
    <t>VLM/CP24,VLM/CP25</t>
  </si>
  <si>
    <t>VLM/CP26,VLM/CP27,VLM/CP28</t>
  </si>
  <si>
    <t>VLM/CP64,VLM/CP65</t>
  </si>
  <si>
    <t>VLM/CP64,VLM/CP65,VLM/CP66</t>
  </si>
  <si>
    <t>VLM/CP65,VLM/CP66</t>
  </si>
  <si>
    <t>VLM/CP67,VLM/CP68</t>
  </si>
  <si>
    <t>VLM/CP17,VLM/CP18,VLM/CP19,VLM/CP20,VLM/CP21,VLM/CP22,VLM/CP26,VLM/CP27,VLM/CP28,VLM/CP31,VLM/CP48,VLM/CP72</t>
  </si>
  <si>
    <t>CAP/CP2,CAP/CP3,CAP/CP4,CAP/CP5,CAP/CP6,CAP/CP7,CAP/CP8,CAP/CP9,CAP/CP10</t>
  </si>
  <si>
    <t>CAP/CP2,CAP/CP3,CAP/CP4,CAP/CP5,CAP/CP6</t>
  </si>
  <si>
    <t>CAP/CP16,CAP/CP17</t>
  </si>
  <si>
    <t>CAP/CP29,CAP/CP31</t>
  </si>
  <si>
    <t>B1</t>
  </si>
  <si>
    <t>VLM/CP1_Status</t>
  </si>
  <si>
    <t>VLM/CP2_Status</t>
  </si>
  <si>
    <t>VLM/CP3_Status</t>
  </si>
  <si>
    <t>VLM/CP4_Status</t>
  </si>
  <si>
    <t>VLM/CP5_Status</t>
  </si>
  <si>
    <t>VLM/CP6_Status</t>
  </si>
  <si>
    <t>VLM/CP7_Status</t>
  </si>
  <si>
    <t>VLM/CP8_Status</t>
  </si>
  <si>
    <t>VLM/CP9_Status</t>
  </si>
  <si>
    <t>VLM/CP10_Status</t>
  </si>
  <si>
    <t>VLM/CP11_Status</t>
  </si>
  <si>
    <t>VLM/CP12_Status</t>
  </si>
  <si>
    <t>Femke Pinxten (Pfizer)</t>
  </si>
  <si>
    <t>Alarm classification change from D1 to D2 for alarm 1094, 1095, 1128 and 1129</t>
  </si>
  <si>
    <t xml:space="preserve">Daniele Vellei </t>
  </si>
  <si>
    <t>Alarm classification change from D2 to C2 for alarm 30431</t>
  </si>
  <si>
    <t>gQTR PR#6103643</t>
  </si>
  <si>
    <t>21011-73201-PCN0-A1</t>
  </si>
  <si>
    <t>Changed color pictures to new standard</t>
  </si>
  <si>
    <t>21011-73206-PCN0-A1</t>
  </si>
  <si>
    <t>Added VL3 data</t>
  </si>
  <si>
    <t>Draft1 _B+S / Philipp Andörfer</t>
  </si>
  <si>
    <t>New alarm 566
Alarmclass 853 + 1128 + 1129 changed according to Femke Pinxten</t>
  </si>
  <si>
    <t>Durchfluss Begasungskanal zu hoch</t>
  </si>
  <si>
    <t>Gas flow rate too high, gas-flushing tunnel</t>
  </si>
  <si>
    <t>Stikstofdebiet begassingstation te hoog</t>
  </si>
  <si>
    <t>DBX70.5</t>
  </si>
  <si>
    <t>21011-73209-PCN0-A1</t>
  </si>
  <si>
    <t>B3</t>
  </si>
  <si>
    <t>Chloé De Graeve</t>
  </si>
  <si>
    <t>Change description of alarm 30471</t>
  </si>
  <si>
    <t>Wachten tot minimum mixing tijd voor afvullen afgelopen is</t>
  </si>
  <si>
    <t>21011-73211-PCN0-A1</t>
  </si>
  <si>
    <t>Klejton Hotova</t>
  </si>
  <si>
    <t>FREEZE list</t>
  </si>
  <si>
    <t>Warten bis Min. Rührzeit vor Dosierung abgelaufen</t>
  </si>
  <si>
    <t>Wait until min. mixing before filling is executed</t>
  </si>
  <si>
    <t>B4</t>
  </si>
  <si>
    <t>Recipe in machine downstream is not downloaded for same format</t>
  </si>
  <si>
    <t>Das Rezept in der nachgeschaltete Maschine ist nicht für das gleiche Format</t>
  </si>
  <si>
    <t>Positioning</t>
  </si>
  <si>
    <t>Das Rezept in der RVB ist nicht für das gleiche Format</t>
  </si>
  <si>
    <t>Recipe in capper is not downloaded for same format</t>
  </si>
  <si>
    <t>Mousehole/VHP</t>
  </si>
  <si>
    <t>Level in dosing vessel below min min during a mode with permanent pump stroke</t>
  </si>
  <si>
    <t>Min. Min-Niveau Dosierbehälter unterschritten während einer Betriebsart mit Dauerdosieren</t>
  </si>
  <si>
    <t>Alarmtext 471 + 479 adapted, New Alarms 55 + 851</t>
  </si>
  <si>
    <t>21011-73260-PCN0-A1</t>
  </si>
  <si>
    <t>VLM/CP84</t>
  </si>
  <si>
    <t>Mechanische barriere aan capper 118S9</t>
  </si>
  <si>
    <t>Weergeven indien gekoppeld alarm actief, anders onzichtbaar</t>
  </si>
  <si>
    <t>Capper is niet gedownload voor zelfde vialtype</t>
  </si>
  <si>
    <t>FIFO is niet gedownload voor zelfde vialtype</t>
  </si>
  <si>
    <t>Netto gewicht in de buffervat - Laag niveau tijdens mode die pompenslag permanent doseren gebruikt</t>
  </si>
  <si>
    <t>Pfinal review</t>
  </si>
  <si>
    <t>VLM_Filler.pdl; VLM_Popup_Pistonpompen.pdl</t>
  </si>
  <si>
    <t>VLM_Filler.pdl</t>
  </si>
  <si>
    <t>mouseclick op dit object opent detailbeeld   VLM_Popup_Vacuum_Invoer.pdl  Previous Tagname: 3922/CP017</t>
  </si>
  <si>
    <t>mouseclick op dit object opent detailbeeld   VLM_Popup_Vacuum_Invoer.pdl  Previous Tagname: 3922/CP018</t>
  </si>
  <si>
    <t>mouseclick op dit object opent detailbeeld   VLM_Popup_Vacuum_Invoer.pdl  Previous Tagname: 3922/CP019</t>
  </si>
  <si>
    <t>mouseclick op dit object opent detailbeeld   VLM_Popup_Vacuum_Invoer.pdl  Previous Tagname: 3922/CP020</t>
  </si>
  <si>
    <t>mouseclick op dit object opent detailbeeld   VLM_Popup_Vacuum_Invoer.pdl  Previous Tagname: 3922/CP021</t>
  </si>
  <si>
    <t>mouseclick op dit object opent detailbeeld   VLM_Popup_Vacuum_Invoer.pdl  Previous Tagname: 3922/CP022</t>
  </si>
  <si>
    <t>mouseclick op dit object opent detailbeeld  VLM_Popup_Weegrobot_Tarra.pdl Previous Tagname: 3922/CP024</t>
  </si>
  <si>
    <t>mouseclick op dit object opent detailbeeld  VLM_Popup_Weegrobot_Bruto.pdl Previous Tagname: 3922/CP025</t>
  </si>
  <si>
    <t>mouseclick op dit object opent detailbeeld   VLM_Popup_Vacuum_Uitvoer.pdl Previous Tagname: 3922/CP026</t>
  </si>
  <si>
    <t>mouseclick op dit object opent detailbeeld   VLM_Popup_Vacuum_Uitvoer.pdl Previous Tagname: 3922/CP027</t>
  </si>
  <si>
    <t>mouseclick op dit object opent detailbeeld   VLM_Popup_Vacuum_Uitvoer.pdl Previous Tagname: 3922/CP028</t>
  </si>
  <si>
    <t>mouseclick op dit object opent detailbeeld VLM_Popup_Hoogteverstelling_Stopperstation.pdl
mouseclick op dit object opent detailbeeld VLM_Popup_Vacuum_Stopperstation.pdl Previous Tagname: 3922/CP031</t>
  </si>
  <si>
    <t>mouseclick op dit object opent detailbeeld VLM_Popup_Needle_Stroke Previous Tagname: 3922/CP048</t>
  </si>
  <si>
    <t>mouseclick op dit object opent detailbeeld VLM_Popup_PMS.pdl Previous Tagname: 3922/CP064</t>
  </si>
  <si>
    <t>mouseclick op dit object opent detailbeeld VLM_Popup_PMS.pdl Previous Tagname: 3922/CP065</t>
  </si>
  <si>
    <t>mouseclick op dit object opent detailbeeld VLM_Popup_PMS.pdl Previous Tagname: 3922/CP066</t>
  </si>
  <si>
    <t>mouseclick op dit object opent detailbeeld VLM_Popup_AAS.pdl Previous Tagname: 3922/CP067</t>
  </si>
  <si>
    <t>mouseclick op dit object opent detailbeeld VLM_Popup_AAS.pdl Previous Tagname: 3922/CP068</t>
  </si>
  <si>
    <t>mouseclick op dit object opent detailbeeld VLM_Popup_DeactiveerPompen.pdl Previous Tagname: 3922/CP069</t>
  </si>
  <si>
    <t>mouseclick op dit object opent detailbeeld  VLM_Popup_Stopper_Hopper.pdl Previous Tagname: 3922/CP070</t>
  </si>
  <si>
    <t>mouseclick op dit object opent detailbeeld  VLM_Popup_Stopper_Hopper.pdl Previous Tagname: 3922/CP071</t>
  </si>
  <si>
    <t>mouseclick op dit object opent detailbeeld VLM_Popup_Hoogteverstelling_Transport.pdl Previous Tagname: 3922/CP072</t>
  </si>
  <si>
    <t>mouseclick op dit object opent detailbeeld VLM_Popup_Pistonpompen.pdl Previous Tagname: 3922/CP075</t>
  </si>
  <si>
    <t>mouseclick op dit object opent detailbeeld  VLM_Popup_Stopper_Hopper.pdl Previous Tagname: 3922/CP076</t>
  </si>
  <si>
    <t>mouseclick op dit object opent detailbeeld  VLM_Popup_Stopper_Hopper.pdl Previous Tagname: 3922/CP077</t>
  </si>
  <si>
    <t>CAP_Capper.Pdl</t>
  </si>
  <si>
    <t>Mouseclick Opent detailbeeld CAP_Popup_Invoervacuum.Pdl                             Previous Tagname: 3923/CP02</t>
  </si>
  <si>
    <t>Mouseclick Opent detailbeeld CAP_Popup_Invoervacuum.Pdl                             Previous Tagname: 3923/CP03</t>
  </si>
  <si>
    <t>Mouseclick Opent detailbeeld CAP_Popup_Invoervacuum.Pdl                             Previous Tagname: 3923/CP04</t>
  </si>
  <si>
    <t>Mouseclick opent detailbeeld CAP_Popup_Capperstation Previous Tagname: 3923/CP05</t>
  </si>
  <si>
    <t>Mouseclick Opent detailbeeld CAP_Popup_Uitvoervacuum.Pdl Previous Tagname: 3923/CP06</t>
  </si>
  <si>
    <t>Mouseclick Opent detailbeeld CAP_Popup_Uitvoervacuum.Pdl Previous Tagname: 3923/CP07</t>
  </si>
  <si>
    <t>Mouseclick Opent detailbeeld CAP_Popup_Uitvoervacuum.Pdl Previous Tagname: 3923/CP08</t>
  </si>
  <si>
    <t>Mouseclick Opent detailbeeld CAP_Popup_Uitvoervacuum.Pdl Previous Tagname: 3923/CP09</t>
  </si>
  <si>
    <t>Mouseclick Opent detailbeeld CAP_Popup_Uitvoervacuum.Pdl Previous Tagname: 3923/CP10</t>
  </si>
  <si>
    <t>Mouseclick opent detailbeeld CAP_Popup_Target_Test.pdl en CAP_Popup_Stopperinspectie.pdl  Previous Tagname: 3923/CP16</t>
  </si>
  <si>
    <t>Mouseclick opent detailbeeld CAP_Popup_Target_Test.pdl en CAP_Popup_Stopperinspectie.pdl  Previous Tagname: 3923/CP17</t>
  </si>
  <si>
    <t>'Mouseclick opent detailbeeld CAP_Popup_Capper_Hopper                              Previous Tagname: 3923/CP29</t>
  </si>
  <si>
    <t>'Mouseclick opent detailbeeld CAP_Popup_Capper_Hopper                              Previous Tagname: 3923/CP30</t>
  </si>
  <si>
    <t>'Niet zichtbaar indien waarde = 0 . Mouseclick opent detailbeeld CAP_Popup_Capper_Hopper, zowel op alarmopkleuring als doorzichtige voorstelling Previous Tagname: 3923/CP31</t>
  </si>
  <si>
    <t>'Mouseclick opent detailbeeld CAP_Popup_Capper_Hopper Previous Tagname: 3923/CP32</t>
  </si>
  <si>
    <t>84130003, 84130004</t>
  </si>
  <si>
    <t>Druck Druckluft zu niedrig nach Entlüftungsventil Kunden Vakuum PMS/AAS</t>
  </si>
  <si>
    <t>39PS2</t>
  </si>
  <si>
    <t>E64.1</t>
  </si>
  <si>
    <t>Längere Stillstandszeit Rührer überschritten</t>
  </si>
  <si>
    <t xml:space="preserve">Longer standstill time mixer exceeded </t>
  </si>
  <si>
    <t>Überwachung Durchfluss VHP nicht erreicht Einlaufrad 1</t>
  </si>
  <si>
    <t>Überwachung Durchfluss VHP nicht erreicht Einlaufrad 2</t>
  </si>
  <si>
    <t>Überwachung Durchfluss VHP nicht erreicht Einlaufrad 3</t>
  </si>
  <si>
    <t>Überwachung Durchfluss VHP nicht erreicht Einlaufrad 4</t>
  </si>
  <si>
    <t>Überwachung Durchfluss VHP nicht erreicht Einlaufrad 5</t>
  </si>
  <si>
    <t>Überwachung Durchfluss VHP nicht erreicht Einlaufrad 6</t>
  </si>
  <si>
    <t>Überwachung Durchfluss VHP nicht erreicht Stopfenstation</t>
  </si>
  <si>
    <t>Überwachung urchfluss VHP nicht erreicht Auslaufrad 1 Sensor 1</t>
  </si>
  <si>
    <t>Überwachung Durchfluss VHP nicht erreicht Auslaufrad 1 Sensor 2</t>
  </si>
  <si>
    <t>Überwachung Durchfluss VHP nicht erreicht Auslaufrad 2</t>
  </si>
  <si>
    <t>Überwachung Durchfluss VHP nicht erreicht Auslaufrad 3</t>
  </si>
  <si>
    <t>Überwachung Durchfluss VHP nicht erreicht Begasungskanal</t>
  </si>
  <si>
    <t>Überwachung Durchfluss VHP nicht erreicht PMS Einlaufdrehteller</t>
  </si>
  <si>
    <t>Überwachung Durchfluss VHP nicht erreicht PMS Nadelbewegung</t>
  </si>
  <si>
    <t>Überwachung Durchfluss VHP nicht erreicht PMS Stopfenstation</t>
  </si>
  <si>
    <t>Überwachung Durchfluss VHP nicht erreicht AAS Nadelbewegung</t>
  </si>
  <si>
    <t>Überwachung Durchfluss VHP nicht erreicht AAS Stopfenstation</t>
  </si>
  <si>
    <t>Monitoring error flow rate not reached during VHP at infeed wheel 1</t>
  </si>
  <si>
    <t>Monitoring error flow rate not reached during VHP at infeed wheel 2</t>
  </si>
  <si>
    <t>Monitoring error flow rate not reached during VHP at infeed wheel 3</t>
  </si>
  <si>
    <t>Monitoring error flow rate not reached during VHP at infeed wheel 4</t>
  </si>
  <si>
    <t>Monitoring error flow rate not reached during VHP at infeed wheel 5</t>
  </si>
  <si>
    <t>Monitoring error flow rate not reached during VHP at infeed wheel 6</t>
  </si>
  <si>
    <t>Monitoring error flow rate not reached during VHP at stopper station</t>
  </si>
  <si>
    <t>Monitoring error flow rate not reached during VHP at discharge wheel 1 sensor 1</t>
  </si>
  <si>
    <t>Monitoring error flow rate not reached during VHP at discharge wheel 1 sensor 2</t>
  </si>
  <si>
    <t>Monitoring error flow rate not reached during VHP at discharge wheel 2</t>
  </si>
  <si>
    <t>Monitoring error flow rate not reached during VHP at discharge wheel 3</t>
  </si>
  <si>
    <t>Monitoring error flow rate not reached during VHP at gas-flushing tunnel</t>
  </si>
  <si>
    <t>Monitoring error flow rate not reached during VHP - PMS at infeed rotary table</t>
  </si>
  <si>
    <t>Monitoring error flow rate not reached during VHP - PMS at needle movement</t>
  </si>
  <si>
    <t>Monitoring error flow rate not reached during VHP - PMS at stopper station</t>
  </si>
  <si>
    <t>Monitoring error flow rate not reached during VHP - AAS at needle movement</t>
  </si>
  <si>
    <t>Monitoring error flow rate not reached during VHP - AAS at stopper station</t>
  </si>
  <si>
    <t>B5</t>
  </si>
  <si>
    <t>Add alarms</t>
  </si>
  <si>
    <t>Compressed air pressure too low beyond vent valve customer vacuum</t>
  </si>
  <si>
    <t>Debiet vacuum invoersterwiel 1 te laag tijdens VHP - Sensorfout</t>
  </si>
  <si>
    <t>Debiet vacuum invoersterwiel 2 te laag tijdens VHP - Sensorfout</t>
  </si>
  <si>
    <t>Debiet vacuum invoersterwiel 3 te laag tijdens VHP - Sensorfout</t>
  </si>
  <si>
    <t>Debiet vacuum invoersterwiel 4 te laag tijdens VHP - Sensorfout</t>
  </si>
  <si>
    <t>Debiet vacuum invoersterwiel 5 te laag tijdens VHP - Sensorfout</t>
  </si>
  <si>
    <t>Debiet vacuum invoersterwiel 6 te laag tijdens VHP - Sensorfout</t>
  </si>
  <si>
    <t>Debiet vacuum stopperstation te laag tijdens VHP - Sensorfout</t>
  </si>
  <si>
    <t>Debiet vacuum uitvoersterwiel 1 te laag tijdens VHP - Sensor 1 - Sensorfout</t>
  </si>
  <si>
    <t>Debiet vacuum uitvoersterwiel 1 te laag tijdens VHP - Sensor 2 - Sensorfout</t>
  </si>
  <si>
    <t>Debiet vacuum uitvoersterwiel 2 te laag tijdens VHP - Sensorfout</t>
  </si>
  <si>
    <t>Debiet vacuum uitvoersterwiel 3 te laag tijdens VHP - Sensorfout</t>
  </si>
  <si>
    <t>Debiet vacuum stikstofbegassingsleiding te laag tijdens VHP - Sensorfout</t>
  </si>
  <si>
    <t>Debiet PMS invoerdraaitafel te laag tijdens VHP - Sensorfout</t>
  </si>
  <si>
    <t>Debiet PMS vulnaalden te laag tijdens VHP - Sensorfout</t>
  </si>
  <si>
    <t>Debiet PMS stopper station te laag tijdens VHP - Sensorfout</t>
  </si>
  <si>
    <t>Debiet AAS vulnaalden te laag tijdens VHP - Sensorfout</t>
  </si>
  <si>
    <t>Debiet AAS stopper station te laag tijdens VHP - Sensorfout</t>
  </si>
  <si>
    <t>Mixer buffervat - Stilstand tijd overschreden</t>
  </si>
  <si>
    <t>Perslucht druk te laag na ontluchtingsventiel process vacuum</t>
  </si>
  <si>
    <t>VLM/CP17,VLM/CP18,VLM/CP19,VLM/CP20,VLM/CP21,VLM/CP22,VLM/CP26,VLM/CP27,VLM/CP28,VLM/CP31,VLM/CP48</t>
  </si>
  <si>
    <t>Review + change colour pictures PMS</t>
  </si>
  <si>
    <t>Marnix &amp; Daniele</t>
  </si>
  <si>
    <t>Überwachung Ventil Vakuumabschaltung Kunden Vakuum PMS/AAS</t>
  </si>
  <si>
    <t>80ZS7</t>
  </si>
  <si>
    <t>E71.0</t>
  </si>
  <si>
    <t>Überwachung Entlüftungs-/Bypassventil Kunden Vakuum PMS/AAS</t>
  </si>
  <si>
    <t>80ZS8</t>
  </si>
  <si>
    <t>E71.4</t>
  </si>
  <si>
    <t>Monitoring error: valve vacuum disconnection customer vacuum PMS/AAS</t>
  </si>
  <si>
    <t>Monitoring error: valve venting-/bypass valve customer vacuum PMS/AAS</t>
  </si>
  <si>
    <t>Klep afschakeling centraal vacuum PMS/AAS niet in correcte positie</t>
  </si>
  <si>
    <t>Klep venting-/bypass centraal vacuum PMS/AAS niet in correcte positie</t>
  </si>
  <si>
    <t>VLM/CP64, VLM/CP65, VLM/CP66, VLM/CP67, VLM/CP68</t>
  </si>
  <si>
    <t>B6</t>
  </si>
  <si>
    <t>B&amp;S / Elke Fransen</t>
  </si>
  <si>
    <t>Addition of 2 extra alarms due to installation of 2 extra valves</t>
  </si>
  <si>
    <t>gQTS PR#9103320</t>
  </si>
  <si>
    <t>B7</t>
  </si>
  <si>
    <t>Wim Baten</t>
  </si>
  <si>
    <t>21011-40200-PCN0-A1</t>
  </si>
  <si>
    <t>Störung Profinet Station 1 Busmodul IBA-BMPN</t>
  </si>
  <si>
    <t>Fault: Profinet station 1 - bus module IBA-BMPN</t>
  </si>
  <si>
    <t>Storing - Profinet station 1 - Bus module IBA-BMPN</t>
  </si>
  <si>
    <t>72U1</t>
  </si>
  <si>
    <t>Addition of alarm 229 due to installation of IBA-BMPN module</t>
  </si>
  <si>
    <t>VLM/CP86</t>
  </si>
  <si>
    <t>MH02</t>
  </si>
  <si>
    <t>Download for new vial type detected.
To avoid damage please remove all size parts except for IPC grippers now!</t>
  </si>
  <si>
    <t>Download van ander vial type gedetecteerd. Verwijder alle formaatdelen, behalve de IPC grijpers, om schade te voorkomen ! Bevestig pas met OK wanneer alle formaatdelen verwjiderd zijn!</t>
  </si>
  <si>
    <t>Hoorn / Buzzer</t>
  </si>
  <si>
    <t>Update buzzers/horns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</si>
</sst>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yyyy;@"/>
  </numFmts>
  <fonts count="33" x14ac:knownFonts="1">
    <font>
      <sz val="8"/>
      <name val="Arial"/>
    </font>
    <font>
      <sz val="11"/>
      <color theme="1"/>
      <name val="Calibri"/>
      <family val="2"/>
      <scheme val="minor"/>
    </font>
    <font>
      <sz val="11"/>
      <color theme="1"/>
      <name val="Calibri"/>
      <family val="2"/>
      <scheme val="minor"/>
    </font>
    <font>
      <sz val="10"/>
      <name val="Arial"/>
      <family val="2"/>
    </font>
    <font>
      <sz val="8"/>
      <name val="Arial"/>
      <family val="2"/>
    </font>
    <font>
      <sz val="11"/>
      <name val="Arial"/>
      <family val="2"/>
    </font>
    <font>
      <b/>
      <sz val="11"/>
      <name val="Arial"/>
      <family val="2"/>
    </font>
    <font>
      <b/>
      <i/>
      <sz val="11"/>
      <name val="Arial"/>
      <family val="2"/>
    </font>
    <font>
      <sz val="6"/>
      <name val="Arial"/>
      <family val="2"/>
    </font>
    <font>
      <i/>
      <sz val="8"/>
      <name val="Arial"/>
      <family val="2"/>
    </font>
    <font>
      <sz val="7"/>
      <name val="Arial"/>
      <family val="2"/>
    </font>
    <font>
      <b/>
      <sz val="8"/>
      <color indexed="81"/>
      <name val="Tahoma"/>
      <family val="2"/>
    </font>
    <font>
      <sz val="8"/>
      <color indexed="81"/>
      <name val="Tahoma"/>
      <family val="2"/>
    </font>
    <font>
      <b/>
      <u/>
      <sz val="16"/>
      <name val="Arial"/>
      <family val="2"/>
    </font>
    <font>
      <sz val="10"/>
      <color indexed="9"/>
      <name val="Arial"/>
      <family val="2"/>
    </font>
    <font>
      <sz val="24"/>
      <name val="Arial"/>
      <family val="2"/>
    </font>
    <font>
      <sz val="8"/>
      <color indexed="9"/>
      <name val="Arial"/>
      <family val="2"/>
    </font>
    <font>
      <b/>
      <sz val="9"/>
      <color indexed="81"/>
      <name val="Tahoma"/>
      <family val="2"/>
    </font>
    <font>
      <sz val="9"/>
      <color indexed="81"/>
      <name val="Tahoma"/>
      <family val="2"/>
    </font>
    <font>
      <b/>
      <sz val="14"/>
      <name val="Arial"/>
      <family val="2"/>
    </font>
    <font>
      <sz val="18"/>
      <name val="Arial"/>
      <family val="2"/>
    </font>
    <font>
      <b/>
      <sz val="11"/>
      <color theme="0"/>
      <name val="Calibri"/>
      <family val="2"/>
      <scheme val="minor"/>
    </font>
    <font>
      <b/>
      <sz val="11"/>
      <color theme="1"/>
      <name val="Calibri"/>
      <family val="2"/>
      <scheme val="minor"/>
    </font>
    <font>
      <b/>
      <sz val="11"/>
      <name val="Calibri"/>
      <family val="2"/>
      <scheme val="minor"/>
    </font>
    <font>
      <sz val="11"/>
      <name val="Calibri"/>
      <family val="2"/>
      <scheme val="minor"/>
    </font>
    <font>
      <b/>
      <sz val="10"/>
      <name val="Arial"/>
      <family val="2"/>
    </font>
    <font>
      <strike/>
      <sz val="8"/>
      <name val="Arial"/>
      <family val="2"/>
    </font>
    <font>
      <sz val="10"/>
      <color theme="0"/>
      <name val="Arial"/>
      <family val="2"/>
    </font>
    <font>
      <b/>
      <sz val="16"/>
      <name val="Arial"/>
      <family val="2"/>
    </font>
    <font>
      <strike/>
      <sz val="10"/>
      <name val="Arial"/>
      <family val="2"/>
    </font>
    <font>
      <sz val="8"/>
      <color rgb="FFFF0000"/>
      <name val="Arial"/>
      <family val="2"/>
    </font>
    <font>
      <sz val="10"/>
      <color rgb="FFFF0000"/>
      <name val="Arial"/>
      <family val="2"/>
    </font>
    <font>
      <strike/>
      <sz val="8"/>
      <color rgb="FFFF0000"/>
      <name val="Arial"/>
      <family val="2"/>
    </font>
  </fonts>
  <fills count="23">
    <fill>
      <patternFill patternType="none"/>
    </fill>
    <fill>
      <patternFill patternType="gray125"/>
    </fill>
    <fill>
      <patternFill patternType="solid">
        <fgColor indexed="23"/>
        <bgColor indexed="64"/>
      </patternFill>
    </fill>
    <fill>
      <patternFill patternType="solid">
        <fgColor indexed="12"/>
        <bgColor indexed="64"/>
      </patternFill>
    </fill>
    <fill>
      <patternFill patternType="solid">
        <fgColor theme="0" tint="-0.499984740745262"/>
        <bgColor indexed="64"/>
      </patternFill>
    </fill>
    <fill>
      <patternFill patternType="solid">
        <fgColor theme="3"/>
        <bgColor indexed="64"/>
      </patternFill>
    </fill>
    <fill>
      <patternFill patternType="solid">
        <fgColor indexed="17"/>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rgb="FF66FFFF"/>
        <bgColor indexed="64"/>
      </patternFill>
    </fill>
    <fill>
      <patternFill patternType="solid">
        <fgColor rgb="FF00B050"/>
        <bgColor indexed="64"/>
      </patternFill>
    </fill>
    <fill>
      <patternFill patternType="solid">
        <fgColor rgb="FFFFFF00"/>
        <bgColor indexed="64"/>
      </patternFill>
    </fill>
    <fill>
      <patternFill patternType="solid">
        <fgColor rgb="FFFFC000"/>
        <bgColor indexed="64"/>
      </patternFill>
    </fill>
    <fill>
      <patternFill patternType="darkUp">
        <fgColor rgb="FFFFC000"/>
        <bgColor rgb="FFFFFF00"/>
      </patternFill>
    </fill>
    <fill>
      <patternFill patternType="solid">
        <fgColor theme="4"/>
        <bgColor indexed="64"/>
      </patternFill>
    </fill>
    <fill>
      <patternFill patternType="solid">
        <fgColor theme="7" tint="-0.249977111117893"/>
        <bgColor indexed="64"/>
      </patternFill>
    </fill>
    <fill>
      <patternFill patternType="lightUp"/>
    </fill>
    <fill>
      <patternFill patternType="solid">
        <fgColor theme="0" tint="-0.249977111117893"/>
        <bgColor indexed="64"/>
      </patternFill>
    </fill>
    <fill>
      <patternFill patternType="solid">
        <fgColor rgb="FF7030A0"/>
        <bgColor indexed="64"/>
      </patternFill>
    </fill>
    <fill>
      <patternFill patternType="solid">
        <fgColor theme="0"/>
        <bgColor indexed="64"/>
      </patternFill>
    </fill>
    <fill>
      <patternFill patternType="solid">
        <fgColor rgb="FF00B0F0"/>
        <bgColor indexed="64"/>
      </patternFill>
    </fill>
    <fill>
      <patternFill patternType="solid">
        <fgColor theme="6" tint="0.59999389629810485"/>
        <bgColor indexed="64"/>
      </patternFill>
    </fill>
    <fill>
      <patternFill patternType="solid">
        <fgColor theme="0" tint="-0.14999847407452621"/>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right style="thin">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hair">
        <color auto="1"/>
      </left>
      <right style="hair">
        <color auto="1"/>
      </right>
      <top style="hair">
        <color auto="1"/>
      </top>
      <bottom style="hair">
        <color auto="1"/>
      </bottom>
      <diagonal/>
    </border>
    <border>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thin">
        <color indexed="64"/>
      </top>
      <bottom style="hair">
        <color auto="1"/>
      </bottom>
      <diagonal/>
    </border>
    <border>
      <left style="hair">
        <color auto="1"/>
      </left>
      <right/>
      <top style="thin">
        <color indexed="64"/>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right style="hair">
        <color auto="1"/>
      </right>
      <top style="medium">
        <color indexed="64"/>
      </top>
      <bottom style="hair">
        <color auto="1"/>
      </bottom>
      <diagonal/>
    </border>
    <border>
      <left style="hair">
        <color auto="1"/>
      </left>
      <right/>
      <top style="medium">
        <color indexed="64"/>
      </top>
      <bottom style="hair">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hair">
        <color auto="1"/>
      </right>
      <top style="medium">
        <color indexed="64"/>
      </top>
      <bottom style="thin">
        <color indexed="64"/>
      </bottom>
      <diagonal/>
    </border>
    <border>
      <left style="hair">
        <color auto="1"/>
      </left>
      <right/>
      <top style="medium">
        <color indexed="64"/>
      </top>
      <bottom style="thin">
        <color indexed="64"/>
      </bottom>
      <diagonal/>
    </border>
    <border>
      <left/>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style="medium">
        <color indexed="64"/>
      </left>
      <right/>
      <top style="medium">
        <color indexed="64"/>
      </top>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diagonal/>
    </border>
    <border>
      <left/>
      <right/>
      <top/>
      <bottom style="medium">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indexed="64"/>
      </left>
      <right style="thin">
        <color indexed="64"/>
      </right>
      <top/>
      <bottom/>
      <diagonal/>
    </border>
  </borders>
  <cellStyleXfs count="7">
    <xf numFmtId="0" fontId="0" fillId="0" borderId="1"/>
    <xf numFmtId="0" fontId="2" fillId="0" borderId="0"/>
    <xf numFmtId="0" fontId="3" fillId="0" borderId="0"/>
    <xf numFmtId="0" fontId="4" fillId="0" borderId="1"/>
    <xf numFmtId="0" fontId="1" fillId="0" borderId="0"/>
    <xf numFmtId="0" fontId="4" fillId="0" borderId="1"/>
    <xf numFmtId="0" fontId="3" fillId="0" borderId="0"/>
  </cellStyleXfs>
  <cellXfs count="325">
    <xf numFmtId="0" fontId="0" fillId="0" borderId="1" xfId="0"/>
    <xf numFmtId="0" fontId="5" fillId="0" borderId="0" xfId="0" applyFont="1" applyBorder="1"/>
    <xf numFmtId="0" fontId="6" fillId="0" borderId="2" xfId="0" applyFont="1" applyBorder="1"/>
    <xf numFmtId="0" fontId="7" fillId="0" borderId="3" xfId="0" applyFont="1" applyBorder="1"/>
    <xf numFmtId="0" fontId="4" fillId="0" borderId="1" xfId="0" applyFont="1"/>
    <xf numFmtId="0" fontId="4" fillId="0" borderId="4" xfId="0" applyFont="1" applyBorder="1"/>
    <xf numFmtId="0" fontId="4" fillId="0" borderId="0" xfId="0" applyFont="1" applyBorder="1"/>
    <xf numFmtId="0" fontId="4" fillId="0" borderId="0" xfId="0" applyFont="1" applyBorder="1" applyAlignment="1">
      <alignment horizontal="center"/>
    </xf>
    <xf numFmtId="0" fontId="9" fillId="0" borderId="7" xfId="0" applyFont="1" applyBorder="1"/>
    <xf numFmtId="0" fontId="9" fillId="0" borderId="0" xfId="0" applyFont="1" applyBorder="1"/>
    <xf numFmtId="0" fontId="10" fillId="0" borderId="12" xfId="0" applyFont="1" applyBorder="1"/>
    <xf numFmtId="0" fontId="10" fillId="0" borderId="0" xfId="0" applyFont="1" applyBorder="1"/>
    <xf numFmtId="0" fontId="10" fillId="0" borderId="10" xfId="0" applyFont="1" applyBorder="1" applyAlignment="1">
      <alignment vertical="top"/>
    </xf>
    <xf numFmtId="0" fontId="10" fillId="0" borderId="10" xfId="0" applyFont="1" applyBorder="1" applyAlignment="1">
      <alignment vertical="top" wrapText="1"/>
    </xf>
    <xf numFmtId="0" fontId="10" fillId="0" borderId="0" xfId="0" applyFont="1" applyBorder="1" applyAlignment="1">
      <alignment vertical="top"/>
    </xf>
    <xf numFmtId="0" fontId="15" fillId="0" borderId="0" xfId="0" applyFont="1" applyBorder="1"/>
    <xf numFmtId="0" fontId="16" fillId="0" borderId="0" xfId="0" applyFont="1" applyBorder="1" applyAlignment="1" applyProtection="1">
      <alignment horizontal="center" vertical="center" wrapText="1"/>
      <protection locked="0"/>
    </xf>
    <xf numFmtId="0" fontId="10" fillId="0" borderId="12" xfId="0" applyFont="1" applyBorder="1" applyAlignment="1" applyProtection="1">
      <alignment wrapText="1"/>
      <protection locked="0"/>
    </xf>
    <xf numFmtId="0" fontId="9" fillId="0" borderId="7" xfId="0" applyFont="1" applyBorder="1" applyAlignment="1" applyProtection="1">
      <alignment wrapText="1"/>
      <protection locked="0"/>
    </xf>
    <xf numFmtId="0" fontId="9" fillId="0" borderId="17" xfId="0" applyFont="1" applyBorder="1"/>
    <xf numFmtId="0" fontId="10" fillId="0" borderId="18" xfId="0" applyFont="1" applyBorder="1"/>
    <xf numFmtId="0" fontId="10" fillId="0" borderId="19" xfId="0" applyFont="1" applyBorder="1" applyAlignment="1">
      <alignment vertical="top" wrapText="1"/>
    </xf>
    <xf numFmtId="0" fontId="9" fillId="0" borderId="18" xfId="0" applyFont="1" applyBorder="1" applyAlignment="1" applyProtection="1">
      <alignment wrapText="1"/>
      <protection locked="0"/>
    </xf>
    <xf numFmtId="0" fontId="9" fillId="0" borderId="20" xfId="0" applyFont="1" applyBorder="1" applyAlignment="1" applyProtection="1">
      <alignment wrapText="1"/>
      <protection locked="0"/>
    </xf>
    <xf numFmtId="0" fontId="10" fillId="0" borderId="18" xfId="0" applyFont="1" applyBorder="1" applyAlignment="1" applyProtection="1">
      <alignment wrapText="1"/>
      <protection locked="0"/>
    </xf>
    <xf numFmtId="0" fontId="10" fillId="0" borderId="20" xfId="0" applyFont="1" applyBorder="1" applyAlignment="1" applyProtection="1">
      <alignment wrapText="1"/>
      <protection locked="0"/>
    </xf>
    <xf numFmtId="0" fontId="10" fillId="0" borderId="20" xfId="0" applyFont="1" applyBorder="1"/>
    <xf numFmtId="0" fontId="10" fillId="0" borderId="19" xfId="0" applyFont="1" applyBorder="1" applyAlignment="1">
      <alignment vertical="top"/>
    </xf>
    <xf numFmtId="0" fontId="10" fillId="0" borderId="22" xfId="0" applyFont="1" applyBorder="1" applyAlignment="1">
      <alignment vertical="top"/>
    </xf>
    <xf numFmtId="0" fontId="4" fillId="0" borderId="17" xfId="0" applyFont="1" applyBorder="1" applyAlignment="1" applyProtection="1">
      <alignment wrapText="1"/>
      <protection locked="0"/>
    </xf>
    <xf numFmtId="0" fontId="4" fillId="0" borderId="21" xfId="0" applyFont="1" applyBorder="1" applyAlignment="1" applyProtection="1">
      <alignment wrapText="1"/>
      <protection locked="0"/>
    </xf>
    <xf numFmtId="0" fontId="3" fillId="0" borderId="0" xfId="0" applyFont="1" applyBorder="1"/>
    <xf numFmtId="0" fontId="19" fillId="0" borderId="0" xfId="0" applyFont="1" applyBorder="1"/>
    <xf numFmtId="0" fontId="16" fillId="3" borderId="1" xfId="0" applyFont="1" applyFill="1" applyAlignment="1" applyProtection="1">
      <alignment horizontal="centerContinuous" vertical="center" wrapText="1"/>
      <protection locked="0"/>
    </xf>
    <xf numFmtId="0" fontId="16" fillId="8" borderId="1" xfId="0" applyFont="1" applyFill="1" applyAlignment="1" applyProtection="1">
      <alignment horizontal="center" vertical="center" wrapText="1"/>
      <protection locked="0"/>
    </xf>
    <xf numFmtId="0" fontId="16" fillId="0" borderId="1" xfId="0" applyFont="1" applyAlignment="1" applyProtection="1">
      <alignment horizontal="center" vertical="center" wrapText="1"/>
      <protection locked="0"/>
    </xf>
    <xf numFmtId="0" fontId="22" fillId="10" borderId="0" xfId="1" applyFont="1" applyFill="1"/>
    <xf numFmtId="0" fontId="23" fillId="11" borderId="0" xfId="1" applyFont="1" applyFill="1"/>
    <xf numFmtId="0" fontId="22" fillId="11" borderId="0" xfId="1" applyFont="1" applyFill="1"/>
    <xf numFmtId="0" fontId="22" fillId="12" borderId="0" xfId="1" applyFont="1" applyFill="1"/>
    <xf numFmtId="0" fontId="22" fillId="13" borderId="0" xfId="1" applyFont="1" applyFill="1"/>
    <xf numFmtId="0" fontId="21" fillId="14" borderId="0" xfId="1" applyFont="1" applyFill="1"/>
    <xf numFmtId="0" fontId="22" fillId="0" borderId="0" xfId="1" applyFont="1"/>
    <xf numFmtId="0" fontId="24" fillId="0" borderId="0" xfId="1" applyFont="1"/>
    <xf numFmtId="0" fontId="2" fillId="0" borderId="0" xfId="1"/>
    <xf numFmtId="0" fontId="3" fillId="0" borderId="0" xfId="0" applyFont="1" applyBorder="1" applyProtection="1">
      <protection locked="0"/>
    </xf>
    <xf numFmtId="0" fontId="4" fillId="0" borderId="32" xfId="0" applyFont="1" applyBorder="1" applyProtection="1">
      <protection locked="0"/>
    </xf>
    <xf numFmtId="0" fontId="4" fillId="0" borderId="32" xfId="0" applyFont="1" applyBorder="1" applyAlignment="1" applyProtection="1">
      <alignment horizontal="center"/>
      <protection locked="0"/>
    </xf>
    <xf numFmtId="0" fontId="4" fillId="0" borderId="33" xfId="0" applyFont="1" applyBorder="1" applyProtection="1">
      <protection locked="0"/>
    </xf>
    <xf numFmtId="0" fontId="16" fillId="2" borderId="1" xfId="0" applyFont="1" applyFill="1" applyAlignment="1">
      <alignment horizontal="left" vertical="center" wrapText="1"/>
    </xf>
    <xf numFmtId="0" fontId="4" fillId="0" borderId="37" xfId="0" applyFont="1" applyBorder="1" applyAlignment="1" applyProtection="1">
      <alignment horizontal="center"/>
      <protection locked="0"/>
    </xf>
    <xf numFmtId="0" fontId="4" fillId="0" borderId="37" xfId="0" applyFont="1" applyBorder="1" applyProtection="1">
      <protection locked="0"/>
    </xf>
    <xf numFmtId="0" fontId="4" fillId="0" borderId="38" xfId="0" applyFont="1" applyBorder="1" applyAlignment="1" applyProtection="1">
      <alignment horizontal="center"/>
      <protection locked="0"/>
    </xf>
    <xf numFmtId="0" fontId="4" fillId="0" borderId="38" xfId="0" applyFont="1" applyBorder="1" applyProtection="1">
      <protection locked="0"/>
    </xf>
    <xf numFmtId="0" fontId="4" fillId="0" borderId="32" xfId="0" applyFont="1" applyBorder="1" applyAlignment="1">
      <alignment horizontal="center"/>
    </xf>
    <xf numFmtId="0" fontId="4" fillId="16" borderId="32" xfId="0" applyFont="1" applyFill="1" applyBorder="1" applyProtection="1">
      <protection locked="0"/>
    </xf>
    <xf numFmtId="0" fontId="4" fillId="0" borderId="32" xfId="0" applyFont="1" applyBorder="1"/>
    <xf numFmtId="0" fontId="4" fillId="0" borderId="37" xfId="0" applyFont="1" applyBorder="1"/>
    <xf numFmtId="0" fontId="3" fillId="0" borderId="0" xfId="0" applyFont="1" applyBorder="1" applyAlignment="1" applyProtection="1">
      <alignment horizontal="left"/>
      <protection locked="0"/>
    </xf>
    <xf numFmtId="0" fontId="4" fillId="0" borderId="30" xfId="0" applyFont="1" applyBorder="1"/>
    <xf numFmtId="0" fontId="13" fillId="0" borderId="0" xfId="0" applyFont="1" applyBorder="1" applyAlignment="1">
      <alignment horizontal="left" vertical="center"/>
    </xf>
    <xf numFmtId="0" fontId="0" fillId="0" borderId="0" xfId="0" applyBorder="1" applyAlignment="1">
      <alignment horizontal="left"/>
    </xf>
    <xf numFmtId="0" fontId="0" fillId="0" borderId="0" xfId="0" applyBorder="1" applyAlignment="1">
      <alignment horizontal="left" vertical="center"/>
    </xf>
    <xf numFmtId="0" fontId="0" fillId="0" borderId="0" xfId="0" applyBorder="1"/>
    <xf numFmtId="0" fontId="3" fillId="0" borderId="0" xfId="0" applyFont="1" applyBorder="1" applyAlignment="1">
      <alignment horizontal="left"/>
    </xf>
    <xf numFmtId="0" fontId="3" fillId="0" borderId="0" xfId="0" applyFont="1" applyBorder="1" applyAlignment="1">
      <alignment horizontal="left" vertical="center"/>
    </xf>
    <xf numFmtId="0" fontId="3" fillId="17" borderId="47" xfId="0" applyFont="1" applyFill="1" applyBorder="1" applyAlignment="1">
      <alignment horizontal="left"/>
    </xf>
    <xf numFmtId="0" fontId="3" fillId="0" borderId="29" xfId="0" applyFont="1" applyBorder="1" applyAlignment="1">
      <alignment horizontal="left"/>
    </xf>
    <xf numFmtId="0" fontId="3" fillId="17" borderId="48" xfId="0" applyFont="1" applyFill="1" applyBorder="1" applyAlignment="1">
      <alignment horizontal="left"/>
    </xf>
    <xf numFmtId="0" fontId="3" fillId="0" borderId="24" xfId="0" applyFont="1" applyBorder="1" applyAlignment="1">
      <alignment horizontal="left"/>
    </xf>
    <xf numFmtId="0" fontId="3" fillId="17" borderId="49" xfId="0" applyFont="1" applyFill="1" applyBorder="1" applyAlignment="1">
      <alignment horizontal="left"/>
    </xf>
    <xf numFmtId="0" fontId="3" fillId="0" borderId="31" xfId="0" applyFont="1" applyBorder="1" applyAlignment="1">
      <alignment horizontal="left"/>
    </xf>
    <xf numFmtId="0" fontId="3" fillId="0" borderId="0" xfId="0" applyFont="1" applyBorder="1" applyAlignment="1" applyProtection="1">
      <alignment horizontal="left" vertical="center"/>
      <protection locked="0"/>
    </xf>
    <xf numFmtId="0" fontId="3" fillId="17" borderId="13" xfId="0" applyFont="1" applyFill="1" applyBorder="1" applyAlignment="1">
      <alignment horizontal="left" vertical="center"/>
    </xf>
    <xf numFmtId="0" fontId="3" fillId="17" borderId="41" xfId="0" applyFont="1" applyFill="1" applyBorder="1" applyAlignment="1">
      <alignment horizontal="left" vertical="center"/>
    </xf>
    <xf numFmtId="0" fontId="3" fillId="0" borderId="15" xfId="0" applyFont="1" applyBorder="1" applyAlignment="1">
      <alignment horizontal="left"/>
    </xf>
    <xf numFmtId="0" fontId="3" fillId="0" borderId="50" xfId="0" applyFont="1" applyBorder="1" applyAlignment="1">
      <alignment horizontal="left" vertical="center"/>
    </xf>
    <xf numFmtId="0" fontId="3" fillId="17" borderId="51" xfId="0" applyFont="1" applyFill="1" applyBorder="1" applyAlignment="1">
      <alignment horizontal="left"/>
    </xf>
    <xf numFmtId="0" fontId="3" fillId="0" borderId="14" xfId="0" applyFont="1" applyBorder="1" applyAlignment="1">
      <alignment horizontal="left"/>
    </xf>
    <xf numFmtId="0" fontId="3" fillId="0" borderId="31" xfId="0" applyFont="1" applyBorder="1" applyAlignment="1">
      <alignment horizontal="left" vertical="center"/>
    </xf>
    <xf numFmtId="0" fontId="25" fillId="17" borderId="47" xfId="0" applyFont="1" applyFill="1" applyBorder="1" applyAlignment="1">
      <alignment horizontal="left"/>
    </xf>
    <xf numFmtId="0" fontId="16" fillId="2" borderId="26" xfId="0" applyFont="1" applyFill="1" applyBorder="1" applyAlignment="1" applyProtection="1">
      <alignment horizontal="left" vertical="top" wrapText="1"/>
      <protection locked="0"/>
    </xf>
    <xf numFmtId="0" fontId="16" fillId="2" borderId="16" xfId="0" applyFont="1" applyFill="1" applyBorder="1" applyAlignment="1" applyProtection="1">
      <alignment horizontal="left" vertical="top" wrapText="1"/>
      <protection locked="0"/>
    </xf>
    <xf numFmtId="0" fontId="16" fillId="3" borderId="16" xfId="0" applyFont="1" applyFill="1" applyBorder="1" applyAlignment="1" applyProtection="1">
      <alignment horizontal="left" vertical="top" wrapText="1"/>
      <protection locked="0"/>
    </xf>
    <xf numFmtId="0" fontId="16" fillId="4" borderId="16" xfId="0" applyFont="1" applyFill="1" applyBorder="1" applyAlignment="1" applyProtection="1">
      <alignment horizontal="left" vertical="top" wrapText="1"/>
      <protection locked="0"/>
    </xf>
    <xf numFmtId="0" fontId="16" fillId="5" borderId="16" xfId="0" applyFont="1" applyFill="1" applyBorder="1" applyAlignment="1" applyProtection="1">
      <alignment horizontal="left" vertical="top" wrapText="1"/>
      <protection locked="0"/>
    </xf>
    <xf numFmtId="0" fontId="16" fillId="6" borderId="16" xfId="0" applyFont="1" applyFill="1" applyBorder="1" applyAlignment="1" applyProtection="1">
      <alignment horizontal="left" vertical="top" wrapText="1"/>
      <protection locked="0"/>
    </xf>
    <xf numFmtId="0" fontId="16" fillId="3" borderId="5" xfId="0" applyFont="1" applyFill="1" applyBorder="1" applyAlignment="1" applyProtection="1">
      <alignment horizontal="left" vertical="top" wrapText="1"/>
      <protection locked="0"/>
    </xf>
    <xf numFmtId="49" fontId="16" fillId="2" borderId="16" xfId="0" applyNumberFormat="1" applyFont="1" applyFill="1" applyBorder="1" applyAlignment="1" applyProtection="1">
      <alignment horizontal="left" vertical="top" wrapText="1"/>
      <protection locked="0"/>
    </xf>
    <xf numFmtId="0" fontId="16" fillId="2" borderId="16" xfId="0" applyFont="1" applyFill="1" applyBorder="1" applyAlignment="1">
      <alignment horizontal="left" vertical="top" wrapText="1"/>
    </xf>
    <xf numFmtId="0" fontId="16" fillId="0" borderId="0" xfId="0" applyFont="1" applyBorder="1" applyAlignment="1" applyProtection="1">
      <alignment horizontal="left" vertical="top" wrapText="1"/>
      <protection locked="0"/>
    </xf>
    <xf numFmtId="0" fontId="13" fillId="0" borderId="0" xfId="0" applyFont="1" applyBorder="1" applyAlignment="1" applyProtection="1">
      <alignment horizontal="left" vertical="top"/>
      <protection locked="0"/>
    </xf>
    <xf numFmtId="0" fontId="0" fillId="0" borderId="0" xfId="0" applyBorder="1" applyAlignment="1" applyProtection="1">
      <alignment horizontal="left" vertical="top"/>
      <protection locked="0"/>
    </xf>
    <xf numFmtId="0" fontId="3" fillId="0" borderId="0" xfId="0" applyFont="1" applyBorder="1" applyAlignment="1" applyProtection="1">
      <alignment horizontal="left" vertical="top"/>
      <protection locked="0"/>
    </xf>
    <xf numFmtId="0" fontId="3" fillId="0" borderId="0" xfId="0" applyFont="1" applyBorder="1" applyAlignment="1" applyProtection="1">
      <alignment horizontal="center" vertical="center"/>
      <protection locked="0"/>
    </xf>
    <xf numFmtId="0" fontId="14" fillId="2" borderId="9" xfId="0" applyFont="1" applyFill="1" applyBorder="1" applyAlignment="1" applyProtection="1">
      <alignment horizontal="center" vertical="center"/>
      <protection locked="0"/>
    </xf>
    <xf numFmtId="0" fontId="14" fillId="2" borderId="10" xfId="0" applyFont="1" applyFill="1" applyBorder="1" applyAlignment="1" applyProtection="1">
      <alignment horizontal="center" vertical="center"/>
      <protection locked="0"/>
    </xf>
    <xf numFmtId="0" fontId="14" fillId="2" borderId="11" xfId="0" applyFont="1" applyFill="1" applyBorder="1" applyAlignment="1" applyProtection="1">
      <alignment horizontal="center" vertical="center"/>
      <protection locked="0"/>
    </xf>
    <xf numFmtId="0" fontId="3" fillId="0" borderId="16" xfId="0" applyFont="1" applyBorder="1" applyAlignment="1" applyProtection="1">
      <alignment horizontal="left" vertical="top"/>
      <protection locked="0"/>
    </xf>
    <xf numFmtId="0" fontId="3" fillId="0" borderId="1" xfId="0" applyFont="1" applyAlignment="1" applyProtection="1">
      <alignment horizontal="left" vertical="top"/>
      <protection locked="0"/>
    </xf>
    <xf numFmtId="0" fontId="3" fillId="0" borderId="4" xfId="0" applyFont="1" applyBorder="1" applyAlignment="1" applyProtection="1">
      <alignment horizontal="left" vertical="top"/>
      <protection locked="0"/>
    </xf>
    <xf numFmtId="0" fontId="3" fillId="0" borderId="0" xfId="0" applyFont="1" applyBorder="1" applyAlignment="1" applyProtection="1">
      <alignment horizontal="center" vertical="top"/>
      <protection locked="0"/>
    </xf>
    <xf numFmtId="164" fontId="0" fillId="0" borderId="0" xfId="0" applyNumberFormat="1" applyBorder="1" applyAlignment="1" applyProtection="1">
      <alignment horizontal="left" vertical="top"/>
      <protection locked="0"/>
    </xf>
    <xf numFmtId="0" fontId="14" fillId="2" borderId="7" xfId="0" applyFont="1" applyFill="1" applyBorder="1" applyAlignment="1" applyProtection="1">
      <alignment horizontal="center" vertical="center"/>
      <protection locked="0"/>
    </xf>
    <xf numFmtId="164" fontId="14" fillId="2" borderId="7" xfId="0" applyNumberFormat="1" applyFont="1" applyFill="1" applyBorder="1" applyAlignment="1" applyProtection="1">
      <alignment horizontal="center" vertical="center"/>
      <protection locked="0"/>
    </xf>
    <xf numFmtId="0" fontId="14" fillId="2" borderId="6" xfId="0" applyFont="1" applyFill="1" applyBorder="1" applyAlignment="1" applyProtection="1">
      <alignment horizontal="center" vertical="center"/>
      <protection locked="0"/>
    </xf>
    <xf numFmtId="0" fontId="0" fillId="0" borderId="0" xfId="0" applyBorder="1" applyAlignment="1" applyProtection="1">
      <alignment horizontal="center" vertical="top"/>
      <protection locked="0"/>
    </xf>
    <xf numFmtId="164" fontId="0" fillId="0" borderId="0" xfId="0" applyNumberFormat="1" applyBorder="1" applyAlignment="1" applyProtection="1">
      <alignment horizontal="center" vertical="top"/>
      <protection locked="0"/>
    </xf>
    <xf numFmtId="0" fontId="3" fillId="0" borderId="0" xfId="0" applyFont="1" applyBorder="1" applyAlignment="1" applyProtection="1">
      <alignment vertical="top"/>
      <protection locked="0"/>
    </xf>
    <xf numFmtId="0" fontId="3" fillId="0" borderId="1" xfId="0" applyFont="1" applyAlignment="1" applyProtection="1">
      <alignment horizontal="center" vertical="top"/>
      <protection locked="0"/>
    </xf>
    <xf numFmtId="164" fontId="3" fillId="0" borderId="1" xfId="0" applyNumberFormat="1" applyFont="1" applyAlignment="1" applyProtection="1">
      <alignment horizontal="center" vertical="top"/>
      <protection locked="0"/>
    </xf>
    <xf numFmtId="0" fontId="3" fillId="0" borderId="1" xfId="0" applyFont="1" applyAlignment="1" applyProtection="1">
      <alignment horizontal="center" vertical="top" wrapText="1"/>
      <protection locked="0"/>
    </xf>
    <xf numFmtId="164" fontId="3" fillId="0" borderId="0" xfId="0" applyNumberFormat="1" applyFont="1" applyBorder="1" applyAlignment="1" applyProtection="1">
      <alignment horizontal="center" vertical="top"/>
      <protection locked="0"/>
    </xf>
    <xf numFmtId="0" fontId="3" fillId="0" borderId="1" xfId="0" applyFont="1" applyAlignment="1" applyProtection="1">
      <alignment vertical="top"/>
      <protection locked="0"/>
    </xf>
    <xf numFmtId="0" fontId="3" fillId="0" borderId="1" xfId="0" applyFont="1" applyAlignment="1" applyProtection="1">
      <alignment vertical="top" wrapText="1"/>
      <protection locked="0"/>
    </xf>
    <xf numFmtId="0" fontId="3" fillId="0" borderId="1" xfId="0" quotePrefix="1" applyFont="1" applyAlignment="1" applyProtection="1">
      <alignment vertical="top" wrapText="1"/>
      <protection locked="0"/>
    </xf>
    <xf numFmtId="0" fontId="3" fillId="0" borderId="16" xfId="0" applyFont="1" applyBorder="1" applyAlignment="1" applyProtection="1">
      <alignment horizontal="center" vertical="top"/>
      <protection locked="0"/>
    </xf>
    <xf numFmtId="0" fontId="3" fillId="0" borderId="4" xfId="0" applyFont="1" applyBorder="1" applyAlignment="1" applyProtection="1">
      <alignment horizontal="center" vertical="top"/>
      <protection locked="0"/>
    </xf>
    <xf numFmtId="164" fontId="3" fillId="0" borderId="16" xfId="0" applyNumberFormat="1" applyFont="1" applyBorder="1" applyAlignment="1" applyProtection="1">
      <alignment horizontal="center" vertical="top"/>
      <protection locked="0"/>
    </xf>
    <xf numFmtId="0" fontId="3" fillId="0" borderId="7" xfId="0" applyFont="1" applyBorder="1" applyAlignment="1" applyProtection="1">
      <alignment horizontal="center" vertical="top"/>
      <protection locked="0"/>
    </xf>
    <xf numFmtId="0" fontId="3" fillId="0" borderId="53" xfId="0" applyFont="1" applyBorder="1" applyAlignment="1" applyProtection="1">
      <alignment horizontal="center" vertical="top"/>
      <protection locked="0"/>
    </xf>
    <xf numFmtId="164" fontId="3" fillId="0" borderId="4" xfId="0" applyNumberFormat="1" applyFont="1" applyBorder="1" applyAlignment="1" applyProtection="1">
      <alignment horizontal="center" vertical="top"/>
      <protection locked="0"/>
    </xf>
    <xf numFmtId="0" fontId="14" fillId="2" borderId="7" xfId="0" applyFont="1" applyFill="1" applyBorder="1" applyAlignment="1" applyProtection="1">
      <alignment vertical="center"/>
      <protection locked="0"/>
    </xf>
    <xf numFmtId="0" fontId="3" fillId="0" borderId="0" xfId="0" applyFont="1" applyBorder="1" applyAlignment="1" applyProtection="1">
      <alignment vertical="center"/>
      <protection locked="0"/>
    </xf>
    <xf numFmtId="0" fontId="16" fillId="18" borderId="16" xfId="0" applyFont="1" applyFill="1" applyBorder="1" applyAlignment="1" applyProtection="1">
      <alignment horizontal="left" vertical="top" wrapText="1"/>
      <protection locked="0"/>
    </xf>
    <xf numFmtId="0" fontId="14" fillId="2" borderId="28" xfId="0" applyFont="1" applyFill="1" applyBorder="1" applyAlignment="1" applyProtection="1">
      <alignment vertical="center"/>
      <protection locked="0"/>
    </xf>
    <xf numFmtId="0" fontId="14" fillId="2" borderId="29" xfId="0" applyFont="1" applyFill="1" applyBorder="1" applyAlignment="1" applyProtection="1">
      <alignment vertical="center"/>
      <protection locked="0"/>
    </xf>
    <xf numFmtId="0" fontId="3" fillId="0" borderId="27" xfId="0" applyFont="1" applyBorder="1" applyAlignment="1" applyProtection="1">
      <alignment horizontal="center" vertical="top"/>
      <protection locked="0"/>
    </xf>
    <xf numFmtId="0" fontId="3" fillId="0" borderId="2" xfId="0" applyFont="1" applyBorder="1" applyAlignment="1" applyProtection="1">
      <alignment horizontal="center" vertical="top"/>
      <protection locked="0"/>
    </xf>
    <xf numFmtId="0" fontId="3" fillId="0" borderId="55" xfId="0" applyFont="1" applyBorder="1" applyAlignment="1" applyProtection="1">
      <alignment horizontal="center" vertical="top"/>
      <protection locked="0"/>
    </xf>
    <xf numFmtId="0" fontId="3" fillId="0" borderId="56" xfId="0" applyFont="1" applyBorder="1" applyAlignment="1" applyProtection="1">
      <alignment horizontal="center" vertical="top"/>
      <protection locked="0"/>
    </xf>
    <xf numFmtId="0" fontId="3" fillId="0" borderId="57" xfId="0" applyFont="1" applyBorder="1" applyAlignment="1" applyProtection="1">
      <alignment horizontal="center" vertical="top"/>
      <protection locked="0"/>
    </xf>
    <xf numFmtId="0" fontId="3" fillId="0" borderId="14" xfId="0" applyFont="1" applyBorder="1" applyAlignment="1" applyProtection="1">
      <alignment horizontal="center" vertical="top"/>
      <protection locked="0"/>
    </xf>
    <xf numFmtId="0" fontId="3" fillId="0" borderId="58" xfId="0" applyFont="1" applyBorder="1" applyAlignment="1" applyProtection="1">
      <alignment horizontal="center" vertical="top"/>
      <protection locked="0"/>
    </xf>
    <xf numFmtId="0" fontId="3" fillId="0" borderId="3" xfId="0" applyFont="1" applyBorder="1" applyAlignment="1" applyProtection="1">
      <alignment horizontal="center" vertical="top"/>
      <protection locked="0"/>
    </xf>
    <xf numFmtId="0" fontId="3" fillId="0" borderId="59" xfId="0" applyFont="1" applyBorder="1" applyAlignment="1" applyProtection="1">
      <alignment horizontal="center" vertical="top"/>
      <protection locked="0"/>
    </xf>
    <xf numFmtId="0" fontId="3" fillId="0" borderId="60" xfId="0" applyFont="1" applyBorder="1" applyAlignment="1" applyProtection="1">
      <alignment horizontal="center" vertical="top"/>
      <protection locked="0"/>
    </xf>
    <xf numFmtId="0" fontId="3" fillId="0" borderId="61" xfId="0" applyFont="1" applyBorder="1" applyAlignment="1" applyProtection="1">
      <alignment horizontal="center" vertical="top"/>
      <protection locked="0"/>
    </xf>
    <xf numFmtId="0" fontId="3" fillId="0" borderId="62" xfId="0" applyFont="1" applyBorder="1" applyAlignment="1" applyProtection="1">
      <alignment horizontal="center" vertical="top"/>
      <protection locked="0"/>
    </xf>
    <xf numFmtId="0" fontId="3" fillId="0" borderId="41" xfId="0" applyFont="1" applyBorder="1" applyAlignment="1">
      <alignment horizontal="left" vertical="center"/>
    </xf>
    <xf numFmtId="0" fontId="3" fillId="0" borderId="25" xfId="0" applyFont="1" applyBorder="1" applyAlignment="1">
      <alignment horizontal="left"/>
    </xf>
    <xf numFmtId="0" fontId="3" fillId="17" borderId="7" xfId="0" applyFont="1" applyFill="1" applyBorder="1" applyAlignment="1" applyProtection="1">
      <alignment horizontal="center" vertical="top"/>
      <protection locked="0"/>
    </xf>
    <xf numFmtId="0" fontId="3" fillId="17" borderId="8" xfId="0" applyFont="1" applyFill="1" applyBorder="1" applyAlignment="1" applyProtection="1">
      <alignment horizontal="center" vertical="top"/>
      <protection locked="0"/>
    </xf>
    <xf numFmtId="0" fontId="3" fillId="17" borderId="53" xfId="0" applyFont="1" applyFill="1" applyBorder="1" applyAlignment="1" applyProtection="1">
      <alignment horizontal="center" vertical="top"/>
      <protection locked="0"/>
    </xf>
    <xf numFmtId="0" fontId="3" fillId="17" borderId="54" xfId="0" applyFont="1" applyFill="1" applyBorder="1" applyAlignment="1" applyProtection="1">
      <alignment horizontal="center" vertical="top"/>
      <protection locked="0"/>
    </xf>
    <xf numFmtId="0" fontId="3" fillId="17" borderId="4" xfId="0" applyFont="1" applyFill="1" applyBorder="1" applyAlignment="1" applyProtection="1">
      <alignment horizontal="center" vertical="top"/>
      <protection locked="0"/>
    </xf>
    <xf numFmtId="0" fontId="3" fillId="17" borderId="52" xfId="0" applyFont="1" applyFill="1" applyBorder="1" applyAlignment="1" applyProtection="1">
      <alignment horizontal="center" vertical="top"/>
      <protection locked="0"/>
    </xf>
    <xf numFmtId="0" fontId="14" fillId="2" borderId="28" xfId="0" applyFont="1" applyFill="1" applyBorder="1" applyAlignment="1" applyProtection="1">
      <alignment horizontal="left" vertical="center"/>
      <protection locked="0"/>
    </xf>
    <xf numFmtId="0" fontId="3" fillId="0" borderId="1" xfId="0" applyFont="1" applyAlignment="1" applyProtection="1">
      <alignment horizontal="left" vertical="top" wrapText="1"/>
      <protection locked="0"/>
    </xf>
    <xf numFmtId="0" fontId="3" fillId="17" borderId="16" xfId="0" applyFont="1" applyFill="1" applyBorder="1" applyAlignment="1" applyProtection="1">
      <alignment horizontal="center" vertical="top"/>
      <protection locked="0"/>
    </xf>
    <xf numFmtId="0" fontId="3" fillId="17" borderId="64" xfId="0" applyFont="1" applyFill="1" applyBorder="1" applyAlignment="1" applyProtection="1">
      <alignment horizontal="center" vertical="top"/>
      <protection locked="0"/>
    </xf>
    <xf numFmtId="0" fontId="3" fillId="0" borderId="64" xfId="0" applyFont="1" applyBorder="1" applyAlignment="1" applyProtection="1">
      <alignment horizontal="center" vertical="top"/>
      <protection locked="0"/>
    </xf>
    <xf numFmtId="0" fontId="3" fillId="0" borderId="52" xfId="0" applyFont="1" applyBorder="1" applyAlignment="1" applyProtection="1">
      <alignment horizontal="center" vertical="top"/>
      <protection locked="0"/>
    </xf>
    <xf numFmtId="0" fontId="3" fillId="0" borderId="1" xfId="5" applyFont="1"/>
    <xf numFmtId="0" fontId="3" fillId="0" borderId="1" xfId="5" applyFont="1" applyAlignment="1">
      <alignment vertical="top"/>
    </xf>
    <xf numFmtId="0" fontId="3" fillId="0" borderId="1" xfId="5" applyFont="1" applyProtection="1">
      <protection locked="0"/>
    </xf>
    <xf numFmtId="0" fontId="27" fillId="0" borderId="1" xfId="5" applyFont="1" applyAlignment="1">
      <alignment horizontal="left" vertical="top"/>
    </xf>
    <xf numFmtId="0" fontId="16" fillId="18" borderId="16" xfId="5" applyFont="1" applyFill="1" applyBorder="1" applyAlignment="1" applyProtection="1">
      <alignment horizontal="left" wrapText="1"/>
      <protection locked="0"/>
    </xf>
    <xf numFmtId="0" fontId="27" fillId="6" borderId="69" xfId="5" applyFont="1" applyFill="1" applyBorder="1" applyAlignment="1">
      <alignment horizontal="left"/>
    </xf>
    <xf numFmtId="0" fontId="27" fillId="6" borderId="70" xfId="5" applyFont="1" applyFill="1" applyBorder="1" applyAlignment="1">
      <alignment horizontal="left"/>
    </xf>
    <xf numFmtId="0" fontId="27" fillId="6" borderId="70" xfId="5" applyFont="1" applyFill="1" applyBorder="1" applyAlignment="1">
      <alignment horizontal="left" wrapText="1"/>
    </xf>
    <xf numFmtId="0" fontId="27" fillId="6" borderId="71" xfId="5" applyFont="1" applyFill="1" applyBorder="1" applyAlignment="1">
      <alignment horizontal="centerContinuous"/>
    </xf>
    <xf numFmtId="0" fontId="27" fillId="2" borderId="70" xfId="5" applyFont="1" applyFill="1" applyBorder="1" applyAlignment="1" applyProtection="1">
      <alignment horizontal="left"/>
      <protection locked="0"/>
    </xf>
    <xf numFmtId="0" fontId="27" fillId="2" borderId="70" xfId="5" applyFont="1" applyFill="1" applyBorder="1" applyAlignment="1">
      <alignment horizontal="left"/>
    </xf>
    <xf numFmtId="0" fontId="27" fillId="2" borderId="43" xfId="5" applyFont="1" applyFill="1" applyBorder="1" applyAlignment="1">
      <alignment horizontal="left"/>
    </xf>
    <xf numFmtId="0" fontId="25" fillId="0" borderId="1" xfId="5" applyFont="1" applyAlignment="1">
      <alignment vertical="center"/>
    </xf>
    <xf numFmtId="0" fontId="19" fillId="0" borderId="1" xfId="5" applyFont="1" applyProtection="1">
      <protection locked="0"/>
    </xf>
    <xf numFmtId="0" fontId="9" fillId="0" borderId="72" xfId="0" applyFont="1" applyBorder="1"/>
    <xf numFmtId="0" fontId="10" fillId="0" borderId="73" xfId="0" applyFont="1" applyBorder="1" applyAlignment="1">
      <alignment vertical="top" wrapText="1"/>
    </xf>
    <xf numFmtId="0" fontId="3" fillId="0" borderId="1" xfId="0" quotePrefix="1" applyFont="1"/>
    <xf numFmtId="0" fontId="27" fillId="0" borderId="1" xfId="0" applyFont="1" applyAlignment="1">
      <alignment horizontal="left" vertical="top"/>
    </xf>
    <xf numFmtId="0" fontId="3" fillId="0" borderId="1" xfId="0" applyFont="1" applyAlignment="1">
      <alignment horizontal="left"/>
    </xf>
    <xf numFmtId="0" fontId="3" fillId="0" borderId="74" xfId="0" applyFont="1" applyBorder="1"/>
    <xf numFmtId="0" fontId="3" fillId="0" borderId="53" xfId="0" applyFont="1" applyBorder="1" applyProtection="1">
      <protection locked="0"/>
    </xf>
    <xf numFmtId="0" fontId="3" fillId="0" borderId="4" xfId="0" applyFont="1" applyBorder="1" applyAlignment="1" applyProtection="1">
      <alignment horizontal="right"/>
      <protection locked="0"/>
    </xf>
    <xf numFmtId="0" fontId="4" fillId="0" borderId="1" xfId="5"/>
    <xf numFmtId="0" fontId="4" fillId="0" borderId="12" xfId="5" applyBorder="1"/>
    <xf numFmtId="0" fontId="3" fillId="0" borderId="75" xfId="0" applyFont="1" applyBorder="1" applyAlignment="1" applyProtection="1">
      <alignment horizontal="center" vertical="top"/>
      <protection locked="0"/>
    </xf>
    <xf numFmtId="164" fontId="3" fillId="0" borderId="53" xfId="0" applyNumberFormat="1" applyFont="1" applyBorder="1" applyAlignment="1" applyProtection="1">
      <alignment horizontal="center" vertical="top"/>
      <protection locked="0"/>
    </xf>
    <xf numFmtId="0" fontId="3" fillId="0" borderId="53" xfId="0" applyFont="1" applyBorder="1" applyAlignment="1" applyProtection="1">
      <alignment horizontal="left" vertical="top"/>
      <protection locked="0"/>
    </xf>
    <xf numFmtId="0" fontId="3" fillId="0" borderId="74" xfId="0" applyFont="1" applyBorder="1" applyAlignment="1" applyProtection="1">
      <alignment horizontal="center" vertical="top"/>
      <protection locked="0"/>
    </xf>
    <xf numFmtId="0" fontId="3" fillId="0" borderId="13" xfId="0" applyFont="1" applyBorder="1" applyAlignment="1" applyProtection="1">
      <alignment horizontal="center" vertical="top"/>
      <protection locked="0"/>
    </xf>
    <xf numFmtId="164" fontId="3" fillId="0" borderId="70" xfId="0" applyNumberFormat="1" applyFont="1" applyBorder="1" applyAlignment="1" applyProtection="1">
      <alignment horizontal="center" vertical="top"/>
      <protection locked="0"/>
    </xf>
    <xf numFmtId="0" fontId="3" fillId="0" borderId="70" xfId="0" applyFont="1" applyBorder="1" applyAlignment="1" applyProtection="1">
      <alignment horizontal="left" vertical="top"/>
      <protection locked="0"/>
    </xf>
    <xf numFmtId="0" fontId="3" fillId="0" borderId="76" xfId="0" applyFont="1" applyBorder="1" applyAlignment="1" applyProtection="1">
      <alignment horizontal="center" vertical="top"/>
      <protection locked="0"/>
    </xf>
    <xf numFmtId="164" fontId="3" fillId="0" borderId="5" xfId="0" applyNumberFormat="1" applyFont="1" applyBorder="1" applyAlignment="1" applyProtection="1">
      <alignment horizontal="center" vertical="top"/>
      <protection locked="0"/>
    </xf>
    <xf numFmtId="0" fontId="3" fillId="0" borderId="5" xfId="0" applyFont="1" applyBorder="1" applyAlignment="1" applyProtection="1">
      <alignment horizontal="left" vertical="top"/>
      <protection locked="0"/>
    </xf>
    <xf numFmtId="0" fontId="3" fillId="19" borderId="16" xfId="0" applyFont="1" applyFill="1" applyBorder="1" applyAlignment="1" applyProtection="1">
      <alignment horizontal="left" vertical="top"/>
      <protection locked="0"/>
    </xf>
    <xf numFmtId="0" fontId="3" fillId="19" borderId="1" xfId="0" applyFont="1" applyFill="1" applyAlignment="1" applyProtection="1">
      <alignment horizontal="left" vertical="top"/>
      <protection locked="0"/>
    </xf>
    <xf numFmtId="0" fontId="3" fillId="19" borderId="10" xfId="0" applyFont="1" applyFill="1" applyBorder="1" applyAlignment="1" applyProtection="1">
      <alignment horizontal="left" vertical="top" wrapText="1"/>
      <protection locked="0"/>
    </xf>
    <xf numFmtId="0" fontId="3" fillId="0" borderId="1" xfId="0" applyFont="1"/>
    <xf numFmtId="0" fontId="3" fillId="0" borderId="5" xfId="5" applyFont="1" applyBorder="1"/>
    <xf numFmtId="0" fontId="3" fillId="0" borderId="1" xfId="5" applyFont="1" applyAlignment="1">
      <alignment horizontal="left"/>
    </xf>
    <xf numFmtId="0" fontId="3" fillId="0" borderId="1" xfId="0" applyFont="1" applyAlignment="1">
      <alignment wrapText="1"/>
    </xf>
    <xf numFmtId="0" fontId="3" fillId="0" borderId="1" xfId="0" quotePrefix="1" applyFont="1" applyAlignment="1">
      <alignment wrapText="1"/>
    </xf>
    <xf numFmtId="0" fontId="3" fillId="0" borderId="53" xfId="0" applyFont="1" applyBorder="1"/>
    <xf numFmtId="0" fontId="3" fillId="0" borderId="2" xfId="0" applyFont="1" applyBorder="1" applyAlignment="1">
      <alignment wrapText="1"/>
    </xf>
    <xf numFmtId="0" fontId="3" fillId="0" borderId="1" xfId="0" applyFont="1" applyProtection="1">
      <protection locked="0"/>
    </xf>
    <xf numFmtId="0" fontId="3" fillId="0" borderId="21" xfId="0" applyFont="1" applyBorder="1" applyAlignment="1" applyProtection="1">
      <alignment horizontal="center" vertical="top"/>
      <protection locked="0"/>
    </xf>
    <xf numFmtId="164" fontId="3" fillId="0" borderId="7" xfId="0" applyNumberFormat="1" applyFont="1" applyBorder="1" applyAlignment="1" applyProtection="1">
      <alignment horizontal="center" vertical="top"/>
      <protection locked="0"/>
    </xf>
    <xf numFmtId="0" fontId="3" fillId="0" borderId="7" xfId="0" applyFont="1" applyBorder="1" applyAlignment="1" applyProtection="1">
      <alignment horizontal="left" vertical="top"/>
      <protection locked="0"/>
    </xf>
    <xf numFmtId="0" fontId="4" fillId="0" borderId="25" xfId="0" applyFont="1" applyBorder="1"/>
    <xf numFmtId="49" fontId="4" fillId="0" borderId="1" xfId="0" applyNumberFormat="1" applyFont="1"/>
    <xf numFmtId="0" fontId="4" fillId="0" borderId="12" xfId="0" applyFont="1" applyBorder="1"/>
    <xf numFmtId="0" fontId="26" fillId="0" borderId="25" xfId="0" applyFont="1" applyBorder="1"/>
    <xf numFmtId="0" fontId="26" fillId="0" borderId="1" xfId="0" applyFont="1"/>
    <xf numFmtId="49" fontId="26" fillId="0" borderId="1" xfId="0" applyNumberFormat="1" applyFont="1"/>
    <xf numFmtId="0" fontId="26" fillId="0" borderId="0" xfId="0" applyFont="1" applyBorder="1"/>
    <xf numFmtId="0" fontId="4" fillId="0" borderId="1" xfId="0" applyFont="1" applyAlignment="1">
      <alignment wrapText="1"/>
    </xf>
    <xf numFmtId="0" fontId="4" fillId="0" borderId="63" xfId="0" applyFont="1" applyBorder="1"/>
    <xf numFmtId="0" fontId="4" fillId="0" borderId="53" xfId="0" applyFont="1" applyBorder="1"/>
    <xf numFmtId="0" fontId="4" fillId="0" borderId="1" xfId="0" applyFont="1" applyAlignment="1">
      <alignment horizontal="left"/>
    </xf>
    <xf numFmtId="0" fontId="4" fillId="0" borderId="53" xfId="0" applyFont="1" applyBorder="1" applyAlignment="1">
      <alignment wrapText="1"/>
    </xf>
    <xf numFmtId="0" fontId="4" fillId="0" borderId="1" xfId="0" applyFont="1" applyAlignment="1">
      <alignment horizontal="left" wrapText="1"/>
    </xf>
    <xf numFmtId="0" fontId="26" fillId="0" borderId="1" xfId="0" applyFont="1" applyAlignment="1">
      <alignment wrapText="1"/>
    </xf>
    <xf numFmtId="0" fontId="4" fillId="0" borderId="0" xfId="0" applyFont="1" applyBorder="1" applyAlignment="1" applyProtection="1">
      <alignment vertical="center" wrapText="1"/>
      <protection locked="0"/>
    </xf>
    <xf numFmtId="0" fontId="4" fillId="0" borderId="1" xfId="3"/>
    <xf numFmtId="0" fontId="26" fillId="0" borderId="63" xfId="0" applyFont="1" applyBorder="1"/>
    <xf numFmtId="0" fontId="26" fillId="0" borderId="53" xfId="0" applyFont="1" applyBorder="1"/>
    <xf numFmtId="0" fontId="4" fillId="0" borderId="53" xfId="3" applyBorder="1"/>
    <xf numFmtId="0" fontId="3" fillId="0" borderId="5" xfId="5" applyFont="1" applyBorder="1" applyProtection="1">
      <protection locked="0"/>
    </xf>
    <xf numFmtId="0" fontId="3" fillId="0" borderId="5" xfId="0" applyFont="1" applyBorder="1"/>
    <xf numFmtId="0" fontId="3" fillId="0" borderId="5" xfId="0" applyFont="1" applyBorder="1" applyAlignment="1">
      <alignment horizontal="left"/>
    </xf>
    <xf numFmtId="0" fontId="3" fillId="0" borderId="2" xfId="0" applyFont="1" applyBorder="1"/>
    <xf numFmtId="0" fontId="3" fillId="0" borderId="74" xfId="0" applyFont="1" applyBorder="1" applyAlignment="1">
      <alignment wrapText="1"/>
    </xf>
    <xf numFmtId="0" fontId="3" fillId="0" borderId="30" xfId="5" applyFont="1" applyBorder="1"/>
    <xf numFmtId="0" fontId="3" fillId="0" borderId="52" xfId="5" applyFont="1" applyBorder="1" applyAlignment="1">
      <alignment vertical="top"/>
    </xf>
    <xf numFmtId="0" fontId="3" fillId="0" borderId="66" xfId="5" applyFont="1" applyBorder="1" applyAlignment="1">
      <alignment vertical="top"/>
    </xf>
    <xf numFmtId="0" fontId="3" fillId="0" borderId="8" xfId="5" applyFont="1" applyBorder="1" applyAlignment="1">
      <alignment vertical="top"/>
    </xf>
    <xf numFmtId="0" fontId="3" fillId="0" borderId="65" xfId="5" applyFont="1" applyBorder="1" applyAlignment="1">
      <alignment vertical="top"/>
    </xf>
    <xf numFmtId="0" fontId="3" fillId="0" borderId="11" xfId="5" applyFont="1" applyBorder="1" applyAlignment="1">
      <alignment vertical="top"/>
    </xf>
    <xf numFmtId="0" fontId="3" fillId="0" borderId="1" xfId="5" applyFont="1" applyAlignment="1">
      <alignment horizontal="left" vertical="top"/>
    </xf>
    <xf numFmtId="0" fontId="9" fillId="0" borderId="1" xfId="5" applyFont="1" applyAlignment="1">
      <alignment vertical="top"/>
    </xf>
    <xf numFmtId="0" fontId="10" fillId="0" borderId="1" xfId="5" applyFont="1" applyAlignment="1">
      <alignment vertical="top"/>
    </xf>
    <xf numFmtId="0" fontId="3" fillId="0" borderId="68" xfId="5" applyFont="1" applyBorder="1"/>
    <xf numFmtId="0" fontId="3" fillId="0" borderId="67" xfId="5" applyFont="1" applyBorder="1" applyAlignment="1">
      <alignment vertical="top"/>
    </xf>
    <xf numFmtId="0" fontId="4" fillId="0" borderId="1" xfId="5" applyAlignment="1" applyProtection="1">
      <alignment vertical="center" wrapText="1"/>
      <protection locked="0"/>
    </xf>
    <xf numFmtId="0" fontId="29" fillId="0" borderId="68" xfId="5" applyFont="1" applyBorder="1"/>
    <xf numFmtId="0" fontId="29" fillId="0" borderId="1" xfId="5" applyFont="1" applyAlignment="1">
      <alignment vertical="top"/>
    </xf>
    <xf numFmtId="0" fontId="29" fillId="0" borderId="1" xfId="5" applyFont="1"/>
    <xf numFmtId="0" fontId="3" fillId="0" borderId="3" xfId="6" applyBorder="1"/>
    <xf numFmtId="0" fontId="30" fillId="11" borderId="1" xfId="0" applyFont="1" applyFill="1"/>
    <xf numFmtId="0" fontId="30" fillId="0" borderId="1" xfId="0" applyFont="1"/>
    <xf numFmtId="49" fontId="30" fillId="11" borderId="1" xfId="0" applyNumberFormat="1" applyFont="1" applyFill="1"/>
    <xf numFmtId="0" fontId="30" fillId="0" borderId="0" xfId="0" applyFont="1" applyBorder="1"/>
    <xf numFmtId="0" fontId="30" fillId="17" borderId="1" xfId="0" applyFont="1" applyFill="1"/>
    <xf numFmtId="0" fontId="30" fillId="17" borderId="1" xfId="0" applyFont="1" applyFill="1" applyAlignment="1">
      <alignment wrapText="1"/>
    </xf>
    <xf numFmtId="49" fontId="30" fillId="0" borderId="1" xfId="0" applyNumberFormat="1" applyFont="1"/>
    <xf numFmtId="0" fontId="0" fillId="0" borderId="25" xfId="0" applyBorder="1"/>
    <xf numFmtId="0" fontId="4" fillId="0" borderId="12" xfId="0" applyFont="1" applyBorder="1" applyAlignment="1">
      <alignment wrapText="1"/>
    </xf>
    <xf numFmtId="0" fontId="30" fillId="0" borderId="25" xfId="0" applyFont="1" applyBorder="1"/>
    <xf numFmtId="0" fontId="30" fillId="21" borderId="1" xfId="0" applyFont="1" applyFill="1"/>
    <xf numFmtId="49" fontId="30" fillId="21" borderId="1" xfId="0" applyNumberFormat="1" applyFont="1" applyFill="1"/>
    <xf numFmtId="0" fontId="31" fillId="0" borderId="1" xfId="5" applyFont="1"/>
    <xf numFmtId="0" fontId="31" fillId="0" borderId="1" xfId="5" applyFont="1" applyProtection="1">
      <protection locked="0"/>
    </xf>
    <xf numFmtId="0" fontId="31" fillId="0" borderId="1" xfId="5" applyFont="1" applyAlignment="1">
      <alignment horizontal="left"/>
    </xf>
    <xf numFmtId="0" fontId="31" fillId="0" borderId="1" xfId="0" applyFont="1" applyAlignment="1">
      <alignment horizontal="left"/>
    </xf>
    <xf numFmtId="0" fontId="31" fillId="0" borderId="1" xfId="0" quotePrefix="1" applyFont="1"/>
    <xf numFmtId="0" fontId="31" fillId="0" borderId="2" xfId="0" applyFont="1" applyBorder="1"/>
    <xf numFmtId="0" fontId="31" fillId="0" borderId="1" xfId="5" applyFont="1" applyAlignment="1">
      <alignment vertical="top"/>
    </xf>
    <xf numFmtId="0" fontId="31" fillId="17" borderId="1" xfId="5" applyFont="1" applyFill="1"/>
    <xf numFmtId="0" fontId="31" fillId="17" borderId="1" xfId="0" applyFont="1" applyFill="1"/>
    <xf numFmtId="0" fontId="30" fillId="0" borderId="1" xfId="3" applyFont="1"/>
    <xf numFmtId="0" fontId="30" fillId="0" borderId="1" xfId="3" applyFont="1" applyAlignment="1">
      <alignment wrapText="1"/>
    </xf>
    <xf numFmtId="0" fontId="30" fillId="17" borderId="1" xfId="3" applyFont="1" applyFill="1" applyAlignment="1">
      <alignment wrapText="1"/>
    </xf>
    <xf numFmtId="0" fontId="30" fillId="0" borderId="1" xfId="0" applyFont="1" applyAlignment="1">
      <alignment wrapText="1"/>
    </xf>
    <xf numFmtId="0" fontId="30" fillId="22" borderId="1" xfId="0" applyFont="1" applyFill="1"/>
    <xf numFmtId="0" fontId="32" fillId="0" borderId="1" xfId="0" applyFont="1"/>
    <xf numFmtId="0" fontId="30" fillId="0" borderId="63" xfId="0" applyFont="1" applyBorder="1"/>
    <xf numFmtId="0" fontId="30" fillId="0" borderId="53" xfId="0" applyFont="1" applyBorder="1"/>
    <xf numFmtId="0" fontId="30" fillId="22" borderId="53" xfId="0" applyFont="1" applyFill="1" applyBorder="1"/>
    <xf numFmtId="0" fontId="30" fillId="0" borderId="53" xfId="0" applyFont="1" applyBorder="1" applyAlignment="1">
      <alignment wrapText="1"/>
    </xf>
    <xf numFmtId="0" fontId="3" fillId="0" borderId="7"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7" xfId="0" applyFont="1" applyBorder="1" applyAlignment="1" applyProtection="1">
      <alignment horizontal="center" vertical="top"/>
      <protection locked="0"/>
    </xf>
    <xf numFmtId="0" fontId="3" fillId="0" borderId="12" xfId="0" applyFont="1" applyBorder="1" applyAlignment="1" applyProtection="1">
      <alignment horizontal="center" vertical="top"/>
      <protection locked="0"/>
    </xf>
    <xf numFmtId="0" fontId="3" fillId="0" borderId="10" xfId="0" applyFont="1" applyBorder="1" applyAlignment="1" applyProtection="1">
      <alignment horizontal="center" vertical="top"/>
      <protection locked="0"/>
    </xf>
    <xf numFmtId="0" fontId="3" fillId="0" borderId="5"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3" fillId="0" borderId="78"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79" xfId="0" applyFont="1" applyBorder="1" applyAlignment="1" applyProtection="1">
      <alignment horizontal="center" vertical="center"/>
      <protection locked="0"/>
    </xf>
    <xf numFmtId="0" fontId="3" fillId="0" borderId="9" xfId="0" applyFont="1" applyBorder="1" applyAlignment="1" applyProtection="1">
      <alignment horizontal="center" vertical="center"/>
      <protection locked="0"/>
    </xf>
    <xf numFmtId="0" fontId="3" fillId="0" borderId="77" xfId="0" applyFont="1" applyBorder="1" applyAlignment="1" applyProtection="1">
      <alignment horizontal="center" vertical="center"/>
      <protection locked="0"/>
    </xf>
    <xf numFmtId="0" fontId="3" fillId="0" borderId="15" xfId="0" applyFont="1" applyBorder="1" applyAlignment="1" applyProtection="1">
      <alignment horizontal="center" vertical="center"/>
      <protection locked="0"/>
    </xf>
    <xf numFmtId="0" fontId="14" fillId="2" borderId="26" xfId="0" applyFont="1" applyFill="1" applyBorder="1" applyAlignment="1" applyProtection="1">
      <alignment horizontal="center" vertical="center"/>
      <protection locked="0"/>
    </xf>
    <xf numFmtId="0" fontId="14" fillId="2" borderId="28" xfId="0" applyFont="1" applyFill="1" applyBorder="1" applyAlignment="1" applyProtection="1">
      <alignment horizontal="center" vertical="center"/>
      <protection locked="0"/>
    </xf>
    <xf numFmtId="0" fontId="14" fillId="2" borderId="7" xfId="0" applyFont="1" applyFill="1" applyBorder="1" applyAlignment="1" applyProtection="1">
      <alignment horizontal="center" vertical="center" wrapText="1"/>
      <protection locked="0"/>
    </xf>
    <xf numFmtId="0" fontId="14" fillId="2" borderId="10" xfId="0" applyFont="1" applyFill="1" applyBorder="1" applyAlignment="1" applyProtection="1">
      <alignment horizontal="center" vertical="center"/>
      <protection locked="0"/>
    </xf>
    <xf numFmtId="0" fontId="14" fillId="2" borderId="60" xfId="0" applyFont="1" applyFill="1" applyBorder="1" applyAlignment="1" applyProtection="1">
      <alignment horizontal="center" vertical="center" wrapText="1"/>
      <protection locked="0"/>
    </xf>
    <xf numFmtId="0" fontId="14" fillId="2" borderId="62" xfId="0" applyFont="1" applyFill="1" applyBorder="1" applyAlignment="1" applyProtection="1">
      <alignment horizontal="center" vertical="center"/>
      <protection locked="0"/>
    </xf>
    <xf numFmtId="0" fontId="14" fillId="2" borderId="21" xfId="0" applyFont="1" applyFill="1" applyBorder="1" applyAlignment="1" applyProtection="1">
      <alignment horizontal="center" vertical="center" wrapText="1"/>
      <protection locked="0"/>
    </xf>
    <xf numFmtId="0" fontId="14" fillId="2" borderId="22" xfId="0" applyFont="1" applyFill="1" applyBorder="1" applyAlignment="1" applyProtection="1">
      <alignment horizontal="center" vertical="center"/>
      <protection locked="0"/>
    </xf>
    <xf numFmtId="0" fontId="14" fillId="2" borderId="17" xfId="0" applyFont="1" applyFill="1" applyBorder="1" applyAlignment="1" applyProtection="1">
      <alignment horizontal="center" vertical="center" wrapText="1"/>
      <protection locked="0"/>
    </xf>
    <xf numFmtId="0" fontId="14" fillId="2" borderId="19" xfId="0" applyFont="1" applyFill="1" applyBorder="1" applyAlignment="1" applyProtection="1">
      <alignment horizontal="center" vertical="center" wrapText="1"/>
      <protection locked="0"/>
    </xf>
    <xf numFmtId="164" fontId="14" fillId="2" borderId="7" xfId="0" applyNumberFormat="1" applyFont="1" applyFill="1" applyBorder="1" applyAlignment="1" applyProtection="1">
      <alignment horizontal="center" vertical="center" wrapText="1"/>
      <protection locked="0"/>
    </xf>
    <xf numFmtId="164" fontId="14" fillId="2" borderId="10" xfId="0" applyNumberFormat="1" applyFont="1" applyFill="1" applyBorder="1" applyAlignment="1" applyProtection="1">
      <alignment horizontal="center" vertical="center"/>
      <protection locked="0"/>
    </xf>
    <xf numFmtId="0" fontId="3" fillId="0" borderId="5" xfId="0" applyFont="1" applyBorder="1" applyAlignment="1" applyProtection="1">
      <alignment horizontal="center" vertical="top"/>
      <protection locked="0"/>
    </xf>
    <xf numFmtId="0" fontId="3" fillId="0" borderId="60" xfId="0" applyFont="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0" borderId="61" xfId="0" applyFont="1" applyBorder="1" applyAlignment="1" applyProtection="1">
      <alignment horizontal="center" vertical="center"/>
      <protection locked="0"/>
    </xf>
    <xf numFmtId="0" fontId="16" fillId="7" borderId="1" xfId="0" applyFont="1" applyFill="1" applyAlignment="1" applyProtection="1">
      <alignment horizontal="center" vertical="center" wrapText="1"/>
      <protection locked="0"/>
    </xf>
    <xf numFmtId="0" fontId="20" fillId="9" borderId="25" xfId="0" applyFont="1" applyFill="1" applyBorder="1" applyAlignment="1" applyProtection="1">
      <alignment horizontal="center" vertical="center" wrapText="1"/>
      <protection locked="0"/>
    </xf>
    <xf numFmtId="0" fontId="20" fillId="9" borderId="23" xfId="0" applyFont="1" applyFill="1" applyBorder="1" applyAlignment="1" applyProtection="1">
      <alignment horizontal="center" vertical="center" wrapText="1"/>
      <protection locked="0"/>
    </xf>
    <xf numFmtId="0" fontId="20" fillId="9" borderId="3" xfId="0" applyFont="1" applyFill="1" applyBorder="1" applyAlignment="1" applyProtection="1">
      <alignment horizontal="center" vertical="center" wrapText="1"/>
      <protection locked="0"/>
    </xf>
    <xf numFmtId="0" fontId="28" fillId="20" borderId="1" xfId="0" applyFont="1" applyFill="1" applyAlignment="1">
      <alignment horizontal="left" vertical="top"/>
    </xf>
    <xf numFmtId="0" fontId="4" fillId="0" borderId="34" xfId="0" applyFont="1" applyBorder="1" applyAlignment="1" applyProtection="1">
      <alignment horizontal="left"/>
      <protection locked="0"/>
    </xf>
    <xf numFmtId="0" fontId="4" fillId="0" borderId="33" xfId="0" applyFont="1" applyBorder="1" applyAlignment="1" applyProtection="1">
      <alignment horizontal="left"/>
      <protection locked="0"/>
    </xf>
    <xf numFmtId="0" fontId="15" fillId="0" borderId="34" xfId="0" applyFont="1" applyBorder="1" applyAlignment="1" applyProtection="1">
      <alignment horizontal="left"/>
      <protection locked="0"/>
    </xf>
    <xf numFmtId="0" fontId="15" fillId="0" borderId="46" xfId="0" applyFont="1" applyBorder="1" applyAlignment="1" applyProtection="1">
      <alignment horizontal="left"/>
      <protection locked="0"/>
    </xf>
    <xf numFmtId="0" fontId="15" fillId="0" borderId="33" xfId="0" applyFont="1" applyBorder="1" applyAlignment="1" applyProtection="1">
      <alignment horizontal="left"/>
      <protection locked="0"/>
    </xf>
    <xf numFmtId="0" fontId="4" fillId="0" borderId="36" xfId="0" applyFont="1" applyBorder="1" applyAlignment="1" applyProtection="1">
      <alignment horizontal="left"/>
      <protection locked="0"/>
    </xf>
    <xf numFmtId="0" fontId="4" fillId="0" borderId="35" xfId="0" applyFont="1" applyBorder="1" applyAlignment="1" applyProtection="1">
      <alignment horizontal="left"/>
      <protection locked="0"/>
    </xf>
    <xf numFmtId="0" fontId="16" fillId="15" borderId="43" xfId="0" applyFont="1" applyFill="1" applyBorder="1" applyAlignment="1">
      <alignment horizontal="center" vertical="center" wrapText="1"/>
    </xf>
    <xf numFmtId="0" fontId="16" fillId="15" borderId="42" xfId="0" applyFont="1" applyFill="1" applyBorder="1" applyAlignment="1">
      <alignment horizontal="center" vertical="center" wrapText="1"/>
    </xf>
    <xf numFmtId="0" fontId="16" fillId="15" borderId="41" xfId="0" applyFont="1" applyFill="1" applyBorder="1" applyAlignment="1">
      <alignment horizontal="center" vertical="center" wrapText="1"/>
    </xf>
    <xf numFmtId="0" fontId="4" fillId="0" borderId="45" xfId="0" applyFont="1" applyBorder="1" applyAlignment="1" applyProtection="1">
      <alignment horizontal="right"/>
      <protection locked="0"/>
    </xf>
    <xf numFmtId="0" fontId="4" fillId="0" borderId="44" xfId="0" applyFont="1" applyBorder="1" applyAlignment="1" applyProtection="1">
      <alignment horizontal="right"/>
      <protection locked="0"/>
    </xf>
    <xf numFmtId="0" fontId="4" fillId="0" borderId="40" xfId="0" applyFont="1" applyBorder="1" applyAlignment="1" applyProtection="1">
      <alignment horizontal="right"/>
      <protection locked="0"/>
    </xf>
    <xf numFmtId="0" fontId="4" fillId="0" borderId="39" xfId="0" applyFont="1" applyBorder="1" applyAlignment="1" applyProtection="1">
      <alignment horizontal="right"/>
      <protection locked="0"/>
    </xf>
    <xf numFmtId="0" fontId="4" fillId="0" borderId="37" xfId="0" applyFont="1" applyBorder="1" applyAlignment="1" applyProtection="1">
      <alignment horizontal="right"/>
      <protection locked="0"/>
    </xf>
    <xf numFmtId="0" fontId="16" fillId="2" borderId="1" xfId="0" applyFont="1" applyFill="1" applyAlignment="1">
      <alignment horizontal="center" vertical="center" wrapText="1"/>
    </xf>
    <xf numFmtId="0" fontId="8" fillId="0" borderId="0" xfId="0" applyFont="1" applyBorder="1" applyAlignment="1">
      <alignment horizontal="left" wrapText="1"/>
    </xf>
  </cellXfs>
  <cellStyles count="7">
    <cellStyle name="Normal" xfId="0" builtinId="0"/>
    <cellStyle name="Normal 10" xfId="5" xr:uid="{1F35CDF9-B75C-4838-B3E8-BC7351BCABD8}"/>
    <cellStyle name="Normal 11" xfId="6" xr:uid="{0D2988C9-DF8D-4664-B6BB-E0E1F2082CA9}"/>
    <cellStyle name="Standaard 2" xfId="1" xr:uid="{B2226D11-45F1-4CB6-9C86-183B5905C886}"/>
    <cellStyle name="Standaard 2 2" xfId="4" xr:uid="{B2226D11-45F1-4CB6-9C86-183B5905C886}"/>
    <cellStyle name="Standard 11" xfId="3" xr:uid="{B1B38047-1001-4136-AEAC-6ECB35375C5E}"/>
    <cellStyle name="Standard 2" xfId="2" xr:uid="{943114DE-D830-43C7-BF08-74A27889978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attachedToolbars" Target="attachedToolbars.bin"/></Relationships>
</file>

<file path=xl/drawings/drawing1.xml><?xml version="1.0" encoding="utf-8"?>
<xdr:wsDr xmlns:xdr="http://schemas.openxmlformats.org/drawingml/2006/spreadsheetDrawing" xmlns:a="http://schemas.openxmlformats.org/drawingml/2006/main">
  <xdr:twoCellAnchor>
    <xdr:from>
      <xdr:col>0</xdr:col>
      <xdr:colOff>222248</xdr:colOff>
      <xdr:row>24</xdr:row>
      <xdr:rowOff>158750</xdr:rowOff>
    </xdr:from>
    <xdr:to>
      <xdr:col>6</xdr:col>
      <xdr:colOff>2032000</xdr:colOff>
      <xdr:row>50</xdr:row>
      <xdr:rowOff>179916</xdr:rowOff>
    </xdr:to>
    <xdr:sp macro="" textlink="">
      <xdr:nvSpPr>
        <xdr:cNvPr id="2" name="Tekstvak 1">
          <a:extLst>
            <a:ext uri="{FF2B5EF4-FFF2-40B4-BE49-F238E27FC236}">
              <a16:creationId xmlns:a16="http://schemas.microsoft.com/office/drawing/2014/main" id="{00000000-0008-0000-0400-000002000000}"/>
            </a:ext>
          </a:extLst>
        </xdr:cNvPr>
        <xdr:cNvSpPr txBox="1"/>
      </xdr:nvSpPr>
      <xdr:spPr>
        <a:xfrm>
          <a:off x="222248" y="4730750"/>
          <a:ext cx="9366252" cy="4974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BE" sz="2000" b="1" u="sng"/>
            <a:t>Legende</a:t>
          </a:r>
        </a:p>
        <a:p>
          <a:r>
            <a:rPr lang="nl-BE" sz="1600" b="1">
              <a:solidFill>
                <a:srgbClr val="00B050"/>
              </a:solidFill>
            </a:rPr>
            <a:t>Groene kolommen</a:t>
          </a:r>
          <a:r>
            <a:rPr lang="nl-BE" sz="1600"/>
            <a:t>:</a:t>
          </a:r>
          <a:r>
            <a:rPr lang="nl-BE" sz="1600" baseline="0"/>
            <a:t> waarde in deze kolommen moet je laten staan. Deze veranderen nooit.</a:t>
          </a:r>
        </a:p>
        <a:p>
          <a:endParaRPr lang="nl-BE" sz="1600" baseline="0"/>
        </a:p>
        <a:p>
          <a:r>
            <a:rPr lang="nl-BE" sz="1600" b="1" baseline="0">
              <a:solidFill>
                <a:srgbClr val="FFFF00"/>
              </a:solidFill>
            </a:rPr>
            <a:t>Gele kolommen</a:t>
          </a:r>
          <a:r>
            <a:rPr lang="nl-BE" sz="1600" baseline="0"/>
            <a:t>: In te vullen door EQA team.</a:t>
          </a:r>
        </a:p>
        <a:p>
          <a:pPr lvl="1"/>
          <a:r>
            <a:rPr lang="nl-BE" sz="1600" baseline="0"/>
            <a:t>- DataServer: Server waar de tag is aangemaakt (SCADA of OPC server)</a:t>
          </a:r>
        </a:p>
        <a:p>
          <a:pPr lvl="1"/>
          <a:r>
            <a:rPr lang="nl-BE" sz="1600" baseline="0"/>
            <a:t>- Identifier: </a:t>
          </a:r>
        </a:p>
        <a:p>
          <a:pPr lvl="1"/>
          <a:r>
            <a:rPr lang="nl-BE" sz="1600" baseline="0"/>
            <a:t>	• OPCServer.WinCC + Code </a:t>
          </a:r>
          <a:r>
            <a:rPr lang="nl-BE" sz="1100" baseline="0"/>
            <a:t>(via SCADA server)</a:t>
          </a:r>
        </a:p>
        <a:p>
          <a:pPr lvl="1"/>
          <a:r>
            <a:rPr lang="nl-BE" sz="1600" baseline="0"/>
            <a:t>	</a:t>
          </a:r>
          <a:r>
            <a:rPr lang="nl-BE" sz="1600" baseline="0">
              <a:solidFill>
                <a:schemeClr val="dk1"/>
              </a:solidFill>
              <a:effectLst/>
              <a:latin typeface="+mn-lt"/>
              <a:ea typeface="+mn-ea"/>
              <a:cs typeface="+mn-cs"/>
            </a:rPr>
            <a:t>• OPC.SimaticNET.1 + Code </a:t>
          </a:r>
          <a:r>
            <a:rPr lang="nl-BE" sz="1100" baseline="0">
              <a:solidFill>
                <a:schemeClr val="dk1"/>
              </a:solidFill>
              <a:effectLst/>
              <a:latin typeface="+mn-lt"/>
              <a:ea typeface="+mn-ea"/>
              <a:cs typeface="+mn-cs"/>
            </a:rPr>
            <a:t>(via WinCC server)</a:t>
          </a:r>
          <a:endParaRPr lang="nl-BE" sz="1100" baseline="0"/>
        </a:p>
        <a:p>
          <a:pPr lvl="1"/>
          <a:r>
            <a:rPr lang="nl-BE" sz="1600" baseline="0"/>
            <a:t>- Code: Status tag van de groupsalarm in SCADA of OPC tag die ALERT zal binnen lezen</a:t>
          </a:r>
        </a:p>
        <a:p>
          <a:pPr lvl="1"/>
          <a:r>
            <a:rPr lang="nl-BE" sz="1600" baseline="0"/>
            <a:t>- Message: bericht dat ALERT moet melden</a:t>
          </a:r>
        </a:p>
        <a:p>
          <a:pPr lvl="1"/>
          <a:r>
            <a:rPr lang="nl-BE" sz="1600" baseline="0"/>
            <a:t>- Condition Value: decimale waarde van de acknowledgement bit van het alarm dat wordt getriggerd.</a:t>
          </a:r>
        </a:p>
        <a:p>
          <a:pPr lvl="1"/>
          <a:r>
            <a:rPr lang="nl-BE" sz="1600" baseline="0"/>
            <a:t>- TagGroup: boomstructuur in ALERT (EQA geeft aanzet, BAE finaliseert)</a:t>
          </a:r>
        </a:p>
        <a:p>
          <a:endParaRPr lang="nl-BE" sz="1600" baseline="0"/>
        </a:p>
        <a:p>
          <a:r>
            <a:rPr lang="nl-BE" sz="1600" b="1" baseline="0">
              <a:solidFill>
                <a:schemeClr val="accent6"/>
              </a:solidFill>
            </a:rPr>
            <a:t>Oranje kolommen</a:t>
          </a:r>
          <a:r>
            <a:rPr lang="nl-BE" sz="1600" baseline="0"/>
            <a:t>: In te vullen door BAE team.</a:t>
          </a:r>
        </a:p>
        <a:p>
          <a:endParaRPr lang="nl-BE" sz="1600" baseline="0"/>
        </a:p>
        <a:p>
          <a:pPr marL="0" marR="0" lvl="0" indent="0" defTabSz="914400" eaLnBrk="1" fontAlgn="auto" latinLnBrk="0" hangingPunct="1">
            <a:lnSpc>
              <a:spcPct val="100000"/>
            </a:lnSpc>
            <a:spcBef>
              <a:spcPts val="0"/>
            </a:spcBef>
            <a:spcAft>
              <a:spcPts val="0"/>
            </a:spcAft>
            <a:buClrTx/>
            <a:buSzTx/>
            <a:buFontTx/>
            <a:buNone/>
            <a:tabLst/>
            <a:defRPr/>
          </a:pPr>
          <a:r>
            <a:rPr lang="nl-BE" sz="1600" b="1" baseline="0">
              <a:solidFill>
                <a:schemeClr val="accent1"/>
              </a:solidFill>
            </a:rPr>
            <a:t>Blauwe kolommen</a:t>
          </a:r>
          <a:r>
            <a:rPr lang="nl-BE" sz="1600" baseline="0"/>
            <a:t>: In te vullen door EQA team. </a:t>
          </a:r>
          <a:r>
            <a:rPr lang="nl-BE" sz="1600" baseline="0">
              <a:solidFill>
                <a:schemeClr val="dk1"/>
              </a:solidFill>
              <a:effectLst/>
              <a:latin typeface="+mn-lt"/>
              <a:ea typeface="+mn-ea"/>
              <a:cs typeface="+mn-cs"/>
            </a:rPr>
            <a:t>(Enkel van toepassing bij specifieke alarmen)</a:t>
          </a:r>
          <a:r>
            <a:rPr lang="nl-BE" sz="1600" baseline="0"/>
            <a:t> </a:t>
          </a:r>
        </a:p>
        <a:p>
          <a:pPr lvl="1"/>
          <a:r>
            <a:rPr lang="nl-BE" sz="1600" baseline="0"/>
            <a:t>- Alarmnummer: de SCADA alarmnummer</a:t>
          </a:r>
        </a:p>
        <a:p>
          <a:pPr lvl="1"/>
          <a:r>
            <a:rPr lang="nl-BE" sz="1600" baseline="0"/>
            <a:t>- Versie Alarmlijst: versie van de alarmlijst op het moment dat ALERT wordt geconfigureerd.</a:t>
          </a:r>
          <a:endParaRPr lang="nl-BE"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sites\IFC\Shared%20Documents\07.%20Process%20Automation\3_Equipment%20Automation\20_Equipment%20Supplier%201%20B&amp;S\2_DSF6\01.%20Equipment%20-%20Debagger\02.%20Lijsten%20en%20beelden\Lijsten\AlarmList_CU7205_A3_PRE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dcnas500vfs06\puu_pa\01.%20Team%20EQA\03.%20Scada%20Utilities\01.%20Standaard%20Requirements\02.%20SCADA%20Beelden%20en%20lijsten\01.%20Lijsten%20Level%201\01.%20Lijsten%20GMC\xxxx11A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 control"/>
      <sheetName val="General info"/>
      <sheetName val="Alarmlist"/>
      <sheetName val="Colour Pictures"/>
      <sheetName val="Farma Alarm"/>
      <sheetName val="General"/>
      <sheetName val="macro_report"/>
      <sheetName val="ALERT"/>
      <sheetName val="Object type list"/>
      <sheetName val="Template history"/>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tributionlist"/>
      <sheetName val="Alarmlist"/>
      <sheetName val="General"/>
      <sheetName val="macro_report"/>
      <sheetName val="ALERT"/>
    </sheetNames>
    <sheetDataSet>
      <sheetData sheetId="0" refreshError="1"/>
      <sheetData sheetId="1"/>
      <sheetData sheetId="2" refreshError="1"/>
      <sheetData sheetId="3" refreshError="1"/>
      <sheetData sheetId="4" refreshError="1"/>
    </sheetDataSet>
  </externalBook>
</externalLink>
</file>

<file path=xl/persons/person.xml><?xml version="1.0" encoding="utf-8"?>
<personList xmlns="http://schemas.microsoft.com/office/spreadsheetml/2018/threadedcomments" xmlns:x="http://schemas.openxmlformats.org/spreadsheetml/2006/main">
  <person displayName="Van Rompaey, Marnix" id="{D699922E-6AE1-4054-B9BA-BEE0DDF1EA44}" userId="S::VANROM02@pfizer.com::1941116f-b7f2-4f8f-aa91-2eff76e17ff0"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00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0000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P443" dT="2022-07-13T08:51:44.42" personId="{D699922E-6AE1-4054-B9BA-BEE0DDF1EA44}" id="{4A68216A-2FC6-4F9D-A33B-D9FF6D99228B}">
    <text>Isn't connected + 45QS6 not found on the WID</text>
  </threadedComment>
  <threadedComment ref="P445" dT="2022-07-13T08:52:02.70" personId="{D699922E-6AE1-4054-B9BA-BEE0DDF1EA44}" id="{36315C18-6537-4EA2-A342-1E73711B9072}">
    <text>Isn't connected + 45QS7 not found on the WID</text>
  </threadedComment>
  <threadedComment ref="K613" dT="2022-07-13T09:02:14.41" personId="{D699922E-6AE1-4054-B9BA-BEE0DDF1EA44}" id="{A0127ADA-8C89-41E9-939F-CF3E7EEED827}">
    <text>tag not consistent with P&amp;ID</text>
  </threadedComment>
  <threadedComment ref="K614" dT="2022-07-13T09:02:17.34" personId="{D699922E-6AE1-4054-B9BA-BEE0DDF1EA44}" id="{818CBB0D-6816-4CA6-BFEA-F2A3BD7ADC66}">
    <text>tag not consistent with P&amp;ID</text>
  </threadedComment>
  <threadedComment ref="K615" dT="2022-07-13T09:02:20.29" personId="{D699922E-6AE1-4054-B9BA-BEE0DDF1EA44}" id="{0F698DF1-3E51-4CF1-8484-E63E4E2813B2}">
    <text>tag not consistent with P&amp;ID</text>
  </threadedComment>
  <threadedComment ref="K616" dT="2022-07-13T09:02:23.73" personId="{D699922E-6AE1-4054-B9BA-BEE0DDF1EA44}" id="{D7307D44-23C0-401E-BC55-0145698A6D47}">
    <text>tag not consistent with P&amp;ID</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42"/>
  <sheetViews>
    <sheetView showGridLines="0" zoomScale="115" zoomScaleNormal="115" workbookViewId="0">
      <selection activeCell="B5" sqref="B5:C5"/>
    </sheetView>
  </sheetViews>
  <sheetFormatPr defaultColWidth="9.33203125" defaultRowHeight="12.75" x14ac:dyDescent="0.2"/>
  <cols>
    <col min="1" max="1" width="17.1640625" style="101" customWidth="1"/>
    <col min="2" max="2" width="30.83203125" style="101" customWidth="1"/>
    <col min="3" max="3" width="15.83203125" style="112" customWidth="1"/>
    <col min="4" max="4" width="86.1640625" style="93" customWidth="1"/>
    <col min="5" max="5" width="25.83203125" style="101" customWidth="1"/>
    <col min="6" max="6" width="15.83203125" style="101" customWidth="1"/>
    <col min="7" max="13" width="9.33203125" style="101"/>
    <col min="14" max="16384" width="9.33203125" style="93"/>
  </cols>
  <sheetData>
    <row r="1" spans="1:13" ht="20.25" x14ac:dyDescent="0.2">
      <c r="A1" s="91" t="s">
        <v>108</v>
      </c>
      <c r="B1" s="106"/>
      <c r="C1" s="107"/>
      <c r="D1" s="92"/>
      <c r="E1" s="106"/>
      <c r="F1" s="106"/>
    </row>
    <row r="2" spans="1:13" ht="21" thickBot="1" x14ac:dyDescent="0.25">
      <c r="A2" s="91"/>
      <c r="B2" s="106"/>
      <c r="C2" s="107"/>
      <c r="D2" s="92"/>
      <c r="E2" s="106"/>
      <c r="F2" s="106"/>
    </row>
    <row r="3" spans="1:13" s="94" customFormat="1" ht="15" customHeight="1" x14ac:dyDescent="0.2">
      <c r="A3" s="291" t="s">
        <v>307</v>
      </c>
      <c r="B3" s="293" t="s">
        <v>101</v>
      </c>
      <c r="C3" s="297" t="s">
        <v>102</v>
      </c>
      <c r="D3" s="289" t="s">
        <v>103</v>
      </c>
      <c r="E3" s="289" t="s">
        <v>309</v>
      </c>
      <c r="F3" s="295" t="s">
        <v>308</v>
      </c>
      <c r="G3" s="287" t="s">
        <v>312</v>
      </c>
      <c r="H3" s="288"/>
      <c r="I3" s="288"/>
      <c r="J3" s="147" t="s">
        <v>318</v>
      </c>
      <c r="K3" s="125"/>
      <c r="L3" s="125"/>
      <c r="M3" s="126"/>
    </row>
    <row r="4" spans="1:13" s="94" customFormat="1" ht="15" customHeight="1" thickBot="1" x14ac:dyDescent="0.25">
      <c r="A4" s="292"/>
      <c r="B4" s="294"/>
      <c r="C4" s="298"/>
      <c r="D4" s="290"/>
      <c r="E4" s="290"/>
      <c r="F4" s="296"/>
      <c r="G4" s="95" t="s">
        <v>294</v>
      </c>
      <c r="H4" s="96" t="s">
        <v>295</v>
      </c>
      <c r="I4" s="96" t="s">
        <v>317</v>
      </c>
      <c r="J4" s="96" t="s">
        <v>296</v>
      </c>
      <c r="K4" s="96" t="s">
        <v>297</v>
      </c>
      <c r="L4" s="96" t="s">
        <v>298</v>
      </c>
      <c r="M4" s="97" t="s">
        <v>299</v>
      </c>
    </row>
    <row r="5" spans="1:13" x14ac:dyDescent="0.2">
      <c r="A5" s="136" t="s">
        <v>34</v>
      </c>
      <c r="B5" s="133" t="s">
        <v>2247</v>
      </c>
      <c r="C5" s="118">
        <v>44642</v>
      </c>
      <c r="D5" s="98" t="s">
        <v>2248</v>
      </c>
      <c r="E5" s="272" t="s">
        <v>3187</v>
      </c>
      <c r="F5" s="127" t="s">
        <v>2594</v>
      </c>
      <c r="G5" s="130" t="s">
        <v>107</v>
      </c>
      <c r="H5" s="116" t="s">
        <v>107</v>
      </c>
      <c r="I5" s="119" t="s">
        <v>2594</v>
      </c>
      <c r="J5" s="141" t="s">
        <v>300</v>
      </c>
      <c r="K5" s="141" t="s">
        <v>300</v>
      </c>
      <c r="L5" s="141" t="s">
        <v>300</v>
      </c>
      <c r="M5" s="142" t="s">
        <v>300</v>
      </c>
    </row>
    <row r="6" spans="1:13" ht="26.25" thickBot="1" x14ac:dyDescent="0.25">
      <c r="A6" s="137"/>
      <c r="B6" s="134" t="s">
        <v>2275</v>
      </c>
      <c r="C6" s="110">
        <v>44688</v>
      </c>
      <c r="D6" s="148" t="s">
        <v>2281</v>
      </c>
      <c r="E6" s="273"/>
      <c r="F6" s="128" t="s">
        <v>2594</v>
      </c>
      <c r="G6" s="131" t="s">
        <v>107</v>
      </c>
      <c r="H6" s="109" t="s">
        <v>107</v>
      </c>
      <c r="I6" s="120" t="s">
        <v>2594</v>
      </c>
      <c r="J6" s="143" t="s">
        <v>300</v>
      </c>
      <c r="K6" s="143" t="s">
        <v>300</v>
      </c>
      <c r="L6" s="143" t="s">
        <v>300</v>
      </c>
      <c r="M6" s="144" t="s">
        <v>300</v>
      </c>
    </row>
    <row r="7" spans="1:13" ht="13.5" thickBot="1" x14ac:dyDescent="0.25">
      <c r="A7" s="136" t="s">
        <v>104</v>
      </c>
      <c r="B7" s="133" t="s">
        <v>207</v>
      </c>
      <c r="C7" s="118">
        <v>44712</v>
      </c>
      <c r="D7" s="98" t="s">
        <v>2311</v>
      </c>
      <c r="E7" s="116" t="s">
        <v>3187</v>
      </c>
      <c r="F7" s="127" t="s">
        <v>2594</v>
      </c>
      <c r="G7" s="130" t="s">
        <v>107</v>
      </c>
      <c r="H7" s="116" t="s">
        <v>107</v>
      </c>
      <c r="I7" s="119" t="s">
        <v>2594</v>
      </c>
      <c r="J7" s="141" t="s">
        <v>300</v>
      </c>
      <c r="K7" s="141" t="s">
        <v>300</v>
      </c>
      <c r="L7" s="141" t="s">
        <v>300</v>
      </c>
      <c r="M7" s="142" t="s">
        <v>300</v>
      </c>
    </row>
    <row r="8" spans="1:13" x14ac:dyDescent="0.2">
      <c r="A8" s="300" t="s">
        <v>33</v>
      </c>
      <c r="B8" s="130" t="s">
        <v>323</v>
      </c>
      <c r="C8" s="118">
        <v>44748</v>
      </c>
      <c r="D8" s="98" t="s">
        <v>2401</v>
      </c>
      <c r="E8" s="272" t="s">
        <v>3187</v>
      </c>
      <c r="F8" s="151" t="s">
        <v>2594</v>
      </c>
      <c r="G8" s="133" t="s">
        <v>107</v>
      </c>
      <c r="H8" s="116" t="s">
        <v>107</v>
      </c>
      <c r="I8" s="116" t="s">
        <v>2594</v>
      </c>
      <c r="J8" s="149" t="s">
        <v>300</v>
      </c>
      <c r="K8" s="149" t="s">
        <v>300</v>
      </c>
      <c r="L8" s="149" t="s">
        <v>300</v>
      </c>
      <c r="M8" s="150" t="s">
        <v>300</v>
      </c>
    </row>
    <row r="9" spans="1:13" ht="13.5" thickBot="1" x14ac:dyDescent="0.25">
      <c r="A9" s="301"/>
      <c r="B9" s="132" t="s">
        <v>2312</v>
      </c>
      <c r="C9" s="121">
        <v>44755</v>
      </c>
      <c r="D9" s="100" t="s">
        <v>2536</v>
      </c>
      <c r="E9" s="273"/>
      <c r="F9" s="152" t="s">
        <v>2594</v>
      </c>
      <c r="G9" s="135" t="s">
        <v>107</v>
      </c>
      <c r="H9" s="117" t="s">
        <v>107</v>
      </c>
      <c r="I9" s="117" t="s">
        <v>2594</v>
      </c>
      <c r="J9" s="145" t="s">
        <v>300</v>
      </c>
      <c r="K9" s="145" t="s">
        <v>300</v>
      </c>
      <c r="L9" s="145" t="s">
        <v>300</v>
      </c>
      <c r="M9" s="146" t="s">
        <v>300</v>
      </c>
    </row>
    <row r="10" spans="1:13" x14ac:dyDescent="0.2">
      <c r="A10" s="136" t="s">
        <v>88</v>
      </c>
      <c r="B10" s="133" t="s">
        <v>2593</v>
      </c>
      <c r="C10" s="118">
        <v>44858</v>
      </c>
      <c r="D10" s="98" t="s">
        <v>2311</v>
      </c>
      <c r="E10" s="272" t="s">
        <v>3187</v>
      </c>
      <c r="F10" s="127" t="s">
        <v>2594</v>
      </c>
      <c r="G10" s="130" t="s">
        <v>107</v>
      </c>
      <c r="H10" s="116" t="s">
        <v>107</v>
      </c>
      <c r="I10" s="119" t="s">
        <v>2594</v>
      </c>
      <c r="J10" s="141" t="s">
        <v>300</v>
      </c>
      <c r="K10" s="141" t="s">
        <v>300</v>
      </c>
      <c r="L10" s="141" t="s">
        <v>300</v>
      </c>
      <c r="M10" s="142" t="s">
        <v>300</v>
      </c>
    </row>
    <row r="11" spans="1:13" x14ac:dyDescent="0.2">
      <c r="A11" s="137"/>
      <c r="B11" s="134" t="s">
        <v>2595</v>
      </c>
      <c r="C11" s="110">
        <v>44858</v>
      </c>
      <c r="D11" s="99" t="s">
        <v>2596</v>
      </c>
      <c r="E11" s="278"/>
      <c r="F11" s="128" t="s">
        <v>2594</v>
      </c>
      <c r="G11" s="131" t="s">
        <v>107</v>
      </c>
      <c r="H11" s="109" t="s">
        <v>107</v>
      </c>
      <c r="I11" s="120" t="s">
        <v>2594</v>
      </c>
      <c r="J11" s="143" t="s">
        <v>300</v>
      </c>
      <c r="K11" s="143" t="s">
        <v>300</v>
      </c>
      <c r="L11" s="143" t="s">
        <v>300</v>
      </c>
      <c r="M11" s="144" t="s">
        <v>300</v>
      </c>
    </row>
    <row r="12" spans="1:13" x14ac:dyDescent="0.2">
      <c r="A12" s="137"/>
      <c r="B12" s="134" t="s">
        <v>2602</v>
      </c>
      <c r="C12" s="110">
        <v>44859</v>
      </c>
      <c r="D12" s="99" t="s">
        <v>2603</v>
      </c>
      <c r="E12" s="278"/>
      <c r="F12" s="128" t="s">
        <v>2594</v>
      </c>
      <c r="G12" s="131" t="s">
        <v>107</v>
      </c>
      <c r="H12" s="109" t="s">
        <v>107</v>
      </c>
      <c r="I12" s="120" t="s">
        <v>2594</v>
      </c>
      <c r="J12" s="143" t="s">
        <v>300</v>
      </c>
      <c r="K12" s="143" t="s">
        <v>300</v>
      </c>
      <c r="L12" s="143" t="s">
        <v>300</v>
      </c>
      <c r="M12" s="144" t="s">
        <v>300</v>
      </c>
    </row>
    <row r="13" spans="1:13" ht="13.5" thickBot="1" x14ac:dyDescent="0.25">
      <c r="A13" s="137"/>
      <c r="B13" s="134" t="s">
        <v>2605</v>
      </c>
      <c r="C13" s="110">
        <v>44873</v>
      </c>
      <c r="D13" s="99" t="s">
        <v>2606</v>
      </c>
      <c r="E13" s="273"/>
      <c r="F13" s="128" t="s">
        <v>2594</v>
      </c>
      <c r="G13" s="131" t="s">
        <v>107</v>
      </c>
      <c r="H13" s="109" t="s">
        <v>107</v>
      </c>
      <c r="I13" s="120" t="s">
        <v>2594</v>
      </c>
      <c r="J13" s="143" t="s">
        <v>300</v>
      </c>
      <c r="K13" s="143" t="s">
        <v>300</v>
      </c>
      <c r="L13" s="143" t="s">
        <v>300</v>
      </c>
      <c r="M13" s="144" t="s">
        <v>300</v>
      </c>
    </row>
    <row r="14" spans="1:13" x14ac:dyDescent="0.2">
      <c r="A14" s="136" t="s">
        <v>250</v>
      </c>
      <c r="B14" s="133" t="s">
        <v>2607</v>
      </c>
      <c r="C14" s="118">
        <v>44909</v>
      </c>
      <c r="D14" s="98" t="s">
        <v>2596</v>
      </c>
      <c r="E14" s="272" t="s">
        <v>3187</v>
      </c>
      <c r="F14" s="151" t="s">
        <v>2594</v>
      </c>
      <c r="G14" s="130" t="s">
        <v>107</v>
      </c>
      <c r="H14" s="116" t="s">
        <v>107</v>
      </c>
      <c r="I14" s="119" t="s">
        <v>2594</v>
      </c>
      <c r="J14" s="141" t="s">
        <v>300</v>
      </c>
      <c r="K14" s="141" t="s">
        <v>300</v>
      </c>
      <c r="L14" s="141" t="s">
        <v>300</v>
      </c>
      <c r="M14" s="142" t="s">
        <v>300</v>
      </c>
    </row>
    <row r="15" spans="1:13" ht="13.5" thickBot="1" x14ac:dyDescent="0.25">
      <c r="A15" s="137"/>
      <c r="B15" s="177" t="s">
        <v>2275</v>
      </c>
      <c r="C15" s="178">
        <v>44917</v>
      </c>
      <c r="D15" s="179" t="s">
        <v>2640</v>
      </c>
      <c r="E15" s="273"/>
      <c r="F15" s="180" t="s">
        <v>2594</v>
      </c>
      <c r="G15" s="131" t="s">
        <v>107</v>
      </c>
      <c r="H15" s="109" t="s">
        <v>107</v>
      </c>
      <c r="I15" s="120" t="s">
        <v>2594</v>
      </c>
      <c r="J15" s="143" t="s">
        <v>300</v>
      </c>
      <c r="K15" s="143" t="s">
        <v>300</v>
      </c>
      <c r="L15" s="143" t="s">
        <v>300</v>
      </c>
      <c r="M15" s="144" t="s">
        <v>300</v>
      </c>
    </row>
    <row r="16" spans="1:13" ht="13.5" thickBot="1" x14ac:dyDescent="0.25">
      <c r="A16" s="136" t="s">
        <v>256</v>
      </c>
      <c r="B16" s="181" t="s">
        <v>2247</v>
      </c>
      <c r="C16" s="182">
        <v>45008</v>
      </c>
      <c r="D16" s="183" t="s">
        <v>2692</v>
      </c>
      <c r="E16" s="116" t="s">
        <v>3187</v>
      </c>
      <c r="F16" s="127" t="s">
        <v>2594</v>
      </c>
      <c r="G16" s="130" t="s">
        <v>107</v>
      </c>
      <c r="H16" s="116" t="s">
        <v>107</v>
      </c>
      <c r="I16" s="119" t="s">
        <v>2594</v>
      </c>
      <c r="J16" s="141" t="s">
        <v>300</v>
      </c>
      <c r="K16" s="141" t="s">
        <v>300</v>
      </c>
      <c r="L16" s="141" t="s">
        <v>300</v>
      </c>
      <c r="M16" s="142" t="s">
        <v>300</v>
      </c>
    </row>
    <row r="17" spans="1:13" x14ac:dyDescent="0.2">
      <c r="A17" s="136" t="s">
        <v>2698</v>
      </c>
      <c r="B17" s="184" t="s">
        <v>2275</v>
      </c>
      <c r="C17" s="185">
        <v>45125</v>
      </c>
      <c r="D17" s="186" t="s">
        <v>2699</v>
      </c>
      <c r="E17" s="272" t="s">
        <v>3187</v>
      </c>
      <c r="F17" s="127" t="s">
        <v>2594</v>
      </c>
      <c r="G17" s="130" t="s">
        <v>107</v>
      </c>
      <c r="H17" s="116" t="s">
        <v>107</v>
      </c>
      <c r="I17" s="119" t="s">
        <v>2594</v>
      </c>
      <c r="J17" s="141" t="s">
        <v>300</v>
      </c>
      <c r="K17" s="141" t="s">
        <v>300</v>
      </c>
      <c r="L17" s="141" t="s">
        <v>300</v>
      </c>
      <c r="M17" s="142" t="s">
        <v>300</v>
      </c>
    </row>
    <row r="18" spans="1:13" ht="13.5" thickBot="1" x14ac:dyDescent="0.25">
      <c r="A18" s="137"/>
      <c r="B18" s="134" t="s">
        <v>2704</v>
      </c>
      <c r="C18" s="110">
        <v>45142</v>
      </c>
      <c r="D18" s="99" t="s">
        <v>2705</v>
      </c>
      <c r="E18" s="273"/>
      <c r="F18" s="128" t="s">
        <v>2594</v>
      </c>
      <c r="G18" s="131" t="s">
        <v>107</v>
      </c>
      <c r="H18" s="109" t="s">
        <v>107</v>
      </c>
      <c r="I18" s="120" t="s">
        <v>2594</v>
      </c>
      <c r="J18" s="143" t="s">
        <v>300</v>
      </c>
      <c r="K18" s="143" t="s">
        <v>300</v>
      </c>
      <c r="L18" s="143" t="s">
        <v>300</v>
      </c>
      <c r="M18" s="144" t="s">
        <v>300</v>
      </c>
    </row>
    <row r="19" spans="1:13" ht="13.5" thickBot="1" x14ac:dyDescent="0.25">
      <c r="A19" s="136" t="s">
        <v>2706</v>
      </c>
      <c r="B19" s="133" t="s">
        <v>207</v>
      </c>
      <c r="C19" s="118">
        <v>45176</v>
      </c>
      <c r="D19" s="98" t="s">
        <v>2717</v>
      </c>
      <c r="E19" s="116" t="s">
        <v>3188</v>
      </c>
      <c r="F19" s="127" t="s">
        <v>2594</v>
      </c>
      <c r="G19" s="130" t="s">
        <v>107</v>
      </c>
      <c r="H19" s="116" t="s">
        <v>107</v>
      </c>
      <c r="I19" s="119" t="s">
        <v>2594</v>
      </c>
      <c r="J19" s="141" t="s">
        <v>300</v>
      </c>
      <c r="K19" s="141" t="s">
        <v>300</v>
      </c>
      <c r="L19" s="141" t="s">
        <v>300</v>
      </c>
      <c r="M19" s="142" t="s">
        <v>300</v>
      </c>
    </row>
    <row r="20" spans="1:13" x14ac:dyDescent="0.2">
      <c r="A20" s="300" t="s">
        <v>3170</v>
      </c>
      <c r="B20" s="133" t="s">
        <v>2605</v>
      </c>
      <c r="C20" s="118">
        <v>45211</v>
      </c>
      <c r="D20" s="98" t="s">
        <v>3189</v>
      </c>
      <c r="E20" s="272" t="s">
        <v>3190</v>
      </c>
      <c r="F20" s="279" t="s">
        <v>2594</v>
      </c>
      <c r="G20" s="282" t="s">
        <v>107</v>
      </c>
      <c r="H20" s="272" t="s">
        <v>107</v>
      </c>
      <c r="I20" s="272" t="s">
        <v>2594</v>
      </c>
      <c r="J20" s="141" t="s">
        <v>300</v>
      </c>
      <c r="K20" s="141" t="s">
        <v>300</v>
      </c>
      <c r="L20" s="141" t="s">
        <v>300</v>
      </c>
      <c r="M20" s="142" t="s">
        <v>300</v>
      </c>
    </row>
    <row r="21" spans="1:13" ht="13.5" thickBot="1" x14ac:dyDescent="0.25">
      <c r="A21" s="302"/>
      <c r="B21" s="134" t="s">
        <v>207</v>
      </c>
      <c r="C21" s="110">
        <v>45223</v>
      </c>
      <c r="D21" s="179" t="s">
        <v>3191</v>
      </c>
      <c r="E21" s="277"/>
      <c r="F21" s="285"/>
      <c r="G21" s="286"/>
      <c r="H21" s="277"/>
      <c r="I21" s="277"/>
      <c r="J21" s="143" t="s">
        <v>300</v>
      </c>
      <c r="K21" s="143" t="s">
        <v>300</v>
      </c>
      <c r="L21" s="143" t="s">
        <v>300</v>
      </c>
      <c r="M21" s="144" t="s">
        <v>300</v>
      </c>
    </row>
    <row r="22" spans="1:13" x14ac:dyDescent="0.2">
      <c r="A22" s="300" t="s">
        <v>2857</v>
      </c>
      <c r="B22" s="133" t="s">
        <v>3183</v>
      </c>
      <c r="C22" s="118">
        <v>45275</v>
      </c>
      <c r="D22" s="187" t="s">
        <v>3184</v>
      </c>
      <c r="E22" s="272" t="s">
        <v>3198</v>
      </c>
      <c r="F22" s="279" t="s">
        <v>2594</v>
      </c>
      <c r="G22" s="282" t="s">
        <v>107</v>
      </c>
      <c r="H22" s="272" t="s">
        <v>107</v>
      </c>
      <c r="I22" s="272" t="s">
        <v>2594</v>
      </c>
      <c r="J22" s="141" t="s">
        <v>300</v>
      </c>
      <c r="K22" s="141" t="s">
        <v>300</v>
      </c>
      <c r="L22" s="141" t="s">
        <v>300</v>
      </c>
      <c r="M22" s="142" t="s">
        <v>300</v>
      </c>
    </row>
    <row r="23" spans="1:13" x14ac:dyDescent="0.2">
      <c r="A23" s="302"/>
      <c r="B23" s="134" t="s">
        <v>3185</v>
      </c>
      <c r="C23" s="110">
        <v>45278</v>
      </c>
      <c r="D23" s="188" t="s">
        <v>3186</v>
      </c>
      <c r="E23" s="278"/>
      <c r="F23" s="280"/>
      <c r="G23" s="283"/>
      <c r="H23" s="278"/>
      <c r="I23" s="278"/>
      <c r="J23" s="143" t="s">
        <v>300</v>
      </c>
      <c r="K23" s="143" t="s">
        <v>300</v>
      </c>
      <c r="L23" s="143" t="s">
        <v>300</v>
      </c>
      <c r="M23" s="144" t="s">
        <v>300</v>
      </c>
    </row>
    <row r="24" spans="1:13" ht="26.25" thickBot="1" x14ac:dyDescent="0.25">
      <c r="A24" s="301"/>
      <c r="B24" s="134" t="s">
        <v>3192</v>
      </c>
      <c r="C24" s="110">
        <v>45279</v>
      </c>
      <c r="D24" s="189" t="s">
        <v>3193</v>
      </c>
      <c r="E24" s="273"/>
      <c r="F24" s="281"/>
      <c r="G24" s="284"/>
      <c r="H24" s="273"/>
      <c r="I24" s="273"/>
      <c r="J24" s="145" t="s">
        <v>300</v>
      </c>
      <c r="K24" s="145" t="s">
        <v>300</v>
      </c>
      <c r="L24" s="145" t="s">
        <v>300</v>
      </c>
      <c r="M24" s="146" t="s">
        <v>300</v>
      </c>
    </row>
    <row r="25" spans="1:13" x14ac:dyDescent="0.2">
      <c r="A25" s="300" t="s">
        <v>3199</v>
      </c>
      <c r="B25" s="198" t="s">
        <v>3200</v>
      </c>
      <c r="C25" s="199">
        <v>45302</v>
      </c>
      <c r="D25" s="200" t="s">
        <v>3201</v>
      </c>
      <c r="E25" s="272" t="s">
        <v>3203</v>
      </c>
      <c r="F25" s="151" t="s">
        <v>2594</v>
      </c>
      <c r="G25" s="133" t="s">
        <v>41</v>
      </c>
      <c r="H25" s="116" t="s">
        <v>107</v>
      </c>
      <c r="I25" s="116" t="s">
        <v>41</v>
      </c>
      <c r="J25" s="149" t="s">
        <v>300</v>
      </c>
      <c r="K25" s="149" t="s">
        <v>300</v>
      </c>
      <c r="L25" s="149" t="s">
        <v>300</v>
      </c>
      <c r="M25" s="150" t="s">
        <v>300</v>
      </c>
    </row>
    <row r="26" spans="1:13" ht="13.5" thickBot="1" x14ac:dyDescent="0.25">
      <c r="A26" s="301"/>
      <c r="B26" s="135" t="s">
        <v>3204</v>
      </c>
      <c r="C26" s="121">
        <v>45308</v>
      </c>
      <c r="D26" s="100" t="s">
        <v>3205</v>
      </c>
      <c r="E26" s="278"/>
      <c r="F26" s="152" t="s">
        <v>2594</v>
      </c>
      <c r="G26" s="135" t="s">
        <v>41</v>
      </c>
      <c r="H26" s="117" t="s">
        <v>41</v>
      </c>
      <c r="I26" s="117" t="s">
        <v>41</v>
      </c>
      <c r="J26" s="145" t="s">
        <v>300</v>
      </c>
      <c r="K26" s="145" t="s">
        <v>300</v>
      </c>
      <c r="L26" s="145" t="s">
        <v>300</v>
      </c>
      <c r="M26" s="146" t="s">
        <v>300</v>
      </c>
    </row>
    <row r="27" spans="1:13" x14ac:dyDescent="0.2">
      <c r="A27" s="300" t="s">
        <v>3208</v>
      </c>
      <c r="B27" s="184" t="s">
        <v>2247</v>
      </c>
      <c r="C27" s="185">
        <v>45420</v>
      </c>
      <c r="D27" s="186" t="s">
        <v>3217</v>
      </c>
      <c r="E27" s="274" t="s">
        <v>3218</v>
      </c>
      <c r="F27" s="127" t="s">
        <v>2594</v>
      </c>
      <c r="G27" s="130" t="s">
        <v>107</v>
      </c>
      <c r="H27" s="116" t="s">
        <v>107</v>
      </c>
      <c r="I27" s="116" t="s">
        <v>41</v>
      </c>
      <c r="J27" s="149"/>
      <c r="K27" s="149"/>
      <c r="L27" s="149"/>
      <c r="M27" s="150"/>
    </row>
    <row r="28" spans="1:13" x14ac:dyDescent="0.2">
      <c r="A28" s="302"/>
      <c r="B28" s="134" t="s">
        <v>105</v>
      </c>
      <c r="C28" s="110">
        <v>45427</v>
      </c>
      <c r="D28" s="99" t="s">
        <v>3225</v>
      </c>
      <c r="E28" s="275"/>
      <c r="F28" s="128"/>
      <c r="G28" s="131"/>
      <c r="H28" s="109"/>
      <c r="I28" s="120"/>
      <c r="J28" s="143"/>
      <c r="K28" s="143"/>
      <c r="L28" s="143"/>
      <c r="M28" s="144"/>
    </row>
    <row r="29" spans="1:13" x14ac:dyDescent="0.2">
      <c r="A29" s="302"/>
      <c r="B29" s="134"/>
      <c r="C29" s="110"/>
      <c r="D29" s="99"/>
      <c r="E29" s="275"/>
      <c r="F29" s="128"/>
      <c r="G29" s="131"/>
      <c r="H29" s="109"/>
      <c r="I29" s="120"/>
      <c r="J29" s="143"/>
      <c r="K29" s="143"/>
      <c r="L29" s="143"/>
      <c r="M29" s="144"/>
    </row>
    <row r="30" spans="1:13" ht="13.5" thickBot="1" x14ac:dyDescent="0.25">
      <c r="A30" s="301"/>
      <c r="B30" s="135"/>
      <c r="C30" s="121"/>
      <c r="D30" s="100"/>
      <c r="E30" s="276"/>
      <c r="F30" s="129"/>
      <c r="G30" s="132"/>
      <c r="H30" s="117"/>
      <c r="I30" s="117"/>
      <c r="J30" s="145"/>
      <c r="K30" s="145"/>
      <c r="L30" s="145"/>
      <c r="M30" s="146"/>
    </row>
    <row r="31" spans="1:13" x14ac:dyDescent="0.2">
      <c r="A31" s="136" t="s">
        <v>3309</v>
      </c>
      <c r="B31" s="133" t="s">
        <v>2593</v>
      </c>
      <c r="C31" s="118">
        <v>45525</v>
      </c>
      <c r="D31" s="98" t="s">
        <v>3310</v>
      </c>
      <c r="E31" s="274" t="s">
        <v>3348</v>
      </c>
      <c r="F31" s="127" t="s">
        <v>2594</v>
      </c>
      <c r="G31" s="130" t="s">
        <v>107</v>
      </c>
      <c r="H31" s="116" t="s">
        <v>107</v>
      </c>
      <c r="I31" s="119" t="s">
        <v>41</v>
      </c>
      <c r="J31" s="149" t="s">
        <v>300</v>
      </c>
      <c r="K31" s="149" t="s">
        <v>300</v>
      </c>
      <c r="L31" s="149" t="s">
        <v>300</v>
      </c>
      <c r="M31" s="150" t="s">
        <v>300</v>
      </c>
    </row>
    <row r="32" spans="1:13" x14ac:dyDescent="0.2">
      <c r="A32" s="137"/>
      <c r="B32" s="134" t="s">
        <v>3333</v>
      </c>
      <c r="C32" s="110">
        <v>45525</v>
      </c>
      <c r="D32" s="99" t="s">
        <v>3332</v>
      </c>
      <c r="E32" s="299"/>
      <c r="F32" s="128" t="s">
        <v>2594</v>
      </c>
      <c r="G32" s="131" t="s">
        <v>107</v>
      </c>
      <c r="H32" s="109" t="s">
        <v>107</v>
      </c>
      <c r="I32" s="120" t="s">
        <v>2594</v>
      </c>
      <c r="J32" s="143" t="s">
        <v>300</v>
      </c>
      <c r="K32" s="143" t="s">
        <v>300</v>
      </c>
      <c r="L32" s="143" t="s">
        <v>300</v>
      </c>
      <c r="M32" s="144" t="s">
        <v>300</v>
      </c>
    </row>
    <row r="33" spans="1:13" x14ac:dyDescent="0.2">
      <c r="A33" s="137"/>
      <c r="B33" s="134"/>
      <c r="C33" s="110"/>
      <c r="D33" s="99"/>
      <c r="E33" s="109"/>
      <c r="F33" s="128"/>
      <c r="G33" s="131"/>
      <c r="H33" s="109"/>
      <c r="I33" s="120"/>
      <c r="J33" s="143"/>
      <c r="K33" s="143"/>
      <c r="L33" s="143"/>
      <c r="M33" s="144"/>
    </row>
    <row r="34" spans="1:13" x14ac:dyDescent="0.2">
      <c r="A34" s="137"/>
      <c r="B34" s="134"/>
      <c r="C34" s="110"/>
      <c r="D34" s="99"/>
      <c r="E34" s="109"/>
      <c r="F34" s="128"/>
      <c r="G34" s="131"/>
      <c r="H34" s="109"/>
      <c r="I34" s="120"/>
      <c r="J34" s="143"/>
      <c r="K34" s="143"/>
      <c r="L34" s="143"/>
      <c r="M34" s="144"/>
    </row>
    <row r="35" spans="1:13" ht="13.5" thickBot="1" x14ac:dyDescent="0.25">
      <c r="A35" s="138"/>
      <c r="B35" s="135"/>
      <c r="C35" s="121"/>
      <c r="D35" s="100"/>
      <c r="E35" s="117"/>
      <c r="F35" s="129"/>
      <c r="G35" s="132"/>
      <c r="H35" s="117"/>
      <c r="I35" s="117"/>
      <c r="J35" s="145"/>
      <c r="K35" s="145"/>
      <c r="L35" s="145"/>
      <c r="M35" s="146"/>
    </row>
    <row r="36" spans="1:13" ht="13.5" thickBot="1" x14ac:dyDescent="0.25">
      <c r="A36" s="136" t="s">
        <v>3345</v>
      </c>
      <c r="B36" s="133" t="s">
        <v>3346</v>
      </c>
      <c r="C36" s="118">
        <v>45537</v>
      </c>
      <c r="D36" s="98" t="s">
        <v>3347</v>
      </c>
      <c r="E36" s="116" t="s">
        <v>3348</v>
      </c>
      <c r="F36" s="127" t="s">
        <v>2594</v>
      </c>
      <c r="G36" s="130" t="s">
        <v>107</v>
      </c>
      <c r="H36" s="116" t="s">
        <v>107</v>
      </c>
      <c r="I36" s="119" t="s">
        <v>41</v>
      </c>
      <c r="J36" s="149" t="s">
        <v>300</v>
      </c>
      <c r="K36" s="149" t="s">
        <v>300</v>
      </c>
      <c r="L36" s="149" t="s">
        <v>300</v>
      </c>
      <c r="M36" s="150" t="s">
        <v>300</v>
      </c>
    </row>
    <row r="37" spans="1:13" ht="13.5" thickBot="1" x14ac:dyDescent="0.25">
      <c r="A37" s="137"/>
      <c r="B37" s="134"/>
      <c r="C37" s="110"/>
      <c r="D37" s="98"/>
      <c r="E37" s="109"/>
      <c r="F37" s="128"/>
      <c r="G37" s="131"/>
      <c r="H37" s="109"/>
      <c r="I37" s="120"/>
      <c r="J37" s="143"/>
      <c r="K37" s="143"/>
      <c r="L37" s="143"/>
      <c r="M37" s="144"/>
    </row>
    <row r="38" spans="1:13" ht="13.5" thickBot="1" x14ac:dyDescent="0.25">
      <c r="A38" s="136" t="s">
        <v>3349</v>
      </c>
      <c r="B38" s="133" t="s">
        <v>3350</v>
      </c>
      <c r="C38" s="118">
        <v>45560</v>
      </c>
      <c r="D38" s="98" t="s">
        <v>3356</v>
      </c>
      <c r="E38" s="116" t="s">
        <v>3351</v>
      </c>
      <c r="F38" s="127" t="s">
        <v>2594</v>
      </c>
      <c r="G38" s="130" t="s">
        <v>107</v>
      </c>
      <c r="H38" s="116" t="s">
        <v>107</v>
      </c>
      <c r="I38" s="119" t="s">
        <v>41</v>
      </c>
      <c r="J38" s="149" t="s">
        <v>300</v>
      </c>
      <c r="K38" s="149" t="s">
        <v>300</v>
      </c>
      <c r="L38" s="149" t="s">
        <v>300</v>
      </c>
      <c r="M38" s="150" t="s">
        <v>300</v>
      </c>
    </row>
    <row r="39" spans="1:13" x14ac:dyDescent="0.2">
      <c r="A39" s="137"/>
      <c r="B39" s="134" t="s">
        <v>2602</v>
      </c>
      <c r="C39" s="110">
        <v>45569</v>
      </c>
      <c r="D39" s="98" t="s">
        <v>3362</v>
      </c>
      <c r="E39" s="109"/>
      <c r="F39" s="128"/>
      <c r="G39" s="131"/>
      <c r="H39" s="109"/>
      <c r="I39" s="120"/>
      <c r="J39" s="143"/>
      <c r="K39" s="143"/>
      <c r="L39" s="143"/>
      <c r="M39" s="144"/>
    </row>
    <row r="40" spans="1:13" x14ac:dyDescent="0.2">
      <c r="A40" s="137"/>
      <c r="B40" s="134"/>
      <c r="C40" s="110"/>
      <c r="D40" s="99"/>
      <c r="E40" s="109"/>
      <c r="F40" s="128"/>
      <c r="G40" s="131"/>
      <c r="H40" s="109"/>
      <c r="I40" s="120"/>
      <c r="J40" s="143"/>
      <c r="K40" s="143"/>
      <c r="L40" s="143"/>
      <c r="M40" s="144"/>
    </row>
    <row r="41" spans="1:13" x14ac:dyDescent="0.2">
      <c r="A41" s="137"/>
      <c r="B41" s="134"/>
      <c r="C41" s="110"/>
      <c r="D41" s="99"/>
      <c r="E41" s="109"/>
      <c r="F41" s="128"/>
      <c r="G41" s="131"/>
      <c r="H41" s="109"/>
      <c r="I41" s="120"/>
      <c r="J41" s="143"/>
      <c r="K41" s="143"/>
      <c r="L41" s="143"/>
      <c r="M41" s="144"/>
    </row>
    <row r="42" spans="1:13" ht="13.5" thickBot="1" x14ac:dyDescent="0.25">
      <c r="A42" s="138"/>
      <c r="B42" s="135"/>
      <c r="C42" s="121"/>
      <c r="D42" s="100"/>
      <c r="E42" s="117"/>
      <c r="F42" s="129"/>
      <c r="G42" s="132"/>
      <c r="H42" s="117"/>
      <c r="I42" s="117"/>
      <c r="J42" s="145"/>
      <c r="K42" s="145"/>
      <c r="L42" s="145"/>
      <c r="M42" s="146"/>
    </row>
  </sheetData>
  <mergeCells count="30">
    <mergeCell ref="E31:E32"/>
    <mergeCell ref="E10:E13"/>
    <mergeCell ref="E14:E15"/>
    <mergeCell ref="E17:E18"/>
    <mergeCell ref="A8:A9"/>
    <mergeCell ref="A22:A24"/>
    <mergeCell ref="A20:A21"/>
    <mergeCell ref="A27:A30"/>
    <mergeCell ref="A25:A26"/>
    <mergeCell ref="G3:I3"/>
    <mergeCell ref="E3:E4"/>
    <mergeCell ref="A3:A4"/>
    <mergeCell ref="B3:B4"/>
    <mergeCell ref="F3:F4"/>
    <mergeCell ref="D3:D4"/>
    <mergeCell ref="C3:C4"/>
    <mergeCell ref="E5:E6"/>
    <mergeCell ref="E8:E9"/>
    <mergeCell ref="E27:E30"/>
    <mergeCell ref="I20:I21"/>
    <mergeCell ref="I22:I24"/>
    <mergeCell ref="E22:E24"/>
    <mergeCell ref="F22:F24"/>
    <mergeCell ref="G22:G24"/>
    <mergeCell ref="H22:H24"/>
    <mergeCell ref="E20:E21"/>
    <mergeCell ref="F20:F21"/>
    <mergeCell ref="G20:G21"/>
    <mergeCell ref="H20:H21"/>
    <mergeCell ref="E25:E26"/>
  </mergeCells>
  <phoneticPr fontId="4" type="noConversion"/>
  <pageMargins left="0.74803149606299213" right="0.74803149606299213" top="1.1023622047244095" bottom="0.98425196850393704" header="0.51181102362204722" footer="0.51181102362204722"/>
  <pageSetup paperSize="9" orientation="landscape" r:id="rId1"/>
  <headerFooter alignWithMargins="0">
    <oddHeader>&amp;L&amp;9Machine Number : 84130003, 84130004
Machine Name : IFC - VL1 - Filling Machine &amp; Capper
CU Number : 7002
VU Number : 3922, 3923&amp;C&amp;14ALARMLIST&amp;RFilename: &amp;F
Date : &amp;D</oddHeader>
    <oddFooter>&amp;LBased on template : A5&amp;CAlarmlist_CUxxxx_A5&amp;RPage &amp;P/&amp;N</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695D8-6FD9-4977-9202-E56AEF97086B}">
  <sheetPr codeName="Sheet7"/>
  <dimension ref="A1:E46"/>
  <sheetViews>
    <sheetView showGridLines="0" topLeftCell="A6" zoomScaleNormal="100" workbookViewId="0">
      <selection activeCell="B40" sqref="B40"/>
    </sheetView>
  </sheetViews>
  <sheetFormatPr defaultColWidth="9.33203125" defaultRowHeight="12.75" x14ac:dyDescent="0.2"/>
  <cols>
    <col min="1" max="1" width="35.83203125" style="58" customWidth="1"/>
    <col min="2" max="2" width="38.1640625" style="58" customWidth="1"/>
    <col min="3" max="3" width="35.83203125" style="72" customWidth="1"/>
    <col min="4" max="7" width="9.33203125" style="45" customWidth="1"/>
    <col min="8" max="16384" width="9.33203125" style="45"/>
  </cols>
  <sheetData>
    <row r="1" spans="1:5" s="31" customFormat="1" ht="20.25" x14ac:dyDescent="0.2">
      <c r="A1" s="60" t="s">
        <v>258</v>
      </c>
      <c r="B1" s="61"/>
      <c r="C1" s="62"/>
      <c r="D1" s="63"/>
      <c r="E1" s="63"/>
    </row>
    <row r="2" spans="1:5" s="31" customFormat="1" ht="13.5" thickBot="1" x14ac:dyDescent="0.25">
      <c r="A2" s="64"/>
      <c r="B2" s="64"/>
      <c r="C2" s="65"/>
    </row>
    <row r="3" spans="1:5" s="31" customFormat="1" x14ac:dyDescent="0.2">
      <c r="A3" s="66" t="s">
        <v>259</v>
      </c>
      <c r="B3" s="67" t="s">
        <v>319</v>
      </c>
      <c r="C3" s="65"/>
    </row>
    <row r="4" spans="1:5" s="31" customFormat="1" x14ac:dyDescent="0.2">
      <c r="A4" s="68" t="s">
        <v>260</v>
      </c>
      <c r="B4" s="69" t="s">
        <v>3269</v>
      </c>
      <c r="C4" s="65"/>
    </row>
    <row r="5" spans="1:5" s="31" customFormat="1" x14ac:dyDescent="0.2">
      <c r="A5" s="68" t="s">
        <v>261</v>
      </c>
      <c r="B5" s="69">
        <v>7002</v>
      </c>
      <c r="C5" s="65"/>
    </row>
    <row r="6" spans="1:5" s="31" customFormat="1" x14ac:dyDescent="0.2">
      <c r="A6" s="68" t="s">
        <v>313</v>
      </c>
      <c r="B6" s="69"/>
      <c r="C6" s="65"/>
    </row>
    <row r="7" spans="1:5" s="31" customFormat="1" x14ac:dyDescent="0.2">
      <c r="A7" s="68" t="s">
        <v>314</v>
      </c>
      <c r="B7" s="69"/>
      <c r="C7" s="65"/>
    </row>
    <row r="8" spans="1:5" s="31" customFormat="1" ht="13.5" thickBot="1" x14ac:dyDescent="0.25">
      <c r="A8" s="70" t="s">
        <v>262</v>
      </c>
      <c r="B8" s="71"/>
      <c r="C8" s="65"/>
    </row>
    <row r="9" spans="1:5" ht="13.5" thickBot="1" x14ac:dyDescent="0.25"/>
    <row r="10" spans="1:5" s="31" customFormat="1" ht="13.5" thickBot="1" x14ac:dyDescent="0.25">
      <c r="A10" s="58"/>
      <c r="B10" s="73" t="s">
        <v>263</v>
      </c>
      <c r="C10" s="74" t="s">
        <v>264</v>
      </c>
    </row>
    <row r="11" spans="1:5" s="31" customFormat="1" x14ac:dyDescent="0.2">
      <c r="A11" s="66" t="s">
        <v>265</v>
      </c>
      <c r="B11" s="75" t="s">
        <v>320</v>
      </c>
      <c r="C11" s="76">
        <v>3922</v>
      </c>
    </row>
    <row r="12" spans="1:5" s="31" customFormat="1" x14ac:dyDescent="0.2">
      <c r="A12" s="77" t="s">
        <v>266</v>
      </c>
      <c r="B12" s="75" t="s">
        <v>321</v>
      </c>
      <c r="C12" s="76">
        <v>3923</v>
      </c>
    </row>
    <row r="13" spans="1:5" s="31" customFormat="1" x14ac:dyDescent="0.2">
      <c r="A13" s="77" t="s">
        <v>267</v>
      </c>
      <c r="B13" s="75"/>
      <c r="C13" s="76"/>
    </row>
    <row r="14" spans="1:5" s="31" customFormat="1" x14ac:dyDescent="0.2">
      <c r="A14" s="77" t="s">
        <v>268</v>
      </c>
      <c r="B14" s="75"/>
      <c r="C14" s="76"/>
    </row>
    <row r="15" spans="1:5" s="31" customFormat="1" x14ac:dyDescent="0.2">
      <c r="A15" s="77" t="s">
        <v>269</v>
      </c>
      <c r="B15" s="75"/>
      <c r="C15" s="76"/>
    </row>
    <row r="16" spans="1:5" s="31" customFormat="1" x14ac:dyDescent="0.2">
      <c r="A16" s="77" t="s">
        <v>270</v>
      </c>
      <c r="B16" s="75"/>
      <c r="C16" s="76"/>
    </row>
    <row r="17" spans="1:3" s="31" customFormat="1" x14ac:dyDescent="0.2">
      <c r="A17" s="77" t="s">
        <v>271</v>
      </c>
      <c r="B17" s="75"/>
      <c r="C17" s="76"/>
    </row>
    <row r="18" spans="1:3" s="31" customFormat="1" x14ac:dyDescent="0.2">
      <c r="A18" s="77" t="s">
        <v>272</v>
      </c>
      <c r="B18" s="75"/>
      <c r="C18" s="76"/>
    </row>
    <row r="19" spans="1:3" s="31" customFormat="1" x14ac:dyDescent="0.2">
      <c r="A19" s="77" t="s">
        <v>273</v>
      </c>
      <c r="B19" s="75"/>
      <c r="C19" s="76"/>
    </row>
    <row r="20" spans="1:3" s="31" customFormat="1" ht="13.5" thickBot="1" x14ac:dyDescent="0.25">
      <c r="A20" s="70" t="s">
        <v>274</v>
      </c>
      <c r="B20" s="78"/>
      <c r="C20" s="79"/>
    </row>
    <row r="21" spans="1:3" ht="13.5" thickBot="1" x14ac:dyDescent="0.25"/>
    <row r="22" spans="1:3" s="31" customFormat="1" ht="13.5" thickBot="1" x14ac:dyDescent="0.25">
      <c r="A22" s="66" t="s">
        <v>315</v>
      </c>
      <c r="B22" s="67"/>
      <c r="C22" s="65"/>
    </row>
    <row r="23" spans="1:3" s="31" customFormat="1" ht="13.5" thickBot="1" x14ac:dyDescent="0.25">
      <c r="A23" s="68" t="s">
        <v>275</v>
      </c>
      <c r="B23" s="140"/>
      <c r="C23" s="139"/>
    </row>
    <row r="24" spans="1:3" s="31" customFormat="1" x14ac:dyDescent="0.2">
      <c r="A24" s="68" t="s">
        <v>316</v>
      </c>
      <c r="B24" s="69"/>
      <c r="C24" s="65"/>
    </row>
    <row r="25" spans="1:3" s="31" customFormat="1" x14ac:dyDescent="0.2">
      <c r="A25" s="68" t="s">
        <v>311</v>
      </c>
      <c r="B25" s="69"/>
      <c r="C25" s="65"/>
    </row>
    <row r="26" spans="1:3" s="31" customFormat="1" x14ac:dyDescent="0.2">
      <c r="A26" s="68" t="s">
        <v>276</v>
      </c>
      <c r="B26" s="69"/>
      <c r="C26" s="65"/>
    </row>
    <row r="27" spans="1:3" s="31" customFormat="1" x14ac:dyDescent="0.2">
      <c r="A27" s="68" t="s">
        <v>277</v>
      </c>
      <c r="B27" s="69"/>
      <c r="C27" s="65"/>
    </row>
    <row r="28" spans="1:3" s="31" customFormat="1" x14ac:dyDescent="0.2">
      <c r="A28" s="68" t="s">
        <v>278</v>
      </c>
      <c r="B28" s="69"/>
      <c r="C28" s="65"/>
    </row>
    <row r="29" spans="1:3" s="31" customFormat="1" x14ac:dyDescent="0.2">
      <c r="A29" s="68" t="s">
        <v>279</v>
      </c>
      <c r="B29" s="69"/>
      <c r="C29" s="65"/>
    </row>
    <row r="30" spans="1:3" s="31" customFormat="1" ht="13.5" thickBot="1" x14ac:dyDescent="0.25">
      <c r="A30" s="70" t="s">
        <v>280</v>
      </c>
      <c r="B30" s="71"/>
      <c r="C30" s="65"/>
    </row>
    <row r="31" spans="1:3" ht="13.5" thickBot="1" x14ac:dyDescent="0.25"/>
    <row r="32" spans="1:3" s="31" customFormat="1" x14ac:dyDescent="0.2">
      <c r="A32" s="66" t="s">
        <v>281</v>
      </c>
      <c r="B32" s="67"/>
      <c r="C32" s="65"/>
    </row>
    <row r="33" spans="1:3" s="31" customFormat="1" x14ac:dyDescent="0.2">
      <c r="A33" s="68" t="s">
        <v>282</v>
      </c>
      <c r="B33" s="69" t="s">
        <v>283</v>
      </c>
      <c r="C33" s="65"/>
    </row>
    <row r="34" spans="1:3" s="31" customFormat="1" x14ac:dyDescent="0.2">
      <c r="A34" s="68" t="s">
        <v>284</v>
      </c>
      <c r="B34" s="69" t="s">
        <v>285</v>
      </c>
      <c r="C34" s="65"/>
    </row>
    <row r="35" spans="1:3" s="31" customFormat="1" x14ac:dyDescent="0.2">
      <c r="A35" s="68" t="s">
        <v>286</v>
      </c>
      <c r="B35" s="69" t="s">
        <v>287</v>
      </c>
      <c r="C35" s="65"/>
    </row>
    <row r="36" spans="1:3" s="31" customFormat="1" ht="13.5" thickBot="1" x14ac:dyDescent="0.25">
      <c r="A36" s="70" t="s">
        <v>288</v>
      </c>
      <c r="B36" s="71" t="s">
        <v>289</v>
      </c>
      <c r="C36" s="65"/>
    </row>
    <row r="37" spans="1:3" ht="13.5" thickBot="1" x14ac:dyDescent="0.25"/>
    <row r="38" spans="1:3" ht="13.5" thickBot="1" x14ac:dyDescent="0.25">
      <c r="A38" s="80" t="s">
        <v>290</v>
      </c>
      <c r="B38" s="73" t="s">
        <v>291</v>
      </c>
      <c r="C38" s="74" t="s">
        <v>106</v>
      </c>
    </row>
    <row r="39" spans="1:3" x14ac:dyDescent="0.2">
      <c r="A39" s="66" t="s">
        <v>292</v>
      </c>
      <c r="B39" s="75"/>
      <c r="C39" s="76" t="s">
        <v>105</v>
      </c>
    </row>
    <row r="40" spans="1:3" x14ac:dyDescent="0.2">
      <c r="A40" s="77" t="s">
        <v>293</v>
      </c>
      <c r="B40" s="75" t="s">
        <v>207</v>
      </c>
      <c r="C40" s="76" t="s">
        <v>105</v>
      </c>
    </row>
    <row r="41" spans="1:3" x14ac:dyDescent="0.2">
      <c r="A41" s="77" t="s">
        <v>294</v>
      </c>
      <c r="B41" s="75" t="s">
        <v>323</v>
      </c>
      <c r="C41" s="76" t="s">
        <v>322</v>
      </c>
    </row>
    <row r="42" spans="1:3" x14ac:dyDescent="0.2">
      <c r="A42" s="77" t="s">
        <v>295</v>
      </c>
      <c r="B42" s="75"/>
      <c r="C42" s="76"/>
    </row>
    <row r="43" spans="1:3" x14ac:dyDescent="0.2">
      <c r="A43" s="77" t="s">
        <v>296</v>
      </c>
      <c r="B43" s="75"/>
      <c r="C43" s="76"/>
    </row>
    <row r="44" spans="1:3" x14ac:dyDescent="0.2">
      <c r="A44" s="77" t="s">
        <v>297</v>
      </c>
      <c r="B44" s="75"/>
      <c r="C44" s="76"/>
    </row>
    <row r="45" spans="1:3" x14ac:dyDescent="0.2">
      <c r="A45" s="77" t="s">
        <v>298</v>
      </c>
      <c r="B45" s="75"/>
      <c r="C45" s="76"/>
    </row>
    <row r="46" spans="1:3" ht="13.5" thickBot="1" x14ac:dyDescent="0.25">
      <c r="A46" s="70" t="s">
        <v>299</v>
      </c>
      <c r="B46" s="78"/>
      <c r="C46" s="79" t="s">
        <v>105</v>
      </c>
    </row>
  </sheetData>
  <pageMargins left="0.74803149606299213" right="0.74803149606299213" top="1.1023622047244095" bottom="0.98425196850393704" header="0.51181102362204722" footer="0.51181102362204722"/>
  <pageSetup paperSize="9" orientation="landscape" r:id="rId1"/>
  <headerFooter alignWithMargins="0">
    <oddHeader>&amp;L&amp;9Machine Number : 84130003, 84130004
Machine Name : IFC - VL1 - Filling Machine &amp; Capper
CU Number : 7002
VU Number : 3922, 3923&amp;C&amp;14ALARMLIST&amp;RFilename: &amp;F
Date : &amp;D</oddHeader>
    <oddFooter>&amp;LBased on template : A5&amp;CAlarmlist_CUxxxx_A5&amp;RPage &amp;P/&amp;N</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pageSetUpPr fitToPage="1"/>
  </sheetPr>
  <dimension ref="A1:AH1639"/>
  <sheetViews>
    <sheetView showGridLines="0" tabSelected="1" topLeftCell="E1" zoomScale="115" zoomScaleNormal="115" zoomScaleSheetLayoutView="100" workbookViewId="0">
      <selection activeCell="I16" sqref="I16"/>
    </sheetView>
  </sheetViews>
  <sheetFormatPr defaultColWidth="9.33203125" defaultRowHeight="11.25" x14ac:dyDescent="0.2"/>
  <cols>
    <col min="1" max="1" width="8.6640625" style="6" bestFit="1" customWidth="1"/>
    <col min="2" max="2" width="10.1640625" style="6" bestFit="1" customWidth="1"/>
    <col min="3" max="3" width="36.1640625" style="6" bestFit="1" customWidth="1"/>
    <col min="4" max="4" width="31.6640625" style="6" customWidth="1"/>
    <col min="5" max="5" width="41.33203125" style="6" customWidth="1"/>
    <col min="6" max="6" width="48.83203125" style="6" customWidth="1"/>
    <col min="7" max="7" width="27.1640625" style="7" customWidth="1"/>
    <col min="8" max="8" width="14.5" style="6" customWidth="1"/>
    <col min="9" max="9" width="24" style="6" customWidth="1"/>
    <col min="10" max="10" width="10.33203125" style="6" customWidth="1"/>
    <col min="11" max="11" width="19.5" style="6" customWidth="1"/>
    <col min="12" max="12" width="10" style="6" customWidth="1"/>
    <col min="13" max="13" width="9.6640625" style="6" customWidth="1"/>
    <col min="14" max="14" width="10.5" style="6" customWidth="1"/>
    <col min="15" max="15" width="19.5" style="6" customWidth="1"/>
    <col min="16" max="16" width="12.5" style="6" customWidth="1"/>
    <col min="17" max="17" width="8.5" style="6" bestFit="1" customWidth="1"/>
    <col min="18" max="18" width="8.6640625" style="6" bestFit="1" customWidth="1"/>
    <col min="19" max="19" width="13.1640625" style="6" bestFit="1" customWidth="1"/>
    <col min="20" max="20" width="18.83203125" style="6" bestFit="1" customWidth="1"/>
    <col min="21" max="21" width="14.83203125" style="6" bestFit="1" customWidth="1"/>
    <col min="22" max="22" width="19" style="6" customWidth="1"/>
    <col min="23" max="23" width="16.5" style="6" bestFit="1" customWidth="1"/>
    <col min="24" max="24" width="11.6640625" style="6" bestFit="1" customWidth="1"/>
    <col min="25" max="25" width="31.33203125" style="6" customWidth="1"/>
    <col min="26" max="26" width="7" style="6" bestFit="1" customWidth="1"/>
    <col min="27" max="27" width="12.5" style="6" bestFit="1" customWidth="1"/>
    <col min="28" max="28" width="11.5" style="6" bestFit="1" customWidth="1"/>
    <col min="29" max="29" width="10.33203125" style="6" customWidth="1"/>
    <col min="30" max="30" width="28.1640625" style="6" customWidth="1"/>
    <col min="31" max="31" width="12.1640625" style="6" bestFit="1" customWidth="1"/>
    <col min="32" max="32" width="9.83203125" style="6" customWidth="1"/>
    <col min="33" max="33" width="9.33203125" style="6"/>
    <col min="34" max="34" width="32.83203125" style="6" bestFit="1" customWidth="1"/>
    <col min="35" max="16384" width="9.33203125" style="6"/>
  </cols>
  <sheetData>
    <row r="1" spans="1:34" ht="30" x14ac:dyDescent="0.4">
      <c r="C1" s="15" t="s">
        <v>110</v>
      </c>
      <c r="L1" s="33" t="s">
        <v>167</v>
      </c>
      <c r="M1" s="33"/>
      <c r="N1" s="33"/>
      <c r="O1" s="33"/>
    </row>
    <row r="2" spans="1:34" ht="30.75" thickBot="1" x14ac:dyDescent="0.45">
      <c r="C2" s="15"/>
      <c r="L2" s="303" t="s">
        <v>174</v>
      </c>
      <c r="M2" s="303"/>
      <c r="N2" s="34" t="s">
        <v>175</v>
      </c>
      <c r="O2" s="35"/>
    </row>
    <row r="3" spans="1:34" s="90" customFormat="1" ht="22.5" x14ac:dyDescent="0.2">
      <c r="A3" s="81" t="s">
        <v>257</v>
      </c>
      <c r="B3" s="82" t="s">
        <v>8</v>
      </c>
      <c r="C3" s="82" t="s">
        <v>100</v>
      </c>
      <c r="D3" s="83" t="s">
        <v>0</v>
      </c>
      <c r="E3" s="83" t="s">
        <v>301</v>
      </c>
      <c r="F3" s="84" t="s">
        <v>305</v>
      </c>
      <c r="G3" s="85" t="s">
        <v>1</v>
      </c>
      <c r="H3" s="83" t="s">
        <v>2</v>
      </c>
      <c r="I3" s="83" t="s">
        <v>3</v>
      </c>
      <c r="J3" s="86" t="s">
        <v>5</v>
      </c>
      <c r="K3" s="83" t="s">
        <v>6</v>
      </c>
      <c r="L3" s="87" t="s">
        <v>166</v>
      </c>
      <c r="M3" s="87" t="s">
        <v>165</v>
      </c>
      <c r="N3" s="87" t="s">
        <v>181</v>
      </c>
      <c r="O3" s="87" t="s">
        <v>178</v>
      </c>
      <c r="P3" s="83" t="s">
        <v>7</v>
      </c>
      <c r="Q3" s="82" t="s">
        <v>4</v>
      </c>
      <c r="R3" s="82" t="s">
        <v>302</v>
      </c>
      <c r="S3" s="82" t="s">
        <v>153</v>
      </c>
      <c r="T3" s="88" t="s">
        <v>96</v>
      </c>
      <c r="U3" s="82" t="s">
        <v>111</v>
      </c>
      <c r="V3" s="82" t="s">
        <v>2872</v>
      </c>
      <c r="W3" s="89" t="s">
        <v>113</v>
      </c>
      <c r="X3" s="82" t="s">
        <v>112</v>
      </c>
      <c r="Y3" s="82" t="s">
        <v>114</v>
      </c>
      <c r="Z3" s="82" t="s">
        <v>155</v>
      </c>
      <c r="AA3" s="82" t="s">
        <v>164</v>
      </c>
      <c r="AB3" s="82" t="s">
        <v>304</v>
      </c>
      <c r="AC3" s="82" t="s">
        <v>3361</v>
      </c>
      <c r="AD3" s="82" t="s">
        <v>303</v>
      </c>
      <c r="AE3" s="124" t="s">
        <v>310</v>
      </c>
    </row>
    <row r="4" spans="1:34" s="16" customFormat="1" ht="23.25" x14ac:dyDescent="0.2">
      <c r="A4" s="304" t="s">
        <v>2227</v>
      </c>
      <c r="B4" s="305"/>
      <c r="C4" s="305"/>
      <c r="D4" s="305"/>
      <c r="E4" s="305"/>
      <c r="F4" s="305"/>
      <c r="G4" s="305"/>
      <c r="H4" s="305"/>
      <c r="I4" s="305"/>
      <c r="J4" s="305"/>
      <c r="K4" s="305"/>
      <c r="L4" s="305"/>
      <c r="M4" s="305"/>
      <c r="N4" s="305"/>
      <c r="O4" s="305"/>
      <c r="P4" s="305"/>
      <c r="Q4" s="305"/>
      <c r="R4" s="305"/>
      <c r="S4" s="305"/>
      <c r="T4" s="305"/>
      <c r="U4" s="305"/>
      <c r="V4" s="305"/>
      <c r="W4" s="305"/>
      <c r="X4" s="305"/>
      <c r="Y4" s="305"/>
      <c r="Z4" s="305"/>
      <c r="AA4" s="305"/>
      <c r="AB4" s="305"/>
      <c r="AC4" s="305"/>
      <c r="AD4" s="305"/>
      <c r="AE4" s="306"/>
    </row>
    <row r="5" spans="1:34" ht="12.75" x14ac:dyDescent="0.2">
      <c r="A5" s="201"/>
      <c r="B5" s="4" t="s">
        <v>104</v>
      </c>
      <c r="C5" s="4">
        <v>1</v>
      </c>
      <c r="D5" s="4" t="s">
        <v>9</v>
      </c>
      <c r="E5" s="4" t="s">
        <v>9</v>
      </c>
      <c r="F5" s="4" t="s">
        <v>10</v>
      </c>
      <c r="G5" s="4"/>
      <c r="H5" s="4"/>
      <c r="I5" s="4"/>
      <c r="J5" s="4">
        <v>30001</v>
      </c>
      <c r="K5" s="202" t="s">
        <v>11</v>
      </c>
      <c r="L5" s="4">
        <v>1</v>
      </c>
      <c r="M5" s="4">
        <v>0</v>
      </c>
      <c r="N5" s="4" t="str">
        <f>_xlfn.CONCAT("DBX",((L5-1)*2),".0")</f>
        <v>DBX0.0</v>
      </c>
      <c r="O5" s="4" t="s">
        <v>179</v>
      </c>
      <c r="P5" s="4" t="s">
        <v>11</v>
      </c>
      <c r="Q5" s="4" t="s">
        <v>12</v>
      </c>
      <c r="R5" s="4"/>
      <c r="S5" s="4">
        <v>3922</v>
      </c>
      <c r="T5" s="4" t="s">
        <v>2551</v>
      </c>
      <c r="U5" s="203"/>
      <c r="V5" s="203"/>
      <c r="W5" s="4" t="s">
        <v>129</v>
      </c>
      <c r="X5" s="4">
        <f t="shared" ref="X5:X68" si="0">VLOOKUP(W5,$W$1609:$X$1639,2,FALSE)</f>
        <v>13</v>
      </c>
      <c r="Y5" s="4"/>
      <c r="Z5" s="4"/>
      <c r="AA5" s="4"/>
      <c r="AB5" s="4"/>
      <c r="AC5" s="4">
        <v>1</v>
      </c>
      <c r="AD5" s="4"/>
      <c r="AE5" s="4"/>
      <c r="AG5" s="31"/>
      <c r="AH5" s="31" t="s">
        <v>109</v>
      </c>
    </row>
    <row r="6" spans="1:34" ht="12.75" x14ac:dyDescent="0.2">
      <c r="A6" s="201"/>
      <c r="B6" s="4" t="s">
        <v>104</v>
      </c>
      <c r="C6" s="4">
        <v>2</v>
      </c>
      <c r="D6" s="4" t="s">
        <v>13</v>
      </c>
      <c r="E6" s="4" t="s">
        <v>13</v>
      </c>
      <c r="F6" s="4" t="s">
        <v>14</v>
      </c>
      <c r="G6" s="4"/>
      <c r="H6" s="4"/>
      <c r="I6" s="4"/>
      <c r="J6" s="4">
        <v>30002</v>
      </c>
      <c r="K6" s="202" t="s">
        <v>98</v>
      </c>
      <c r="L6" s="4">
        <v>1</v>
      </c>
      <c r="M6" s="4">
        <v>1</v>
      </c>
      <c r="N6" s="4" t="str">
        <f>_xlfn.CONCAT("DBX",((L6-1)*2),".1")</f>
        <v>DBX0.1</v>
      </c>
      <c r="O6" s="4" t="s">
        <v>179</v>
      </c>
      <c r="P6" s="4" t="s">
        <v>98</v>
      </c>
      <c r="Q6" s="4" t="s">
        <v>12</v>
      </c>
      <c r="R6" s="4"/>
      <c r="S6" s="4">
        <v>3922</v>
      </c>
      <c r="T6" s="4" t="s">
        <v>2551</v>
      </c>
      <c r="U6" s="4"/>
      <c r="V6" s="4"/>
      <c r="W6" s="4" t="s">
        <v>129</v>
      </c>
      <c r="X6" s="4">
        <f t="shared" si="0"/>
        <v>13</v>
      </c>
      <c r="Y6" s="4"/>
      <c r="Z6" s="4"/>
      <c r="AA6" s="4"/>
      <c r="AB6" s="4"/>
      <c r="AC6" s="4">
        <v>1</v>
      </c>
      <c r="AD6" s="4"/>
      <c r="AE6" s="4"/>
      <c r="AG6" s="31"/>
      <c r="AH6" s="31" t="s">
        <v>97</v>
      </c>
    </row>
    <row r="7" spans="1:34" ht="12.75" x14ac:dyDescent="0.2">
      <c r="A7" s="201"/>
      <c r="B7" s="4" t="s">
        <v>104</v>
      </c>
      <c r="C7" s="4">
        <v>3</v>
      </c>
      <c r="D7" s="4" t="s">
        <v>15</v>
      </c>
      <c r="E7" s="4" t="s">
        <v>15</v>
      </c>
      <c r="F7" s="4" t="s">
        <v>16</v>
      </c>
      <c r="G7" s="4"/>
      <c r="H7" s="4"/>
      <c r="I7" s="4"/>
      <c r="J7" s="4">
        <v>30003</v>
      </c>
      <c r="K7" s="202" t="s">
        <v>98</v>
      </c>
      <c r="L7" s="4">
        <v>1</v>
      </c>
      <c r="M7" s="4">
        <v>2</v>
      </c>
      <c r="N7" s="4" t="str">
        <f>_xlfn.CONCAT("DBX",((L7-1)*2),".2")</f>
        <v>DBX0.2</v>
      </c>
      <c r="O7" s="4" t="s">
        <v>179</v>
      </c>
      <c r="P7" s="4" t="s">
        <v>98</v>
      </c>
      <c r="Q7" s="4" t="s">
        <v>12</v>
      </c>
      <c r="R7" s="4"/>
      <c r="S7" s="4">
        <v>3922</v>
      </c>
      <c r="T7" s="4" t="s">
        <v>2551</v>
      </c>
      <c r="U7" s="4"/>
      <c r="V7" s="4"/>
      <c r="W7" s="4" t="s">
        <v>129</v>
      </c>
      <c r="X7" s="4">
        <f t="shared" si="0"/>
        <v>13</v>
      </c>
      <c r="Y7" s="4"/>
      <c r="Z7" s="4"/>
      <c r="AA7" s="4"/>
      <c r="AB7" s="4"/>
      <c r="AC7" s="4">
        <v>1</v>
      </c>
      <c r="AD7" s="4"/>
      <c r="AE7" s="4"/>
      <c r="AG7" s="31"/>
      <c r="AH7" s="31" t="s">
        <v>115</v>
      </c>
    </row>
    <row r="8" spans="1:34" x14ac:dyDescent="0.2">
      <c r="A8" s="201"/>
      <c r="B8" s="4" t="s">
        <v>34</v>
      </c>
      <c r="C8" s="4">
        <v>4</v>
      </c>
      <c r="D8" s="4" t="s">
        <v>17</v>
      </c>
      <c r="E8" s="4" t="s">
        <v>17</v>
      </c>
      <c r="F8" s="4" t="s">
        <v>18</v>
      </c>
      <c r="G8" s="4"/>
      <c r="H8" s="4"/>
      <c r="I8" s="4"/>
      <c r="J8" s="4">
        <v>30004</v>
      </c>
      <c r="K8" s="202"/>
      <c r="L8" s="4">
        <v>1</v>
      </c>
      <c r="M8" s="4">
        <v>3</v>
      </c>
      <c r="N8" s="4" t="str">
        <f>_xlfn.CONCAT("DBX",((L8-1)*2),".3")</f>
        <v>DBX0.3</v>
      </c>
      <c r="O8" s="4" t="s">
        <v>179</v>
      </c>
      <c r="P8" s="4"/>
      <c r="Q8" s="4"/>
      <c r="R8" s="4"/>
      <c r="S8" s="4"/>
      <c r="T8" s="4"/>
      <c r="U8" s="4"/>
      <c r="V8" s="4"/>
      <c r="W8" s="4" t="s">
        <v>154</v>
      </c>
      <c r="X8" s="4" t="e">
        <f t="shared" si="0"/>
        <v>#N/A</v>
      </c>
      <c r="Y8" s="4"/>
      <c r="Z8" s="4"/>
      <c r="AA8" s="4"/>
      <c r="AB8" s="4"/>
      <c r="AC8" s="4"/>
      <c r="AD8" s="4"/>
      <c r="AE8" s="4"/>
    </row>
    <row r="9" spans="1:34" ht="12.75" x14ac:dyDescent="0.2">
      <c r="A9" s="201"/>
      <c r="B9" s="4" t="s">
        <v>34</v>
      </c>
      <c r="C9" s="4">
        <v>5</v>
      </c>
      <c r="D9" s="4" t="s">
        <v>17</v>
      </c>
      <c r="E9" s="4" t="s">
        <v>17</v>
      </c>
      <c r="F9" s="4" t="s">
        <v>18</v>
      </c>
      <c r="G9" s="4"/>
      <c r="H9" s="4"/>
      <c r="I9" s="4"/>
      <c r="J9" s="4">
        <v>30005</v>
      </c>
      <c r="K9" s="202"/>
      <c r="L9" s="4">
        <v>1</v>
      </c>
      <c r="M9" s="4">
        <v>4</v>
      </c>
      <c r="N9" s="4" t="str">
        <f>_xlfn.CONCAT("DBX",((L9-1)*2),".4")</f>
        <v>DBX0.4</v>
      </c>
      <c r="O9" s="4" t="s">
        <v>179</v>
      </c>
      <c r="P9" s="4"/>
      <c r="Q9" s="4"/>
      <c r="R9" s="4"/>
      <c r="S9" s="4"/>
      <c r="T9" s="4"/>
      <c r="U9" s="4"/>
      <c r="V9" s="4"/>
      <c r="W9" s="4" t="s">
        <v>154</v>
      </c>
      <c r="X9" s="4" t="e">
        <f t="shared" si="0"/>
        <v>#N/A</v>
      </c>
      <c r="Y9" s="4"/>
      <c r="Z9" s="4"/>
      <c r="AA9" s="4"/>
      <c r="AB9" s="4"/>
      <c r="AC9" s="4"/>
      <c r="AD9" s="4"/>
      <c r="AE9" s="4"/>
      <c r="AG9" s="215"/>
      <c r="AH9" s="31" t="s">
        <v>176</v>
      </c>
    </row>
    <row r="10" spans="1:34" ht="12.75" x14ac:dyDescent="0.2">
      <c r="A10" s="201"/>
      <c r="B10" s="4" t="s">
        <v>34</v>
      </c>
      <c r="C10" s="4">
        <v>6</v>
      </c>
      <c r="D10" s="4" t="s">
        <v>17</v>
      </c>
      <c r="E10" s="4" t="s">
        <v>17</v>
      </c>
      <c r="F10" s="4" t="s">
        <v>18</v>
      </c>
      <c r="G10" s="4"/>
      <c r="H10" s="4"/>
      <c r="I10" s="4"/>
      <c r="J10" s="4">
        <v>30006</v>
      </c>
      <c r="K10" s="202"/>
      <c r="L10" s="4">
        <v>1</v>
      </c>
      <c r="M10" s="4">
        <v>5</v>
      </c>
      <c r="N10" s="4" t="str">
        <f>_xlfn.CONCAT("DBX",((L10-1)*2),".5")</f>
        <v>DBX0.5</v>
      </c>
      <c r="O10" s="4" t="s">
        <v>179</v>
      </c>
      <c r="P10" s="4"/>
      <c r="Q10" s="4"/>
      <c r="R10" s="4"/>
      <c r="S10" s="4"/>
      <c r="T10" s="4"/>
      <c r="U10" s="4"/>
      <c r="V10" s="4"/>
      <c r="W10" s="4" t="s">
        <v>154</v>
      </c>
      <c r="X10" s="4" t="e">
        <f t="shared" si="0"/>
        <v>#N/A</v>
      </c>
      <c r="Y10" s="4"/>
      <c r="Z10" s="4"/>
      <c r="AA10" s="4"/>
      <c r="AB10" s="4"/>
      <c r="AC10" s="4"/>
      <c r="AD10" s="4"/>
      <c r="AE10" s="4"/>
      <c r="AH10" s="31" t="s">
        <v>177</v>
      </c>
    </row>
    <row r="11" spans="1:34" x14ac:dyDescent="0.2">
      <c r="A11" s="201"/>
      <c r="B11" s="4" t="s">
        <v>34</v>
      </c>
      <c r="C11" s="4">
        <v>7</v>
      </c>
      <c r="D11" s="4" t="s">
        <v>17</v>
      </c>
      <c r="E11" s="4" t="s">
        <v>17</v>
      </c>
      <c r="F11" s="4" t="s">
        <v>18</v>
      </c>
      <c r="G11" s="4"/>
      <c r="H11" s="4"/>
      <c r="I11" s="4"/>
      <c r="J11" s="4">
        <v>30007</v>
      </c>
      <c r="K11" s="202"/>
      <c r="L11" s="4">
        <v>1</v>
      </c>
      <c r="M11" s="4">
        <v>6</v>
      </c>
      <c r="N11" s="4" t="str">
        <f>_xlfn.CONCAT("DBX",((L11-1)*2),".6")</f>
        <v>DBX0.6</v>
      </c>
      <c r="O11" s="4" t="s">
        <v>179</v>
      </c>
      <c r="P11" s="4"/>
      <c r="Q11" s="4"/>
      <c r="R11" s="4"/>
      <c r="S11" s="4"/>
      <c r="T11" s="4"/>
      <c r="U11" s="4"/>
      <c r="V11" s="4"/>
      <c r="W11" s="4" t="s">
        <v>154</v>
      </c>
      <c r="X11" s="4" t="e">
        <f t="shared" si="0"/>
        <v>#N/A</v>
      </c>
      <c r="Y11" s="4"/>
      <c r="Z11" s="4"/>
      <c r="AA11" s="4"/>
      <c r="AB11" s="4"/>
      <c r="AC11" s="4"/>
      <c r="AD11" s="4"/>
      <c r="AE11" s="4"/>
    </row>
    <row r="12" spans="1:34" x14ac:dyDescent="0.2">
      <c r="A12" s="201"/>
      <c r="B12" s="4" t="s">
        <v>34</v>
      </c>
      <c r="C12" s="4">
        <v>8</v>
      </c>
      <c r="D12" s="4" t="s">
        <v>17</v>
      </c>
      <c r="E12" s="4" t="s">
        <v>17</v>
      </c>
      <c r="F12" s="4" t="s">
        <v>18</v>
      </c>
      <c r="G12" s="4"/>
      <c r="H12" s="4"/>
      <c r="I12" s="4"/>
      <c r="J12" s="4">
        <v>30008</v>
      </c>
      <c r="K12" s="202"/>
      <c r="L12" s="4">
        <v>1</v>
      </c>
      <c r="M12" s="4">
        <v>7</v>
      </c>
      <c r="N12" s="4" t="str">
        <f>_xlfn.CONCAT("DBX",((L12-1)*2),".7")</f>
        <v>DBX0.7</v>
      </c>
      <c r="O12" s="4" t="s">
        <v>179</v>
      </c>
      <c r="P12" s="4"/>
      <c r="Q12" s="4"/>
      <c r="R12" s="4"/>
      <c r="S12" s="4"/>
      <c r="T12" s="4"/>
      <c r="U12" s="4"/>
      <c r="V12" s="4"/>
      <c r="W12" s="4" t="s">
        <v>154</v>
      </c>
      <c r="X12" s="4" t="e">
        <f t="shared" si="0"/>
        <v>#N/A</v>
      </c>
      <c r="Y12" s="4"/>
      <c r="Z12" s="4"/>
      <c r="AA12" s="4"/>
      <c r="AB12" s="4"/>
      <c r="AC12" s="4"/>
      <c r="AD12" s="4"/>
      <c r="AE12" s="4"/>
    </row>
    <row r="13" spans="1:34" x14ac:dyDescent="0.2">
      <c r="A13" s="201"/>
      <c r="B13" s="4" t="s">
        <v>104</v>
      </c>
      <c r="C13" s="4">
        <v>9</v>
      </c>
      <c r="D13" s="4" t="s">
        <v>19</v>
      </c>
      <c r="E13" s="4" t="s">
        <v>19</v>
      </c>
      <c r="F13" s="4" t="s">
        <v>20</v>
      </c>
      <c r="G13" s="4"/>
      <c r="H13" s="4"/>
      <c r="I13" s="4"/>
      <c r="J13" s="4">
        <v>30009</v>
      </c>
      <c r="K13" s="202" t="s">
        <v>11</v>
      </c>
      <c r="L13" s="4">
        <v>1</v>
      </c>
      <c r="M13" s="4">
        <v>8</v>
      </c>
      <c r="N13" s="4" t="str">
        <f>_xlfn.CONCAT("DBX",((L13-1)*2)+1,".0")</f>
        <v>DBX1.0</v>
      </c>
      <c r="O13" s="4" t="s">
        <v>179</v>
      </c>
      <c r="P13" s="4" t="s">
        <v>11</v>
      </c>
      <c r="Q13" s="4" t="s">
        <v>12</v>
      </c>
      <c r="R13" s="4"/>
      <c r="S13" s="4">
        <v>3922</v>
      </c>
      <c r="T13" s="4" t="s">
        <v>2551</v>
      </c>
      <c r="U13" s="4"/>
      <c r="V13" s="4"/>
      <c r="W13" s="4" t="s">
        <v>129</v>
      </c>
      <c r="X13" s="4">
        <f t="shared" si="0"/>
        <v>13</v>
      </c>
      <c r="Y13" s="4"/>
      <c r="Z13" s="4"/>
      <c r="AA13" s="4"/>
      <c r="AB13" s="4"/>
      <c r="AC13" s="4">
        <v>1</v>
      </c>
      <c r="AD13" s="4"/>
      <c r="AE13" s="4"/>
    </row>
    <row r="14" spans="1:34" x14ac:dyDescent="0.2">
      <c r="A14" s="201"/>
      <c r="B14" s="4" t="s">
        <v>104</v>
      </c>
      <c r="C14" s="4">
        <v>10</v>
      </c>
      <c r="D14" s="4" t="s">
        <v>13</v>
      </c>
      <c r="E14" s="4" t="s">
        <v>13</v>
      </c>
      <c r="F14" s="4" t="s">
        <v>14</v>
      </c>
      <c r="G14" s="4"/>
      <c r="H14" s="4"/>
      <c r="I14" s="4"/>
      <c r="J14" s="4">
        <v>30010</v>
      </c>
      <c r="K14" s="202" t="s">
        <v>98</v>
      </c>
      <c r="L14" s="4">
        <v>1</v>
      </c>
      <c r="M14" s="4">
        <v>9</v>
      </c>
      <c r="N14" s="4" t="str">
        <f>_xlfn.CONCAT("DBX",((L14-1)*2)+1,".1")</f>
        <v>DBX1.1</v>
      </c>
      <c r="O14" s="4" t="s">
        <v>179</v>
      </c>
      <c r="P14" s="4" t="s">
        <v>98</v>
      </c>
      <c r="Q14" s="4" t="s">
        <v>12</v>
      </c>
      <c r="R14" s="4"/>
      <c r="S14" s="4">
        <v>3922</v>
      </c>
      <c r="T14" s="4" t="s">
        <v>2551</v>
      </c>
      <c r="U14" s="4"/>
      <c r="V14" s="4"/>
      <c r="W14" s="4" t="s">
        <v>129</v>
      </c>
      <c r="X14" s="4">
        <f t="shared" si="0"/>
        <v>13</v>
      </c>
      <c r="Y14" s="4"/>
      <c r="Z14" s="4"/>
      <c r="AA14" s="4"/>
      <c r="AB14" s="4"/>
      <c r="AC14" s="4">
        <v>1</v>
      </c>
      <c r="AD14" s="4"/>
      <c r="AE14" s="4"/>
    </row>
    <row r="15" spans="1:34" x14ac:dyDescent="0.2">
      <c r="A15" s="201"/>
      <c r="B15" s="4" t="s">
        <v>104</v>
      </c>
      <c r="C15" s="4">
        <v>11</v>
      </c>
      <c r="D15" s="4" t="s">
        <v>21</v>
      </c>
      <c r="E15" s="4" t="s">
        <v>21</v>
      </c>
      <c r="F15" s="4" t="s">
        <v>22</v>
      </c>
      <c r="G15" s="4"/>
      <c r="H15" s="4"/>
      <c r="I15" s="4"/>
      <c r="J15" s="4">
        <v>30011</v>
      </c>
      <c r="K15" s="202" t="s">
        <v>98</v>
      </c>
      <c r="L15" s="4">
        <v>1</v>
      </c>
      <c r="M15" s="4">
        <v>10</v>
      </c>
      <c r="N15" s="4" t="str">
        <f>_xlfn.CONCAT("DBX",((L15-1)*2)+1,".2")</f>
        <v>DBX1.2</v>
      </c>
      <c r="O15" s="4" t="s">
        <v>179</v>
      </c>
      <c r="P15" s="4" t="s">
        <v>98</v>
      </c>
      <c r="Q15" s="4" t="s">
        <v>12</v>
      </c>
      <c r="R15" s="4"/>
      <c r="S15" s="4">
        <v>3922</v>
      </c>
      <c r="T15" s="4" t="s">
        <v>2551</v>
      </c>
      <c r="U15" s="4"/>
      <c r="V15" s="4"/>
      <c r="W15" s="4" t="s">
        <v>129</v>
      </c>
      <c r="X15" s="4">
        <f t="shared" si="0"/>
        <v>13</v>
      </c>
      <c r="Y15" s="4"/>
      <c r="Z15" s="4"/>
      <c r="AA15" s="4"/>
      <c r="AB15" s="4"/>
      <c r="AC15" s="4">
        <v>1</v>
      </c>
      <c r="AD15" s="4"/>
      <c r="AE15" s="4"/>
    </row>
    <row r="16" spans="1:34" x14ac:dyDescent="0.2">
      <c r="A16" s="201"/>
      <c r="B16" s="4" t="s">
        <v>104</v>
      </c>
      <c r="C16" s="4">
        <v>12</v>
      </c>
      <c r="D16" s="4" t="s">
        <v>23</v>
      </c>
      <c r="E16" s="4" t="s">
        <v>23</v>
      </c>
      <c r="F16" s="4" t="s">
        <v>24</v>
      </c>
      <c r="G16" s="4"/>
      <c r="H16" s="4"/>
      <c r="I16" s="4"/>
      <c r="J16" s="4">
        <v>30012</v>
      </c>
      <c r="K16" s="202" t="s">
        <v>98</v>
      </c>
      <c r="L16" s="4">
        <v>1</v>
      </c>
      <c r="M16" s="4">
        <v>11</v>
      </c>
      <c r="N16" s="4" t="str">
        <f>_xlfn.CONCAT("DBX",((L16-1)*2)+1,".3")</f>
        <v>DBX1.3</v>
      </c>
      <c r="O16" s="4" t="s">
        <v>179</v>
      </c>
      <c r="P16" s="4" t="s">
        <v>98</v>
      </c>
      <c r="Q16" s="4" t="s">
        <v>12</v>
      </c>
      <c r="R16" s="4"/>
      <c r="S16" s="4">
        <v>3922</v>
      </c>
      <c r="T16" s="4" t="s">
        <v>2551</v>
      </c>
      <c r="U16" s="4"/>
      <c r="V16" s="4"/>
      <c r="W16" s="4" t="s">
        <v>129</v>
      </c>
      <c r="X16" s="4">
        <f t="shared" si="0"/>
        <v>13</v>
      </c>
      <c r="Y16" s="4"/>
      <c r="Z16" s="4"/>
      <c r="AA16" s="4"/>
      <c r="AB16" s="4"/>
      <c r="AC16" s="4">
        <v>1</v>
      </c>
      <c r="AD16" s="4"/>
      <c r="AE16" s="4"/>
    </row>
    <row r="17" spans="1:31" x14ac:dyDescent="0.2">
      <c r="A17" s="201"/>
      <c r="B17" s="4" t="s">
        <v>104</v>
      </c>
      <c r="C17" s="4">
        <v>13</v>
      </c>
      <c r="D17" s="4" t="s">
        <v>25</v>
      </c>
      <c r="E17" s="4" t="s">
        <v>25</v>
      </c>
      <c r="F17" s="4" t="s">
        <v>26</v>
      </c>
      <c r="G17" s="4"/>
      <c r="H17" s="4"/>
      <c r="I17" s="4"/>
      <c r="J17" s="4">
        <v>30013</v>
      </c>
      <c r="K17" s="202" t="s">
        <v>98</v>
      </c>
      <c r="L17" s="4">
        <v>1</v>
      </c>
      <c r="M17" s="4">
        <v>12</v>
      </c>
      <c r="N17" s="4" t="str">
        <f>_xlfn.CONCAT("DBX",((L17-1)*2)+1,".4")</f>
        <v>DBX1.4</v>
      </c>
      <c r="O17" s="4" t="s">
        <v>179</v>
      </c>
      <c r="P17" s="4" t="s">
        <v>98</v>
      </c>
      <c r="Q17" s="4" t="s">
        <v>12</v>
      </c>
      <c r="R17" s="4"/>
      <c r="S17" s="4">
        <v>3922</v>
      </c>
      <c r="T17" s="4" t="s">
        <v>2551</v>
      </c>
      <c r="U17" s="4"/>
      <c r="V17" s="4"/>
      <c r="W17" s="4" t="s">
        <v>129</v>
      </c>
      <c r="X17" s="4">
        <f t="shared" si="0"/>
        <v>13</v>
      </c>
      <c r="Y17" s="4"/>
      <c r="Z17" s="4"/>
      <c r="AA17" s="4"/>
      <c r="AB17" s="4"/>
      <c r="AC17" s="4">
        <v>1</v>
      </c>
      <c r="AD17" s="4"/>
      <c r="AE17" s="4"/>
    </row>
    <row r="18" spans="1:31" x14ac:dyDescent="0.2">
      <c r="A18" s="201"/>
      <c r="B18" s="4" t="s">
        <v>104</v>
      </c>
      <c r="C18" s="4">
        <v>14</v>
      </c>
      <c r="D18" s="4" t="s">
        <v>27</v>
      </c>
      <c r="E18" s="4" t="s">
        <v>27</v>
      </c>
      <c r="F18" s="4" t="s">
        <v>28</v>
      </c>
      <c r="G18" s="4"/>
      <c r="H18" s="4"/>
      <c r="I18" s="4"/>
      <c r="J18" s="4">
        <v>30014</v>
      </c>
      <c r="K18" s="202" t="s">
        <v>98</v>
      </c>
      <c r="L18" s="4">
        <v>1</v>
      </c>
      <c r="M18" s="4">
        <v>13</v>
      </c>
      <c r="N18" s="4" t="str">
        <f>_xlfn.CONCAT("DBX",((L18-1)*2)+1,".5")</f>
        <v>DBX1.5</v>
      </c>
      <c r="O18" s="4" t="s">
        <v>179</v>
      </c>
      <c r="P18" s="4" t="s">
        <v>98</v>
      </c>
      <c r="Q18" s="4" t="s">
        <v>12</v>
      </c>
      <c r="R18" s="4"/>
      <c r="S18" s="4">
        <v>3922</v>
      </c>
      <c r="T18" s="4" t="s">
        <v>2551</v>
      </c>
      <c r="U18" s="4"/>
      <c r="V18" s="4"/>
      <c r="W18" s="4" t="s">
        <v>129</v>
      </c>
      <c r="X18" s="4">
        <f t="shared" si="0"/>
        <v>13</v>
      </c>
      <c r="Y18" s="4"/>
      <c r="Z18" s="4"/>
      <c r="AA18" s="4"/>
      <c r="AB18" s="4"/>
      <c r="AC18" s="4">
        <v>1</v>
      </c>
      <c r="AD18" s="4"/>
      <c r="AE18" s="4"/>
    </row>
    <row r="19" spans="1:31" x14ac:dyDescent="0.2">
      <c r="A19" s="201"/>
      <c r="B19" s="4" t="s">
        <v>104</v>
      </c>
      <c r="C19" s="4">
        <v>15</v>
      </c>
      <c r="D19" s="4" t="s">
        <v>29</v>
      </c>
      <c r="E19" s="4" t="s">
        <v>29</v>
      </c>
      <c r="F19" s="4" t="s">
        <v>30</v>
      </c>
      <c r="G19" s="4"/>
      <c r="H19" s="4"/>
      <c r="I19" s="4"/>
      <c r="J19" s="4">
        <v>30015</v>
      </c>
      <c r="K19" s="202" t="s">
        <v>98</v>
      </c>
      <c r="L19" s="4">
        <v>1</v>
      </c>
      <c r="M19" s="4">
        <v>14</v>
      </c>
      <c r="N19" s="4" t="str">
        <f>_xlfn.CONCAT("DBX",((L19-1)*2)+1,".6")</f>
        <v>DBX1.6</v>
      </c>
      <c r="O19" s="4" t="s">
        <v>179</v>
      </c>
      <c r="P19" s="4" t="s">
        <v>98</v>
      </c>
      <c r="Q19" s="4" t="s">
        <v>12</v>
      </c>
      <c r="R19" s="4"/>
      <c r="S19" s="4">
        <v>3922</v>
      </c>
      <c r="T19" s="4" t="s">
        <v>2551</v>
      </c>
      <c r="U19" s="4"/>
      <c r="V19" s="4"/>
      <c r="W19" s="4" t="s">
        <v>129</v>
      </c>
      <c r="X19" s="4">
        <f t="shared" si="0"/>
        <v>13</v>
      </c>
      <c r="Y19" s="4"/>
      <c r="Z19" s="4"/>
      <c r="AA19" s="4"/>
      <c r="AB19" s="4"/>
      <c r="AC19" s="4">
        <v>1</v>
      </c>
      <c r="AD19" s="4"/>
      <c r="AE19" s="4"/>
    </row>
    <row r="20" spans="1:31" x14ac:dyDescent="0.2">
      <c r="A20" s="201"/>
      <c r="B20" s="4" t="s">
        <v>104</v>
      </c>
      <c r="C20" s="4">
        <v>16</v>
      </c>
      <c r="D20" s="4" t="s">
        <v>31</v>
      </c>
      <c r="E20" s="4" t="s">
        <v>31</v>
      </c>
      <c r="F20" s="4" t="s">
        <v>32</v>
      </c>
      <c r="G20" s="4"/>
      <c r="H20" s="4"/>
      <c r="I20" s="4"/>
      <c r="J20" s="4">
        <v>30016</v>
      </c>
      <c r="K20" s="202" t="s">
        <v>98</v>
      </c>
      <c r="L20" s="4">
        <v>1</v>
      </c>
      <c r="M20" s="4">
        <v>15</v>
      </c>
      <c r="N20" s="4" t="str">
        <f>_xlfn.CONCAT("DBX",((L20-1)*2)+1,".7")</f>
        <v>DBX1.7</v>
      </c>
      <c r="O20" s="4" t="s">
        <v>179</v>
      </c>
      <c r="P20" s="4" t="s">
        <v>98</v>
      </c>
      <c r="Q20" s="4" t="s">
        <v>12</v>
      </c>
      <c r="R20" s="4"/>
      <c r="S20" s="4">
        <v>3922</v>
      </c>
      <c r="T20" s="4" t="s">
        <v>2551</v>
      </c>
      <c r="U20" s="4"/>
      <c r="V20" s="4"/>
      <c r="W20" s="4" t="s">
        <v>129</v>
      </c>
      <c r="X20" s="4">
        <f t="shared" si="0"/>
        <v>13</v>
      </c>
      <c r="Y20" s="4"/>
      <c r="Z20" s="4"/>
      <c r="AA20" s="4"/>
      <c r="AB20" s="4"/>
      <c r="AC20" s="4">
        <v>1</v>
      </c>
      <c r="AD20" s="4"/>
      <c r="AE20" s="4"/>
    </row>
    <row r="21" spans="1:31" x14ac:dyDescent="0.2">
      <c r="A21" s="201"/>
      <c r="B21" s="4" t="s">
        <v>104</v>
      </c>
      <c r="C21" s="4">
        <v>17</v>
      </c>
      <c r="D21" s="4" t="s">
        <v>161</v>
      </c>
      <c r="E21" s="4" t="s">
        <v>161</v>
      </c>
      <c r="F21" s="4" t="s">
        <v>162</v>
      </c>
      <c r="G21" s="4" t="s">
        <v>40</v>
      </c>
      <c r="H21" s="4" t="s">
        <v>41</v>
      </c>
      <c r="I21" s="4" t="s">
        <v>40</v>
      </c>
      <c r="J21" s="4">
        <v>30017</v>
      </c>
      <c r="K21" s="202" t="s">
        <v>98</v>
      </c>
      <c r="L21" s="4">
        <v>2</v>
      </c>
      <c r="M21" s="4">
        <v>0</v>
      </c>
      <c r="N21" s="4" t="str">
        <f>_xlfn.CONCAT("DBX",((L21-1)*2),".0")</f>
        <v>DBX2.0</v>
      </c>
      <c r="O21" s="4" t="s">
        <v>179</v>
      </c>
      <c r="P21" s="4" t="s">
        <v>98</v>
      </c>
      <c r="Q21" s="4" t="s">
        <v>33</v>
      </c>
      <c r="R21" s="4"/>
      <c r="S21" s="4">
        <v>3922</v>
      </c>
      <c r="T21" s="4" t="s">
        <v>2551</v>
      </c>
      <c r="U21" s="4"/>
      <c r="V21" s="4"/>
      <c r="W21" s="4" t="s">
        <v>129</v>
      </c>
      <c r="X21" s="4">
        <f t="shared" si="0"/>
        <v>13</v>
      </c>
      <c r="Y21" s="4"/>
      <c r="Z21" s="4"/>
      <c r="AA21" s="4"/>
      <c r="AB21" s="4"/>
      <c r="AC21" s="4">
        <v>0</v>
      </c>
      <c r="AD21" s="4"/>
      <c r="AE21" s="4"/>
    </row>
    <row r="22" spans="1:31" x14ac:dyDescent="0.2">
      <c r="A22" s="201"/>
      <c r="B22" s="4" t="s">
        <v>34</v>
      </c>
      <c r="C22" s="4">
        <v>18</v>
      </c>
      <c r="D22" s="4" t="s">
        <v>17</v>
      </c>
      <c r="E22" s="4" t="s">
        <v>17</v>
      </c>
      <c r="F22" s="4" t="s">
        <v>35</v>
      </c>
      <c r="G22" s="4"/>
      <c r="H22" s="4"/>
      <c r="I22" s="4"/>
      <c r="J22" s="4">
        <v>30018</v>
      </c>
      <c r="K22" s="202"/>
      <c r="L22" s="4">
        <v>2</v>
      </c>
      <c r="M22" s="4">
        <v>1</v>
      </c>
      <c r="N22" s="4" t="str">
        <f>_xlfn.CONCAT("DBX",((L22-1)*2),".1")</f>
        <v>DBX2.1</v>
      </c>
      <c r="O22" s="4" t="s">
        <v>179</v>
      </c>
      <c r="P22" s="4"/>
      <c r="Q22" s="4"/>
      <c r="R22" s="4"/>
      <c r="S22" s="4"/>
      <c r="T22" s="4"/>
      <c r="U22" s="4"/>
      <c r="V22" s="4"/>
      <c r="W22" s="4" t="s">
        <v>154</v>
      </c>
      <c r="X22" s="4" t="e">
        <f t="shared" si="0"/>
        <v>#N/A</v>
      </c>
      <c r="Y22" s="4"/>
      <c r="Z22" s="4"/>
      <c r="AA22" s="4"/>
      <c r="AB22" s="4"/>
      <c r="AC22" s="4"/>
      <c r="AD22" s="4"/>
      <c r="AE22" s="4"/>
    </row>
    <row r="23" spans="1:31" x14ac:dyDescent="0.2">
      <c r="A23" s="201"/>
      <c r="B23" s="4" t="s">
        <v>34</v>
      </c>
      <c r="C23" s="4">
        <v>19</v>
      </c>
      <c r="D23" s="4" t="s">
        <v>17</v>
      </c>
      <c r="E23" s="4" t="s">
        <v>17</v>
      </c>
      <c r="F23" s="4" t="s">
        <v>35</v>
      </c>
      <c r="G23" s="4"/>
      <c r="H23" s="4"/>
      <c r="I23" s="4"/>
      <c r="J23" s="4">
        <v>30019</v>
      </c>
      <c r="K23" s="202"/>
      <c r="L23" s="4">
        <v>2</v>
      </c>
      <c r="M23" s="4">
        <v>2</v>
      </c>
      <c r="N23" s="4" t="str">
        <f>_xlfn.CONCAT("DBX",((L23-1)*2),".2")</f>
        <v>DBX2.2</v>
      </c>
      <c r="O23" s="4" t="s">
        <v>179</v>
      </c>
      <c r="P23" s="4"/>
      <c r="Q23" s="4"/>
      <c r="R23" s="4"/>
      <c r="S23" s="4"/>
      <c r="T23" s="4"/>
      <c r="U23" s="4"/>
      <c r="V23" s="4"/>
      <c r="W23" s="4" t="s">
        <v>154</v>
      </c>
      <c r="X23" s="4" t="e">
        <f t="shared" si="0"/>
        <v>#N/A</v>
      </c>
      <c r="Y23" s="4"/>
      <c r="Z23" s="4"/>
      <c r="AA23" s="4"/>
      <c r="AB23" s="4"/>
      <c r="AC23" s="4"/>
      <c r="AD23" s="4"/>
      <c r="AE23" s="4"/>
    </row>
    <row r="24" spans="1:31" x14ac:dyDescent="0.2">
      <c r="A24" s="201"/>
      <c r="B24" s="4" t="s">
        <v>34</v>
      </c>
      <c r="C24" s="4">
        <v>20</v>
      </c>
      <c r="D24" s="4" t="s">
        <v>17</v>
      </c>
      <c r="E24" s="4" t="s">
        <v>17</v>
      </c>
      <c r="F24" s="4" t="s">
        <v>35</v>
      </c>
      <c r="G24" s="4"/>
      <c r="H24" s="4"/>
      <c r="I24" s="4"/>
      <c r="J24" s="4">
        <v>30020</v>
      </c>
      <c r="K24" s="202"/>
      <c r="L24" s="4">
        <v>2</v>
      </c>
      <c r="M24" s="4">
        <v>3</v>
      </c>
      <c r="N24" s="4" t="str">
        <f>_xlfn.CONCAT("DBX",((L24-1)*2),".3")</f>
        <v>DBX2.3</v>
      </c>
      <c r="O24" s="4" t="s">
        <v>179</v>
      </c>
      <c r="P24" s="4"/>
      <c r="Q24" s="4"/>
      <c r="R24" s="4"/>
      <c r="S24" s="4"/>
      <c r="T24" s="4"/>
      <c r="U24" s="4"/>
      <c r="V24" s="4"/>
      <c r="W24" s="4" t="s">
        <v>154</v>
      </c>
      <c r="X24" s="4" t="e">
        <f t="shared" si="0"/>
        <v>#N/A</v>
      </c>
      <c r="Y24" s="4"/>
      <c r="Z24" s="4"/>
      <c r="AA24" s="4"/>
      <c r="AB24" s="4"/>
      <c r="AC24" s="4"/>
      <c r="AD24" s="4"/>
      <c r="AE24" s="4"/>
    </row>
    <row r="25" spans="1:31" x14ac:dyDescent="0.2">
      <c r="A25" s="201"/>
      <c r="B25" s="4" t="s">
        <v>34</v>
      </c>
      <c r="C25" s="4">
        <v>21</v>
      </c>
      <c r="D25" s="4" t="s">
        <v>17</v>
      </c>
      <c r="E25" s="4" t="s">
        <v>17</v>
      </c>
      <c r="F25" s="4" t="s">
        <v>35</v>
      </c>
      <c r="G25" s="4"/>
      <c r="H25" s="4"/>
      <c r="I25" s="4"/>
      <c r="J25" s="4">
        <v>30021</v>
      </c>
      <c r="K25" s="202"/>
      <c r="L25" s="4">
        <v>2</v>
      </c>
      <c r="M25" s="4">
        <v>4</v>
      </c>
      <c r="N25" s="4" t="str">
        <f>_xlfn.CONCAT("DBX",((L25-1)*2),".4")</f>
        <v>DBX2.4</v>
      </c>
      <c r="O25" s="4" t="s">
        <v>179</v>
      </c>
      <c r="P25" s="4"/>
      <c r="Q25" s="4"/>
      <c r="R25" s="4"/>
      <c r="S25" s="4"/>
      <c r="T25" s="4"/>
      <c r="U25" s="4"/>
      <c r="V25" s="4"/>
      <c r="W25" s="4" t="s">
        <v>154</v>
      </c>
      <c r="X25" s="4" t="e">
        <f t="shared" si="0"/>
        <v>#N/A</v>
      </c>
      <c r="Y25" s="4"/>
      <c r="Z25" s="4"/>
      <c r="AA25" s="4"/>
      <c r="AB25" s="4"/>
      <c r="AC25" s="4"/>
      <c r="AD25" s="4"/>
      <c r="AE25" s="4"/>
    </row>
    <row r="26" spans="1:31" x14ac:dyDescent="0.2">
      <c r="A26" s="201"/>
      <c r="B26" s="4" t="s">
        <v>34</v>
      </c>
      <c r="C26" s="4">
        <v>22</v>
      </c>
      <c r="D26" s="4" t="s">
        <v>17</v>
      </c>
      <c r="E26" s="4" t="s">
        <v>17</v>
      </c>
      <c r="F26" s="4" t="s">
        <v>35</v>
      </c>
      <c r="G26" s="4"/>
      <c r="H26" s="4"/>
      <c r="I26" s="4"/>
      <c r="J26" s="4">
        <v>30022</v>
      </c>
      <c r="K26" s="202"/>
      <c r="L26" s="4">
        <v>2</v>
      </c>
      <c r="M26" s="4">
        <v>5</v>
      </c>
      <c r="N26" s="4" t="str">
        <f>_xlfn.CONCAT("DBX",((L26-1)*2),".5")</f>
        <v>DBX2.5</v>
      </c>
      <c r="O26" s="4" t="s">
        <v>179</v>
      </c>
      <c r="P26" s="4"/>
      <c r="Q26" s="4"/>
      <c r="R26" s="4"/>
      <c r="S26" s="4"/>
      <c r="T26" s="4"/>
      <c r="U26" s="4"/>
      <c r="V26" s="4"/>
      <c r="W26" s="4" t="s">
        <v>154</v>
      </c>
      <c r="X26" s="4" t="e">
        <f t="shared" si="0"/>
        <v>#N/A</v>
      </c>
      <c r="Y26" s="4"/>
      <c r="Z26" s="4"/>
      <c r="AA26" s="4"/>
      <c r="AB26" s="4"/>
      <c r="AC26" s="4"/>
      <c r="AD26" s="4"/>
      <c r="AE26" s="4"/>
    </row>
    <row r="27" spans="1:31" x14ac:dyDescent="0.2">
      <c r="A27" s="201"/>
      <c r="B27" s="4" t="s">
        <v>34</v>
      </c>
      <c r="C27" s="4">
        <v>23</v>
      </c>
      <c r="D27" s="4" t="s">
        <v>17</v>
      </c>
      <c r="E27" s="4" t="s">
        <v>17</v>
      </c>
      <c r="F27" s="4" t="s">
        <v>35</v>
      </c>
      <c r="G27" s="4"/>
      <c r="H27" s="4"/>
      <c r="I27" s="4"/>
      <c r="J27" s="4">
        <v>30023</v>
      </c>
      <c r="K27" s="202"/>
      <c r="L27" s="4">
        <v>2</v>
      </c>
      <c r="M27" s="4">
        <v>6</v>
      </c>
      <c r="N27" s="4" t="str">
        <f>_xlfn.CONCAT("DBX",((L27-1)*2),".6")</f>
        <v>DBX2.6</v>
      </c>
      <c r="O27" s="4" t="s">
        <v>179</v>
      </c>
      <c r="P27" s="4"/>
      <c r="Q27" s="4"/>
      <c r="R27" s="4"/>
      <c r="S27" s="4"/>
      <c r="T27" s="4"/>
      <c r="U27" s="4"/>
      <c r="V27" s="4"/>
      <c r="W27" s="4" t="s">
        <v>154</v>
      </c>
      <c r="X27" s="4" t="e">
        <f t="shared" si="0"/>
        <v>#N/A</v>
      </c>
      <c r="Y27" s="4"/>
      <c r="Z27" s="4"/>
      <c r="AA27" s="4"/>
      <c r="AB27" s="4"/>
      <c r="AC27" s="4"/>
      <c r="AD27" s="4"/>
      <c r="AE27" s="4"/>
    </row>
    <row r="28" spans="1:31" x14ac:dyDescent="0.2">
      <c r="A28" s="201"/>
      <c r="B28" s="4" t="s">
        <v>34</v>
      </c>
      <c r="C28" s="4">
        <v>24</v>
      </c>
      <c r="D28" s="4" t="s">
        <v>17</v>
      </c>
      <c r="E28" s="4" t="s">
        <v>17</v>
      </c>
      <c r="F28" s="4" t="s">
        <v>35</v>
      </c>
      <c r="G28" s="4"/>
      <c r="H28" s="4"/>
      <c r="I28" s="4"/>
      <c r="J28" s="4">
        <v>30024</v>
      </c>
      <c r="K28" s="202"/>
      <c r="L28" s="4">
        <v>2</v>
      </c>
      <c r="M28" s="4">
        <v>7</v>
      </c>
      <c r="N28" s="4" t="str">
        <f>_xlfn.CONCAT("DBX",((L28-1)*2),".7")</f>
        <v>DBX2.7</v>
      </c>
      <c r="O28" s="4" t="s">
        <v>179</v>
      </c>
      <c r="P28" s="4"/>
      <c r="Q28" s="4"/>
      <c r="T28" s="4"/>
      <c r="U28" s="4"/>
      <c r="V28" s="4"/>
      <c r="W28" s="4" t="s">
        <v>154</v>
      </c>
      <c r="X28" s="4" t="e">
        <f t="shared" si="0"/>
        <v>#N/A</v>
      </c>
      <c r="Y28" s="4"/>
      <c r="Z28" s="4"/>
      <c r="AA28" s="4"/>
      <c r="AB28" s="4"/>
      <c r="AC28" s="4"/>
      <c r="AD28" s="4"/>
      <c r="AE28" s="4"/>
    </row>
    <row r="29" spans="1:31" x14ac:dyDescent="0.2">
      <c r="A29" s="201"/>
      <c r="B29" s="4" t="s">
        <v>104</v>
      </c>
      <c r="C29" s="4">
        <v>25</v>
      </c>
      <c r="D29" s="4" t="s">
        <v>2223</v>
      </c>
      <c r="E29" s="4" t="s">
        <v>2223</v>
      </c>
      <c r="F29" s="4" t="s">
        <v>2225</v>
      </c>
      <c r="G29" s="4"/>
      <c r="H29" s="4"/>
      <c r="I29" s="4"/>
      <c r="J29" s="4">
        <v>30025</v>
      </c>
      <c r="K29" s="202" t="s">
        <v>11</v>
      </c>
      <c r="L29" s="4">
        <v>2</v>
      </c>
      <c r="M29" s="4">
        <v>8</v>
      </c>
      <c r="N29" s="4" t="str">
        <f>_xlfn.CONCAT("DBX",((L29-1)*2)+1,".0")</f>
        <v>DBX3.0</v>
      </c>
      <c r="O29" s="4" t="s">
        <v>179</v>
      </c>
      <c r="P29" s="4" t="s">
        <v>11</v>
      </c>
      <c r="Q29" s="4" t="s">
        <v>33</v>
      </c>
      <c r="R29" s="4"/>
      <c r="S29" s="4">
        <v>3922</v>
      </c>
      <c r="T29" s="4" t="s">
        <v>2551</v>
      </c>
      <c r="U29" s="4"/>
      <c r="V29" s="4"/>
      <c r="W29" s="4" t="s">
        <v>129</v>
      </c>
      <c r="X29" s="4">
        <f t="shared" si="0"/>
        <v>13</v>
      </c>
      <c r="Y29" s="4"/>
      <c r="Z29" s="4"/>
      <c r="AA29" s="4"/>
      <c r="AB29" s="4"/>
      <c r="AC29" s="4">
        <v>0</v>
      </c>
      <c r="AD29" s="4"/>
      <c r="AE29" s="4"/>
    </row>
    <row r="30" spans="1:31" x14ac:dyDescent="0.2">
      <c r="A30" s="201"/>
      <c r="B30" s="4" t="s">
        <v>104</v>
      </c>
      <c r="C30" s="4">
        <v>26</v>
      </c>
      <c r="D30" s="4" t="s">
        <v>2224</v>
      </c>
      <c r="E30" s="4" t="s">
        <v>2224</v>
      </c>
      <c r="F30" s="4" t="s">
        <v>2226</v>
      </c>
      <c r="G30" s="4"/>
      <c r="H30" s="4"/>
      <c r="I30" s="4"/>
      <c r="J30" s="4">
        <v>30026</v>
      </c>
      <c r="K30" s="202" t="s">
        <v>11</v>
      </c>
      <c r="L30" s="4">
        <v>2</v>
      </c>
      <c r="M30" s="4">
        <v>9</v>
      </c>
      <c r="N30" s="4" t="str">
        <f>_xlfn.CONCAT("DBX",((L30-1)*2)+1,".1")</f>
        <v>DBX3.1</v>
      </c>
      <c r="O30" s="4" t="s">
        <v>179</v>
      </c>
      <c r="P30" s="4" t="s">
        <v>11</v>
      </c>
      <c r="Q30" s="4" t="s">
        <v>33</v>
      </c>
      <c r="R30" s="4"/>
      <c r="S30" s="4">
        <v>3922</v>
      </c>
      <c r="T30" s="4" t="s">
        <v>2551</v>
      </c>
      <c r="U30" s="4"/>
      <c r="V30" s="4"/>
      <c r="W30" s="4" t="s">
        <v>129</v>
      </c>
      <c r="X30" s="4">
        <f t="shared" si="0"/>
        <v>13</v>
      </c>
      <c r="Y30" s="4"/>
      <c r="Z30" s="4"/>
      <c r="AA30" s="4"/>
      <c r="AB30" s="4"/>
      <c r="AC30" s="4">
        <v>0</v>
      </c>
      <c r="AD30" s="4"/>
      <c r="AE30" s="4"/>
    </row>
    <row r="31" spans="1:31" x14ac:dyDescent="0.2">
      <c r="A31" s="201"/>
      <c r="B31" s="4" t="s">
        <v>104</v>
      </c>
      <c r="C31" s="4">
        <v>27</v>
      </c>
      <c r="D31" s="4" t="s">
        <v>248</v>
      </c>
      <c r="E31" s="4" t="s">
        <v>248</v>
      </c>
      <c r="F31" s="4" t="s">
        <v>249</v>
      </c>
      <c r="G31" s="4"/>
      <c r="H31" s="4"/>
      <c r="I31" s="4"/>
      <c r="J31" s="4">
        <v>30027</v>
      </c>
      <c r="K31" s="202" t="s">
        <v>11</v>
      </c>
      <c r="L31" s="4">
        <v>2</v>
      </c>
      <c r="M31" s="4">
        <v>10</v>
      </c>
      <c r="N31" s="4" t="str">
        <f>_xlfn.CONCAT("DBX",((L31-1)*2)+1,".2")</f>
        <v>DBX3.2</v>
      </c>
      <c r="O31" s="4" t="s">
        <v>179</v>
      </c>
      <c r="P31" s="4" t="s">
        <v>11</v>
      </c>
      <c r="Q31" s="4" t="s">
        <v>12</v>
      </c>
      <c r="R31" s="4"/>
      <c r="S31" s="4">
        <v>3922</v>
      </c>
      <c r="T31" s="4" t="s">
        <v>2551</v>
      </c>
      <c r="U31" s="4"/>
      <c r="V31" s="4"/>
      <c r="W31" s="4" t="s">
        <v>129</v>
      </c>
      <c r="X31" s="4">
        <f t="shared" si="0"/>
        <v>13</v>
      </c>
      <c r="Y31" s="4"/>
      <c r="Z31" s="4"/>
      <c r="AA31" s="4"/>
      <c r="AB31" s="4"/>
      <c r="AC31" s="4">
        <v>1</v>
      </c>
      <c r="AD31" s="4"/>
      <c r="AE31" s="4"/>
    </row>
    <row r="32" spans="1:31" x14ac:dyDescent="0.2">
      <c r="A32" s="201"/>
      <c r="B32" s="4" t="s">
        <v>104</v>
      </c>
      <c r="C32" s="4">
        <v>28</v>
      </c>
      <c r="D32" s="4" t="s">
        <v>253</v>
      </c>
      <c r="E32" s="4" t="s">
        <v>253</v>
      </c>
      <c r="F32" s="4" t="s">
        <v>254</v>
      </c>
      <c r="G32" s="4"/>
      <c r="H32" s="4"/>
      <c r="I32" s="4"/>
      <c r="J32" s="4">
        <v>30028</v>
      </c>
      <c r="K32" s="202" t="s">
        <v>11</v>
      </c>
      <c r="L32" s="4">
        <v>2</v>
      </c>
      <c r="M32" s="4">
        <v>11</v>
      </c>
      <c r="N32" s="4" t="str">
        <f>_xlfn.CONCAT("DBX",((L32-1)*2)+1,".3")</f>
        <v>DBX3.3</v>
      </c>
      <c r="O32" s="4" t="s">
        <v>179</v>
      </c>
      <c r="P32" s="4" t="s">
        <v>11</v>
      </c>
      <c r="Q32" s="4" t="s">
        <v>91</v>
      </c>
      <c r="R32" s="4"/>
      <c r="S32" s="4">
        <v>3922</v>
      </c>
      <c r="T32" s="4" t="s">
        <v>2551</v>
      </c>
      <c r="U32" s="4"/>
      <c r="V32" s="4"/>
      <c r="W32" s="4" t="s">
        <v>129</v>
      </c>
      <c r="X32" s="4">
        <f t="shared" si="0"/>
        <v>13</v>
      </c>
      <c r="Y32" s="4"/>
      <c r="Z32" s="4"/>
      <c r="AA32" s="4"/>
      <c r="AB32" s="4"/>
      <c r="AC32" s="4">
        <v>1</v>
      </c>
      <c r="AD32" s="4"/>
      <c r="AE32" s="4"/>
    </row>
    <row r="33" spans="1:31" x14ac:dyDescent="0.2">
      <c r="A33" s="201"/>
      <c r="B33" s="4" t="s">
        <v>34</v>
      </c>
      <c r="C33" s="4">
        <v>29</v>
      </c>
      <c r="D33" s="4" t="s">
        <v>17</v>
      </c>
      <c r="E33" s="4" t="s">
        <v>170</v>
      </c>
      <c r="F33" s="4" t="s">
        <v>170</v>
      </c>
      <c r="G33" s="4"/>
      <c r="H33" s="4"/>
      <c r="I33" s="4"/>
      <c r="J33" s="4">
        <v>30029</v>
      </c>
      <c r="K33" s="202" t="s">
        <v>11</v>
      </c>
      <c r="L33" s="4">
        <v>2</v>
      </c>
      <c r="M33" s="4">
        <v>12</v>
      </c>
      <c r="N33" s="4" t="str">
        <f>_xlfn.CONCAT("DBX",((L33-1)*2)+1,".4")</f>
        <v>DBX3.4</v>
      </c>
      <c r="O33" s="4" t="s">
        <v>179</v>
      </c>
      <c r="P33" s="4" t="s">
        <v>11</v>
      </c>
      <c r="Q33" s="4"/>
      <c r="R33" s="4"/>
      <c r="S33" s="4"/>
      <c r="T33" s="4"/>
      <c r="U33" s="4"/>
      <c r="V33" s="4"/>
      <c r="W33" s="4" t="s">
        <v>129</v>
      </c>
      <c r="X33" s="4">
        <f t="shared" si="0"/>
        <v>13</v>
      </c>
      <c r="Y33" s="4"/>
      <c r="Z33" s="4"/>
      <c r="AA33" s="4"/>
      <c r="AB33" s="4"/>
      <c r="AC33" s="4"/>
      <c r="AD33" s="4"/>
      <c r="AE33" s="4"/>
    </row>
    <row r="34" spans="1:31" x14ac:dyDescent="0.2">
      <c r="A34" s="201"/>
      <c r="B34" s="4" t="s">
        <v>34</v>
      </c>
      <c r="C34" s="4">
        <v>30</v>
      </c>
      <c r="D34" s="4" t="s">
        <v>17</v>
      </c>
      <c r="E34" s="4" t="s">
        <v>171</v>
      </c>
      <c r="F34" s="4" t="s">
        <v>171</v>
      </c>
      <c r="G34" s="4"/>
      <c r="H34" s="4"/>
      <c r="I34" s="4"/>
      <c r="J34" s="4">
        <v>30030</v>
      </c>
      <c r="K34" s="202" t="s">
        <v>11</v>
      </c>
      <c r="L34" s="4">
        <v>2</v>
      </c>
      <c r="M34" s="4">
        <v>13</v>
      </c>
      <c r="N34" s="4" t="str">
        <f>_xlfn.CONCAT("DBX",((L34-1)*2)+1,".5")</f>
        <v>DBX3.5</v>
      </c>
      <c r="O34" s="4" t="s">
        <v>179</v>
      </c>
      <c r="P34" s="4" t="s">
        <v>11</v>
      </c>
      <c r="Q34" s="4"/>
      <c r="R34" s="4"/>
      <c r="S34" s="4"/>
      <c r="T34" s="4"/>
      <c r="U34" s="4"/>
      <c r="V34" s="4"/>
      <c r="W34" s="4" t="s">
        <v>129</v>
      </c>
      <c r="X34" s="4">
        <f t="shared" si="0"/>
        <v>13</v>
      </c>
      <c r="Y34" s="4"/>
      <c r="Z34" s="4"/>
      <c r="AA34" s="4"/>
      <c r="AB34" s="4"/>
      <c r="AC34" s="4"/>
      <c r="AD34" s="4"/>
      <c r="AE34" s="4"/>
    </row>
    <row r="35" spans="1:31" x14ac:dyDescent="0.2">
      <c r="A35" s="201"/>
      <c r="B35" s="4" t="s">
        <v>34</v>
      </c>
      <c r="C35" s="4">
        <v>31</v>
      </c>
      <c r="D35" s="4" t="s">
        <v>17</v>
      </c>
      <c r="E35" s="4" t="s">
        <v>172</v>
      </c>
      <c r="F35" s="4" t="s">
        <v>172</v>
      </c>
      <c r="G35" s="4"/>
      <c r="H35" s="4"/>
      <c r="I35" s="4"/>
      <c r="J35" s="4">
        <v>30031</v>
      </c>
      <c r="K35" s="202" t="s">
        <v>11</v>
      </c>
      <c r="L35" s="4">
        <v>2</v>
      </c>
      <c r="M35" s="4">
        <v>14</v>
      </c>
      <c r="N35" s="4" t="str">
        <f>_xlfn.CONCAT("DBX",((L35-1)*2)+1,".6")</f>
        <v>DBX3.6</v>
      </c>
      <c r="O35" s="4" t="s">
        <v>179</v>
      </c>
      <c r="P35" s="4" t="s">
        <v>11</v>
      </c>
      <c r="Q35" s="4"/>
      <c r="R35" s="4"/>
      <c r="S35" s="4"/>
      <c r="T35" s="4"/>
      <c r="U35" s="4"/>
      <c r="V35" s="4"/>
      <c r="W35" s="4" t="s">
        <v>129</v>
      </c>
      <c r="X35" s="4">
        <f t="shared" si="0"/>
        <v>13</v>
      </c>
      <c r="Y35" s="4"/>
      <c r="Z35" s="4"/>
      <c r="AA35" s="4"/>
      <c r="AB35" s="4"/>
      <c r="AC35" s="4"/>
      <c r="AD35" s="4"/>
      <c r="AE35" s="4"/>
    </row>
    <row r="36" spans="1:31" x14ac:dyDescent="0.2">
      <c r="A36" s="201"/>
      <c r="B36" s="4" t="s">
        <v>34</v>
      </c>
      <c r="C36" s="4">
        <v>32</v>
      </c>
      <c r="D36" s="4" t="s">
        <v>17</v>
      </c>
      <c r="E36" s="4" t="s">
        <v>173</v>
      </c>
      <c r="F36" s="4" t="s">
        <v>173</v>
      </c>
      <c r="G36" s="4"/>
      <c r="H36" s="4"/>
      <c r="I36" s="4"/>
      <c r="J36" s="4">
        <v>30032</v>
      </c>
      <c r="K36" s="202" t="s">
        <v>11</v>
      </c>
      <c r="L36" s="4">
        <v>2</v>
      </c>
      <c r="M36" s="4">
        <v>15</v>
      </c>
      <c r="N36" s="4" t="str">
        <f>_xlfn.CONCAT("DBX",((L36-1)*2)+1,".7")</f>
        <v>DBX3.7</v>
      </c>
      <c r="O36" s="4" t="s">
        <v>179</v>
      </c>
      <c r="P36" s="4" t="s">
        <v>11</v>
      </c>
      <c r="Q36" s="4"/>
      <c r="R36" s="4"/>
      <c r="S36" s="4"/>
      <c r="T36" s="4"/>
      <c r="U36" s="4"/>
      <c r="V36" s="4"/>
      <c r="W36" s="4" t="s">
        <v>129</v>
      </c>
      <c r="X36" s="4">
        <f t="shared" si="0"/>
        <v>13</v>
      </c>
      <c r="Y36" s="4"/>
      <c r="Z36" s="4"/>
      <c r="AA36" s="4"/>
      <c r="AB36" s="4"/>
      <c r="AC36" s="4"/>
      <c r="AD36" s="4"/>
      <c r="AE36" s="4"/>
    </row>
    <row r="37" spans="1:31" x14ac:dyDescent="0.2">
      <c r="A37" s="201"/>
      <c r="B37" s="4" t="s">
        <v>104</v>
      </c>
      <c r="C37" s="4">
        <v>33</v>
      </c>
      <c r="D37" s="4" t="s">
        <v>133</v>
      </c>
      <c r="E37" s="4" t="s">
        <v>133</v>
      </c>
      <c r="F37" s="4" t="s">
        <v>134</v>
      </c>
      <c r="G37" s="4"/>
      <c r="H37" s="4"/>
      <c r="I37" s="4"/>
      <c r="J37" s="4">
        <v>30033</v>
      </c>
      <c r="K37" s="202" t="s">
        <v>11</v>
      </c>
      <c r="L37" s="4">
        <v>3</v>
      </c>
      <c r="M37" s="4">
        <v>0</v>
      </c>
      <c r="N37" s="4" t="str">
        <f>_xlfn.CONCAT("DBX",((L37-1)*2),".0")</f>
        <v>DBX4.0</v>
      </c>
      <c r="O37" s="4" t="s">
        <v>179</v>
      </c>
      <c r="P37" s="4" t="s">
        <v>11</v>
      </c>
      <c r="Q37" s="4" t="s">
        <v>93</v>
      </c>
      <c r="R37" s="4"/>
      <c r="S37" s="4">
        <v>3922</v>
      </c>
      <c r="T37" s="4" t="s">
        <v>2551</v>
      </c>
      <c r="U37" s="4"/>
      <c r="V37" s="4"/>
      <c r="W37" s="4" t="s">
        <v>129</v>
      </c>
      <c r="X37" s="4">
        <f t="shared" si="0"/>
        <v>13</v>
      </c>
      <c r="Y37" s="4"/>
      <c r="Z37" s="4"/>
      <c r="AA37" s="4"/>
      <c r="AB37" s="4"/>
      <c r="AC37" s="4">
        <v>1</v>
      </c>
      <c r="AD37" s="4"/>
      <c r="AE37" s="4"/>
    </row>
    <row r="38" spans="1:31" x14ac:dyDescent="0.2">
      <c r="A38" s="201"/>
      <c r="B38" s="4" t="s">
        <v>104</v>
      </c>
      <c r="C38" s="4">
        <v>34</v>
      </c>
      <c r="D38" s="4" t="s">
        <v>135</v>
      </c>
      <c r="E38" s="4" t="s">
        <v>135</v>
      </c>
      <c r="F38" s="4" t="s">
        <v>144</v>
      </c>
      <c r="G38" s="4"/>
      <c r="H38" s="4"/>
      <c r="I38" s="4"/>
      <c r="J38" s="4">
        <v>30034</v>
      </c>
      <c r="K38" s="202" t="s">
        <v>11</v>
      </c>
      <c r="L38" s="4">
        <v>3</v>
      </c>
      <c r="M38" s="4">
        <v>1</v>
      </c>
      <c r="N38" s="4" t="str">
        <f>_xlfn.CONCAT("DBX",((L38-1)*2),".1")</f>
        <v>DBX4.1</v>
      </c>
      <c r="O38" s="4" t="s">
        <v>179</v>
      </c>
      <c r="P38" s="4" t="s">
        <v>11</v>
      </c>
      <c r="Q38" s="4" t="s">
        <v>12</v>
      </c>
      <c r="R38" s="4"/>
      <c r="S38" s="4">
        <v>3922</v>
      </c>
      <c r="T38" s="4" t="s">
        <v>2551</v>
      </c>
      <c r="U38" s="4"/>
      <c r="V38" s="4"/>
      <c r="W38" s="4" t="s">
        <v>129</v>
      </c>
      <c r="X38" s="4">
        <f t="shared" si="0"/>
        <v>13</v>
      </c>
      <c r="Y38" s="4"/>
      <c r="Z38" s="4"/>
      <c r="AA38" s="4"/>
      <c r="AB38" s="4"/>
      <c r="AC38" s="4">
        <v>1</v>
      </c>
      <c r="AD38" s="4"/>
      <c r="AE38" s="4"/>
    </row>
    <row r="39" spans="1:31" x14ac:dyDescent="0.2">
      <c r="A39" s="201"/>
      <c r="B39" s="4" t="s">
        <v>104</v>
      </c>
      <c r="C39" s="4">
        <v>35</v>
      </c>
      <c r="D39" s="4" t="s">
        <v>136</v>
      </c>
      <c r="E39" s="4" t="s">
        <v>136</v>
      </c>
      <c r="F39" s="4" t="s">
        <v>145</v>
      </c>
      <c r="G39" s="4"/>
      <c r="H39" s="4"/>
      <c r="I39" s="4"/>
      <c r="J39" s="4">
        <v>30035</v>
      </c>
      <c r="K39" s="202" t="s">
        <v>11</v>
      </c>
      <c r="L39" s="4">
        <v>3</v>
      </c>
      <c r="M39" s="4">
        <v>2</v>
      </c>
      <c r="N39" s="4" t="str">
        <f>_xlfn.CONCAT("DBX",((L39-1)*2),".2")</f>
        <v>DBX4.2</v>
      </c>
      <c r="O39" s="4" t="s">
        <v>179</v>
      </c>
      <c r="P39" s="4" t="s">
        <v>11</v>
      </c>
      <c r="Q39" s="4" t="s">
        <v>94</v>
      </c>
      <c r="R39" s="4"/>
      <c r="S39" s="4">
        <v>3922</v>
      </c>
      <c r="T39" s="4" t="s">
        <v>2551</v>
      </c>
      <c r="U39" s="4"/>
      <c r="V39" s="4"/>
      <c r="W39" s="4" t="s">
        <v>129</v>
      </c>
      <c r="X39" s="4">
        <f t="shared" si="0"/>
        <v>13</v>
      </c>
      <c r="Y39" s="4"/>
      <c r="Z39" s="4"/>
      <c r="AA39" s="4"/>
      <c r="AB39" s="4"/>
      <c r="AC39" s="4">
        <v>1</v>
      </c>
      <c r="AD39" s="4"/>
      <c r="AE39" s="4"/>
    </row>
    <row r="40" spans="1:31" x14ac:dyDescent="0.2">
      <c r="A40" s="201"/>
      <c r="B40" s="4" t="s">
        <v>104</v>
      </c>
      <c r="C40" s="4">
        <v>36</v>
      </c>
      <c r="D40" s="4" t="s">
        <v>137</v>
      </c>
      <c r="E40" s="4" t="s">
        <v>137</v>
      </c>
      <c r="F40" s="4" t="s">
        <v>146</v>
      </c>
      <c r="G40" s="4"/>
      <c r="H40" s="4"/>
      <c r="I40" s="4"/>
      <c r="J40" s="4">
        <v>30036</v>
      </c>
      <c r="K40" s="202" t="s">
        <v>11</v>
      </c>
      <c r="L40" s="4">
        <v>3</v>
      </c>
      <c r="M40" s="4">
        <v>3</v>
      </c>
      <c r="N40" s="4" t="str">
        <f>_xlfn.CONCAT("DBX",((L40-1)*2),".3")</f>
        <v>DBX4.3</v>
      </c>
      <c r="O40" s="4" t="s">
        <v>179</v>
      </c>
      <c r="P40" s="4" t="s">
        <v>11</v>
      </c>
      <c r="Q40" s="4" t="s">
        <v>90</v>
      </c>
      <c r="R40" s="4"/>
      <c r="S40" s="4">
        <v>3922</v>
      </c>
      <c r="T40" s="4" t="s">
        <v>2551</v>
      </c>
      <c r="U40" s="4"/>
      <c r="V40" s="4"/>
      <c r="W40" s="4" t="s">
        <v>129</v>
      </c>
      <c r="X40" s="4">
        <f t="shared" si="0"/>
        <v>13</v>
      </c>
      <c r="Y40" s="4"/>
      <c r="Z40" s="4"/>
      <c r="AA40" s="4"/>
      <c r="AB40" s="4"/>
      <c r="AC40" s="4">
        <v>0</v>
      </c>
      <c r="AD40" s="4"/>
      <c r="AE40" s="4"/>
    </row>
    <row r="41" spans="1:31" x14ac:dyDescent="0.2">
      <c r="A41" s="201"/>
      <c r="B41" s="4" t="s">
        <v>104</v>
      </c>
      <c r="C41" s="4">
        <v>37</v>
      </c>
      <c r="D41" s="4" t="s">
        <v>138</v>
      </c>
      <c r="E41" s="4" t="s">
        <v>138</v>
      </c>
      <c r="F41" s="4" t="s">
        <v>147</v>
      </c>
      <c r="G41" s="4"/>
      <c r="H41" s="4"/>
      <c r="I41" s="4"/>
      <c r="J41" s="4">
        <v>30037</v>
      </c>
      <c r="K41" s="202" t="s">
        <v>11</v>
      </c>
      <c r="L41" s="4">
        <v>3</v>
      </c>
      <c r="M41" s="4">
        <v>4</v>
      </c>
      <c r="N41" s="4" t="str">
        <f>_xlfn.CONCAT("DBX",((L41-1)*2),".4")</f>
        <v>DBX4.4</v>
      </c>
      <c r="O41" s="4" t="s">
        <v>179</v>
      </c>
      <c r="P41" s="4" t="s">
        <v>11</v>
      </c>
      <c r="Q41" s="4" t="s">
        <v>91</v>
      </c>
      <c r="R41" s="4"/>
      <c r="S41" s="4">
        <v>3922</v>
      </c>
      <c r="T41" s="4" t="s">
        <v>2551</v>
      </c>
      <c r="U41" s="4"/>
      <c r="V41" s="4"/>
      <c r="W41" s="4" t="s">
        <v>129</v>
      </c>
      <c r="X41" s="4">
        <f t="shared" si="0"/>
        <v>13</v>
      </c>
      <c r="Y41" s="4"/>
      <c r="Z41" s="4"/>
      <c r="AA41" s="4"/>
      <c r="AB41" s="4"/>
      <c r="AC41" s="4">
        <v>1</v>
      </c>
      <c r="AD41" s="4"/>
      <c r="AE41" s="4"/>
    </row>
    <row r="42" spans="1:31" x14ac:dyDescent="0.2">
      <c r="A42" s="201"/>
      <c r="B42" s="4" t="s">
        <v>104</v>
      </c>
      <c r="C42" s="4">
        <v>38</v>
      </c>
      <c r="D42" s="4" t="s">
        <v>139</v>
      </c>
      <c r="E42" s="4" t="s">
        <v>139</v>
      </c>
      <c r="F42" s="4" t="s">
        <v>148</v>
      </c>
      <c r="G42" s="4"/>
      <c r="H42" s="4"/>
      <c r="I42" s="4"/>
      <c r="J42" s="4">
        <v>30038</v>
      </c>
      <c r="K42" s="202" t="s">
        <v>11</v>
      </c>
      <c r="L42" s="4">
        <v>3</v>
      </c>
      <c r="M42" s="4">
        <v>5</v>
      </c>
      <c r="N42" s="4" t="str">
        <f>_xlfn.CONCAT("DBX",((L42-1)*2),".5")</f>
        <v>DBX4.5</v>
      </c>
      <c r="O42" s="4" t="s">
        <v>179</v>
      </c>
      <c r="P42" s="4" t="s">
        <v>11</v>
      </c>
      <c r="Q42" s="4" t="s">
        <v>92</v>
      </c>
      <c r="R42" s="4"/>
      <c r="S42" s="4">
        <v>3922</v>
      </c>
      <c r="T42" s="4" t="s">
        <v>2551</v>
      </c>
      <c r="U42" s="4"/>
      <c r="V42" s="4"/>
      <c r="W42" s="4" t="s">
        <v>129</v>
      </c>
      <c r="X42" s="4">
        <f t="shared" si="0"/>
        <v>13</v>
      </c>
      <c r="Y42" s="4"/>
      <c r="Z42" s="4"/>
      <c r="AA42" s="4"/>
      <c r="AB42" s="4"/>
      <c r="AC42" s="4">
        <v>1</v>
      </c>
      <c r="AD42" s="4"/>
      <c r="AE42" s="4"/>
    </row>
    <row r="43" spans="1:31" x14ac:dyDescent="0.2">
      <c r="A43" s="201"/>
      <c r="B43" s="4" t="s">
        <v>104</v>
      </c>
      <c r="C43" s="4">
        <v>39</v>
      </c>
      <c r="D43" s="4" t="s">
        <v>140</v>
      </c>
      <c r="E43" s="4" t="s">
        <v>140</v>
      </c>
      <c r="F43" s="4" t="s">
        <v>149</v>
      </c>
      <c r="G43" s="4"/>
      <c r="H43" s="4"/>
      <c r="I43" s="4"/>
      <c r="J43" s="4">
        <v>30039</v>
      </c>
      <c r="K43" s="202" t="s">
        <v>11</v>
      </c>
      <c r="L43" s="4">
        <v>3</v>
      </c>
      <c r="M43" s="4">
        <v>6</v>
      </c>
      <c r="N43" s="4" t="str">
        <f>_xlfn.CONCAT("DBX",((L43-1)*2),".6")</f>
        <v>DBX4.6</v>
      </c>
      <c r="O43" s="4" t="s">
        <v>179</v>
      </c>
      <c r="P43" s="4" t="s">
        <v>11</v>
      </c>
      <c r="Q43" s="4" t="s">
        <v>89</v>
      </c>
      <c r="R43" s="4"/>
      <c r="S43" s="4">
        <v>3922</v>
      </c>
      <c r="T43" s="4" t="s">
        <v>2551</v>
      </c>
      <c r="U43" s="4"/>
      <c r="V43" s="4"/>
      <c r="W43" s="4" t="s">
        <v>129</v>
      </c>
      <c r="X43" s="4">
        <f t="shared" si="0"/>
        <v>13</v>
      </c>
      <c r="Y43" s="4"/>
      <c r="Z43" s="4"/>
      <c r="AA43" s="4"/>
      <c r="AB43" s="4"/>
      <c r="AC43" s="4">
        <v>1</v>
      </c>
      <c r="AD43" s="4"/>
      <c r="AE43" s="4"/>
    </row>
    <row r="44" spans="1:31" x14ac:dyDescent="0.2">
      <c r="A44" s="201"/>
      <c r="B44" s="4" t="s">
        <v>104</v>
      </c>
      <c r="C44" s="4">
        <v>40</v>
      </c>
      <c r="D44" s="4" t="s">
        <v>141</v>
      </c>
      <c r="E44" s="4" t="s">
        <v>141</v>
      </c>
      <c r="F44" s="4" t="s">
        <v>150</v>
      </c>
      <c r="G44" s="4"/>
      <c r="H44" s="4"/>
      <c r="I44" s="4"/>
      <c r="J44" s="4">
        <v>30040</v>
      </c>
      <c r="K44" s="202" t="s">
        <v>11</v>
      </c>
      <c r="L44" s="4">
        <v>3</v>
      </c>
      <c r="M44" s="4">
        <v>7</v>
      </c>
      <c r="N44" s="4" t="str">
        <f>_xlfn.CONCAT("DBX",((L44-1)*2),".7")</f>
        <v>DBX4.7</v>
      </c>
      <c r="O44" s="4" t="s">
        <v>179</v>
      </c>
      <c r="P44" s="4" t="s">
        <v>11</v>
      </c>
      <c r="Q44" s="4" t="s">
        <v>33</v>
      </c>
      <c r="R44" s="4"/>
      <c r="S44" s="4">
        <v>3922</v>
      </c>
      <c r="T44" s="4" t="s">
        <v>2551</v>
      </c>
      <c r="U44" s="4"/>
      <c r="V44" s="4"/>
      <c r="W44" s="4" t="s">
        <v>129</v>
      </c>
      <c r="X44" s="4">
        <f t="shared" si="0"/>
        <v>13</v>
      </c>
      <c r="Y44" s="4"/>
      <c r="Z44" s="4"/>
      <c r="AA44" s="4"/>
      <c r="AB44" s="4"/>
      <c r="AC44" s="4">
        <v>0</v>
      </c>
      <c r="AD44" s="4"/>
      <c r="AE44" s="4"/>
    </row>
    <row r="45" spans="1:31" x14ac:dyDescent="0.2">
      <c r="A45" s="201"/>
      <c r="B45" s="4" t="s">
        <v>104</v>
      </c>
      <c r="C45" s="4">
        <v>41</v>
      </c>
      <c r="D45" s="4" t="s">
        <v>142</v>
      </c>
      <c r="E45" s="4" t="s">
        <v>142</v>
      </c>
      <c r="F45" s="4" t="s">
        <v>151</v>
      </c>
      <c r="G45" s="4"/>
      <c r="H45" s="4"/>
      <c r="I45" s="4"/>
      <c r="J45" s="4">
        <v>30041</v>
      </c>
      <c r="K45" s="202" t="s">
        <v>11</v>
      </c>
      <c r="L45" s="4">
        <v>3</v>
      </c>
      <c r="M45" s="4">
        <v>8</v>
      </c>
      <c r="N45" s="4" t="str">
        <f>_xlfn.CONCAT("DBX",((L45-1)*2)+1,".0")</f>
        <v>DBX5.0</v>
      </c>
      <c r="O45" s="4" t="s">
        <v>179</v>
      </c>
      <c r="P45" s="4" t="s">
        <v>11</v>
      </c>
      <c r="Q45" s="4" t="s">
        <v>87</v>
      </c>
      <c r="R45" s="4"/>
      <c r="S45" s="4">
        <v>3922</v>
      </c>
      <c r="T45" s="4" t="s">
        <v>2551</v>
      </c>
      <c r="U45" s="4"/>
      <c r="V45" s="4"/>
      <c r="W45" s="4" t="s">
        <v>129</v>
      </c>
      <c r="X45" s="4">
        <f t="shared" si="0"/>
        <v>13</v>
      </c>
      <c r="Y45" s="4"/>
      <c r="Z45" s="4"/>
      <c r="AA45" s="4"/>
      <c r="AB45" s="4"/>
      <c r="AC45" s="4">
        <v>0</v>
      </c>
      <c r="AD45" s="4"/>
      <c r="AE45" s="4"/>
    </row>
    <row r="46" spans="1:31" x14ac:dyDescent="0.2">
      <c r="A46" s="201"/>
      <c r="B46" s="4" t="s">
        <v>104</v>
      </c>
      <c r="C46" s="4">
        <v>42</v>
      </c>
      <c r="D46" s="4" t="s">
        <v>143</v>
      </c>
      <c r="E46" s="4" t="s">
        <v>143</v>
      </c>
      <c r="F46" s="4" t="s">
        <v>152</v>
      </c>
      <c r="G46" s="4"/>
      <c r="H46" s="4"/>
      <c r="I46" s="4"/>
      <c r="J46" s="4">
        <v>30042</v>
      </c>
      <c r="K46" s="202" t="s">
        <v>11</v>
      </c>
      <c r="L46" s="4">
        <v>3</v>
      </c>
      <c r="M46" s="4">
        <v>9</v>
      </c>
      <c r="N46" s="4" t="str">
        <f>_xlfn.CONCAT("DBX",((L46-1)*2)+1,".1")</f>
        <v>DBX5.1</v>
      </c>
      <c r="O46" s="4" t="s">
        <v>179</v>
      </c>
      <c r="P46" s="4" t="s">
        <v>11</v>
      </c>
      <c r="Q46" s="4" t="s">
        <v>88</v>
      </c>
      <c r="R46" s="4"/>
      <c r="S46" s="4">
        <v>3922</v>
      </c>
      <c r="T46" s="4" t="s">
        <v>2551</v>
      </c>
      <c r="U46" s="4"/>
      <c r="V46" s="4"/>
      <c r="W46" s="4" t="s">
        <v>129</v>
      </c>
      <c r="X46" s="4">
        <f t="shared" si="0"/>
        <v>13</v>
      </c>
      <c r="Y46" s="4"/>
      <c r="Z46" s="4"/>
      <c r="AA46" s="4"/>
      <c r="AB46" s="4"/>
      <c r="AC46" s="4">
        <v>1</v>
      </c>
      <c r="AD46" s="4"/>
      <c r="AE46" s="4"/>
    </row>
    <row r="47" spans="1:31" x14ac:dyDescent="0.2">
      <c r="A47" s="201"/>
      <c r="B47" s="4" t="s">
        <v>34</v>
      </c>
      <c r="C47" s="4">
        <v>43</v>
      </c>
      <c r="D47" s="4" t="s">
        <v>17</v>
      </c>
      <c r="E47" s="4" t="s">
        <v>17</v>
      </c>
      <c r="F47" s="4" t="s">
        <v>156</v>
      </c>
      <c r="G47" s="4"/>
      <c r="H47" s="4"/>
      <c r="I47" s="4"/>
      <c r="J47" s="4">
        <v>30043</v>
      </c>
      <c r="K47" s="202"/>
      <c r="L47" s="4">
        <v>3</v>
      </c>
      <c r="M47" s="4">
        <v>10</v>
      </c>
      <c r="N47" s="4" t="str">
        <f>_xlfn.CONCAT("DBX",((L47-1)*2)+1,".2")</f>
        <v>DBX5.2</v>
      </c>
      <c r="O47" s="4" t="s">
        <v>179</v>
      </c>
      <c r="P47" s="4"/>
      <c r="Q47" s="4"/>
      <c r="R47" s="4"/>
      <c r="S47" s="4"/>
      <c r="T47" s="4"/>
      <c r="U47" s="4"/>
      <c r="V47" s="4"/>
      <c r="W47" s="4" t="s">
        <v>154</v>
      </c>
      <c r="X47" s="4" t="e">
        <f t="shared" si="0"/>
        <v>#N/A</v>
      </c>
      <c r="Y47" s="4"/>
      <c r="Z47" s="4"/>
      <c r="AA47" s="4"/>
      <c r="AB47" s="4"/>
      <c r="AC47" s="4"/>
      <c r="AD47" s="4"/>
      <c r="AE47" s="4"/>
    </row>
    <row r="48" spans="1:31" x14ac:dyDescent="0.2">
      <c r="A48" s="201"/>
      <c r="B48" s="4" t="s">
        <v>34</v>
      </c>
      <c r="C48" s="4">
        <v>44</v>
      </c>
      <c r="D48" s="4" t="s">
        <v>17</v>
      </c>
      <c r="E48" s="4" t="s">
        <v>17</v>
      </c>
      <c r="F48" s="4" t="s">
        <v>156</v>
      </c>
      <c r="G48" s="4"/>
      <c r="H48" s="4"/>
      <c r="I48" s="4"/>
      <c r="J48" s="4">
        <v>30044</v>
      </c>
      <c r="K48" s="202"/>
      <c r="L48" s="4">
        <v>3</v>
      </c>
      <c r="M48" s="4">
        <v>11</v>
      </c>
      <c r="N48" s="4" t="str">
        <f>_xlfn.CONCAT("DBX",((L48-1)*2)+1,".3")</f>
        <v>DBX5.3</v>
      </c>
      <c r="O48" s="4" t="s">
        <v>179</v>
      </c>
      <c r="P48" s="4"/>
      <c r="Q48" s="4"/>
      <c r="R48" s="4"/>
      <c r="S48" s="4"/>
      <c r="T48" s="4"/>
      <c r="U48" s="4"/>
      <c r="V48" s="4"/>
      <c r="W48" s="4" t="s">
        <v>154</v>
      </c>
      <c r="X48" s="4" t="e">
        <f t="shared" si="0"/>
        <v>#N/A</v>
      </c>
      <c r="Y48" s="4"/>
      <c r="Z48" s="4"/>
      <c r="AA48" s="4"/>
      <c r="AB48" s="4"/>
      <c r="AC48" s="4"/>
      <c r="AD48" s="4"/>
      <c r="AE48" s="4"/>
    </row>
    <row r="49" spans="1:31" x14ac:dyDescent="0.2">
      <c r="A49" s="201"/>
      <c r="B49" s="4" t="s">
        <v>34</v>
      </c>
      <c r="C49" s="4">
        <v>45</v>
      </c>
      <c r="D49" s="4" t="s">
        <v>17</v>
      </c>
      <c r="E49" s="4" t="s">
        <v>17</v>
      </c>
      <c r="F49" s="4" t="s">
        <v>156</v>
      </c>
      <c r="G49" s="4"/>
      <c r="H49" s="4"/>
      <c r="I49" s="4"/>
      <c r="J49" s="4">
        <v>30045</v>
      </c>
      <c r="K49" s="202"/>
      <c r="L49" s="4">
        <v>3</v>
      </c>
      <c r="M49" s="4">
        <v>12</v>
      </c>
      <c r="N49" s="4" t="str">
        <f>_xlfn.CONCAT("DBX",((L49-1)*2)+1,".4")</f>
        <v>DBX5.4</v>
      </c>
      <c r="O49" s="4" t="s">
        <v>179</v>
      </c>
      <c r="P49" s="4"/>
      <c r="Q49" s="4"/>
      <c r="R49" s="4"/>
      <c r="S49" s="4"/>
      <c r="T49" s="4"/>
      <c r="U49" s="4"/>
      <c r="V49" s="4"/>
      <c r="W49" s="4" t="s">
        <v>154</v>
      </c>
      <c r="X49" s="4" t="e">
        <f t="shared" si="0"/>
        <v>#N/A</v>
      </c>
      <c r="Y49" s="4"/>
      <c r="Z49" s="4"/>
      <c r="AA49" s="4"/>
      <c r="AB49" s="4"/>
      <c r="AC49" s="4"/>
      <c r="AD49" s="4"/>
      <c r="AE49" s="4"/>
    </row>
    <row r="50" spans="1:31" x14ac:dyDescent="0.2">
      <c r="A50" s="201"/>
      <c r="B50" s="4" t="s">
        <v>34</v>
      </c>
      <c r="C50" s="4">
        <v>46</v>
      </c>
      <c r="D50" s="4" t="s">
        <v>17</v>
      </c>
      <c r="E50" s="4" t="s">
        <v>17</v>
      </c>
      <c r="F50" s="4" t="s">
        <v>156</v>
      </c>
      <c r="G50" s="4"/>
      <c r="H50" s="4"/>
      <c r="I50" s="4"/>
      <c r="J50" s="4">
        <v>30046</v>
      </c>
      <c r="K50" s="202"/>
      <c r="L50" s="4">
        <v>3</v>
      </c>
      <c r="M50" s="4">
        <v>13</v>
      </c>
      <c r="N50" s="4" t="str">
        <f>_xlfn.CONCAT("DBX",((L50-1)*2)+1,".5")</f>
        <v>DBX5.5</v>
      </c>
      <c r="O50" s="4" t="s">
        <v>179</v>
      </c>
      <c r="P50" s="4"/>
      <c r="Q50" s="4"/>
      <c r="R50" s="4"/>
      <c r="S50" s="4"/>
      <c r="T50" s="4"/>
      <c r="U50" s="4"/>
      <c r="V50" s="4"/>
      <c r="W50" s="4" t="s">
        <v>154</v>
      </c>
      <c r="X50" s="4" t="e">
        <f t="shared" si="0"/>
        <v>#N/A</v>
      </c>
      <c r="Y50" s="4"/>
      <c r="Z50" s="4"/>
      <c r="AA50" s="4"/>
      <c r="AB50" s="4"/>
      <c r="AC50" s="4"/>
      <c r="AD50" s="4"/>
      <c r="AE50" s="4"/>
    </row>
    <row r="51" spans="1:31" x14ac:dyDescent="0.2">
      <c r="A51" s="201"/>
      <c r="B51" s="4" t="s">
        <v>34</v>
      </c>
      <c r="C51" s="4">
        <v>47</v>
      </c>
      <c r="D51" s="4" t="s">
        <v>17</v>
      </c>
      <c r="E51" s="4" t="s">
        <v>17</v>
      </c>
      <c r="F51" s="4" t="s">
        <v>156</v>
      </c>
      <c r="G51" s="4"/>
      <c r="H51" s="4"/>
      <c r="I51" s="4"/>
      <c r="J51" s="4">
        <v>30047</v>
      </c>
      <c r="K51" s="202"/>
      <c r="L51" s="4">
        <v>3</v>
      </c>
      <c r="M51" s="4">
        <v>14</v>
      </c>
      <c r="N51" s="4" t="str">
        <f>_xlfn.CONCAT("DBX",((L51-1)*2)+1,".6")</f>
        <v>DBX5.6</v>
      </c>
      <c r="O51" s="4" t="s">
        <v>179</v>
      </c>
      <c r="P51" s="4"/>
      <c r="Q51" s="4"/>
      <c r="R51" s="4"/>
      <c r="S51" s="4"/>
      <c r="T51" s="4"/>
      <c r="U51" s="4"/>
      <c r="V51" s="4"/>
      <c r="W51" s="4" t="s">
        <v>154</v>
      </c>
      <c r="X51" s="4" t="e">
        <f t="shared" si="0"/>
        <v>#N/A</v>
      </c>
      <c r="Y51" s="4"/>
      <c r="Z51" s="4"/>
      <c r="AA51" s="4"/>
      <c r="AB51" s="4"/>
      <c r="AC51" s="4"/>
      <c r="AD51" s="4"/>
      <c r="AE51" s="4"/>
    </row>
    <row r="52" spans="1:31" x14ac:dyDescent="0.2">
      <c r="A52" s="201"/>
      <c r="B52" s="4" t="s">
        <v>34</v>
      </c>
      <c r="C52" s="4">
        <v>48</v>
      </c>
      <c r="D52" s="4" t="s">
        <v>17</v>
      </c>
      <c r="E52" s="4" t="s">
        <v>17</v>
      </c>
      <c r="F52" s="4" t="s">
        <v>156</v>
      </c>
      <c r="G52" s="4"/>
      <c r="H52" s="4"/>
      <c r="I52" s="4"/>
      <c r="J52" s="4">
        <v>30048</v>
      </c>
      <c r="K52" s="202"/>
      <c r="L52" s="4">
        <v>3</v>
      </c>
      <c r="M52" s="4">
        <v>15</v>
      </c>
      <c r="N52" s="4" t="str">
        <f>_xlfn.CONCAT("DBX",((L52-1)*2)+1,".7")</f>
        <v>DBX5.7</v>
      </c>
      <c r="O52" s="4" t="s">
        <v>179</v>
      </c>
      <c r="P52" s="4"/>
      <c r="Q52" s="4"/>
      <c r="R52" s="4"/>
      <c r="S52" s="4"/>
      <c r="T52" s="4"/>
      <c r="U52" s="4"/>
      <c r="V52" s="4"/>
      <c r="W52" s="4" t="s">
        <v>154</v>
      </c>
      <c r="X52" s="4" t="e">
        <f t="shared" si="0"/>
        <v>#N/A</v>
      </c>
      <c r="Y52" s="4"/>
      <c r="Z52" s="4"/>
      <c r="AA52" s="4"/>
      <c r="AB52" s="4"/>
      <c r="AC52" s="4"/>
      <c r="AD52" s="4"/>
      <c r="AE52" s="4"/>
    </row>
    <row r="53" spans="1:31" s="207" customFormat="1" x14ac:dyDescent="0.2">
      <c r="A53" s="204"/>
      <c r="B53" s="4" t="s">
        <v>33</v>
      </c>
      <c r="C53" s="205">
        <v>49</v>
      </c>
      <c r="D53" s="205" t="s">
        <v>324</v>
      </c>
      <c r="E53" s="205" t="s">
        <v>325</v>
      </c>
      <c r="F53" s="205" t="s">
        <v>58</v>
      </c>
      <c r="G53" s="205" t="s">
        <v>40</v>
      </c>
      <c r="H53" s="205" t="s">
        <v>41</v>
      </c>
      <c r="I53" s="205" t="s">
        <v>40</v>
      </c>
      <c r="J53" s="4">
        <v>30049</v>
      </c>
      <c r="K53" s="206" t="s">
        <v>346</v>
      </c>
      <c r="L53" s="205">
        <v>4</v>
      </c>
      <c r="M53" s="205">
        <v>0</v>
      </c>
      <c r="N53" s="4" t="str">
        <f>_xlfn.CONCAT("DBX",((L53-1)*2),".0")</f>
        <v>DBX6.0</v>
      </c>
      <c r="O53" s="205" t="s">
        <v>781</v>
      </c>
      <c r="P53" s="205" t="s">
        <v>11</v>
      </c>
      <c r="Q53" s="205" t="s">
        <v>91</v>
      </c>
      <c r="R53" s="205"/>
      <c r="S53" s="205">
        <v>3922</v>
      </c>
      <c r="T53" s="205" t="s">
        <v>2551</v>
      </c>
      <c r="U53" s="205"/>
      <c r="V53" s="205"/>
      <c r="W53" s="205" t="s">
        <v>129</v>
      </c>
      <c r="X53" s="205">
        <f t="shared" si="0"/>
        <v>13</v>
      </c>
      <c r="Y53" s="205"/>
      <c r="Z53" s="205"/>
      <c r="AA53" s="205"/>
      <c r="AB53" s="205"/>
      <c r="AC53" s="4">
        <v>1</v>
      </c>
      <c r="AD53" s="205"/>
      <c r="AE53" s="205"/>
    </row>
    <row r="54" spans="1:31" x14ac:dyDescent="0.2">
      <c r="A54" s="201"/>
      <c r="B54" s="4" t="s">
        <v>3170</v>
      </c>
      <c r="C54" s="4">
        <v>50</v>
      </c>
      <c r="D54" s="4" t="s">
        <v>326</v>
      </c>
      <c r="E54" s="4" t="s">
        <v>327</v>
      </c>
      <c r="F54" s="4" t="s">
        <v>328</v>
      </c>
      <c r="G54" s="4" t="s">
        <v>329</v>
      </c>
      <c r="H54" s="4" t="s">
        <v>41</v>
      </c>
      <c r="I54" s="4" t="s">
        <v>84</v>
      </c>
      <c r="J54" s="4">
        <v>30050</v>
      </c>
      <c r="K54" s="202" t="s">
        <v>342</v>
      </c>
      <c r="L54" s="4">
        <v>4</v>
      </c>
      <c r="M54" s="4">
        <v>1</v>
      </c>
      <c r="N54" s="4" t="str">
        <f>_xlfn.CONCAT("DBX",((L54-1)*2),".1")</f>
        <v>DBX6.1</v>
      </c>
      <c r="O54" s="4" t="s">
        <v>781</v>
      </c>
      <c r="P54" s="4" t="s">
        <v>347</v>
      </c>
      <c r="Q54" s="4" t="s">
        <v>12</v>
      </c>
      <c r="R54" s="4"/>
      <c r="S54" s="4">
        <v>3922</v>
      </c>
      <c r="T54" s="4" t="s">
        <v>2551</v>
      </c>
      <c r="U54" s="4"/>
      <c r="V54" s="4" t="s">
        <v>3030</v>
      </c>
      <c r="W54" s="4" t="s">
        <v>129</v>
      </c>
      <c r="X54" s="4">
        <f t="shared" si="0"/>
        <v>13</v>
      </c>
      <c r="Y54" s="4"/>
      <c r="Z54" s="4"/>
      <c r="AA54" s="4"/>
      <c r="AB54" s="4"/>
      <c r="AC54" s="4">
        <v>1</v>
      </c>
      <c r="AD54" s="4"/>
      <c r="AE54" s="4"/>
    </row>
    <row r="55" spans="1:31" x14ac:dyDescent="0.2">
      <c r="A55" s="201"/>
      <c r="B55" s="4" t="s">
        <v>104</v>
      </c>
      <c r="C55" s="4">
        <v>51</v>
      </c>
      <c r="D55" s="4" t="s">
        <v>330</v>
      </c>
      <c r="E55" s="4" t="s">
        <v>331</v>
      </c>
      <c r="F55" s="4" t="s">
        <v>332</v>
      </c>
      <c r="G55" s="4" t="s">
        <v>40</v>
      </c>
      <c r="H55" s="4" t="s">
        <v>41</v>
      </c>
      <c r="I55" s="4" t="s">
        <v>40</v>
      </c>
      <c r="J55" s="4">
        <v>30051</v>
      </c>
      <c r="K55" s="202" t="s">
        <v>343</v>
      </c>
      <c r="L55" s="4">
        <v>4</v>
      </c>
      <c r="M55" s="4">
        <v>2</v>
      </c>
      <c r="N55" s="4" t="str">
        <f>_xlfn.CONCAT("DBX",((L55-1)*2),".2")</f>
        <v>DBX6.2</v>
      </c>
      <c r="O55" s="4" t="s">
        <v>781</v>
      </c>
      <c r="P55" s="4" t="s">
        <v>348</v>
      </c>
      <c r="Q55" s="4" t="s">
        <v>12</v>
      </c>
      <c r="R55" s="4"/>
      <c r="S55" s="4">
        <v>3922</v>
      </c>
      <c r="T55" s="4" t="s">
        <v>2551</v>
      </c>
      <c r="U55" s="4"/>
      <c r="V55" s="4"/>
      <c r="W55" s="4" t="s">
        <v>129</v>
      </c>
      <c r="X55" s="4">
        <f t="shared" si="0"/>
        <v>13</v>
      </c>
      <c r="Y55" s="4"/>
      <c r="Z55" s="4"/>
      <c r="AA55" s="4"/>
      <c r="AB55" s="4"/>
      <c r="AC55" s="4">
        <v>1</v>
      </c>
      <c r="AD55" s="4"/>
      <c r="AE55" s="4"/>
    </row>
    <row r="56" spans="1:31" x14ac:dyDescent="0.2">
      <c r="A56" s="201"/>
      <c r="B56" s="4" t="s">
        <v>104</v>
      </c>
      <c r="C56" s="4">
        <v>52</v>
      </c>
      <c r="D56" s="4" t="s">
        <v>333</v>
      </c>
      <c r="E56" s="4" t="s">
        <v>334</v>
      </c>
      <c r="F56" s="4" t="s">
        <v>335</v>
      </c>
      <c r="G56" s="4" t="s">
        <v>40</v>
      </c>
      <c r="H56" s="4" t="s">
        <v>41</v>
      </c>
      <c r="I56" s="4" t="s">
        <v>40</v>
      </c>
      <c r="J56" s="4">
        <v>30052</v>
      </c>
      <c r="K56" s="202" t="s">
        <v>344</v>
      </c>
      <c r="L56" s="4">
        <v>4</v>
      </c>
      <c r="M56" s="4">
        <v>3</v>
      </c>
      <c r="N56" s="4" t="str">
        <f>_xlfn.CONCAT("DBX",((L56-1)*2),".3")</f>
        <v>DBX6.3</v>
      </c>
      <c r="O56" s="4" t="s">
        <v>781</v>
      </c>
      <c r="P56" s="4" t="s">
        <v>349</v>
      </c>
      <c r="Q56" s="4" t="s">
        <v>12</v>
      </c>
      <c r="R56" s="4"/>
      <c r="S56" s="4">
        <v>3922</v>
      </c>
      <c r="T56" s="4" t="s">
        <v>2551</v>
      </c>
      <c r="U56" s="4"/>
      <c r="V56" s="4"/>
      <c r="W56" s="4" t="s">
        <v>129</v>
      </c>
      <c r="X56" s="4">
        <f t="shared" si="0"/>
        <v>13</v>
      </c>
      <c r="Y56" s="4"/>
      <c r="Z56" s="4"/>
      <c r="AA56" s="4"/>
      <c r="AB56" s="4"/>
      <c r="AC56" s="4">
        <v>1</v>
      </c>
      <c r="AD56" s="4"/>
      <c r="AE56" s="4"/>
    </row>
    <row r="57" spans="1:31" x14ac:dyDescent="0.2">
      <c r="A57" s="201"/>
      <c r="B57" s="4" t="s">
        <v>104</v>
      </c>
      <c r="C57" s="4">
        <v>53</v>
      </c>
      <c r="D57" s="4" t="s">
        <v>336</v>
      </c>
      <c r="E57" s="4" t="s">
        <v>337</v>
      </c>
      <c r="F57" s="4" t="s">
        <v>338</v>
      </c>
      <c r="G57" s="4" t="s">
        <v>40</v>
      </c>
      <c r="H57" s="4" t="s">
        <v>41</v>
      </c>
      <c r="I57" s="4" t="s">
        <v>40</v>
      </c>
      <c r="J57" s="4">
        <v>30053</v>
      </c>
      <c r="K57" s="202" t="s">
        <v>345</v>
      </c>
      <c r="L57" s="4">
        <v>4</v>
      </c>
      <c r="M57" s="4">
        <v>4</v>
      </c>
      <c r="N57" s="4" t="str">
        <f>_xlfn.CONCAT("DBX",((L57-1)*2),".4")</f>
        <v>DBX6.4</v>
      </c>
      <c r="O57" s="4" t="s">
        <v>781</v>
      </c>
      <c r="P57" s="4" t="s">
        <v>350</v>
      </c>
      <c r="Q57" s="4" t="s">
        <v>12</v>
      </c>
      <c r="R57" s="4"/>
      <c r="S57" s="4">
        <v>3922</v>
      </c>
      <c r="T57" s="4" t="s">
        <v>2551</v>
      </c>
      <c r="U57" s="4"/>
      <c r="V57" s="4"/>
      <c r="W57" s="4" t="s">
        <v>129</v>
      </c>
      <c r="X57" s="4">
        <f t="shared" si="0"/>
        <v>13</v>
      </c>
      <c r="Y57" s="4"/>
      <c r="Z57" s="4"/>
      <c r="AA57" s="4"/>
      <c r="AB57" s="4"/>
      <c r="AC57" s="4">
        <v>1</v>
      </c>
      <c r="AD57" s="4"/>
      <c r="AE57" s="4"/>
    </row>
    <row r="58" spans="1:31" x14ac:dyDescent="0.2">
      <c r="A58" s="201"/>
      <c r="B58" s="4" t="s">
        <v>104</v>
      </c>
      <c r="C58" s="4">
        <v>54</v>
      </c>
      <c r="D58" s="4" t="s">
        <v>339</v>
      </c>
      <c r="E58" s="4" t="s">
        <v>340</v>
      </c>
      <c r="F58" s="4" t="s">
        <v>341</v>
      </c>
      <c r="G58" s="4" t="s">
        <v>40</v>
      </c>
      <c r="H58" s="4" t="s">
        <v>41</v>
      </c>
      <c r="I58" s="4" t="s">
        <v>40</v>
      </c>
      <c r="J58" s="4">
        <v>30054</v>
      </c>
      <c r="K58" s="202" t="s">
        <v>11</v>
      </c>
      <c r="L58" s="4">
        <v>4</v>
      </c>
      <c r="M58" s="4">
        <v>5</v>
      </c>
      <c r="N58" s="4" t="str">
        <f>_xlfn.CONCAT("DBX",((L58-1)*2),".5")</f>
        <v>DBX6.5</v>
      </c>
      <c r="O58" s="4" t="s">
        <v>781</v>
      </c>
      <c r="P58" s="4" t="s">
        <v>11</v>
      </c>
      <c r="Q58" s="4" t="s">
        <v>90</v>
      </c>
      <c r="R58" s="4"/>
      <c r="S58" s="4">
        <v>3922</v>
      </c>
      <c r="T58" s="4" t="s">
        <v>2551</v>
      </c>
      <c r="U58" s="4"/>
      <c r="V58" s="4"/>
      <c r="W58" s="4" t="s">
        <v>129</v>
      </c>
      <c r="X58" s="4">
        <f t="shared" si="0"/>
        <v>13</v>
      </c>
      <c r="Y58" s="4"/>
      <c r="Z58" s="4"/>
      <c r="AA58" s="4"/>
      <c r="AB58" s="4"/>
      <c r="AC58" s="4">
        <v>0</v>
      </c>
      <c r="AD58" s="4"/>
      <c r="AE58" s="4"/>
    </row>
    <row r="59" spans="1:31" x14ac:dyDescent="0.2">
      <c r="A59" s="201"/>
      <c r="B59" s="4" t="s">
        <v>3208</v>
      </c>
      <c r="C59" s="4">
        <v>55</v>
      </c>
      <c r="D59" s="203" t="s">
        <v>3212</v>
      </c>
      <c r="E59" s="203" t="s">
        <v>3213</v>
      </c>
      <c r="F59" s="4" t="s">
        <v>3222</v>
      </c>
      <c r="G59" s="203" t="s">
        <v>329</v>
      </c>
      <c r="H59" s="203" t="s">
        <v>3214</v>
      </c>
      <c r="I59" s="203" t="s">
        <v>85</v>
      </c>
      <c r="J59" s="4">
        <v>30055</v>
      </c>
      <c r="K59" s="202" t="s">
        <v>11</v>
      </c>
      <c r="L59" s="4">
        <v>4</v>
      </c>
      <c r="M59" s="4">
        <v>6</v>
      </c>
      <c r="N59" s="4" t="str">
        <f>_xlfn.CONCAT("DBX",((L59-1)*2),".6")</f>
        <v>DBX6.6</v>
      </c>
      <c r="O59" s="4" t="s">
        <v>781</v>
      </c>
      <c r="P59" s="203" t="s">
        <v>11</v>
      </c>
      <c r="Q59" s="203" t="s">
        <v>90</v>
      </c>
      <c r="R59" s="4"/>
      <c r="S59" s="4">
        <v>3922</v>
      </c>
      <c r="T59" s="4" t="s">
        <v>2551</v>
      </c>
      <c r="U59" s="4"/>
      <c r="V59" s="4"/>
      <c r="W59" s="210" t="s">
        <v>129</v>
      </c>
      <c r="X59" s="4">
        <f t="shared" si="0"/>
        <v>13</v>
      </c>
      <c r="Y59" s="4"/>
      <c r="Z59" s="4"/>
      <c r="AA59" s="4"/>
      <c r="AB59" s="4"/>
      <c r="AC59" s="4">
        <v>0</v>
      </c>
      <c r="AD59" s="4"/>
      <c r="AE59" s="4"/>
    </row>
    <row r="60" spans="1:31" x14ac:dyDescent="0.2">
      <c r="A60" s="201"/>
      <c r="B60" s="4" t="s">
        <v>88</v>
      </c>
      <c r="C60" s="4">
        <v>56</v>
      </c>
      <c r="D60" s="4" t="s">
        <v>352</v>
      </c>
      <c r="E60" s="4" t="s">
        <v>351</v>
      </c>
      <c r="F60" s="4" t="s">
        <v>2313</v>
      </c>
      <c r="G60" s="4" t="s">
        <v>329</v>
      </c>
      <c r="H60" s="4" t="s">
        <v>41</v>
      </c>
      <c r="I60" s="4" t="s">
        <v>85</v>
      </c>
      <c r="J60" s="4">
        <v>30056</v>
      </c>
      <c r="K60" s="202" t="s">
        <v>11</v>
      </c>
      <c r="L60" s="4">
        <v>4</v>
      </c>
      <c r="M60" s="4">
        <v>7</v>
      </c>
      <c r="N60" s="4" t="str">
        <f>_xlfn.CONCAT("DBX",((L60-1)*2),".7")</f>
        <v>DBX6.7</v>
      </c>
      <c r="O60" s="4" t="s">
        <v>781</v>
      </c>
      <c r="P60" s="4" t="s">
        <v>11</v>
      </c>
      <c r="Q60" s="4" t="s">
        <v>90</v>
      </c>
      <c r="R60" s="4"/>
      <c r="S60" s="4">
        <v>3922</v>
      </c>
      <c r="T60" s="4" t="s">
        <v>2551</v>
      </c>
      <c r="U60" s="4"/>
      <c r="V60" s="4"/>
      <c r="W60" s="4" t="s">
        <v>129</v>
      </c>
      <c r="X60" s="4">
        <f t="shared" si="0"/>
        <v>13</v>
      </c>
      <c r="Y60" s="4"/>
      <c r="Z60" s="4"/>
      <c r="AA60" s="4"/>
      <c r="AB60" s="4"/>
      <c r="AC60" s="4">
        <v>0</v>
      </c>
      <c r="AD60" s="4"/>
      <c r="AE60" s="4"/>
    </row>
    <row r="61" spans="1:31" x14ac:dyDescent="0.2">
      <c r="A61" s="201"/>
      <c r="B61" s="4" t="s">
        <v>33</v>
      </c>
      <c r="C61" s="4">
        <v>57</v>
      </c>
      <c r="D61" s="4" t="s">
        <v>2402</v>
      </c>
      <c r="E61" s="4" t="s">
        <v>2498</v>
      </c>
      <c r="F61" s="4" t="s">
        <v>2537</v>
      </c>
      <c r="G61" s="4" t="s">
        <v>329</v>
      </c>
      <c r="H61" s="4" t="s">
        <v>41</v>
      </c>
      <c r="I61" s="4" t="s">
        <v>84</v>
      </c>
      <c r="J61" s="4">
        <v>30057</v>
      </c>
      <c r="K61" s="4" t="s">
        <v>99</v>
      </c>
      <c r="L61" s="4">
        <v>4</v>
      </c>
      <c r="M61" s="4">
        <v>8</v>
      </c>
      <c r="N61" s="4" t="str">
        <f>_xlfn.CONCAT("DBX",((L61-1)*2)+1,".0")</f>
        <v>DBX7.0</v>
      </c>
      <c r="O61" s="4" t="s">
        <v>781</v>
      </c>
      <c r="P61" s="4" t="s">
        <v>99</v>
      </c>
      <c r="Q61" s="4" t="s">
        <v>12</v>
      </c>
      <c r="R61" s="4"/>
      <c r="S61" s="4">
        <v>3922</v>
      </c>
      <c r="T61" s="4" t="s">
        <v>2551</v>
      </c>
      <c r="U61" s="4"/>
      <c r="V61" s="4"/>
      <c r="W61" s="4" t="s">
        <v>120</v>
      </c>
      <c r="X61" s="4">
        <f t="shared" si="0"/>
        <v>4</v>
      </c>
      <c r="Y61" s="4"/>
      <c r="Z61" s="4"/>
      <c r="AA61" s="4"/>
      <c r="AB61" s="4"/>
      <c r="AC61" s="4">
        <v>1</v>
      </c>
      <c r="AD61" s="4"/>
      <c r="AE61" s="4"/>
    </row>
    <row r="62" spans="1:31" x14ac:dyDescent="0.2">
      <c r="A62" s="201"/>
      <c r="B62" s="4" t="s">
        <v>104</v>
      </c>
      <c r="C62" s="4">
        <v>58</v>
      </c>
      <c r="D62" s="4" t="s">
        <v>360</v>
      </c>
      <c r="E62" s="4" t="s">
        <v>361</v>
      </c>
      <c r="F62" s="4" t="s">
        <v>362</v>
      </c>
      <c r="G62" s="4" t="s">
        <v>329</v>
      </c>
      <c r="H62" s="4" t="s">
        <v>359</v>
      </c>
      <c r="I62" s="4" t="s">
        <v>84</v>
      </c>
      <c r="J62" s="4">
        <v>30058</v>
      </c>
      <c r="K62" s="202" t="s">
        <v>11</v>
      </c>
      <c r="L62" s="4">
        <v>4</v>
      </c>
      <c r="M62" s="4">
        <v>9</v>
      </c>
      <c r="N62" s="4" t="str">
        <f>_xlfn.CONCAT("DBX",((L62-1)*2)+1,".1")</f>
        <v>DBX7.1</v>
      </c>
      <c r="O62" s="4" t="s">
        <v>781</v>
      </c>
      <c r="P62" s="4" t="s">
        <v>11</v>
      </c>
      <c r="Q62" s="4" t="s">
        <v>12</v>
      </c>
      <c r="R62" s="4"/>
      <c r="S62" s="4">
        <v>3922</v>
      </c>
      <c r="T62" s="4" t="s">
        <v>2551</v>
      </c>
      <c r="U62" s="4"/>
      <c r="V62" s="4"/>
      <c r="W62" s="4" t="s">
        <v>129</v>
      </c>
      <c r="X62" s="4">
        <f t="shared" si="0"/>
        <v>13</v>
      </c>
      <c r="Y62" s="4"/>
      <c r="Z62" s="4"/>
      <c r="AA62" s="4"/>
      <c r="AB62" s="4"/>
      <c r="AC62" s="4">
        <v>1</v>
      </c>
      <c r="AD62" s="4"/>
      <c r="AE62" s="4"/>
    </row>
    <row r="63" spans="1:31" x14ac:dyDescent="0.2">
      <c r="A63" s="201"/>
      <c r="B63" s="4" t="s">
        <v>104</v>
      </c>
      <c r="C63" s="4">
        <v>59</v>
      </c>
      <c r="D63" s="4" t="s">
        <v>363</v>
      </c>
      <c r="E63" s="4" t="s">
        <v>364</v>
      </c>
      <c r="F63" s="4" t="s">
        <v>365</v>
      </c>
      <c r="G63" s="4" t="s">
        <v>329</v>
      </c>
      <c r="H63" s="4" t="s">
        <v>359</v>
      </c>
      <c r="I63" s="4" t="s">
        <v>85</v>
      </c>
      <c r="J63" s="4">
        <v>30059</v>
      </c>
      <c r="K63" s="202" t="s">
        <v>99</v>
      </c>
      <c r="L63" s="4">
        <v>4</v>
      </c>
      <c r="M63" s="4">
        <v>10</v>
      </c>
      <c r="N63" s="4" t="str">
        <f>_xlfn.CONCAT("DBX",((L63-1)*2)+1,".2")</f>
        <v>DBX7.2</v>
      </c>
      <c r="O63" s="4" t="s">
        <v>781</v>
      </c>
      <c r="P63" s="4" t="s">
        <v>99</v>
      </c>
      <c r="Q63" s="4" t="s">
        <v>92</v>
      </c>
      <c r="R63" s="4"/>
      <c r="S63" s="4">
        <v>3922</v>
      </c>
      <c r="T63" s="4" t="s">
        <v>2551</v>
      </c>
      <c r="U63" s="4"/>
      <c r="V63" s="4"/>
      <c r="W63" s="4" t="s">
        <v>129</v>
      </c>
      <c r="X63" s="4">
        <f t="shared" si="0"/>
        <v>13</v>
      </c>
      <c r="Y63" s="4"/>
      <c r="Z63" s="4"/>
      <c r="AA63" s="4"/>
      <c r="AB63" s="4"/>
      <c r="AC63" s="4">
        <v>1</v>
      </c>
      <c r="AD63" s="4"/>
      <c r="AE63" s="4"/>
    </row>
    <row r="64" spans="1:31" s="207" customFormat="1" x14ac:dyDescent="0.2">
      <c r="A64" s="204"/>
      <c r="B64" s="4" t="s">
        <v>33</v>
      </c>
      <c r="C64" s="205">
        <v>60</v>
      </c>
      <c r="D64" s="205" t="s">
        <v>366</v>
      </c>
      <c r="E64" s="205" t="s">
        <v>367</v>
      </c>
      <c r="F64" s="205" t="s">
        <v>368</v>
      </c>
      <c r="G64" s="205" t="s">
        <v>329</v>
      </c>
      <c r="H64" s="205" t="s">
        <v>359</v>
      </c>
      <c r="I64" s="205" t="s">
        <v>85</v>
      </c>
      <c r="J64" s="4">
        <v>30060</v>
      </c>
      <c r="K64" s="206" t="s">
        <v>99</v>
      </c>
      <c r="L64" s="205">
        <v>4</v>
      </c>
      <c r="M64" s="205">
        <v>11</v>
      </c>
      <c r="N64" s="4" t="str">
        <f>_xlfn.CONCAT("DBX",((L64-1)*2)+1,".3")</f>
        <v>DBX7.3</v>
      </c>
      <c r="O64" s="205" t="s">
        <v>781</v>
      </c>
      <c r="P64" s="205" t="s">
        <v>99</v>
      </c>
      <c r="Q64" s="205" t="s">
        <v>12</v>
      </c>
      <c r="R64" s="205"/>
      <c r="S64" s="205">
        <v>3922</v>
      </c>
      <c r="T64" s="205" t="s">
        <v>2551</v>
      </c>
      <c r="U64" s="205"/>
      <c r="V64" s="205"/>
      <c r="W64" s="205" t="s">
        <v>129</v>
      </c>
      <c r="X64" s="205">
        <f t="shared" si="0"/>
        <v>13</v>
      </c>
      <c r="Y64" s="205"/>
      <c r="Z64" s="205"/>
      <c r="AA64" s="205"/>
      <c r="AB64" s="205"/>
      <c r="AC64" s="4">
        <v>1</v>
      </c>
      <c r="AD64" s="205"/>
      <c r="AE64" s="205"/>
    </row>
    <row r="65" spans="1:31" x14ac:dyDescent="0.2">
      <c r="A65" s="201"/>
      <c r="B65" s="4" t="s">
        <v>104</v>
      </c>
      <c r="C65" s="4">
        <v>61</v>
      </c>
      <c r="D65" s="4" t="s">
        <v>369</v>
      </c>
      <c r="E65" s="4" t="s">
        <v>370</v>
      </c>
      <c r="F65" s="4" t="s">
        <v>371</v>
      </c>
      <c r="G65" s="4" t="s">
        <v>329</v>
      </c>
      <c r="H65" s="4" t="s">
        <v>359</v>
      </c>
      <c r="I65" s="4" t="s">
        <v>85</v>
      </c>
      <c r="J65" s="4">
        <v>30061</v>
      </c>
      <c r="K65" s="202" t="s">
        <v>99</v>
      </c>
      <c r="L65" s="4">
        <v>4</v>
      </c>
      <c r="M65" s="4">
        <v>12</v>
      </c>
      <c r="N65" s="4" t="str">
        <f>_xlfn.CONCAT("DBX",((L65-1)*2)+1,".4")</f>
        <v>DBX7.4</v>
      </c>
      <c r="O65" s="4" t="s">
        <v>781</v>
      </c>
      <c r="P65" s="4" t="s">
        <v>99</v>
      </c>
      <c r="Q65" s="4" t="s">
        <v>92</v>
      </c>
      <c r="R65" s="4"/>
      <c r="S65" s="4">
        <v>3922</v>
      </c>
      <c r="T65" s="4" t="s">
        <v>2551</v>
      </c>
      <c r="U65" s="4"/>
      <c r="V65" s="4"/>
      <c r="W65" s="4" t="s">
        <v>129</v>
      </c>
      <c r="X65" s="4">
        <f t="shared" si="0"/>
        <v>13</v>
      </c>
      <c r="Y65" s="4"/>
      <c r="Z65" s="4"/>
      <c r="AA65" s="4"/>
      <c r="AB65" s="4"/>
      <c r="AC65" s="4">
        <v>1</v>
      </c>
      <c r="AD65" s="4"/>
      <c r="AE65" s="4"/>
    </row>
    <row r="66" spans="1:31" x14ac:dyDescent="0.2">
      <c r="A66" s="201"/>
      <c r="B66" s="4" t="s">
        <v>33</v>
      </c>
      <c r="C66" s="4">
        <v>62</v>
      </c>
      <c r="D66" s="4" t="s">
        <v>2403</v>
      </c>
      <c r="E66" s="4" t="s">
        <v>2404</v>
      </c>
      <c r="F66" s="4" t="s">
        <v>2503</v>
      </c>
      <c r="G66" s="4" t="s">
        <v>40</v>
      </c>
      <c r="H66" s="4" t="s">
        <v>1179</v>
      </c>
      <c r="I66" s="4" t="s">
        <v>40</v>
      </c>
      <c r="J66" s="4">
        <v>30062</v>
      </c>
      <c r="K66" s="4" t="s">
        <v>99</v>
      </c>
      <c r="L66" s="4">
        <v>4</v>
      </c>
      <c r="M66" s="4">
        <v>13</v>
      </c>
      <c r="N66" s="4" t="str">
        <f>_xlfn.CONCAT("DBX",((L66-1)*2)+1,".5")</f>
        <v>DBX7.5</v>
      </c>
      <c r="O66" s="4" t="s">
        <v>781</v>
      </c>
      <c r="P66" s="4" t="s">
        <v>99</v>
      </c>
      <c r="Q66" s="4" t="s">
        <v>91</v>
      </c>
      <c r="R66" s="4"/>
      <c r="S66" s="4">
        <v>3922</v>
      </c>
      <c r="T66" s="4" t="s">
        <v>2551</v>
      </c>
      <c r="U66" s="4"/>
      <c r="V66" s="4"/>
      <c r="W66" s="4" t="s">
        <v>122</v>
      </c>
      <c r="X66" s="4">
        <f t="shared" si="0"/>
        <v>6</v>
      </c>
      <c r="Y66" s="4"/>
      <c r="Z66" s="4"/>
      <c r="AA66" s="4"/>
      <c r="AB66" s="4"/>
      <c r="AC66" s="4">
        <v>1</v>
      </c>
      <c r="AD66" s="4"/>
      <c r="AE66" s="4"/>
    </row>
    <row r="67" spans="1:31" x14ac:dyDescent="0.2">
      <c r="A67" s="201"/>
      <c r="B67" s="4" t="s">
        <v>104</v>
      </c>
      <c r="C67" s="4">
        <v>63</v>
      </c>
      <c r="D67" s="4" t="s">
        <v>372</v>
      </c>
      <c r="E67" s="4" t="s">
        <v>373</v>
      </c>
      <c r="F67" s="4" t="s">
        <v>374</v>
      </c>
      <c r="G67" s="4" t="s">
        <v>40</v>
      </c>
      <c r="H67" s="4" t="s">
        <v>41</v>
      </c>
      <c r="I67" s="4" t="s">
        <v>40</v>
      </c>
      <c r="J67" s="4">
        <v>30063</v>
      </c>
      <c r="K67" s="202" t="s">
        <v>11</v>
      </c>
      <c r="L67" s="4">
        <v>4</v>
      </c>
      <c r="M67" s="4">
        <v>14</v>
      </c>
      <c r="N67" s="4" t="str">
        <f>_xlfn.CONCAT("DBX",((L67-1)*2)+1,".6")</f>
        <v>DBX7.6</v>
      </c>
      <c r="O67" s="4" t="s">
        <v>781</v>
      </c>
      <c r="P67" s="4" t="s">
        <v>11</v>
      </c>
      <c r="Q67" s="4" t="s">
        <v>12</v>
      </c>
      <c r="R67" s="4"/>
      <c r="S67" s="4">
        <v>3922</v>
      </c>
      <c r="T67" s="4" t="s">
        <v>2551</v>
      </c>
      <c r="U67" s="4"/>
      <c r="V67" s="4"/>
      <c r="W67" s="4" t="s">
        <v>129</v>
      </c>
      <c r="X67" s="4">
        <f t="shared" si="0"/>
        <v>13</v>
      </c>
      <c r="Y67" s="4"/>
      <c r="Z67" s="4"/>
      <c r="AA67" s="4"/>
      <c r="AB67" s="4"/>
      <c r="AC67" s="4">
        <v>1</v>
      </c>
      <c r="AD67" s="4"/>
      <c r="AE67" s="4"/>
    </row>
    <row r="68" spans="1:31" x14ac:dyDescent="0.2">
      <c r="A68" s="201"/>
      <c r="B68" s="4" t="s">
        <v>104</v>
      </c>
      <c r="C68" s="4">
        <v>64</v>
      </c>
      <c r="D68" s="4" t="s">
        <v>375</v>
      </c>
      <c r="E68" s="4" t="s">
        <v>376</v>
      </c>
      <c r="F68" s="4" t="s">
        <v>377</v>
      </c>
      <c r="G68" s="4" t="s">
        <v>40</v>
      </c>
      <c r="H68" s="4" t="s">
        <v>41</v>
      </c>
      <c r="I68" s="4" t="s">
        <v>40</v>
      </c>
      <c r="J68" s="4">
        <v>30064</v>
      </c>
      <c r="K68" s="202" t="s">
        <v>11</v>
      </c>
      <c r="L68" s="4">
        <v>4</v>
      </c>
      <c r="M68" s="4">
        <v>15</v>
      </c>
      <c r="N68" s="4" t="str">
        <f>_xlfn.CONCAT("DBX",((L68-1)*2)+1,".7")</f>
        <v>DBX7.7</v>
      </c>
      <c r="O68" s="4" t="s">
        <v>781</v>
      </c>
      <c r="P68" s="4" t="s">
        <v>11</v>
      </c>
      <c r="Q68" s="4" t="s">
        <v>12</v>
      </c>
      <c r="R68" s="4"/>
      <c r="S68" s="4">
        <v>3922</v>
      </c>
      <c r="T68" s="4" t="s">
        <v>2551</v>
      </c>
      <c r="U68" s="4"/>
      <c r="V68" s="4"/>
      <c r="W68" s="4" t="s">
        <v>129</v>
      </c>
      <c r="X68" s="4">
        <f t="shared" si="0"/>
        <v>13</v>
      </c>
      <c r="Y68" s="4"/>
      <c r="Z68" s="4"/>
      <c r="AA68" s="4"/>
      <c r="AB68" s="4"/>
      <c r="AC68" s="4">
        <v>1</v>
      </c>
      <c r="AD68" s="4"/>
      <c r="AE68" s="4"/>
    </row>
    <row r="69" spans="1:31" x14ac:dyDescent="0.2">
      <c r="A69" s="201"/>
      <c r="B69" s="4" t="s">
        <v>104</v>
      </c>
      <c r="C69" s="4">
        <v>65</v>
      </c>
      <c r="D69" s="4" t="s">
        <v>357</v>
      </c>
      <c r="E69" s="4" t="s">
        <v>358</v>
      </c>
      <c r="F69" s="4" t="s">
        <v>378</v>
      </c>
      <c r="G69" s="4" t="s">
        <v>356</v>
      </c>
      <c r="H69" s="4" t="s">
        <v>41</v>
      </c>
      <c r="I69" s="4" t="s">
        <v>40</v>
      </c>
      <c r="J69" s="4">
        <v>30065</v>
      </c>
      <c r="K69" s="202" t="s">
        <v>11</v>
      </c>
      <c r="L69" s="4">
        <v>5</v>
      </c>
      <c r="M69" s="4">
        <v>0</v>
      </c>
      <c r="N69" s="4" t="str">
        <f>_xlfn.CONCAT("DBX",((L69-1)*2),".0")</f>
        <v>DBX8.0</v>
      </c>
      <c r="O69" s="4" t="s">
        <v>781</v>
      </c>
      <c r="P69" s="4" t="s">
        <v>11</v>
      </c>
      <c r="Q69" s="4" t="s">
        <v>12</v>
      </c>
      <c r="R69" s="4"/>
      <c r="S69" s="4">
        <v>3922</v>
      </c>
      <c r="T69" s="4" t="s">
        <v>2551</v>
      </c>
      <c r="U69" s="4"/>
      <c r="V69" s="4"/>
      <c r="W69" s="4" t="s">
        <v>129</v>
      </c>
      <c r="X69" s="4">
        <f t="shared" ref="X69:X132" si="1">VLOOKUP(W69,$W$1609:$X$1639,2,FALSE)</f>
        <v>13</v>
      </c>
      <c r="Y69" s="4"/>
      <c r="Z69" s="4"/>
      <c r="AA69" s="4"/>
      <c r="AB69" s="4"/>
      <c r="AC69" s="4">
        <v>1</v>
      </c>
      <c r="AD69" s="4"/>
      <c r="AE69" s="4"/>
    </row>
    <row r="70" spans="1:31" x14ac:dyDescent="0.2">
      <c r="A70" s="201"/>
      <c r="B70" s="4" t="s">
        <v>104</v>
      </c>
      <c r="C70" s="4">
        <v>66</v>
      </c>
      <c r="D70" s="4" t="s">
        <v>353</v>
      </c>
      <c r="E70" s="4" t="s">
        <v>354</v>
      </c>
      <c r="F70" s="4" t="s">
        <v>355</v>
      </c>
      <c r="G70" s="4" t="s">
        <v>356</v>
      </c>
      <c r="H70" s="4" t="s">
        <v>41</v>
      </c>
      <c r="I70" s="4" t="s">
        <v>40</v>
      </c>
      <c r="J70" s="4">
        <v>30066</v>
      </c>
      <c r="K70" s="202" t="s">
        <v>11</v>
      </c>
      <c r="L70" s="4">
        <v>5</v>
      </c>
      <c r="M70" s="4">
        <v>1</v>
      </c>
      <c r="N70" s="4" t="str">
        <f>_xlfn.CONCAT("DBX",((L70-1)*2),".1")</f>
        <v>DBX8.1</v>
      </c>
      <c r="O70" s="4" t="s">
        <v>781</v>
      </c>
      <c r="P70" s="4" t="s">
        <v>11</v>
      </c>
      <c r="Q70" s="4" t="s">
        <v>90</v>
      </c>
      <c r="R70" s="4"/>
      <c r="S70" s="4">
        <v>3922</v>
      </c>
      <c r="T70" s="4" t="s">
        <v>2551</v>
      </c>
      <c r="U70" s="4"/>
      <c r="V70" s="4"/>
      <c r="W70" s="4" t="s">
        <v>129</v>
      </c>
      <c r="X70" s="4">
        <f t="shared" si="1"/>
        <v>13</v>
      </c>
      <c r="Y70" s="4"/>
      <c r="Z70" s="4"/>
      <c r="AA70" s="4"/>
      <c r="AB70" s="4"/>
      <c r="AC70" s="4">
        <v>0</v>
      </c>
      <c r="AD70" s="4"/>
      <c r="AE70" s="4"/>
    </row>
    <row r="71" spans="1:31" x14ac:dyDescent="0.2">
      <c r="A71" s="201"/>
      <c r="B71" s="4" t="s">
        <v>34</v>
      </c>
      <c r="C71" s="4">
        <v>67</v>
      </c>
      <c r="D71" s="4"/>
      <c r="E71" s="4"/>
      <c r="F71" s="4"/>
      <c r="G71" s="4"/>
      <c r="H71" s="4"/>
      <c r="I71" s="4"/>
      <c r="J71" s="4">
        <v>30067</v>
      </c>
      <c r="K71" s="202"/>
      <c r="L71" s="4">
        <v>5</v>
      </c>
      <c r="M71" s="4">
        <v>2</v>
      </c>
      <c r="N71" s="4" t="str">
        <f>_xlfn.CONCAT("DBX",((L71-1)*2),".2")</f>
        <v>DBX8.2</v>
      </c>
      <c r="O71" s="4" t="s">
        <v>781</v>
      </c>
      <c r="P71" s="4"/>
      <c r="Q71" s="4"/>
      <c r="R71" s="4"/>
      <c r="S71" s="4"/>
      <c r="T71" s="4"/>
      <c r="U71" s="4"/>
      <c r="V71" s="4"/>
      <c r="W71" s="4"/>
      <c r="X71" s="4" t="e">
        <f t="shared" si="1"/>
        <v>#N/A</v>
      </c>
      <c r="Y71" s="4"/>
      <c r="Z71" s="4"/>
      <c r="AA71" s="4"/>
      <c r="AB71" s="4"/>
      <c r="AC71" s="4"/>
      <c r="AD71" s="4"/>
      <c r="AE71" s="4"/>
    </row>
    <row r="72" spans="1:31" x14ac:dyDescent="0.2">
      <c r="A72" s="201"/>
      <c r="B72" s="4" t="s">
        <v>34</v>
      </c>
      <c r="C72" s="4">
        <v>68</v>
      </c>
      <c r="D72" s="4"/>
      <c r="E72" s="4"/>
      <c r="F72" s="4"/>
      <c r="G72" s="4"/>
      <c r="H72" s="4"/>
      <c r="I72" s="4"/>
      <c r="J72" s="4">
        <v>30068</v>
      </c>
      <c r="K72" s="202"/>
      <c r="L72" s="4">
        <v>5</v>
      </c>
      <c r="M72" s="4">
        <v>3</v>
      </c>
      <c r="N72" s="4" t="str">
        <f>_xlfn.CONCAT("DBX",((L72-1)*2),".3")</f>
        <v>DBX8.3</v>
      </c>
      <c r="O72" s="4" t="s">
        <v>781</v>
      </c>
      <c r="P72" s="4"/>
      <c r="Q72" s="4"/>
      <c r="R72" s="4"/>
      <c r="S72" s="4"/>
      <c r="T72" s="4"/>
      <c r="U72" s="4"/>
      <c r="V72" s="4"/>
      <c r="W72" s="4"/>
      <c r="X72" s="4" t="e">
        <f t="shared" si="1"/>
        <v>#N/A</v>
      </c>
      <c r="Y72" s="4"/>
      <c r="Z72" s="4"/>
      <c r="AA72" s="4"/>
      <c r="AB72" s="4"/>
      <c r="AC72" s="4"/>
      <c r="AD72" s="4"/>
      <c r="AE72" s="4"/>
    </row>
    <row r="73" spans="1:31" x14ac:dyDescent="0.2">
      <c r="A73" s="201"/>
      <c r="B73" s="4" t="s">
        <v>104</v>
      </c>
      <c r="C73" s="4">
        <v>69</v>
      </c>
      <c r="D73" s="4" t="s">
        <v>379</v>
      </c>
      <c r="E73" s="4" t="s">
        <v>380</v>
      </c>
      <c r="F73" s="4" t="s">
        <v>381</v>
      </c>
      <c r="G73" s="4" t="s">
        <v>356</v>
      </c>
      <c r="H73" s="4" t="s">
        <v>359</v>
      </c>
      <c r="I73" s="4" t="s">
        <v>40</v>
      </c>
      <c r="J73" s="4">
        <v>30069</v>
      </c>
      <c r="K73" s="202" t="s">
        <v>11</v>
      </c>
      <c r="L73" s="4">
        <v>5</v>
      </c>
      <c r="M73" s="4">
        <v>4</v>
      </c>
      <c r="N73" s="4" t="str">
        <f>_xlfn.CONCAT("DBX",((L73-1)*2),".4")</f>
        <v>DBX8.4</v>
      </c>
      <c r="O73" s="4" t="s">
        <v>781</v>
      </c>
      <c r="P73" s="4" t="s">
        <v>11</v>
      </c>
      <c r="Q73" s="4" t="s">
        <v>91</v>
      </c>
      <c r="R73" s="4"/>
      <c r="S73" s="4">
        <v>3922</v>
      </c>
      <c r="T73" s="4" t="s">
        <v>2551</v>
      </c>
      <c r="U73" s="4"/>
      <c r="V73" s="4"/>
      <c r="W73" s="4" t="s">
        <v>129</v>
      </c>
      <c r="X73" s="4">
        <f t="shared" si="1"/>
        <v>13</v>
      </c>
      <c r="Y73" s="4"/>
      <c r="Z73" s="4"/>
      <c r="AA73" s="4"/>
      <c r="AB73" s="4"/>
      <c r="AC73" s="4">
        <v>1</v>
      </c>
      <c r="AD73" s="4"/>
      <c r="AE73" s="4"/>
    </row>
    <row r="74" spans="1:31" x14ac:dyDescent="0.2">
      <c r="A74" s="201"/>
      <c r="B74" s="4" t="s">
        <v>104</v>
      </c>
      <c r="C74" s="4">
        <v>70</v>
      </c>
      <c r="D74" s="4" t="s">
        <v>382</v>
      </c>
      <c r="E74" s="4" t="s">
        <v>383</v>
      </c>
      <c r="F74" s="4" t="s">
        <v>384</v>
      </c>
      <c r="G74" s="4" t="s">
        <v>329</v>
      </c>
      <c r="H74" s="4" t="s">
        <v>359</v>
      </c>
      <c r="I74" s="4" t="s">
        <v>85</v>
      </c>
      <c r="J74" s="4">
        <v>30070</v>
      </c>
      <c r="K74" s="202" t="s">
        <v>11</v>
      </c>
      <c r="L74" s="4">
        <v>5</v>
      </c>
      <c r="M74" s="4">
        <v>5</v>
      </c>
      <c r="N74" s="4" t="str">
        <f>_xlfn.CONCAT("DBX",((L74-1)*2),".5")</f>
        <v>DBX8.5</v>
      </c>
      <c r="O74" s="4" t="s">
        <v>781</v>
      </c>
      <c r="P74" s="4" t="s">
        <v>11</v>
      </c>
      <c r="Q74" s="4" t="s">
        <v>92</v>
      </c>
      <c r="R74" s="4"/>
      <c r="S74" s="4">
        <v>3922</v>
      </c>
      <c r="T74" s="4" t="s">
        <v>2551</v>
      </c>
      <c r="U74" s="4"/>
      <c r="V74" s="4"/>
      <c r="W74" s="4" t="s">
        <v>129</v>
      </c>
      <c r="X74" s="4">
        <f t="shared" si="1"/>
        <v>13</v>
      </c>
      <c r="Y74" s="4"/>
      <c r="Z74" s="4"/>
      <c r="AA74" s="4"/>
      <c r="AB74" s="4"/>
      <c r="AC74" s="4">
        <v>1</v>
      </c>
      <c r="AD74" s="4"/>
      <c r="AE74" s="4"/>
    </row>
    <row r="75" spans="1:31" x14ac:dyDescent="0.2">
      <c r="A75" s="201"/>
      <c r="B75" s="4" t="s">
        <v>34</v>
      </c>
      <c r="C75" s="4">
        <v>71</v>
      </c>
      <c r="D75" s="4"/>
      <c r="E75" s="4"/>
      <c r="F75" s="4"/>
      <c r="G75" s="4"/>
      <c r="H75" s="4"/>
      <c r="I75" s="4"/>
      <c r="J75" s="4">
        <v>30071</v>
      </c>
      <c r="K75" s="202"/>
      <c r="L75" s="4">
        <v>5</v>
      </c>
      <c r="M75" s="4">
        <v>6</v>
      </c>
      <c r="N75" s="4" t="str">
        <f>_xlfn.CONCAT("DBX",((L75-1)*2),".6")</f>
        <v>DBX8.6</v>
      </c>
      <c r="O75" s="4" t="s">
        <v>781</v>
      </c>
      <c r="P75" s="4"/>
      <c r="Q75" s="4"/>
      <c r="R75" s="4"/>
      <c r="S75" s="4"/>
      <c r="T75" s="4"/>
      <c r="U75" s="4"/>
      <c r="V75" s="4"/>
      <c r="W75" s="4"/>
      <c r="X75" s="4" t="e">
        <f t="shared" si="1"/>
        <v>#N/A</v>
      </c>
      <c r="Y75" s="4"/>
      <c r="Z75" s="4"/>
      <c r="AA75" s="4"/>
      <c r="AB75" s="4"/>
      <c r="AC75" s="4"/>
      <c r="AD75" s="4"/>
      <c r="AE75" s="4"/>
    </row>
    <row r="76" spans="1:31" x14ac:dyDescent="0.2">
      <c r="A76" s="201"/>
      <c r="B76" s="4" t="s">
        <v>34</v>
      </c>
      <c r="C76" s="4">
        <v>72</v>
      </c>
      <c r="D76" s="4"/>
      <c r="E76" s="4"/>
      <c r="F76" s="4"/>
      <c r="G76" s="4"/>
      <c r="H76" s="4"/>
      <c r="I76" s="4"/>
      <c r="J76" s="4">
        <v>30072</v>
      </c>
      <c r="K76" s="202"/>
      <c r="L76" s="4">
        <v>5</v>
      </c>
      <c r="M76" s="4">
        <v>7</v>
      </c>
      <c r="N76" s="4" t="str">
        <f>_xlfn.CONCAT("DBX",((L76-1)*2),".7")</f>
        <v>DBX8.7</v>
      </c>
      <c r="O76" s="4" t="s">
        <v>781</v>
      </c>
      <c r="P76" s="4"/>
      <c r="Q76" s="4"/>
      <c r="R76" s="4"/>
      <c r="S76" s="4"/>
      <c r="T76" s="4"/>
      <c r="U76" s="4"/>
      <c r="V76" s="4"/>
      <c r="W76" s="4"/>
      <c r="X76" s="4" t="e">
        <f t="shared" si="1"/>
        <v>#N/A</v>
      </c>
      <c r="Y76" s="4"/>
      <c r="Z76" s="4"/>
      <c r="AA76" s="4"/>
      <c r="AB76" s="4"/>
      <c r="AC76" s="4"/>
      <c r="AD76" s="4"/>
      <c r="AE76" s="4"/>
    </row>
    <row r="77" spans="1:31" x14ac:dyDescent="0.2">
      <c r="A77" s="201"/>
      <c r="B77" s="4" t="s">
        <v>88</v>
      </c>
      <c r="C77" s="4">
        <v>73</v>
      </c>
      <c r="D77" s="4" t="s">
        <v>385</v>
      </c>
      <c r="E77" s="4" t="s">
        <v>386</v>
      </c>
      <c r="F77" s="4" t="s">
        <v>387</v>
      </c>
      <c r="G77" s="4" t="s">
        <v>329</v>
      </c>
      <c r="H77" s="4" t="s">
        <v>359</v>
      </c>
      <c r="I77" s="4" t="s">
        <v>85</v>
      </c>
      <c r="J77" s="4">
        <v>30073</v>
      </c>
      <c r="K77" s="202" t="s">
        <v>11</v>
      </c>
      <c r="L77" s="4">
        <v>5</v>
      </c>
      <c r="M77" s="4">
        <v>8</v>
      </c>
      <c r="N77" s="4" t="str">
        <f>_xlfn.CONCAT("DBX",((L77-1)*2)+1,".0")</f>
        <v>DBX9.0</v>
      </c>
      <c r="O77" s="4" t="s">
        <v>781</v>
      </c>
      <c r="P77" s="4" t="s">
        <v>11</v>
      </c>
      <c r="Q77" s="4" t="s">
        <v>12</v>
      </c>
      <c r="R77" s="4"/>
      <c r="S77" s="4">
        <v>3922</v>
      </c>
      <c r="T77" s="4" t="s">
        <v>2551</v>
      </c>
      <c r="U77" s="4"/>
      <c r="V77" s="4"/>
      <c r="W77" s="4" t="s">
        <v>129</v>
      </c>
      <c r="X77" s="4">
        <f t="shared" si="1"/>
        <v>13</v>
      </c>
      <c r="Y77" s="4"/>
      <c r="Z77" s="4"/>
      <c r="AA77" s="4"/>
      <c r="AB77" s="4"/>
      <c r="AC77" s="4">
        <v>1</v>
      </c>
      <c r="AD77" s="4"/>
      <c r="AE77" s="4"/>
    </row>
    <row r="78" spans="1:31" x14ac:dyDescent="0.2">
      <c r="A78" s="201"/>
      <c r="B78" s="4" t="s">
        <v>104</v>
      </c>
      <c r="C78" s="4">
        <v>74</v>
      </c>
      <c r="D78" s="4" t="s">
        <v>388</v>
      </c>
      <c r="E78" s="4" t="s">
        <v>389</v>
      </c>
      <c r="F78" s="4" t="s">
        <v>390</v>
      </c>
      <c r="G78" s="4" t="s">
        <v>40</v>
      </c>
      <c r="H78" s="4" t="s">
        <v>41</v>
      </c>
      <c r="I78" s="4" t="s">
        <v>40</v>
      </c>
      <c r="J78" s="4">
        <v>30074</v>
      </c>
      <c r="K78" s="202" t="s">
        <v>99</v>
      </c>
      <c r="L78" s="4">
        <v>5</v>
      </c>
      <c r="M78" s="4">
        <v>9</v>
      </c>
      <c r="N78" s="4" t="str">
        <f>_xlfn.CONCAT("DBX",((L78-1)*2)+1,".1")</f>
        <v>DBX9.1</v>
      </c>
      <c r="O78" s="4" t="s">
        <v>781</v>
      </c>
      <c r="P78" s="4" t="s">
        <v>99</v>
      </c>
      <c r="Q78" s="4" t="s">
        <v>88</v>
      </c>
      <c r="R78" s="4"/>
      <c r="S78" s="4">
        <v>3922</v>
      </c>
      <c r="T78" s="4" t="s">
        <v>2551</v>
      </c>
      <c r="U78" s="4"/>
      <c r="V78" s="4"/>
      <c r="W78" s="4" t="s">
        <v>121</v>
      </c>
      <c r="X78" s="4">
        <f t="shared" si="1"/>
        <v>5</v>
      </c>
      <c r="Y78" s="4" t="s">
        <v>2307</v>
      </c>
      <c r="Z78" s="4"/>
      <c r="AA78" s="4"/>
      <c r="AB78" s="4"/>
      <c r="AC78" s="4">
        <v>1</v>
      </c>
      <c r="AD78" s="4"/>
      <c r="AE78" s="4"/>
    </row>
    <row r="79" spans="1:31" x14ac:dyDescent="0.2">
      <c r="A79" s="201"/>
      <c r="B79" s="4" t="s">
        <v>104</v>
      </c>
      <c r="C79" s="4">
        <v>75</v>
      </c>
      <c r="D79" s="4" t="s">
        <v>391</v>
      </c>
      <c r="E79" s="4" t="s">
        <v>392</v>
      </c>
      <c r="F79" s="4" t="s">
        <v>393</v>
      </c>
      <c r="G79" s="4" t="s">
        <v>40</v>
      </c>
      <c r="H79" s="4" t="s">
        <v>41</v>
      </c>
      <c r="I79" s="4" t="s">
        <v>40</v>
      </c>
      <c r="J79" s="4">
        <v>30075</v>
      </c>
      <c r="K79" s="202" t="s">
        <v>99</v>
      </c>
      <c r="L79" s="4">
        <v>5</v>
      </c>
      <c r="M79" s="4">
        <v>10</v>
      </c>
      <c r="N79" s="4" t="str">
        <f>_xlfn.CONCAT("DBX",((L79-1)*2)+1,".2")</f>
        <v>DBX9.2</v>
      </c>
      <c r="O79" s="4" t="s">
        <v>781</v>
      </c>
      <c r="P79" s="4" t="s">
        <v>99</v>
      </c>
      <c r="Q79" s="4" t="s">
        <v>92</v>
      </c>
      <c r="R79" s="4"/>
      <c r="S79" s="4">
        <v>3922</v>
      </c>
      <c r="T79" s="4" t="s">
        <v>2551</v>
      </c>
      <c r="U79" s="4"/>
      <c r="V79" s="4"/>
      <c r="W79" s="4" t="s">
        <v>129</v>
      </c>
      <c r="X79" s="4">
        <f t="shared" si="1"/>
        <v>13</v>
      </c>
      <c r="Y79" s="4"/>
      <c r="Z79" s="4"/>
      <c r="AA79" s="4"/>
      <c r="AB79" s="4"/>
      <c r="AC79" s="4">
        <v>1</v>
      </c>
      <c r="AD79" s="4"/>
      <c r="AE79" s="4"/>
    </row>
    <row r="80" spans="1:31" x14ac:dyDescent="0.2">
      <c r="A80" s="201"/>
      <c r="B80" s="4" t="s">
        <v>104</v>
      </c>
      <c r="C80" s="4">
        <v>76</v>
      </c>
      <c r="D80" s="4" t="s">
        <v>394</v>
      </c>
      <c r="E80" s="4" t="s">
        <v>395</v>
      </c>
      <c r="F80" s="4" t="s">
        <v>396</v>
      </c>
      <c r="G80" s="4" t="s">
        <v>40</v>
      </c>
      <c r="H80" s="4" t="s">
        <v>41</v>
      </c>
      <c r="I80" s="4" t="s">
        <v>40</v>
      </c>
      <c r="J80" s="4">
        <v>30076</v>
      </c>
      <c r="K80" s="202" t="s">
        <v>11</v>
      </c>
      <c r="L80" s="4">
        <v>5</v>
      </c>
      <c r="M80" s="4">
        <v>11</v>
      </c>
      <c r="N80" s="4" t="str">
        <f>_xlfn.CONCAT("DBX",((L80-1)*2)+1,".3")</f>
        <v>DBX9.3</v>
      </c>
      <c r="O80" s="4" t="s">
        <v>781</v>
      </c>
      <c r="P80" s="4" t="s">
        <v>11</v>
      </c>
      <c r="Q80" s="4" t="s">
        <v>88</v>
      </c>
      <c r="R80" s="4"/>
      <c r="S80" s="4">
        <v>3922</v>
      </c>
      <c r="T80" s="4" t="s">
        <v>2551</v>
      </c>
      <c r="U80" s="4"/>
      <c r="V80" s="4"/>
      <c r="W80" s="4" t="s">
        <v>121</v>
      </c>
      <c r="X80" s="4">
        <f t="shared" si="1"/>
        <v>5</v>
      </c>
      <c r="Y80" s="4" t="s">
        <v>2308</v>
      </c>
      <c r="Z80" s="4"/>
      <c r="AA80" s="4"/>
      <c r="AB80" s="4"/>
      <c r="AC80" s="4">
        <v>1</v>
      </c>
      <c r="AD80" s="4"/>
      <c r="AE80" s="4"/>
    </row>
    <row r="81" spans="1:31" x14ac:dyDescent="0.2">
      <c r="A81" s="201"/>
      <c r="B81" s="4" t="s">
        <v>104</v>
      </c>
      <c r="C81" s="4">
        <v>77</v>
      </c>
      <c r="D81" s="4" t="s">
        <v>397</v>
      </c>
      <c r="E81" s="4" t="s">
        <v>398</v>
      </c>
      <c r="F81" s="4" t="s">
        <v>399</v>
      </c>
      <c r="G81" s="4" t="s">
        <v>40</v>
      </c>
      <c r="H81" s="4" t="s">
        <v>41</v>
      </c>
      <c r="I81" s="4" t="s">
        <v>40</v>
      </c>
      <c r="J81" s="4">
        <v>30077</v>
      </c>
      <c r="K81" s="202" t="s">
        <v>11</v>
      </c>
      <c r="L81" s="4">
        <v>5</v>
      </c>
      <c r="M81" s="4">
        <v>12</v>
      </c>
      <c r="N81" s="4" t="str">
        <f>_xlfn.CONCAT("DBX",((L81-1)*2)+1,".4")</f>
        <v>DBX9.4</v>
      </c>
      <c r="O81" s="4" t="s">
        <v>781</v>
      </c>
      <c r="P81" s="4" t="s">
        <v>11</v>
      </c>
      <c r="Q81" s="4" t="s">
        <v>88</v>
      </c>
      <c r="R81" s="4"/>
      <c r="S81" s="4">
        <v>3922</v>
      </c>
      <c r="T81" s="4" t="s">
        <v>2551</v>
      </c>
      <c r="U81" s="4"/>
      <c r="V81" s="4"/>
      <c r="W81" s="4" t="s">
        <v>121</v>
      </c>
      <c r="X81" s="4">
        <f t="shared" si="1"/>
        <v>5</v>
      </c>
      <c r="Y81" s="4" t="s">
        <v>2309</v>
      </c>
      <c r="Z81" s="4"/>
      <c r="AA81" s="4"/>
      <c r="AB81" s="4"/>
      <c r="AC81" s="4">
        <v>1</v>
      </c>
      <c r="AD81" s="4"/>
      <c r="AE81" s="4"/>
    </row>
    <row r="82" spans="1:31" x14ac:dyDescent="0.2">
      <c r="A82" s="201"/>
      <c r="B82" s="4" t="s">
        <v>34</v>
      </c>
      <c r="C82" s="4">
        <v>78</v>
      </c>
      <c r="D82" s="4"/>
      <c r="E82" s="4"/>
      <c r="F82" s="4"/>
      <c r="G82" s="4"/>
      <c r="H82" s="4"/>
      <c r="I82" s="4"/>
      <c r="J82" s="4">
        <v>30078</v>
      </c>
      <c r="K82" s="202"/>
      <c r="L82" s="4">
        <v>5</v>
      </c>
      <c r="M82" s="4">
        <v>13</v>
      </c>
      <c r="N82" s="4" t="str">
        <f>_xlfn.CONCAT("DBX",((L82-1)*2)+1,".5")</f>
        <v>DBX9.5</v>
      </c>
      <c r="O82" s="4" t="s">
        <v>781</v>
      </c>
      <c r="P82" s="4"/>
      <c r="Q82" s="4"/>
      <c r="R82" s="4"/>
      <c r="S82" s="4"/>
      <c r="T82" s="4"/>
      <c r="U82" s="4"/>
      <c r="V82" s="4"/>
      <c r="W82" s="4"/>
      <c r="X82" s="4" t="e">
        <f t="shared" si="1"/>
        <v>#N/A</v>
      </c>
      <c r="Y82" s="4"/>
      <c r="Z82" s="4"/>
      <c r="AA82" s="4"/>
      <c r="AB82" s="4"/>
      <c r="AC82" s="4"/>
      <c r="AD82" s="4"/>
      <c r="AE82" s="4"/>
    </row>
    <row r="83" spans="1:31" x14ac:dyDescent="0.2">
      <c r="A83" s="201"/>
      <c r="B83" s="4" t="s">
        <v>34</v>
      </c>
      <c r="C83" s="4">
        <v>79</v>
      </c>
      <c r="D83" s="4"/>
      <c r="E83" s="4"/>
      <c r="F83" s="4"/>
      <c r="G83" s="4"/>
      <c r="H83" s="4"/>
      <c r="I83" s="4"/>
      <c r="J83" s="4">
        <v>30079</v>
      </c>
      <c r="K83" s="202"/>
      <c r="L83" s="4">
        <v>5</v>
      </c>
      <c r="M83" s="4">
        <v>14</v>
      </c>
      <c r="N83" s="4" t="str">
        <f>_xlfn.CONCAT("DBX",((L83-1)*2)+1,".6")</f>
        <v>DBX9.6</v>
      </c>
      <c r="O83" s="4" t="s">
        <v>781</v>
      </c>
      <c r="P83" s="4"/>
      <c r="Q83" s="4"/>
      <c r="R83" s="4"/>
      <c r="S83" s="4"/>
      <c r="T83" s="4"/>
      <c r="U83" s="4"/>
      <c r="V83" s="4"/>
      <c r="W83" s="4"/>
      <c r="X83" s="4" t="e">
        <f t="shared" si="1"/>
        <v>#N/A</v>
      </c>
      <c r="Y83" s="4"/>
      <c r="Z83" s="4"/>
      <c r="AA83" s="4"/>
      <c r="AB83" s="4"/>
      <c r="AC83" s="4"/>
      <c r="AD83" s="4"/>
      <c r="AE83" s="4"/>
    </row>
    <row r="84" spans="1:31" x14ac:dyDescent="0.2">
      <c r="A84" s="201"/>
      <c r="B84" s="4" t="s">
        <v>34</v>
      </c>
      <c r="C84" s="4">
        <v>80</v>
      </c>
      <c r="D84" s="4"/>
      <c r="E84" s="4"/>
      <c r="F84" s="4"/>
      <c r="G84" s="4"/>
      <c r="H84" s="4"/>
      <c r="I84" s="4"/>
      <c r="J84" s="4">
        <v>30080</v>
      </c>
      <c r="K84" s="202"/>
      <c r="L84" s="4">
        <v>5</v>
      </c>
      <c r="M84" s="4">
        <v>15</v>
      </c>
      <c r="N84" s="4" t="str">
        <f>_xlfn.CONCAT("DBX",((L84-1)*2)+1,".7")</f>
        <v>DBX9.7</v>
      </c>
      <c r="O84" s="4" t="s">
        <v>781</v>
      </c>
      <c r="P84" s="4"/>
      <c r="Q84" s="4"/>
      <c r="R84" s="4"/>
      <c r="S84" s="4"/>
      <c r="T84" s="4"/>
      <c r="U84" s="4"/>
      <c r="V84" s="4"/>
      <c r="W84" s="4"/>
      <c r="X84" s="4" t="e">
        <f t="shared" si="1"/>
        <v>#N/A</v>
      </c>
      <c r="Y84" s="4"/>
      <c r="Z84" s="4"/>
      <c r="AA84" s="4"/>
      <c r="AB84" s="4"/>
      <c r="AC84" s="4"/>
      <c r="AD84" s="4"/>
      <c r="AE84" s="4"/>
    </row>
    <row r="85" spans="1:31" x14ac:dyDescent="0.2">
      <c r="A85" s="201"/>
      <c r="B85" s="4" t="s">
        <v>104</v>
      </c>
      <c r="C85" s="4">
        <v>81</v>
      </c>
      <c r="D85" s="4" t="s">
        <v>403</v>
      </c>
      <c r="E85" s="4" t="s">
        <v>404</v>
      </c>
      <c r="F85" s="4" t="s">
        <v>405</v>
      </c>
      <c r="G85" s="4" t="s">
        <v>40</v>
      </c>
      <c r="H85" s="4" t="s">
        <v>41</v>
      </c>
      <c r="I85" s="4" t="s">
        <v>40</v>
      </c>
      <c r="J85" s="4">
        <v>30081</v>
      </c>
      <c r="K85" s="202" t="s">
        <v>11</v>
      </c>
      <c r="L85" s="4">
        <v>6</v>
      </c>
      <c r="M85" s="4">
        <v>0</v>
      </c>
      <c r="N85" s="4" t="str">
        <f>_xlfn.CONCAT("DBX",((L85-1)*2),".0")</f>
        <v>DBX10.0</v>
      </c>
      <c r="O85" s="4" t="s">
        <v>781</v>
      </c>
      <c r="P85" s="4" t="s">
        <v>11</v>
      </c>
      <c r="Q85" s="4" t="s">
        <v>33</v>
      </c>
      <c r="R85" s="4"/>
      <c r="S85" s="4">
        <v>3922</v>
      </c>
      <c r="T85" s="4" t="s">
        <v>2551</v>
      </c>
      <c r="U85" s="4"/>
      <c r="V85" s="4"/>
      <c r="W85" s="4" t="s">
        <v>129</v>
      </c>
      <c r="X85" s="4">
        <f t="shared" si="1"/>
        <v>13</v>
      </c>
      <c r="Y85" s="4"/>
      <c r="Z85" s="4"/>
      <c r="AA85" s="4"/>
      <c r="AB85" s="4"/>
      <c r="AC85" s="4">
        <v>0</v>
      </c>
      <c r="AD85" s="4"/>
      <c r="AE85" s="4"/>
    </row>
    <row r="86" spans="1:31" x14ac:dyDescent="0.2">
      <c r="A86" s="201"/>
      <c r="B86" s="4" t="s">
        <v>104</v>
      </c>
      <c r="C86" s="4">
        <v>82</v>
      </c>
      <c r="D86" s="4" t="s">
        <v>400</v>
      </c>
      <c r="E86" s="4" t="s">
        <v>401</v>
      </c>
      <c r="F86" s="4" t="s">
        <v>402</v>
      </c>
      <c r="G86" s="4" t="s">
        <v>40</v>
      </c>
      <c r="H86" s="4" t="s">
        <v>41</v>
      </c>
      <c r="I86" s="4" t="s">
        <v>40</v>
      </c>
      <c r="J86" s="4">
        <v>30082</v>
      </c>
      <c r="K86" s="202" t="s">
        <v>11</v>
      </c>
      <c r="L86" s="4">
        <v>6</v>
      </c>
      <c r="M86" s="4">
        <v>1</v>
      </c>
      <c r="N86" s="4" t="str">
        <f>_xlfn.CONCAT("DBX",((L86-1)*2),".1")</f>
        <v>DBX10.1</v>
      </c>
      <c r="O86" s="4" t="s">
        <v>781</v>
      </c>
      <c r="P86" s="4" t="s">
        <v>11</v>
      </c>
      <c r="Q86" s="4" t="s">
        <v>33</v>
      </c>
      <c r="R86" s="4"/>
      <c r="S86" s="4">
        <v>3922</v>
      </c>
      <c r="T86" s="4" t="s">
        <v>2551</v>
      </c>
      <c r="U86" s="4"/>
      <c r="V86" s="4"/>
      <c r="W86" s="4" t="s">
        <v>129</v>
      </c>
      <c r="X86" s="4">
        <f t="shared" si="1"/>
        <v>13</v>
      </c>
      <c r="Y86" s="4"/>
      <c r="Z86" s="4"/>
      <c r="AA86" s="4"/>
      <c r="AB86" s="4"/>
      <c r="AC86" s="4">
        <v>0</v>
      </c>
      <c r="AD86" s="4"/>
      <c r="AE86" s="4"/>
    </row>
    <row r="87" spans="1:31" x14ac:dyDescent="0.2">
      <c r="A87" s="201"/>
      <c r="B87" s="4" t="s">
        <v>104</v>
      </c>
      <c r="C87" s="4">
        <v>83</v>
      </c>
      <c r="D87" s="4" t="s">
        <v>406</v>
      </c>
      <c r="E87" s="4" t="s">
        <v>407</v>
      </c>
      <c r="F87" s="4" t="s">
        <v>408</v>
      </c>
      <c r="G87" s="4" t="s">
        <v>40</v>
      </c>
      <c r="H87" s="4" t="s">
        <v>41</v>
      </c>
      <c r="I87" s="4" t="s">
        <v>40</v>
      </c>
      <c r="J87" s="4">
        <v>30083</v>
      </c>
      <c r="K87" s="202" t="s">
        <v>11</v>
      </c>
      <c r="L87" s="4">
        <v>6</v>
      </c>
      <c r="M87" s="4">
        <v>2</v>
      </c>
      <c r="N87" s="4" t="str">
        <f>_xlfn.CONCAT("DBX",((L87-1)*2),".2")</f>
        <v>DBX10.2</v>
      </c>
      <c r="O87" s="4" t="s">
        <v>781</v>
      </c>
      <c r="P87" s="4" t="s">
        <v>11</v>
      </c>
      <c r="Q87" s="4" t="s">
        <v>33</v>
      </c>
      <c r="R87" s="4"/>
      <c r="S87" s="4">
        <v>3922</v>
      </c>
      <c r="T87" s="4" t="s">
        <v>2551</v>
      </c>
      <c r="U87" s="4"/>
      <c r="V87" s="4"/>
      <c r="W87" s="4" t="s">
        <v>129</v>
      </c>
      <c r="X87" s="4">
        <f t="shared" si="1"/>
        <v>13</v>
      </c>
      <c r="Y87" s="4"/>
      <c r="Z87" s="4"/>
      <c r="AA87" s="4"/>
      <c r="AB87" s="4"/>
      <c r="AC87" s="4">
        <v>0</v>
      </c>
      <c r="AD87" s="4"/>
      <c r="AE87" s="4"/>
    </row>
    <row r="88" spans="1:31" s="207" customFormat="1" x14ac:dyDescent="0.2">
      <c r="A88" s="204"/>
      <c r="B88" s="4" t="s">
        <v>88</v>
      </c>
      <c r="C88" s="4">
        <v>84</v>
      </c>
      <c r="D88" s="4" t="s">
        <v>2556</v>
      </c>
      <c r="E88" s="4" t="s">
        <v>2557</v>
      </c>
      <c r="F88" s="4" t="s">
        <v>2558</v>
      </c>
      <c r="G88" s="4" t="s">
        <v>40</v>
      </c>
      <c r="H88" s="4" t="s">
        <v>41</v>
      </c>
      <c r="I88" s="4" t="s">
        <v>40</v>
      </c>
      <c r="J88" s="4">
        <v>30084</v>
      </c>
      <c r="K88" s="202" t="s">
        <v>11</v>
      </c>
      <c r="L88" s="4">
        <v>6</v>
      </c>
      <c r="M88" s="4">
        <v>3</v>
      </c>
      <c r="N88" s="4" t="str">
        <f>_xlfn.CONCAT("DBX",((L88-1)*2),".3")</f>
        <v>DBX10.3</v>
      </c>
      <c r="O88" s="4" t="s">
        <v>781</v>
      </c>
      <c r="P88" s="4" t="s">
        <v>11</v>
      </c>
      <c r="Q88" s="4" t="s">
        <v>33</v>
      </c>
      <c r="R88" s="4"/>
      <c r="S88" s="4">
        <v>3922</v>
      </c>
      <c r="T88" s="4" t="s">
        <v>2551</v>
      </c>
      <c r="U88" s="4"/>
      <c r="V88" s="4"/>
      <c r="W88" s="4" t="s">
        <v>129</v>
      </c>
      <c r="X88" s="4">
        <f t="shared" si="1"/>
        <v>13</v>
      </c>
      <c r="Y88" s="4"/>
      <c r="Z88" s="4"/>
      <c r="AA88" s="4"/>
      <c r="AB88" s="4"/>
      <c r="AC88" s="4">
        <v>0</v>
      </c>
      <c r="AD88" s="4"/>
      <c r="AE88" s="4"/>
    </row>
    <row r="89" spans="1:31" s="207" customFormat="1" x14ac:dyDescent="0.2">
      <c r="A89" s="204"/>
      <c r="B89" s="205" t="s">
        <v>33</v>
      </c>
      <c r="C89" s="205">
        <v>85</v>
      </c>
      <c r="D89" s="205" t="s">
        <v>2243</v>
      </c>
      <c r="E89" s="205" t="s">
        <v>2244</v>
      </c>
      <c r="F89" s="205" t="s">
        <v>2315</v>
      </c>
      <c r="G89" s="205" t="s">
        <v>40</v>
      </c>
      <c r="H89" s="205" t="s">
        <v>41</v>
      </c>
      <c r="I89" s="205" t="s">
        <v>40</v>
      </c>
      <c r="J89" s="4">
        <v>30085</v>
      </c>
      <c r="K89" s="206" t="s">
        <v>11</v>
      </c>
      <c r="L89" s="205">
        <v>6</v>
      </c>
      <c r="M89" s="205">
        <v>4</v>
      </c>
      <c r="N89" s="4" t="str">
        <f>_xlfn.CONCAT("DBX",((L89-1)*2),".4")</f>
        <v>DBX10.4</v>
      </c>
      <c r="O89" s="205" t="s">
        <v>781</v>
      </c>
      <c r="P89" s="205" t="s">
        <v>11</v>
      </c>
      <c r="Q89" s="205" t="s">
        <v>33</v>
      </c>
      <c r="R89" s="205"/>
      <c r="S89" s="205">
        <v>3922</v>
      </c>
      <c r="T89" s="205" t="s">
        <v>2551</v>
      </c>
      <c r="U89" s="205"/>
      <c r="V89" s="205"/>
      <c r="W89" s="205" t="s">
        <v>129</v>
      </c>
      <c r="X89" s="205">
        <f t="shared" si="1"/>
        <v>13</v>
      </c>
      <c r="Y89" s="205"/>
      <c r="Z89" s="205"/>
      <c r="AA89" s="205"/>
      <c r="AB89" s="205"/>
      <c r="AC89" s="4">
        <v>0</v>
      </c>
      <c r="AD89" s="205"/>
      <c r="AE89" s="205"/>
    </row>
    <row r="90" spans="1:31" s="207" customFormat="1" x14ac:dyDescent="0.2">
      <c r="A90" s="204"/>
      <c r="B90" s="205" t="s">
        <v>33</v>
      </c>
      <c r="C90" s="205">
        <v>86</v>
      </c>
      <c r="D90" s="205" t="s">
        <v>2245</v>
      </c>
      <c r="E90" s="205" t="s">
        <v>2246</v>
      </c>
      <c r="F90" s="205" t="s">
        <v>2316</v>
      </c>
      <c r="G90" s="205" t="s">
        <v>40</v>
      </c>
      <c r="H90" s="205" t="s">
        <v>41</v>
      </c>
      <c r="I90" s="205" t="s">
        <v>40</v>
      </c>
      <c r="J90" s="4">
        <v>30086</v>
      </c>
      <c r="K90" s="206" t="s">
        <v>11</v>
      </c>
      <c r="L90" s="205">
        <v>6</v>
      </c>
      <c r="M90" s="205">
        <v>5</v>
      </c>
      <c r="N90" s="4" t="str">
        <f>_xlfn.CONCAT("DBX",((L90-1)*2),".5")</f>
        <v>DBX10.5</v>
      </c>
      <c r="O90" s="205" t="s">
        <v>781</v>
      </c>
      <c r="P90" s="205" t="s">
        <v>11</v>
      </c>
      <c r="Q90" s="205" t="s">
        <v>33</v>
      </c>
      <c r="R90" s="205"/>
      <c r="S90" s="205">
        <v>3922</v>
      </c>
      <c r="T90" s="205" t="s">
        <v>2551</v>
      </c>
      <c r="U90" s="205"/>
      <c r="V90" s="205"/>
      <c r="W90" s="205" t="s">
        <v>129</v>
      </c>
      <c r="X90" s="205">
        <f t="shared" si="1"/>
        <v>13</v>
      </c>
      <c r="Y90" s="205"/>
      <c r="Z90" s="205"/>
      <c r="AA90" s="205"/>
      <c r="AB90" s="205"/>
      <c r="AC90" s="4">
        <v>0</v>
      </c>
      <c r="AD90" s="205"/>
      <c r="AE90" s="205"/>
    </row>
    <row r="91" spans="1:31" x14ac:dyDescent="0.2">
      <c r="A91" s="201"/>
      <c r="B91" s="4" t="s">
        <v>34</v>
      </c>
      <c r="C91" s="4">
        <v>87</v>
      </c>
      <c r="D91" s="4"/>
      <c r="E91" s="4"/>
      <c r="F91" s="4"/>
      <c r="G91" s="4"/>
      <c r="H91" s="4"/>
      <c r="I91" s="4"/>
      <c r="J91" s="4">
        <v>30087</v>
      </c>
      <c r="K91" s="202"/>
      <c r="L91" s="4">
        <v>6</v>
      </c>
      <c r="M91" s="4">
        <v>6</v>
      </c>
      <c r="N91" s="4" t="str">
        <f>_xlfn.CONCAT("DBX",((L91-1)*2),".6")</f>
        <v>DBX10.6</v>
      </c>
      <c r="O91" s="4" t="s">
        <v>781</v>
      </c>
      <c r="P91" s="4"/>
      <c r="Q91" s="4"/>
      <c r="R91" s="4"/>
      <c r="S91" s="4"/>
      <c r="T91" s="4"/>
      <c r="U91" s="4"/>
      <c r="V91" s="4"/>
      <c r="W91" s="4"/>
      <c r="X91" s="4" t="e">
        <f t="shared" si="1"/>
        <v>#N/A</v>
      </c>
      <c r="Y91" s="4"/>
      <c r="Z91" s="4"/>
      <c r="AA91" s="4"/>
      <c r="AB91" s="4"/>
      <c r="AC91" s="4"/>
      <c r="AD91" s="4"/>
      <c r="AE91" s="4"/>
    </row>
    <row r="92" spans="1:31" x14ac:dyDescent="0.2">
      <c r="A92" s="201"/>
      <c r="B92" s="4" t="s">
        <v>34</v>
      </c>
      <c r="C92" s="4">
        <v>88</v>
      </c>
      <c r="D92" s="4"/>
      <c r="E92" s="4"/>
      <c r="F92" s="4"/>
      <c r="G92" s="4"/>
      <c r="H92" s="4"/>
      <c r="I92" s="4"/>
      <c r="J92" s="4">
        <v>30088</v>
      </c>
      <c r="K92" s="202"/>
      <c r="L92" s="4">
        <v>6</v>
      </c>
      <c r="M92" s="4">
        <v>7</v>
      </c>
      <c r="N92" s="4" t="str">
        <f>_xlfn.CONCAT("DBX",((L92-1)*2),".7")</f>
        <v>DBX10.7</v>
      </c>
      <c r="O92" s="4" t="s">
        <v>781</v>
      </c>
      <c r="P92" s="4"/>
      <c r="Q92" s="4"/>
      <c r="R92" s="4"/>
      <c r="S92" s="4"/>
      <c r="T92" s="4"/>
      <c r="U92" s="4"/>
      <c r="V92" s="4"/>
      <c r="W92" s="4"/>
      <c r="X92" s="4" t="e">
        <f t="shared" si="1"/>
        <v>#N/A</v>
      </c>
      <c r="Y92" s="4"/>
      <c r="Z92" s="4"/>
      <c r="AA92" s="4"/>
      <c r="AB92" s="4"/>
      <c r="AC92" s="4"/>
      <c r="AD92" s="4"/>
      <c r="AE92" s="4"/>
    </row>
    <row r="93" spans="1:31" x14ac:dyDescent="0.2">
      <c r="A93" s="201"/>
      <c r="B93" s="4" t="s">
        <v>34</v>
      </c>
      <c r="C93" s="4">
        <v>89</v>
      </c>
      <c r="D93" s="4"/>
      <c r="E93" s="4"/>
      <c r="F93" s="4"/>
      <c r="G93" s="4"/>
      <c r="H93" s="4"/>
      <c r="I93" s="4"/>
      <c r="J93" s="4">
        <v>30089</v>
      </c>
      <c r="K93" s="202"/>
      <c r="L93" s="4">
        <v>6</v>
      </c>
      <c r="M93" s="4">
        <v>8</v>
      </c>
      <c r="N93" s="4" t="str">
        <f>_xlfn.CONCAT("DBX",((L93-1)*2)+1,".0")</f>
        <v>DBX11.0</v>
      </c>
      <c r="O93" s="4" t="s">
        <v>781</v>
      </c>
      <c r="P93" s="4"/>
      <c r="Q93" s="4"/>
      <c r="R93" s="4"/>
      <c r="S93" s="4"/>
      <c r="T93" s="4"/>
      <c r="U93" s="4"/>
      <c r="V93" s="4"/>
      <c r="W93" s="4"/>
      <c r="X93" s="4" t="e">
        <f t="shared" si="1"/>
        <v>#N/A</v>
      </c>
      <c r="Y93" s="4"/>
      <c r="Z93" s="4"/>
      <c r="AA93" s="4"/>
      <c r="AB93" s="4"/>
      <c r="AC93" s="4"/>
      <c r="AD93" s="4"/>
      <c r="AE93" s="4"/>
    </row>
    <row r="94" spans="1:31" x14ac:dyDescent="0.2">
      <c r="A94" s="201"/>
      <c r="B94" s="4" t="s">
        <v>34</v>
      </c>
      <c r="C94" s="4">
        <v>90</v>
      </c>
      <c r="D94" s="4"/>
      <c r="E94" s="4"/>
      <c r="F94" s="4"/>
      <c r="G94" s="4"/>
      <c r="H94" s="4"/>
      <c r="I94" s="4"/>
      <c r="J94" s="4">
        <v>30090</v>
      </c>
      <c r="K94" s="202"/>
      <c r="L94" s="4">
        <v>6</v>
      </c>
      <c r="M94" s="4">
        <v>9</v>
      </c>
      <c r="N94" s="4" t="str">
        <f>_xlfn.CONCAT("DBX",((L94-1)*2)+1,".1")</f>
        <v>DBX11.1</v>
      </c>
      <c r="O94" s="4" t="s">
        <v>781</v>
      </c>
      <c r="P94" s="4"/>
      <c r="Q94" s="4"/>
      <c r="R94" s="4"/>
      <c r="S94" s="4"/>
      <c r="T94" s="4"/>
      <c r="U94" s="4"/>
      <c r="V94" s="4"/>
      <c r="W94" s="4"/>
      <c r="X94" s="4" t="e">
        <f t="shared" si="1"/>
        <v>#N/A</v>
      </c>
      <c r="Y94" s="4"/>
      <c r="Z94" s="4"/>
      <c r="AA94" s="4"/>
      <c r="AB94" s="4"/>
      <c r="AC94" s="4"/>
      <c r="AD94" s="4"/>
      <c r="AE94" s="4"/>
    </row>
    <row r="95" spans="1:31" x14ac:dyDescent="0.2">
      <c r="A95" s="201"/>
      <c r="B95" s="4" t="s">
        <v>34</v>
      </c>
      <c r="C95" s="4">
        <v>91</v>
      </c>
      <c r="D95" s="4"/>
      <c r="E95" s="4"/>
      <c r="F95" s="4"/>
      <c r="G95" s="4"/>
      <c r="H95" s="4"/>
      <c r="I95" s="4"/>
      <c r="J95" s="4">
        <v>30091</v>
      </c>
      <c r="K95" s="202"/>
      <c r="L95" s="4">
        <v>6</v>
      </c>
      <c r="M95" s="4">
        <v>10</v>
      </c>
      <c r="N95" s="4" t="str">
        <f>_xlfn.CONCAT("DBX",((L95-1)*2)+1,".2")</f>
        <v>DBX11.2</v>
      </c>
      <c r="O95" s="4" t="s">
        <v>781</v>
      </c>
      <c r="P95" s="4"/>
      <c r="Q95" s="4"/>
      <c r="R95" s="4"/>
      <c r="S95" s="4"/>
      <c r="T95" s="4"/>
      <c r="U95" s="4"/>
      <c r="V95" s="4"/>
      <c r="W95" s="4"/>
      <c r="X95" s="4" t="e">
        <f t="shared" si="1"/>
        <v>#N/A</v>
      </c>
      <c r="Y95" s="4"/>
      <c r="Z95" s="4"/>
      <c r="AA95" s="4"/>
      <c r="AB95" s="4"/>
      <c r="AC95" s="4"/>
      <c r="AD95" s="4"/>
      <c r="AE95" s="4"/>
    </row>
    <row r="96" spans="1:31" x14ac:dyDescent="0.2">
      <c r="A96" s="201"/>
      <c r="B96" s="4" t="s">
        <v>34</v>
      </c>
      <c r="C96" s="4">
        <v>92</v>
      </c>
      <c r="D96" s="4"/>
      <c r="E96" s="4"/>
      <c r="F96" s="4"/>
      <c r="G96" s="4"/>
      <c r="H96" s="4"/>
      <c r="I96" s="4"/>
      <c r="J96" s="4">
        <v>30092</v>
      </c>
      <c r="K96" s="202"/>
      <c r="L96" s="4">
        <v>6</v>
      </c>
      <c r="M96" s="4">
        <v>11</v>
      </c>
      <c r="N96" s="4" t="str">
        <f>_xlfn.CONCAT("DBX",((L96-1)*2)+1,".3")</f>
        <v>DBX11.3</v>
      </c>
      <c r="O96" s="4" t="s">
        <v>781</v>
      </c>
      <c r="P96" s="4"/>
      <c r="Q96" s="4"/>
      <c r="R96" s="4"/>
      <c r="S96" s="4"/>
      <c r="T96" s="4"/>
      <c r="U96" s="4"/>
      <c r="V96" s="4"/>
      <c r="W96" s="4"/>
      <c r="X96" s="4" t="e">
        <f t="shared" si="1"/>
        <v>#N/A</v>
      </c>
      <c r="Y96" s="4"/>
      <c r="Z96" s="4"/>
      <c r="AA96" s="4"/>
      <c r="AB96" s="4"/>
      <c r="AC96" s="4"/>
      <c r="AD96" s="4"/>
      <c r="AE96" s="4"/>
    </row>
    <row r="97" spans="1:31" x14ac:dyDescent="0.2">
      <c r="A97" s="201"/>
      <c r="B97" s="4" t="s">
        <v>3170</v>
      </c>
      <c r="C97" s="4">
        <v>93</v>
      </c>
      <c r="D97" s="4" t="s">
        <v>409</v>
      </c>
      <c r="E97" s="4" t="s">
        <v>410</v>
      </c>
      <c r="F97" s="4" t="s">
        <v>411</v>
      </c>
      <c r="G97" s="4" t="s">
        <v>40</v>
      </c>
      <c r="H97" s="4" t="s">
        <v>41</v>
      </c>
      <c r="I97" s="4" t="s">
        <v>40</v>
      </c>
      <c r="J97" s="4">
        <v>30093</v>
      </c>
      <c r="K97" s="202" t="s">
        <v>11</v>
      </c>
      <c r="L97" s="4">
        <v>6</v>
      </c>
      <c r="M97" s="4">
        <v>12</v>
      </c>
      <c r="N97" s="4" t="str">
        <f>_xlfn.CONCAT("DBX",((L97-1)*2)+1,".4")</f>
        <v>DBX11.4</v>
      </c>
      <c r="O97" s="4" t="s">
        <v>781</v>
      </c>
      <c r="P97" s="4" t="s">
        <v>11</v>
      </c>
      <c r="Q97" s="4" t="s">
        <v>33</v>
      </c>
      <c r="R97" s="4"/>
      <c r="S97" s="4">
        <v>3922</v>
      </c>
      <c r="T97" s="4" t="s">
        <v>2551</v>
      </c>
      <c r="U97" s="4"/>
      <c r="V97" s="4" t="s">
        <v>3159</v>
      </c>
      <c r="W97" s="4" t="s">
        <v>129</v>
      </c>
      <c r="X97" s="4">
        <f t="shared" si="1"/>
        <v>13</v>
      </c>
      <c r="Y97" s="4"/>
      <c r="Z97" s="4"/>
      <c r="AA97" s="4"/>
      <c r="AB97" s="4"/>
      <c r="AC97" s="4">
        <v>0</v>
      </c>
      <c r="AD97" s="4"/>
      <c r="AE97" s="4"/>
    </row>
    <row r="98" spans="1:31" x14ac:dyDescent="0.2">
      <c r="A98" s="201"/>
      <c r="B98" s="4" t="s">
        <v>256</v>
      </c>
      <c r="C98" s="4">
        <v>94</v>
      </c>
      <c r="D98" s="4" t="s">
        <v>412</v>
      </c>
      <c r="E98" s="4" t="s">
        <v>2664</v>
      </c>
      <c r="F98" s="4" t="s">
        <v>2686</v>
      </c>
      <c r="G98" s="4" t="s">
        <v>40</v>
      </c>
      <c r="H98" s="4" t="s">
        <v>41</v>
      </c>
      <c r="I98" s="4" t="s">
        <v>40</v>
      </c>
      <c r="J98" s="4">
        <v>30094</v>
      </c>
      <c r="K98" s="202" t="s">
        <v>11</v>
      </c>
      <c r="L98" s="4">
        <v>6</v>
      </c>
      <c r="M98" s="4">
        <v>13</v>
      </c>
      <c r="N98" s="4" t="str">
        <f>_xlfn.CONCAT("DBX",((L98-1)*2)+1,".5")</f>
        <v>DBX11.5</v>
      </c>
      <c r="O98" s="4" t="s">
        <v>781</v>
      </c>
      <c r="P98" s="4" t="s">
        <v>11</v>
      </c>
      <c r="Q98" s="4" t="s">
        <v>33</v>
      </c>
      <c r="R98" s="4"/>
      <c r="S98" s="4">
        <v>3922</v>
      </c>
      <c r="T98" s="4" t="s">
        <v>2551</v>
      </c>
      <c r="U98" s="4"/>
      <c r="W98" s="4" t="s">
        <v>129</v>
      </c>
      <c r="X98" s="4">
        <f t="shared" si="1"/>
        <v>13</v>
      </c>
      <c r="Y98" s="4"/>
      <c r="Z98" s="4"/>
      <c r="AA98" s="4"/>
      <c r="AB98" s="4"/>
      <c r="AC98" s="4">
        <v>0</v>
      </c>
      <c r="AD98" s="4"/>
      <c r="AE98" s="4"/>
    </row>
    <row r="99" spans="1:31" x14ac:dyDescent="0.2">
      <c r="A99" s="201"/>
      <c r="B99" s="4" t="s">
        <v>104</v>
      </c>
      <c r="C99" s="4">
        <v>95</v>
      </c>
      <c r="D99" s="4" t="s">
        <v>413</v>
      </c>
      <c r="E99" s="4" t="s">
        <v>414</v>
      </c>
      <c r="F99" s="4" t="s">
        <v>415</v>
      </c>
      <c r="G99" s="4" t="s">
        <v>40</v>
      </c>
      <c r="H99" s="4" t="s">
        <v>41</v>
      </c>
      <c r="I99" s="4" t="s">
        <v>40</v>
      </c>
      <c r="J99" s="4">
        <v>30095</v>
      </c>
      <c r="K99" s="202" t="s">
        <v>11</v>
      </c>
      <c r="L99" s="4">
        <v>6</v>
      </c>
      <c r="M99" s="4">
        <v>14</v>
      </c>
      <c r="N99" s="4" t="str">
        <f>_xlfn.CONCAT("DBX",((L99-1)*2)+1,".6")</f>
        <v>DBX11.6</v>
      </c>
      <c r="O99" s="4" t="s">
        <v>781</v>
      </c>
      <c r="P99" s="4" t="s">
        <v>11</v>
      </c>
      <c r="Q99" s="4" t="s">
        <v>33</v>
      </c>
      <c r="R99" s="4"/>
      <c r="S99" s="4">
        <v>3922</v>
      </c>
      <c r="T99" s="4" t="s">
        <v>2551</v>
      </c>
      <c r="U99" s="4"/>
      <c r="V99" s="4"/>
      <c r="W99" s="4" t="s">
        <v>129</v>
      </c>
      <c r="X99" s="4">
        <f t="shared" si="1"/>
        <v>13</v>
      </c>
      <c r="Y99" s="4"/>
      <c r="Z99" s="4"/>
      <c r="AA99" s="4"/>
      <c r="AB99" s="4"/>
      <c r="AC99" s="4">
        <v>0</v>
      </c>
      <c r="AD99" s="4"/>
      <c r="AE99" s="4"/>
    </row>
    <row r="100" spans="1:31" x14ac:dyDescent="0.2">
      <c r="A100" s="201"/>
      <c r="B100" s="4" t="s">
        <v>104</v>
      </c>
      <c r="C100" s="4">
        <v>96</v>
      </c>
      <c r="D100" s="4" t="s">
        <v>416</v>
      </c>
      <c r="E100" s="4" t="s">
        <v>417</v>
      </c>
      <c r="F100" s="4" t="s">
        <v>418</v>
      </c>
      <c r="G100" s="4" t="s">
        <v>40</v>
      </c>
      <c r="H100" s="4" t="s">
        <v>41</v>
      </c>
      <c r="I100" s="4" t="s">
        <v>40</v>
      </c>
      <c r="J100" s="4">
        <v>30096</v>
      </c>
      <c r="K100" s="202" t="s">
        <v>11</v>
      </c>
      <c r="L100" s="4">
        <v>6</v>
      </c>
      <c r="M100" s="4">
        <v>15</v>
      </c>
      <c r="N100" s="4" t="str">
        <f>_xlfn.CONCAT("DBX",((L100-1)*2)+1,".7")</f>
        <v>DBX11.7</v>
      </c>
      <c r="O100" s="4" t="s">
        <v>781</v>
      </c>
      <c r="P100" s="4" t="s">
        <v>11</v>
      </c>
      <c r="Q100" s="4" t="s">
        <v>33</v>
      </c>
      <c r="R100" s="4"/>
      <c r="S100" s="4">
        <v>3922</v>
      </c>
      <c r="T100" s="4" t="s">
        <v>2551</v>
      </c>
      <c r="U100" s="4"/>
      <c r="V100" s="4"/>
      <c r="W100" s="4" t="s">
        <v>129</v>
      </c>
      <c r="X100" s="4">
        <f t="shared" si="1"/>
        <v>13</v>
      </c>
      <c r="Y100" s="4"/>
      <c r="Z100" s="4"/>
      <c r="AA100" s="4"/>
      <c r="AB100" s="4"/>
      <c r="AC100" s="4">
        <v>0</v>
      </c>
      <c r="AD100" s="4"/>
      <c r="AE100" s="4"/>
    </row>
    <row r="101" spans="1:31" x14ac:dyDescent="0.2">
      <c r="A101" s="201"/>
      <c r="B101" s="4" t="s">
        <v>104</v>
      </c>
      <c r="C101" s="4">
        <v>97</v>
      </c>
      <c r="D101" s="4" t="s">
        <v>419</v>
      </c>
      <c r="E101" s="4" t="s">
        <v>420</v>
      </c>
      <c r="F101" s="4" t="s">
        <v>421</v>
      </c>
      <c r="G101" s="4" t="s">
        <v>40</v>
      </c>
      <c r="H101" s="4" t="s">
        <v>41</v>
      </c>
      <c r="I101" s="4" t="s">
        <v>40</v>
      </c>
      <c r="J101" s="4">
        <v>30097</v>
      </c>
      <c r="K101" s="202" t="s">
        <v>11</v>
      </c>
      <c r="L101" s="4">
        <v>7</v>
      </c>
      <c r="M101" s="4">
        <v>0</v>
      </c>
      <c r="N101" s="4" t="str">
        <f>_xlfn.CONCAT("DBX",((L101-1)*2),".0")</f>
        <v>DBX12.0</v>
      </c>
      <c r="O101" s="4" t="s">
        <v>781</v>
      </c>
      <c r="P101" s="4" t="s">
        <v>11</v>
      </c>
      <c r="Q101" s="4" t="s">
        <v>33</v>
      </c>
      <c r="R101" s="4"/>
      <c r="S101" s="4">
        <v>3922</v>
      </c>
      <c r="T101" s="4" t="s">
        <v>2551</v>
      </c>
      <c r="U101" s="4"/>
      <c r="V101" s="4"/>
      <c r="W101" s="4" t="s">
        <v>129</v>
      </c>
      <c r="X101" s="4">
        <f t="shared" si="1"/>
        <v>13</v>
      </c>
      <c r="Y101" s="4"/>
      <c r="Z101" s="4"/>
      <c r="AA101" s="4"/>
      <c r="AB101" s="4"/>
      <c r="AC101" s="4">
        <v>0</v>
      </c>
      <c r="AD101" s="4"/>
      <c r="AE101" s="4"/>
    </row>
    <row r="102" spans="1:31" x14ac:dyDescent="0.2">
      <c r="A102" s="201"/>
      <c r="B102" s="4" t="s">
        <v>104</v>
      </c>
      <c r="C102" s="4">
        <v>98</v>
      </c>
      <c r="D102" s="4" t="s">
        <v>422</v>
      </c>
      <c r="E102" s="4" t="s">
        <v>423</v>
      </c>
      <c r="F102" s="4" t="s">
        <v>424</v>
      </c>
      <c r="G102" s="4" t="s">
        <v>40</v>
      </c>
      <c r="H102" s="4" t="s">
        <v>41</v>
      </c>
      <c r="I102" s="4" t="s">
        <v>40</v>
      </c>
      <c r="J102" s="4">
        <v>30098</v>
      </c>
      <c r="K102" s="202" t="s">
        <v>11</v>
      </c>
      <c r="L102" s="4">
        <v>7</v>
      </c>
      <c r="M102" s="4">
        <v>1</v>
      </c>
      <c r="N102" s="4" t="str">
        <f>_xlfn.CONCAT("DBX",((L102-1)*2),".1")</f>
        <v>DBX12.1</v>
      </c>
      <c r="O102" s="4" t="s">
        <v>781</v>
      </c>
      <c r="P102" s="4" t="s">
        <v>11</v>
      </c>
      <c r="Q102" s="4" t="s">
        <v>33</v>
      </c>
      <c r="R102" s="4"/>
      <c r="S102" s="4">
        <v>3922</v>
      </c>
      <c r="T102" s="4" t="s">
        <v>2551</v>
      </c>
      <c r="U102" s="4"/>
      <c r="V102" s="4"/>
      <c r="W102" s="4" t="s">
        <v>129</v>
      </c>
      <c r="X102" s="4">
        <f t="shared" si="1"/>
        <v>13</v>
      </c>
      <c r="Y102" s="4"/>
      <c r="Z102" s="4"/>
      <c r="AA102" s="4"/>
      <c r="AB102" s="4"/>
      <c r="AC102" s="4">
        <v>0</v>
      </c>
      <c r="AD102" s="4"/>
      <c r="AE102" s="4"/>
    </row>
    <row r="103" spans="1:31" x14ac:dyDescent="0.2">
      <c r="A103" s="201"/>
      <c r="B103" s="4" t="s">
        <v>104</v>
      </c>
      <c r="C103" s="4">
        <v>99</v>
      </c>
      <c r="D103" s="4" t="s">
        <v>425</v>
      </c>
      <c r="E103" s="4" t="s">
        <v>426</v>
      </c>
      <c r="F103" s="4" t="s">
        <v>427</v>
      </c>
      <c r="G103" s="4" t="s">
        <v>40</v>
      </c>
      <c r="H103" s="4" t="s">
        <v>41</v>
      </c>
      <c r="I103" s="4" t="s">
        <v>40</v>
      </c>
      <c r="J103" s="4">
        <v>30099</v>
      </c>
      <c r="K103" s="202" t="s">
        <v>11</v>
      </c>
      <c r="L103" s="4">
        <v>7</v>
      </c>
      <c r="M103" s="4">
        <v>2</v>
      </c>
      <c r="N103" s="4" t="str">
        <f>_xlfn.CONCAT("DBX",((L103-1)*2),".2")</f>
        <v>DBX12.2</v>
      </c>
      <c r="O103" s="4" t="s">
        <v>781</v>
      </c>
      <c r="P103" s="4" t="s">
        <v>11</v>
      </c>
      <c r="Q103" s="4" t="s">
        <v>33</v>
      </c>
      <c r="R103" s="4"/>
      <c r="S103" s="4">
        <v>3922</v>
      </c>
      <c r="T103" s="4" t="s">
        <v>2551</v>
      </c>
      <c r="U103" s="4"/>
      <c r="V103" s="4"/>
      <c r="W103" s="4" t="s">
        <v>129</v>
      </c>
      <c r="X103" s="4">
        <f t="shared" si="1"/>
        <v>13</v>
      </c>
      <c r="Y103" s="4"/>
      <c r="Z103" s="4"/>
      <c r="AA103" s="4"/>
      <c r="AB103" s="4"/>
      <c r="AC103" s="4">
        <v>0</v>
      </c>
      <c r="AD103" s="4"/>
      <c r="AE103" s="4"/>
    </row>
    <row r="104" spans="1:31" x14ac:dyDescent="0.2">
      <c r="A104" s="201"/>
      <c r="B104" s="4" t="s">
        <v>104</v>
      </c>
      <c r="C104" s="4">
        <v>100</v>
      </c>
      <c r="D104" s="4" t="s">
        <v>428</v>
      </c>
      <c r="E104" s="4" t="s">
        <v>429</v>
      </c>
      <c r="F104" s="4" t="s">
        <v>430</v>
      </c>
      <c r="G104" s="4" t="s">
        <v>40</v>
      </c>
      <c r="H104" s="4" t="s">
        <v>41</v>
      </c>
      <c r="I104" s="4" t="s">
        <v>40</v>
      </c>
      <c r="J104" s="4">
        <v>30100</v>
      </c>
      <c r="K104" s="202" t="s">
        <v>11</v>
      </c>
      <c r="L104" s="4">
        <v>7</v>
      </c>
      <c r="M104" s="4">
        <v>3</v>
      </c>
      <c r="N104" s="4" t="str">
        <f>_xlfn.CONCAT("DBX",((L104-1)*2),".3")</f>
        <v>DBX12.3</v>
      </c>
      <c r="O104" s="4" t="s">
        <v>781</v>
      </c>
      <c r="P104" s="4" t="s">
        <v>11</v>
      </c>
      <c r="Q104" s="4" t="s">
        <v>33</v>
      </c>
      <c r="R104" s="4"/>
      <c r="S104" s="4">
        <v>3922</v>
      </c>
      <c r="T104" s="4" t="s">
        <v>2551</v>
      </c>
      <c r="U104" s="4"/>
      <c r="V104" s="4"/>
      <c r="W104" s="4" t="s">
        <v>129</v>
      </c>
      <c r="X104" s="4">
        <f t="shared" si="1"/>
        <v>13</v>
      </c>
      <c r="Y104" s="4"/>
      <c r="Z104" s="4"/>
      <c r="AA104" s="4"/>
      <c r="AB104" s="4"/>
      <c r="AC104" s="4">
        <v>0</v>
      </c>
      <c r="AD104" s="4"/>
      <c r="AE104" s="4"/>
    </row>
    <row r="105" spans="1:31" x14ac:dyDescent="0.2">
      <c r="A105" s="201"/>
      <c r="B105" s="4" t="s">
        <v>34</v>
      </c>
      <c r="C105" s="4">
        <v>101</v>
      </c>
      <c r="D105" s="4"/>
      <c r="E105" s="4"/>
      <c r="F105" s="4"/>
      <c r="G105" s="4"/>
      <c r="H105" s="4"/>
      <c r="I105" s="4"/>
      <c r="J105" s="4">
        <v>30101</v>
      </c>
      <c r="K105" s="202"/>
      <c r="L105" s="4">
        <v>7</v>
      </c>
      <c r="M105" s="4">
        <v>4</v>
      </c>
      <c r="N105" s="4" t="str">
        <f>_xlfn.CONCAT("DBX",((L105-1)*2),".4")</f>
        <v>DBX12.4</v>
      </c>
      <c r="O105" s="4" t="s">
        <v>781</v>
      </c>
      <c r="P105" s="4"/>
      <c r="Q105" s="4"/>
      <c r="R105" s="4"/>
      <c r="S105" s="4"/>
      <c r="T105" s="4"/>
      <c r="U105" s="4"/>
      <c r="V105" s="4"/>
      <c r="W105" s="4"/>
      <c r="X105" s="4" t="e">
        <f t="shared" si="1"/>
        <v>#N/A</v>
      </c>
      <c r="Y105" s="4"/>
      <c r="Z105" s="4"/>
      <c r="AA105" s="4"/>
      <c r="AB105" s="4"/>
      <c r="AC105" s="4"/>
      <c r="AD105" s="4"/>
      <c r="AE105" s="4"/>
    </row>
    <row r="106" spans="1:31" x14ac:dyDescent="0.2">
      <c r="A106" s="201"/>
      <c r="B106" s="4" t="s">
        <v>34</v>
      </c>
      <c r="C106" s="4">
        <v>102</v>
      </c>
      <c r="D106" s="4"/>
      <c r="E106" s="4"/>
      <c r="F106" s="4"/>
      <c r="G106" s="4"/>
      <c r="H106" s="4"/>
      <c r="I106" s="4"/>
      <c r="J106" s="4">
        <v>30102</v>
      </c>
      <c r="K106" s="202"/>
      <c r="L106" s="4">
        <v>7</v>
      </c>
      <c r="M106" s="4">
        <v>5</v>
      </c>
      <c r="N106" s="4" t="str">
        <f>_xlfn.CONCAT("DBX",((L106-1)*2),".5")</f>
        <v>DBX12.5</v>
      </c>
      <c r="O106" s="4" t="s">
        <v>781</v>
      </c>
      <c r="P106" s="4"/>
      <c r="Q106" s="4"/>
      <c r="R106" s="4"/>
      <c r="S106" s="4"/>
      <c r="T106" s="4"/>
      <c r="U106" s="4"/>
      <c r="V106" s="4"/>
      <c r="W106" s="4"/>
      <c r="X106" s="4" t="e">
        <f t="shared" si="1"/>
        <v>#N/A</v>
      </c>
      <c r="Y106" s="4"/>
      <c r="Z106" s="4"/>
      <c r="AA106" s="4"/>
      <c r="AB106" s="4"/>
      <c r="AC106" s="4"/>
      <c r="AD106" s="4"/>
      <c r="AE106" s="4"/>
    </row>
    <row r="107" spans="1:31" x14ac:dyDescent="0.2">
      <c r="A107" s="201"/>
      <c r="B107" s="4" t="s">
        <v>34</v>
      </c>
      <c r="C107" s="4">
        <v>103</v>
      </c>
      <c r="D107" s="4"/>
      <c r="E107" s="4"/>
      <c r="F107" s="4"/>
      <c r="G107" s="4"/>
      <c r="H107" s="4"/>
      <c r="I107" s="4"/>
      <c r="J107" s="4">
        <v>30103</v>
      </c>
      <c r="K107" s="202"/>
      <c r="L107" s="4">
        <v>7</v>
      </c>
      <c r="M107" s="4">
        <v>6</v>
      </c>
      <c r="N107" s="4" t="str">
        <f>_xlfn.CONCAT("DBX",((L107-1)*2),".6")</f>
        <v>DBX12.6</v>
      </c>
      <c r="O107" s="4" t="s">
        <v>781</v>
      </c>
      <c r="P107" s="4"/>
      <c r="Q107" s="4"/>
      <c r="R107" s="4"/>
      <c r="S107" s="4"/>
      <c r="T107" s="4"/>
      <c r="U107" s="4"/>
      <c r="V107" s="4"/>
      <c r="W107" s="4"/>
      <c r="X107" s="4" t="e">
        <f t="shared" si="1"/>
        <v>#N/A</v>
      </c>
      <c r="Y107" s="4"/>
      <c r="Z107" s="4"/>
      <c r="AA107" s="4"/>
      <c r="AB107" s="4"/>
      <c r="AC107" s="4"/>
      <c r="AD107" s="4"/>
      <c r="AE107" s="4"/>
    </row>
    <row r="108" spans="1:31" x14ac:dyDescent="0.2">
      <c r="A108" s="201"/>
      <c r="B108" s="4" t="s">
        <v>34</v>
      </c>
      <c r="C108" s="4">
        <v>104</v>
      </c>
      <c r="D108" s="4"/>
      <c r="E108" s="4"/>
      <c r="F108" s="4"/>
      <c r="G108" s="4"/>
      <c r="H108" s="4"/>
      <c r="I108" s="4"/>
      <c r="J108" s="4">
        <v>30104</v>
      </c>
      <c r="K108" s="202"/>
      <c r="L108" s="4">
        <v>7</v>
      </c>
      <c r="M108" s="4">
        <v>7</v>
      </c>
      <c r="N108" s="4" t="str">
        <f>_xlfn.CONCAT("DBX",((L108-1)*2),".7")</f>
        <v>DBX12.7</v>
      </c>
      <c r="O108" s="4" t="s">
        <v>781</v>
      </c>
      <c r="P108" s="4"/>
      <c r="Q108" s="4"/>
      <c r="R108" s="4"/>
      <c r="S108" s="4"/>
      <c r="T108" s="4"/>
      <c r="U108" s="4"/>
      <c r="V108" s="4"/>
      <c r="W108" s="4"/>
      <c r="X108" s="4" t="e">
        <f t="shared" si="1"/>
        <v>#N/A</v>
      </c>
      <c r="Y108" s="4"/>
      <c r="Z108" s="4"/>
      <c r="AA108" s="4"/>
      <c r="AB108" s="4"/>
      <c r="AC108" s="4"/>
      <c r="AD108" s="4"/>
      <c r="AE108" s="4"/>
    </row>
    <row r="109" spans="1:31" x14ac:dyDescent="0.2">
      <c r="A109" s="201"/>
      <c r="B109" s="4" t="s">
        <v>34</v>
      </c>
      <c r="C109" s="4">
        <v>105</v>
      </c>
      <c r="D109" s="4"/>
      <c r="E109" s="4"/>
      <c r="F109" s="4"/>
      <c r="G109" s="4"/>
      <c r="H109" s="4"/>
      <c r="I109" s="4"/>
      <c r="J109" s="4">
        <v>30105</v>
      </c>
      <c r="K109" s="202"/>
      <c r="L109" s="4">
        <v>7</v>
      </c>
      <c r="M109" s="4">
        <v>8</v>
      </c>
      <c r="N109" s="4" t="str">
        <f>_xlfn.CONCAT("DBX",((L109-1)*2)+1,".0")</f>
        <v>DBX13.0</v>
      </c>
      <c r="O109" s="4" t="s">
        <v>781</v>
      </c>
      <c r="P109" s="4"/>
      <c r="Q109" s="4"/>
      <c r="R109" s="4"/>
      <c r="S109" s="4"/>
      <c r="T109" s="4"/>
      <c r="U109" s="4"/>
      <c r="V109" s="4"/>
      <c r="W109" s="4"/>
      <c r="X109" s="4" t="e">
        <f t="shared" si="1"/>
        <v>#N/A</v>
      </c>
      <c r="Y109" s="4"/>
      <c r="Z109" s="4"/>
      <c r="AA109" s="4"/>
      <c r="AB109" s="4"/>
      <c r="AC109" s="4"/>
      <c r="AD109" s="4"/>
      <c r="AE109" s="4"/>
    </row>
    <row r="110" spans="1:31" x14ac:dyDescent="0.2">
      <c r="A110" s="201"/>
      <c r="B110" s="4" t="s">
        <v>34</v>
      </c>
      <c r="C110" s="4">
        <v>106</v>
      </c>
      <c r="D110" s="4"/>
      <c r="E110" s="4"/>
      <c r="F110" s="4"/>
      <c r="G110" s="4"/>
      <c r="H110" s="4"/>
      <c r="I110" s="4"/>
      <c r="J110" s="4">
        <v>30106</v>
      </c>
      <c r="K110" s="202"/>
      <c r="L110" s="4">
        <v>7</v>
      </c>
      <c r="M110" s="4">
        <v>9</v>
      </c>
      <c r="N110" s="4" t="str">
        <f>_xlfn.CONCAT("DBX",((L110-1)*2)+1,".1")</f>
        <v>DBX13.1</v>
      </c>
      <c r="O110" s="4" t="s">
        <v>781</v>
      </c>
      <c r="P110" s="4"/>
      <c r="Q110" s="4"/>
      <c r="R110" s="4"/>
      <c r="S110" s="4"/>
      <c r="T110" s="4"/>
      <c r="U110" s="4"/>
      <c r="V110" s="4"/>
      <c r="W110" s="4"/>
      <c r="X110" s="4" t="e">
        <f t="shared" si="1"/>
        <v>#N/A</v>
      </c>
      <c r="Y110" s="4"/>
      <c r="Z110" s="4"/>
      <c r="AA110" s="4"/>
      <c r="AB110" s="4"/>
      <c r="AC110" s="4"/>
      <c r="AD110" s="4"/>
      <c r="AE110" s="4"/>
    </row>
    <row r="111" spans="1:31" x14ac:dyDescent="0.2">
      <c r="A111" s="201"/>
      <c r="B111" s="4" t="s">
        <v>34</v>
      </c>
      <c r="C111" s="4">
        <v>107</v>
      </c>
      <c r="D111" s="4"/>
      <c r="E111" s="4"/>
      <c r="F111" s="4"/>
      <c r="G111" s="4"/>
      <c r="H111" s="4"/>
      <c r="I111" s="4"/>
      <c r="J111" s="4">
        <v>30107</v>
      </c>
      <c r="K111" s="202"/>
      <c r="L111" s="4">
        <v>7</v>
      </c>
      <c r="M111" s="4">
        <v>10</v>
      </c>
      <c r="N111" s="4" t="str">
        <f>_xlfn.CONCAT("DBX",((L111-1)*2)+1,".2")</f>
        <v>DBX13.2</v>
      </c>
      <c r="O111" s="4" t="s">
        <v>781</v>
      </c>
      <c r="P111" s="4"/>
      <c r="Q111" s="4"/>
      <c r="R111" s="4"/>
      <c r="S111" s="4"/>
      <c r="T111" s="4"/>
      <c r="U111" s="4"/>
      <c r="V111" s="4"/>
      <c r="W111" s="4"/>
      <c r="X111" s="4" t="e">
        <f t="shared" si="1"/>
        <v>#N/A</v>
      </c>
      <c r="Y111" s="4"/>
      <c r="Z111" s="4"/>
      <c r="AA111" s="4"/>
      <c r="AB111" s="4"/>
      <c r="AC111" s="4"/>
      <c r="AD111" s="4"/>
      <c r="AE111" s="4"/>
    </row>
    <row r="112" spans="1:31" x14ac:dyDescent="0.2">
      <c r="A112" s="201"/>
      <c r="B112" s="4" t="s">
        <v>34</v>
      </c>
      <c r="C112" s="4">
        <v>108</v>
      </c>
      <c r="D112" s="4"/>
      <c r="E112" s="4"/>
      <c r="F112" s="4"/>
      <c r="G112" s="4"/>
      <c r="H112" s="4"/>
      <c r="I112" s="4"/>
      <c r="J112" s="4">
        <v>30108</v>
      </c>
      <c r="K112" s="202"/>
      <c r="L112" s="4">
        <v>7</v>
      </c>
      <c r="M112" s="4">
        <v>11</v>
      </c>
      <c r="N112" s="4" t="str">
        <f>_xlfn.CONCAT("DBX",((L112-1)*2)+1,".3")</f>
        <v>DBX13.3</v>
      </c>
      <c r="O112" s="4" t="s">
        <v>781</v>
      </c>
      <c r="P112" s="4"/>
      <c r="Q112" s="4"/>
      <c r="R112" s="4"/>
      <c r="S112" s="4"/>
      <c r="T112" s="4"/>
      <c r="U112" s="4"/>
      <c r="V112" s="4"/>
      <c r="W112" s="4"/>
      <c r="X112" s="4" t="e">
        <f t="shared" si="1"/>
        <v>#N/A</v>
      </c>
      <c r="Y112" s="4"/>
      <c r="Z112" s="4"/>
      <c r="AA112" s="4"/>
      <c r="AB112" s="4"/>
      <c r="AC112" s="4"/>
      <c r="AD112" s="4"/>
      <c r="AE112" s="4"/>
    </row>
    <row r="113" spans="1:31" x14ac:dyDescent="0.2">
      <c r="A113" s="201"/>
      <c r="B113" s="4" t="s">
        <v>34</v>
      </c>
      <c r="C113" s="4">
        <v>109</v>
      </c>
      <c r="D113" s="4"/>
      <c r="E113" s="4"/>
      <c r="F113" s="4"/>
      <c r="G113" s="4"/>
      <c r="H113" s="4"/>
      <c r="I113" s="4"/>
      <c r="J113" s="4">
        <v>30109</v>
      </c>
      <c r="K113" s="202"/>
      <c r="L113" s="4">
        <v>7</v>
      </c>
      <c r="M113" s="4">
        <v>12</v>
      </c>
      <c r="N113" s="4" t="str">
        <f>_xlfn.CONCAT("DBX",((L113-1)*2)+1,".4")</f>
        <v>DBX13.4</v>
      </c>
      <c r="O113" s="4" t="s">
        <v>781</v>
      </c>
      <c r="P113" s="4"/>
      <c r="Q113" s="4"/>
      <c r="R113" s="4"/>
      <c r="S113" s="4"/>
      <c r="T113" s="4"/>
      <c r="U113" s="4"/>
      <c r="V113" s="4"/>
      <c r="W113" s="4"/>
      <c r="X113" s="4" t="e">
        <f t="shared" si="1"/>
        <v>#N/A</v>
      </c>
      <c r="Y113" s="4"/>
      <c r="Z113" s="4"/>
      <c r="AA113" s="4"/>
      <c r="AB113" s="4"/>
      <c r="AC113" s="4"/>
      <c r="AD113" s="4"/>
      <c r="AE113" s="4"/>
    </row>
    <row r="114" spans="1:31" x14ac:dyDescent="0.2">
      <c r="A114" s="201"/>
      <c r="B114" s="4" t="s">
        <v>34</v>
      </c>
      <c r="C114" s="4">
        <v>110</v>
      </c>
      <c r="D114" s="4"/>
      <c r="E114" s="4"/>
      <c r="F114" s="4"/>
      <c r="G114" s="4"/>
      <c r="H114" s="4"/>
      <c r="I114" s="4"/>
      <c r="J114" s="4">
        <v>30110</v>
      </c>
      <c r="K114" s="202"/>
      <c r="L114" s="4">
        <v>7</v>
      </c>
      <c r="M114" s="4">
        <v>13</v>
      </c>
      <c r="N114" s="4" t="str">
        <f>_xlfn.CONCAT("DBX",((L114-1)*2)+1,".5")</f>
        <v>DBX13.5</v>
      </c>
      <c r="O114" s="4" t="s">
        <v>781</v>
      </c>
      <c r="P114" s="4"/>
      <c r="Q114" s="4"/>
      <c r="R114" s="4"/>
      <c r="S114" s="4"/>
      <c r="T114" s="4"/>
      <c r="U114" s="4"/>
      <c r="V114" s="4"/>
      <c r="W114" s="4"/>
      <c r="X114" s="4" t="e">
        <f t="shared" si="1"/>
        <v>#N/A</v>
      </c>
      <c r="Y114" s="4"/>
      <c r="Z114" s="4"/>
      <c r="AA114" s="4"/>
      <c r="AB114" s="4"/>
      <c r="AC114" s="4"/>
      <c r="AD114" s="4"/>
      <c r="AE114" s="4"/>
    </row>
    <row r="115" spans="1:31" x14ac:dyDescent="0.2">
      <c r="A115" s="201"/>
      <c r="B115" s="4" t="s">
        <v>33</v>
      </c>
      <c r="C115" s="4">
        <v>111</v>
      </c>
      <c r="D115" s="4" t="s">
        <v>435</v>
      </c>
      <c r="E115" s="4" t="s">
        <v>436</v>
      </c>
      <c r="F115" s="4" t="s">
        <v>2317</v>
      </c>
      <c r="G115" s="4" t="s">
        <v>72</v>
      </c>
      <c r="H115" s="4" t="s">
        <v>41</v>
      </c>
      <c r="I115" s="4" t="s">
        <v>84</v>
      </c>
      <c r="J115" s="4">
        <v>30111</v>
      </c>
      <c r="K115" s="202" t="s">
        <v>433</v>
      </c>
      <c r="L115" s="4">
        <v>7</v>
      </c>
      <c r="M115" s="4">
        <v>14</v>
      </c>
      <c r="N115" s="4" t="str">
        <f>_xlfn.CONCAT("DBX",((L115-1)*2)+1,".6")</f>
        <v>DBX13.6</v>
      </c>
      <c r="O115" s="4" t="s">
        <v>781</v>
      </c>
      <c r="P115" s="4" t="s">
        <v>437</v>
      </c>
      <c r="Q115" s="4" t="s">
        <v>12</v>
      </c>
      <c r="R115" s="4"/>
      <c r="S115" s="4">
        <v>3922</v>
      </c>
      <c r="T115" s="4" t="s">
        <v>2551</v>
      </c>
      <c r="U115" s="4"/>
      <c r="V115" s="4"/>
      <c r="W115" s="4" t="s">
        <v>125</v>
      </c>
      <c r="X115" s="4">
        <f t="shared" si="1"/>
        <v>9</v>
      </c>
      <c r="Y115" s="4"/>
      <c r="Z115" s="4"/>
      <c r="AA115" s="4"/>
      <c r="AB115" s="4"/>
      <c r="AC115" s="4">
        <v>1</v>
      </c>
      <c r="AD115" s="4"/>
      <c r="AE115" s="4"/>
    </row>
    <row r="116" spans="1:31" x14ac:dyDescent="0.2">
      <c r="A116" s="201"/>
      <c r="B116" s="4" t="s">
        <v>33</v>
      </c>
      <c r="C116" s="4">
        <v>112</v>
      </c>
      <c r="D116" s="4" t="s">
        <v>440</v>
      </c>
      <c r="E116" s="4" t="s">
        <v>441</v>
      </c>
      <c r="F116" s="4" t="s">
        <v>2318</v>
      </c>
      <c r="G116" s="4" t="s">
        <v>72</v>
      </c>
      <c r="H116" s="4" t="s">
        <v>41</v>
      </c>
      <c r="I116" s="4" t="s">
        <v>84</v>
      </c>
      <c r="J116" s="4">
        <v>30112</v>
      </c>
      <c r="K116" s="202" t="s">
        <v>438</v>
      </c>
      <c r="L116" s="4">
        <v>7</v>
      </c>
      <c r="M116" s="4">
        <v>15</v>
      </c>
      <c r="N116" s="4" t="str">
        <f>_xlfn.CONCAT("DBX",((L116-1)*2)+1,".7")</f>
        <v>DBX13.7</v>
      </c>
      <c r="O116" s="4" t="s">
        <v>781</v>
      </c>
      <c r="P116" s="4" t="s">
        <v>439</v>
      </c>
      <c r="Q116" s="4" t="s">
        <v>12</v>
      </c>
      <c r="R116" s="4"/>
      <c r="S116" s="4">
        <v>3922</v>
      </c>
      <c r="T116" s="4" t="s">
        <v>2551</v>
      </c>
      <c r="U116" s="4"/>
      <c r="V116" s="4"/>
      <c r="W116" s="4" t="s">
        <v>129</v>
      </c>
      <c r="X116" s="4">
        <f t="shared" si="1"/>
        <v>13</v>
      </c>
      <c r="Y116" s="4"/>
      <c r="Z116" s="4"/>
      <c r="AA116" s="4"/>
      <c r="AB116" s="4"/>
      <c r="AC116" s="4">
        <v>1</v>
      </c>
      <c r="AD116" s="4"/>
      <c r="AE116" s="4"/>
    </row>
    <row r="117" spans="1:31" x14ac:dyDescent="0.2">
      <c r="A117" s="201"/>
      <c r="B117" s="4" t="s">
        <v>250</v>
      </c>
      <c r="C117" s="4">
        <v>113</v>
      </c>
      <c r="D117" s="4" t="s">
        <v>2608</v>
      </c>
      <c r="E117" s="4" t="s">
        <v>2609</v>
      </c>
      <c r="F117" s="4" t="s">
        <v>2610</v>
      </c>
      <c r="G117" s="4" t="s">
        <v>72</v>
      </c>
      <c r="H117" s="4" t="s">
        <v>41</v>
      </c>
      <c r="I117" s="4" t="s">
        <v>84</v>
      </c>
      <c r="J117" s="4">
        <v>30113</v>
      </c>
      <c r="K117" s="202" t="s">
        <v>434</v>
      </c>
      <c r="L117" s="4">
        <v>8</v>
      </c>
      <c r="M117" s="4">
        <v>0</v>
      </c>
      <c r="N117" s="4" t="str">
        <f>_xlfn.CONCAT("DBX",((L117-1)*2),".0")</f>
        <v>DBX14.0</v>
      </c>
      <c r="O117" s="4" t="s">
        <v>781</v>
      </c>
      <c r="P117" s="4" t="s">
        <v>442</v>
      </c>
      <c r="Q117" s="4" t="s">
        <v>12</v>
      </c>
      <c r="R117" s="4"/>
      <c r="S117" s="4">
        <v>3922</v>
      </c>
      <c r="T117" s="4" t="s">
        <v>2551</v>
      </c>
      <c r="U117" s="4"/>
      <c r="V117" s="4"/>
      <c r="W117" s="4" t="s">
        <v>125</v>
      </c>
      <c r="X117" s="4">
        <f t="shared" si="1"/>
        <v>9</v>
      </c>
      <c r="Y117" s="4"/>
      <c r="Z117" s="4"/>
      <c r="AA117" s="4"/>
      <c r="AB117" s="4"/>
      <c r="AC117" s="4">
        <v>1</v>
      </c>
      <c r="AD117" s="4"/>
      <c r="AE117" s="4"/>
    </row>
    <row r="118" spans="1:31" x14ac:dyDescent="0.2">
      <c r="A118" s="201"/>
      <c r="B118" s="4" t="s">
        <v>33</v>
      </c>
      <c r="C118" s="4">
        <v>114</v>
      </c>
      <c r="D118" s="4" t="s">
        <v>445</v>
      </c>
      <c r="E118" s="4" t="s">
        <v>446</v>
      </c>
      <c r="F118" s="4" t="s">
        <v>2321</v>
      </c>
      <c r="G118" s="4" t="s">
        <v>40</v>
      </c>
      <c r="H118" s="4" t="s">
        <v>41</v>
      </c>
      <c r="I118" s="4" t="s">
        <v>40</v>
      </c>
      <c r="J118" s="4">
        <v>30114</v>
      </c>
      <c r="K118" s="202" t="s">
        <v>444</v>
      </c>
      <c r="L118" s="4">
        <v>8</v>
      </c>
      <c r="M118" s="4">
        <v>1</v>
      </c>
      <c r="N118" s="4" t="str">
        <f>_xlfn.CONCAT("DBX",((L118-1)*2),".1")</f>
        <v>DBX14.1</v>
      </c>
      <c r="O118" s="4" t="s">
        <v>781</v>
      </c>
      <c r="P118" s="4" t="s">
        <v>443</v>
      </c>
      <c r="Q118" s="4" t="s">
        <v>12</v>
      </c>
      <c r="R118" s="4"/>
      <c r="S118" s="4">
        <v>3922</v>
      </c>
      <c r="T118" s="4" t="s">
        <v>2551</v>
      </c>
      <c r="U118" s="4"/>
      <c r="V118" s="4"/>
      <c r="W118" s="4" t="s">
        <v>125</v>
      </c>
      <c r="X118" s="4">
        <f t="shared" si="1"/>
        <v>9</v>
      </c>
      <c r="Y118" s="4"/>
      <c r="Z118" s="4"/>
      <c r="AA118" s="4"/>
      <c r="AB118" s="4"/>
      <c r="AC118" s="4">
        <v>1</v>
      </c>
      <c r="AD118" s="4"/>
      <c r="AE118" s="4"/>
    </row>
    <row r="119" spans="1:31" x14ac:dyDescent="0.2">
      <c r="A119" s="201"/>
      <c r="B119" s="4" t="s">
        <v>33</v>
      </c>
      <c r="C119" s="4">
        <v>115</v>
      </c>
      <c r="D119" s="4" t="s">
        <v>447</v>
      </c>
      <c r="E119" s="4" t="s">
        <v>448</v>
      </c>
      <c r="F119" s="4" t="s">
        <v>2332</v>
      </c>
      <c r="G119" s="4" t="s">
        <v>40</v>
      </c>
      <c r="H119" s="4" t="s">
        <v>41</v>
      </c>
      <c r="I119" s="4" t="s">
        <v>40</v>
      </c>
      <c r="J119" s="4">
        <v>30115</v>
      </c>
      <c r="K119" s="202" t="s">
        <v>455</v>
      </c>
      <c r="L119" s="4">
        <v>8</v>
      </c>
      <c r="M119" s="4">
        <v>2</v>
      </c>
      <c r="N119" s="4" t="str">
        <f>_xlfn.CONCAT("DBX",((L119-1)*2),".2")</f>
        <v>DBX14.2</v>
      </c>
      <c r="O119" s="4" t="s">
        <v>781</v>
      </c>
      <c r="P119" s="4" t="s">
        <v>460</v>
      </c>
      <c r="Q119" s="4" t="s">
        <v>12</v>
      </c>
      <c r="R119" s="4"/>
      <c r="S119" s="4">
        <v>3922</v>
      </c>
      <c r="T119" s="4" t="s">
        <v>2551</v>
      </c>
      <c r="U119" s="4"/>
      <c r="V119" s="4"/>
      <c r="W119" s="4" t="s">
        <v>125</v>
      </c>
      <c r="X119" s="4">
        <f t="shared" si="1"/>
        <v>9</v>
      </c>
      <c r="Y119" s="4"/>
      <c r="Z119" s="4"/>
      <c r="AA119" s="4"/>
      <c r="AB119" s="4"/>
      <c r="AC119" s="4">
        <v>1</v>
      </c>
      <c r="AD119" s="4"/>
      <c r="AE119" s="4"/>
    </row>
    <row r="120" spans="1:31" x14ac:dyDescent="0.2">
      <c r="A120" s="201"/>
      <c r="B120" s="4" t="s">
        <v>33</v>
      </c>
      <c r="C120" s="4">
        <v>116</v>
      </c>
      <c r="D120" s="4" t="s">
        <v>447</v>
      </c>
      <c r="E120" s="4" t="s">
        <v>448</v>
      </c>
      <c r="F120" s="4" t="s">
        <v>2332</v>
      </c>
      <c r="G120" s="4" t="s">
        <v>40</v>
      </c>
      <c r="H120" s="4" t="s">
        <v>41</v>
      </c>
      <c r="I120" s="4" t="s">
        <v>40</v>
      </c>
      <c r="J120" s="4">
        <v>30116</v>
      </c>
      <c r="K120" s="202" t="s">
        <v>456</v>
      </c>
      <c r="L120" s="4">
        <v>8</v>
      </c>
      <c r="M120" s="4">
        <v>3</v>
      </c>
      <c r="N120" s="4" t="str">
        <f>_xlfn.CONCAT("DBX",((L120-1)*2),".3")</f>
        <v>DBX14.3</v>
      </c>
      <c r="O120" s="4" t="s">
        <v>781</v>
      </c>
      <c r="P120" s="4" t="s">
        <v>461</v>
      </c>
      <c r="Q120" s="4" t="s">
        <v>12</v>
      </c>
      <c r="R120" s="4"/>
      <c r="S120" s="4">
        <v>3922</v>
      </c>
      <c r="T120" s="4" t="s">
        <v>2551</v>
      </c>
      <c r="U120" s="4"/>
      <c r="V120" s="4"/>
      <c r="W120" s="4" t="s">
        <v>125</v>
      </c>
      <c r="X120" s="4">
        <f t="shared" si="1"/>
        <v>9</v>
      </c>
      <c r="Y120" s="4"/>
      <c r="Z120" s="4"/>
      <c r="AA120" s="4"/>
      <c r="AB120" s="4"/>
      <c r="AC120" s="4">
        <v>1</v>
      </c>
      <c r="AD120" s="4"/>
      <c r="AE120" s="4"/>
    </row>
    <row r="121" spans="1:31" x14ac:dyDescent="0.2">
      <c r="A121" s="201"/>
      <c r="B121" s="4" t="s">
        <v>33</v>
      </c>
      <c r="C121" s="4">
        <v>117</v>
      </c>
      <c r="D121" s="4" t="s">
        <v>447</v>
      </c>
      <c r="E121" s="4" t="s">
        <v>448</v>
      </c>
      <c r="F121" s="4" t="s">
        <v>2332</v>
      </c>
      <c r="G121" s="4" t="s">
        <v>40</v>
      </c>
      <c r="H121" s="4" t="s">
        <v>41</v>
      </c>
      <c r="I121" s="4" t="s">
        <v>40</v>
      </c>
      <c r="J121" s="4">
        <v>30117</v>
      </c>
      <c r="K121" s="202" t="s">
        <v>457</v>
      </c>
      <c r="L121" s="4">
        <v>8</v>
      </c>
      <c r="M121" s="4">
        <v>4</v>
      </c>
      <c r="N121" s="4" t="str">
        <f>_xlfn.CONCAT("DBX",((L121-1)*2),".4")</f>
        <v>DBX14.4</v>
      </c>
      <c r="O121" s="4" t="s">
        <v>781</v>
      </c>
      <c r="P121" s="4" t="s">
        <v>462</v>
      </c>
      <c r="Q121" s="4" t="s">
        <v>12</v>
      </c>
      <c r="R121" s="4"/>
      <c r="S121" s="4">
        <v>3922</v>
      </c>
      <c r="T121" s="4" t="s">
        <v>2551</v>
      </c>
      <c r="U121" s="4"/>
      <c r="V121" s="4"/>
      <c r="W121" s="4" t="s">
        <v>125</v>
      </c>
      <c r="X121" s="4">
        <f t="shared" si="1"/>
        <v>9</v>
      </c>
      <c r="Y121" s="4"/>
      <c r="Z121" s="4"/>
      <c r="AA121" s="4"/>
      <c r="AB121" s="4"/>
      <c r="AC121" s="4">
        <v>1</v>
      </c>
      <c r="AD121" s="4"/>
      <c r="AE121" s="4"/>
    </row>
    <row r="122" spans="1:31" x14ac:dyDescent="0.2">
      <c r="A122" s="201"/>
      <c r="B122" s="4" t="s">
        <v>33</v>
      </c>
      <c r="C122" s="4">
        <v>118</v>
      </c>
      <c r="D122" s="4" t="s">
        <v>449</v>
      </c>
      <c r="E122" s="4" t="s">
        <v>450</v>
      </c>
      <c r="F122" s="4" t="s">
        <v>2333</v>
      </c>
      <c r="G122" s="4" t="s">
        <v>40</v>
      </c>
      <c r="H122" s="4" t="s">
        <v>41</v>
      </c>
      <c r="I122" s="4" t="s">
        <v>40</v>
      </c>
      <c r="J122" s="4">
        <v>30118</v>
      </c>
      <c r="K122" s="202" t="s">
        <v>458</v>
      </c>
      <c r="L122" s="4">
        <v>8</v>
      </c>
      <c r="M122" s="4">
        <v>5</v>
      </c>
      <c r="N122" s="4" t="str">
        <f>_xlfn.CONCAT("DBX",((L122-1)*2),".5")</f>
        <v>DBX14.5</v>
      </c>
      <c r="O122" s="4" t="s">
        <v>781</v>
      </c>
      <c r="P122" s="4" t="s">
        <v>463</v>
      </c>
      <c r="Q122" s="4" t="s">
        <v>12</v>
      </c>
      <c r="R122" s="4"/>
      <c r="S122" s="4">
        <v>3922</v>
      </c>
      <c r="T122" s="4" t="s">
        <v>2551</v>
      </c>
      <c r="U122" s="4"/>
      <c r="V122" s="4"/>
      <c r="W122" s="4" t="s">
        <v>125</v>
      </c>
      <c r="X122" s="4">
        <f t="shared" si="1"/>
        <v>9</v>
      </c>
      <c r="Y122" s="4"/>
      <c r="Z122" s="4"/>
      <c r="AA122" s="4"/>
      <c r="AB122" s="4"/>
      <c r="AC122" s="4">
        <v>1</v>
      </c>
      <c r="AD122" s="4"/>
      <c r="AE122" s="4"/>
    </row>
    <row r="123" spans="1:31" x14ac:dyDescent="0.2">
      <c r="A123" s="201"/>
      <c r="B123" s="4" t="s">
        <v>33</v>
      </c>
      <c r="C123" s="4">
        <v>119</v>
      </c>
      <c r="D123" s="4" t="s">
        <v>451</v>
      </c>
      <c r="E123" s="4" t="s">
        <v>452</v>
      </c>
      <c r="F123" s="4" t="s">
        <v>2335</v>
      </c>
      <c r="G123" s="4" t="s">
        <v>40</v>
      </c>
      <c r="H123" s="4" t="s">
        <v>41</v>
      </c>
      <c r="I123" s="4" t="s">
        <v>40</v>
      </c>
      <c r="J123" s="4">
        <v>30119</v>
      </c>
      <c r="K123" s="202" t="s">
        <v>459</v>
      </c>
      <c r="L123" s="4">
        <v>8</v>
      </c>
      <c r="M123" s="4">
        <v>6</v>
      </c>
      <c r="N123" s="4" t="str">
        <f>_xlfn.CONCAT("DBX",((L123-1)*2),".6")</f>
        <v>DBX14.6</v>
      </c>
      <c r="O123" s="4" t="s">
        <v>781</v>
      </c>
      <c r="P123" s="4" t="s">
        <v>466</v>
      </c>
      <c r="Q123" s="4" t="s">
        <v>12</v>
      </c>
      <c r="R123" s="4"/>
      <c r="S123" s="4">
        <v>3922</v>
      </c>
      <c r="T123" s="4" t="s">
        <v>2551</v>
      </c>
      <c r="U123" s="4"/>
      <c r="V123" s="4"/>
      <c r="W123" s="4" t="s">
        <v>125</v>
      </c>
      <c r="X123" s="4">
        <f t="shared" si="1"/>
        <v>9</v>
      </c>
      <c r="Y123" s="4"/>
      <c r="Z123" s="4"/>
      <c r="AA123" s="4"/>
      <c r="AB123" s="4"/>
      <c r="AC123" s="4">
        <v>1</v>
      </c>
      <c r="AD123" s="4"/>
      <c r="AE123" s="4"/>
    </row>
    <row r="124" spans="1:31" x14ac:dyDescent="0.2">
      <c r="A124" s="201"/>
      <c r="B124" s="4" t="s">
        <v>33</v>
      </c>
      <c r="C124" s="4">
        <v>120</v>
      </c>
      <c r="D124" s="4" t="s">
        <v>464</v>
      </c>
      <c r="E124" s="4" t="s">
        <v>470</v>
      </c>
      <c r="F124" s="4" t="s">
        <v>2319</v>
      </c>
      <c r="G124" s="4" t="s">
        <v>40</v>
      </c>
      <c r="H124" s="4" t="s">
        <v>41</v>
      </c>
      <c r="I124" s="4" t="s">
        <v>40</v>
      </c>
      <c r="J124" s="4">
        <v>30120</v>
      </c>
      <c r="K124" s="202" t="s">
        <v>465</v>
      </c>
      <c r="L124" s="4">
        <v>8</v>
      </c>
      <c r="M124" s="4">
        <v>7</v>
      </c>
      <c r="N124" s="4" t="str">
        <f>_xlfn.CONCAT("DBX",((L124-1)*2),".7")</f>
        <v>DBX14.7</v>
      </c>
      <c r="O124" s="4" t="s">
        <v>781</v>
      </c>
      <c r="P124" s="4" t="s">
        <v>467</v>
      </c>
      <c r="Q124" s="4" t="s">
        <v>12</v>
      </c>
      <c r="R124" s="4"/>
      <c r="S124" s="4">
        <v>3922</v>
      </c>
      <c r="T124" s="4" t="s">
        <v>2551</v>
      </c>
      <c r="U124" s="4"/>
      <c r="V124" s="4"/>
      <c r="W124" s="4" t="s">
        <v>125</v>
      </c>
      <c r="X124" s="4">
        <f t="shared" si="1"/>
        <v>9</v>
      </c>
      <c r="Y124" s="4"/>
      <c r="Z124" s="4"/>
      <c r="AA124" s="4"/>
      <c r="AB124" s="4"/>
      <c r="AC124" s="4">
        <v>1</v>
      </c>
      <c r="AD124" s="4"/>
      <c r="AE124" s="4"/>
    </row>
    <row r="125" spans="1:31" x14ac:dyDescent="0.2">
      <c r="A125" s="201"/>
      <c r="B125" s="4" t="s">
        <v>33</v>
      </c>
      <c r="C125" s="4">
        <v>121</v>
      </c>
      <c r="D125" s="4" t="s">
        <v>453</v>
      </c>
      <c r="E125" s="4" t="s">
        <v>454</v>
      </c>
      <c r="F125" s="4" t="s">
        <v>2334</v>
      </c>
      <c r="G125" s="4" t="s">
        <v>40</v>
      </c>
      <c r="H125" s="4" t="s">
        <v>41</v>
      </c>
      <c r="I125" s="4" t="s">
        <v>40</v>
      </c>
      <c r="J125" s="4">
        <v>30121</v>
      </c>
      <c r="K125" s="202" t="s">
        <v>468</v>
      </c>
      <c r="L125" s="4">
        <v>8</v>
      </c>
      <c r="M125" s="4">
        <v>8</v>
      </c>
      <c r="N125" s="4" t="str">
        <f>_xlfn.CONCAT("DBX",((L125-1)*2)+1,".0")</f>
        <v>DBX15.0</v>
      </c>
      <c r="O125" s="4" t="s">
        <v>781</v>
      </c>
      <c r="P125" s="4" t="s">
        <v>469</v>
      </c>
      <c r="Q125" s="4" t="s">
        <v>12</v>
      </c>
      <c r="R125" s="4"/>
      <c r="S125" s="4">
        <v>3922</v>
      </c>
      <c r="T125" s="4" t="s">
        <v>2551</v>
      </c>
      <c r="U125" s="4"/>
      <c r="V125" s="4"/>
      <c r="W125" s="4" t="s">
        <v>125</v>
      </c>
      <c r="X125" s="4">
        <f t="shared" si="1"/>
        <v>9</v>
      </c>
      <c r="Y125" s="4"/>
      <c r="Z125" s="4"/>
      <c r="AA125" s="4"/>
      <c r="AB125" s="4"/>
      <c r="AC125" s="4">
        <v>1</v>
      </c>
      <c r="AD125" s="4"/>
      <c r="AE125" s="4"/>
    </row>
    <row r="126" spans="1:31" x14ac:dyDescent="0.2">
      <c r="A126" s="201"/>
      <c r="B126" s="4" t="s">
        <v>34</v>
      </c>
      <c r="C126" s="4">
        <v>122</v>
      </c>
      <c r="D126" s="4"/>
      <c r="E126" s="4"/>
      <c r="F126" s="4"/>
      <c r="G126" s="4"/>
      <c r="H126" s="4"/>
      <c r="I126" s="4"/>
      <c r="J126" s="4">
        <v>30122</v>
      </c>
      <c r="K126" s="202"/>
      <c r="L126" s="4">
        <v>8</v>
      </c>
      <c r="M126" s="4">
        <v>9</v>
      </c>
      <c r="N126" s="4" t="str">
        <f>_xlfn.CONCAT("DBX",((L126-1)*2)+1,".1")</f>
        <v>DBX15.1</v>
      </c>
      <c r="O126" s="4" t="s">
        <v>781</v>
      </c>
      <c r="P126" s="4"/>
      <c r="Q126" s="4"/>
      <c r="R126" s="4"/>
      <c r="S126" s="4"/>
      <c r="T126" s="4"/>
      <c r="U126" s="4"/>
      <c r="V126" s="4"/>
      <c r="W126" s="4"/>
      <c r="X126" s="4" t="e">
        <f t="shared" si="1"/>
        <v>#N/A</v>
      </c>
      <c r="Y126" s="4"/>
      <c r="Z126" s="4"/>
      <c r="AA126" s="4"/>
      <c r="AB126" s="4"/>
      <c r="AC126" s="4"/>
      <c r="AD126" s="4"/>
      <c r="AE126" s="4"/>
    </row>
    <row r="127" spans="1:31" x14ac:dyDescent="0.2">
      <c r="A127" s="201"/>
      <c r="B127" s="4" t="s">
        <v>33</v>
      </c>
      <c r="C127" s="4">
        <v>123</v>
      </c>
      <c r="D127" s="4" t="s">
        <v>453</v>
      </c>
      <c r="E127" s="4" t="s">
        <v>779</v>
      </c>
      <c r="F127" s="4" t="s">
        <v>2336</v>
      </c>
      <c r="G127" s="4" t="s">
        <v>40</v>
      </c>
      <c r="H127" s="4" t="s">
        <v>41</v>
      </c>
      <c r="I127" s="4" t="s">
        <v>40</v>
      </c>
      <c r="J127" s="4">
        <v>30123</v>
      </c>
      <c r="K127" s="202" t="s">
        <v>477</v>
      </c>
      <c r="L127" s="4">
        <v>8</v>
      </c>
      <c r="M127" s="4">
        <v>10</v>
      </c>
      <c r="N127" s="4" t="str">
        <f>_xlfn.CONCAT("DBX",((L127-1)*2)+1,".2")</f>
        <v>DBX15.2</v>
      </c>
      <c r="O127" s="4" t="s">
        <v>781</v>
      </c>
      <c r="P127" s="4" t="s">
        <v>478</v>
      </c>
      <c r="Q127" s="4" t="s">
        <v>12</v>
      </c>
      <c r="R127" s="4"/>
      <c r="S127" s="4">
        <v>3922</v>
      </c>
      <c r="T127" s="4" t="s">
        <v>2551</v>
      </c>
      <c r="U127" s="4"/>
      <c r="V127" s="4"/>
      <c r="W127" s="4" t="s">
        <v>125</v>
      </c>
      <c r="X127" s="4">
        <f t="shared" si="1"/>
        <v>9</v>
      </c>
      <c r="Y127" s="4"/>
      <c r="Z127" s="4"/>
      <c r="AA127" s="4"/>
      <c r="AB127" s="4"/>
      <c r="AC127" s="4">
        <v>1</v>
      </c>
      <c r="AD127" s="4"/>
      <c r="AE127" s="4"/>
    </row>
    <row r="128" spans="1:31" x14ac:dyDescent="0.2">
      <c r="A128" s="201"/>
      <c r="B128" s="4" t="s">
        <v>33</v>
      </c>
      <c r="C128" s="4">
        <v>124</v>
      </c>
      <c r="D128" s="4" t="s">
        <v>778</v>
      </c>
      <c r="E128" s="4" t="s">
        <v>780</v>
      </c>
      <c r="F128" s="4" t="s">
        <v>2322</v>
      </c>
      <c r="G128" s="4" t="s">
        <v>40</v>
      </c>
      <c r="H128" s="4" t="s">
        <v>41</v>
      </c>
      <c r="I128" s="4" t="s">
        <v>40</v>
      </c>
      <c r="J128" s="4">
        <v>30124</v>
      </c>
      <c r="K128" s="202" t="s">
        <v>479</v>
      </c>
      <c r="L128" s="4">
        <v>8</v>
      </c>
      <c r="M128" s="4">
        <v>11</v>
      </c>
      <c r="N128" s="4" t="str">
        <f>_xlfn.CONCAT("DBX",((L128-1)*2)+1,".3")</f>
        <v>DBX15.3</v>
      </c>
      <c r="O128" s="4" t="s">
        <v>781</v>
      </c>
      <c r="P128" s="4" t="s">
        <v>482</v>
      </c>
      <c r="Q128" s="4" t="s">
        <v>12</v>
      </c>
      <c r="R128" s="4"/>
      <c r="S128" s="4">
        <v>3922</v>
      </c>
      <c r="T128" s="4" t="s">
        <v>2551</v>
      </c>
      <c r="U128" s="4"/>
      <c r="V128" s="4"/>
      <c r="W128" s="4" t="s">
        <v>125</v>
      </c>
      <c r="X128" s="4">
        <f t="shared" si="1"/>
        <v>9</v>
      </c>
      <c r="Y128" s="4"/>
      <c r="Z128" s="4"/>
      <c r="AA128" s="4"/>
      <c r="AB128" s="4"/>
      <c r="AC128" s="4">
        <v>1</v>
      </c>
      <c r="AD128" s="4"/>
      <c r="AE128" s="4"/>
    </row>
    <row r="129" spans="1:31" x14ac:dyDescent="0.2">
      <c r="A129" s="201"/>
      <c r="B129" s="4" t="s">
        <v>34</v>
      </c>
      <c r="C129" s="4">
        <v>125</v>
      </c>
      <c r="D129" s="4"/>
      <c r="E129" s="4"/>
      <c r="F129" s="4"/>
      <c r="G129" s="4"/>
      <c r="H129" s="4"/>
      <c r="I129" s="4"/>
      <c r="J129" s="4">
        <v>30125</v>
      </c>
      <c r="K129" s="202"/>
      <c r="L129" s="4">
        <v>8</v>
      </c>
      <c r="M129" s="4">
        <v>12</v>
      </c>
      <c r="N129" s="4" t="str">
        <f>_xlfn.CONCAT("DBX",((L129-1)*2)+1,".4")</f>
        <v>DBX15.4</v>
      </c>
      <c r="O129" s="4" t="s">
        <v>781</v>
      </c>
      <c r="P129" s="4"/>
      <c r="Q129" s="4"/>
      <c r="R129" s="4"/>
      <c r="S129" s="4"/>
      <c r="T129" s="4"/>
      <c r="U129" s="4"/>
      <c r="V129" s="4"/>
      <c r="W129" s="4"/>
      <c r="X129" s="4" t="e">
        <f t="shared" si="1"/>
        <v>#N/A</v>
      </c>
      <c r="Y129" s="4"/>
      <c r="Z129" s="4"/>
      <c r="AA129" s="4"/>
      <c r="AB129" s="4"/>
      <c r="AC129" s="4"/>
      <c r="AD129" s="4"/>
      <c r="AE129" s="4"/>
    </row>
    <row r="130" spans="1:31" x14ac:dyDescent="0.2">
      <c r="A130" s="201"/>
      <c r="B130" s="4" t="s">
        <v>104</v>
      </c>
      <c r="C130" s="4">
        <v>126</v>
      </c>
      <c r="D130" s="4" t="s">
        <v>471</v>
      </c>
      <c r="E130" s="4" t="s">
        <v>472</v>
      </c>
      <c r="F130" s="4" t="s">
        <v>473</v>
      </c>
      <c r="G130" s="4" t="s">
        <v>72</v>
      </c>
      <c r="H130" s="4" t="s">
        <v>41</v>
      </c>
      <c r="I130" s="4" t="s">
        <v>84</v>
      </c>
      <c r="J130" s="4">
        <v>30126</v>
      </c>
      <c r="K130" s="202" t="s">
        <v>481</v>
      </c>
      <c r="L130" s="4">
        <v>8</v>
      </c>
      <c r="M130" s="4">
        <v>13</v>
      </c>
      <c r="N130" s="4" t="str">
        <f>_xlfn.CONCAT("DBX",((L130-1)*2)+1,".5")</f>
        <v>DBX15.5</v>
      </c>
      <c r="O130" s="4" t="s">
        <v>781</v>
      </c>
      <c r="P130" s="4" t="s">
        <v>480</v>
      </c>
      <c r="Q130" s="4" t="s">
        <v>12</v>
      </c>
      <c r="R130" s="4"/>
      <c r="S130" s="4">
        <v>3922</v>
      </c>
      <c r="T130" s="4" t="s">
        <v>2551</v>
      </c>
      <c r="U130" s="4"/>
      <c r="V130" s="4"/>
      <c r="W130" s="4" t="s">
        <v>125</v>
      </c>
      <c r="X130" s="4">
        <f t="shared" si="1"/>
        <v>9</v>
      </c>
      <c r="Y130" s="4"/>
      <c r="Z130" s="4"/>
      <c r="AA130" s="4"/>
      <c r="AB130" s="4"/>
      <c r="AC130" s="4">
        <v>1</v>
      </c>
      <c r="AD130" s="4"/>
      <c r="AE130" s="4"/>
    </row>
    <row r="131" spans="1:31" x14ac:dyDescent="0.2">
      <c r="A131" s="201"/>
      <c r="B131" s="4" t="s">
        <v>104</v>
      </c>
      <c r="C131" s="4">
        <v>127</v>
      </c>
      <c r="D131" s="4" t="s">
        <v>474</v>
      </c>
      <c r="E131" s="4" t="s">
        <v>475</v>
      </c>
      <c r="F131" s="4" t="s">
        <v>476</v>
      </c>
      <c r="G131" s="4" t="s">
        <v>72</v>
      </c>
      <c r="H131" s="4" t="s">
        <v>41</v>
      </c>
      <c r="I131" s="4" t="s">
        <v>84</v>
      </c>
      <c r="J131" s="4">
        <v>30127</v>
      </c>
      <c r="K131" s="202" t="s">
        <v>486</v>
      </c>
      <c r="L131" s="4">
        <v>8</v>
      </c>
      <c r="M131" s="4">
        <v>14</v>
      </c>
      <c r="N131" s="4" t="str">
        <f>_xlfn.CONCAT("DBX",((L131-1)*2)+1,".6")</f>
        <v>DBX15.6</v>
      </c>
      <c r="O131" s="4" t="s">
        <v>781</v>
      </c>
      <c r="P131" s="4" t="s">
        <v>483</v>
      </c>
      <c r="Q131" s="4" t="s">
        <v>12</v>
      </c>
      <c r="R131" s="4"/>
      <c r="S131" s="4">
        <v>3922</v>
      </c>
      <c r="T131" s="4" t="s">
        <v>2551</v>
      </c>
      <c r="U131" s="4"/>
      <c r="V131" s="4"/>
      <c r="W131" s="4" t="s">
        <v>125</v>
      </c>
      <c r="X131" s="4">
        <f t="shared" si="1"/>
        <v>9</v>
      </c>
      <c r="Y131" s="4"/>
      <c r="Z131" s="4"/>
      <c r="AA131" s="4"/>
      <c r="AB131" s="4"/>
      <c r="AC131" s="4">
        <v>1</v>
      </c>
      <c r="AD131" s="4"/>
      <c r="AE131" s="4"/>
    </row>
    <row r="132" spans="1:31" x14ac:dyDescent="0.2">
      <c r="A132" s="201"/>
      <c r="B132" s="4" t="s">
        <v>104</v>
      </c>
      <c r="C132" s="4">
        <v>128</v>
      </c>
      <c r="D132" s="4" t="s">
        <v>474</v>
      </c>
      <c r="E132" s="4" t="s">
        <v>475</v>
      </c>
      <c r="F132" s="4" t="s">
        <v>476</v>
      </c>
      <c r="G132" s="4" t="s">
        <v>72</v>
      </c>
      <c r="H132" s="4" t="s">
        <v>41</v>
      </c>
      <c r="I132" s="4" t="s">
        <v>84</v>
      </c>
      <c r="J132" s="4">
        <v>30128</v>
      </c>
      <c r="K132" s="202" t="s">
        <v>487</v>
      </c>
      <c r="L132" s="4">
        <v>8</v>
      </c>
      <c r="M132" s="4">
        <v>15</v>
      </c>
      <c r="N132" s="4" t="str">
        <f>_xlfn.CONCAT("DBX",((L132-1)*2)+1,".7")</f>
        <v>DBX15.7</v>
      </c>
      <c r="O132" s="4" t="s">
        <v>781</v>
      </c>
      <c r="P132" s="4" t="s">
        <v>484</v>
      </c>
      <c r="Q132" s="4" t="s">
        <v>12</v>
      </c>
      <c r="R132" s="4"/>
      <c r="S132" s="4">
        <v>3922</v>
      </c>
      <c r="T132" s="4" t="s">
        <v>2551</v>
      </c>
      <c r="U132" s="4"/>
      <c r="V132" s="4"/>
      <c r="W132" s="4" t="s">
        <v>125</v>
      </c>
      <c r="X132" s="4">
        <f t="shared" si="1"/>
        <v>9</v>
      </c>
      <c r="Y132" s="4"/>
      <c r="Z132" s="4"/>
      <c r="AA132" s="4"/>
      <c r="AB132" s="4"/>
      <c r="AC132" s="4">
        <v>1</v>
      </c>
      <c r="AD132" s="4"/>
      <c r="AE132" s="4"/>
    </row>
    <row r="133" spans="1:31" x14ac:dyDescent="0.2">
      <c r="A133" s="201"/>
      <c r="B133" s="4" t="s">
        <v>104</v>
      </c>
      <c r="C133" s="4">
        <v>129</v>
      </c>
      <c r="D133" s="4" t="s">
        <v>474</v>
      </c>
      <c r="E133" s="4" t="s">
        <v>475</v>
      </c>
      <c r="F133" s="4" t="s">
        <v>476</v>
      </c>
      <c r="G133" s="4" t="s">
        <v>72</v>
      </c>
      <c r="H133" s="4" t="s">
        <v>41</v>
      </c>
      <c r="I133" s="4" t="s">
        <v>84</v>
      </c>
      <c r="J133" s="4">
        <v>30129</v>
      </c>
      <c r="K133" s="202" t="s">
        <v>488</v>
      </c>
      <c r="L133" s="4">
        <v>9</v>
      </c>
      <c r="M133" s="4">
        <v>0</v>
      </c>
      <c r="N133" s="4" t="str">
        <f>_xlfn.CONCAT("DBX",((L133-1)*2),".0")</f>
        <v>DBX16.0</v>
      </c>
      <c r="O133" s="4" t="s">
        <v>781</v>
      </c>
      <c r="P133" s="4" t="s">
        <v>485</v>
      </c>
      <c r="Q133" s="4" t="s">
        <v>12</v>
      </c>
      <c r="R133" s="4"/>
      <c r="S133" s="4">
        <v>3922</v>
      </c>
      <c r="T133" s="4" t="s">
        <v>2551</v>
      </c>
      <c r="U133" s="4"/>
      <c r="V133" s="4"/>
      <c r="W133" s="4" t="s">
        <v>125</v>
      </c>
      <c r="X133" s="4">
        <f t="shared" ref="X133:X196" si="2">VLOOKUP(W133,$W$1609:$X$1639,2,FALSE)</f>
        <v>9</v>
      </c>
      <c r="Y133" s="4"/>
      <c r="Z133" s="4"/>
      <c r="AA133" s="4"/>
      <c r="AB133" s="4"/>
      <c r="AC133" s="4">
        <v>1</v>
      </c>
      <c r="AD133" s="4"/>
      <c r="AE133" s="4"/>
    </row>
    <row r="134" spans="1:31" x14ac:dyDescent="0.2">
      <c r="A134" s="201"/>
      <c r="B134" s="4" t="s">
        <v>104</v>
      </c>
      <c r="C134" s="4">
        <v>130</v>
      </c>
      <c r="D134" s="4" t="s">
        <v>471</v>
      </c>
      <c r="E134" s="4" t="s">
        <v>472</v>
      </c>
      <c r="F134" s="4" t="s">
        <v>473</v>
      </c>
      <c r="G134" s="4" t="s">
        <v>72</v>
      </c>
      <c r="H134" s="4" t="s">
        <v>41</v>
      </c>
      <c r="I134" s="4" t="s">
        <v>84</v>
      </c>
      <c r="J134" s="4">
        <v>30130</v>
      </c>
      <c r="K134" s="202" t="s">
        <v>489</v>
      </c>
      <c r="L134" s="4">
        <v>9</v>
      </c>
      <c r="M134" s="4">
        <v>1</v>
      </c>
      <c r="N134" s="4" t="str">
        <f>_xlfn.CONCAT("DBX",((L134-1)*2),".1")</f>
        <v>DBX16.1</v>
      </c>
      <c r="O134" s="4" t="s">
        <v>781</v>
      </c>
      <c r="P134" s="4" t="s">
        <v>490</v>
      </c>
      <c r="Q134" s="4" t="s">
        <v>12</v>
      </c>
      <c r="R134" s="4"/>
      <c r="S134" s="4">
        <v>3922</v>
      </c>
      <c r="T134" s="4" t="s">
        <v>2551</v>
      </c>
      <c r="U134" s="4"/>
      <c r="V134" s="4"/>
      <c r="W134" s="4" t="s">
        <v>125</v>
      </c>
      <c r="X134" s="4">
        <f t="shared" si="2"/>
        <v>9</v>
      </c>
      <c r="Y134" s="4"/>
      <c r="Z134" s="4"/>
      <c r="AA134" s="4"/>
      <c r="AB134" s="4"/>
      <c r="AC134" s="4">
        <v>1</v>
      </c>
      <c r="AD134" s="4"/>
      <c r="AE134" s="4"/>
    </row>
    <row r="135" spans="1:31" x14ac:dyDescent="0.2">
      <c r="A135" s="201"/>
      <c r="B135" s="4" t="s">
        <v>104</v>
      </c>
      <c r="C135" s="4">
        <v>131</v>
      </c>
      <c r="D135" s="4" t="s">
        <v>471</v>
      </c>
      <c r="E135" s="4" t="s">
        <v>472</v>
      </c>
      <c r="F135" s="4" t="s">
        <v>473</v>
      </c>
      <c r="G135" s="4" t="s">
        <v>72</v>
      </c>
      <c r="H135" s="4" t="s">
        <v>41</v>
      </c>
      <c r="I135" s="4" t="s">
        <v>84</v>
      </c>
      <c r="J135" s="4">
        <v>30131</v>
      </c>
      <c r="K135" s="202" t="s">
        <v>491</v>
      </c>
      <c r="L135" s="4">
        <v>9</v>
      </c>
      <c r="M135" s="4">
        <v>2</v>
      </c>
      <c r="N135" s="4" t="str">
        <f>_xlfn.CONCAT("DBX",((L135-1)*2),".2")</f>
        <v>DBX16.2</v>
      </c>
      <c r="O135" s="4" t="s">
        <v>781</v>
      </c>
      <c r="P135" s="4" t="s">
        <v>492</v>
      </c>
      <c r="Q135" s="4" t="s">
        <v>12</v>
      </c>
      <c r="R135" s="4"/>
      <c r="S135" s="4">
        <v>3922</v>
      </c>
      <c r="T135" s="4" t="s">
        <v>2551</v>
      </c>
      <c r="U135" s="4"/>
      <c r="V135" s="4"/>
      <c r="W135" s="4" t="s">
        <v>125</v>
      </c>
      <c r="X135" s="4">
        <f t="shared" si="2"/>
        <v>9</v>
      </c>
      <c r="Y135" s="4"/>
      <c r="Z135" s="4"/>
      <c r="AA135" s="4"/>
      <c r="AB135" s="4"/>
      <c r="AC135" s="4">
        <v>1</v>
      </c>
      <c r="AD135" s="4"/>
      <c r="AE135" s="4"/>
    </row>
    <row r="136" spans="1:31" x14ac:dyDescent="0.2">
      <c r="A136" s="201"/>
      <c r="B136" s="4" t="s">
        <v>256</v>
      </c>
      <c r="C136" s="4">
        <v>132</v>
      </c>
      <c r="D136" s="205" t="s">
        <v>471</v>
      </c>
      <c r="E136" s="205" t="s">
        <v>472</v>
      </c>
      <c r="F136" s="205" t="s">
        <v>473</v>
      </c>
      <c r="G136" s="205" t="s">
        <v>72</v>
      </c>
      <c r="H136" s="205" t="s">
        <v>41</v>
      </c>
      <c r="I136" s="205" t="s">
        <v>84</v>
      </c>
      <c r="J136" s="4">
        <v>30132</v>
      </c>
      <c r="K136" s="206" t="s">
        <v>493</v>
      </c>
      <c r="L136" s="4">
        <v>9</v>
      </c>
      <c r="M136" s="4">
        <v>3</v>
      </c>
      <c r="N136" s="4" t="str">
        <f>_xlfn.CONCAT("DBX",((L136-1)*2),".3")</f>
        <v>DBX16.3</v>
      </c>
      <c r="O136" s="4" t="s">
        <v>781</v>
      </c>
      <c r="P136" s="205" t="s">
        <v>496</v>
      </c>
      <c r="Q136" s="205" t="s">
        <v>12</v>
      </c>
      <c r="R136" s="4"/>
      <c r="S136" s="205">
        <v>3922</v>
      </c>
      <c r="T136" s="205" t="s">
        <v>2551</v>
      </c>
      <c r="U136" s="4"/>
      <c r="V136" s="4"/>
      <c r="W136" s="205" t="s">
        <v>125</v>
      </c>
      <c r="X136" s="4">
        <f t="shared" si="2"/>
        <v>9</v>
      </c>
      <c r="Y136" s="4"/>
      <c r="Z136" s="4"/>
      <c r="AA136" s="4"/>
      <c r="AB136" s="4"/>
      <c r="AC136" s="4">
        <v>1</v>
      </c>
      <c r="AD136" s="4"/>
      <c r="AE136" s="4"/>
    </row>
    <row r="137" spans="1:31" x14ac:dyDescent="0.2">
      <c r="A137" s="201"/>
      <c r="B137" s="4" t="s">
        <v>256</v>
      </c>
      <c r="C137" s="4">
        <v>133</v>
      </c>
      <c r="D137" s="205" t="s">
        <v>474</v>
      </c>
      <c r="E137" s="205" t="s">
        <v>475</v>
      </c>
      <c r="F137" s="205" t="s">
        <v>476</v>
      </c>
      <c r="G137" s="205" t="s">
        <v>72</v>
      </c>
      <c r="H137" s="205" t="s">
        <v>41</v>
      </c>
      <c r="I137" s="205" t="s">
        <v>84</v>
      </c>
      <c r="J137" s="4">
        <v>30133</v>
      </c>
      <c r="K137" s="206" t="s">
        <v>494</v>
      </c>
      <c r="L137" s="4">
        <v>9</v>
      </c>
      <c r="M137" s="4">
        <v>4</v>
      </c>
      <c r="N137" s="4" t="str">
        <f>_xlfn.CONCAT("DBX",((L137-1)*2),".4")</f>
        <v>DBX16.4</v>
      </c>
      <c r="O137" s="4" t="s">
        <v>781</v>
      </c>
      <c r="P137" s="205" t="s">
        <v>497</v>
      </c>
      <c r="Q137" s="205" t="s">
        <v>12</v>
      </c>
      <c r="R137" s="4"/>
      <c r="S137" s="205">
        <v>3922</v>
      </c>
      <c r="T137" s="205" t="s">
        <v>2551</v>
      </c>
      <c r="U137" s="4"/>
      <c r="V137" s="4"/>
      <c r="W137" s="205" t="s">
        <v>125</v>
      </c>
      <c r="X137" s="4">
        <f t="shared" si="2"/>
        <v>9</v>
      </c>
      <c r="Y137" s="4"/>
      <c r="Z137" s="4"/>
      <c r="AA137" s="4"/>
      <c r="AB137" s="4"/>
      <c r="AC137" s="4">
        <v>1</v>
      </c>
      <c r="AD137" s="4"/>
      <c r="AE137" s="4"/>
    </row>
    <row r="138" spans="1:31" x14ac:dyDescent="0.2">
      <c r="A138" s="201"/>
      <c r="B138" s="4" t="s">
        <v>104</v>
      </c>
      <c r="C138" s="4">
        <v>134</v>
      </c>
      <c r="D138" s="4" t="s">
        <v>474</v>
      </c>
      <c r="E138" s="4" t="s">
        <v>475</v>
      </c>
      <c r="F138" s="4" t="s">
        <v>476</v>
      </c>
      <c r="G138" s="4" t="s">
        <v>72</v>
      </c>
      <c r="H138" s="4" t="s">
        <v>41</v>
      </c>
      <c r="I138" s="4" t="s">
        <v>84</v>
      </c>
      <c r="J138" s="4">
        <v>30134</v>
      </c>
      <c r="K138" s="202" t="s">
        <v>495</v>
      </c>
      <c r="L138" s="4">
        <v>9</v>
      </c>
      <c r="M138" s="4">
        <v>5</v>
      </c>
      <c r="N138" s="4" t="str">
        <f>_xlfn.CONCAT("DBX",((L138-1)*2),".5")</f>
        <v>DBX16.5</v>
      </c>
      <c r="O138" s="4" t="s">
        <v>781</v>
      </c>
      <c r="P138" s="4" t="s">
        <v>498</v>
      </c>
      <c r="Q138" s="4" t="s">
        <v>12</v>
      </c>
      <c r="R138" s="4"/>
      <c r="S138" s="4">
        <v>3922</v>
      </c>
      <c r="T138" s="4" t="s">
        <v>2551</v>
      </c>
      <c r="U138" s="4"/>
      <c r="V138" s="4"/>
      <c r="W138" s="4" t="s">
        <v>125</v>
      </c>
      <c r="X138" s="4">
        <f t="shared" si="2"/>
        <v>9</v>
      </c>
      <c r="Y138" s="4"/>
      <c r="Z138" s="4"/>
      <c r="AA138" s="4"/>
      <c r="AB138" s="4"/>
      <c r="AC138" s="4">
        <v>1</v>
      </c>
      <c r="AD138" s="4"/>
      <c r="AE138" s="4"/>
    </row>
    <row r="139" spans="1:31" x14ac:dyDescent="0.2">
      <c r="A139" s="201"/>
      <c r="B139" s="4" t="s">
        <v>104</v>
      </c>
      <c r="C139" s="4">
        <v>135</v>
      </c>
      <c r="D139" s="4" t="s">
        <v>474</v>
      </c>
      <c r="E139" s="4" t="s">
        <v>475</v>
      </c>
      <c r="F139" s="4" t="s">
        <v>476</v>
      </c>
      <c r="G139" s="4" t="s">
        <v>72</v>
      </c>
      <c r="H139" s="4" t="s">
        <v>41</v>
      </c>
      <c r="I139" s="4" t="s">
        <v>84</v>
      </c>
      <c r="J139" s="4">
        <v>30135</v>
      </c>
      <c r="K139" s="202" t="s">
        <v>499</v>
      </c>
      <c r="L139" s="4">
        <v>9</v>
      </c>
      <c r="M139" s="4">
        <v>6</v>
      </c>
      <c r="N139" s="4" t="str">
        <f>_xlfn.CONCAT("DBX",((L139-1)*2),".6")</f>
        <v>DBX16.6</v>
      </c>
      <c r="O139" s="4" t="s">
        <v>781</v>
      </c>
      <c r="P139" s="4" t="s">
        <v>503</v>
      </c>
      <c r="Q139" s="4" t="s">
        <v>12</v>
      </c>
      <c r="R139" s="4"/>
      <c r="S139" s="4">
        <v>3922</v>
      </c>
      <c r="T139" s="4" t="s">
        <v>2551</v>
      </c>
      <c r="U139" s="4"/>
      <c r="V139" s="4"/>
      <c r="W139" s="4" t="s">
        <v>125</v>
      </c>
      <c r="X139" s="4">
        <f t="shared" si="2"/>
        <v>9</v>
      </c>
      <c r="Y139" s="4"/>
      <c r="Z139" s="4"/>
      <c r="AA139" s="4"/>
      <c r="AB139" s="4"/>
      <c r="AC139" s="4">
        <v>1</v>
      </c>
      <c r="AD139" s="4"/>
      <c r="AE139" s="4"/>
    </row>
    <row r="140" spans="1:31" x14ac:dyDescent="0.2">
      <c r="A140" s="201"/>
      <c r="B140" s="4" t="s">
        <v>104</v>
      </c>
      <c r="C140" s="4">
        <v>136</v>
      </c>
      <c r="D140" s="4" t="s">
        <v>474</v>
      </c>
      <c r="E140" s="4" t="s">
        <v>475</v>
      </c>
      <c r="F140" s="4" t="s">
        <v>476</v>
      </c>
      <c r="G140" s="4" t="s">
        <v>72</v>
      </c>
      <c r="H140" s="4" t="s">
        <v>41</v>
      </c>
      <c r="I140" s="4" t="s">
        <v>84</v>
      </c>
      <c r="J140" s="4">
        <v>30136</v>
      </c>
      <c r="K140" s="202" t="s">
        <v>500</v>
      </c>
      <c r="L140" s="4">
        <v>9</v>
      </c>
      <c r="M140" s="4">
        <v>7</v>
      </c>
      <c r="N140" s="4" t="str">
        <f>_xlfn.CONCAT("DBX",((L140-1)*2),".7")</f>
        <v>DBX16.7</v>
      </c>
      <c r="O140" s="4" t="s">
        <v>781</v>
      </c>
      <c r="P140" s="4" t="s">
        <v>504</v>
      </c>
      <c r="Q140" s="4" t="s">
        <v>12</v>
      </c>
      <c r="R140" s="4"/>
      <c r="S140" s="4">
        <v>3922</v>
      </c>
      <c r="T140" s="4" t="s">
        <v>2551</v>
      </c>
      <c r="U140" s="4"/>
      <c r="V140" s="4"/>
      <c r="W140" s="4" t="s">
        <v>125</v>
      </c>
      <c r="X140" s="4">
        <f t="shared" si="2"/>
        <v>9</v>
      </c>
      <c r="Y140" s="4"/>
      <c r="Z140" s="4"/>
      <c r="AA140" s="4"/>
      <c r="AB140" s="4"/>
      <c r="AC140" s="4">
        <v>1</v>
      </c>
      <c r="AD140" s="4"/>
      <c r="AE140" s="4"/>
    </row>
    <row r="141" spans="1:31" x14ac:dyDescent="0.2">
      <c r="A141" s="201"/>
      <c r="B141" s="4" t="s">
        <v>104</v>
      </c>
      <c r="C141" s="4">
        <v>137</v>
      </c>
      <c r="D141" s="4" t="s">
        <v>474</v>
      </c>
      <c r="E141" s="4" t="s">
        <v>475</v>
      </c>
      <c r="F141" s="4" t="s">
        <v>476</v>
      </c>
      <c r="G141" s="4" t="s">
        <v>72</v>
      </c>
      <c r="H141" s="4" t="s">
        <v>41</v>
      </c>
      <c r="I141" s="4" t="s">
        <v>84</v>
      </c>
      <c r="J141" s="4">
        <v>30137</v>
      </c>
      <c r="K141" s="202" t="s">
        <v>501</v>
      </c>
      <c r="L141" s="4">
        <v>9</v>
      </c>
      <c r="M141" s="4">
        <v>8</v>
      </c>
      <c r="N141" s="4" t="str">
        <f>_xlfn.CONCAT("DBX",((L141-1)*2)+1,".0")</f>
        <v>DBX17.0</v>
      </c>
      <c r="O141" s="4" t="s">
        <v>781</v>
      </c>
      <c r="P141" s="4" t="s">
        <v>505</v>
      </c>
      <c r="Q141" s="4" t="s">
        <v>12</v>
      </c>
      <c r="R141" s="4"/>
      <c r="S141" s="4">
        <v>3922</v>
      </c>
      <c r="T141" s="4" t="s">
        <v>2551</v>
      </c>
      <c r="U141" s="4"/>
      <c r="V141" s="4"/>
      <c r="W141" s="4" t="s">
        <v>125</v>
      </c>
      <c r="X141" s="4">
        <f t="shared" si="2"/>
        <v>9</v>
      </c>
      <c r="Y141" s="4"/>
      <c r="Z141" s="4"/>
      <c r="AA141" s="4"/>
      <c r="AB141" s="4"/>
      <c r="AC141" s="4">
        <v>1</v>
      </c>
      <c r="AD141" s="4"/>
      <c r="AE141" s="4"/>
    </row>
    <row r="142" spans="1:31" x14ac:dyDescent="0.2">
      <c r="A142" s="201"/>
      <c r="B142" s="4" t="s">
        <v>104</v>
      </c>
      <c r="C142" s="4">
        <v>138</v>
      </c>
      <c r="D142" s="4" t="s">
        <v>474</v>
      </c>
      <c r="E142" s="4" t="s">
        <v>475</v>
      </c>
      <c r="F142" s="4" t="s">
        <v>476</v>
      </c>
      <c r="G142" s="4" t="s">
        <v>72</v>
      </c>
      <c r="H142" s="4" t="s">
        <v>41</v>
      </c>
      <c r="I142" s="4" t="s">
        <v>84</v>
      </c>
      <c r="J142" s="4">
        <v>30138</v>
      </c>
      <c r="K142" s="202" t="s">
        <v>502</v>
      </c>
      <c r="L142" s="4">
        <v>9</v>
      </c>
      <c r="M142" s="4">
        <v>9</v>
      </c>
      <c r="N142" s="4" t="str">
        <f>_xlfn.CONCAT("DBX",((L142-1)*2)+1,".1")</f>
        <v>DBX17.1</v>
      </c>
      <c r="O142" s="4" t="s">
        <v>781</v>
      </c>
      <c r="P142" s="4" t="s">
        <v>506</v>
      </c>
      <c r="Q142" s="4" t="s">
        <v>12</v>
      </c>
      <c r="R142" s="4"/>
      <c r="S142" s="4">
        <v>3922</v>
      </c>
      <c r="T142" s="4" t="s">
        <v>2551</v>
      </c>
      <c r="U142" s="4"/>
      <c r="V142" s="4"/>
      <c r="W142" s="4" t="s">
        <v>125</v>
      </c>
      <c r="X142" s="4">
        <f t="shared" si="2"/>
        <v>9</v>
      </c>
      <c r="Y142" s="4"/>
      <c r="Z142" s="4"/>
      <c r="AA142" s="4"/>
      <c r="AB142" s="4"/>
      <c r="AC142" s="4">
        <v>1</v>
      </c>
      <c r="AD142" s="4"/>
      <c r="AE142" s="4"/>
    </row>
    <row r="143" spans="1:31" x14ac:dyDescent="0.2">
      <c r="A143" s="201"/>
      <c r="B143" s="4" t="s">
        <v>104</v>
      </c>
      <c r="C143" s="4">
        <v>139</v>
      </c>
      <c r="D143" s="4" t="s">
        <v>474</v>
      </c>
      <c r="E143" s="4" t="s">
        <v>475</v>
      </c>
      <c r="F143" s="4" t="s">
        <v>476</v>
      </c>
      <c r="G143" s="4" t="s">
        <v>72</v>
      </c>
      <c r="H143" s="4" t="s">
        <v>41</v>
      </c>
      <c r="I143" s="4" t="s">
        <v>84</v>
      </c>
      <c r="J143" s="4">
        <v>30139</v>
      </c>
      <c r="K143" s="202" t="s">
        <v>508</v>
      </c>
      <c r="L143" s="4">
        <v>9</v>
      </c>
      <c r="M143" s="4">
        <v>10</v>
      </c>
      <c r="N143" s="4" t="str">
        <f>_xlfn.CONCAT("DBX",((L143-1)*2)+1,".2")</f>
        <v>DBX17.2</v>
      </c>
      <c r="O143" s="4" t="s">
        <v>781</v>
      </c>
      <c r="P143" s="4" t="s">
        <v>507</v>
      </c>
      <c r="Q143" s="4" t="s">
        <v>12</v>
      </c>
      <c r="R143" s="4"/>
      <c r="S143" s="4">
        <v>3922</v>
      </c>
      <c r="T143" s="4" t="s">
        <v>2551</v>
      </c>
      <c r="U143" s="4"/>
      <c r="V143" s="4"/>
      <c r="W143" s="4" t="s">
        <v>125</v>
      </c>
      <c r="X143" s="4">
        <f t="shared" si="2"/>
        <v>9</v>
      </c>
      <c r="Y143" s="4"/>
      <c r="Z143" s="4"/>
      <c r="AA143" s="4"/>
      <c r="AB143" s="4"/>
      <c r="AC143" s="4">
        <v>1</v>
      </c>
      <c r="AD143" s="4"/>
      <c r="AE143" s="4"/>
    </row>
    <row r="144" spans="1:31" x14ac:dyDescent="0.2">
      <c r="A144" s="201"/>
      <c r="B144" s="4" t="s">
        <v>104</v>
      </c>
      <c r="C144" s="4">
        <v>140</v>
      </c>
      <c r="D144" s="4" t="s">
        <v>474</v>
      </c>
      <c r="E144" s="4" t="s">
        <v>475</v>
      </c>
      <c r="F144" s="4" t="s">
        <v>476</v>
      </c>
      <c r="G144" s="4" t="s">
        <v>72</v>
      </c>
      <c r="H144" s="4" t="s">
        <v>41</v>
      </c>
      <c r="I144" s="4" t="s">
        <v>84</v>
      </c>
      <c r="J144" s="4">
        <v>30140</v>
      </c>
      <c r="K144" s="202" t="s">
        <v>511</v>
      </c>
      <c r="L144" s="4">
        <v>9</v>
      </c>
      <c r="M144" s="4">
        <v>11</v>
      </c>
      <c r="N144" s="4" t="str">
        <f>_xlfn.CONCAT("DBX",((L144-1)*2)+1,".3")</f>
        <v>DBX17.3</v>
      </c>
      <c r="O144" s="4" t="s">
        <v>781</v>
      </c>
      <c r="P144" s="4" t="s">
        <v>509</v>
      </c>
      <c r="Q144" s="4" t="s">
        <v>12</v>
      </c>
      <c r="R144" s="4"/>
      <c r="S144" s="4">
        <v>3922</v>
      </c>
      <c r="T144" s="4" t="s">
        <v>2551</v>
      </c>
      <c r="U144" s="4"/>
      <c r="V144" s="4"/>
      <c r="W144" s="4" t="s">
        <v>125</v>
      </c>
      <c r="X144" s="4">
        <f t="shared" si="2"/>
        <v>9</v>
      </c>
      <c r="Y144" s="4"/>
      <c r="Z144" s="4"/>
      <c r="AA144" s="4"/>
      <c r="AB144" s="4"/>
      <c r="AC144" s="4">
        <v>1</v>
      </c>
      <c r="AD144" s="4"/>
      <c r="AE144" s="4"/>
    </row>
    <row r="145" spans="1:31" x14ac:dyDescent="0.2">
      <c r="A145" s="201"/>
      <c r="B145" s="4" t="s">
        <v>104</v>
      </c>
      <c r="C145" s="4">
        <v>141</v>
      </c>
      <c r="D145" s="4" t="s">
        <v>474</v>
      </c>
      <c r="E145" s="4" t="s">
        <v>475</v>
      </c>
      <c r="F145" s="4" t="s">
        <v>476</v>
      </c>
      <c r="G145" s="4" t="s">
        <v>72</v>
      </c>
      <c r="H145" s="4" t="s">
        <v>41</v>
      </c>
      <c r="I145" s="4" t="s">
        <v>84</v>
      </c>
      <c r="J145" s="4">
        <v>30141</v>
      </c>
      <c r="K145" s="202" t="s">
        <v>512</v>
      </c>
      <c r="L145" s="4">
        <v>9</v>
      </c>
      <c r="M145" s="4">
        <v>12</v>
      </c>
      <c r="N145" s="4" t="str">
        <f>_xlfn.CONCAT("DBX",((L145-1)*2)+1,".4")</f>
        <v>DBX17.4</v>
      </c>
      <c r="O145" s="4" t="s">
        <v>781</v>
      </c>
      <c r="P145" s="4" t="s">
        <v>514</v>
      </c>
      <c r="Q145" s="4" t="s">
        <v>12</v>
      </c>
      <c r="R145" s="4"/>
      <c r="S145" s="4">
        <v>3922</v>
      </c>
      <c r="T145" s="4" t="s">
        <v>2551</v>
      </c>
      <c r="U145" s="4"/>
      <c r="V145" s="4"/>
      <c r="W145" s="4" t="s">
        <v>125</v>
      </c>
      <c r="X145" s="4">
        <f t="shared" si="2"/>
        <v>9</v>
      </c>
      <c r="Y145" s="4"/>
      <c r="Z145" s="4"/>
      <c r="AA145" s="4"/>
      <c r="AB145" s="4"/>
      <c r="AC145" s="4">
        <v>1</v>
      </c>
      <c r="AD145" s="4"/>
      <c r="AE145" s="4"/>
    </row>
    <row r="146" spans="1:31" x14ac:dyDescent="0.2">
      <c r="A146" s="201"/>
      <c r="B146" s="4" t="s">
        <v>104</v>
      </c>
      <c r="C146" s="4">
        <v>142</v>
      </c>
      <c r="D146" s="4" t="s">
        <v>471</v>
      </c>
      <c r="E146" s="4" t="s">
        <v>472</v>
      </c>
      <c r="F146" s="4" t="s">
        <v>473</v>
      </c>
      <c r="G146" s="4" t="s">
        <v>72</v>
      </c>
      <c r="H146" s="4" t="s">
        <v>41</v>
      </c>
      <c r="I146" s="4" t="s">
        <v>84</v>
      </c>
      <c r="J146" s="4">
        <v>30142</v>
      </c>
      <c r="K146" s="202" t="s">
        <v>513</v>
      </c>
      <c r="L146" s="4">
        <v>9</v>
      </c>
      <c r="M146" s="4">
        <v>13</v>
      </c>
      <c r="N146" s="4" t="str">
        <f>_xlfn.CONCAT("DBX",((L146-1)*2)+1,".5")</f>
        <v>DBX17.5</v>
      </c>
      <c r="O146" s="4" t="s">
        <v>781</v>
      </c>
      <c r="P146" s="4" t="s">
        <v>510</v>
      </c>
      <c r="Q146" s="4" t="s">
        <v>12</v>
      </c>
      <c r="R146" s="4"/>
      <c r="S146" s="4">
        <v>3922</v>
      </c>
      <c r="T146" s="4" t="s">
        <v>2551</v>
      </c>
      <c r="U146" s="4"/>
      <c r="V146" s="4"/>
      <c r="W146" s="4" t="s">
        <v>125</v>
      </c>
      <c r="X146" s="4">
        <f t="shared" si="2"/>
        <v>9</v>
      </c>
      <c r="Y146" s="4"/>
      <c r="Z146" s="4"/>
      <c r="AA146" s="4"/>
      <c r="AB146" s="4"/>
      <c r="AC146" s="4">
        <v>1</v>
      </c>
      <c r="AD146" s="4"/>
      <c r="AE146" s="4"/>
    </row>
    <row r="147" spans="1:31" x14ac:dyDescent="0.2">
      <c r="A147" s="201"/>
      <c r="B147" s="4" t="s">
        <v>104</v>
      </c>
      <c r="C147" s="4">
        <v>143</v>
      </c>
      <c r="D147" s="4" t="s">
        <v>471</v>
      </c>
      <c r="E147" s="4" t="s">
        <v>472</v>
      </c>
      <c r="F147" s="4" t="s">
        <v>473</v>
      </c>
      <c r="G147" s="4" t="s">
        <v>72</v>
      </c>
      <c r="H147" s="4" t="s">
        <v>41</v>
      </c>
      <c r="I147" s="4" t="s">
        <v>84</v>
      </c>
      <c r="J147" s="4">
        <v>30143</v>
      </c>
      <c r="K147" s="202" t="s">
        <v>515</v>
      </c>
      <c r="L147" s="4">
        <v>9</v>
      </c>
      <c r="M147" s="4">
        <v>14</v>
      </c>
      <c r="N147" s="4" t="str">
        <f>_xlfn.CONCAT("DBX",((L147-1)*2)+1,".6")</f>
        <v>DBX17.6</v>
      </c>
      <c r="O147" s="4" t="s">
        <v>781</v>
      </c>
      <c r="P147" s="4" t="s">
        <v>517</v>
      </c>
      <c r="Q147" s="4" t="s">
        <v>12</v>
      </c>
      <c r="R147" s="4"/>
      <c r="S147" s="4">
        <v>3922</v>
      </c>
      <c r="T147" s="4" t="s">
        <v>2551</v>
      </c>
      <c r="U147" s="4"/>
      <c r="V147" s="4"/>
      <c r="W147" s="4" t="s">
        <v>125</v>
      </c>
      <c r="X147" s="4">
        <f t="shared" si="2"/>
        <v>9</v>
      </c>
      <c r="Y147" s="4"/>
      <c r="Z147" s="4"/>
      <c r="AA147" s="4"/>
      <c r="AB147" s="4"/>
      <c r="AC147" s="4">
        <v>1</v>
      </c>
      <c r="AD147" s="4"/>
      <c r="AE147" s="4"/>
    </row>
    <row r="148" spans="1:31" x14ac:dyDescent="0.2">
      <c r="A148" s="201"/>
      <c r="B148" s="4" t="s">
        <v>104</v>
      </c>
      <c r="C148" s="4">
        <v>144</v>
      </c>
      <c r="D148" s="4" t="s">
        <v>474</v>
      </c>
      <c r="E148" s="4" t="s">
        <v>475</v>
      </c>
      <c r="F148" s="4" t="s">
        <v>476</v>
      </c>
      <c r="G148" s="4" t="s">
        <v>72</v>
      </c>
      <c r="H148" s="4" t="s">
        <v>41</v>
      </c>
      <c r="I148" s="4" t="s">
        <v>84</v>
      </c>
      <c r="J148" s="4">
        <v>30144</v>
      </c>
      <c r="K148" s="202" t="s">
        <v>516</v>
      </c>
      <c r="L148" s="4">
        <v>9</v>
      </c>
      <c r="M148" s="4">
        <v>15</v>
      </c>
      <c r="N148" s="4" t="str">
        <f>_xlfn.CONCAT("DBX",((L148-1)*2)+1,".7")</f>
        <v>DBX17.7</v>
      </c>
      <c r="O148" s="4" t="s">
        <v>781</v>
      </c>
      <c r="P148" s="4" t="s">
        <v>518</v>
      </c>
      <c r="Q148" s="4" t="s">
        <v>12</v>
      </c>
      <c r="R148" s="4"/>
      <c r="S148" s="4">
        <v>3922</v>
      </c>
      <c r="T148" s="4" t="s">
        <v>2551</v>
      </c>
      <c r="U148" s="4"/>
      <c r="V148" s="4"/>
      <c r="W148" s="4" t="s">
        <v>125</v>
      </c>
      <c r="X148" s="4">
        <f t="shared" si="2"/>
        <v>9</v>
      </c>
      <c r="Y148" s="4"/>
      <c r="Z148" s="4"/>
      <c r="AA148" s="4"/>
      <c r="AB148" s="4"/>
      <c r="AC148" s="4">
        <v>1</v>
      </c>
      <c r="AD148" s="4"/>
      <c r="AE148" s="4"/>
    </row>
    <row r="149" spans="1:31" x14ac:dyDescent="0.2">
      <c r="A149" s="201"/>
      <c r="B149" s="4" t="s">
        <v>104</v>
      </c>
      <c r="C149" s="4">
        <v>145</v>
      </c>
      <c r="D149" s="4" t="s">
        <v>474</v>
      </c>
      <c r="E149" s="4" t="s">
        <v>475</v>
      </c>
      <c r="F149" s="4" t="s">
        <v>476</v>
      </c>
      <c r="G149" s="4" t="s">
        <v>72</v>
      </c>
      <c r="H149" s="4" t="s">
        <v>41</v>
      </c>
      <c r="I149" s="4" t="s">
        <v>84</v>
      </c>
      <c r="J149" s="4">
        <v>30145</v>
      </c>
      <c r="K149" s="202" t="s">
        <v>522</v>
      </c>
      <c r="L149" s="4">
        <v>10</v>
      </c>
      <c r="M149" s="4">
        <v>0</v>
      </c>
      <c r="N149" s="4" t="str">
        <f>_xlfn.CONCAT("DBX",((L149-1)*2),".0")</f>
        <v>DBX18.0</v>
      </c>
      <c r="O149" s="4" t="s">
        <v>781</v>
      </c>
      <c r="P149" s="4" t="s">
        <v>521</v>
      </c>
      <c r="Q149" s="4" t="s">
        <v>12</v>
      </c>
      <c r="R149" s="4"/>
      <c r="S149" s="4">
        <v>3922</v>
      </c>
      <c r="T149" s="4" t="s">
        <v>2551</v>
      </c>
      <c r="U149" s="4"/>
      <c r="V149" s="4"/>
      <c r="W149" s="4" t="s">
        <v>125</v>
      </c>
      <c r="X149" s="4">
        <f t="shared" si="2"/>
        <v>9</v>
      </c>
      <c r="Y149" s="4"/>
      <c r="Z149" s="4"/>
      <c r="AA149" s="4"/>
      <c r="AB149" s="4"/>
      <c r="AC149" s="4">
        <v>1</v>
      </c>
      <c r="AD149" s="4"/>
      <c r="AE149" s="4"/>
    </row>
    <row r="150" spans="1:31" x14ac:dyDescent="0.2">
      <c r="A150" s="201"/>
      <c r="B150" s="4" t="s">
        <v>104</v>
      </c>
      <c r="C150" s="4">
        <v>146</v>
      </c>
      <c r="D150" s="4" t="s">
        <v>474</v>
      </c>
      <c r="E150" s="4" t="s">
        <v>475</v>
      </c>
      <c r="F150" s="4" t="s">
        <v>476</v>
      </c>
      <c r="G150" s="4" t="s">
        <v>72</v>
      </c>
      <c r="H150" s="4" t="s">
        <v>41</v>
      </c>
      <c r="I150" s="4" t="s">
        <v>84</v>
      </c>
      <c r="J150" s="4">
        <v>30146</v>
      </c>
      <c r="K150" s="202" t="s">
        <v>523</v>
      </c>
      <c r="L150" s="4">
        <v>10</v>
      </c>
      <c r="M150" s="4">
        <v>1</v>
      </c>
      <c r="N150" s="4" t="str">
        <f>_xlfn.CONCAT("DBX",((L150-1)*2),".1")</f>
        <v>DBX18.1</v>
      </c>
      <c r="O150" s="4" t="s">
        <v>781</v>
      </c>
      <c r="P150" s="4" t="s">
        <v>520</v>
      </c>
      <c r="Q150" s="4" t="s">
        <v>12</v>
      </c>
      <c r="R150" s="4"/>
      <c r="S150" s="4">
        <v>3922</v>
      </c>
      <c r="T150" s="4" t="s">
        <v>2551</v>
      </c>
      <c r="U150" s="4"/>
      <c r="V150" s="4"/>
      <c r="W150" s="4" t="s">
        <v>125</v>
      </c>
      <c r="X150" s="4">
        <f t="shared" si="2"/>
        <v>9</v>
      </c>
      <c r="Y150" s="4"/>
      <c r="Z150" s="4"/>
      <c r="AA150" s="4"/>
      <c r="AB150" s="4"/>
      <c r="AC150" s="4">
        <v>1</v>
      </c>
      <c r="AD150" s="4"/>
      <c r="AE150" s="4"/>
    </row>
    <row r="151" spans="1:31" x14ac:dyDescent="0.2">
      <c r="A151" s="201"/>
      <c r="B151" s="4" t="s">
        <v>34</v>
      </c>
      <c r="C151" s="4">
        <v>147</v>
      </c>
      <c r="D151" s="4"/>
      <c r="E151" s="4"/>
      <c r="F151" s="4"/>
      <c r="G151" s="4"/>
      <c r="H151" s="4"/>
      <c r="I151" s="4"/>
      <c r="J151" s="4">
        <v>30147</v>
      </c>
      <c r="K151" s="202"/>
      <c r="L151" s="4">
        <v>10</v>
      </c>
      <c r="M151" s="4">
        <v>2</v>
      </c>
      <c r="N151" s="4" t="str">
        <f>_xlfn.CONCAT("DBX",((L151-1)*2),".2")</f>
        <v>DBX18.2</v>
      </c>
      <c r="O151" s="4" t="s">
        <v>781</v>
      </c>
      <c r="P151" s="4"/>
      <c r="Q151" s="4"/>
      <c r="R151" s="4"/>
      <c r="S151" s="4"/>
      <c r="T151" s="4"/>
      <c r="U151" s="4"/>
      <c r="V151" s="4"/>
      <c r="W151" s="4"/>
      <c r="X151" s="4" t="e">
        <f t="shared" si="2"/>
        <v>#N/A</v>
      </c>
      <c r="Y151" s="4"/>
      <c r="Z151" s="4"/>
      <c r="AA151" s="4"/>
      <c r="AB151" s="4"/>
      <c r="AC151" s="4"/>
      <c r="AD151" s="4"/>
      <c r="AE151" s="4"/>
    </row>
    <row r="152" spans="1:31" x14ac:dyDescent="0.2">
      <c r="A152" s="201"/>
      <c r="B152" s="4" t="s">
        <v>104</v>
      </c>
      <c r="C152" s="4">
        <v>148</v>
      </c>
      <c r="D152" s="4" t="s">
        <v>524</v>
      </c>
      <c r="E152" s="4" t="s">
        <v>525</v>
      </c>
      <c r="F152" s="4" t="s">
        <v>526</v>
      </c>
      <c r="G152" s="4" t="s">
        <v>72</v>
      </c>
      <c r="H152" s="4" t="s">
        <v>41</v>
      </c>
      <c r="I152" s="4" t="s">
        <v>84</v>
      </c>
      <c r="J152" s="4">
        <v>30148</v>
      </c>
      <c r="K152" s="202" t="s">
        <v>527</v>
      </c>
      <c r="L152" s="4">
        <v>10</v>
      </c>
      <c r="M152" s="4">
        <v>3</v>
      </c>
      <c r="N152" s="4" t="str">
        <f>_xlfn.CONCAT("DBX",((L152-1)*2),".3")</f>
        <v>DBX18.3</v>
      </c>
      <c r="O152" s="4" t="s">
        <v>781</v>
      </c>
      <c r="P152" s="4" t="s">
        <v>528</v>
      </c>
      <c r="Q152" s="4" t="s">
        <v>12</v>
      </c>
      <c r="R152" s="4"/>
      <c r="S152" s="4">
        <v>3922</v>
      </c>
      <c r="T152" s="4" t="s">
        <v>2551</v>
      </c>
      <c r="U152" s="4"/>
      <c r="V152" s="4"/>
      <c r="W152" s="4" t="s">
        <v>125</v>
      </c>
      <c r="X152" s="4">
        <f t="shared" si="2"/>
        <v>9</v>
      </c>
      <c r="Y152" s="4"/>
      <c r="Z152" s="4"/>
      <c r="AA152" s="4"/>
      <c r="AB152" s="4"/>
      <c r="AC152" s="4">
        <v>1</v>
      </c>
      <c r="AD152" s="4"/>
      <c r="AE152" s="4"/>
    </row>
    <row r="153" spans="1:31" x14ac:dyDescent="0.2">
      <c r="A153" s="201"/>
      <c r="B153" s="4" t="s">
        <v>104</v>
      </c>
      <c r="C153" s="4">
        <v>149</v>
      </c>
      <c r="D153" s="4" t="s">
        <v>529</v>
      </c>
      <c r="E153" s="4" t="s">
        <v>530</v>
      </c>
      <c r="F153" s="4" t="s">
        <v>533</v>
      </c>
      <c r="G153" s="4" t="s">
        <v>40</v>
      </c>
      <c r="H153" s="4" t="s">
        <v>41</v>
      </c>
      <c r="I153" s="4" t="s">
        <v>40</v>
      </c>
      <c r="J153" s="4">
        <v>30149</v>
      </c>
      <c r="K153" s="202" t="s">
        <v>531</v>
      </c>
      <c r="L153" s="4">
        <v>10</v>
      </c>
      <c r="M153" s="4">
        <v>4</v>
      </c>
      <c r="N153" s="4" t="str">
        <f>_xlfn.CONCAT("DBX",((L153-1)*2),".4")</f>
        <v>DBX18.4</v>
      </c>
      <c r="O153" s="4" t="s">
        <v>781</v>
      </c>
      <c r="P153" s="4" t="s">
        <v>532</v>
      </c>
      <c r="Q153" s="4" t="s">
        <v>12</v>
      </c>
      <c r="R153" s="4"/>
      <c r="S153" s="4">
        <v>3922</v>
      </c>
      <c r="T153" s="4" t="s">
        <v>2551</v>
      </c>
      <c r="U153" s="4"/>
      <c r="V153" s="4"/>
      <c r="W153" s="4" t="s">
        <v>125</v>
      </c>
      <c r="X153" s="4">
        <f t="shared" si="2"/>
        <v>9</v>
      </c>
      <c r="Y153" s="4"/>
      <c r="Z153" s="4"/>
      <c r="AA153" s="4"/>
      <c r="AB153" s="4"/>
      <c r="AC153" s="4">
        <v>1</v>
      </c>
      <c r="AD153" s="4"/>
      <c r="AE153" s="4"/>
    </row>
    <row r="154" spans="1:31" x14ac:dyDescent="0.2">
      <c r="A154" s="201"/>
      <c r="B154" s="4" t="s">
        <v>34</v>
      </c>
      <c r="C154" s="4">
        <v>150</v>
      </c>
      <c r="D154" s="4"/>
      <c r="E154" s="4"/>
      <c r="F154" s="4"/>
      <c r="G154" s="4"/>
      <c r="H154" s="4"/>
      <c r="I154" s="4"/>
      <c r="J154" s="4">
        <v>30150</v>
      </c>
      <c r="K154" s="202"/>
      <c r="L154" s="4">
        <v>10</v>
      </c>
      <c r="M154" s="4">
        <v>5</v>
      </c>
      <c r="N154" s="4" t="str">
        <f>_xlfn.CONCAT("DBX",((L154-1)*2),".5")</f>
        <v>DBX18.5</v>
      </c>
      <c r="O154" s="4" t="s">
        <v>781</v>
      </c>
      <c r="P154" s="4"/>
      <c r="Q154" s="4"/>
      <c r="R154" s="4"/>
      <c r="S154" s="4"/>
      <c r="T154" s="4"/>
      <c r="U154" s="4"/>
      <c r="V154" s="4"/>
      <c r="W154" s="4"/>
      <c r="X154" s="4" t="e">
        <f t="shared" si="2"/>
        <v>#N/A</v>
      </c>
      <c r="Y154" s="4"/>
      <c r="Z154" s="4"/>
      <c r="AA154" s="4"/>
      <c r="AB154" s="4"/>
      <c r="AC154" s="4"/>
      <c r="AD154" s="4"/>
      <c r="AE154" s="4"/>
    </row>
    <row r="155" spans="1:31" x14ac:dyDescent="0.2">
      <c r="A155" s="201"/>
      <c r="B155" s="4" t="s">
        <v>104</v>
      </c>
      <c r="C155" s="4">
        <v>151</v>
      </c>
      <c r="D155" s="4" t="s">
        <v>534</v>
      </c>
      <c r="E155" s="4" t="s">
        <v>535</v>
      </c>
      <c r="F155" s="4" t="s">
        <v>536</v>
      </c>
      <c r="G155" s="4" t="s">
        <v>72</v>
      </c>
      <c r="H155" s="4" t="s">
        <v>41</v>
      </c>
      <c r="I155" s="4" t="s">
        <v>84</v>
      </c>
      <c r="J155" s="4">
        <v>30151</v>
      </c>
      <c r="K155" s="202" t="s">
        <v>540</v>
      </c>
      <c r="L155" s="4">
        <v>10</v>
      </c>
      <c r="M155" s="4">
        <v>6</v>
      </c>
      <c r="N155" s="4" t="str">
        <f>_xlfn.CONCAT("DBX",((L155-1)*2),".6")</f>
        <v>DBX18.6</v>
      </c>
      <c r="O155" s="4" t="s">
        <v>781</v>
      </c>
      <c r="P155" s="4" t="s">
        <v>542</v>
      </c>
      <c r="Q155" s="4" t="s">
        <v>12</v>
      </c>
      <c r="R155" s="4"/>
      <c r="S155" s="4">
        <v>3922</v>
      </c>
      <c r="T155" s="4" t="s">
        <v>2551</v>
      </c>
      <c r="U155" s="4"/>
      <c r="V155" s="4"/>
      <c r="W155" s="4" t="s">
        <v>125</v>
      </c>
      <c r="X155" s="4">
        <f t="shared" si="2"/>
        <v>9</v>
      </c>
      <c r="Y155" s="4"/>
      <c r="Z155" s="4"/>
      <c r="AA155" s="4"/>
      <c r="AB155" s="4"/>
      <c r="AC155" s="4">
        <v>1</v>
      </c>
      <c r="AD155" s="4"/>
      <c r="AE155" s="4"/>
    </row>
    <row r="156" spans="1:31" x14ac:dyDescent="0.2">
      <c r="A156" s="201"/>
      <c r="B156" s="4" t="s">
        <v>104</v>
      </c>
      <c r="C156" s="4">
        <v>152</v>
      </c>
      <c r="D156" s="4" t="s">
        <v>534</v>
      </c>
      <c r="E156" s="4" t="s">
        <v>535</v>
      </c>
      <c r="F156" s="4" t="s">
        <v>536</v>
      </c>
      <c r="G156" s="4" t="s">
        <v>72</v>
      </c>
      <c r="H156" s="4" t="s">
        <v>41</v>
      </c>
      <c r="I156" s="4" t="s">
        <v>84</v>
      </c>
      <c r="J156" s="4">
        <v>30152</v>
      </c>
      <c r="K156" s="202" t="s">
        <v>541</v>
      </c>
      <c r="L156" s="4">
        <v>10</v>
      </c>
      <c r="M156" s="4">
        <v>7</v>
      </c>
      <c r="N156" s="4" t="str">
        <f>_xlfn.CONCAT("DBX",((L156-1)*2),".7")</f>
        <v>DBX18.7</v>
      </c>
      <c r="O156" s="4" t="s">
        <v>781</v>
      </c>
      <c r="P156" s="4" t="s">
        <v>543</v>
      </c>
      <c r="Q156" s="4" t="s">
        <v>12</v>
      </c>
      <c r="R156" s="4"/>
      <c r="S156" s="4">
        <v>3922</v>
      </c>
      <c r="T156" s="4" t="s">
        <v>2551</v>
      </c>
      <c r="U156" s="4"/>
      <c r="V156" s="4"/>
      <c r="W156" s="4" t="s">
        <v>125</v>
      </c>
      <c r="X156" s="4">
        <f t="shared" si="2"/>
        <v>9</v>
      </c>
      <c r="Y156" s="4"/>
      <c r="Z156" s="4"/>
      <c r="AA156" s="4"/>
      <c r="AB156" s="4"/>
      <c r="AC156" s="4">
        <v>1</v>
      </c>
      <c r="AD156" s="4"/>
      <c r="AE156" s="4"/>
    </row>
    <row r="157" spans="1:31" x14ac:dyDescent="0.2">
      <c r="A157" s="201"/>
      <c r="B157" s="4" t="s">
        <v>104</v>
      </c>
      <c r="C157" s="4">
        <v>153</v>
      </c>
      <c r="D157" s="4" t="s">
        <v>537</v>
      </c>
      <c r="E157" s="4" t="s">
        <v>538</v>
      </c>
      <c r="F157" s="4" t="s">
        <v>539</v>
      </c>
      <c r="G157" s="4" t="s">
        <v>72</v>
      </c>
      <c r="H157" s="4" t="s">
        <v>41</v>
      </c>
      <c r="I157" s="4" t="s">
        <v>84</v>
      </c>
      <c r="J157" s="4">
        <v>30153</v>
      </c>
      <c r="K157" s="202" t="s">
        <v>544</v>
      </c>
      <c r="L157" s="4">
        <v>10</v>
      </c>
      <c r="M157" s="4">
        <v>8</v>
      </c>
      <c r="N157" s="4" t="str">
        <f>_xlfn.CONCAT("DBX",((L157-1)*2)+1,".0")</f>
        <v>DBX19.0</v>
      </c>
      <c r="O157" s="4" t="s">
        <v>781</v>
      </c>
      <c r="P157" s="4" t="s">
        <v>545</v>
      </c>
      <c r="Q157" s="4" t="s">
        <v>12</v>
      </c>
      <c r="R157" s="4"/>
      <c r="S157" s="4">
        <v>3922</v>
      </c>
      <c r="T157" s="4" t="s">
        <v>2551</v>
      </c>
      <c r="U157" s="4"/>
      <c r="V157" s="4"/>
      <c r="W157" s="4" t="s">
        <v>125</v>
      </c>
      <c r="X157" s="4">
        <f t="shared" si="2"/>
        <v>9</v>
      </c>
      <c r="Y157" s="4"/>
      <c r="Z157" s="4"/>
      <c r="AA157" s="4"/>
      <c r="AB157" s="4"/>
      <c r="AC157" s="4">
        <v>1</v>
      </c>
      <c r="AD157" s="4"/>
      <c r="AE157" s="4"/>
    </row>
    <row r="158" spans="1:31" x14ac:dyDescent="0.2">
      <c r="A158" s="201"/>
      <c r="B158" s="4" t="s">
        <v>34</v>
      </c>
      <c r="C158" s="4">
        <v>154</v>
      </c>
      <c r="D158" s="4"/>
      <c r="E158" s="4"/>
      <c r="F158" s="4"/>
      <c r="G158" s="4"/>
      <c r="H158" s="4"/>
      <c r="I158" s="4"/>
      <c r="J158" s="4">
        <v>30154</v>
      </c>
      <c r="K158" s="202"/>
      <c r="L158" s="4">
        <v>10</v>
      </c>
      <c r="M158" s="4">
        <v>9</v>
      </c>
      <c r="N158" s="4" t="str">
        <f>_xlfn.CONCAT("DBX",((L158-1)*2)+1,".1")</f>
        <v>DBX19.1</v>
      </c>
      <c r="O158" s="4" t="s">
        <v>781</v>
      </c>
      <c r="P158" s="4"/>
      <c r="Q158" s="4"/>
      <c r="R158" s="4"/>
      <c r="S158" s="4"/>
      <c r="T158" s="4"/>
      <c r="U158" s="4"/>
      <c r="V158" s="4"/>
      <c r="W158" s="4"/>
      <c r="X158" s="4" t="e">
        <f t="shared" si="2"/>
        <v>#N/A</v>
      </c>
      <c r="Y158" s="4"/>
      <c r="Z158" s="4"/>
      <c r="AA158" s="4"/>
      <c r="AB158" s="4"/>
      <c r="AC158" s="4"/>
      <c r="AD158" s="4"/>
      <c r="AE158" s="4"/>
    </row>
    <row r="159" spans="1:31" x14ac:dyDescent="0.2">
      <c r="A159" s="201"/>
      <c r="B159" s="4" t="s">
        <v>104</v>
      </c>
      <c r="C159" s="4">
        <v>155</v>
      </c>
      <c r="D159" s="4" t="s">
        <v>546</v>
      </c>
      <c r="E159" s="4" t="s">
        <v>547</v>
      </c>
      <c r="F159" s="4" t="s">
        <v>548</v>
      </c>
      <c r="G159" s="4" t="s">
        <v>72</v>
      </c>
      <c r="H159" s="4" t="s">
        <v>41</v>
      </c>
      <c r="I159" s="4" t="s">
        <v>84</v>
      </c>
      <c r="J159" s="4">
        <v>30155</v>
      </c>
      <c r="K159" s="202" t="s">
        <v>549</v>
      </c>
      <c r="L159" s="4">
        <v>10</v>
      </c>
      <c r="M159" s="4">
        <v>10</v>
      </c>
      <c r="N159" s="4" t="str">
        <f>_xlfn.CONCAT("DBX",((L159-1)*2)+1,".2")</f>
        <v>DBX19.2</v>
      </c>
      <c r="O159" s="4" t="s">
        <v>781</v>
      </c>
      <c r="P159" s="4" t="s">
        <v>550</v>
      </c>
      <c r="Q159" s="4" t="s">
        <v>12</v>
      </c>
      <c r="R159" s="4"/>
      <c r="S159" s="4">
        <v>3922</v>
      </c>
      <c r="T159" s="4" t="s">
        <v>2551</v>
      </c>
      <c r="U159" s="4"/>
      <c r="V159" s="4"/>
      <c r="W159" s="4" t="s">
        <v>125</v>
      </c>
      <c r="X159" s="4">
        <f t="shared" si="2"/>
        <v>9</v>
      </c>
      <c r="Y159" s="4"/>
      <c r="Z159" s="4"/>
      <c r="AA159" s="4"/>
      <c r="AB159" s="4"/>
      <c r="AC159" s="4">
        <v>1</v>
      </c>
      <c r="AD159" s="4"/>
      <c r="AE159" s="4"/>
    </row>
    <row r="160" spans="1:31" x14ac:dyDescent="0.2">
      <c r="A160" s="201"/>
      <c r="B160" s="4" t="s">
        <v>104</v>
      </c>
      <c r="C160" s="4">
        <v>156</v>
      </c>
      <c r="D160" s="4" t="s">
        <v>546</v>
      </c>
      <c r="E160" s="4" t="s">
        <v>547</v>
      </c>
      <c r="F160" s="4" t="s">
        <v>548</v>
      </c>
      <c r="G160" s="4" t="s">
        <v>72</v>
      </c>
      <c r="H160" s="4" t="s">
        <v>41</v>
      </c>
      <c r="I160" s="4" t="s">
        <v>84</v>
      </c>
      <c r="J160" s="4">
        <v>30156</v>
      </c>
      <c r="K160" s="202" t="s">
        <v>551</v>
      </c>
      <c r="L160" s="4">
        <v>10</v>
      </c>
      <c r="M160" s="4">
        <v>11</v>
      </c>
      <c r="N160" s="4" t="str">
        <f>_xlfn.CONCAT("DBX",((L160-1)*2)+1,".3")</f>
        <v>DBX19.3</v>
      </c>
      <c r="O160" s="4" t="s">
        <v>781</v>
      </c>
      <c r="P160" s="4" t="s">
        <v>552</v>
      </c>
      <c r="Q160" s="4" t="s">
        <v>12</v>
      </c>
      <c r="R160" s="4"/>
      <c r="S160" s="4">
        <v>3922</v>
      </c>
      <c r="T160" s="4" t="s">
        <v>2551</v>
      </c>
      <c r="U160" s="4"/>
      <c r="V160" s="4"/>
      <c r="W160" s="4" t="s">
        <v>125</v>
      </c>
      <c r="X160" s="4">
        <f t="shared" si="2"/>
        <v>9</v>
      </c>
      <c r="Y160" s="4"/>
      <c r="Z160" s="4"/>
      <c r="AA160" s="4"/>
      <c r="AB160" s="4"/>
      <c r="AC160" s="4">
        <v>1</v>
      </c>
      <c r="AD160" s="4"/>
      <c r="AE160" s="4"/>
    </row>
    <row r="161" spans="1:31" x14ac:dyDescent="0.2">
      <c r="A161" s="201"/>
      <c r="B161" s="4" t="s">
        <v>104</v>
      </c>
      <c r="C161" s="4">
        <v>157</v>
      </c>
      <c r="D161" s="4" t="s">
        <v>546</v>
      </c>
      <c r="E161" s="4" t="s">
        <v>547</v>
      </c>
      <c r="F161" s="4" t="s">
        <v>548</v>
      </c>
      <c r="G161" s="4" t="s">
        <v>72</v>
      </c>
      <c r="H161" s="4" t="s">
        <v>41</v>
      </c>
      <c r="I161" s="4" t="s">
        <v>84</v>
      </c>
      <c r="J161" s="4">
        <v>30157</v>
      </c>
      <c r="K161" s="202" t="s">
        <v>553</v>
      </c>
      <c r="L161" s="4">
        <v>10</v>
      </c>
      <c r="M161" s="4">
        <v>12</v>
      </c>
      <c r="N161" s="4" t="str">
        <f>_xlfn.CONCAT("DBX",((L161-1)*2)+1,".4")</f>
        <v>DBX19.4</v>
      </c>
      <c r="O161" s="4" t="s">
        <v>781</v>
      </c>
      <c r="P161" s="4" t="s">
        <v>519</v>
      </c>
      <c r="Q161" s="4" t="s">
        <v>12</v>
      </c>
      <c r="R161" s="4"/>
      <c r="S161" s="4">
        <v>3922</v>
      </c>
      <c r="T161" s="4" t="s">
        <v>2551</v>
      </c>
      <c r="U161" s="4"/>
      <c r="V161" s="4"/>
      <c r="W161" s="4" t="s">
        <v>125</v>
      </c>
      <c r="X161" s="4">
        <f t="shared" si="2"/>
        <v>9</v>
      </c>
      <c r="Y161" s="4"/>
      <c r="Z161" s="4"/>
      <c r="AA161" s="4"/>
      <c r="AB161" s="4"/>
      <c r="AC161" s="4">
        <v>1</v>
      </c>
      <c r="AD161" s="4"/>
      <c r="AE161" s="4"/>
    </row>
    <row r="162" spans="1:31" x14ac:dyDescent="0.2">
      <c r="A162" s="201"/>
      <c r="B162" s="4" t="s">
        <v>104</v>
      </c>
      <c r="C162" s="4">
        <v>158</v>
      </c>
      <c r="D162" s="4" t="s">
        <v>546</v>
      </c>
      <c r="E162" s="4" t="s">
        <v>547</v>
      </c>
      <c r="F162" s="4" t="s">
        <v>548</v>
      </c>
      <c r="G162" s="4" t="s">
        <v>72</v>
      </c>
      <c r="H162" s="4" t="s">
        <v>41</v>
      </c>
      <c r="I162" s="4" t="s">
        <v>84</v>
      </c>
      <c r="J162" s="4">
        <v>30158</v>
      </c>
      <c r="K162" s="202" t="s">
        <v>554</v>
      </c>
      <c r="L162" s="4">
        <v>10</v>
      </c>
      <c r="M162" s="4">
        <v>13</v>
      </c>
      <c r="N162" s="4" t="str">
        <f>_xlfn.CONCAT("DBX",((L162-1)*2)+1,".5")</f>
        <v>DBX19.5</v>
      </c>
      <c r="O162" s="4" t="s">
        <v>781</v>
      </c>
      <c r="P162" s="4" t="s">
        <v>555</v>
      </c>
      <c r="Q162" s="4" t="s">
        <v>12</v>
      </c>
      <c r="R162" s="4"/>
      <c r="S162" s="4">
        <v>3922</v>
      </c>
      <c r="T162" s="4" t="s">
        <v>2551</v>
      </c>
      <c r="U162" s="4"/>
      <c r="V162" s="4"/>
      <c r="W162" s="4" t="s">
        <v>125</v>
      </c>
      <c r="X162" s="4">
        <f t="shared" si="2"/>
        <v>9</v>
      </c>
      <c r="Y162" s="4"/>
      <c r="Z162" s="4"/>
      <c r="AA162" s="4"/>
      <c r="AB162" s="4"/>
      <c r="AC162" s="4">
        <v>1</v>
      </c>
      <c r="AD162" s="4"/>
      <c r="AE162" s="4"/>
    </row>
    <row r="163" spans="1:31" x14ac:dyDescent="0.2">
      <c r="A163" s="201"/>
      <c r="B163" s="4" t="s">
        <v>104</v>
      </c>
      <c r="C163" s="4">
        <v>159</v>
      </c>
      <c r="D163" s="4" t="s">
        <v>546</v>
      </c>
      <c r="E163" s="4" t="s">
        <v>547</v>
      </c>
      <c r="F163" s="4" t="s">
        <v>548</v>
      </c>
      <c r="G163" s="4" t="s">
        <v>72</v>
      </c>
      <c r="H163" s="4" t="s">
        <v>41</v>
      </c>
      <c r="I163" s="4" t="s">
        <v>84</v>
      </c>
      <c r="J163" s="4">
        <v>30159</v>
      </c>
      <c r="K163" s="202" t="s">
        <v>556</v>
      </c>
      <c r="L163" s="4">
        <v>10</v>
      </c>
      <c r="M163" s="4">
        <v>14</v>
      </c>
      <c r="N163" s="4" t="str">
        <f>_xlfn.CONCAT("DBX",((L163-1)*2)+1,".6")</f>
        <v>DBX19.6</v>
      </c>
      <c r="O163" s="4" t="s">
        <v>781</v>
      </c>
      <c r="P163" s="4" t="s">
        <v>557</v>
      </c>
      <c r="Q163" s="4" t="s">
        <v>12</v>
      </c>
      <c r="R163" s="4"/>
      <c r="S163" s="4">
        <v>3922</v>
      </c>
      <c r="T163" s="4" t="s">
        <v>2551</v>
      </c>
      <c r="U163" s="4"/>
      <c r="V163" s="4"/>
      <c r="W163" s="4" t="s">
        <v>125</v>
      </c>
      <c r="X163" s="4">
        <f t="shared" si="2"/>
        <v>9</v>
      </c>
      <c r="Y163" s="4"/>
      <c r="Z163" s="4"/>
      <c r="AA163" s="4"/>
      <c r="AB163" s="4"/>
      <c r="AC163" s="4">
        <v>1</v>
      </c>
      <c r="AD163" s="4"/>
      <c r="AE163" s="4"/>
    </row>
    <row r="164" spans="1:31" x14ac:dyDescent="0.2">
      <c r="A164" s="201"/>
      <c r="B164" s="4" t="s">
        <v>104</v>
      </c>
      <c r="C164" s="4">
        <v>160</v>
      </c>
      <c r="D164" s="4" t="s">
        <v>546</v>
      </c>
      <c r="E164" s="4" t="s">
        <v>547</v>
      </c>
      <c r="F164" s="4" t="s">
        <v>548</v>
      </c>
      <c r="G164" s="4" t="s">
        <v>72</v>
      </c>
      <c r="H164" s="4" t="s">
        <v>41</v>
      </c>
      <c r="I164" s="4" t="s">
        <v>84</v>
      </c>
      <c r="J164" s="4">
        <v>30160</v>
      </c>
      <c r="K164" s="202" t="s">
        <v>558</v>
      </c>
      <c r="L164" s="4">
        <v>10</v>
      </c>
      <c r="M164" s="4">
        <v>15</v>
      </c>
      <c r="N164" s="4" t="str">
        <f>_xlfn.CONCAT("DBX",((L164-1)*2)+1,".7")</f>
        <v>DBX19.7</v>
      </c>
      <c r="O164" s="4" t="s">
        <v>781</v>
      </c>
      <c r="P164" s="4" t="s">
        <v>559</v>
      </c>
      <c r="Q164" s="4" t="s">
        <v>12</v>
      </c>
      <c r="R164" s="4"/>
      <c r="S164" s="4">
        <v>3922</v>
      </c>
      <c r="T164" s="4" t="s">
        <v>2551</v>
      </c>
      <c r="U164" s="4"/>
      <c r="V164" s="4"/>
      <c r="W164" s="4" t="s">
        <v>125</v>
      </c>
      <c r="X164" s="4">
        <f t="shared" si="2"/>
        <v>9</v>
      </c>
      <c r="Y164" s="4"/>
      <c r="Z164" s="4"/>
      <c r="AA164" s="4"/>
      <c r="AB164" s="4"/>
      <c r="AC164" s="4">
        <v>1</v>
      </c>
      <c r="AD164" s="4"/>
      <c r="AE164" s="4"/>
    </row>
    <row r="165" spans="1:31" x14ac:dyDescent="0.2">
      <c r="A165" s="201"/>
      <c r="B165" s="4" t="s">
        <v>104</v>
      </c>
      <c r="C165" s="4">
        <v>161</v>
      </c>
      <c r="D165" s="4" t="s">
        <v>546</v>
      </c>
      <c r="E165" s="4" t="s">
        <v>547</v>
      </c>
      <c r="F165" s="4" t="s">
        <v>548</v>
      </c>
      <c r="G165" s="4" t="s">
        <v>72</v>
      </c>
      <c r="H165" s="4" t="s">
        <v>41</v>
      </c>
      <c r="I165" s="4" t="s">
        <v>84</v>
      </c>
      <c r="J165" s="4">
        <v>30161</v>
      </c>
      <c r="K165" s="202" t="s">
        <v>560</v>
      </c>
      <c r="L165" s="4">
        <v>11</v>
      </c>
      <c r="M165" s="4">
        <v>0</v>
      </c>
      <c r="N165" s="4" t="str">
        <f>_xlfn.CONCAT("DBX",((L165-1)*2),".0")</f>
        <v>DBX20.0</v>
      </c>
      <c r="O165" s="4" t="s">
        <v>781</v>
      </c>
      <c r="P165" s="4" t="s">
        <v>561</v>
      </c>
      <c r="Q165" s="4" t="s">
        <v>12</v>
      </c>
      <c r="R165" s="4"/>
      <c r="S165" s="4">
        <v>3922</v>
      </c>
      <c r="T165" s="4" t="s">
        <v>2551</v>
      </c>
      <c r="U165" s="4"/>
      <c r="V165" s="4"/>
      <c r="W165" s="4" t="s">
        <v>125</v>
      </c>
      <c r="X165" s="4">
        <f t="shared" si="2"/>
        <v>9</v>
      </c>
      <c r="Y165" s="4"/>
      <c r="Z165" s="4"/>
      <c r="AA165" s="4"/>
      <c r="AB165" s="4"/>
      <c r="AC165" s="4">
        <v>1</v>
      </c>
      <c r="AD165" s="4"/>
      <c r="AE165" s="4"/>
    </row>
    <row r="166" spans="1:31" x14ac:dyDescent="0.2">
      <c r="A166" s="201"/>
      <c r="B166" s="4" t="s">
        <v>104</v>
      </c>
      <c r="C166" s="4">
        <v>162</v>
      </c>
      <c r="D166" s="4" t="s">
        <v>546</v>
      </c>
      <c r="E166" s="4" t="s">
        <v>547</v>
      </c>
      <c r="F166" s="4" t="s">
        <v>548</v>
      </c>
      <c r="G166" s="4" t="s">
        <v>72</v>
      </c>
      <c r="H166" s="4" t="s">
        <v>41</v>
      </c>
      <c r="I166" s="4" t="s">
        <v>84</v>
      </c>
      <c r="J166" s="4">
        <v>30162</v>
      </c>
      <c r="K166" s="202" t="s">
        <v>562</v>
      </c>
      <c r="L166" s="4">
        <v>11</v>
      </c>
      <c r="M166" s="4">
        <v>1</v>
      </c>
      <c r="N166" s="4" t="str">
        <f>_xlfn.CONCAT("DBX",((L166-1)*2),".1")</f>
        <v>DBX20.1</v>
      </c>
      <c r="O166" s="4" t="s">
        <v>781</v>
      </c>
      <c r="P166" s="4" t="s">
        <v>563</v>
      </c>
      <c r="Q166" s="4" t="s">
        <v>12</v>
      </c>
      <c r="R166" s="4"/>
      <c r="S166" s="4">
        <v>3922</v>
      </c>
      <c r="T166" s="4" t="s">
        <v>2551</v>
      </c>
      <c r="U166" s="4"/>
      <c r="V166" s="4"/>
      <c r="W166" s="4" t="s">
        <v>125</v>
      </c>
      <c r="X166" s="4">
        <f t="shared" si="2"/>
        <v>9</v>
      </c>
      <c r="Y166" s="4"/>
      <c r="Z166" s="4"/>
      <c r="AA166" s="4"/>
      <c r="AB166" s="4"/>
      <c r="AC166" s="4">
        <v>1</v>
      </c>
      <c r="AD166" s="4"/>
      <c r="AE166" s="4"/>
    </row>
    <row r="167" spans="1:31" x14ac:dyDescent="0.2">
      <c r="A167" s="201"/>
      <c r="B167" s="4" t="s">
        <v>104</v>
      </c>
      <c r="C167" s="4">
        <v>163</v>
      </c>
      <c r="D167" s="4" t="s">
        <v>546</v>
      </c>
      <c r="E167" s="4" t="s">
        <v>547</v>
      </c>
      <c r="F167" s="4" t="s">
        <v>548</v>
      </c>
      <c r="G167" s="4" t="s">
        <v>72</v>
      </c>
      <c r="H167" s="4" t="s">
        <v>41</v>
      </c>
      <c r="I167" s="4" t="s">
        <v>84</v>
      </c>
      <c r="J167" s="4">
        <v>30163</v>
      </c>
      <c r="K167" s="202" t="s">
        <v>564</v>
      </c>
      <c r="L167" s="4">
        <v>11</v>
      </c>
      <c r="M167" s="4">
        <v>2</v>
      </c>
      <c r="N167" s="4" t="str">
        <f>_xlfn.CONCAT("DBX",((L167-1)*2),".2")</f>
        <v>DBX20.2</v>
      </c>
      <c r="O167" s="4" t="s">
        <v>781</v>
      </c>
      <c r="P167" s="4" t="s">
        <v>565</v>
      </c>
      <c r="Q167" s="4" t="s">
        <v>12</v>
      </c>
      <c r="R167" s="4"/>
      <c r="S167" s="4">
        <v>3922</v>
      </c>
      <c r="T167" s="4" t="s">
        <v>2551</v>
      </c>
      <c r="U167" s="4"/>
      <c r="V167" s="4"/>
      <c r="W167" s="4" t="s">
        <v>125</v>
      </c>
      <c r="X167" s="4">
        <f t="shared" si="2"/>
        <v>9</v>
      </c>
      <c r="Y167" s="4"/>
      <c r="Z167" s="4"/>
      <c r="AA167" s="4"/>
      <c r="AB167" s="4"/>
      <c r="AC167" s="4">
        <v>1</v>
      </c>
      <c r="AD167" s="4"/>
      <c r="AE167" s="4"/>
    </row>
    <row r="168" spans="1:31" x14ac:dyDescent="0.2">
      <c r="A168" s="201"/>
      <c r="B168" s="4" t="s">
        <v>104</v>
      </c>
      <c r="C168" s="4">
        <v>164</v>
      </c>
      <c r="D168" s="4" t="s">
        <v>546</v>
      </c>
      <c r="E168" s="4" t="s">
        <v>547</v>
      </c>
      <c r="F168" s="4" t="s">
        <v>548</v>
      </c>
      <c r="G168" s="4" t="s">
        <v>72</v>
      </c>
      <c r="H168" s="4" t="s">
        <v>41</v>
      </c>
      <c r="I168" s="4" t="s">
        <v>84</v>
      </c>
      <c r="J168" s="4">
        <v>30164</v>
      </c>
      <c r="K168" s="202" t="s">
        <v>566</v>
      </c>
      <c r="L168" s="4">
        <v>11</v>
      </c>
      <c r="M168" s="4">
        <v>3</v>
      </c>
      <c r="N168" s="4" t="str">
        <f>_xlfn.CONCAT("DBX",((L168-1)*2),".3")</f>
        <v>DBX20.3</v>
      </c>
      <c r="O168" s="4" t="s">
        <v>781</v>
      </c>
      <c r="P168" s="4" t="s">
        <v>567</v>
      </c>
      <c r="Q168" s="4" t="s">
        <v>12</v>
      </c>
      <c r="R168" s="4"/>
      <c r="S168" s="4">
        <v>3922</v>
      </c>
      <c r="T168" s="4" t="s">
        <v>2551</v>
      </c>
      <c r="U168" s="4"/>
      <c r="V168" s="4"/>
      <c r="W168" s="4" t="s">
        <v>125</v>
      </c>
      <c r="X168" s="4">
        <f t="shared" si="2"/>
        <v>9</v>
      </c>
      <c r="Y168" s="4"/>
      <c r="Z168" s="4"/>
      <c r="AA168" s="4"/>
      <c r="AB168" s="4"/>
      <c r="AC168" s="4">
        <v>1</v>
      </c>
      <c r="AD168" s="4"/>
      <c r="AE168" s="4"/>
    </row>
    <row r="169" spans="1:31" x14ac:dyDescent="0.2">
      <c r="A169" s="201"/>
      <c r="B169" s="4" t="s">
        <v>104</v>
      </c>
      <c r="C169" s="4">
        <v>165</v>
      </c>
      <c r="D169" s="4" t="s">
        <v>546</v>
      </c>
      <c r="E169" s="4" t="s">
        <v>547</v>
      </c>
      <c r="F169" s="4" t="s">
        <v>548</v>
      </c>
      <c r="G169" s="4" t="s">
        <v>72</v>
      </c>
      <c r="H169" s="4" t="s">
        <v>41</v>
      </c>
      <c r="I169" s="4" t="s">
        <v>84</v>
      </c>
      <c r="J169" s="4">
        <v>30165</v>
      </c>
      <c r="K169" s="202" t="s">
        <v>568</v>
      </c>
      <c r="L169" s="4">
        <v>11</v>
      </c>
      <c r="M169" s="4">
        <v>4</v>
      </c>
      <c r="N169" s="4" t="str">
        <f>_xlfn.CONCAT("DBX",((L169-1)*2),".4")</f>
        <v>DBX20.4</v>
      </c>
      <c r="O169" s="4" t="s">
        <v>781</v>
      </c>
      <c r="P169" s="4" t="s">
        <v>569</v>
      </c>
      <c r="Q169" s="4" t="s">
        <v>12</v>
      </c>
      <c r="R169" s="4"/>
      <c r="S169" s="4">
        <v>3922</v>
      </c>
      <c r="T169" s="4" t="s">
        <v>2551</v>
      </c>
      <c r="U169" s="4"/>
      <c r="V169" s="4"/>
      <c r="W169" s="4" t="s">
        <v>125</v>
      </c>
      <c r="X169" s="4">
        <f t="shared" si="2"/>
        <v>9</v>
      </c>
      <c r="Y169" s="4"/>
      <c r="Z169" s="4"/>
      <c r="AA169" s="4"/>
      <c r="AB169" s="4"/>
      <c r="AC169" s="4">
        <v>1</v>
      </c>
      <c r="AD169" s="4"/>
      <c r="AE169" s="4"/>
    </row>
    <row r="170" spans="1:31" x14ac:dyDescent="0.2">
      <c r="A170" s="201"/>
      <c r="B170" s="4" t="s">
        <v>104</v>
      </c>
      <c r="C170" s="4">
        <v>166</v>
      </c>
      <c r="D170" s="4" t="s">
        <v>546</v>
      </c>
      <c r="E170" s="4" t="s">
        <v>547</v>
      </c>
      <c r="F170" s="4" t="s">
        <v>548</v>
      </c>
      <c r="G170" s="4" t="s">
        <v>72</v>
      </c>
      <c r="H170" s="4" t="s">
        <v>41</v>
      </c>
      <c r="I170" s="4" t="s">
        <v>84</v>
      </c>
      <c r="J170" s="4">
        <v>30166</v>
      </c>
      <c r="K170" s="202" t="s">
        <v>570</v>
      </c>
      <c r="L170" s="4">
        <v>11</v>
      </c>
      <c r="M170" s="4">
        <v>5</v>
      </c>
      <c r="N170" s="4" t="str">
        <f>_xlfn.CONCAT("DBX",((L170-1)*2),".5")</f>
        <v>DBX20.5</v>
      </c>
      <c r="O170" s="4" t="s">
        <v>781</v>
      </c>
      <c r="P170" s="4" t="s">
        <v>579</v>
      </c>
      <c r="Q170" s="4" t="s">
        <v>12</v>
      </c>
      <c r="R170" s="4"/>
      <c r="S170" s="4">
        <v>3922</v>
      </c>
      <c r="T170" s="4" t="s">
        <v>2551</v>
      </c>
      <c r="U170" s="4"/>
      <c r="V170" s="4"/>
      <c r="W170" s="4" t="s">
        <v>125</v>
      </c>
      <c r="X170" s="4">
        <f t="shared" si="2"/>
        <v>9</v>
      </c>
      <c r="Y170" s="4"/>
      <c r="Z170" s="4"/>
      <c r="AA170" s="4"/>
      <c r="AB170" s="4"/>
      <c r="AC170" s="4">
        <v>1</v>
      </c>
      <c r="AD170" s="4"/>
      <c r="AE170" s="4"/>
    </row>
    <row r="171" spans="1:31" x14ac:dyDescent="0.2">
      <c r="A171" s="201"/>
      <c r="B171" s="4" t="s">
        <v>104</v>
      </c>
      <c r="C171" s="4">
        <v>167</v>
      </c>
      <c r="D171" s="4" t="s">
        <v>546</v>
      </c>
      <c r="E171" s="4" t="s">
        <v>547</v>
      </c>
      <c r="F171" s="4" t="s">
        <v>548</v>
      </c>
      <c r="G171" s="4" t="s">
        <v>72</v>
      </c>
      <c r="H171" s="4" t="s">
        <v>41</v>
      </c>
      <c r="I171" s="4" t="s">
        <v>84</v>
      </c>
      <c r="J171" s="4">
        <v>30167</v>
      </c>
      <c r="K171" s="202" t="s">
        <v>571</v>
      </c>
      <c r="L171" s="4">
        <v>11</v>
      </c>
      <c r="M171" s="4">
        <v>6</v>
      </c>
      <c r="N171" s="4" t="str">
        <f>_xlfn.CONCAT("DBX",((L171-1)*2),".6")</f>
        <v>DBX20.6</v>
      </c>
      <c r="O171" s="4" t="s">
        <v>781</v>
      </c>
      <c r="P171" s="4" t="s">
        <v>580</v>
      </c>
      <c r="Q171" s="4" t="s">
        <v>12</v>
      </c>
      <c r="R171" s="4"/>
      <c r="S171" s="4">
        <v>3922</v>
      </c>
      <c r="T171" s="4" t="s">
        <v>2551</v>
      </c>
      <c r="U171" s="4"/>
      <c r="V171" s="4"/>
      <c r="W171" s="4" t="s">
        <v>125</v>
      </c>
      <c r="X171" s="4">
        <f t="shared" si="2"/>
        <v>9</v>
      </c>
      <c r="Y171" s="4"/>
      <c r="Z171" s="4"/>
      <c r="AA171" s="4"/>
      <c r="AB171" s="4"/>
      <c r="AC171" s="4">
        <v>1</v>
      </c>
      <c r="AD171" s="4"/>
      <c r="AE171" s="4"/>
    </row>
    <row r="172" spans="1:31" x14ac:dyDescent="0.2">
      <c r="A172" s="201"/>
      <c r="B172" s="4" t="s">
        <v>104</v>
      </c>
      <c r="C172" s="4">
        <v>168</v>
      </c>
      <c r="D172" s="4" t="s">
        <v>546</v>
      </c>
      <c r="E172" s="4" t="s">
        <v>547</v>
      </c>
      <c r="F172" s="4" t="s">
        <v>548</v>
      </c>
      <c r="G172" s="4" t="s">
        <v>72</v>
      </c>
      <c r="H172" s="4" t="s">
        <v>41</v>
      </c>
      <c r="I172" s="4" t="s">
        <v>84</v>
      </c>
      <c r="J172" s="4">
        <v>30168</v>
      </c>
      <c r="K172" s="202" t="s">
        <v>572</v>
      </c>
      <c r="L172" s="4">
        <v>11</v>
      </c>
      <c r="M172" s="4">
        <v>7</v>
      </c>
      <c r="N172" s="4" t="str">
        <f>_xlfn.CONCAT("DBX",((L172-1)*2),".7")</f>
        <v>DBX20.7</v>
      </c>
      <c r="O172" s="4" t="s">
        <v>781</v>
      </c>
      <c r="P172" s="4" t="s">
        <v>581</v>
      </c>
      <c r="Q172" s="4" t="s">
        <v>12</v>
      </c>
      <c r="R172" s="4"/>
      <c r="S172" s="4">
        <v>3922</v>
      </c>
      <c r="T172" s="4" t="s">
        <v>2551</v>
      </c>
      <c r="U172" s="4"/>
      <c r="V172" s="4"/>
      <c r="W172" s="4" t="s">
        <v>125</v>
      </c>
      <c r="X172" s="4">
        <f t="shared" si="2"/>
        <v>9</v>
      </c>
      <c r="Y172" s="4"/>
      <c r="Z172" s="4"/>
      <c r="AA172" s="4"/>
      <c r="AB172" s="4"/>
      <c r="AC172" s="4">
        <v>1</v>
      </c>
      <c r="AD172" s="4"/>
      <c r="AE172" s="4"/>
    </row>
    <row r="173" spans="1:31" x14ac:dyDescent="0.2">
      <c r="A173" s="201"/>
      <c r="B173" s="4" t="s">
        <v>104</v>
      </c>
      <c r="C173" s="4">
        <v>169</v>
      </c>
      <c r="D173" s="4" t="s">
        <v>546</v>
      </c>
      <c r="E173" s="4" t="s">
        <v>547</v>
      </c>
      <c r="F173" s="4" t="s">
        <v>548</v>
      </c>
      <c r="G173" s="4" t="s">
        <v>72</v>
      </c>
      <c r="H173" s="4" t="s">
        <v>41</v>
      </c>
      <c r="I173" s="4" t="s">
        <v>84</v>
      </c>
      <c r="J173" s="4">
        <v>30169</v>
      </c>
      <c r="K173" s="202" t="s">
        <v>573</v>
      </c>
      <c r="L173" s="4">
        <v>11</v>
      </c>
      <c r="M173" s="4">
        <v>8</v>
      </c>
      <c r="N173" s="4" t="str">
        <f>_xlfn.CONCAT("DBX",((L173-1)*2)+1,".0")</f>
        <v>DBX21.0</v>
      </c>
      <c r="O173" s="4" t="s">
        <v>781</v>
      </c>
      <c r="P173" s="4" t="s">
        <v>582</v>
      </c>
      <c r="Q173" s="4" t="s">
        <v>12</v>
      </c>
      <c r="R173" s="4"/>
      <c r="S173" s="4">
        <v>3922</v>
      </c>
      <c r="T173" s="4" t="s">
        <v>2551</v>
      </c>
      <c r="U173" s="4"/>
      <c r="V173" s="4"/>
      <c r="W173" s="4" t="s">
        <v>125</v>
      </c>
      <c r="X173" s="4">
        <f t="shared" si="2"/>
        <v>9</v>
      </c>
      <c r="Y173" s="4"/>
      <c r="Z173" s="4"/>
      <c r="AA173" s="4"/>
      <c r="AB173" s="4"/>
      <c r="AC173" s="4">
        <v>1</v>
      </c>
      <c r="AD173" s="4"/>
      <c r="AE173" s="4"/>
    </row>
    <row r="174" spans="1:31" x14ac:dyDescent="0.2">
      <c r="A174" s="201"/>
      <c r="B174" s="4" t="s">
        <v>104</v>
      </c>
      <c r="C174" s="4">
        <v>170</v>
      </c>
      <c r="D174" s="4" t="s">
        <v>546</v>
      </c>
      <c r="E174" s="4" t="s">
        <v>547</v>
      </c>
      <c r="F174" s="4" t="s">
        <v>548</v>
      </c>
      <c r="G174" s="4" t="s">
        <v>72</v>
      </c>
      <c r="H174" s="4" t="s">
        <v>41</v>
      </c>
      <c r="I174" s="4" t="s">
        <v>84</v>
      </c>
      <c r="J174" s="4">
        <v>30170</v>
      </c>
      <c r="K174" s="202" t="s">
        <v>574</v>
      </c>
      <c r="L174" s="4">
        <v>11</v>
      </c>
      <c r="M174" s="4">
        <v>9</v>
      </c>
      <c r="N174" s="4" t="str">
        <f>_xlfn.CONCAT("DBX",((L174-1)*2)+1,".1")</f>
        <v>DBX21.1</v>
      </c>
      <c r="O174" s="4" t="s">
        <v>781</v>
      </c>
      <c r="P174" s="4" t="s">
        <v>583</v>
      </c>
      <c r="Q174" s="4" t="s">
        <v>12</v>
      </c>
      <c r="R174" s="4"/>
      <c r="S174" s="4">
        <v>3922</v>
      </c>
      <c r="T174" s="4" t="s">
        <v>2551</v>
      </c>
      <c r="U174" s="4"/>
      <c r="V174" s="4"/>
      <c r="W174" s="4" t="s">
        <v>125</v>
      </c>
      <c r="X174" s="4">
        <f t="shared" si="2"/>
        <v>9</v>
      </c>
      <c r="Y174" s="4"/>
      <c r="Z174" s="4"/>
      <c r="AA174" s="4"/>
      <c r="AB174" s="4"/>
      <c r="AC174" s="4">
        <v>1</v>
      </c>
      <c r="AD174" s="4"/>
      <c r="AE174" s="4"/>
    </row>
    <row r="175" spans="1:31" x14ac:dyDescent="0.2">
      <c r="A175" s="201"/>
      <c r="B175" s="4" t="s">
        <v>104</v>
      </c>
      <c r="C175" s="4">
        <v>171</v>
      </c>
      <c r="D175" s="4" t="s">
        <v>546</v>
      </c>
      <c r="E175" s="4" t="s">
        <v>547</v>
      </c>
      <c r="F175" s="4" t="s">
        <v>548</v>
      </c>
      <c r="G175" s="4" t="s">
        <v>72</v>
      </c>
      <c r="H175" s="4" t="s">
        <v>41</v>
      </c>
      <c r="I175" s="4" t="s">
        <v>84</v>
      </c>
      <c r="J175" s="4">
        <v>30171</v>
      </c>
      <c r="K175" s="202" t="s">
        <v>575</v>
      </c>
      <c r="L175" s="4">
        <v>11</v>
      </c>
      <c r="M175" s="4">
        <v>10</v>
      </c>
      <c r="N175" s="4" t="str">
        <f>_xlfn.CONCAT("DBX",((L175-1)*2)+1,".2")</f>
        <v>DBX21.2</v>
      </c>
      <c r="O175" s="4" t="s">
        <v>781</v>
      </c>
      <c r="P175" s="4" t="s">
        <v>584</v>
      </c>
      <c r="Q175" s="4" t="s">
        <v>12</v>
      </c>
      <c r="R175" s="4"/>
      <c r="S175" s="4">
        <v>3922</v>
      </c>
      <c r="T175" s="4" t="s">
        <v>2551</v>
      </c>
      <c r="U175" s="4"/>
      <c r="V175" s="4"/>
      <c r="W175" s="4" t="s">
        <v>125</v>
      </c>
      <c r="X175" s="4">
        <f t="shared" si="2"/>
        <v>9</v>
      </c>
      <c r="Y175" s="4"/>
      <c r="Z175" s="4"/>
      <c r="AA175" s="4"/>
      <c r="AB175" s="4"/>
      <c r="AC175" s="4">
        <v>1</v>
      </c>
      <c r="AD175" s="4"/>
      <c r="AE175" s="4"/>
    </row>
    <row r="176" spans="1:31" x14ac:dyDescent="0.2">
      <c r="A176" s="201"/>
      <c r="B176" s="4" t="s">
        <v>104</v>
      </c>
      <c r="C176" s="4">
        <v>172</v>
      </c>
      <c r="D176" s="4" t="s">
        <v>546</v>
      </c>
      <c r="E176" s="4" t="s">
        <v>547</v>
      </c>
      <c r="F176" s="4" t="s">
        <v>548</v>
      </c>
      <c r="G176" s="4" t="s">
        <v>72</v>
      </c>
      <c r="H176" s="4" t="s">
        <v>41</v>
      </c>
      <c r="I176" s="4" t="s">
        <v>84</v>
      </c>
      <c r="J176" s="4">
        <v>30172</v>
      </c>
      <c r="K176" s="202" t="s">
        <v>576</v>
      </c>
      <c r="L176" s="4">
        <v>11</v>
      </c>
      <c r="M176" s="4">
        <v>11</v>
      </c>
      <c r="N176" s="4" t="str">
        <f>_xlfn.CONCAT("DBX",((L176-1)*2)+1,".3")</f>
        <v>DBX21.3</v>
      </c>
      <c r="O176" s="4" t="s">
        <v>781</v>
      </c>
      <c r="P176" s="4" t="s">
        <v>585</v>
      </c>
      <c r="Q176" s="4" t="s">
        <v>12</v>
      </c>
      <c r="R176" s="4"/>
      <c r="S176" s="4">
        <v>3922</v>
      </c>
      <c r="T176" s="4" t="s">
        <v>2551</v>
      </c>
      <c r="U176" s="4"/>
      <c r="V176" s="4"/>
      <c r="W176" s="4" t="s">
        <v>125</v>
      </c>
      <c r="X176" s="4">
        <f t="shared" si="2"/>
        <v>9</v>
      </c>
      <c r="Y176" s="4"/>
      <c r="Z176" s="4"/>
      <c r="AA176" s="4"/>
      <c r="AB176" s="4"/>
      <c r="AC176" s="4">
        <v>1</v>
      </c>
      <c r="AD176" s="4"/>
      <c r="AE176" s="4"/>
    </row>
    <row r="177" spans="1:31" x14ac:dyDescent="0.2">
      <c r="A177" s="201"/>
      <c r="B177" s="4" t="s">
        <v>104</v>
      </c>
      <c r="C177" s="4">
        <v>173</v>
      </c>
      <c r="D177" s="4" t="s">
        <v>546</v>
      </c>
      <c r="E177" s="4" t="s">
        <v>547</v>
      </c>
      <c r="F177" s="4" t="s">
        <v>548</v>
      </c>
      <c r="G177" s="4" t="s">
        <v>72</v>
      </c>
      <c r="H177" s="4" t="s">
        <v>41</v>
      </c>
      <c r="I177" s="4" t="s">
        <v>84</v>
      </c>
      <c r="J177" s="4">
        <v>30173</v>
      </c>
      <c r="K177" s="202" t="s">
        <v>577</v>
      </c>
      <c r="L177" s="4">
        <v>11</v>
      </c>
      <c r="M177" s="4">
        <v>12</v>
      </c>
      <c r="N177" s="4" t="str">
        <f>_xlfn.CONCAT("DBX",((L177-1)*2)+1,".4")</f>
        <v>DBX21.4</v>
      </c>
      <c r="O177" s="4" t="s">
        <v>781</v>
      </c>
      <c r="P177" s="4" t="s">
        <v>586</v>
      </c>
      <c r="Q177" s="4" t="s">
        <v>12</v>
      </c>
      <c r="R177" s="4"/>
      <c r="S177" s="4">
        <v>3922</v>
      </c>
      <c r="T177" s="4" t="s">
        <v>2551</v>
      </c>
      <c r="U177" s="4"/>
      <c r="V177" s="4"/>
      <c r="W177" s="4" t="s">
        <v>125</v>
      </c>
      <c r="X177" s="4">
        <f t="shared" si="2"/>
        <v>9</v>
      </c>
      <c r="Y177" s="4"/>
      <c r="Z177" s="4"/>
      <c r="AA177" s="4"/>
      <c r="AB177" s="4"/>
      <c r="AC177" s="4">
        <v>1</v>
      </c>
      <c r="AD177" s="4"/>
      <c r="AE177" s="4"/>
    </row>
    <row r="178" spans="1:31" x14ac:dyDescent="0.2">
      <c r="A178" s="201"/>
      <c r="B178" s="4" t="s">
        <v>104</v>
      </c>
      <c r="C178" s="4">
        <v>174</v>
      </c>
      <c r="D178" s="4" t="s">
        <v>546</v>
      </c>
      <c r="E178" s="4" t="s">
        <v>547</v>
      </c>
      <c r="F178" s="4" t="s">
        <v>548</v>
      </c>
      <c r="G178" s="4" t="s">
        <v>72</v>
      </c>
      <c r="H178" s="4" t="s">
        <v>41</v>
      </c>
      <c r="I178" s="4" t="s">
        <v>84</v>
      </c>
      <c r="J178" s="4">
        <v>30174</v>
      </c>
      <c r="K178" s="202" t="s">
        <v>578</v>
      </c>
      <c r="L178" s="4">
        <v>11</v>
      </c>
      <c r="M178" s="4">
        <v>13</v>
      </c>
      <c r="N178" s="4" t="str">
        <f>_xlfn.CONCAT("DBX",((L178-1)*2)+1,".5")</f>
        <v>DBX21.5</v>
      </c>
      <c r="O178" s="4" t="s">
        <v>781</v>
      </c>
      <c r="P178" s="4" t="s">
        <v>587</v>
      </c>
      <c r="Q178" s="4" t="s">
        <v>12</v>
      </c>
      <c r="R178" s="4"/>
      <c r="S178" s="4">
        <v>3922</v>
      </c>
      <c r="T178" s="4" t="s">
        <v>2551</v>
      </c>
      <c r="U178" s="4"/>
      <c r="V178" s="4"/>
      <c r="W178" s="4" t="s">
        <v>125</v>
      </c>
      <c r="X178" s="4">
        <f t="shared" si="2"/>
        <v>9</v>
      </c>
      <c r="Y178" s="4"/>
      <c r="Z178" s="4"/>
      <c r="AA178" s="4"/>
      <c r="AB178" s="4"/>
      <c r="AC178" s="4">
        <v>1</v>
      </c>
      <c r="AD178" s="4"/>
      <c r="AE178" s="4"/>
    </row>
    <row r="179" spans="1:31" x14ac:dyDescent="0.2">
      <c r="A179" s="201"/>
      <c r="B179" s="4" t="s">
        <v>34</v>
      </c>
      <c r="C179" s="4">
        <v>175</v>
      </c>
      <c r="D179" s="4"/>
      <c r="E179" s="4"/>
      <c r="F179" s="4"/>
      <c r="G179" s="4"/>
      <c r="H179" s="4"/>
      <c r="I179" s="4"/>
      <c r="J179" s="4">
        <v>30175</v>
      </c>
      <c r="K179" s="202"/>
      <c r="L179" s="4">
        <v>11</v>
      </c>
      <c r="M179" s="4">
        <v>14</v>
      </c>
      <c r="N179" s="4" t="str">
        <f>_xlfn.CONCAT("DBX",((L179-1)*2)+1,".6")</f>
        <v>DBX21.6</v>
      </c>
      <c r="O179" s="4" t="s">
        <v>781</v>
      </c>
      <c r="P179" s="4"/>
      <c r="Q179" s="4"/>
      <c r="R179" s="4"/>
      <c r="S179" s="4"/>
      <c r="T179" s="4"/>
      <c r="U179" s="4"/>
      <c r="V179" s="4"/>
      <c r="W179" s="4"/>
      <c r="X179" s="4" t="e">
        <f t="shared" si="2"/>
        <v>#N/A</v>
      </c>
      <c r="Y179" s="4"/>
      <c r="Z179" s="4"/>
      <c r="AA179" s="4"/>
      <c r="AB179" s="4"/>
      <c r="AC179" s="4"/>
      <c r="AD179" s="4"/>
      <c r="AE179" s="4"/>
    </row>
    <row r="180" spans="1:31" x14ac:dyDescent="0.2">
      <c r="A180" s="201"/>
      <c r="B180" s="4" t="s">
        <v>3170</v>
      </c>
      <c r="C180" s="4">
        <v>176</v>
      </c>
      <c r="D180" s="4" t="s">
        <v>588</v>
      </c>
      <c r="E180" s="4" t="s">
        <v>589</v>
      </c>
      <c r="F180" s="4" t="s">
        <v>590</v>
      </c>
      <c r="G180" s="4" t="s">
        <v>72</v>
      </c>
      <c r="H180" s="4" t="s">
        <v>41</v>
      </c>
      <c r="I180" s="4" t="s">
        <v>84</v>
      </c>
      <c r="J180" s="4">
        <v>30176</v>
      </c>
      <c r="K180" s="202" t="s">
        <v>593</v>
      </c>
      <c r="L180" s="4">
        <v>11</v>
      </c>
      <c r="M180" s="4">
        <v>15</v>
      </c>
      <c r="N180" s="4" t="str">
        <f>_xlfn.CONCAT("DBX",((L180-1)*2)+1,".7")</f>
        <v>DBX21.7</v>
      </c>
      <c r="O180" s="4" t="s">
        <v>781</v>
      </c>
      <c r="P180" s="4" t="s">
        <v>594</v>
      </c>
      <c r="Q180" s="4" t="s">
        <v>12</v>
      </c>
      <c r="R180" s="4"/>
      <c r="S180" s="4">
        <v>3922</v>
      </c>
      <c r="T180" s="4" t="s">
        <v>2551</v>
      </c>
      <c r="U180" s="4" t="s">
        <v>2282</v>
      </c>
      <c r="V180" s="4" t="s">
        <v>3158</v>
      </c>
      <c r="W180" s="4" t="s">
        <v>125</v>
      </c>
      <c r="X180" s="4">
        <f t="shared" si="2"/>
        <v>9</v>
      </c>
      <c r="Y180" s="4"/>
      <c r="Z180" s="4"/>
      <c r="AA180" s="4"/>
      <c r="AB180" s="4"/>
      <c r="AC180" s="4">
        <v>1</v>
      </c>
      <c r="AD180" s="4"/>
      <c r="AE180" s="4"/>
    </row>
    <row r="181" spans="1:31" s="244" customFormat="1" ht="67.5" x14ac:dyDescent="0.2">
      <c r="A181" s="201"/>
      <c r="B181" s="4" t="s">
        <v>3309</v>
      </c>
      <c r="C181" s="4">
        <v>177</v>
      </c>
      <c r="D181" s="4" t="s">
        <v>591</v>
      </c>
      <c r="E181" s="4" t="s">
        <v>592</v>
      </c>
      <c r="F181" s="4" t="s">
        <v>2329</v>
      </c>
      <c r="G181" s="4" t="s">
        <v>329</v>
      </c>
      <c r="H181" s="4" t="s">
        <v>41</v>
      </c>
      <c r="I181" s="4" t="s">
        <v>85</v>
      </c>
      <c r="J181" s="4">
        <v>30177</v>
      </c>
      <c r="K181" s="247" t="s">
        <v>595</v>
      </c>
      <c r="L181" s="4">
        <v>12</v>
      </c>
      <c r="M181" s="4">
        <v>0</v>
      </c>
      <c r="N181" s="4" t="str">
        <f>_xlfn.CONCAT("DBX",((L181-1)*2),".0")</f>
        <v>DBX22.0</v>
      </c>
      <c r="O181" s="4" t="s">
        <v>781</v>
      </c>
      <c r="P181" s="4" t="s">
        <v>596</v>
      </c>
      <c r="Q181" s="4" t="s">
        <v>12</v>
      </c>
      <c r="R181" s="4"/>
      <c r="S181" s="4">
        <v>3922</v>
      </c>
      <c r="T181" s="4" t="s">
        <v>2551</v>
      </c>
      <c r="U181" s="4"/>
      <c r="V181" s="208" t="s">
        <v>3331</v>
      </c>
      <c r="W181" s="242" t="s">
        <v>125</v>
      </c>
      <c r="X181" s="242">
        <f t="shared" si="2"/>
        <v>9</v>
      </c>
      <c r="Y181" s="242"/>
      <c r="Z181" s="242"/>
      <c r="AA181" s="242"/>
      <c r="AB181" s="242"/>
      <c r="AC181" s="4">
        <v>1</v>
      </c>
      <c r="AD181" s="242"/>
      <c r="AE181" s="242"/>
    </row>
    <row r="182" spans="1:31" x14ac:dyDescent="0.2">
      <c r="A182" s="201"/>
      <c r="B182" s="4" t="s">
        <v>3170</v>
      </c>
      <c r="C182" s="4">
        <v>178</v>
      </c>
      <c r="D182" s="4" t="s">
        <v>597</v>
      </c>
      <c r="E182" s="4" t="s">
        <v>598</v>
      </c>
      <c r="F182" s="4" t="s">
        <v>599</v>
      </c>
      <c r="G182" s="4" t="s">
        <v>72</v>
      </c>
      <c r="H182" s="4" t="s">
        <v>41</v>
      </c>
      <c r="I182" s="4" t="s">
        <v>84</v>
      </c>
      <c r="J182" s="4">
        <v>30178</v>
      </c>
      <c r="K182" s="202" t="s">
        <v>606</v>
      </c>
      <c r="L182" s="4">
        <v>12</v>
      </c>
      <c r="M182" s="4">
        <v>1</v>
      </c>
      <c r="N182" s="4" t="str">
        <f>_xlfn.CONCAT("DBX",((L182-1)*2),".1")</f>
        <v>DBX22.1</v>
      </c>
      <c r="O182" s="4" t="s">
        <v>781</v>
      </c>
      <c r="P182" s="4" t="s">
        <v>607</v>
      </c>
      <c r="Q182" s="4" t="s">
        <v>12</v>
      </c>
      <c r="R182" s="4"/>
      <c r="S182" s="4">
        <v>3922</v>
      </c>
      <c r="T182" s="4" t="s">
        <v>2551</v>
      </c>
      <c r="U182" s="4" t="s">
        <v>2283</v>
      </c>
      <c r="V182" s="4" t="s">
        <v>3026</v>
      </c>
      <c r="W182" s="4" t="s">
        <v>125</v>
      </c>
      <c r="X182" s="4">
        <f t="shared" si="2"/>
        <v>9</v>
      </c>
      <c r="Y182" s="4"/>
      <c r="Z182" s="4"/>
      <c r="AA182" s="4"/>
      <c r="AB182" s="4"/>
      <c r="AC182" s="4">
        <v>1</v>
      </c>
      <c r="AD182" s="4"/>
      <c r="AE182" s="4"/>
    </row>
    <row r="183" spans="1:31" x14ac:dyDescent="0.2">
      <c r="A183" s="201"/>
      <c r="B183" s="4" t="s">
        <v>3170</v>
      </c>
      <c r="C183" s="4">
        <v>179</v>
      </c>
      <c r="D183" s="4" t="s">
        <v>600</v>
      </c>
      <c r="E183" s="4" t="s">
        <v>601</v>
      </c>
      <c r="F183" s="4" t="s">
        <v>602</v>
      </c>
      <c r="G183" s="4" t="s">
        <v>72</v>
      </c>
      <c r="H183" s="4" t="s">
        <v>41</v>
      </c>
      <c r="I183" s="4" t="s">
        <v>84</v>
      </c>
      <c r="J183" s="4">
        <v>30179</v>
      </c>
      <c r="K183" s="202" t="s">
        <v>608</v>
      </c>
      <c r="L183" s="4">
        <v>12</v>
      </c>
      <c r="M183" s="4">
        <v>2</v>
      </c>
      <c r="N183" s="4" t="str">
        <f>_xlfn.CONCAT("DBX",((L183-1)*2),".2")</f>
        <v>DBX22.2</v>
      </c>
      <c r="O183" s="4" t="s">
        <v>781</v>
      </c>
      <c r="P183" s="4" t="s">
        <v>609</v>
      </c>
      <c r="Q183" s="4" t="s">
        <v>12</v>
      </c>
      <c r="R183" s="4"/>
      <c r="S183" s="4">
        <v>3922</v>
      </c>
      <c r="T183" s="4" t="s">
        <v>2551</v>
      </c>
      <c r="U183" s="4" t="s">
        <v>2284</v>
      </c>
      <c r="V183" s="4" t="s">
        <v>3160</v>
      </c>
      <c r="W183" s="4" t="s">
        <v>125</v>
      </c>
      <c r="X183" s="4">
        <f t="shared" si="2"/>
        <v>9</v>
      </c>
      <c r="Y183" s="4"/>
      <c r="Z183" s="4"/>
      <c r="AA183" s="4"/>
      <c r="AB183" s="4"/>
      <c r="AC183" s="4">
        <v>1</v>
      </c>
      <c r="AD183" s="4"/>
      <c r="AE183" s="4"/>
    </row>
    <row r="184" spans="1:31" ht="67.5" x14ac:dyDescent="0.2">
      <c r="A184" s="201"/>
      <c r="B184" s="4" t="s">
        <v>3170</v>
      </c>
      <c r="C184" s="4">
        <v>180</v>
      </c>
      <c r="D184" s="4" t="s">
        <v>603</v>
      </c>
      <c r="E184" s="4" t="s">
        <v>604</v>
      </c>
      <c r="F184" s="4" t="s">
        <v>605</v>
      </c>
      <c r="G184" s="4" t="s">
        <v>72</v>
      </c>
      <c r="H184" s="4" t="s">
        <v>41</v>
      </c>
      <c r="I184" s="4" t="s">
        <v>84</v>
      </c>
      <c r="J184" s="4">
        <v>30180</v>
      </c>
      <c r="K184" s="202" t="s">
        <v>610</v>
      </c>
      <c r="L184" s="4">
        <v>12</v>
      </c>
      <c r="M184" s="4">
        <v>3</v>
      </c>
      <c r="N184" s="4" t="str">
        <f>_xlfn.CONCAT("DBX",((L184-1)*2),".3")</f>
        <v>DBX22.3</v>
      </c>
      <c r="O184" s="4" t="s">
        <v>781</v>
      </c>
      <c r="P184" s="4" t="s">
        <v>611</v>
      </c>
      <c r="Q184" s="4" t="s">
        <v>12</v>
      </c>
      <c r="R184" s="4"/>
      <c r="S184" s="4">
        <v>3922</v>
      </c>
      <c r="T184" s="4" t="s">
        <v>2551</v>
      </c>
      <c r="U184" s="4" t="s">
        <v>2285</v>
      </c>
      <c r="V184" s="208" t="s">
        <v>3165</v>
      </c>
      <c r="W184" s="4" t="s">
        <v>125</v>
      </c>
      <c r="X184" s="4">
        <f t="shared" si="2"/>
        <v>9</v>
      </c>
      <c r="Y184" s="4"/>
      <c r="Z184" s="4"/>
      <c r="AA184" s="4"/>
      <c r="AB184" s="4"/>
      <c r="AC184" s="4">
        <v>1</v>
      </c>
      <c r="AD184" s="4"/>
      <c r="AE184" s="4"/>
    </row>
    <row r="185" spans="1:31" x14ac:dyDescent="0.2">
      <c r="A185" s="201"/>
      <c r="B185" s="4" t="s">
        <v>3170</v>
      </c>
      <c r="C185" s="4">
        <v>181</v>
      </c>
      <c r="D185" s="4" t="s">
        <v>614</v>
      </c>
      <c r="E185" s="4" t="s">
        <v>615</v>
      </c>
      <c r="F185" s="4" t="s">
        <v>616</v>
      </c>
      <c r="G185" s="4" t="s">
        <v>72</v>
      </c>
      <c r="H185" s="4" t="s">
        <v>41</v>
      </c>
      <c r="I185" s="4" t="s">
        <v>84</v>
      </c>
      <c r="J185" s="4">
        <v>30181</v>
      </c>
      <c r="K185" s="202" t="s">
        <v>612</v>
      </c>
      <c r="L185" s="4">
        <v>12</v>
      </c>
      <c r="M185" s="4">
        <v>4</v>
      </c>
      <c r="N185" s="4" t="str">
        <f>_xlfn.CONCAT("DBX",((L185-1)*2),".4")</f>
        <v>DBX22.4</v>
      </c>
      <c r="O185" s="4" t="s">
        <v>781</v>
      </c>
      <c r="P185" s="4" t="s">
        <v>613</v>
      </c>
      <c r="Q185" s="4" t="s">
        <v>12</v>
      </c>
      <c r="R185" s="4"/>
      <c r="S185" s="4">
        <v>3922</v>
      </c>
      <c r="T185" s="4" t="s">
        <v>2551</v>
      </c>
      <c r="U185" s="4" t="s">
        <v>1305</v>
      </c>
      <c r="V185" s="4" t="s">
        <v>3018</v>
      </c>
      <c r="W185" s="4" t="s">
        <v>125</v>
      </c>
      <c r="X185" s="4">
        <f t="shared" si="2"/>
        <v>9</v>
      </c>
      <c r="Y185" s="4"/>
      <c r="Z185" s="4"/>
      <c r="AA185" s="4"/>
      <c r="AB185" s="4"/>
      <c r="AC185" s="4">
        <v>1</v>
      </c>
      <c r="AD185" s="4"/>
      <c r="AE185" s="4"/>
    </row>
    <row r="186" spans="1:31" x14ac:dyDescent="0.2">
      <c r="A186" s="201"/>
      <c r="B186" s="4" t="s">
        <v>3170</v>
      </c>
      <c r="C186" s="4">
        <v>182</v>
      </c>
      <c r="D186" s="4" t="s">
        <v>617</v>
      </c>
      <c r="E186" s="4" t="s">
        <v>618</v>
      </c>
      <c r="F186" s="4" t="s">
        <v>619</v>
      </c>
      <c r="G186" s="4" t="s">
        <v>72</v>
      </c>
      <c r="H186" s="4" t="s">
        <v>41</v>
      </c>
      <c r="I186" s="4" t="s">
        <v>84</v>
      </c>
      <c r="J186" s="4">
        <v>30182</v>
      </c>
      <c r="K186" s="202" t="s">
        <v>627</v>
      </c>
      <c r="L186" s="4">
        <v>12</v>
      </c>
      <c r="M186" s="4">
        <v>5</v>
      </c>
      <c r="N186" s="4" t="str">
        <f>_xlfn.CONCAT("DBX",((L186-1)*2),".5")</f>
        <v>DBX22.5</v>
      </c>
      <c r="O186" s="4" t="s">
        <v>781</v>
      </c>
      <c r="P186" s="4" t="s">
        <v>628</v>
      </c>
      <c r="Q186" s="4" t="s">
        <v>12</v>
      </c>
      <c r="R186" s="4"/>
      <c r="S186" s="4">
        <v>3922</v>
      </c>
      <c r="T186" s="4" t="s">
        <v>2551</v>
      </c>
      <c r="U186" s="4" t="s">
        <v>1308</v>
      </c>
      <c r="V186" s="4" t="s">
        <v>3008</v>
      </c>
      <c r="W186" s="4" t="s">
        <v>125</v>
      </c>
      <c r="X186" s="4">
        <f t="shared" si="2"/>
        <v>9</v>
      </c>
      <c r="Y186" s="4"/>
      <c r="Z186" s="4"/>
      <c r="AA186" s="4"/>
      <c r="AB186" s="4"/>
      <c r="AC186" s="4">
        <v>1</v>
      </c>
      <c r="AD186" s="4"/>
      <c r="AE186" s="4"/>
    </row>
    <row r="187" spans="1:31" x14ac:dyDescent="0.2">
      <c r="A187" s="201"/>
      <c r="B187" s="4" t="s">
        <v>3170</v>
      </c>
      <c r="C187" s="4">
        <v>183</v>
      </c>
      <c r="D187" s="4" t="s">
        <v>620</v>
      </c>
      <c r="E187" s="4" t="s">
        <v>621</v>
      </c>
      <c r="F187" s="4" t="s">
        <v>622</v>
      </c>
      <c r="G187" s="4" t="s">
        <v>72</v>
      </c>
      <c r="H187" s="4" t="s">
        <v>41</v>
      </c>
      <c r="I187" s="4" t="s">
        <v>84</v>
      </c>
      <c r="J187" s="4">
        <v>30183</v>
      </c>
      <c r="K187" s="202" t="s">
        <v>629</v>
      </c>
      <c r="L187" s="4">
        <v>12</v>
      </c>
      <c r="M187" s="4">
        <v>6</v>
      </c>
      <c r="N187" s="4" t="str">
        <f>_xlfn.CONCAT("DBX",((L187-1)*2),".6")</f>
        <v>DBX22.6</v>
      </c>
      <c r="O187" s="4" t="s">
        <v>781</v>
      </c>
      <c r="P187" s="4" t="s">
        <v>630</v>
      </c>
      <c r="Q187" s="4" t="s">
        <v>12</v>
      </c>
      <c r="R187" s="4"/>
      <c r="S187" s="4">
        <v>3922</v>
      </c>
      <c r="T187" s="4" t="s">
        <v>2551</v>
      </c>
      <c r="U187" s="4" t="s">
        <v>1309</v>
      </c>
      <c r="V187" s="4" t="s">
        <v>3009</v>
      </c>
      <c r="W187" s="4" t="s">
        <v>125</v>
      </c>
      <c r="X187" s="4">
        <f t="shared" si="2"/>
        <v>9</v>
      </c>
      <c r="Y187" s="4"/>
      <c r="Z187" s="4"/>
      <c r="AA187" s="4"/>
      <c r="AB187" s="4"/>
      <c r="AC187" s="4">
        <v>1</v>
      </c>
      <c r="AD187" s="4"/>
      <c r="AE187" s="4"/>
    </row>
    <row r="188" spans="1:31" x14ac:dyDescent="0.2">
      <c r="A188" s="201"/>
      <c r="B188" s="4" t="s">
        <v>3170</v>
      </c>
      <c r="C188" s="4">
        <v>184</v>
      </c>
      <c r="D188" s="4" t="s">
        <v>623</v>
      </c>
      <c r="E188" s="4" t="s">
        <v>624</v>
      </c>
      <c r="F188" s="4" t="s">
        <v>625</v>
      </c>
      <c r="G188" s="4" t="s">
        <v>72</v>
      </c>
      <c r="H188" s="4" t="s">
        <v>41</v>
      </c>
      <c r="I188" s="4" t="s">
        <v>84</v>
      </c>
      <c r="J188" s="4">
        <v>30184</v>
      </c>
      <c r="K188" s="202" t="s">
        <v>633</v>
      </c>
      <c r="L188" s="4">
        <v>12</v>
      </c>
      <c r="M188" s="4">
        <v>7</v>
      </c>
      <c r="N188" s="4" t="str">
        <f>_xlfn.CONCAT("DBX",((L188-1)*2),".7")</f>
        <v>DBX22.7</v>
      </c>
      <c r="O188" s="4" t="s">
        <v>781</v>
      </c>
      <c r="P188" s="4" t="s">
        <v>631</v>
      </c>
      <c r="Q188" s="4" t="s">
        <v>12</v>
      </c>
      <c r="R188" s="4"/>
      <c r="S188" s="4">
        <v>3922</v>
      </c>
      <c r="T188" s="4" t="s">
        <v>2551</v>
      </c>
      <c r="U188" s="4" t="s">
        <v>1313</v>
      </c>
      <c r="V188" s="4" t="s">
        <v>3157</v>
      </c>
      <c r="W188" s="4" t="s">
        <v>125</v>
      </c>
      <c r="X188" s="4">
        <f t="shared" si="2"/>
        <v>9</v>
      </c>
      <c r="Y188" s="4"/>
      <c r="Z188" s="4"/>
      <c r="AA188" s="4"/>
      <c r="AB188" s="4"/>
      <c r="AC188" s="4">
        <v>1</v>
      </c>
      <c r="AD188" s="4"/>
      <c r="AE188" s="4"/>
    </row>
    <row r="189" spans="1:31" x14ac:dyDescent="0.2">
      <c r="A189" s="201"/>
      <c r="B189" s="4" t="s">
        <v>33</v>
      </c>
      <c r="C189" s="4">
        <v>185</v>
      </c>
      <c r="D189" s="4" t="s">
        <v>634</v>
      </c>
      <c r="E189" s="4" t="s">
        <v>635</v>
      </c>
      <c r="F189" s="4" t="s">
        <v>2330</v>
      </c>
      <c r="G189" s="4" t="s">
        <v>72</v>
      </c>
      <c r="H189" s="4" t="s">
        <v>41</v>
      </c>
      <c r="I189" s="4" t="s">
        <v>84</v>
      </c>
      <c r="J189" s="4">
        <v>30185</v>
      </c>
      <c r="K189" s="202" t="s">
        <v>638</v>
      </c>
      <c r="L189" s="4">
        <v>12</v>
      </c>
      <c r="M189" s="4">
        <v>8</v>
      </c>
      <c r="N189" s="4" t="str">
        <f>_xlfn.CONCAT("DBX",((L189-1)*2)+1,".0")</f>
        <v>DBX23.0</v>
      </c>
      <c r="O189" s="4" t="s">
        <v>781</v>
      </c>
      <c r="P189" s="4" t="s">
        <v>632</v>
      </c>
      <c r="Q189" s="4" t="s">
        <v>12</v>
      </c>
      <c r="R189" s="4"/>
      <c r="S189" s="4">
        <v>3922</v>
      </c>
      <c r="T189" s="4" t="s">
        <v>2551</v>
      </c>
      <c r="U189" s="4"/>
      <c r="V189" s="4"/>
      <c r="W189" s="4" t="s">
        <v>125</v>
      </c>
      <c r="X189" s="4">
        <f t="shared" si="2"/>
        <v>9</v>
      </c>
      <c r="Y189" s="4"/>
      <c r="Z189" s="4"/>
      <c r="AA189" s="4"/>
      <c r="AB189" s="4"/>
      <c r="AC189" s="4">
        <v>1</v>
      </c>
      <c r="AD189" s="4"/>
      <c r="AE189" s="4"/>
    </row>
    <row r="190" spans="1:31" x14ac:dyDescent="0.2">
      <c r="A190" s="201"/>
      <c r="B190" s="4" t="s">
        <v>104</v>
      </c>
      <c r="C190" s="4">
        <v>186</v>
      </c>
      <c r="D190" s="4" t="s">
        <v>636</v>
      </c>
      <c r="E190" s="4" t="s">
        <v>637</v>
      </c>
      <c r="F190" s="4" t="s">
        <v>2331</v>
      </c>
      <c r="G190" s="4" t="s">
        <v>72</v>
      </c>
      <c r="H190" s="4" t="s">
        <v>41</v>
      </c>
      <c r="I190" s="4" t="s">
        <v>84</v>
      </c>
      <c r="J190" s="4">
        <v>30186</v>
      </c>
      <c r="K190" s="202" t="s">
        <v>639</v>
      </c>
      <c r="L190" s="4">
        <v>12</v>
      </c>
      <c r="M190" s="4">
        <v>9</v>
      </c>
      <c r="N190" s="4" t="str">
        <f>_xlfn.CONCAT("DBX",((L190-1)*2)+1,".1")</f>
        <v>DBX23.1</v>
      </c>
      <c r="O190" s="4" t="s">
        <v>781</v>
      </c>
      <c r="P190" s="4" t="s">
        <v>640</v>
      </c>
      <c r="Q190" s="4" t="s">
        <v>12</v>
      </c>
      <c r="R190" s="4"/>
      <c r="S190" s="4">
        <v>3922</v>
      </c>
      <c r="T190" s="4" t="s">
        <v>2551</v>
      </c>
      <c r="U190" s="4"/>
      <c r="V190" s="4"/>
      <c r="W190" s="4" t="s">
        <v>125</v>
      </c>
      <c r="X190" s="4">
        <f t="shared" si="2"/>
        <v>9</v>
      </c>
      <c r="Y190" s="4"/>
      <c r="Z190" s="4"/>
      <c r="AA190" s="4"/>
      <c r="AB190" s="4"/>
      <c r="AC190" s="4">
        <v>1</v>
      </c>
      <c r="AD190" s="4"/>
      <c r="AE190" s="4"/>
    </row>
    <row r="191" spans="1:31" x14ac:dyDescent="0.2">
      <c r="A191" s="201"/>
      <c r="B191" s="4" t="s">
        <v>3170</v>
      </c>
      <c r="C191" s="4">
        <v>187</v>
      </c>
      <c r="D191" s="4" t="s">
        <v>2665</v>
      </c>
      <c r="E191" s="4" t="s">
        <v>2666</v>
      </c>
      <c r="F191" s="4" t="s">
        <v>626</v>
      </c>
      <c r="G191" s="4" t="s">
        <v>72</v>
      </c>
      <c r="H191" s="4" t="s">
        <v>41</v>
      </c>
      <c r="I191" s="4" t="s">
        <v>84</v>
      </c>
      <c r="J191" s="4">
        <v>30187</v>
      </c>
      <c r="K191" s="202" t="s">
        <v>642</v>
      </c>
      <c r="L191" s="4">
        <v>12</v>
      </c>
      <c r="M191" s="4">
        <v>10</v>
      </c>
      <c r="N191" s="4" t="str">
        <f>_xlfn.CONCAT("DBX",((L191-1)*2)+1,".2")</f>
        <v>DBX23.2</v>
      </c>
      <c r="O191" s="4" t="s">
        <v>781</v>
      </c>
      <c r="P191" s="4" t="s">
        <v>641</v>
      </c>
      <c r="Q191" s="4" t="s">
        <v>12</v>
      </c>
      <c r="R191" s="4"/>
      <c r="S191" s="4">
        <v>3922</v>
      </c>
      <c r="T191" s="4" t="s">
        <v>2551</v>
      </c>
      <c r="U191" s="4" t="s">
        <v>1351</v>
      </c>
      <c r="V191" s="4" t="s">
        <v>3075</v>
      </c>
      <c r="W191" s="4" t="s">
        <v>125</v>
      </c>
      <c r="X191" s="4">
        <f t="shared" si="2"/>
        <v>9</v>
      </c>
      <c r="Y191" s="4"/>
      <c r="Z191" s="4"/>
      <c r="AA191" s="4"/>
      <c r="AB191" s="4"/>
      <c r="AC191" s="4">
        <v>1</v>
      </c>
      <c r="AD191" s="4"/>
      <c r="AE191" s="4"/>
    </row>
    <row r="192" spans="1:31" x14ac:dyDescent="0.2">
      <c r="A192" s="201"/>
      <c r="B192" s="4" t="s">
        <v>3170</v>
      </c>
      <c r="C192" s="4">
        <v>188</v>
      </c>
      <c r="D192" s="4" t="s">
        <v>643</v>
      </c>
      <c r="E192" s="4" t="s">
        <v>644</v>
      </c>
      <c r="F192" s="4" t="s">
        <v>645</v>
      </c>
      <c r="G192" s="4" t="s">
        <v>72</v>
      </c>
      <c r="H192" s="4" t="s">
        <v>41</v>
      </c>
      <c r="I192" s="4" t="s">
        <v>84</v>
      </c>
      <c r="J192" s="4">
        <v>30188</v>
      </c>
      <c r="K192" s="202" t="s">
        <v>655</v>
      </c>
      <c r="L192" s="4">
        <v>12</v>
      </c>
      <c r="M192" s="4">
        <v>11</v>
      </c>
      <c r="N192" s="4" t="str">
        <f>_xlfn.CONCAT("DBX",((L192-1)*2)+1,".3")</f>
        <v>DBX23.3</v>
      </c>
      <c r="O192" s="4" t="s">
        <v>781</v>
      </c>
      <c r="P192" s="4" t="s">
        <v>656</v>
      </c>
      <c r="Q192" s="4" t="s">
        <v>12</v>
      </c>
      <c r="R192" s="4"/>
      <c r="S192" s="4">
        <v>3922</v>
      </c>
      <c r="T192" s="4" t="s">
        <v>2551</v>
      </c>
      <c r="U192" s="4" t="s">
        <v>2540</v>
      </c>
      <c r="V192" s="4" t="s">
        <v>3019</v>
      </c>
      <c r="W192" s="4" t="s">
        <v>125</v>
      </c>
      <c r="X192" s="4">
        <f t="shared" si="2"/>
        <v>9</v>
      </c>
      <c r="Y192" s="4"/>
      <c r="Z192" s="4"/>
      <c r="AA192" s="4"/>
      <c r="AB192" s="4"/>
      <c r="AC192" s="4">
        <v>1</v>
      </c>
      <c r="AD192" s="4"/>
      <c r="AE192" s="4"/>
    </row>
    <row r="193" spans="1:31" x14ac:dyDescent="0.2">
      <c r="A193" s="201"/>
      <c r="B193" s="4" t="s">
        <v>3170</v>
      </c>
      <c r="C193" s="4">
        <v>189</v>
      </c>
      <c r="D193" s="4" t="s">
        <v>646</v>
      </c>
      <c r="E193" s="4" t="s">
        <v>647</v>
      </c>
      <c r="F193" s="4" t="s">
        <v>648</v>
      </c>
      <c r="G193" s="4" t="s">
        <v>72</v>
      </c>
      <c r="H193" s="4" t="s">
        <v>41</v>
      </c>
      <c r="I193" s="4" t="s">
        <v>84</v>
      </c>
      <c r="J193" s="4">
        <v>30189</v>
      </c>
      <c r="K193" s="202" t="s">
        <v>658</v>
      </c>
      <c r="L193" s="4">
        <v>12</v>
      </c>
      <c r="M193" s="4">
        <v>12</v>
      </c>
      <c r="N193" s="4" t="str">
        <f>_xlfn.CONCAT("DBX",((L193-1)*2)+1,".4")</f>
        <v>DBX23.4</v>
      </c>
      <c r="O193" s="4" t="s">
        <v>781</v>
      </c>
      <c r="P193" s="4" t="s">
        <v>657</v>
      </c>
      <c r="Q193" s="4" t="s">
        <v>12</v>
      </c>
      <c r="R193" s="4"/>
      <c r="S193" s="4">
        <v>3922</v>
      </c>
      <c r="T193" s="4" t="s">
        <v>2551</v>
      </c>
      <c r="U193" s="4" t="s">
        <v>2541</v>
      </c>
      <c r="V193" s="4" t="s">
        <v>3019</v>
      </c>
      <c r="W193" s="4" t="s">
        <v>125</v>
      </c>
      <c r="X193" s="4">
        <f t="shared" si="2"/>
        <v>9</v>
      </c>
      <c r="Y193" s="4"/>
      <c r="Z193" s="4"/>
      <c r="AA193" s="4"/>
      <c r="AB193" s="4"/>
      <c r="AC193" s="4">
        <v>1</v>
      </c>
      <c r="AD193" s="4"/>
      <c r="AE193" s="4"/>
    </row>
    <row r="194" spans="1:31" x14ac:dyDescent="0.2">
      <c r="A194" s="201"/>
      <c r="B194" s="4" t="s">
        <v>3170</v>
      </c>
      <c r="C194" s="4">
        <v>190</v>
      </c>
      <c r="D194" s="4" t="s">
        <v>649</v>
      </c>
      <c r="E194" s="4" t="s">
        <v>650</v>
      </c>
      <c r="F194" s="4" t="s">
        <v>651</v>
      </c>
      <c r="G194" s="4" t="s">
        <v>72</v>
      </c>
      <c r="H194" s="4" t="s">
        <v>41</v>
      </c>
      <c r="I194" s="4" t="s">
        <v>84</v>
      </c>
      <c r="J194" s="4">
        <v>30190</v>
      </c>
      <c r="K194" s="202" t="s">
        <v>659</v>
      </c>
      <c r="L194" s="4">
        <v>12</v>
      </c>
      <c r="M194" s="4">
        <v>13</v>
      </c>
      <c r="N194" s="4" t="str">
        <f>_xlfn.CONCAT("DBX",((L194-1)*2)+1,".5")</f>
        <v>DBX23.5</v>
      </c>
      <c r="O194" s="4" t="s">
        <v>781</v>
      </c>
      <c r="P194" s="4" t="s">
        <v>661</v>
      </c>
      <c r="Q194" s="4" t="s">
        <v>12</v>
      </c>
      <c r="R194" s="4"/>
      <c r="S194" s="4">
        <v>3922</v>
      </c>
      <c r="T194" s="4" t="s">
        <v>2551</v>
      </c>
      <c r="U194" s="4" t="s">
        <v>2542</v>
      </c>
      <c r="V194" s="4" t="s">
        <v>3019</v>
      </c>
      <c r="W194" s="4" t="s">
        <v>125</v>
      </c>
      <c r="X194" s="4">
        <f t="shared" si="2"/>
        <v>9</v>
      </c>
      <c r="Y194" s="4"/>
      <c r="Z194" s="4"/>
      <c r="AA194" s="4"/>
      <c r="AB194" s="4"/>
      <c r="AC194" s="4">
        <v>1</v>
      </c>
      <c r="AD194" s="4"/>
      <c r="AE194" s="4"/>
    </row>
    <row r="195" spans="1:31" x14ac:dyDescent="0.2">
      <c r="A195" s="201"/>
      <c r="B195" s="4" t="s">
        <v>3170</v>
      </c>
      <c r="C195" s="4">
        <v>191</v>
      </c>
      <c r="D195" s="4" t="s">
        <v>652</v>
      </c>
      <c r="E195" s="4" t="s">
        <v>653</v>
      </c>
      <c r="F195" s="4" t="s">
        <v>654</v>
      </c>
      <c r="G195" s="4" t="s">
        <v>72</v>
      </c>
      <c r="H195" s="4" t="s">
        <v>41</v>
      </c>
      <c r="I195" s="4" t="s">
        <v>84</v>
      </c>
      <c r="J195" s="4">
        <v>30191</v>
      </c>
      <c r="K195" s="202" t="s">
        <v>660</v>
      </c>
      <c r="L195" s="4">
        <v>12</v>
      </c>
      <c r="M195" s="4">
        <v>14</v>
      </c>
      <c r="N195" s="4" t="str">
        <f>_xlfn.CONCAT("DBX",((L195-1)*2)+1,".6")</f>
        <v>DBX23.6</v>
      </c>
      <c r="O195" s="4" t="s">
        <v>781</v>
      </c>
      <c r="P195" s="4" t="s">
        <v>662</v>
      </c>
      <c r="Q195" s="4" t="s">
        <v>12</v>
      </c>
      <c r="R195" s="4"/>
      <c r="S195" s="4">
        <v>3922</v>
      </c>
      <c r="T195" s="4" t="s">
        <v>2551</v>
      </c>
      <c r="U195" s="4" t="s">
        <v>2543</v>
      </c>
      <c r="V195" s="4" t="s">
        <v>3019</v>
      </c>
      <c r="W195" s="4" t="s">
        <v>125</v>
      </c>
      <c r="X195" s="4">
        <f t="shared" si="2"/>
        <v>9</v>
      </c>
      <c r="Y195" s="4"/>
      <c r="Z195" s="4"/>
      <c r="AA195" s="4"/>
      <c r="AB195" s="4"/>
      <c r="AC195" s="4">
        <v>1</v>
      </c>
      <c r="AD195" s="4"/>
      <c r="AE195" s="4"/>
    </row>
    <row r="196" spans="1:31" x14ac:dyDescent="0.2">
      <c r="A196" s="201"/>
      <c r="B196" s="4" t="s">
        <v>34</v>
      </c>
      <c r="C196" s="4">
        <v>192</v>
      </c>
      <c r="D196" s="4"/>
      <c r="E196" s="4"/>
      <c r="F196" s="4"/>
      <c r="G196" s="4"/>
      <c r="H196" s="4"/>
      <c r="I196" s="4"/>
      <c r="J196" s="4">
        <v>30192</v>
      </c>
      <c r="K196" s="202"/>
      <c r="L196" s="4">
        <v>12</v>
      </c>
      <c r="M196" s="4">
        <v>15</v>
      </c>
      <c r="N196" s="4" t="str">
        <f>_xlfn.CONCAT("DBX",((L196-1)*2)+1,".7")</f>
        <v>DBX23.7</v>
      </c>
      <c r="O196" s="4" t="s">
        <v>781</v>
      </c>
      <c r="P196" s="4"/>
      <c r="Q196" s="4"/>
      <c r="R196" s="4"/>
      <c r="S196" s="4"/>
      <c r="T196" s="4"/>
      <c r="U196" s="4"/>
      <c r="V196" s="4"/>
      <c r="W196" s="4"/>
      <c r="X196" s="4" t="e">
        <f t="shared" si="2"/>
        <v>#N/A</v>
      </c>
      <c r="Y196" s="4"/>
      <c r="Z196" s="4"/>
      <c r="AA196" s="4"/>
      <c r="AB196" s="4"/>
      <c r="AC196" s="4"/>
      <c r="AD196" s="4"/>
      <c r="AE196" s="4"/>
    </row>
    <row r="197" spans="1:31" x14ac:dyDescent="0.2">
      <c r="A197" s="201"/>
      <c r="B197" s="4" t="s">
        <v>3170</v>
      </c>
      <c r="C197" s="4">
        <v>193</v>
      </c>
      <c r="D197" s="4" t="s">
        <v>663</v>
      </c>
      <c r="E197" s="4" t="s">
        <v>665</v>
      </c>
      <c r="F197" s="4" t="s">
        <v>2552</v>
      </c>
      <c r="G197" s="4" t="s">
        <v>40</v>
      </c>
      <c r="H197" s="4" t="s">
        <v>41</v>
      </c>
      <c r="I197" s="4" t="s">
        <v>40</v>
      </c>
      <c r="J197" s="4">
        <v>30193</v>
      </c>
      <c r="K197" s="202" t="s">
        <v>667</v>
      </c>
      <c r="L197" s="4">
        <v>13</v>
      </c>
      <c r="M197" s="4">
        <v>0</v>
      </c>
      <c r="N197" s="4" t="str">
        <f>_xlfn.CONCAT("DBX",((L197-1)*2),".0")</f>
        <v>DBX24.0</v>
      </c>
      <c r="O197" s="4" t="s">
        <v>781</v>
      </c>
      <c r="P197" s="4" t="s">
        <v>670</v>
      </c>
      <c r="Q197" s="4" t="s">
        <v>12</v>
      </c>
      <c r="R197" s="4"/>
      <c r="S197" s="4">
        <v>3922</v>
      </c>
      <c r="T197" s="4" t="s">
        <v>2551</v>
      </c>
      <c r="U197" s="4"/>
      <c r="V197" s="4" t="s">
        <v>3064</v>
      </c>
      <c r="W197" s="4" t="s">
        <v>125</v>
      </c>
      <c r="X197" s="4">
        <f t="shared" ref="X197:X260" si="3">VLOOKUP(W197,$W$1609:$X$1639,2,FALSE)</f>
        <v>9</v>
      </c>
      <c r="Y197" s="4"/>
      <c r="Z197" s="4"/>
      <c r="AA197" s="4"/>
      <c r="AB197" s="4"/>
      <c r="AC197" s="4">
        <v>1</v>
      </c>
      <c r="AD197" s="4"/>
      <c r="AE197" s="4"/>
    </row>
    <row r="198" spans="1:31" x14ac:dyDescent="0.2">
      <c r="A198" s="201"/>
      <c r="B198" s="4" t="s">
        <v>88</v>
      </c>
      <c r="C198" s="4">
        <v>194</v>
      </c>
      <c r="D198" s="4" t="s">
        <v>664</v>
      </c>
      <c r="E198" s="4" t="s">
        <v>666</v>
      </c>
      <c r="F198" s="4" t="s">
        <v>2553</v>
      </c>
      <c r="G198" s="4" t="s">
        <v>40</v>
      </c>
      <c r="H198" s="4" t="s">
        <v>41</v>
      </c>
      <c r="I198" s="4" t="s">
        <v>40</v>
      </c>
      <c r="J198" s="4">
        <v>30194</v>
      </c>
      <c r="K198" s="202" t="s">
        <v>669</v>
      </c>
      <c r="L198" s="4">
        <v>13</v>
      </c>
      <c r="M198" s="4">
        <v>1</v>
      </c>
      <c r="N198" s="4" t="str">
        <f>_xlfn.CONCAT("DBX",((L198-1)*2),".1")</f>
        <v>DBX24.1</v>
      </c>
      <c r="O198" s="4" t="s">
        <v>781</v>
      </c>
      <c r="P198" s="4" t="s">
        <v>668</v>
      </c>
      <c r="Q198" s="4" t="s">
        <v>12</v>
      </c>
      <c r="R198" s="4"/>
      <c r="S198" s="4">
        <v>3922</v>
      </c>
      <c r="T198" s="4" t="s">
        <v>2551</v>
      </c>
      <c r="U198" s="4"/>
      <c r="V198" s="4"/>
      <c r="W198" s="4" t="s">
        <v>125</v>
      </c>
      <c r="X198" s="4">
        <f t="shared" si="3"/>
        <v>9</v>
      </c>
      <c r="Y198" s="4"/>
      <c r="Z198" s="4"/>
      <c r="AA198" s="4"/>
      <c r="AB198" s="4"/>
      <c r="AC198" s="4">
        <v>1</v>
      </c>
      <c r="AD198" s="4"/>
      <c r="AE198" s="4"/>
    </row>
    <row r="199" spans="1:31" x14ac:dyDescent="0.2">
      <c r="A199" s="201"/>
      <c r="B199" s="201" t="s">
        <v>87</v>
      </c>
      <c r="C199" s="4">
        <v>195</v>
      </c>
      <c r="D199" s="4" t="s">
        <v>529</v>
      </c>
      <c r="E199" s="4" t="s">
        <v>530</v>
      </c>
      <c r="F199" s="4" t="s">
        <v>2554</v>
      </c>
      <c r="G199" s="4" t="s">
        <v>40</v>
      </c>
      <c r="H199" s="4" t="s">
        <v>41</v>
      </c>
      <c r="I199" s="4" t="s">
        <v>40</v>
      </c>
      <c r="J199" s="4">
        <v>30195</v>
      </c>
      <c r="K199" s="202" t="s">
        <v>671</v>
      </c>
      <c r="L199" s="4">
        <v>13</v>
      </c>
      <c r="M199" s="4">
        <v>2</v>
      </c>
      <c r="N199" s="4" t="str">
        <f>_xlfn.CONCAT("DBX",((L199-1)*2),".2")</f>
        <v>DBX24.2</v>
      </c>
      <c r="O199" s="4" t="s">
        <v>781</v>
      </c>
      <c r="P199" s="4" t="s">
        <v>672</v>
      </c>
      <c r="Q199" s="4" t="s">
        <v>12</v>
      </c>
      <c r="R199" s="4"/>
      <c r="S199" s="4">
        <v>3922</v>
      </c>
      <c r="T199" s="4" t="s">
        <v>2551</v>
      </c>
      <c r="U199" s="4"/>
      <c r="V199" s="4"/>
      <c r="W199" s="4" t="s">
        <v>125</v>
      </c>
      <c r="X199" s="4">
        <f t="shared" si="3"/>
        <v>9</v>
      </c>
      <c r="Y199" s="4"/>
      <c r="Z199" s="4"/>
      <c r="AA199" s="4"/>
      <c r="AB199" s="4"/>
      <c r="AC199" s="4">
        <v>1</v>
      </c>
      <c r="AD199" s="4"/>
      <c r="AE199" s="4"/>
    </row>
    <row r="200" spans="1:31" x14ac:dyDescent="0.2">
      <c r="A200" s="201"/>
      <c r="B200" s="4" t="s">
        <v>34</v>
      </c>
      <c r="C200" s="4">
        <v>196</v>
      </c>
      <c r="D200" s="4"/>
      <c r="E200" s="4"/>
      <c r="F200" s="4"/>
      <c r="G200" s="4"/>
      <c r="H200" s="4"/>
      <c r="I200" s="4"/>
      <c r="J200" s="4">
        <v>30196</v>
      </c>
      <c r="K200" s="202"/>
      <c r="L200" s="4">
        <v>13</v>
      </c>
      <c r="M200" s="4">
        <v>3</v>
      </c>
      <c r="N200" s="4" t="str">
        <f>_xlfn.CONCAT("DBX",((L200-1)*2),".3")</f>
        <v>DBX24.3</v>
      </c>
      <c r="O200" s="4" t="s">
        <v>781</v>
      </c>
      <c r="P200" s="4"/>
      <c r="Q200" s="4"/>
      <c r="R200" s="4"/>
      <c r="S200" s="4"/>
      <c r="T200" s="4"/>
      <c r="U200" s="4"/>
      <c r="V200" s="4"/>
      <c r="W200" s="4"/>
      <c r="X200" s="4" t="e">
        <f t="shared" si="3"/>
        <v>#N/A</v>
      </c>
      <c r="Y200" s="4"/>
      <c r="Z200" s="4"/>
      <c r="AA200" s="4"/>
      <c r="AB200" s="4"/>
      <c r="AC200" s="4"/>
      <c r="AD200" s="4"/>
      <c r="AE200" s="4"/>
    </row>
    <row r="201" spans="1:31" x14ac:dyDescent="0.2">
      <c r="A201" s="201"/>
      <c r="B201" s="4" t="s">
        <v>3170</v>
      </c>
      <c r="C201" s="4">
        <v>197</v>
      </c>
      <c r="D201" s="4" t="s">
        <v>673</v>
      </c>
      <c r="E201" s="4" t="s">
        <v>674</v>
      </c>
      <c r="F201" s="4" t="s">
        <v>2655</v>
      </c>
      <c r="G201" s="4" t="s">
        <v>72</v>
      </c>
      <c r="H201" s="4" t="s">
        <v>41</v>
      </c>
      <c r="I201" s="4" t="s">
        <v>84</v>
      </c>
      <c r="J201" s="4">
        <v>30197</v>
      </c>
      <c r="K201" s="202" t="s">
        <v>675</v>
      </c>
      <c r="L201" s="4">
        <v>13</v>
      </c>
      <c r="M201" s="4">
        <v>4</v>
      </c>
      <c r="N201" s="4" t="str">
        <f>_xlfn.CONCAT("DBX",((L201-1)*2),".4")</f>
        <v>DBX24.4</v>
      </c>
      <c r="O201" s="4" t="s">
        <v>781</v>
      </c>
      <c r="P201" s="4" t="s">
        <v>676</v>
      </c>
      <c r="Q201" s="4" t="s">
        <v>12</v>
      </c>
      <c r="R201" s="4"/>
      <c r="S201" s="4">
        <v>3922</v>
      </c>
      <c r="T201" s="4" t="s">
        <v>2551</v>
      </c>
      <c r="U201" s="4" t="s">
        <v>1415</v>
      </c>
      <c r="V201" s="4" t="s">
        <v>3069</v>
      </c>
      <c r="W201" s="4" t="s">
        <v>125</v>
      </c>
      <c r="X201" s="4">
        <f t="shared" si="3"/>
        <v>9</v>
      </c>
      <c r="Y201" s="4"/>
      <c r="Z201" s="4"/>
      <c r="AA201" s="4"/>
      <c r="AB201" s="4"/>
      <c r="AC201" s="4">
        <v>1</v>
      </c>
      <c r="AD201" s="4"/>
      <c r="AE201" s="4"/>
    </row>
    <row r="202" spans="1:31" x14ac:dyDescent="0.2">
      <c r="A202" s="201"/>
      <c r="B202" s="4" t="s">
        <v>104</v>
      </c>
      <c r="C202" s="4">
        <v>198</v>
      </c>
      <c r="D202" s="4" t="s">
        <v>677</v>
      </c>
      <c r="E202" s="4" t="s">
        <v>678</v>
      </c>
      <c r="F202" s="4" t="s">
        <v>679</v>
      </c>
      <c r="G202" s="4" t="s">
        <v>72</v>
      </c>
      <c r="H202" s="4" t="s">
        <v>41</v>
      </c>
      <c r="I202" s="4" t="s">
        <v>84</v>
      </c>
      <c r="J202" s="4">
        <v>30198</v>
      </c>
      <c r="K202" s="202" t="s">
        <v>680</v>
      </c>
      <c r="L202" s="4">
        <v>13</v>
      </c>
      <c r="M202" s="4">
        <v>5</v>
      </c>
      <c r="N202" s="4" t="str">
        <f>_xlfn.CONCAT("DBX",((L202-1)*2),".5")</f>
        <v>DBX24.5</v>
      </c>
      <c r="O202" s="4" t="s">
        <v>781</v>
      </c>
      <c r="P202" s="4" t="s">
        <v>681</v>
      </c>
      <c r="Q202" s="4" t="s">
        <v>12</v>
      </c>
      <c r="R202" s="4"/>
      <c r="S202" s="4">
        <v>3922</v>
      </c>
      <c r="T202" s="4" t="s">
        <v>2551</v>
      </c>
      <c r="U202" s="4" t="s">
        <v>1429</v>
      </c>
      <c r="V202" s="4"/>
      <c r="W202" s="4" t="s">
        <v>125</v>
      </c>
      <c r="X202" s="4">
        <f t="shared" si="3"/>
        <v>9</v>
      </c>
      <c r="Y202" s="4"/>
      <c r="Z202" s="4"/>
      <c r="AA202" s="4"/>
      <c r="AB202" s="4"/>
      <c r="AC202" s="4">
        <v>1</v>
      </c>
      <c r="AD202" s="4"/>
      <c r="AE202" s="4"/>
    </row>
    <row r="203" spans="1:31" x14ac:dyDescent="0.2">
      <c r="A203" s="201"/>
      <c r="B203" s="201" t="s">
        <v>87</v>
      </c>
      <c r="C203" s="4">
        <v>199</v>
      </c>
      <c r="D203" s="4" t="s">
        <v>529</v>
      </c>
      <c r="E203" s="4" t="s">
        <v>530</v>
      </c>
      <c r="F203" s="4" t="s">
        <v>2554</v>
      </c>
      <c r="G203" s="4" t="s">
        <v>40</v>
      </c>
      <c r="H203" s="4" t="s">
        <v>41</v>
      </c>
      <c r="I203" s="4" t="s">
        <v>40</v>
      </c>
      <c r="J203" s="4">
        <v>30199</v>
      </c>
      <c r="K203" s="202" t="s">
        <v>724</v>
      </c>
      <c r="L203" s="4">
        <v>13</v>
      </c>
      <c r="M203" s="4">
        <v>6</v>
      </c>
      <c r="N203" s="4" t="str">
        <f>_xlfn.CONCAT("DBX",((L203-1)*2),".6")</f>
        <v>DBX24.6</v>
      </c>
      <c r="O203" s="4" t="s">
        <v>781</v>
      </c>
      <c r="P203" s="4" t="s">
        <v>725</v>
      </c>
      <c r="Q203" s="4" t="s">
        <v>12</v>
      </c>
      <c r="R203" s="4"/>
      <c r="S203" s="4">
        <v>3922</v>
      </c>
      <c r="T203" s="4" t="s">
        <v>2551</v>
      </c>
      <c r="U203" s="4"/>
      <c r="V203" s="4"/>
      <c r="W203" s="4" t="s">
        <v>125</v>
      </c>
      <c r="X203" s="4">
        <f t="shared" si="3"/>
        <v>9</v>
      </c>
      <c r="Y203" s="4"/>
      <c r="Z203" s="4"/>
      <c r="AA203" s="4"/>
      <c r="AB203" s="4"/>
      <c r="AC203" s="4">
        <v>1</v>
      </c>
      <c r="AD203" s="4"/>
      <c r="AE203" s="4"/>
    </row>
    <row r="204" spans="1:31" x14ac:dyDescent="0.2">
      <c r="A204" s="201"/>
      <c r="B204" s="4" t="s">
        <v>104</v>
      </c>
      <c r="C204" s="4">
        <v>200</v>
      </c>
      <c r="D204" s="4" t="s">
        <v>682</v>
      </c>
      <c r="E204" s="4" t="s">
        <v>683</v>
      </c>
      <c r="F204" s="4" t="s">
        <v>684</v>
      </c>
      <c r="G204" s="4" t="s">
        <v>72</v>
      </c>
      <c r="H204" s="4" t="s">
        <v>41</v>
      </c>
      <c r="I204" s="4" t="s">
        <v>84</v>
      </c>
      <c r="J204" s="4">
        <v>30200</v>
      </c>
      <c r="K204" s="202" t="s">
        <v>726</v>
      </c>
      <c r="L204" s="4">
        <v>13</v>
      </c>
      <c r="M204" s="4">
        <v>7</v>
      </c>
      <c r="N204" s="4" t="str">
        <f>_xlfn.CONCAT("DBX",((L204-1)*2),".7")</f>
        <v>DBX24.7</v>
      </c>
      <c r="O204" s="4" t="s">
        <v>781</v>
      </c>
      <c r="P204" s="4" t="s">
        <v>727</v>
      </c>
      <c r="Q204" s="4" t="s">
        <v>12</v>
      </c>
      <c r="R204" s="4"/>
      <c r="S204" s="4">
        <v>3922</v>
      </c>
      <c r="T204" s="4" t="s">
        <v>2551</v>
      </c>
      <c r="U204" s="4" t="s">
        <v>2290</v>
      </c>
      <c r="V204" s="4"/>
      <c r="W204" s="4" t="s">
        <v>125</v>
      </c>
      <c r="X204" s="4">
        <f t="shared" si="3"/>
        <v>9</v>
      </c>
      <c r="Y204" s="4"/>
      <c r="Z204" s="4"/>
      <c r="AA204" s="4"/>
      <c r="AB204" s="4"/>
      <c r="AC204" s="4">
        <v>1</v>
      </c>
      <c r="AD204" s="4"/>
      <c r="AE204" s="4"/>
    </row>
    <row r="205" spans="1:31" x14ac:dyDescent="0.2">
      <c r="A205" s="201"/>
      <c r="B205" s="201" t="s">
        <v>87</v>
      </c>
      <c r="C205" s="4">
        <v>201</v>
      </c>
      <c r="D205" s="4" t="s">
        <v>663</v>
      </c>
      <c r="E205" s="4" t="s">
        <v>665</v>
      </c>
      <c r="F205" s="4" t="s">
        <v>2552</v>
      </c>
      <c r="G205" s="4" t="s">
        <v>40</v>
      </c>
      <c r="H205" s="4" t="s">
        <v>41</v>
      </c>
      <c r="I205" s="4" t="s">
        <v>40</v>
      </c>
      <c r="J205" s="4">
        <v>30201</v>
      </c>
      <c r="K205" s="202" t="s">
        <v>728</v>
      </c>
      <c r="L205" s="4">
        <v>13</v>
      </c>
      <c r="M205" s="4">
        <v>8</v>
      </c>
      <c r="N205" s="4" t="str">
        <f>_xlfn.CONCAT("DBX",((L205-1)*2)+1,".0")</f>
        <v>DBX25.0</v>
      </c>
      <c r="O205" s="4" t="s">
        <v>781</v>
      </c>
      <c r="P205" s="4" t="s">
        <v>729</v>
      </c>
      <c r="Q205" s="4" t="s">
        <v>12</v>
      </c>
      <c r="R205" s="4"/>
      <c r="S205" s="4">
        <v>3922</v>
      </c>
      <c r="T205" s="4" t="s">
        <v>2551</v>
      </c>
      <c r="U205" s="4"/>
      <c r="V205" s="4"/>
      <c r="W205" s="4" t="s">
        <v>125</v>
      </c>
      <c r="X205" s="4">
        <f t="shared" si="3"/>
        <v>9</v>
      </c>
      <c r="Y205" s="4"/>
      <c r="Z205" s="4"/>
      <c r="AA205" s="4"/>
      <c r="AB205" s="4"/>
      <c r="AC205" s="4">
        <v>1</v>
      </c>
      <c r="AD205" s="4"/>
      <c r="AE205" s="4"/>
    </row>
    <row r="206" spans="1:31" x14ac:dyDescent="0.2">
      <c r="A206" s="201"/>
      <c r="B206" s="4" t="s">
        <v>3170</v>
      </c>
      <c r="C206" s="4">
        <v>202</v>
      </c>
      <c r="D206" s="4" t="s">
        <v>685</v>
      </c>
      <c r="E206" s="4" t="s">
        <v>686</v>
      </c>
      <c r="F206" s="4" t="s">
        <v>687</v>
      </c>
      <c r="G206" s="4" t="s">
        <v>72</v>
      </c>
      <c r="H206" s="4" t="s">
        <v>41</v>
      </c>
      <c r="I206" s="4" t="s">
        <v>84</v>
      </c>
      <c r="J206" s="4">
        <v>30202</v>
      </c>
      <c r="K206" s="202" t="s">
        <v>730</v>
      </c>
      <c r="L206" s="4">
        <v>13</v>
      </c>
      <c r="M206" s="4">
        <v>9</v>
      </c>
      <c r="N206" s="4" t="str">
        <f>_xlfn.CONCAT("DBX",((L206-1)*2)+1,".1")</f>
        <v>DBX25.1</v>
      </c>
      <c r="O206" s="4" t="s">
        <v>781</v>
      </c>
      <c r="P206" s="4" t="s">
        <v>731</v>
      </c>
      <c r="Q206" s="4" t="s">
        <v>12</v>
      </c>
      <c r="R206" s="4"/>
      <c r="S206" s="4">
        <v>3922</v>
      </c>
      <c r="T206" s="4" t="s">
        <v>2551</v>
      </c>
      <c r="U206" s="4" t="s">
        <v>2286</v>
      </c>
      <c r="V206" s="4" t="s">
        <v>3064</v>
      </c>
      <c r="W206" s="4" t="s">
        <v>125</v>
      </c>
      <c r="X206" s="4">
        <f t="shared" si="3"/>
        <v>9</v>
      </c>
      <c r="Y206" s="4"/>
      <c r="Z206" s="4"/>
      <c r="AA206" s="4"/>
      <c r="AB206" s="4"/>
      <c r="AC206" s="4">
        <v>1</v>
      </c>
      <c r="AD206" s="4"/>
      <c r="AE206" s="4"/>
    </row>
    <row r="207" spans="1:31" x14ac:dyDescent="0.2">
      <c r="A207" s="201"/>
      <c r="B207" s="4" t="s">
        <v>3170</v>
      </c>
      <c r="C207" s="4">
        <v>203</v>
      </c>
      <c r="D207" s="4" t="s">
        <v>688</v>
      </c>
      <c r="E207" s="4" t="s">
        <v>689</v>
      </c>
      <c r="F207" s="4" t="s">
        <v>690</v>
      </c>
      <c r="G207" s="4" t="s">
        <v>72</v>
      </c>
      <c r="H207" s="4" t="s">
        <v>41</v>
      </c>
      <c r="I207" s="4" t="s">
        <v>84</v>
      </c>
      <c r="J207" s="4">
        <v>30203</v>
      </c>
      <c r="K207" s="202" t="s">
        <v>732</v>
      </c>
      <c r="L207" s="4">
        <v>13</v>
      </c>
      <c r="M207" s="4">
        <v>10</v>
      </c>
      <c r="N207" s="4" t="str">
        <f>_xlfn.CONCAT("DBX",((L207-1)*2)+1,".2")</f>
        <v>DBX25.2</v>
      </c>
      <c r="O207" s="4" t="s">
        <v>781</v>
      </c>
      <c r="P207" s="4" t="s">
        <v>733</v>
      </c>
      <c r="Q207" s="4" t="s">
        <v>12</v>
      </c>
      <c r="R207" s="4"/>
      <c r="S207" s="4">
        <v>3922</v>
      </c>
      <c r="T207" s="4" t="s">
        <v>2551</v>
      </c>
      <c r="U207" s="4" t="s">
        <v>2287</v>
      </c>
      <c r="V207" s="4" t="s">
        <v>3064</v>
      </c>
      <c r="W207" s="4" t="s">
        <v>125</v>
      </c>
      <c r="X207" s="4">
        <f t="shared" si="3"/>
        <v>9</v>
      </c>
      <c r="Y207" s="4"/>
      <c r="Z207" s="4"/>
      <c r="AA207" s="4"/>
      <c r="AB207" s="4"/>
      <c r="AC207" s="4">
        <v>1</v>
      </c>
      <c r="AD207" s="4"/>
      <c r="AE207" s="4"/>
    </row>
    <row r="208" spans="1:31" x14ac:dyDescent="0.2">
      <c r="A208" s="201"/>
      <c r="B208" s="4" t="s">
        <v>3170</v>
      </c>
      <c r="C208" s="4">
        <v>204</v>
      </c>
      <c r="D208" s="4" t="s">
        <v>691</v>
      </c>
      <c r="E208" s="4" t="s">
        <v>692</v>
      </c>
      <c r="F208" s="4" t="s">
        <v>693</v>
      </c>
      <c r="G208" s="4" t="s">
        <v>72</v>
      </c>
      <c r="H208" s="4" t="s">
        <v>41</v>
      </c>
      <c r="I208" s="4" t="s">
        <v>84</v>
      </c>
      <c r="J208" s="4">
        <v>30204</v>
      </c>
      <c r="K208" s="202" t="s">
        <v>734</v>
      </c>
      <c r="L208" s="4">
        <v>13</v>
      </c>
      <c r="M208" s="4">
        <v>11</v>
      </c>
      <c r="N208" s="4" t="str">
        <f>_xlfn.CONCAT("DBX",((L208-1)*2)+1,".3")</f>
        <v>DBX25.3</v>
      </c>
      <c r="O208" s="4" t="s">
        <v>781</v>
      </c>
      <c r="P208" s="4" t="s">
        <v>735</v>
      </c>
      <c r="Q208" s="4" t="s">
        <v>12</v>
      </c>
      <c r="R208" s="4"/>
      <c r="S208" s="4">
        <v>3922</v>
      </c>
      <c r="T208" s="4" t="s">
        <v>2551</v>
      </c>
      <c r="U208" s="4" t="s">
        <v>2544</v>
      </c>
      <c r="V208" s="4" t="s">
        <v>3020</v>
      </c>
      <c r="W208" s="4" t="s">
        <v>125</v>
      </c>
      <c r="X208" s="4">
        <f t="shared" si="3"/>
        <v>9</v>
      </c>
      <c r="Y208" s="4"/>
      <c r="Z208" s="4"/>
      <c r="AA208" s="4"/>
      <c r="AB208" s="4"/>
      <c r="AC208" s="4">
        <v>1</v>
      </c>
      <c r="AD208" s="4"/>
      <c r="AE208" s="4"/>
    </row>
    <row r="209" spans="1:31" x14ac:dyDescent="0.2">
      <c r="A209" s="201"/>
      <c r="B209" s="4" t="s">
        <v>3170</v>
      </c>
      <c r="C209" s="4">
        <v>205</v>
      </c>
      <c r="D209" s="4" t="s">
        <v>694</v>
      </c>
      <c r="E209" s="4" t="s">
        <v>695</v>
      </c>
      <c r="F209" s="4" t="s">
        <v>696</v>
      </c>
      <c r="G209" s="4" t="s">
        <v>72</v>
      </c>
      <c r="H209" s="4" t="s">
        <v>41</v>
      </c>
      <c r="I209" s="4" t="s">
        <v>84</v>
      </c>
      <c r="J209" s="4">
        <v>30205</v>
      </c>
      <c r="K209" s="202" t="s">
        <v>736</v>
      </c>
      <c r="L209" s="4">
        <v>13</v>
      </c>
      <c r="M209" s="4">
        <v>12</v>
      </c>
      <c r="N209" s="4" t="str">
        <f>_xlfn.CONCAT("DBX",((L209-1)*2)+1,".4")</f>
        <v>DBX25.4</v>
      </c>
      <c r="O209" s="4" t="s">
        <v>781</v>
      </c>
      <c r="P209" s="4" t="s">
        <v>737</v>
      </c>
      <c r="Q209" s="4" t="s">
        <v>12</v>
      </c>
      <c r="R209" s="4"/>
      <c r="S209" s="4">
        <v>3922</v>
      </c>
      <c r="T209" s="4" t="s">
        <v>2551</v>
      </c>
      <c r="U209" s="4" t="s">
        <v>2545</v>
      </c>
      <c r="V209" s="4" t="s">
        <v>3020</v>
      </c>
      <c r="W209" s="4" t="s">
        <v>125</v>
      </c>
      <c r="X209" s="4">
        <f t="shared" si="3"/>
        <v>9</v>
      </c>
      <c r="Y209" s="4"/>
      <c r="Z209" s="4"/>
      <c r="AA209" s="4"/>
      <c r="AB209" s="4"/>
      <c r="AC209" s="4">
        <v>1</v>
      </c>
      <c r="AD209" s="4"/>
      <c r="AE209" s="4"/>
    </row>
    <row r="210" spans="1:31" x14ac:dyDescent="0.2">
      <c r="A210" s="201"/>
      <c r="B210" s="4" t="s">
        <v>3170</v>
      </c>
      <c r="C210" s="4">
        <v>206</v>
      </c>
      <c r="D210" s="4" t="s">
        <v>697</v>
      </c>
      <c r="E210" s="4" t="s">
        <v>698</v>
      </c>
      <c r="F210" s="4" t="s">
        <v>699</v>
      </c>
      <c r="G210" s="4" t="s">
        <v>72</v>
      </c>
      <c r="H210" s="4" t="s">
        <v>41</v>
      </c>
      <c r="I210" s="4" t="s">
        <v>84</v>
      </c>
      <c r="J210" s="4">
        <v>30206</v>
      </c>
      <c r="K210" s="202" t="s">
        <v>740</v>
      </c>
      <c r="L210" s="4">
        <v>13</v>
      </c>
      <c r="M210" s="4">
        <v>13</v>
      </c>
      <c r="N210" s="4" t="str">
        <f>_xlfn.CONCAT("DBX",((L210-1)*2)+1,".5")</f>
        <v>DBX25.5</v>
      </c>
      <c r="O210" s="4" t="s">
        <v>781</v>
      </c>
      <c r="P210" s="4" t="s">
        <v>738</v>
      </c>
      <c r="Q210" s="4" t="s">
        <v>12</v>
      </c>
      <c r="R210" s="4"/>
      <c r="S210" s="4">
        <v>3922</v>
      </c>
      <c r="T210" s="4" t="s">
        <v>2551</v>
      </c>
      <c r="U210" s="4" t="s">
        <v>2546</v>
      </c>
      <c r="V210" s="4" t="s">
        <v>3020</v>
      </c>
      <c r="W210" s="4" t="s">
        <v>125</v>
      </c>
      <c r="X210" s="4">
        <f t="shared" si="3"/>
        <v>9</v>
      </c>
      <c r="Y210" s="4"/>
      <c r="Z210" s="4"/>
      <c r="AA210" s="4"/>
      <c r="AB210" s="4"/>
      <c r="AC210" s="4">
        <v>1</v>
      </c>
      <c r="AD210" s="4"/>
      <c r="AE210" s="4"/>
    </row>
    <row r="211" spans="1:31" x14ac:dyDescent="0.2">
      <c r="A211" s="201"/>
      <c r="B211" s="4" t="s">
        <v>3170</v>
      </c>
      <c r="C211" s="4">
        <v>207</v>
      </c>
      <c r="D211" s="4" t="s">
        <v>700</v>
      </c>
      <c r="E211" s="4" t="s">
        <v>701</v>
      </c>
      <c r="F211" s="4" t="s">
        <v>702</v>
      </c>
      <c r="G211" s="4" t="s">
        <v>72</v>
      </c>
      <c r="H211" s="4" t="s">
        <v>41</v>
      </c>
      <c r="I211" s="4" t="s">
        <v>84</v>
      </c>
      <c r="J211" s="4">
        <v>30207</v>
      </c>
      <c r="K211" s="202" t="s">
        <v>741</v>
      </c>
      <c r="L211" s="4">
        <v>13</v>
      </c>
      <c r="M211" s="4">
        <v>14</v>
      </c>
      <c r="N211" s="4" t="str">
        <f>_xlfn.CONCAT("DBX",((L211-1)*2)+1,".6")</f>
        <v>DBX25.6</v>
      </c>
      <c r="O211" s="4" t="s">
        <v>781</v>
      </c>
      <c r="P211" s="4" t="s">
        <v>739</v>
      </c>
      <c r="Q211" s="4" t="s">
        <v>12</v>
      </c>
      <c r="R211" s="4"/>
      <c r="S211" s="4">
        <v>3922</v>
      </c>
      <c r="T211" s="4" t="s">
        <v>2551</v>
      </c>
      <c r="U211" s="4" t="s">
        <v>2547</v>
      </c>
      <c r="V211" s="4" t="s">
        <v>3020</v>
      </c>
      <c r="W211" s="4" t="s">
        <v>125</v>
      </c>
      <c r="X211" s="4">
        <f t="shared" si="3"/>
        <v>9</v>
      </c>
      <c r="Y211" s="4"/>
      <c r="Z211" s="4"/>
      <c r="AA211" s="4"/>
      <c r="AB211" s="4"/>
      <c r="AC211" s="4">
        <v>1</v>
      </c>
      <c r="AD211" s="4"/>
      <c r="AE211" s="4"/>
    </row>
    <row r="212" spans="1:31" x14ac:dyDescent="0.2">
      <c r="A212" s="201"/>
      <c r="B212" s="4" t="s">
        <v>3170</v>
      </c>
      <c r="C212" s="4">
        <v>208</v>
      </c>
      <c r="D212" s="4" t="s">
        <v>703</v>
      </c>
      <c r="E212" s="4" t="s">
        <v>704</v>
      </c>
      <c r="F212" s="4" t="s">
        <v>705</v>
      </c>
      <c r="G212" s="4" t="s">
        <v>72</v>
      </c>
      <c r="H212" s="4" t="s">
        <v>41</v>
      </c>
      <c r="I212" s="4" t="s">
        <v>84</v>
      </c>
      <c r="J212" s="4">
        <v>30208</v>
      </c>
      <c r="K212" s="202" t="s">
        <v>742</v>
      </c>
      <c r="L212" s="4">
        <v>13</v>
      </c>
      <c r="M212" s="4">
        <v>15</v>
      </c>
      <c r="N212" s="4" t="str">
        <f>_xlfn.CONCAT("DBX",((L212-1)*2)+1,".7")</f>
        <v>DBX25.7</v>
      </c>
      <c r="O212" s="4" t="s">
        <v>781</v>
      </c>
      <c r="P212" s="4" t="s">
        <v>743</v>
      </c>
      <c r="Q212" s="4" t="s">
        <v>12</v>
      </c>
      <c r="R212" s="4"/>
      <c r="S212" s="4">
        <v>3922</v>
      </c>
      <c r="T212" s="4" t="s">
        <v>2551</v>
      </c>
      <c r="U212" s="4" t="s">
        <v>1719</v>
      </c>
      <c r="V212" s="4" t="s">
        <v>3067</v>
      </c>
      <c r="W212" s="4" t="s">
        <v>125</v>
      </c>
      <c r="X212" s="4">
        <f t="shared" si="3"/>
        <v>9</v>
      </c>
      <c r="Y212" s="4"/>
      <c r="Z212" s="4"/>
      <c r="AA212" s="4"/>
      <c r="AB212" s="4"/>
      <c r="AC212" s="4">
        <v>1</v>
      </c>
      <c r="AD212" s="4"/>
      <c r="AE212" s="4"/>
    </row>
    <row r="213" spans="1:31" x14ac:dyDescent="0.2">
      <c r="A213" s="201"/>
      <c r="B213" s="4" t="s">
        <v>3170</v>
      </c>
      <c r="C213" s="4">
        <v>209</v>
      </c>
      <c r="D213" s="4" t="s">
        <v>706</v>
      </c>
      <c r="E213" s="4" t="s">
        <v>707</v>
      </c>
      <c r="F213" s="4" t="s">
        <v>708</v>
      </c>
      <c r="G213" s="4" t="s">
        <v>72</v>
      </c>
      <c r="H213" s="4" t="s">
        <v>41</v>
      </c>
      <c r="I213" s="4" t="s">
        <v>84</v>
      </c>
      <c r="J213" s="4">
        <v>30209</v>
      </c>
      <c r="K213" s="202" t="s">
        <v>744</v>
      </c>
      <c r="L213" s="4">
        <v>14</v>
      </c>
      <c r="M213" s="4">
        <v>0</v>
      </c>
      <c r="N213" s="4" t="str">
        <f>_xlfn.CONCAT("DBX",((L213-1)*2),".0")</f>
        <v>DBX26.0</v>
      </c>
      <c r="O213" s="4" t="s">
        <v>781</v>
      </c>
      <c r="P213" s="4" t="s">
        <v>745</v>
      </c>
      <c r="Q213" s="4" t="s">
        <v>12</v>
      </c>
      <c r="R213" s="4"/>
      <c r="S213" s="4">
        <v>3922</v>
      </c>
      <c r="T213" s="4" t="s">
        <v>2551</v>
      </c>
      <c r="U213" s="4" t="s">
        <v>1720</v>
      </c>
      <c r="V213" s="4" t="s">
        <v>3026</v>
      </c>
      <c r="W213" s="4" t="s">
        <v>125</v>
      </c>
      <c r="X213" s="4">
        <f t="shared" si="3"/>
        <v>9</v>
      </c>
      <c r="Y213" s="4"/>
      <c r="Z213" s="4"/>
      <c r="AA213" s="4"/>
      <c r="AB213" s="4"/>
      <c r="AC213" s="4">
        <v>1</v>
      </c>
      <c r="AD213" s="4"/>
      <c r="AE213" s="4"/>
    </row>
    <row r="214" spans="1:31" x14ac:dyDescent="0.2">
      <c r="A214" s="201"/>
      <c r="B214" s="4" t="s">
        <v>3170</v>
      </c>
      <c r="C214" s="4">
        <v>210</v>
      </c>
      <c r="D214" s="4" t="s">
        <v>709</v>
      </c>
      <c r="E214" s="4" t="s">
        <v>710</v>
      </c>
      <c r="F214" s="4" t="s">
        <v>711</v>
      </c>
      <c r="G214" s="4" t="s">
        <v>72</v>
      </c>
      <c r="H214" s="4" t="s">
        <v>41</v>
      </c>
      <c r="I214" s="4" t="s">
        <v>84</v>
      </c>
      <c r="J214" s="4">
        <v>30210</v>
      </c>
      <c r="K214" s="202" t="s">
        <v>746</v>
      </c>
      <c r="L214" s="4">
        <v>14</v>
      </c>
      <c r="M214" s="4">
        <v>1</v>
      </c>
      <c r="N214" s="4" t="str">
        <f>_xlfn.CONCAT("DBX",((L214-1)*2),".1")</f>
        <v>DBX26.1</v>
      </c>
      <c r="O214" s="4" t="s">
        <v>781</v>
      </c>
      <c r="P214" s="4" t="s">
        <v>747</v>
      </c>
      <c r="Q214" s="4" t="s">
        <v>12</v>
      </c>
      <c r="R214" s="4"/>
      <c r="S214" s="4">
        <v>3922</v>
      </c>
      <c r="T214" s="4" t="s">
        <v>2551</v>
      </c>
      <c r="U214" s="4" t="s">
        <v>2548</v>
      </c>
      <c r="V214" s="4" t="s">
        <v>3066</v>
      </c>
      <c r="W214" s="4" t="s">
        <v>125</v>
      </c>
      <c r="X214" s="4">
        <f t="shared" si="3"/>
        <v>9</v>
      </c>
      <c r="Y214" s="4"/>
      <c r="Z214" s="4"/>
      <c r="AA214" s="4"/>
      <c r="AB214" s="4"/>
      <c r="AC214" s="4">
        <v>1</v>
      </c>
      <c r="AD214" s="4"/>
      <c r="AE214" s="4"/>
    </row>
    <row r="215" spans="1:31" x14ac:dyDescent="0.2">
      <c r="A215" s="201"/>
      <c r="B215" s="4" t="s">
        <v>3170</v>
      </c>
      <c r="C215" s="4">
        <v>211</v>
      </c>
      <c r="D215" s="4" t="s">
        <v>712</v>
      </c>
      <c r="E215" s="4" t="s">
        <v>713</v>
      </c>
      <c r="F215" s="4" t="s">
        <v>714</v>
      </c>
      <c r="G215" s="4" t="s">
        <v>72</v>
      </c>
      <c r="H215" s="4" t="s">
        <v>41</v>
      </c>
      <c r="I215" s="4" t="s">
        <v>84</v>
      </c>
      <c r="J215" s="4">
        <v>30211</v>
      </c>
      <c r="K215" s="202" t="s">
        <v>748</v>
      </c>
      <c r="L215" s="4">
        <v>14</v>
      </c>
      <c r="M215" s="4">
        <v>2</v>
      </c>
      <c r="N215" s="4" t="str">
        <f>_xlfn.CONCAT("DBX",((L215-1)*2),".2")</f>
        <v>DBX26.2</v>
      </c>
      <c r="O215" s="4" t="s">
        <v>781</v>
      </c>
      <c r="P215" s="4" t="s">
        <v>749</v>
      </c>
      <c r="Q215" s="4" t="s">
        <v>12</v>
      </c>
      <c r="R215" s="4"/>
      <c r="S215" s="4">
        <v>3922</v>
      </c>
      <c r="T215" s="4" t="s">
        <v>2551</v>
      </c>
      <c r="U215" s="4" t="s">
        <v>1756</v>
      </c>
      <c r="V215" s="4" t="s">
        <v>3070</v>
      </c>
      <c r="W215" s="4" t="s">
        <v>125</v>
      </c>
      <c r="X215" s="4">
        <f t="shared" si="3"/>
        <v>9</v>
      </c>
      <c r="Y215" s="4"/>
      <c r="Z215" s="4"/>
      <c r="AA215" s="4"/>
      <c r="AB215" s="4"/>
      <c r="AC215" s="4">
        <v>1</v>
      </c>
      <c r="AD215" s="4"/>
      <c r="AE215" s="4"/>
    </row>
    <row r="216" spans="1:31" x14ac:dyDescent="0.2">
      <c r="A216" s="201"/>
      <c r="B216" s="4" t="s">
        <v>3170</v>
      </c>
      <c r="C216" s="4">
        <v>212</v>
      </c>
      <c r="D216" s="4" t="s">
        <v>715</v>
      </c>
      <c r="E216" s="4" t="s">
        <v>716</v>
      </c>
      <c r="F216" s="4" t="s">
        <v>717</v>
      </c>
      <c r="G216" s="4" t="s">
        <v>72</v>
      </c>
      <c r="H216" s="4" t="s">
        <v>41</v>
      </c>
      <c r="I216" s="4" t="s">
        <v>84</v>
      </c>
      <c r="J216" s="4">
        <v>30212</v>
      </c>
      <c r="K216" s="202" t="s">
        <v>750</v>
      </c>
      <c r="L216" s="4">
        <v>14</v>
      </c>
      <c r="M216" s="4">
        <v>3</v>
      </c>
      <c r="N216" s="4" t="str">
        <f>_xlfn.CONCAT("DBX",((L216-1)*2),".3")</f>
        <v>DBX26.3</v>
      </c>
      <c r="O216" s="4" t="s">
        <v>781</v>
      </c>
      <c r="P216" s="4" t="s">
        <v>751</v>
      </c>
      <c r="Q216" s="4" t="s">
        <v>12</v>
      </c>
      <c r="R216" s="4"/>
      <c r="S216" s="4">
        <v>3922</v>
      </c>
      <c r="T216" s="4" t="s">
        <v>2551</v>
      </c>
      <c r="U216" s="4" t="s">
        <v>1757</v>
      </c>
      <c r="V216" s="4" t="s">
        <v>3071</v>
      </c>
      <c r="W216" s="4" t="s">
        <v>125</v>
      </c>
      <c r="X216" s="4">
        <f t="shared" si="3"/>
        <v>9</v>
      </c>
      <c r="Y216" s="4"/>
      <c r="Z216" s="4"/>
      <c r="AA216" s="4"/>
      <c r="AB216" s="4"/>
      <c r="AC216" s="4">
        <v>1</v>
      </c>
      <c r="AD216" s="4"/>
      <c r="AE216" s="4"/>
    </row>
    <row r="217" spans="1:31" x14ac:dyDescent="0.2">
      <c r="A217" s="201"/>
      <c r="B217" s="4" t="s">
        <v>3170</v>
      </c>
      <c r="C217" s="4">
        <v>213</v>
      </c>
      <c r="D217" s="4" t="s">
        <v>718</v>
      </c>
      <c r="E217" s="4" t="s">
        <v>719</v>
      </c>
      <c r="F217" s="4" t="s">
        <v>720</v>
      </c>
      <c r="G217" s="4" t="s">
        <v>72</v>
      </c>
      <c r="H217" s="4" t="s">
        <v>41</v>
      </c>
      <c r="I217" s="4" t="s">
        <v>84</v>
      </c>
      <c r="J217" s="4">
        <v>30213</v>
      </c>
      <c r="K217" s="202" t="s">
        <v>752</v>
      </c>
      <c r="L217" s="4">
        <v>14</v>
      </c>
      <c r="M217" s="4">
        <v>4</v>
      </c>
      <c r="N217" s="4" t="str">
        <f>_xlfn.CONCAT("DBX",((L217-1)*2),".4")</f>
        <v>DBX26.4</v>
      </c>
      <c r="O217" s="4" t="s">
        <v>781</v>
      </c>
      <c r="P217" s="4" t="s">
        <v>753</v>
      </c>
      <c r="Q217" s="4" t="s">
        <v>12</v>
      </c>
      <c r="R217" s="4"/>
      <c r="S217" s="4">
        <v>3922</v>
      </c>
      <c r="T217" s="4" t="s">
        <v>2551</v>
      </c>
      <c r="U217" s="4" t="s">
        <v>2549</v>
      </c>
      <c r="V217" s="4" t="s">
        <v>3065</v>
      </c>
      <c r="W217" s="4" t="s">
        <v>125</v>
      </c>
      <c r="X217" s="4">
        <f t="shared" si="3"/>
        <v>9</v>
      </c>
      <c r="Y217" s="4"/>
      <c r="Z217" s="4"/>
      <c r="AA217" s="4"/>
      <c r="AB217" s="4"/>
      <c r="AC217" s="4">
        <v>1</v>
      </c>
      <c r="AD217" s="4"/>
      <c r="AE217" s="4"/>
    </row>
    <row r="218" spans="1:31" x14ac:dyDescent="0.2">
      <c r="A218" s="201"/>
      <c r="B218" s="4" t="s">
        <v>3170</v>
      </c>
      <c r="C218" s="4">
        <v>214</v>
      </c>
      <c r="D218" s="4" t="s">
        <v>721</v>
      </c>
      <c r="E218" s="4" t="s">
        <v>722</v>
      </c>
      <c r="F218" s="4" t="s">
        <v>723</v>
      </c>
      <c r="G218" s="4" t="s">
        <v>72</v>
      </c>
      <c r="H218" s="4" t="s">
        <v>41</v>
      </c>
      <c r="I218" s="4" t="s">
        <v>84</v>
      </c>
      <c r="J218" s="4">
        <v>30214</v>
      </c>
      <c r="K218" s="202" t="s">
        <v>754</v>
      </c>
      <c r="L218" s="4">
        <v>14</v>
      </c>
      <c r="M218" s="4">
        <v>5</v>
      </c>
      <c r="N218" s="4" t="str">
        <f>_xlfn.CONCAT("DBX",((L218-1)*2),".5")</f>
        <v>DBX26.5</v>
      </c>
      <c r="O218" s="4" t="s">
        <v>781</v>
      </c>
      <c r="P218" s="4" t="s">
        <v>755</v>
      </c>
      <c r="Q218" s="4" t="s">
        <v>12</v>
      </c>
      <c r="R218" s="4"/>
      <c r="S218" s="4">
        <v>3922</v>
      </c>
      <c r="T218" s="4" t="s">
        <v>2551</v>
      </c>
      <c r="U218" s="4" t="s">
        <v>1735</v>
      </c>
      <c r="V218" s="4" t="s">
        <v>3065</v>
      </c>
      <c r="W218" s="4" t="s">
        <v>125</v>
      </c>
      <c r="X218" s="4">
        <f t="shared" si="3"/>
        <v>9</v>
      </c>
      <c r="Y218" s="4"/>
      <c r="Z218" s="4"/>
      <c r="AA218" s="4"/>
      <c r="AB218" s="4"/>
      <c r="AC218" s="4">
        <v>1</v>
      </c>
      <c r="AD218" s="4"/>
      <c r="AE218" s="4"/>
    </row>
    <row r="219" spans="1:31" x14ac:dyDescent="0.2">
      <c r="A219" s="201"/>
      <c r="B219" s="4" t="s">
        <v>34</v>
      </c>
      <c r="C219" s="4">
        <v>215</v>
      </c>
      <c r="D219" s="4"/>
      <c r="E219" s="4"/>
      <c r="F219" s="4"/>
      <c r="G219" s="4"/>
      <c r="H219" s="4"/>
      <c r="I219" s="4"/>
      <c r="J219" s="4">
        <v>30215</v>
      </c>
      <c r="K219" s="202"/>
      <c r="L219" s="4">
        <v>14</v>
      </c>
      <c r="M219" s="4">
        <v>6</v>
      </c>
      <c r="N219" s="4" t="str">
        <f>_xlfn.CONCAT("DBX",((L219-1)*2),".6")</f>
        <v>DBX26.6</v>
      </c>
      <c r="O219" s="4" t="s">
        <v>781</v>
      </c>
      <c r="P219" s="4"/>
      <c r="Q219" s="4"/>
      <c r="R219" s="4"/>
      <c r="S219" s="4"/>
      <c r="T219" s="4"/>
      <c r="U219" s="4"/>
      <c r="V219" s="4"/>
      <c r="W219" s="4"/>
      <c r="X219" s="4" t="e">
        <f t="shared" si="3"/>
        <v>#N/A</v>
      </c>
      <c r="Y219" s="4"/>
      <c r="Z219" s="4"/>
      <c r="AA219" s="4"/>
      <c r="AB219" s="4"/>
      <c r="AC219" s="4"/>
      <c r="AD219" s="4"/>
      <c r="AE219" s="4"/>
    </row>
    <row r="220" spans="1:31" x14ac:dyDescent="0.2">
      <c r="A220" s="201"/>
      <c r="B220" s="4" t="s">
        <v>3170</v>
      </c>
      <c r="C220" s="4">
        <v>216</v>
      </c>
      <c r="D220" s="4" t="s">
        <v>756</v>
      </c>
      <c r="E220" s="4" t="s">
        <v>757</v>
      </c>
      <c r="F220" s="4" t="s">
        <v>758</v>
      </c>
      <c r="G220" s="4" t="s">
        <v>72</v>
      </c>
      <c r="H220" s="4" t="s">
        <v>41</v>
      </c>
      <c r="I220" s="4" t="s">
        <v>84</v>
      </c>
      <c r="J220" s="4">
        <v>30216</v>
      </c>
      <c r="K220" s="202" t="s">
        <v>763</v>
      </c>
      <c r="L220" s="4">
        <v>14</v>
      </c>
      <c r="M220" s="4">
        <v>7</v>
      </c>
      <c r="N220" s="4" t="str">
        <f>_xlfn.CONCAT("DBX",((L220-1)*2),".7")</f>
        <v>DBX26.7</v>
      </c>
      <c r="O220" s="4" t="s">
        <v>781</v>
      </c>
      <c r="P220" s="4" t="s">
        <v>764</v>
      </c>
      <c r="Q220" s="4" t="s">
        <v>12</v>
      </c>
      <c r="R220" s="4"/>
      <c r="S220" s="4">
        <v>3922</v>
      </c>
      <c r="T220" s="4" t="s">
        <v>2551</v>
      </c>
      <c r="U220" s="4" t="s">
        <v>2288</v>
      </c>
      <c r="V220" s="4" t="s">
        <v>3162</v>
      </c>
      <c r="W220" s="4" t="s">
        <v>125</v>
      </c>
      <c r="X220" s="4">
        <f t="shared" si="3"/>
        <v>9</v>
      </c>
      <c r="Y220" s="4"/>
      <c r="Z220" s="4"/>
      <c r="AA220" s="4"/>
      <c r="AB220" s="4"/>
      <c r="AC220" s="4">
        <v>1</v>
      </c>
      <c r="AD220" s="4"/>
      <c r="AE220" s="4"/>
    </row>
    <row r="221" spans="1:31" x14ac:dyDescent="0.2">
      <c r="A221" s="201"/>
      <c r="B221" s="4" t="s">
        <v>104</v>
      </c>
      <c r="C221" s="4">
        <v>217</v>
      </c>
      <c r="D221" s="4" t="s">
        <v>591</v>
      </c>
      <c r="E221" s="4" t="s">
        <v>592</v>
      </c>
      <c r="F221" s="4" t="s">
        <v>759</v>
      </c>
      <c r="G221" s="4" t="s">
        <v>72</v>
      </c>
      <c r="H221" s="4" t="s">
        <v>41</v>
      </c>
      <c r="I221" s="4" t="s">
        <v>84</v>
      </c>
      <c r="J221" s="4">
        <v>30217</v>
      </c>
      <c r="K221" s="202" t="s">
        <v>765</v>
      </c>
      <c r="L221" s="4">
        <v>14</v>
      </c>
      <c r="M221" s="4">
        <v>8</v>
      </c>
      <c r="N221" s="4" t="str">
        <f>_xlfn.CONCAT("DBX",((L221-1)*2)+1,".0")</f>
        <v>DBX27.0</v>
      </c>
      <c r="O221" s="4" t="s">
        <v>781</v>
      </c>
      <c r="P221" s="4" t="s">
        <v>766</v>
      </c>
      <c r="Q221" s="4" t="s">
        <v>12</v>
      </c>
      <c r="R221" s="4"/>
      <c r="S221" s="4">
        <v>3922</v>
      </c>
      <c r="T221" s="4" t="s">
        <v>2551</v>
      </c>
      <c r="U221" s="4"/>
      <c r="V221" s="4"/>
      <c r="W221" s="4" t="s">
        <v>125</v>
      </c>
      <c r="X221" s="4">
        <f t="shared" si="3"/>
        <v>9</v>
      </c>
      <c r="Y221" s="4"/>
      <c r="Z221" s="4"/>
      <c r="AA221" s="4"/>
      <c r="AB221" s="4"/>
      <c r="AC221" s="4">
        <v>1</v>
      </c>
      <c r="AD221" s="4"/>
      <c r="AE221" s="4"/>
    </row>
    <row r="222" spans="1:31" x14ac:dyDescent="0.2">
      <c r="A222" s="201"/>
      <c r="B222" s="4" t="s">
        <v>3170</v>
      </c>
      <c r="C222" s="4">
        <v>218</v>
      </c>
      <c r="D222" s="4" t="s">
        <v>760</v>
      </c>
      <c r="E222" s="4" t="s">
        <v>761</v>
      </c>
      <c r="F222" s="4" t="s">
        <v>762</v>
      </c>
      <c r="G222" s="4" t="s">
        <v>72</v>
      </c>
      <c r="H222" s="4" t="s">
        <v>41</v>
      </c>
      <c r="I222" s="4" t="s">
        <v>84</v>
      </c>
      <c r="J222" s="4">
        <v>30218</v>
      </c>
      <c r="K222" s="202" t="s">
        <v>767</v>
      </c>
      <c r="L222" s="4">
        <v>14</v>
      </c>
      <c r="M222" s="4">
        <v>9</v>
      </c>
      <c r="N222" s="4" t="str">
        <f>_xlfn.CONCAT("DBX",((L222-1)*2)+1,".1")</f>
        <v>DBX27.1</v>
      </c>
      <c r="O222" s="4" t="s">
        <v>781</v>
      </c>
      <c r="P222" s="4" t="s">
        <v>768</v>
      </c>
      <c r="Q222" s="4" t="s">
        <v>12</v>
      </c>
      <c r="R222" s="4"/>
      <c r="S222" s="4">
        <v>3922</v>
      </c>
      <c r="T222" s="4" t="s">
        <v>2551</v>
      </c>
      <c r="U222" s="4" t="s">
        <v>2289</v>
      </c>
      <c r="V222" s="4" t="s">
        <v>3164</v>
      </c>
      <c r="W222" s="4" t="s">
        <v>125</v>
      </c>
      <c r="X222" s="4">
        <f t="shared" si="3"/>
        <v>9</v>
      </c>
      <c r="Y222" s="4"/>
      <c r="Z222" s="4"/>
      <c r="AA222" s="4"/>
      <c r="AB222" s="4"/>
      <c r="AC222" s="4">
        <v>1</v>
      </c>
      <c r="AD222" s="4"/>
      <c r="AE222" s="4"/>
    </row>
    <row r="223" spans="1:31" x14ac:dyDescent="0.2">
      <c r="A223" s="201"/>
      <c r="B223" s="4" t="s">
        <v>3170</v>
      </c>
      <c r="C223" s="4">
        <v>219</v>
      </c>
      <c r="D223" s="4" t="s">
        <v>772</v>
      </c>
      <c r="E223" s="4" t="s">
        <v>773</v>
      </c>
      <c r="F223" s="4" t="s">
        <v>2320</v>
      </c>
      <c r="G223" s="4" t="s">
        <v>72</v>
      </c>
      <c r="H223" s="4" t="s">
        <v>41</v>
      </c>
      <c r="I223" s="4" t="s">
        <v>84</v>
      </c>
      <c r="J223" s="4">
        <v>30219</v>
      </c>
      <c r="K223" s="202" t="s">
        <v>774</v>
      </c>
      <c r="L223" s="4">
        <v>14</v>
      </c>
      <c r="M223" s="4">
        <v>10</v>
      </c>
      <c r="N223" s="4" t="str">
        <f>_xlfn.CONCAT("DBX",((L223-1)*2)+1,".2")</f>
        <v>DBX27.2</v>
      </c>
      <c r="O223" s="4" t="s">
        <v>781</v>
      </c>
      <c r="P223" s="4" t="s">
        <v>775</v>
      </c>
      <c r="Q223" s="4" t="s">
        <v>12</v>
      </c>
      <c r="R223" s="4"/>
      <c r="S223" s="4">
        <v>3922</v>
      </c>
      <c r="T223" s="4" t="s">
        <v>2551</v>
      </c>
      <c r="U223" s="4"/>
      <c r="V223" s="4" t="s">
        <v>3161</v>
      </c>
      <c r="W223" s="4" t="s">
        <v>125</v>
      </c>
      <c r="X223" s="4">
        <f t="shared" si="3"/>
        <v>9</v>
      </c>
      <c r="Y223" s="4"/>
      <c r="Z223" s="4"/>
      <c r="AA223" s="4"/>
      <c r="AB223" s="4"/>
      <c r="AC223" s="4">
        <v>1</v>
      </c>
      <c r="AD223" s="4"/>
      <c r="AE223" s="4"/>
    </row>
    <row r="224" spans="1:31" x14ac:dyDescent="0.2">
      <c r="A224" s="201"/>
      <c r="B224" s="4" t="s">
        <v>3170</v>
      </c>
      <c r="C224" s="4">
        <v>220</v>
      </c>
      <c r="D224" s="4" t="s">
        <v>769</v>
      </c>
      <c r="E224" s="4" t="s">
        <v>770</v>
      </c>
      <c r="F224" s="4" t="s">
        <v>771</v>
      </c>
      <c r="G224" s="4" t="s">
        <v>72</v>
      </c>
      <c r="H224" s="4" t="s">
        <v>41</v>
      </c>
      <c r="I224" s="4" t="s">
        <v>84</v>
      </c>
      <c r="J224" s="4">
        <v>30220</v>
      </c>
      <c r="K224" s="202" t="s">
        <v>776</v>
      </c>
      <c r="L224" s="4">
        <v>14</v>
      </c>
      <c r="M224" s="4">
        <v>11</v>
      </c>
      <c r="N224" s="4" t="str">
        <f>_xlfn.CONCAT("DBX",((L224-1)*2)+1,".3")</f>
        <v>DBX27.3</v>
      </c>
      <c r="O224" s="4" t="s">
        <v>781</v>
      </c>
      <c r="P224" s="4" t="s">
        <v>777</v>
      </c>
      <c r="Q224" s="4" t="s">
        <v>12</v>
      </c>
      <c r="R224" s="4"/>
      <c r="S224" s="4">
        <v>3922</v>
      </c>
      <c r="T224" s="4" t="s">
        <v>2551</v>
      </c>
      <c r="U224" s="4"/>
      <c r="V224" s="4" t="s">
        <v>3061</v>
      </c>
      <c r="W224" s="4" t="s">
        <v>125</v>
      </c>
      <c r="X224" s="4">
        <f t="shared" si="3"/>
        <v>9</v>
      </c>
      <c r="Y224" s="4"/>
      <c r="Z224" s="4"/>
      <c r="AA224" s="4"/>
      <c r="AB224" s="4"/>
      <c r="AC224" s="4">
        <v>1</v>
      </c>
      <c r="AD224" s="4"/>
      <c r="AE224" s="4"/>
    </row>
    <row r="225" spans="1:31" x14ac:dyDescent="0.2">
      <c r="A225" s="201"/>
      <c r="B225" s="4" t="s">
        <v>34</v>
      </c>
      <c r="C225" s="4">
        <v>221</v>
      </c>
      <c r="D225" s="4"/>
      <c r="E225" s="4"/>
      <c r="F225" s="4"/>
      <c r="G225" s="4"/>
      <c r="H225" s="4"/>
      <c r="I225" s="4"/>
      <c r="J225" s="4">
        <v>30221</v>
      </c>
      <c r="K225" s="202"/>
      <c r="L225" s="4">
        <v>14</v>
      </c>
      <c r="M225" s="4">
        <v>12</v>
      </c>
      <c r="N225" s="4" t="str">
        <f>_xlfn.CONCAT("DBX",((L225-1)*2)+1,".4")</f>
        <v>DBX27.4</v>
      </c>
      <c r="O225" s="4" t="s">
        <v>781</v>
      </c>
      <c r="P225" s="4"/>
      <c r="Q225" s="4"/>
      <c r="R225" s="4"/>
      <c r="S225" s="4"/>
      <c r="T225" s="4"/>
      <c r="U225" s="4"/>
      <c r="V225" s="4"/>
      <c r="W225" s="4"/>
      <c r="X225" s="4" t="e">
        <f t="shared" si="3"/>
        <v>#N/A</v>
      </c>
      <c r="Y225" s="4"/>
      <c r="Z225" s="4"/>
      <c r="AA225" s="4"/>
      <c r="AB225" s="4"/>
      <c r="AC225" s="4"/>
      <c r="AD225" s="4"/>
      <c r="AE225" s="4"/>
    </row>
    <row r="226" spans="1:31" x14ac:dyDescent="0.2">
      <c r="A226" s="201"/>
      <c r="B226" s="4" t="s">
        <v>34</v>
      </c>
      <c r="C226" s="4">
        <v>222</v>
      </c>
      <c r="D226" s="4"/>
      <c r="E226" s="4"/>
      <c r="F226" s="4"/>
      <c r="G226" s="4"/>
      <c r="H226" s="4"/>
      <c r="I226" s="4"/>
      <c r="J226" s="4">
        <v>30222</v>
      </c>
      <c r="K226" s="202"/>
      <c r="L226" s="4">
        <v>14</v>
      </c>
      <c r="M226" s="4">
        <v>13</v>
      </c>
      <c r="N226" s="4" t="str">
        <f>_xlfn.CONCAT("DBX",((L226-1)*2)+1,".5")</f>
        <v>DBX27.5</v>
      </c>
      <c r="O226" s="4" t="s">
        <v>781</v>
      </c>
      <c r="P226" s="4"/>
      <c r="Q226" s="4"/>
      <c r="R226" s="4"/>
      <c r="S226" s="4"/>
      <c r="T226" s="4"/>
      <c r="U226" s="4"/>
      <c r="V226" s="4"/>
      <c r="W226" s="4"/>
      <c r="X226" s="4" t="e">
        <f t="shared" si="3"/>
        <v>#N/A</v>
      </c>
      <c r="Y226" s="4"/>
      <c r="Z226" s="4"/>
      <c r="AA226" s="4"/>
      <c r="AB226" s="4"/>
      <c r="AC226" s="4"/>
      <c r="AD226" s="4"/>
      <c r="AE226" s="4"/>
    </row>
    <row r="227" spans="1:31" x14ac:dyDescent="0.2">
      <c r="A227" s="201"/>
      <c r="B227" s="4" t="s">
        <v>34</v>
      </c>
      <c r="C227" s="4">
        <v>223</v>
      </c>
      <c r="D227" s="4"/>
      <c r="E227" s="4"/>
      <c r="F227" s="4"/>
      <c r="G227" s="4"/>
      <c r="H227" s="4"/>
      <c r="I227" s="4"/>
      <c r="J227" s="4">
        <v>30223</v>
      </c>
      <c r="K227" s="202"/>
      <c r="L227" s="4">
        <v>14</v>
      </c>
      <c r="M227" s="4">
        <v>14</v>
      </c>
      <c r="N227" s="4" t="str">
        <f>_xlfn.CONCAT("DBX",((L227-1)*2)+1,".6")</f>
        <v>DBX27.6</v>
      </c>
      <c r="O227" s="4" t="s">
        <v>781</v>
      </c>
      <c r="P227" s="4"/>
      <c r="Q227" s="4"/>
      <c r="R227" s="4"/>
      <c r="S227" s="4"/>
      <c r="T227" s="4"/>
      <c r="U227" s="4"/>
      <c r="V227" s="4"/>
      <c r="W227" s="4"/>
      <c r="X227" s="4" t="e">
        <f t="shared" si="3"/>
        <v>#N/A</v>
      </c>
      <c r="Y227" s="4"/>
      <c r="Z227" s="4"/>
      <c r="AA227" s="4"/>
      <c r="AB227" s="4"/>
      <c r="AC227" s="4"/>
      <c r="AD227" s="4"/>
      <c r="AE227" s="4"/>
    </row>
    <row r="228" spans="1:31" x14ac:dyDescent="0.2">
      <c r="A228" s="201"/>
      <c r="B228" s="4" t="s">
        <v>34</v>
      </c>
      <c r="C228" s="4">
        <v>224</v>
      </c>
      <c r="D228" s="4"/>
      <c r="E228" s="4"/>
      <c r="F228" s="4"/>
      <c r="G228" s="4"/>
      <c r="H228" s="4"/>
      <c r="I228" s="4"/>
      <c r="J228" s="4">
        <v>30224</v>
      </c>
      <c r="K228" s="202"/>
      <c r="L228" s="4">
        <v>14</v>
      </c>
      <c r="M228" s="4">
        <v>15</v>
      </c>
      <c r="N228" s="4" t="str">
        <f>_xlfn.CONCAT("DBX",((L228-1)*2)+1,".7")</f>
        <v>DBX27.7</v>
      </c>
      <c r="O228" s="4" t="s">
        <v>781</v>
      </c>
      <c r="P228" s="4"/>
      <c r="Q228" s="4"/>
      <c r="R228" s="4"/>
      <c r="S228" s="4"/>
      <c r="T228" s="4"/>
      <c r="U228" s="4"/>
      <c r="V228" s="4"/>
      <c r="W228" s="4"/>
      <c r="X228" s="4" t="e">
        <f t="shared" si="3"/>
        <v>#N/A</v>
      </c>
      <c r="Y228" s="4"/>
      <c r="Z228" s="4"/>
      <c r="AA228" s="4"/>
      <c r="AB228" s="4"/>
      <c r="AC228" s="4"/>
      <c r="AD228" s="4"/>
      <c r="AE228" s="4"/>
    </row>
    <row r="229" spans="1:31" x14ac:dyDescent="0.2">
      <c r="A229" s="201"/>
      <c r="B229" s="4" t="s">
        <v>34</v>
      </c>
      <c r="C229" s="4">
        <v>225</v>
      </c>
      <c r="D229" s="4"/>
      <c r="E229" s="4"/>
      <c r="F229" s="4"/>
      <c r="G229" s="4"/>
      <c r="H229" s="4"/>
      <c r="I229" s="4"/>
      <c r="J229" s="4">
        <v>30225</v>
      </c>
      <c r="K229" s="202"/>
      <c r="L229" s="4">
        <v>15</v>
      </c>
      <c r="M229" s="4">
        <v>0</v>
      </c>
      <c r="N229" s="4" t="str">
        <f>_xlfn.CONCAT("DBX",((L229-1)*2),".0")</f>
        <v>DBX28.0</v>
      </c>
      <c r="O229" s="4" t="s">
        <v>781</v>
      </c>
      <c r="P229" s="4"/>
      <c r="Q229" s="4"/>
      <c r="R229" s="4"/>
      <c r="S229" s="4"/>
      <c r="T229" s="4"/>
      <c r="U229" s="4"/>
      <c r="V229" s="4"/>
      <c r="W229" s="4"/>
      <c r="X229" s="4" t="e">
        <f t="shared" si="3"/>
        <v>#N/A</v>
      </c>
      <c r="Y229" s="4"/>
      <c r="Z229" s="4"/>
      <c r="AA229" s="4"/>
      <c r="AB229" s="4"/>
      <c r="AC229" s="4"/>
      <c r="AD229" s="4"/>
      <c r="AE229" s="4"/>
    </row>
    <row r="230" spans="1:31" x14ac:dyDescent="0.2">
      <c r="A230" s="201"/>
      <c r="B230" s="4" t="s">
        <v>34</v>
      </c>
      <c r="C230" s="4">
        <v>226</v>
      </c>
      <c r="D230" s="4"/>
      <c r="E230" s="4"/>
      <c r="F230" s="4"/>
      <c r="G230" s="4"/>
      <c r="H230" s="4"/>
      <c r="I230" s="4"/>
      <c r="J230" s="4">
        <v>30226</v>
      </c>
      <c r="K230" s="202"/>
      <c r="L230" s="4">
        <v>15</v>
      </c>
      <c r="M230" s="4">
        <v>1</v>
      </c>
      <c r="N230" s="4" t="str">
        <f>_xlfn.CONCAT("DBX",((L230-1)*2),".1")</f>
        <v>DBX28.1</v>
      </c>
      <c r="O230" s="4" t="s">
        <v>781</v>
      </c>
      <c r="P230" s="4"/>
      <c r="Q230" s="4"/>
      <c r="R230" s="4"/>
      <c r="S230" s="4"/>
      <c r="T230" s="4"/>
      <c r="U230" s="4"/>
      <c r="V230" s="4"/>
      <c r="W230" s="4"/>
      <c r="X230" s="4" t="e">
        <f t="shared" si="3"/>
        <v>#N/A</v>
      </c>
      <c r="Y230" s="4"/>
      <c r="Z230" s="4"/>
      <c r="AA230" s="4"/>
      <c r="AB230" s="4"/>
      <c r="AC230" s="4"/>
      <c r="AD230" s="4"/>
      <c r="AE230" s="4"/>
    </row>
    <row r="231" spans="1:31" x14ac:dyDescent="0.2">
      <c r="A231" s="201"/>
      <c r="B231" s="4" t="s">
        <v>34</v>
      </c>
      <c r="C231" s="4">
        <v>227</v>
      </c>
      <c r="D231" s="4"/>
      <c r="E231" s="4"/>
      <c r="F231" s="4"/>
      <c r="G231" s="4"/>
      <c r="H231" s="4"/>
      <c r="I231" s="4"/>
      <c r="J231" s="4">
        <v>30227</v>
      </c>
      <c r="K231" s="202"/>
      <c r="L231" s="4">
        <v>15</v>
      </c>
      <c r="M231" s="4">
        <v>2</v>
      </c>
      <c r="N231" s="4" t="str">
        <f>_xlfn.CONCAT("DBX",((L231-1)*2),".2")</f>
        <v>DBX28.2</v>
      </c>
      <c r="O231" s="4" t="s">
        <v>781</v>
      </c>
      <c r="P231" s="4"/>
      <c r="Q231" s="4"/>
      <c r="R231" s="4"/>
      <c r="S231" s="4"/>
      <c r="T231" s="4"/>
      <c r="U231" s="4"/>
      <c r="V231" s="4"/>
      <c r="W231" s="4"/>
      <c r="X231" s="4" t="e">
        <f t="shared" si="3"/>
        <v>#N/A</v>
      </c>
      <c r="Y231" s="4"/>
      <c r="Z231" s="4"/>
      <c r="AA231" s="4"/>
      <c r="AB231" s="4"/>
      <c r="AC231" s="4"/>
      <c r="AD231" s="4"/>
      <c r="AE231" s="4"/>
    </row>
    <row r="232" spans="1:31" x14ac:dyDescent="0.2">
      <c r="A232" s="201"/>
      <c r="B232" s="4" t="s">
        <v>34</v>
      </c>
      <c r="C232" s="4">
        <v>228</v>
      </c>
      <c r="D232" s="4"/>
      <c r="E232" s="4"/>
      <c r="F232" s="4"/>
      <c r="G232" s="4"/>
      <c r="H232" s="4"/>
      <c r="I232" s="4"/>
      <c r="J232" s="4">
        <v>30228</v>
      </c>
      <c r="K232" s="202"/>
      <c r="L232" s="4">
        <v>15</v>
      </c>
      <c r="M232" s="4">
        <v>3</v>
      </c>
      <c r="N232" s="4" t="str">
        <f>_xlfn.CONCAT("DBX",((L232-1)*2),".3")</f>
        <v>DBX28.3</v>
      </c>
      <c r="O232" s="4" t="s">
        <v>781</v>
      </c>
      <c r="P232" s="4"/>
      <c r="Q232" s="4"/>
      <c r="R232" s="4"/>
      <c r="S232" s="4"/>
      <c r="T232" s="4"/>
      <c r="U232" s="4"/>
      <c r="V232" s="4"/>
      <c r="W232" s="4"/>
      <c r="X232" s="4" t="e">
        <f t="shared" si="3"/>
        <v>#N/A</v>
      </c>
      <c r="Y232" s="4"/>
      <c r="Z232" s="4"/>
      <c r="AA232" s="4"/>
      <c r="AB232" s="4"/>
      <c r="AC232" s="4"/>
      <c r="AD232" s="4"/>
      <c r="AE232" s="4"/>
    </row>
    <row r="233" spans="1:31" s="244" customFormat="1" x14ac:dyDescent="0.2">
      <c r="A233" s="250"/>
      <c r="B233" s="251" t="s">
        <v>3349</v>
      </c>
      <c r="C233" s="242">
        <v>229</v>
      </c>
      <c r="D233" s="251" t="s">
        <v>3352</v>
      </c>
      <c r="E233" s="251" t="s">
        <v>3353</v>
      </c>
      <c r="F233" s="251" t="s">
        <v>3354</v>
      </c>
      <c r="G233" s="251" t="s">
        <v>72</v>
      </c>
      <c r="H233" s="251" t="s">
        <v>41</v>
      </c>
      <c r="I233" s="251" t="s">
        <v>40</v>
      </c>
      <c r="J233" s="242">
        <v>30229</v>
      </c>
      <c r="K233" s="252" t="s">
        <v>3355</v>
      </c>
      <c r="L233" s="251">
        <v>15</v>
      </c>
      <c r="M233" s="242">
        <v>4</v>
      </c>
      <c r="N233" s="242" t="str">
        <f>_xlfn.CONCAT("DBX",((L233-1)*2),".4")</f>
        <v>DBX28.4</v>
      </c>
      <c r="O233" s="242" t="s">
        <v>781</v>
      </c>
      <c r="P233" s="251" t="s">
        <v>11</v>
      </c>
      <c r="Q233" s="251" t="s">
        <v>12</v>
      </c>
      <c r="R233" s="251"/>
      <c r="S233" s="251">
        <v>3922</v>
      </c>
      <c r="T233" s="251" t="s">
        <v>2551</v>
      </c>
      <c r="U233" s="242"/>
      <c r="V233" s="242"/>
      <c r="W233" s="251" t="s">
        <v>129</v>
      </c>
      <c r="X233" s="242">
        <f t="shared" si="3"/>
        <v>13</v>
      </c>
      <c r="Y233" s="242"/>
      <c r="Z233" s="242"/>
      <c r="AA233" s="242"/>
      <c r="AB233" s="242"/>
      <c r="AC233" s="4">
        <v>1</v>
      </c>
      <c r="AD233" s="242"/>
      <c r="AE233" s="242"/>
    </row>
    <row r="234" spans="1:31" x14ac:dyDescent="0.2">
      <c r="A234" s="201"/>
      <c r="B234" s="4" t="s">
        <v>104</v>
      </c>
      <c r="C234" s="4">
        <v>230</v>
      </c>
      <c r="D234" s="4" t="s">
        <v>790</v>
      </c>
      <c r="E234" s="4" t="s">
        <v>789</v>
      </c>
      <c r="F234" s="4" t="s">
        <v>788</v>
      </c>
      <c r="G234" s="4" t="s">
        <v>72</v>
      </c>
      <c r="H234" s="4" t="s">
        <v>41</v>
      </c>
      <c r="I234" s="4" t="s">
        <v>84</v>
      </c>
      <c r="J234" s="4">
        <v>30230</v>
      </c>
      <c r="K234" s="202" t="s">
        <v>783</v>
      </c>
      <c r="L234" s="4">
        <v>15</v>
      </c>
      <c r="M234" s="4">
        <v>5</v>
      </c>
      <c r="N234" s="4" t="str">
        <f>_xlfn.CONCAT("DBX",((L234-1)*2),".5")</f>
        <v>DBX28.5</v>
      </c>
      <c r="O234" s="4" t="s">
        <v>781</v>
      </c>
      <c r="P234" s="4" t="s">
        <v>11</v>
      </c>
      <c r="Q234" s="4" t="s">
        <v>12</v>
      </c>
      <c r="R234" s="4"/>
      <c r="S234" s="4">
        <v>3922</v>
      </c>
      <c r="T234" s="4" t="s">
        <v>2551</v>
      </c>
      <c r="U234" s="4"/>
      <c r="V234" s="4"/>
      <c r="W234" s="4" t="s">
        <v>129</v>
      </c>
      <c r="X234" s="4">
        <f t="shared" si="3"/>
        <v>13</v>
      </c>
      <c r="Y234" s="4"/>
      <c r="Z234" s="4"/>
      <c r="AA234" s="4"/>
      <c r="AB234" s="4"/>
      <c r="AC234" s="4">
        <v>1</v>
      </c>
      <c r="AD234" s="4"/>
      <c r="AE234" s="4"/>
    </row>
    <row r="235" spans="1:31" x14ac:dyDescent="0.2">
      <c r="A235" s="201"/>
      <c r="B235" s="4" t="s">
        <v>104</v>
      </c>
      <c r="C235" s="4">
        <v>231</v>
      </c>
      <c r="D235" s="4" t="s">
        <v>784</v>
      </c>
      <c r="E235" s="4" t="s">
        <v>785</v>
      </c>
      <c r="F235" s="4" t="s">
        <v>786</v>
      </c>
      <c r="G235" s="4" t="s">
        <v>72</v>
      </c>
      <c r="H235" s="4" t="s">
        <v>41</v>
      </c>
      <c r="I235" s="4" t="s">
        <v>84</v>
      </c>
      <c r="J235" s="4">
        <v>30231</v>
      </c>
      <c r="K235" s="202" t="s">
        <v>787</v>
      </c>
      <c r="L235" s="4">
        <v>15</v>
      </c>
      <c r="M235" s="4">
        <v>6</v>
      </c>
      <c r="N235" s="4" t="str">
        <f>_xlfn.CONCAT("DBX",((L235-1)*2),".6")</f>
        <v>DBX28.6</v>
      </c>
      <c r="O235" s="4" t="s">
        <v>781</v>
      </c>
      <c r="P235" s="4" t="s">
        <v>11</v>
      </c>
      <c r="Q235" s="4" t="s">
        <v>12</v>
      </c>
      <c r="R235" s="4"/>
      <c r="S235" s="4">
        <v>3922</v>
      </c>
      <c r="T235" s="4" t="s">
        <v>2551</v>
      </c>
      <c r="U235" s="4"/>
      <c r="V235" s="4"/>
      <c r="W235" s="4" t="s">
        <v>129</v>
      </c>
      <c r="X235" s="4">
        <f t="shared" si="3"/>
        <v>13</v>
      </c>
      <c r="Y235" s="4"/>
      <c r="Z235" s="4"/>
      <c r="AA235" s="4"/>
      <c r="AB235" s="4"/>
      <c r="AC235" s="4">
        <v>1</v>
      </c>
      <c r="AD235" s="4"/>
      <c r="AE235" s="4"/>
    </row>
    <row r="236" spans="1:31" x14ac:dyDescent="0.2">
      <c r="A236" s="201"/>
      <c r="B236" s="4" t="s">
        <v>104</v>
      </c>
      <c r="C236" s="4">
        <v>232</v>
      </c>
      <c r="D236" s="4" t="s">
        <v>791</v>
      </c>
      <c r="E236" s="4" t="s">
        <v>792</v>
      </c>
      <c r="F236" s="4" t="s">
        <v>793</v>
      </c>
      <c r="G236" s="4" t="s">
        <v>72</v>
      </c>
      <c r="H236" s="4" t="s">
        <v>41</v>
      </c>
      <c r="I236" s="4" t="s">
        <v>84</v>
      </c>
      <c r="J236" s="4">
        <v>30232</v>
      </c>
      <c r="K236" s="202" t="s">
        <v>794</v>
      </c>
      <c r="L236" s="4">
        <v>15</v>
      </c>
      <c r="M236" s="4">
        <v>7</v>
      </c>
      <c r="N236" s="4" t="str">
        <f>_xlfn.CONCAT("DBX",((L236-1)*2),".7")</f>
        <v>DBX28.7</v>
      </c>
      <c r="O236" s="4" t="s">
        <v>781</v>
      </c>
      <c r="P236" s="4" t="s">
        <v>11</v>
      </c>
      <c r="Q236" s="4" t="s">
        <v>12</v>
      </c>
      <c r="R236" s="4"/>
      <c r="S236" s="4">
        <v>3922</v>
      </c>
      <c r="T236" s="4" t="s">
        <v>2551</v>
      </c>
      <c r="U236" s="4"/>
      <c r="V236" s="4"/>
      <c r="W236" s="4" t="s">
        <v>129</v>
      </c>
      <c r="X236" s="4">
        <f t="shared" si="3"/>
        <v>13</v>
      </c>
      <c r="Y236" s="4"/>
      <c r="Z236" s="4"/>
      <c r="AA236" s="4"/>
      <c r="AB236" s="4"/>
      <c r="AC236" s="4">
        <v>1</v>
      </c>
      <c r="AD236" s="4"/>
      <c r="AE236" s="4"/>
    </row>
    <row r="237" spans="1:31" x14ac:dyDescent="0.2">
      <c r="A237" s="201"/>
      <c r="B237" s="4" t="s">
        <v>104</v>
      </c>
      <c r="C237" s="4">
        <v>233</v>
      </c>
      <c r="D237" s="4" t="s">
        <v>795</v>
      </c>
      <c r="E237" s="4" t="s">
        <v>796</v>
      </c>
      <c r="F237" s="4" t="s">
        <v>797</v>
      </c>
      <c r="G237" s="4" t="s">
        <v>72</v>
      </c>
      <c r="H237" s="4" t="s">
        <v>41</v>
      </c>
      <c r="I237" s="4" t="s">
        <v>84</v>
      </c>
      <c r="J237" s="4">
        <v>30233</v>
      </c>
      <c r="K237" s="202" t="s">
        <v>798</v>
      </c>
      <c r="L237" s="4">
        <v>15</v>
      </c>
      <c r="M237" s="4">
        <v>8</v>
      </c>
      <c r="N237" s="4" t="str">
        <f>_xlfn.CONCAT("DBX",((L237-1)*2)+1,".0")</f>
        <v>DBX29.0</v>
      </c>
      <c r="O237" s="4" t="s">
        <v>781</v>
      </c>
      <c r="P237" s="4" t="s">
        <v>11</v>
      </c>
      <c r="Q237" s="4" t="s">
        <v>12</v>
      </c>
      <c r="R237" s="4"/>
      <c r="S237" s="4">
        <v>3922</v>
      </c>
      <c r="T237" s="4" t="s">
        <v>2551</v>
      </c>
      <c r="U237" s="4"/>
      <c r="V237" s="4"/>
      <c r="W237" s="4" t="s">
        <v>129</v>
      </c>
      <c r="X237" s="4">
        <f t="shared" si="3"/>
        <v>13</v>
      </c>
      <c r="Y237" s="4"/>
      <c r="Z237" s="4"/>
      <c r="AA237" s="4"/>
      <c r="AB237" s="4"/>
      <c r="AC237" s="4">
        <v>1</v>
      </c>
      <c r="AD237" s="4"/>
      <c r="AE237" s="4"/>
    </row>
    <row r="238" spans="1:31" x14ac:dyDescent="0.2">
      <c r="A238" s="201"/>
      <c r="B238" s="4" t="s">
        <v>3170</v>
      </c>
      <c r="C238" s="4">
        <v>234</v>
      </c>
      <c r="D238" s="4" t="s">
        <v>799</v>
      </c>
      <c r="E238" s="4" t="s">
        <v>800</v>
      </c>
      <c r="F238" s="4" t="s">
        <v>801</v>
      </c>
      <c r="G238" s="4" t="s">
        <v>72</v>
      </c>
      <c r="H238" s="4" t="s">
        <v>41</v>
      </c>
      <c r="I238" s="4" t="s">
        <v>84</v>
      </c>
      <c r="J238" s="4">
        <v>30234</v>
      </c>
      <c r="K238" s="202" t="s">
        <v>802</v>
      </c>
      <c r="L238" s="4">
        <v>15</v>
      </c>
      <c r="M238" s="4">
        <v>9</v>
      </c>
      <c r="N238" s="4" t="str">
        <f>_xlfn.CONCAT("DBX",((L238-1)*2)+1,".1")</f>
        <v>DBX29.1</v>
      </c>
      <c r="O238" s="4" t="s">
        <v>781</v>
      </c>
      <c r="P238" s="4" t="s">
        <v>11</v>
      </c>
      <c r="Q238" s="4" t="s">
        <v>12</v>
      </c>
      <c r="R238" s="4"/>
      <c r="S238" s="4">
        <v>3922</v>
      </c>
      <c r="T238" s="4" t="s">
        <v>2551</v>
      </c>
      <c r="U238" s="4"/>
      <c r="V238" s="4" t="s">
        <v>3066</v>
      </c>
      <c r="W238" s="4" t="s">
        <v>129</v>
      </c>
      <c r="X238" s="4">
        <f t="shared" si="3"/>
        <v>13</v>
      </c>
      <c r="Y238" s="4"/>
      <c r="Z238" s="4"/>
      <c r="AA238" s="4"/>
      <c r="AB238" s="4"/>
      <c r="AC238" s="4">
        <v>1</v>
      </c>
      <c r="AD238" s="4"/>
      <c r="AE238" s="4"/>
    </row>
    <row r="239" spans="1:31" x14ac:dyDescent="0.2">
      <c r="A239" s="201"/>
      <c r="B239" s="4" t="s">
        <v>3170</v>
      </c>
      <c r="C239" s="4">
        <v>235</v>
      </c>
      <c r="D239" s="4" t="s">
        <v>803</v>
      </c>
      <c r="E239" s="4" t="s">
        <v>804</v>
      </c>
      <c r="F239" s="4" t="s">
        <v>805</v>
      </c>
      <c r="G239" s="4" t="s">
        <v>72</v>
      </c>
      <c r="H239" s="4" t="s">
        <v>41</v>
      </c>
      <c r="I239" s="4" t="s">
        <v>84</v>
      </c>
      <c r="J239" s="4">
        <v>30235</v>
      </c>
      <c r="K239" s="202" t="s">
        <v>806</v>
      </c>
      <c r="L239" s="4">
        <v>15</v>
      </c>
      <c r="M239" s="4">
        <v>10</v>
      </c>
      <c r="N239" s="4" t="str">
        <f>_xlfn.CONCAT("DBX",((L239-1)*2)+1,".2")</f>
        <v>DBX29.2</v>
      </c>
      <c r="O239" s="4" t="s">
        <v>781</v>
      </c>
      <c r="P239" s="4" t="s">
        <v>11</v>
      </c>
      <c r="Q239" s="4" t="s">
        <v>12</v>
      </c>
      <c r="R239" s="4"/>
      <c r="S239" s="4">
        <v>3922</v>
      </c>
      <c r="T239" s="4" t="s">
        <v>2551</v>
      </c>
      <c r="U239" s="4"/>
      <c r="V239" s="4" t="s">
        <v>3065</v>
      </c>
      <c r="W239" s="4" t="s">
        <v>129</v>
      </c>
      <c r="X239" s="4">
        <f t="shared" si="3"/>
        <v>13</v>
      </c>
      <c r="Y239" s="4"/>
      <c r="Z239" s="4"/>
      <c r="AA239" s="4"/>
      <c r="AB239" s="4"/>
      <c r="AC239" s="4">
        <v>1</v>
      </c>
      <c r="AD239" s="4"/>
      <c r="AE239" s="4"/>
    </row>
    <row r="240" spans="1:31" x14ac:dyDescent="0.2">
      <c r="A240" s="201"/>
      <c r="B240" s="4" t="s">
        <v>33</v>
      </c>
      <c r="C240" s="4">
        <v>236</v>
      </c>
      <c r="D240" s="4" t="s">
        <v>879</v>
      </c>
      <c r="E240" s="4" t="s">
        <v>880</v>
      </c>
      <c r="F240" s="4" t="s">
        <v>2337</v>
      </c>
      <c r="G240" s="4" t="s">
        <v>72</v>
      </c>
      <c r="H240" s="4" t="s">
        <v>41</v>
      </c>
      <c r="I240" s="4" t="s">
        <v>84</v>
      </c>
      <c r="J240" s="4">
        <v>30236</v>
      </c>
      <c r="K240" s="202" t="s">
        <v>807</v>
      </c>
      <c r="L240" s="4">
        <v>15</v>
      </c>
      <c r="M240" s="4">
        <v>11</v>
      </c>
      <c r="N240" s="4" t="str">
        <f>_xlfn.CONCAT("DBX",((L240-1)*2)+1,".3")</f>
        <v>DBX29.3</v>
      </c>
      <c r="O240" s="4" t="s">
        <v>781</v>
      </c>
      <c r="P240" s="4" t="s">
        <v>11</v>
      </c>
      <c r="Q240" s="4" t="s">
        <v>12</v>
      </c>
      <c r="R240" s="4"/>
      <c r="S240" s="4">
        <v>3922</v>
      </c>
      <c r="T240" s="4" t="s">
        <v>2551</v>
      </c>
      <c r="U240" s="4"/>
      <c r="V240" s="4"/>
      <c r="W240" s="4" t="s">
        <v>129</v>
      </c>
      <c r="X240" s="4">
        <f t="shared" si="3"/>
        <v>13</v>
      </c>
      <c r="Y240" s="4"/>
      <c r="Z240" s="4"/>
      <c r="AA240" s="4"/>
      <c r="AB240" s="4"/>
      <c r="AC240" s="4">
        <v>1</v>
      </c>
      <c r="AD240" s="4"/>
      <c r="AE240" s="4"/>
    </row>
    <row r="241" spans="1:31" x14ac:dyDescent="0.2">
      <c r="A241" s="201"/>
      <c r="B241" s="4" t="s">
        <v>33</v>
      </c>
      <c r="C241" s="4">
        <v>237</v>
      </c>
      <c r="D241" s="4" t="s">
        <v>2405</v>
      </c>
      <c r="E241" s="4" t="s">
        <v>2406</v>
      </c>
      <c r="F241" s="4" t="s">
        <v>2408</v>
      </c>
      <c r="G241" s="4" t="s">
        <v>72</v>
      </c>
      <c r="H241" s="4" t="s">
        <v>41</v>
      </c>
      <c r="I241" s="4" t="s">
        <v>84</v>
      </c>
      <c r="J241" s="4">
        <v>30237</v>
      </c>
      <c r="K241" s="202" t="s">
        <v>2407</v>
      </c>
      <c r="L241" s="4">
        <v>15</v>
      </c>
      <c r="M241" s="4">
        <v>12</v>
      </c>
      <c r="N241" s="4" t="str">
        <f>_xlfn.CONCAT("DBX",((L241-1)*2)+1,".4")</f>
        <v>DBX29.4</v>
      </c>
      <c r="O241" s="4" t="s">
        <v>781</v>
      </c>
      <c r="P241" s="4" t="s">
        <v>11</v>
      </c>
      <c r="Q241" s="4" t="s">
        <v>12</v>
      </c>
      <c r="R241" s="4"/>
      <c r="S241" s="4">
        <v>3922</v>
      </c>
      <c r="T241" s="4" t="s">
        <v>2551</v>
      </c>
      <c r="U241" s="4"/>
      <c r="V241" s="4"/>
      <c r="W241" s="4" t="s">
        <v>129</v>
      </c>
      <c r="X241" s="4">
        <f t="shared" si="3"/>
        <v>13</v>
      </c>
      <c r="Y241" s="4"/>
      <c r="Z241" s="4"/>
      <c r="AA241" s="4"/>
      <c r="AB241" s="4"/>
      <c r="AC241" s="4">
        <v>1</v>
      </c>
      <c r="AD241" s="4"/>
      <c r="AE241" s="4"/>
    </row>
    <row r="242" spans="1:31" x14ac:dyDescent="0.2">
      <c r="A242" s="201"/>
      <c r="B242" s="4" t="s">
        <v>34</v>
      </c>
      <c r="C242" s="4">
        <v>238</v>
      </c>
      <c r="D242" s="4"/>
      <c r="E242" s="4"/>
      <c r="F242" s="4"/>
      <c r="G242" s="4"/>
      <c r="H242" s="4"/>
      <c r="I242" s="4"/>
      <c r="J242" s="4">
        <v>30238</v>
      </c>
      <c r="K242" s="202"/>
      <c r="L242" s="4">
        <v>15</v>
      </c>
      <c r="M242" s="4">
        <v>13</v>
      </c>
      <c r="N242" s="4" t="str">
        <f>_xlfn.CONCAT("DBX",((L242-1)*2)+1,".5")</f>
        <v>DBX29.5</v>
      </c>
      <c r="O242" s="4" t="s">
        <v>781</v>
      </c>
      <c r="P242" s="4"/>
      <c r="Q242" s="4"/>
      <c r="R242" s="4"/>
      <c r="S242" s="4"/>
      <c r="T242" s="4"/>
      <c r="U242" s="4"/>
      <c r="V242" s="4"/>
      <c r="W242" s="4"/>
      <c r="X242" s="4" t="e">
        <f t="shared" si="3"/>
        <v>#N/A</v>
      </c>
      <c r="Y242" s="4"/>
      <c r="Z242" s="4"/>
      <c r="AA242" s="4"/>
      <c r="AB242" s="4"/>
      <c r="AC242" s="4"/>
      <c r="AD242" s="4"/>
      <c r="AE242" s="4"/>
    </row>
    <row r="243" spans="1:31" x14ac:dyDescent="0.2">
      <c r="A243" s="201"/>
      <c r="B243" s="4" t="s">
        <v>34</v>
      </c>
      <c r="C243" s="4">
        <v>239</v>
      </c>
      <c r="D243" s="4"/>
      <c r="E243" s="4"/>
      <c r="F243" s="4"/>
      <c r="G243" s="4"/>
      <c r="H243" s="4"/>
      <c r="I243" s="4"/>
      <c r="J243" s="4">
        <v>30239</v>
      </c>
      <c r="K243" s="202"/>
      <c r="L243" s="4">
        <v>15</v>
      </c>
      <c r="M243" s="4">
        <v>14</v>
      </c>
      <c r="N243" s="4" t="str">
        <f>_xlfn.CONCAT("DBX",((L243-1)*2)+1,".6")</f>
        <v>DBX29.6</v>
      </c>
      <c r="O243" s="4" t="s">
        <v>781</v>
      </c>
      <c r="P243" s="4"/>
      <c r="Q243" s="4"/>
      <c r="R243" s="4"/>
      <c r="S243" s="4"/>
      <c r="T243" s="4"/>
      <c r="U243" s="4"/>
      <c r="V243" s="4"/>
      <c r="W243" s="4"/>
      <c r="X243" s="4" t="e">
        <f t="shared" si="3"/>
        <v>#N/A</v>
      </c>
      <c r="Y243" s="4"/>
      <c r="Z243" s="4"/>
      <c r="AA243" s="4"/>
      <c r="AB243" s="4"/>
      <c r="AC243" s="4"/>
      <c r="AD243" s="4"/>
      <c r="AE243" s="4"/>
    </row>
    <row r="244" spans="1:31" x14ac:dyDescent="0.2">
      <c r="A244" s="201"/>
      <c r="B244" s="4" t="s">
        <v>34</v>
      </c>
      <c r="C244" s="4">
        <v>240</v>
      </c>
      <c r="D244" s="4"/>
      <c r="E244" s="4"/>
      <c r="F244" s="4"/>
      <c r="G244" s="4"/>
      <c r="H244" s="4"/>
      <c r="I244" s="4"/>
      <c r="J244" s="4">
        <v>30240</v>
      </c>
      <c r="K244" s="202"/>
      <c r="L244" s="4">
        <v>15</v>
      </c>
      <c r="M244" s="4">
        <v>15</v>
      </c>
      <c r="N244" s="4" t="str">
        <f>_xlfn.CONCAT("DBX",((L244-1)*2)+1,".7")</f>
        <v>DBX29.7</v>
      </c>
      <c r="O244" s="4" t="s">
        <v>781</v>
      </c>
      <c r="P244" s="4"/>
      <c r="Q244" s="4"/>
      <c r="R244" s="4"/>
      <c r="S244" s="4"/>
      <c r="T244" s="4"/>
      <c r="U244" s="4"/>
      <c r="V244" s="4"/>
      <c r="W244" s="4"/>
      <c r="X244" s="4" t="e">
        <f t="shared" si="3"/>
        <v>#N/A</v>
      </c>
      <c r="Y244" s="4"/>
      <c r="Z244" s="4"/>
      <c r="AA244" s="4"/>
      <c r="AB244" s="4"/>
      <c r="AC244" s="4"/>
      <c r="AD244" s="4"/>
      <c r="AE244" s="4"/>
    </row>
    <row r="245" spans="1:31" x14ac:dyDescent="0.2">
      <c r="A245" s="201"/>
      <c r="B245" s="4" t="s">
        <v>34</v>
      </c>
      <c r="C245" s="4">
        <v>241</v>
      </c>
      <c r="D245" s="4"/>
      <c r="E245" s="4"/>
      <c r="F245" s="4"/>
      <c r="G245" s="4"/>
      <c r="H245" s="4"/>
      <c r="I245" s="4"/>
      <c r="J245" s="4">
        <v>30241</v>
      </c>
      <c r="K245" s="202"/>
      <c r="L245" s="4">
        <v>16</v>
      </c>
      <c r="M245" s="4">
        <v>0</v>
      </c>
      <c r="N245" s="4" t="str">
        <f>_xlfn.CONCAT("DBX",((L245-1)*2),".0")</f>
        <v>DBX30.0</v>
      </c>
      <c r="O245" s="4" t="s">
        <v>781</v>
      </c>
      <c r="P245" s="4"/>
      <c r="Q245" s="4"/>
      <c r="R245" s="4"/>
      <c r="S245" s="4"/>
      <c r="T245" s="4"/>
      <c r="U245" s="4"/>
      <c r="V245" s="4"/>
      <c r="W245" s="4"/>
      <c r="X245" s="4" t="e">
        <f t="shared" si="3"/>
        <v>#N/A</v>
      </c>
      <c r="Y245" s="4"/>
      <c r="Z245" s="4"/>
      <c r="AA245" s="4"/>
      <c r="AB245" s="4"/>
      <c r="AC245" s="4"/>
      <c r="AD245" s="4"/>
      <c r="AE245" s="4"/>
    </row>
    <row r="246" spans="1:31" x14ac:dyDescent="0.2">
      <c r="A246" s="201"/>
      <c r="B246" s="4" t="s">
        <v>3170</v>
      </c>
      <c r="C246" s="4">
        <v>242</v>
      </c>
      <c r="D246" s="4" t="s">
        <v>808</v>
      </c>
      <c r="E246" s="4" t="s">
        <v>809</v>
      </c>
      <c r="F246" s="4" t="s">
        <v>810</v>
      </c>
      <c r="G246" s="4" t="s">
        <v>72</v>
      </c>
      <c r="H246" s="4" t="s">
        <v>41</v>
      </c>
      <c r="I246" s="4" t="s">
        <v>84</v>
      </c>
      <c r="J246" s="4">
        <v>30242</v>
      </c>
      <c r="K246" s="202" t="s">
        <v>811</v>
      </c>
      <c r="L246" s="4">
        <v>16</v>
      </c>
      <c r="M246" s="4">
        <v>1</v>
      </c>
      <c r="N246" s="4" t="str">
        <f>_xlfn.CONCAT("DBX",((L246-1)*2),".1")</f>
        <v>DBX30.1</v>
      </c>
      <c r="O246" s="4" t="s">
        <v>781</v>
      </c>
      <c r="P246" s="4" t="s">
        <v>11</v>
      </c>
      <c r="Q246" s="4" t="s">
        <v>12</v>
      </c>
      <c r="R246" s="4"/>
      <c r="S246" s="4">
        <v>3922</v>
      </c>
      <c r="T246" s="4" t="s">
        <v>2551</v>
      </c>
      <c r="U246" s="4"/>
      <c r="V246" s="4" t="s">
        <v>3019</v>
      </c>
      <c r="W246" s="4" t="s">
        <v>129</v>
      </c>
      <c r="X246" s="4">
        <f t="shared" si="3"/>
        <v>13</v>
      </c>
      <c r="Y246" s="4"/>
      <c r="Z246" s="4"/>
      <c r="AA246" s="4"/>
      <c r="AB246" s="4"/>
      <c r="AC246" s="4">
        <v>1</v>
      </c>
      <c r="AD246" s="4"/>
      <c r="AE246" s="4"/>
    </row>
    <row r="247" spans="1:31" x14ac:dyDescent="0.2">
      <c r="A247" s="201"/>
      <c r="B247" s="4" t="s">
        <v>3170</v>
      </c>
      <c r="C247" s="4">
        <v>243</v>
      </c>
      <c r="D247" s="4" t="s">
        <v>813</v>
      </c>
      <c r="E247" s="4" t="s">
        <v>814</v>
      </c>
      <c r="F247" s="4" t="s">
        <v>815</v>
      </c>
      <c r="G247" s="4" t="s">
        <v>72</v>
      </c>
      <c r="H247" s="4" t="s">
        <v>41</v>
      </c>
      <c r="I247" s="4" t="s">
        <v>84</v>
      </c>
      <c r="J247" s="4">
        <v>30243</v>
      </c>
      <c r="K247" s="202" t="s">
        <v>812</v>
      </c>
      <c r="L247" s="4">
        <v>16</v>
      </c>
      <c r="M247" s="4">
        <v>2</v>
      </c>
      <c r="N247" s="4" t="str">
        <f>_xlfn.CONCAT("DBX",((L247-1)*2),".2")</f>
        <v>DBX30.2</v>
      </c>
      <c r="O247" s="4" t="s">
        <v>781</v>
      </c>
      <c r="P247" s="4" t="s">
        <v>11</v>
      </c>
      <c r="Q247" s="4" t="s">
        <v>12</v>
      </c>
      <c r="R247" s="4"/>
      <c r="S247" s="4">
        <v>3922</v>
      </c>
      <c r="T247" s="4" t="s">
        <v>2551</v>
      </c>
      <c r="U247" s="4"/>
      <c r="V247" s="4" t="s">
        <v>3020</v>
      </c>
      <c r="W247" s="4" t="s">
        <v>129</v>
      </c>
      <c r="X247" s="4">
        <f t="shared" si="3"/>
        <v>13</v>
      </c>
      <c r="Y247" s="4"/>
      <c r="Z247" s="4"/>
      <c r="AA247" s="4"/>
      <c r="AB247" s="4"/>
      <c r="AC247" s="4">
        <v>1</v>
      </c>
      <c r="AD247" s="4"/>
      <c r="AE247" s="4"/>
    </row>
    <row r="248" spans="1:31" x14ac:dyDescent="0.2">
      <c r="A248" s="201"/>
      <c r="B248" s="4" t="s">
        <v>33</v>
      </c>
      <c r="C248" s="4">
        <v>244</v>
      </c>
      <c r="D248" s="4" t="s">
        <v>2409</v>
      </c>
      <c r="E248" s="4" t="s">
        <v>2410</v>
      </c>
      <c r="F248" s="4" t="s">
        <v>2412</v>
      </c>
      <c r="G248" s="4" t="s">
        <v>72</v>
      </c>
      <c r="H248" s="4" t="s">
        <v>41</v>
      </c>
      <c r="I248" s="4" t="s">
        <v>84</v>
      </c>
      <c r="J248" s="4">
        <v>30244</v>
      </c>
      <c r="K248" s="202" t="s">
        <v>2411</v>
      </c>
      <c r="L248" s="4">
        <v>16</v>
      </c>
      <c r="M248" s="4">
        <v>3</v>
      </c>
      <c r="N248" s="4" t="str">
        <f>_xlfn.CONCAT("DBX",((L248-1)*2),".3")</f>
        <v>DBX30.3</v>
      </c>
      <c r="O248" s="4" t="s">
        <v>781</v>
      </c>
      <c r="P248" s="4" t="s">
        <v>11</v>
      </c>
      <c r="Q248" s="4" t="s">
        <v>12</v>
      </c>
      <c r="R248" s="4"/>
      <c r="S248" s="4">
        <v>3922</v>
      </c>
      <c r="T248" s="4" t="s">
        <v>2551</v>
      </c>
      <c r="U248" s="4"/>
      <c r="V248" s="4"/>
      <c r="W248" s="4" t="s">
        <v>129</v>
      </c>
      <c r="X248" s="4">
        <f t="shared" si="3"/>
        <v>13</v>
      </c>
      <c r="Y248" s="4"/>
      <c r="Z248" s="4"/>
      <c r="AA248" s="4"/>
      <c r="AB248" s="4"/>
      <c r="AC248" s="4">
        <v>1</v>
      </c>
      <c r="AD248" s="4"/>
      <c r="AE248" s="4"/>
    </row>
    <row r="249" spans="1:31" x14ac:dyDescent="0.2">
      <c r="A249" s="201"/>
      <c r="B249" s="4" t="s">
        <v>104</v>
      </c>
      <c r="C249" s="4">
        <v>245</v>
      </c>
      <c r="D249" s="4" t="s">
        <v>834</v>
      </c>
      <c r="E249" s="4" t="s">
        <v>836</v>
      </c>
      <c r="F249" s="4" t="s">
        <v>838</v>
      </c>
      <c r="G249" s="4" t="s">
        <v>72</v>
      </c>
      <c r="H249" s="4" t="s">
        <v>41</v>
      </c>
      <c r="I249" s="4" t="s">
        <v>84</v>
      </c>
      <c r="J249" s="4">
        <v>30245</v>
      </c>
      <c r="K249" s="202" t="s">
        <v>832</v>
      </c>
      <c r="L249" s="4">
        <v>16</v>
      </c>
      <c r="M249" s="4">
        <v>4</v>
      </c>
      <c r="N249" s="4" t="str">
        <f>_xlfn.CONCAT("DBX",((L249-1)*2),".4")</f>
        <v>DBX30.4</v>
      </c>
      <c r="O249" s="4" t="s">
        <v>781</v>
      </c>
      <c r="P249" s="4" t="s">
        <v>11</v>
      </c>
      <c r="Q249" s="4" t="s">
        <v>12</v>
      </c>
      <c r="R249" s="4"/>
      <c r="S249" s="4">
        <v>3922</v>
      </c>
      <c r="T249" s="4" t="s">
        <v>2551</v>
      </c>
      <c r="U249" s="4"/>
      <c r="V249" s="4"/>
      <c r="W249" s="4" t="s">
        <v>129</v>
      </c>
      <c r="X249" s="4">
        <f t="shared" si="3"/>
        <v>13</v>
      </c>
      <c r="Y249" s="4"/>
      <c r="Z249" s="4"/>
      <c r="AA249" s="4"/>
      <c r="AB249" s="4"/>
      <c r="AC249" s="4">
        <v>1</v>
      </c>
      <c r="AD249" s="4"/>
      <c r="AE249" s="4"/>
    </row>
    <row r="250" spans="1:31" x14ac:dyDescent="0.2">
      <c r="A250" s="201"/>
      <c r="B250" s="4" t="s">
        <v>104</v>
      </c>
      <c r="C250" s="4">
        <v>246</v>
      </c>
      <c r="D250" s="4" t="s">
        <v>835</v>
      </c>
      <c r="E250" s="4" t="s">
        <v>837</v>
      </c>
      <c r="F250" s="4" t="s">
        <v>839</v>
      </c>
      <c r="G250" s="4" t="s">
        <v>72</v>
      </c>
      <c r="H250" s="4" t="s">
        <v>41</v>
      </c>
      <c r="I250" s="4" t="s">
        <v>84</v>
      </c>
      <c r="J250" s="4">
        <v>30246</v>
      </c>
      <c r="K250" s="202" t="s">
        <v>833</v>
      </c>
      <c r="L250" s="4">
        <v>16</v>
      </c>
      <c r="M250" s="4">
        <v>5</v>
      </c>
      <c r="N250" s="4" t="str">
        <f>_xlfn.CONCAT("DBX",((L250-1)*2),".5")</f>
        <v>DBX30.5</v>
      </c>
      <c r="O250" s="4" t="s">
        <v>781</v>
      </c>
      <c r="P250" s="4" t="s">
        <v>11</v>
      </c>
      <c r="Q250" s="4" t="s">
        <v>12</v>
      </c>
      <c r="R250" s="4"/>
      <c r="S250" s="4">
        <v>3922</v>
      </c>
      <c r="T250" s="4" t="s">
        <v>2551</v>
      </c>
      <c r="U250" s="4"/>
      <c r="V250" s="4"/>
      <c r="W250" s="4" t="s">
        <v>129</v>
      </c>
      <c r="X250" s="4">
        <f t="shared" si="3"/>
        <v>13</v>
      </c>
      <c r="Y250" s="4"/>
      <c r="Z250" s="4"/>
      <c r="AA250" s="4"/>
      <c r="AB250" s="4"/>
      <c r="AC250" s="4">
        <v>1</v>
      </c>
      <c r="AD250" s="4"/>
      <c r="AE250" s="4"/>
    </row>
    <row r="251" spans="1:31" x14ac:dyDescent="0.2">
      <c r="A251" s="201"/>
      <c r="B251" s="4" t="s">
        <v>104</v>
      </c>
      <c r="C251" s="4">
        <v>247</v>
      </c>
      <c r="D251" s="4" t="s">
        <v>842</v>
      </c>
      <c r="E251" s="4" t="s">
        <v>844</v>
      </c>
      <c r="F251" s="4" t="s">
        <v>846</v>
      </c>
      <c r="G251" s="4" t="s">
        <v>72</v>
      </c>
      <c r="H251" s="4" t="s">
        <v>41</v>
      </c>
      <c r="I251" s="4" t="s">
        <v>84</v>
      </c>
      <c r="J251" s="4">
        <v>30247</v>
      </c>
      <c r="K251" s="202" t="s">
        <v>840</v>
      </c>
      <c r="L251" s="4">
        <v>16</v>
      </c>
      <c r="M251" s="4">
        <v>6</v>
      </c>
      <c r="N251" s="4" t="str">
        <f>_xlfn.CONCAT("DBX",((L251-1)*2),".6")</f>
        <v>DBX30.6</v>
      </c>
      <c r="O251" s="4" t="s">
        <v>781</v>
      </c>
      <c r="P251" s="4" t="s">
        <v>11</v>
      </c>
      <c r="Q251" s="4" t="s">
        <v>12</v>
      </c>
      <c r="R251" s="4"/>
      <c r="S251" s="4">
        <v>3922</v>
      </c>
      <c r="T251" s="4" t="s">
        <v>2551</v>
      </c>
      <c r="U251" s="4"/>
      <c r="V251" s="4"/>
      <c r="W251" s="4" t="s">
        <v>129</v>
      </c>
      <c r="X251" s="4">
        <f t="shared" si="3"/>
        <v>13</v>
      </c>
      <c r="Y251" s="4"/>
      <c r="Z251" s="4"/>
      <c r="AA251" s="4"/>
      <c r="AB251" s="4"/>
      <c r="AC251" s="4">
        <v>1</v>
      </c>
      <c r="AD251" s="4"/>
      <c r="AE251" s="4"/>
    </row>
    <row r="252" spans="1:31" x14ac:dyDescent="0.2">
      <c r="A252" s="201"/>
      <c r="B252" s="4" t="s">
        <v>104</v>
      </c>
      <c r="C252" s="4">
        <v>248</v>
      </c>
      <c r="D252" s="4" t="s">
        <v>843</v>
      </c>
      <c r="E252" s="4" t="s">
        <v>845</v>
      </c>
      <c r="F252" s="4" t="s">
        <v>847</v>
      </c>
      <c r="G252" s="4" t="s">
        <v>72</v>
      </c>
      <c r="H252" s="4" t="s">
        <v>41</v>
      </c>
      <c r="I252" s="4" t="s">
        <v>84</v>
      </c>
      <c r="J252" s="4">
        <v>30248</v>
      </c>
      <c r="K252" s="202" t="s">
        <v>841</v>
      </c>
      <c r="L252" s="4">
        <v>16</v>
      </c>
      <c r="M252" s="4">
        <v>7</v>
      </c>
      <c r="N252" s="4" t="str">
        <f>_xlfn.CONCAT("DBX",((L252-1)*2),".7")</f>
        <v>DBX30.7</v>
      </c>
      <c r="O252" s="4" t="s">
        <v>781</v>
      </c>
      <c r="P252" s="4" t="s">
        <v>11</v>
      </c>
      <c r="Q252" s="4" t="s">
        <v>12</v>
      </c>
      <c r="R252" s="4"/>
      <c r="S252" s="4">
        <v>3922</v>
      </c>
      <c r="T252" s="4" t="s">
        <v>2551</v>
      </c>
      <c r="U252" s="4"/>
      <c r="V252" s="4"/>
      <c r="W252" s="4" t="s">
        <v>129</v>
      </c>
      <c r="X252" s="4">
        <f t="shared" si="3"/>
        <v>13</v>
      </c>
      <c r="Y252" s="4"/>
      <c r="Z252" s="4"/>
      <c r="AA252" s="4"/>
      <c r="AB252" s="4"/>
      <c r="AC252" s="4">
        <v>1</v>
      </c>
      <c r="AD252" s="4"/>
      <c r="AE252" s="4"/>
    </row>
    <row r="253" spans="1:31" x14ac:dyDescent="0.2">
      <c r="A253" s="201"/>
      <c r="B253" s="4" t="s">
        <v>3170</v>
      </c>
      <c r="C253" s="4">
        <v>249</v>
      </c>
      <c r="D253" s="4" t="s">
        <v>848</v>
      </c>
      <c r="E253" s="4" t="s">
        <v>851</v>
      </c>
      <c r="F253" s="4" t="s">
        <v>854</v>
      </c>
      <c r="G253" s="4" t="s">
        <v>72</v>
      </c>
      <c r="H253" s="4" t="s">
        <v>41</v>
      </c>
      <c r="I253" s="4" t="s">
        <v>84</v>
      </c>
      <c r="J253" s="4">
        <v>30249</v>
      </c>
      <c r="K253" s="202" t="s">
        <v>857</v>
      </c>
      <c r="L253" s="4">
        <v>16</v>
      </c>
      <c r="M253" s="4">
        <v>8</v>
      </c>
      <c r="N253" s="4" t="str">
        <f>_xlfn.CONCAT("DBX",((L253-1)*2)+1,".0")</f>
        <v>DBX31.0</v>
      </c>
      <c r="O253" s="4" t="s">
        <v>781</v>
      </c>
      <c r="P253" s="4" t="s">
        <v>11</v>
      </c>
      <c r="Q253" s="4" t="s">
        <v>12</v>
      </c>
      <c r="R253" s="4"/>
      <c r="S253" s="4">
        <v>3922</v>
      </c>
      <c r="T253" s="4" t="s">
        <v>2551</v>
      </c>
      <c r="U253" s="4"/>
      <c r="V253" s="4" t="s">
        <v>3067</v>
      </c>
      <c r="W253" s="4" t="s">
        <v>129</v>
      </c>
      <c r="X253" s="4">
        <f t="shared" si="3"/>
        <v>13</v>
      </c>
      <c r="Y253" s="4"/>
      <c r="Z253" s="4"/>
      <c r="AA253" s="4"/>
      <c r="AB253" s="4"/>
      <c r="AC253" s="4">
        <v>1</v>
      </c>
      <c r="AD253" s="4"/>
      <c r="AE253" s="4"/>
    </row>
    <row r="254" spans="1:31" x14ac:dyDescent="0.2">
      <c r="A254" s="201"/>
      <c r="B254" s="4" t="s">
        <v>104</v>
      </c>
      <c r="C254" s="4">
        <v>250</v>
      </c>
      <c r="D254" s="4" t="s">
        <v>849</v>
      </c>
      <c r="E254" s="4" t="s">
        <v>852</v>
      </c>
      <c r="F254" s="4" t="s">
        <v>855</v>
      </c>
      <c r="G254" s="4" t="s">
        <v>72</v>
      </c>
      <c r="H254" s="4" t="s">
        <v>41</v>
      </c>
      <c r="I254" s="4" t="s">
        <v>84</v>
      </c>
      <c r="J254" s="4">
        <v>30250</v>
      </c>
      <c r="K254" s="202" t="s">
        <v>858</v>
      </c>
      <c r="L254" s="4">
        <v>16</v>
      </c>
      <c r="M254" s="4">
        <v>9</v>
      </c>
      <c r="N254" s="4" t="str">
        <f>_xlfn.CONCAT("DBX",((L254-1)*2)+1,".1")</f>
        <v>DBX31.1</v>
      </c>
      <c r="O254" s="4" t="s">
        <v>781</v>
      </c>
      <c r="P254" s="4" t="s">
        <v>11</v>
      </c>
      <c r="Q254" s="4" t="s">
        <v>12</v>
      </c>
      <c r="R254" s="4"/>
      <c r="S254" s="4">
        <v>3922</v>
      </c>
      <c r="T254" s="4" t="s">
        <v>2551</v>
      </c>
      <c r="U254" s="4"/>
      <c r="V254" s="4"/>
      <c r="W254" s="4" t="s">
        <v>129</v>
      </c>
      <c r="X254" s="4">
        <f t="shared" si="3"/>
        <v>13</v>
      </c>
      <c r="Y254" s="4"/>
      <c r="Z254" s="4"/>
      <c r="AA254" s="4"/>
      <c r="AB254" s="4"/>
      <c r="AC254" s="4">
        <v>1</v>
      </c>
      <c r="AD254" s="4"/>
      <c r="AE254" s="4"/>
    </row>
    <row r="255" spans="1:31" s="244" customFormat="1" x14ac:dyDescent="0.2">
      <c r="A255" s="201"/>
      <c r="B255" s="4" t="s">
        <v>3309</v>
      </c>
      <c r="C255" s="4">
        <v>251</v>
      </c>
      <c r="D255" s="4" t="s">
        <v>850</v>
      </c>
      <c r="E255" s="4" t="s">
        <v>853</v>
      </c>
      <c r="F255" s="4" t="s">
        <v>856</v>
      </c>
      <c r="G255" s="4" t="s">
        <v>72</v>
      </c>
      <c r="H255" s="4" t="s">
        <v>41</v>
      </c>
      <c r="I255" s="4" t="s">
        <v>84</v>
      </c>
      <c r="J255" s="4">
        <v>30251</v>
      </c>
      <c r="K255" s="247" t="s">
        <v>859</v>
      </c>
      <c r="L255" s="4">
        <v>16</v>
      </c>
      <c r="M255" s="4">
        <v>10</v>
      </c>
      <c r="N255" s="4" t="str">
        <f>_xlfn.CONCAT("DBX",((L255-1)*2)+1,".2")</f>
        <v>DBX31.2</v>
      </c>
      <c r="O255" s="4" t="s">
        <v>781</v>
      </c>
      <c r="P255" s="4" t="s">
        <v>11</v>
      </c>
      <c r="Q255" s="4" t="s">
        <v>12</v>
      </c>
      <c r="R255" s="4"/>
      <c r="S255" s="4">
        <v>3922</v>
      </c>
      <c r="T255" s="4" t="s">
        <v>2551</v>
      </c>
      <c r="U255" s="242"/>
      <c r="V255" s="245"/>
      <c r="W255" s="242" t="s">
        <v>129</v>
      </c>
      <c r="X255" s="242">
        <f t="shared" si="3"/>
        <v>13</v>
      </c>
      <c r="Y255" s="242"/>
      <c r="Z255" s="242"/>
      <c r="AA255" s="242"/>
      <c r="AB255" s="242"/>
      <c r="AC255" s="4">
        <v>1</v>
      </c>
      <c r="AD255" s="242"/>
      <c r="AE255" s="242"/>
    </row>
    <row r="256" spans="1:31" x14ac:dyDescent="0.2">
      <c r="A256" s="201"/>
      <c r="B256" s="4" t="s">
        <v>88</v>
      </c>
      <c r="C256" s="4">
        <v>252</v>
      </c>
      <c r="D256" s="4" t="s">
        <v>2559</v>
      </c>
      <c r="E256" s="4" t="s">
        <v>2560</v>
      </c>
      <c r="F256" s="4" t="s">
        <v>2561</v>
      </c>
      <c r="G256" s="4" t="s">
        <v>72</v>
      </c>
      <c r="H256" s="4" t="s">
        <v>41</v>
      </c>
      <c r="I256" s="4" t="s">
        <v>84</v>
      </c>
      <c r="J256" s="4">
        <v>30252</v>
      </c>
      <c r="K256" s="202" t="s">
        <v>2562</v>
      </c>
      <c r="L256" s="4">
        <v>16</v>
      </c>
      <c r="M256" s="4">
        <v>11</v>
      </c>
      <c r="N256" s="4" t="str">
        <f>_xlfn.CONCAT("DBX",((L256-1)*2)+1,".3")</f>
        <v>DBX31.3</v>
      </c>
      <c r="O256" s="4" t="s">
        <v>781</v>
      </c>
      <c r="P256" s="4" t="s">
        <v>11</v>
      </c>
      <c r="Q256" s="4" t="s">
        <v>12</v>
      </c>
      <c r="R256" s="4"/>
      <c r="S256" s="4">
        <v>3922</v>
      </c>
      <c r="T256" s="4" t="s">
        <v>2551</v>
      </c>
      <c r="U256" s="4"/>
      <c r="V256" s="4"/>
      <c r="W256" s="4" t="s">
        <v>129</v>
      </c>
      <c r="X256" s="4">
        <f t="shared" si="3"/>
        <v>13</v>
      </c>
      <c r="Y256" s="4"/>
      <c r="Z256" s="4"/>
      <c r="AA256" s="4"/>
      <c r="AB256" s="4"/>
      <c r="AC256" s="4">
        <v>1</v>
      </c>
      <c r="AD256" s="4"/>
      <c r="AE256" s="4"/>
    </row>
    <row r="257" spans="1:31" x14ac:dyDescent="0.2">
      <c r="A257" s="201"/>
      <c r="B257" s="4" t="s">
        <v>34</v>
      </c>
      <c r="C257" s="4">
        <v>253</v>
      </c>
      <c r="D257" s="4"/>
      <c r="E257" s="4"/>
      <c r="F257" s="4"/>
      <c r="G257" s="4"/>
      <c r="H257" s="4"/>
      <c r="I257" s="4"/>
      <c r="J257" s="4">
        <v>30253</v>
      </c>
      <c r="K257" s="202"/>
      <c r="L257" s="4">
        <v>16</v>
      </c>
      <c r="M257" s="4">
        <v>12</v>
      </c>
      <c r="N257" s="4" t="str">
        <f>_xlfn.CONCAT("DBX",((L257-1)*2)+1,".4")</f>
        <v>DBX31.4</v>
      </c>
      <c r="O257" s="4" t="s">
        <v>781</v>
      </c>
      <c r="P257" s="4"/>
      <c r="Q257" s="4"/>
      <c r="R257" s="4"/>
      <c r="S257" s="4"/>
      <c r="T257" s="4"/>
      <c r="U257" s="4"/>
      <c r="V257" s="4"/>
      <c r="W257" s="4"/>
      <c r="X257" s="4" t="e">
        <f t="shared" si="3"/>
        <v>#N/A</v>
      </c>
      <c r="Y257" s="4"/>
      <c r="Z257" s="4"/>
      <c r="AA257" s="4"/>
      <c r="AB257" s="4"/>
      <c r="AC257" s="4"/>
      <c r="AD257" s="4"/>
      <c r="AE257" s="4"/>
    </row>
    <row r="258" spans="1:31" x14ac:dyDescent="0.2">
      <c r="A258" s="201"/>
      <c r="B258" s="4" t="s">
        <v>34</v>
      </c>
      <c r="C258" s="4">
        <v>254</v>
      </c>
      <c r="D258" s="4"/>
      <c r="E258" s="4"/>
      <c r="F258" s="4"/>
      <c r="G258" s="4"/>
      <c r="H258" s="4"/>
      <c r="I258" s="4"/>
      <c r="J258" s="4">
        <v>30254</v>
      </c>
      <c r="K258" s="202"/>
      <c r="L258" s="4">
        <v>16</v>
      </c>
      <c r="M258" s="4">
        <v>13</v>
      </c>
      <c r="N258" s="4" t="str">
        <f>_xlfn.CONCAT("DBX",((L258-1)*2)+1,".5")</f>
        <v>DBX31.5</v>
      </c>
      <c r="O258" s="4" t="s">
        <v>781</v>
      </c>
      <c r="P258" s="4"/>
      <c r="Q258" s="4"/>
      <c r="R258" s="4"/>
      <c r="S258" s="4"/>
      <c r="T258" s="4"/>
      <c r="U258" s="4"/>
      <c r="V258" s="4"/>
      <c r="W258" s="4"/>
      <c r="X258" s="4" t="e">
        <f t="shared" si="3"/>
        <v>#N/A</v>
      </c>
      <c r="Y258" s="4"/>
      <c r="Z258" s="4"/>
      <c r="AA258" s="4"/>
      <c r="AB258" s="4"/>
      <c r="AC258" s="4"/>
      <c r="AD258" s="4"/>
      <c r="AE258" s="4"/>
    </row>
    <row r="259" spans="1:31" x14ac:dyDescent="0.2">
      <c r="A259" s="201"/>
      <c r="B259" s="4" t="s">
        <v>34</v>
      </c>
      <c r="C259" s="4">
        <v>255</v>
      </c>
      <c r="D259" s="4"/>
      <c r="E259" s="4"/>
      <c r="F259" s="4"/>
      <c r="G259" s="4"/>
      <c r="H259" s="4"/>
      <c r="I259" s="4"/>
      <c r="J259" s="4">
        <v>30255</v>
      </c>
      <c r="K259" s="202"/>
      <c r="L259" s="4">
        <v>16</v>
      </c>
      <c r="M259" s="4">
        <v>14</v>
      </c>
      <c r="N259" s="4" t="str">
        <f>_xlfn.CONCAT("DBX",((L259-1)*2)+1,".6")</f>
        <v>DBX31.6</v>
      </c>
      <c r="O259" s="4" t="s">
        <v>781</v>
      </c>
      <c r="P259" s="4"/>
      <c r="Q259" s="4"/>
      <c r="R259" s="4"/>
      <c r="S259" s="4"/>
      <c r="T259" s="4"/>
      <c r="U259" s="4"/>
      <c r="V259" s="4"/>
      <c r="W259" s="4"/>
      <c r="X259" s="4" t="e">
        <f t="shared" si="3"/>
        <v>#N/A</v>
      </c>
      <c r="Y259" s="4"/>
      <c r="Z259" s="4"/>
      <c r="AA259" s="4"/>
      <c r="AB259" s="4"/>
      <c r="AC259" s="4"/>
      <c r="AD259" s="4"/>
      <c r="AE259" s="4"/>
    </row>
    <row r="260" spans="1:31" x14ac:dyDescent="0.2">
      <c r="A260" s="201"/>
      <c r="B260" s="4" t="s">
        <v>34</v>
      </c>
      <c r="C260" s="4">
        <v>256</v>
      </c>
      <c r="D260" s="4"/>
      <c r="E260" s="4"/>
      <c r="F260" s="4"/>
      <c r="G260" s="4"/>
      <c r="H260" s="4"/>
      <c r="I260" s="4"/>
      <c r="J260" s="4">
        <v>30256</v>
      </c>
      <c r="K260" s="202"/>
      <c r="L260" s="4">
        <v>16</v>
      </c>
      <c r="M260" s="4">
        <v>15</v>
      </c>
      <c r="N260" s="4" t="str">
        <f>_xlfn.CONCAT("DBX",((L260-1)*2)+1,".7")</f>
        <v>DBX31.7</v>
      </c>
      <c r="O260" s="4" t="s">
        <v>781</v>
      </c>
      <c r="P260" s="4"/>
      <c r="Q260" s="4"/>
      <c r="R260" s="4"/>
      <c r="S260" s="4"/>
      <c r="T260" s="4"/>
      <c r="U260" s="4"/>
      <c r="V260" s="4"/>
      <c r="W260" s="4"/>
      <c r="X260" s="4" t="e">
        <f t="shared" si="3"/>
        <v>#N/A</v>
      </c>
      <c r="Y260" s="4"/>
      <c r="Z260" s="4"/>
      <c r="AA260" s="4"/>
      <c r="AB260" s="4"/>
      <c r="AC260" s="4"/>
      <c r="AD260" s="4"/>
      <c r="AE260" s="4"/>
    </row>
    <row r="261" spans="1:31" x14ac:dyDescent="0.2">
      <c r="A261" s="201"/>
      <c r="B261" s="4" t="s">
        <v>34</v>
      </c>
      <c r="C261" s="4">
        <v>257</v>
      </c>
      <c r="D261" s="4"/>
      <c r="E261" s="4"/>
      <c r="F261" s="4"/>
      <c r="G261" s="4"/>
      <c r="H261" s="4"/>
      <c r="I261" s="4"/>
      <c r="J261" s="4">
        <v>30257</v>
      </c>
      <c r="K261" s="202"/>
      <c r="L261" s="4">
        <v>17</v>
      </c>
      <c r="M261" s="4">
        <v>0</v>
      </c>
      <c r="N261" s="4" t="str">
        <f>_xlfn.CONCAT("DBX",((L261-1)*2),".0")</f>
        <v>DBX32.0</v>
      </c>
      <c r="O261" s="4" t="s">
        <v>781</v>
      </c>
      <c r="P261" s="4"/>
      <c r="Q261" s="4"/>
      <c r="R261" s="4"/>
      <c r="S261" s="4"/>
      <c r="T261" s="4"/>
      <c r="U261" s="4"/>
      <c r="V261" s="4"/>
      <c r="W261" s="4"/>
      <c r="X261" s="4" t="e">
        <f t="shared" ref="X261:X324" si="4">VLOOKUP(W261,$W$1609:$X$1639,2,FALSE)</f>
        <v>#N/A</v>
      </c>
      <c r="Y261" s="4"/>
      <c r="Z261" s="4"/>
      <c r="AA261" s="4"/>
      <c r="AB261" s="4"/>
      <c r="AC261" s="4"/>
      <c r="AD261" s="4"/>
      <c r="AE261" s="4"/>
    </row>
    <row r="262" spans="1:31" x14ac:dyDescent="0.2">
      <c r="A262" s="201"/>
      <c r="B262" s="4" t="s">
        <v>34</v>
      </c>
      <c r="C262" s="4">
        <v>258</v>
      </c>
      <c r="D262" s="4"/>
      <c r="E262" s="4"/>
      <c r="F262" s="4"/>
      <c r="G262" s="4"/>
      <c r="H262" s="4"/>
      <c r="I262" s="4"/>
      <c r="J262" s="4">
        <v>30258</v>
      </c>
      <c r="K262" s="202"/>
      <c r="L262" s="4">
        <v>17</v>
      </c>
      <c r="M262" s="4">
        <v>1</v>
      </c>
      <c r="N262" s="4" t="str">
        <f>_xlfn.CONCAT("DBX",((L262-1)*2),".1")</f>
        <v>DBX32.1</v>
      </c>
      <c r="O262" s="4" t="s">
        <v>781</v>
      </c>
      <c r="P262" s="4"/>
      <c r="Q262" s="4"/>
      <c r="R262" s="4"/>
      <c r="S262" s="4"/>
      <c r="T262" s="4"/>
      <c r="U262" s="4"/>
      <c r="V262" s="4"/>
      <c r="W262" s="4"/>
      <c r="X262" s="4" t="e">
        <f t="shared" si="4"/>
        <v>#N/A</v>
      </c>
      <c r="Y262" s="4"/>
      <c r="Z262" s="4"/>
      <c r="AA262" s="4"/>
      <c r="AB262" s="4"/>
      <c r="AC262" s="4"/>
      <c r="AD262" s="4"/>
      <c r="AE262" s="4"/>
    </row>
    <row r="263" spans="1:31" x14ac:dyDescent="0.2">
      <c r="A263" s="201"/>
      <c r="B263" s="4" t="s">
        <v>34</v>
      </c>
      <c r="C263" s="4">
        <v>259</v>
      </c>
      <c r="D263" s="4"/>
      <c r="E263" s="4"/>
      <c r="F263" s="4"/>
      <c r="G263" s="4"/>
      <c r="H263" s="4"/>
      <c r="I263" s="4"/>
      <c r="J263" s="4">
        <v>30259</v>
      </c>
      <c r="K263" s="202"/>
      <c r="L263" s="4">
        <v>17</v>
      </c>
      <c r="M263" s="4">
        <v>2</v>
      </c>
      <c r="N263" s="4" t="str">
        <f>_xlfn.CONCAT("DBX",((L263-1)*2),".2")</f>
        <v>DBX32.2</v>
      </c>
      <c r="O263" s="4" t="s">
        <v>781</v>
      </c>
      <c r="P263" s="4"/>
      <c r="Q263" s="4"/>
      <c r="R263" s="4"/>
      <c r="S263" s="4"/>
      <c r="T263" s="4"/>
      <c r="U263" s="4"/>
      <c r="V263" s="4"/>
      <c r="W263" s="4"/>
      <c r="X263" s="4" t="e">
        <f t="shared" si="4"/>
        <v>#N/A</v>
      </c>
      <c r="Y263" s="4"/>
      <c r="Z263" s="4"/>
      <c r="AA263" s="4"/>
      <c r="AB263" s="4"/>
      <c r="AC263" s="4"/>
      <c r="AD263" s="4"/>
      <c r="AE263" s="4"/>
    </row>
    <row r="264" spans="1:31" x14ac:dyDescent="0.2">
      <c r="A264" s="201"/>
      <c r="B264" s="4" t="s">
        <v>34</v>
      </c>
      <c r="C264" s="4">
        <v>260</v>
      </c>
      <c r="D264" s="4"/>
      <c r="E264" s="4"/>
      <c r="F264" s="4"/>
      <c r="G264" s="4"/>
      <c r="H264" s="4"/>
      <c r="I264" s="4"/>
      <c r="J264" s="4">
        <v>30260</v>
      </c>
      <c r="K264" s="202"/>
      <c r="L264" s="4">
        <v>17</v>
      </c>
      <c r="M264" s="4">
        <v>3</v>
      </c>
      <c r="N264" s="4" t="str">
        <f>_xlfn.CONCAT("DBX",((L264-1)*2),".3")</f>
        <v>DBX32.3</v>
      </c>
      <c r="O264" s="4" t="s">
        <v>781</v>
      </c>
      <c r="P264" s="4"/>
      <c r="Q264" s="4"/>
      <c r="R264" s="4"/>
      <c r="S264" s="4"/>
      <c r="T264" s="4"/>
      <c r="U264" s="4"/>
      <c r="V264" s="4"/>
      <c r="W264" s="4"/>
      <c r="X264" s="4" t="e">
        <f t="shared" si="4"/>
        <v>#N/A</v>
      </c>
      <c r="Y264" s="4"/>
      <c r="Z264" s="4"/>
      <c r="AA264" s="4"/>
      <c r="AB264" s="4"/>
      <c r="AC264" s="4"/>
      <c r="AD264" s="4"/>
      <c r="AE264" s="4"/>
    </row>
    <row r="265" spans="1:31" x14ac:dyDescent="0.2">
      <c r="A265" s="201"/>
      <c r="B265" s="4" t="s">
        <v>34</v>
      </c>
      <c r="C265" s="4">
        <v>261</v>
      </c>
      <c r="D265" s="4"/>
      <c r="E265" s="4"/>
      <c r="F265" s="4"/>
      <c r="G265" s="4"/>
      <c r="H265" s="4"/>
      <c r="I265" s="4"/>
      <c r="J265" s="4">
        <v>30261</v>
      </c>
      <c r="K265" s="202"/>
      <c r="L265" s="4">
        <v>17</v>
      </c>
      <c r="M265" s="4">
        <v>4</v>
      </c>
      <c r="N265" s="4" t="str">
        <f>_xlfn.CONCAT("DBX",((L265-1)*2),".4")</f>
        <v>DBX32.4</v>
      </c>
      <c r="O265" s="4" t="s">
        <v>781</v>
      </c>
      <c r="P265" s="4"/>
      <c r="Q265" s="4"/>
      <c r="R265" s="4"/>
      <c r="S265" s="4"/>
      <c r="T265" s="4"/>
      <c r="U265" s="4"/>
      <c r="V265" s="4"/>
      <c r="W265" s="4"/>
      <c r="X265" s="4" t="e">
        <f t="shared" si="4"/>
        <v>#N/A</v>
      </c>
      <c r="Y265" s="4"/>
      <c r="Z265" s="4"/>
      <c r="AA265" s="4"/>
      <c r="AB265" s="4"/>
      <c r="AC265" s="4"/>
      <c r="AD265" s="4"/>
      <c r="AE265" s="4"/>
    </row>
    <row r="266" spans="1:31" x14ac:dyDescent="0.2">
      <c r="A266" s="201"/>
      <c r="B266" s="4" t="s">
        <v>34</v>
      </c>
      <c r="C266" s="4">
        <v>262</v>
      </c>
      <c r="D266" s="4"/>
      <c r="E266" s="4"/>
      <c r="F266" s="4"/>
      <c r="G266" s="4"/>
      <c r="H266" s="4"/>
      <c r="I266" s="4"/>
      <c r="J266" s="4">
        <v>30262</v>
      </c>
      <c r="K266" s="202"/>
      <c r="L266" s="4">
        <v>17</v>
      </c>
      <c r="M266" s="4">
        <v>5</v>
      </c>
      <c r="N266" s="4" t="str">
        <f>_xlfn.CONCAT("DBX",((L266-1)*2),".5")</f>
        <v>DBX32.5</v>
      </c>
      <c r="O266" s="4" t="s">
        <v>781</v>
      </c>
      <c r="P266" s="4"/>
      <c r="Q266" s="4"/>
      <c r="R266" s="4"/>
      <c r="S266" s="4"/>
      <c r="T266" s="4"/>
      <c r="U266" s="4"/>
      <c r="V266" s="4"/>
      <c r="W266" s="4"/>
      <c r="X266" s="4" t="e">
        <f t="shared" si="4"/>
        <v>#N/A</v>
      </c>
      <c r="Y266" s="4"/>
      <c r="Z266" s="4"/>
      <c r="AA266" s="4"/>
      <c r="AB266" s="4"/>
      <c r="AC266" s="4"/>
      <c r="AD266" s="4"/>
      <c r="AE266" s="4"/>
    </row>
    <row r="267" spans="1:31" x14ac:dyDescent="0.2">
      <c r="A267" s="201"/>
      <c r="B267" s="4" t="s">
        <v>34</v>
      </c>
      <c r="C267" s="4">
        <v>263</v>
      </c>
      <c r="D267" s="4"/>
      <c r="E267" s="4"/>
      <c r="F267" s="4"/>
      <c r="G267" s="4"/>
      <c r="H267" s="4"/>
      <c r="I267" s="4"/>
      <c r="J267" s="4">
        <v>30263</v>
      </c>
      <c r="K267" s="202"/>
      <c r="L267" s="4">
        <v>17</v>
      </c>
      <c r="M267" s="4">
        <v>6</v>
      </c>
      <c r="N267" s="4" t="str">
        <f>_xlfn.CONCAT("DBX",((L267-1)*2),".6")</f>
        <v>DBX32.6</v>
      </c>
      <c r="O267" s="4" t="s">
        <v>781</v>
      </c>
      <c r="P267" s="4"/>
      <c r="Q267" s="4"/>
      <c r="R267" s="4"/>
      <c r="S267" s="4"/>
      <c r="T267" s="4"/>
      <c r="U267" s="4"/>
      <c r="V267" s="4"/>
      <c r="W267" s="4"/>
      <c r="X267" s="4" t="e">
        <f t="shared" si="4"/>
        <v>#N/A</v>
      </c>
      <c r="Y267" s="4"/>
      <c r="Z267" s="4"/>
      <c r="AA267" s="4"/>
      <c r="AB267" s="4"/>
      <c r="AC267" s="4"/>
      <c r="AD267" s="4"/>
      <c r="AE267" s="4"/>
    </row>
    <row r="268" spans="1:31" x14ac:dyDescent="0.2">
      <c r="A268" s="201"/>
      <c r="B268" s="4" t="s">
        <v>34</v>
      </c>
      <c r="C268" s="4">
        <v>264</v>
      </c>
      <c r="D268" s="4"/>
      <c r="E268" s="4"/>
      <c r="F268" s="4"/>
      <c r="G268" s="4"/>
      <c r="H268" s="4"/>
      <c r="I268" s="4"/>
      <c r="J268" s="4">
        <v>30264</v>
      </c>
      <c r="K268" s="202"/>
      <c r="L268" s="4">
        <v>17</v>
      </c>
      <c r="M268" s="4">
        <v>7</v>
      </c>
      <c r="N268" s="4" t="str">
        <f>_xlfn.CONCAT("DBX",((L268-1)*2),".7")</f>
        <v>DBX32.7</v>
      </c>
      <c r="O268" s="4" t="s">
        <v>781</v>
      </c>
      <c r="P268" s="4"/>
      <c r="Q268" s="4"/>
      <c r="R268" s="4"/>
      <c r="S268" s="4"/>
      <c r="T268" s="4"/>
      <c r="U268" s="4"/>
      <c r="V268" s="4"/>
      <c r="W268" s="4"/>
      <c r="X268" s="4" t="e">
        <f t="shared" si="4"/>
        <v>#N/A</v>
      </c>
      <c r="Y268" s="4"/>
      <c r="Z268" s="4"/>
      <c r="AA268" s="4"/>
      <c r="AB268" s="4"/>
      <c r="AC268" s="4"/>
      <c r="AD268" s="4"/>
      <c r="AE268" s="4"/>
    </row>
    <row r="269" spans="1:31" x14ac:dyDescent="0.2">
      <c r="A269" s="201"/>
      <c r="B269" s="4" t="s">
        <v>34</v>
      </c>
      <c r="C269" s="4">
        <v>265</v>
      </c>
      <c r="D269" s="4"/>
      <c r="E269" s="4"/>
      <c r="F269" s="4"/>
      <c r="G269" s="4"/>
      <c r="H269" s="4"/>
      <c r="I269" s="4"/>
      <c r="J269" s="4">
        <v>30265</v>
      </c>
      <c r="K269" s="202"/>
      <c r="L269" s="4">
        <v>17</v>
      </c>
      <c r="M269" s="4">
        <v>8</v>
      </c>
      <c r="N269" s="4" t="str">
        <f>_xlfn.CONCAT("DBX",((L269-1)*2)+1,".0")</f>
        <v>DBX33.0</v>
      </c>
      <c r="O269" s="4" t="s">
        <v>781</v>
      </c>
      <c r="P269" s="4"/>
      <c r="Q269" s="4"/>
      <c r="R269" s="4"/>
      <c r="S269" s="4"/>
      <c r="T269" s="4"/>
      <c r="U269" s="4"/>
      <c r="V269" s="4"/>
      <c r="W269" s="4"/>
      <c r="X269" s="4" t="e">
        <f t="shared" si="4"/>
        <v>#N/A</v>
      </c>
      <c r="Y269" s="4"/>
      <c r="Z269" s="4"/>
      <c r="AA269" s="4"/>
      <c r="AB269" s="4"/>
      <c r="AC269" s="4"/>
      <c r="AD269" s="4"/>
      <c r="AE269" s="4"/>
    </row>
    <row r="270" spans="1:31" x14ac:dyDescent="0.2">
      <c r="A270" s="201"/>
      <c r="B270" s="4" t="s">
        <v>34</v>
      </c>
      <c r="C270" s="4">
        <v>266</v>
      </c>
      <c r="D270" s="4"/>
      <c r="E270" s="4"/>
      <c r="F270" s="4"/>
      <c r="G270" s="4"/>
      <c r="H270" s="4"/>
      <c r="I270" s="4"/>
      <c r="J270" s="4">
        <v>30266</v>
      </c>
      <c r="K270" s="202"/>
      <c r="L270" s="4">
        <v>17</v>
      </c>
      <c r="M270" s="4">
        <v>9</v>
      </c>
      <c r="N270" s="4" t="str">
        <f>_xlfn.CONCAT("DBX",((L270-1)*2)+1,".1")</f>
        <v>DBX33.1</v>
      </c>
      <c r="O270" s="4" t="s">
        <v>781</v>
      </c>
      <c r="P270" s="4"/>
      <c r="Q270" s="4"/>
      <c r="R270" s="4"/>
      <c r="S270" s="4"/>
      <c r="T270" s="4"/>
      <c r="U270" s="4"/>
      <c r="V270" s="4"/>
      <c r="W270" s="4"/>
      <c r="X270" s="4" t="e">
        <f t="shared" si="4"/>
        <v>#N/A</v>
      </c>
      <c r="Y270" s="4"/>
      <c r="Z270" s="4"/>
      <c r="AA270" s="4"/>
      <c r="AB270" s="4"/>
      <c r="AC270" s="4"/>
      <c r="AD270" s="4"/>
      <c r="AE270" s="4"/>
    </row>
    <row r="271" spans="1:31" x14ac:dyDescent="0.2">
      <c r="A271" s="201"/>
      <c r="B271" s="4" t="s">
        <v>34</v>
      </c>
      <c r="C271" s="4">
        <v>267</v>
      </c>
      <c r="D271" s="4"/>
      <c r="E271" s="4"/>
      <c r="F271" s="4"/>
      <c r="G271" s="4"/>
      <c r="H271" s="4"/>
      <c r="I271" s="4"/>
      <c r="J271" s="4">
        <v>30267</v>
      </c>
      <c r="K271" s="202"/>
      <c r="L271" s="4">
        <v>17</v>
      </c>
      <c r="M271" s="4">
        <v>10</v>
      </c>
      <c r="N271" s="4" t="str">
        <f>_xlfn.CONCAT("DBX",((L271-1)*2)+1,".2")</f>
        <v>DBX33.2</v>
      </c>
      <c r="O271" s="4" t="s">
        <v>781</v>
      </c>
      <c r="P271" s="4"/>
      <c r="Q271" s="4"/>
      <c r="R271" s="4"/>
      <c r="S271" s="4"/>
      <c r="T271" s="4"/>
      <c r="U271" s="4"/>
      <c r="V271" s="4"/>
      <c r="W271" s="4"/>
      <c r="X271" s="4" t="e">
        <f t="shared" si="4"/>
        <v>#N/A</v>
      </c>
      <c r="Y271" s="4"/>
      <c r="Z271" s="4"/>
      <c r="AA271" s="4"/>
      <c r="AB271" s="4"/>
      <c r="AC271" s="4"/>
      <c r="AD271" s="4"/>
      <c r="AE271" s="4"/>
    </row>
    <row r="272" spans="1:31" x14ac:dyDescent="0.2">
      <c r="A272" s="201"/>
      <c r="B272" s="4" t="s">
        <v>34</v>
      </c>
      <c r="C272" s="4">
        <v>268</v>
      </c>
      <c r="D272" s="4"/>
      <c r="E272" s="4"/>
      <c r="F272" s="4"/>
      <c r="G272" s="4"/>
      <c r="H272" s="4"/>
      <c r="I272" s="4"/>
      <c r="J272" s="4">
        <v>30268</v>
      </c>
      <c r="K272" s="202"/>
      <c r="L272" s="4">
        <v>17</v>
      </c>
      <c r="M272" s="4">
        <v>11</v>
      </c>
      <c r="N272" s="4" t="str">
        <f>_xlfn.CONCAT("DBX",((L272-1)*2)+1,".3")</f>
        <v>DBX33.3</v>
      </c>
      <c r="O272" s="4" t="s">
        <v>781</v>
      </c>
      <c r="P272" s="4"/>
      <c r="Q272" s="4"/>
      <c r="R272" s="4"/>
      <c r="S272" s="4"/>
      <c r="T272" s="4"/>
      <c r="U272" s="4"/>
      <c r="V272" s="4"/>
      <c r="W272" s="4"/>
      <c r="X272" s="4" t="e">
        <f t="shared" si="4"/>
        <v>#N/A</v>
      </c>
      <c r="Y272" s="4"/>
      <c r="Z272" s="4"/>
      <c r="AA272" s="4"/>
      <c r="AB272" s="4"/>
      <c r="AC272" s="4"/>
      <c r="AD272" s="4"/>
      <c r="AE272" s="4"/>
    </row>
    <row r="273" spans="1:31" x14ac:dyDescent="0.2">
      <c r="A273" s="201"/>
      <c r="B273" s="4" t="s">
        <v>34</v>
      </c>
      <c r="C273" s="4">
        <v>269</v>
      </c>
      <c r="D273" s="4"/>
      <c r="E273" s="4"/>
      <c r="F273" s="4"/>
      <c r="G273" s="4"/>
      <c r="H273" s="4"/>
      <c r="I273" s="4"/>
      <c r="J273" s="4">
        <v>30269</v>
      </c>
      <c r="K273" s="202"/>
      <c r="L273" s="4">
        <v>17</v>
      </c>
      <c r="M273" s="4">
        <v>12</v>
      </c>
      <c r="N273" s="4" t="str">
        <f>_xlfn.CONCAT("DBX",((L273-1)*2)+1,".4")</f>
        <v>DBX33.4</v>
      </c>
      <c r="O273" s="4" t="s">
        <v>781</v>
      </c>
      <c r="P273" s="4"/>
      <c r="Q273" s="4"/>
      <c r="R273" s="4"/>
      <c r="S273" s="4"/>
      <c r="T273" s="4"/>
      <c r="U273" s="4"/>
      <c r="V273" s="4"/>
      <c r="W273" s="4"/>
      <c r="X273" s="4" t="e">
        <f t="shared" si="4"/>
        <v>#N/A</v>
      </c>
      <c r="Y273" s="4"/>
      <c r="Z273" s="4"/>
      <c r="AA273" s="4"/>
      <c r="AB273" s="4"/>
      <c r="AC273" s="4"/>
      <c r="AD273" s="4"/>
      <c r="AE273" s="4"/>
    </row>
    <row r="274" spans="1:31" x14ac:dyDescent="0.2">
      <c r="A274" s="201"/>
      <c r="B274" s="4" t="s">
        <v>104</v>
      </c>
      <c r="C274" s="4">
        <v>270</v>
      </c>
      <c r="D274" s="4" t="s">
        <v>882</v>
      </c>
      <c r="E274" s="4" t="s">
        <v>883</v>
      </c>
      <c r="F274" s="4" t="s">
        <v>884</v>
      </c>
      <c r="G274" s="4" t="s">
        <v>72</v>
      </c>
      <c r="H274" s="4" t="s">
        <v>41</v>
      </c>
      <c r="I274" s="4" t="s">
        <v>84</v>
      </c>
      <c r="J274" s="4">
        <v>30270</v>
      </c>
      <c r="K274" s="202" t="s">
        <v>99</v>
      </c>
      <c r="L274" s="4">
        <v>17</v>
      </c>
      <c r="M274" s="4">
        <v>13</v>
      </c>
      <c r="N274" s="4" t="str">
        <f>_xlfn.CONCAT("DBX",((L274-1)*2)+1,".5")</f>
        <v>DBX33.5</v>
      </c>
      <c r="O274" s="4" t="s">
        <v>781</v>
      </c>
      <c r="P274" s="4" t="s">
        <v>99</v>
      </c>
      <c r="Q274" s="4" t="s">
        <v>89</v>
      </c>
      <c r="R274" s="4"/>
      <c r="S274" s="4">
        <v>3922</v>
      </c>
      <c r="T274" s="4" t="s">
        <v>2551</v>
      </c>
      <c r="U274" s="4"/>
      <c r="V274" s="4"/>
      <c r="W274" s="4" t="s">
        <v>129</v>
      </c>
      <c r="X274" s="4">
        <f t="shared" si="4"/>
        <v>13</v>
      </c>
      <c r="Y274" s="4"/>
      <c r="Z274" s="4"/>
      <c r="AA274" s="4"/>
      <c r="AB274" s="4"/>
      <c r="AC274" s="4">
        <v>1</v>
      </c>
      <c r="AD274" s="4"/>
      <c r="AE274" s="4"/>
    </row>
    <row r="275" spans="1:31" x14ac:dyDescent="0.2">
      <c r="A275" s="201"/>
      <c r="B275" s="4" t="s">
        <v>104</v>
      </c>
      <c r="C275" s="4">
        <v>271</v>
      </c>
      <c r="D275" s="4" t="s">
        <v>885</v>
      </c>
      <c r="E275" s="4" t="s">
        <v>886</v>
      </c>
      <c r="F275" s="4" t="s">
        <v>887</v>
      </c>
      <c r="G275" s="4" t="s">
        <v>72</v>
      </c>
      <c r="H275" s="4" t="s">
        <v>41</v>
      </c>
      <c r="I275" s="4" t="s">
        <v>84</v>
      </c>
      <c r="J275" s="4">
        <v>30271</v>
      </c>
      <c r="K275" s="202" t="s">
        <v>794</v>
      </c>
      <c r="L275" s="4">
        <v>17</v>
      </c>
      <c r="M275" s="4">
        <v>14</v>
      </c>
      <c r="N275" s="4" t="str">
        <f>_xlfn.CONCAT("DBX",((L275-1)*2)+1,".6")</f>
        <v>DBX33.6</v>
      </c>
      <c r="O275" s="4" t="s">
        <v>781</v>
      </c>
      <c r="P275" s="4" t="s">
        <v>99</v>
      </c>
      <c r="Q275" s="4" t="s">
        <v>12</v>
      </c>
      <c r="R275" s="4"/>
      <c r="S275" s="4">
        <v>3922</v>
      </c>
      <c r="T275" s="4" t="s">
        <v>2551</v>
      </c>
      <c r="U275" s="4"/>
      <c r="V275" s="4"/>
      <c r="W275" s="4" t="s">
        <v>129</v>
      </c>
      <c r="X275" s="4">
        <f t="shared" si="4"/>
        <v>13</v>
      </c>
      <c r="Y275" s="4"/>
      <c r="Z275" s="4"/>
      <c r="AA275" s="4"/>
      <c r="AB275" s="4"/>
      <c r="AC275" s="4">
        <v>1</v>
      </c>
      <c r="AD275" s="4"/>
      <c r="AE275" s="4"/>
    </row>
    <row r="276" spans="1:31" x14ac:dyDescent="0.2">
      <c r="A276" s="201"/>
      <c r="B276" s="4" t="s">
        <v>104</v>
      </c>
      <c r="C276" s="4">
        <v>272</v>
      </c>
      <c r="D276" s="4" t="s">
        <v>888</v>
      </c>
      <c r="E276" s="4" t="s">
        <v>889</v>
      </c>
      <c r="F276" s="4" t="s">
        <v>890</v>
      </c>
      <c r="G276" s="4" t="s">
        <v>72</v>
      </c>
      <c r="H276" s="4" t="s">
        <v>41</v>
      </c>
      <c r="I276" s="4" t="s">
        <v>84</v>
      </c>
      <c r="J276" s="4">
        <v>30272</v>
      </c>
      <c r="K276" s="202" t="s">
        <v>798</v>
      </c>
      <c r="L276" s="4">
        <v>17</v>
      </c>
      <c r="M276" s="4">
        <v>15</v>
      </c>
      <c r="N276" s="4" t="str">
        <f>_xlfn.CONCAT("DBX",((L276-1)*2)+1,".7")</f>
        <v>DBX33.7</v>
      </c>
      <c r="O276" s="4" t="s">
        <v>781</v>
      </c>
      <c r="P276" s="4" t="s">
        <v>99</v>
      </c>
      <c r="Q276" s="4" t="s">
        <v>12</v>
      </c>
      <c r="R276" s="4"/>
      <c r="S276" s="4">
        <v>3922</v>
      </c>
      <c r="T276" s="4" t="s">
        <v>2551</v>
      </c>
      <c r="U276" s="4"/>
      <c r="V276" s="4"/>
      <c r="W276" s="4" t="s">
        <v>129</v>
      </c>
      <c r="X276" s="4">
        <f t="shared" si="4"/>
        <v>13</v>
      </c>
      <c r="Y276" s="4"/>
      <c r="Z276" s="4"/>
      <c r="AA276" s="4"/>
      <c r="AB276" s="4"/>
      <c r="AC276" s="4">
        <v>1</v>
      </c>
      <c r="AD276" s="4"/>
      <c r="AE276" s="4"/>
    </row>
    <row r="277" spans="1:31" x14ac:dyDescent="0.2">
      <c r="A277" s="201"/>
      <c r="B277" s="4" t="s">
        <v>34</v>
      </c>
      <c r="C277" s="4">
        <v>273</v>
      </c>
      <c r="D277" s="4"/>
      <c r="E277" s="4"/>
      <c r="F277" s="4"/>
      <c r="G277" s="4"/>
      <c r="H277" s="4"/>
      <c r="I277" s="4"/>
      <c r="J277" s="4">
        <v>30273</v>
      </c>
      <c r="K277" s="202"/>
      <c r="L277" s="4">
        <v>18</v>
      </c>
      <c r="M277" s="4">
        <v>0</v>
      </c>
      <c r="N277" s="4" t="str">
        <f>_xlfn.CONCAT("DBX",((L277-1)*2),".0")</f>
        <v>DBX34.0</v>
      </c>
      <c r="O277" s="4" t="s">
        <v>781</v>
      </c>
      <c r="P277" s="4"/>
      <c r="Q277" s="4"/>
      <c r="R277" s="4"/>
      <c r="S277" s="4"/>
      <c r="T277" s="4"/>
      <c r="U277" s="4"/>
      <c r="V277" s="4"/>
      <c r="W277" s="4"/>
      <c r="X277" s="4" t="e">
        <f t="shared" si="4"/>
        <v>#N/A</v>
      </c>
      <c r="Y277" s="4"/>
      <c r="Z277" s="4"/>
      <c r="AA277" s="4"/>
      <c r="AB277" s="4"/>
      <c r="AC277" s="4"/>
      <c r="AD277" s="4"/>
      <c r="AE277" s="4"/>
    </row>
    <row r="278" spans="1:31" x14ac:dyDescent="0.2">
      <c r="A278" s="201"/>
      <c r="B278" s="4" t="s">
        <v>3170</v>
      </c>
      <c r="C278" s="4">
        <v>274</v>
      </c>
      <c r="D278" s="4" t="s">
        <v>891</v>
      </c>
      <c r="E278" s="4" t="s">
        <v>900</v>
      </c>
      <c r="F278" s="4" t="s">
        <v>892</v>
      </c>
      <c r="G278" s="4" t="s">
        <v>72</v>
      </c>
      <c r="H278" s="4" t="s">
        <v>41</v>
      </c>
      <c r="I278" s="4" t="s">
        <v>84</v>
      </c>
      <c r="J278" s="4">
        <v>30274</v>
      </c>
      <c r="K278" s="202" t="s">
        <v>898</v>
      </c>
      <c r="L278" s="4">
        <v>18</v>
      </c>
      <c r="M278" s="4">
        <v>1</v>
      </c>
      <c r="N278" s="4" t="str">
        <f>_xlfn.CONCAT("DBX",((L278-1)*2),".1")</f>
        <v>DBX34.1</v>
      </c>
      <c r="O278" s="4" t="s">
        <v>781</v>
      </c>
      <c r="P278" s="4" t="s">
        <v>99</v>
      </c>
      <c r="Q278" s="4" t="s">
        <v>89</v>
      </c>
      <c r="R278" s="4"/>
      <c r="S278" s="4">
        <v>3922</v>
      </c>
      <c r="T278" s="4" t="s">
        <v>2551</v>
      </c>
      <c r="U278" s="4"/>
      <c r="V278" s="4" t="s">
        <v>3027</v>
      </c>
      <c r="W278" s="4" t="s">
        <v>117</v>
      </c>
      <c r="X278" s="4">
        <f t="shared" si="4"/>
        <v>1</v>
      </c>
      <c r="Y278" s="4"/>
      <c r="Z278" s="4"/>
      <c r="AA278" s="4"/>
      <c r="AB278" s="4"/>
      <c r="AC278" s="4">
        <v>1</v>
      </c>
      <c r="AD278" s="4"/>
      <c r="AE278" s="4"/>
    </row>
    <row r="279" spans="1:31" x14ac:dyDescent="0.2">
      <c r="A279" s="201"/>
      <c r="B279" s="4" t="s">
        <v>3170</v>
      </c>
      <c r="C279" s="4">
        <v>275</v>
      </c>
      <c r="D279" s="4" t="s">
        <v>903</v>
      </c>
      <c r="E279" s="4" t="s">
        <v>899</v>
      </c>
      <c r="F279" s="4" t="s">
        <v>901</v>
      </c>
      <c r="G279" s="4" t="s">
        <v>72</v>
      </c>
      <c r="H279" s="4" t="s">
        <v>41</v>
      </c>
      <c r="I279" s="4" t="s">
        <v>84</v>
      </c>
      <c r="J279" s="4">
        <v>30275</v>
      </c>
      <c r="K279" s="202" t="s">
        <v>902</v>
      </c>
      <c r="L279" s="4">
        <v>18</v>
      </c>
      <c r="M279" s="4">
        <v>2</v>
      </c>
      <c r="N279" s="4" t="str">
        <f>_xlfn.CONCAT("DBX",((L279-1)*2),".2")</f>
        <v>DBX34.2</v>
      </c>
      <c r="O279" s="4" t="s">
        <v>781</v>
      </c>
      <c r="P279" s="4" t="s">
        <v>99</v>
      </c>
      <c r="Q279" s="4" t="s">
        <v>89</v>
      </c>
      <c r="R279" s="4"/>
      <c r="S279" s="4">
        <v>3922</v>
      </c>
      <c r="T279" s="4" t="s">
        <v>2551</v>
      </c>
      <c r="U279" s="4"/>
      <c r="V279" s="4" t="s">
        <v>3028</v>
      </c>
      <c r="W279" s="4" t="s">
        <v>117</v>
      </c>
      <c r="X279" s="4">
        <f t="shared" si="4"/>
        <v>1</v>
      </c>
      <c r="Y279" s="4"/>
      <c r="Z279" s="4"/>
      <c r="AA279" s="4"/>
      <c r="AB279" s="4"/>
      <c r="AC279" s="4">
        <v>1</v>
      </c>
      <c r="AD279" s="4"/>
      <c r="AE279" s="4"/>
    </row>
    <row r="280" spans="1:31" x14ac:dyDescent="0.2">
      <c r="A280" s="201"/>
      <c r="B280" s="4" t="s">
        <v>33</v>
      </c>
      <c r="C280" s="4">
        <v>276</v>
      </c>
      <c r="D280" s="4"/>
      <c r="E280" s="4"/>
      <c r="F280" s="4"/>
      <c r="G280" s="4"/>
      <c r="H280" s="4"/>
      <c r="I280" s="4"/>
      <c r="J280" s="4">
        <v>30276</v>
      </c>
      <c r="K280" s="202"/>
      <c r="L280" s="4">
        <v>18</v>
      </c>
      <c r="M280" s="4">
        <v>3</v>
      </c>
      <c r="N280" s="4" t="str">
        <f>_xlfn.CONCAT("DBX",((L280-1)*2),".3")</f>
        <v>DBX34.3</v>
      </c>
      <c r="O280" s="4" t="s">
        <v>781</v>
      </c>
      <c r="P280" s="4" t="s">
        <v>99</v>
      </c>
      <c r="Q280" s="4"/>
      <c r="R280" s="4"/>
      <c r="S280" s="4">
        <v>3922</v>
      </c>
      <c r="T280" s="4" t="s">
        <v>2551</v>
      </c>
      <c r="U280" s="4"/>
      <c r="V280" s="4"/>
      <c r="W280" s="4"/>
      <c r="X280" s="4" t="e">
        <f t="shared" si="4"/>
        <v>#N/A</v>
      </c>
      <c r="Y280" s="4"/>
      <c r="Z280" s="4"/>
      <c r="AA280" s="4"/>
      <c r="AB280" s="4"/>
      <c r="AC280" s="4"/>
      <c r="AD280" s="4"/>
      <c r="AE280" s="4"/>
    </row>
    <row r="281" spans="1:31" x14ac:dyDescent="0.2">
      <c r="A281" s="201"/>
      <c r="B281" s="4" t="s">
        <v>33</v>
      </c>
      <c r="C281" s="4">
        <v>277</v>
      </c>
      <c r="D281" s="4"/>
      <c r="E281" s="4"/>
      <c r="F281" s="4"/>
      <c r="G281" s="4"/>
      <c r="H281" s="4"/>
      <c r="I281" s="4"/>
      <c r="J281" s="4">
        <v>30277</v>
      </c>
      <c r="K281" s="202"/>
      <c r="L281" s="4">
        <v>18</v>
      </c>
      <c r="M281" s="4">
        <v>4</v>
      </c>
      <c r="N281" s="4" t="str">
        <f>_xlfn.CONCAT("DBX",((L281-1)*2),".4")</f>
        <v>DBX34.4</v>
      </c>
      <c r="O281" s="4" t="s">
        <v>781</v>
      </c>
      <c r="P281" s="4" t="s">
        <v>99</v>
      </c>
      <c r="Q281" s="4"/>
      <c r="R281" s="4"/>
      <c r="S281" s="4">
        <v>3922</v>
      </c>
      <c r="T281" s="4" t="s">
        <v>2551</v>
      </c>
      <c r="U281" s="4"/>
      <c r="V281" s="4"/>
      <c r="W281" s="4"/>
      <c r="X281" s="4" t="e">
        <f t="shared" si="4"/>
        <v>#N/A</v>
      </c>
      <c r="Y281" s="4"/>
      <c r="Z281" s="4"/>
      <c r="AA281" s="4"/>
      <c r="AB281" s="4"/>
      <c r="AC281" s="4"/>
      <c r="AD281" s="4"/>
      <c r="AE281" s="4"/>
    </row>
    <row r="282" spans="1:31" s="244" customFormat="1" x14ac:dyDescent="0.2">
      <c r="A282" s="250"/>
      <c r="B282" s="266" t="s">
        <v>3349</v>
      </c>
      <c r="C282" s="242">
        <v>278</v>
      </c>
      <c r="D282" s="242" t="s">
        <v>895</v>
      </c>
      <c r="E282" s="242" t="s">
        <v>896</v>
      </c>
      <c r="F282" s="242" t="s">
        <v>897</v>
      </c>
      <c r="G282" s="4" t="s">
        <v>72</v>
      </c>
      <c r="H282" s="4" t="s">
        <v>41</v>
      </c>
      <c r="I282" s="4" t="s">
        <v>84</v>
      </c>
      <c r="J282" s="4">
        <v>30278</v>
      </c>
      <c r="K282" s="202" t="s">
        <v>99</v>
      </c>
      <c r="L282" s="4">
        <v>18</v>
      </c>
      <c r="M282" s="4">
        <v>5</v>
      </c>
      <c r="N282" s="4" t="str">
        <f>_xlfn.CONCAT("DBX",((L282-1)*2),".5")</f>
        <v>DBX34.5</v>
      </c>
      <c r="O282" s="4" t="s">
        <v>781</v>
      </c>
      <c r="P282" s="4" t="s">
        <v>99</v>
      </c>
      <c r="Q282" s="242" t="s">
        <v>89</v>
      </c>
      <c r="R282" s="242"/>
      <c r="S282" s="242">
        <v>3922</v>
      </c>
      <c r="T282" s="242" t="s">
        <v>2551</v>
      </c>
      <c r="U282" s="242"/>
      <c r="V282" s="242" t="s">
        <v>3029</v>
      </c>
      <c r="W282" s="242" t="s">
        <v>117</v>
      </c>
      <c r="X282" s="242">
        <f t="shared" si="4"/>
        <v>1</v>
      </c>
      <c r="Y282" s="242"/>
      <c r="Z282" s="242"/>
      <c r="AA282" s="242"/>
      <c r="AB282" s="242"/>
      <c r="AC282" s="266">
        <v>0</v>
      </c>
      <c r="AD282" s="242"/>
      <c r="AE282" s="242"/>
    </row>
    <row r="283" spans="1:31" x14ac:dyDescent="0.2">
      <c r="A283" s="201"/>
      <c r="B283" s="4" t="s">
        <v>34</v>
      </c>
      <c r="C283" s="4">
        <v>279</v>
      </c>
      <c r="D283" s="4"/>
      <c r="E283" s="4"/>
      <c r="F283" s="4"/>
      <c r="G283" s="4"/>
      <c r="H283" s="4"/>
      <c r="I283" s="4"/>
      <c r="J283" s="4">
        <v>30279</v>
      </c>
      <c r="K283" s="202"/>
      <c r="L283" s="4">
        <v>18</v>
      </c>
      <c r="M283" s="4">
        <v>6</v>
      </c>
      <c r="N283" s="4" t="str">
        <f>_xlfn.CONCAT("DBX",((L283-1)*2),".6")</f>
        <v>DBX34.6</v>
      </c>
      <c r="O283" s="4" t="s">
        <v>781</v>
      </c>
      <c r="P283" s="4"/>
      <c r="Q283" s="4"/>
      <c r="R283" s="4"/>
      <c r="S283" s="4"/>
      <c r="T283" s="4"/>
      <c r="U283" s="4"/>
      <c r="V283" s="4"/>
      <c r="W283" s="4"/>
      <c r="X283" s="4" t="e">
        <f t="shared" si="4"/>
        <v>#N/A</v>
      </c>
      <c r="Y283" s="4"/>
      <c r="Z283" s="4"/>
      <c r="AA283" s="4"/>
      <c r="AB283" s="4"/>
      <c r="AC283" s="4"/>
      <c r="AD283" s="4"/>
      <c r="AE283" s="4"/>
    </row>
    <row r="284" spans="1:31" x14ac:dyDescent="0.2">
      <c r="A284" s="201"/>
      <c r="B284" s="4" t="s">
        <v>34</v>
      </c>
      <c r="C284" s="4">
        <v>280</v>
      </c>
      <c r="D284" s="4"/>
      <c r="E284" s="4"/>
      <c r="F284" s="4"/>
      <c r="G284" s="4"/>
      <c r="H284" s="4"/>
      <c r="I284" s="4"/>
      <c r="J284" s="4">
        <v>30280</v>
      </c>
      <c r="K284" s="202"/>
      <c r="L284" s="4">
        <v>18</v>
      </c>
      <c r="M284" s="4">
        <v>7</v>
      </c>
      <c r="N284" s="4" t="str">
        <f>_xlfn.CONCAT("DBX",((L284-1)*2),".7")</f>
        <v>DBX34.7</v>
      </c>
      <c r="O284" s="4" t="s">
        <v>781</v>
      </c>
      <c r="P284" s="4"/>
      <c r="Q284" s="4"/>
      <c r="R284" s="4"/>
      <c r="S284" s="4"/>
      <c r="T284" s="4"/>
      <c r="U284" s="4"/>
      <c r="V284" s="4"/>
      <c r="W284" s="4"/>
      <c r="X284" s="4" t="e">
        <f t="shared" si="4"/>
        <v>#N/A</v>
      </c>
      <c r="Y284" s="4"/>
      <c r="Z284" s="4"/>
      <c r="AA284" s="4"/>
      <c r="AB284" s="4"/>
      <c r="AC284" s="4"/>
      <c r="AD284" s="4"/>
      <c r="AE284" s="4"/>
    </row>
    <row r="285" spans="1:31" x14ac:dyDescent="0.2">
      <c r="A285" s="201"/>
      <c r="B285" s="4" t="s">
        <v>34</v>
      </c>
      <c r="C285" s="4">
        <v>281</v>
      </c>
      <c r="D285" s="4"/>
      <c r="E285" s="4"/>
      <c r="F285" s="4"/>
      <c r="G285" s="4"/>
      <c r="H285" s="4"/>
      <c r="I285" s="4"/>
      <c r="J285" s="4">
        <v>30281</v>
      </c>
      <c r="K285" s="202"/>
      <c r="L285" s="4">
        <v>18</v>
      </c>
      <c r="M285" s="4">
        <v>8</v>
      </c>
      <c r="N285" s="4" t="str">
        <f>_xlfn.CONCAT("DBX",((L285-1)*2)+1,".0")</f>
        <v>DBX35.0</v>
      </c>
      <c r="O285" s="4" t="s">
        <v>781</v>
      </c>
      <c r="P285" s="4"/>
      <c r="Q285" s="4"/>
      <c r="R285" s="4"/>
      <c r="S285" s="4"/>
      <c r="T285" s="4"/>
      <c r="U285" s="4"/>
      <c r="V285" s="4"/>
      <c r="W285" s="4"/>
      <c r="X285" s="4" t="e">
        <f t="shared" si="4"/>
        <v>#N/A</v>
      </c>
      <c r="Y285" s="4"/>
      <c r="Z285" s="4"/>
      <c r="AA285" s="4"/>
      <c r="AB285" s="4"/>
      <c r="AC285" s="4"/>
      <c r="AD285" s="4"/>
      <c r="AE285" s="4"/>
    </row>
    <row r="286" spans="1:31" s="244" customFormat="1" x14ac:dyDescent="0.2">
      <c r="A286" s="250"/>
      <c r="B286" s="266" t="s">
        <v>3349</v>
      </c>
      <c r="C286" s="242">
        <v>282</v>
      </c>
      <c r="D286" s="242" t="s">
        <v>908</v>
      </c>
      <c r="E286" s="242" t="s">
        <v>909</v>
      </c>
      <c r="F286" s="242" t="s">
        <v>910</v>
      </c>
      <c r="G286" s="4" t="s">
        <v>72</v>
      </c>
      <c r="H286" s="4" t="s">
        <v>41</v>
      </c>
      <c r="I286" s="4" t="s">
        <v>84</v>
      </c>
      <c r="J286" s="4">
        <v>30282</v>
      </c>
      <c r="K286" s="202" t="s">
        <v>99</v>
      </c>
      <c r="L286" s="4">
        <v>18</v>
      </c>
      <c r="M286" s="4">
        <v>9</v>
      </c>
      <c r="N286" s="4" t="str">
        <f>_xlfn.CONCAT("DBX",((L286-1)*2)+1,".1")</f>
        <v>DBX35.1</v>
      </c>
      <c r="O286" s="4" t="s">
        <v>781</v>
      </c>
      <c r="P286" s="4" t="s">
        <v>99</v>
      </c>
      <c r="Q286" s="242" t="s">
        <v>89</v>
      </c>
      <c r="R286" s="242"/>
      <c r="S286" s="242">
        <v>3922</v>
      </c>
      <c r="T286" s="242" t="s">
        <v>2551</v>
      </c>
      <c r="U286" s="242"/>
      <c r="V286" s="242" t="s">
        <v>3031</v>
      </c>
      <c r="W286" s="242" t="s">
        <v>118</v>
      </c>
      <c r="X286" s="242">
        <f t="shared" si="4"/>
        <v>2</v>
      </c>
      <c r="Y286" s="242"/>
      <c r="Z286" s="242"/>
      <c r="AA286" s="242"/>
      <c r="AB286" s="242"/>
      <c r="AC286" s="266">
        <v>0</v>
      </c>
      <c r="AD286" s="242"/>
      <c r="AE286" s="242"/>
    </row>
    <row r="287" spans="1:31" s="244" customFormat="1" x14ac:dyDescent="0.2">
      <c r="A287" s="250"/>
      <c r="B287" s="266" t="s">
        <v>3349</v>
      </c>
      <c r="C287" s="242">
        <v>283</v>
      </c>
      <c r="D287" s="242" t="s">
        <v>911</v>
      </c>
      <c r="E287" s="242" t="s">
        <v>912</v>
      </c>
      <c r="F287" s="242" t="s">
        <v>913</v>
      </c>
      <c r="G287" s="4" t="s">
        <v>72</v>
      </c>
      <c r="H287" s="4" t="s">
        <v>41</v>
      </c>
      <c r="I287" s="4" t="s">
        <v>84</v>
      </c>
      <c r="J287" s="4">
        <v>30283</v>
      </c>
      <c r="K287" s="202" t="s">
        <v>99</v>
      </c>
      <c r="L287" s="4">
        <v>18</v>
      </c>
      <c r="M287" s="4">
        <v>10</v>
      </c>
      <c r="N287" s="4" t="str">
        <f>_xlfn.CONCAT("DBX",((L287-1)*2)+1,".2")</f>
        <v>DBX35.2</v>
      </c>
      <c r="O287" s="4" t="s">
        <v>781</v>
      </c>
      <c r="P287" s="4" t="s">
        <v>99</v>
      </c>
      <c r="Q287" s="242" t="s">
        <v>89</v>
      </c>
      <c r="R287" s="242"/>
      <c r="S287" s="242">
        <v>3922</v>
      </c>
      <c r="T287" s="242" t="s">
        <v>2551</v>
      </c>
      <c r="U287" s="242"/>
      <c r="V287" s="242" t="s">
        <v>3032</v>
      </c>
      <c r="W287" s="242" t="s">
        <v>118</v>
      </c>
      <c r="X287" s="242">
        <f t="shared" si="4"/>
        <v>2</v>
      </c>
      <c r="Y287" s="242"/>
      <c r="Z287" s="242"/>
      <c r="AA287" s="242"/>
      <c r="AB287" s="242"/>
      <c r="AC287" s="266">
        <v>0</v>
      </c>
      <c r="AD287" s="242"/>
      <c r="AE287" s="242"/>
    </row>
    <row r="288" spans="1:31" s="244" customFormat="1" x14ac:dyDescent="0.2">
      <c r="A288" s="250"/>
      <c r="B288" s="266" t="s">
        <v>3349</v>
      </c>
      <c r="C288" s="242">
        <v>284</v>
      </c>
      <c r="D288" s="242" t="s">
        <v>914</v>
      </c>
      <c r="E288" s="242" t="s">
        <v>915</v>
      </c>
      <c r="F288" s="242" t="s">
        <v>916</v>
      </c>
      <c r="G288" s="4" t="s">
        <v>72</v>
      </c>
      <c r="H288" s="4" t="s">
        <v>41</v>
      </c>
      <c r="I288" s="4" t="s">
        <v>84</v>
      </c>
      <c r="J288" s="4">
        <v>30284</v>
      </c>
      <c r="K288" s="202" t="s">
        <v>99</v>
      </c>
      <c r="L288" s="4">
        <v>18</v>
      </c>
      <c r="M288" s="4">
        <v>11</v>
      </c>
      <c r="N288" s="4" t="str">
        <f>_xlfn.CONCAT("DBX",((L288-1)*2)+1,".3")</f>
        <v>DBX35.3</v>
      </c>
      <c r="O288" s="4" t="s">
        <v>781</v>
      </c>
      <c r="P288" s="4" t="s">
        <v>99</v>
      </c>
      <c r="Q288" s="242" t="s">
        <v>89</v>
      </c>
      <c r="R288" s="242"/>
      <c r="S288" s="242">
        <v>3922</v>
      </c>
      <c r="T288" s="242" t="s">
        <v>2551</v>
      </c>
      <c r="U288" s="242"/>
      <c r="V288" s="242" t="s">
        <v>3033</v>
      </c>
      <c r="W288" s="242" t="s">
        <v>118</v>
      </c>
      <c r="X288" s="242">
        <f t="shared" si="4"/>
        <v>2</v>
      </c>
      <c r="Y288" s="242"/>
      <c r="Z288" s="242"/>
      <c r="AA288" s="242"/>
      <c r="AB288" s="242"/>
      <c r="AC288" s="266">
        <v>0</v>
      </c>
      <c r="AD288" s="242"/>
      <c r="AE288" s="242"/>
    </row>
    <row r="289" spans="1:31" s="244" customFormat="1" x14ac:dyDescent="0.2">
      <c r="A289" s="250"/>
      <c r="B289" s="266" t="s">
        <v>3349</v>
      </c>
      <c r="C289" s="242">
        <v>285</v>
      </c>
      <c r="D289" s="242" t="s">
        <v>917</v>
      </c>
      <c r="E289" s="242" t="s">
        <v>918</v>
      </c>
      <c r="F289" s="242" t="s">
        <v>919</v>
      </c>
      <c r="G289" s="4" t="s">
        <v>72</v>
      </c>
      <c r="H289" s="4" t="s">
        <v>41</v>
      </c>
      <c r="I289" s="4" t="s">
        <v>84</v>
      </c>
      <c r="J289" s="4">
        <v>30285</v>
      </c>
      <c r="K289" s="202" t="s">
        <v>99</v>
      </c>
      <c r="L289" s="4">
        <v>18</v>
      </c>
      <c r="M289" s="4">
        <v>12</v>
      </c>
      <c r="N289" s="4" t="str">
        <f>_xlfn.CONCAT("DBX",((L289-1)*2)+1,".4")</f>
        <v>DBX35.4</v>
      </c>
      <c r="O289" s="4" t="s">
        <v>781</v>
      </c>
      <c r="P289" s="4" t="s">
        <v>99</v>
      </c>
      <c r="Q289" s="242" t="s">
        <v>89</v>
      </c>
      <c r="R289" s="242"/>
      <c r="S289" s="242">
        <v>3922</v>
      </c>
      <c r="T289" s="242" t="s">
        <v>2551</v>
      </c>
      <c r="U289" s="242"/>
      <c r="V289" s="242" t="s">
        <v>3034</v>
      </c>
      <c r="W289" s="242" t="s">
        <v>118</v>
      </c>
      <c r="X289" s="242">
        <f t="shared" si="4"/>
        <v>2</v>
      </c>
      <c r="Y289" s="242"/>
      <c r="Z289" s="242"/>
      <c r="AA289" s="242"/>
      <c r="AB289" s="242"/>
      <c r="AC289" s="266">
        <v>0</v>
      </c>
      <c r="AD289" s="242"/>
      <c r="AE289" s="242"/>
    </row>
    <row r="290" spans="1:31" s="244" customFormat="1" x14ac:dyDescent="0.2">
      <c r="A290" s="250"/>
      <c r="B290" s="266" t="s">
        <v>3349</v>
      </c>
      <c r="C290" s="242">
        <v>286</v>
      </c>
      <c r="D290" s="242" t="s">
        <v>920</v>
      </c>
      <c r="E290" s="242" t="s">
        <v>921</v>
      </c>
      <c r="F290" s="242" t="s">
        <v>922</v>
      </c>
      <c r="G290" s="4" t="s">
        <v>72</v>
      </c>
      <c r="H290" s="4" t="s">
        <v>41</v>
      </c>
      <c r="I290" s="4" t="s">
        <v>84</v>
      </c>
      <c r="J290" s="4">
        <v>30286</v>
      </c>
      <c r="K290" s="202" t="s">
        <v>99</v>
      </c>
      <c r="L290" s="4">
        <v>18</v>
      </c>
      <c r="M290" s="4">
        <v>13</v>
      </c>
      <c r="N290" s="4" t="str">
        <f>_xlfn.CONCAT("DBX",((L290-1)*2)+1,".5")</f>
        <v>DBX35.5</v>
      </c>
      <c r="O290" s="4" t="s">
        <v>781</v>
      </c>
      <c r="P290" s="4" t="s">
        <v>99</v>
      </c>
      <c r="Q290" s="242" t="s">
        <v>89</v>
      </c>
      <c r="R290" s="242"/>
      <c r="S290" s="242">
        <v>3922</v>
      </c>
      <c r="T290" s="242" t="s">
        <v>2551</v>
      </c>
      <c r="U290" s="242"/>
      <c r="V290" s="242" t="s">
        <v>3035</v>
      </c>
      <c r="W290" s="242" t="s">
        <v>118</v>
      </c>
      <c r="X290" s="242">
        <f t="shared" si="4"/>
        <v>2</v>
      </c>
      <c r="Y290" s="242"/>
      <c r="Z290" s="242"/>
      <c r="AA290" s="242"/>
      <c r="AB290" s="242"/>
      <c r="AC290" s="266">
        <v>0</v>
      </c>
      <c r="AD290" s="242"/>
      <c r="AE290" s="242"/>
    </row>
    <row r="291" spans="1:31" s="244" customFormat="1" x14ac:dyDescent="0.2">
      <c r="A291" s="250"/>
      <c r="B291" s="266" t="s">
        <v>3349</v>
      </c>
      <c r="C291" s="242">
        <v>287</v>
      </c>
      <c r="D291" s="242" t="s">
        <v>923</v>
      </c>
      <c r="E291" s="242" t="s">
        <v>924</v>
      </c>
      <c r="F291" s="242" t="s">
        <v>925</v>
      </c>
      <c r="G291" s="4" t="s">
        <v>72</v>
      </c>
      <c r="H291" s="4" t="s">
        <v>41</v>
      </c>
      <c r="I291" s="4" t="s">
        <v>84</v>
      </c>
      <c r="J291" s="4">
        <v>30287</v>
      </c>
      <c r="K291" s="202" t="s">
        <v>99</v>
      </c>
      <c r="L291" s="4">
        <v>18</v>
      </c>
      <c r="M291" s="4">
        <v>14</v>
      </c>
      <c r="N291" s="4" t="str">
        <f>_xlfn.CONCAT("DBX",((L291-1)*2)+1,".6")</f>
        <v>DBX35.6</v>
      </c>
      <c r="O291" s="4" t="s">
        <v>781</v>
      </c>
      <c r="P291" s="4" t="s">
        <v>99</v>
      </c>
      <c r="Q291" s="242" t="s">
        <v>89</v>
      </c>
      <c r="R291" s="242"/>
      <c r="S291" s="242">
        <v>3922</v>
      </c>
      <c r="T291" s="242" t="s">
        <v>2551</v>
      </c>
      <c r="U291" s="242"/>
      <c r="V291" s="242" t="s">
        <v>3036</v>
      </c>
      <c r="W291" s="242" t="s">
        <v>118</v>
      </c>
      <c r="X291" s="242">
        <f t="shared" si="4"/>
        <v>2</v>
      </c>
      <c r="Y291" s="242"/>
      <c r="Z291" s="242"/>
      <c r="AA291" s="242"/>
      <c r="AB291" s="242"/>
      <c r="AC291" s="266">
        <v>0</v>
      </c>
      <c r="AD291" s="242"/>
      <c r="AE291" s="242"/>
    </row>
    <row r="292" spans="1:31" s="244" customFormat="1" x14ac:dyDescent="0.2">
      <c r="A292" s="250"/>
      <c r="B292" s="266" t="s">
        <v>3349</v>
      </c>
      <c r="C292" s="242">
        <v>288</v>
      </c>
      <c r="D292" s="242" t="s">
        <v>926</v>
      </c>
      <c r="E292" s="242" t="s">
        <v>927</v>
      </c>
      <c r="F292" s="242" t="s">
        <v>928</v>
      </c>
      <c r="G292" s="4" t="s">
        <v>72</v>
      </c>
      <c r="H292" s="4" t="s">
        <v>41</v>
      </c>
      <c r="I292" s="4" t="s">
        <v>84</v>
      </c>
      <c r="J292" s="4">
        <v>30288</v>
      </c>
      <c r="K292" s="202" t="s">
        <v>99</v>
      </c>
      <c r="L292" s="4">
        <v>18</v>
      </c>
      <c r="M292" s="4">
        <v>15</v>
      </c>
      <c r="N292" s="4" t="str">
        <f>_xlfn.CONCAT("DBX",((L292-1)*2)+1,".7")</f>
        <v>DBX35.7</v>
      </c>
      <c r="O292" s="4" t="s">
        <v>781</v>
      </c>
      <c r="P292" s="4" t="s">
        <v>99</v>
      </c>
      <c r="Q292" s="242" t="s">
        <v>89</v>
      </c>
      <c r="R292" s="242"/>
      <c r="S292" s="242">
        <v>3922</v>
      </c>
      <c r="T292" s="242" t="s">
        <v>2551</v>
      </c>
      <c r="U292" s="242"/>
      <c r="V292" s="242" t="s">
        <v>3037</v>
      </c>
      <c r="W292" s="242" t="s">
        <v>118</v>
      </c>
      <c r="X292" s="242">
        <f t="shared" si="4"/>
        <v>2</v>
      </c>
      <c r="Y292" s="242"/>
      <c r="Z292" s="242"/>
      <c r="AA292" s="242"/>
      <c r="AB292" s="242"/>
      <c r="AC292" s="266">
        <v>0</v>
      </c>
      <c r="AD292" s="242"/>
      <c r="AE292" s="242"/>
    </row>
    <row r="293" spans="1:31" s="244" customFormat="1" x14ac:dyDescent="0.2">
      <c r="A293" s="250"/>
      <c r="B293" s="266" t="s">
        <v>3349</v>
      </c>
      <c r="C293" s="242">
        <v>289</v>
      </c>
      <c r="D293" s="242" t="s">
        <v>929</v>
      </c>
      <c r="E293" s="242" t="s">
        <v>930</v>
      </c>
      <c r="F293" s="242" t="s">
        <v>931</v>
      </c>
      <c r="G293" s="4" t="s">
        <v>72</v>
      </c>
      <c r="H293" s="4" t="s">
        <v>41</v>
      </c>
      <c r="I293" s="4" t="s">
        <v>84</v>
      </c>
      <c r="J293" s="4">
        <v>30289</v>
      </c>
      <c r="K293" s="202" t="s">
        <v>99</v>
      </c>
      <c r="L293" s="4">
        <v>19</v>
      </c>
      <c r="M293" s="4">
        <v>0</v>
      </c>
      <c r="N293" s="4" t="str">
        <f>_xlfn.CONCAT("DBX",((L293-1)*2),".0")</f>
        <v>DBX36.0</v>
      </c>
      <c r="O293" s="4" t="s">
        <v>781</v>
      </c>
      <c r="P293" s="4" t="s">
        <v>99</v>
      </c>
      <c r="Q293" s="242" t="s">
        <v>89</v>
      </c>
      <c r="R293" s="242"/>
      <c r="S293" s="242">
        <v>3922</v>
      </c>
      <c r="T293" s="242" t="s">
        <v>2551</v>
      </c>
      <c r="U293" s="242"/>
      <c r="V293" s="242" t="s">
        <v>3038</v>
      </c>
      <c r="W293" s="242" t="s">
        <v>118</v>
      </c>
      <c r="X293" s="242">
        <f t="shared" si="4"/>
        <v>2</v>
      </c>
      <c r="Y293" s="242"/>
      <c r="Z293" s="242"/>
      <c r="AA293" s="242"/>
      <c r="AB293" s="242"/>
      <c r="AC293" s="266">
        <v>0</v>
      </c>
      <c r="AD293" s="242"/>
      <c r="AE293" s="242"/>
    </row>
    <row r="294" spans="1:31" s="244" customFormat="1" x14ac:dyDescent="0.2">
      <c r="A294" s="250"/>
      <c r="B294" s="266" t="s">
        <v>3349</v>
      </c>
      <c r="C294" s="242">
        <v>290</v>
      </c>
      <c r="D294" s="242" t="s">
        <v>932</v>
      </c>
      <c r="E294" s="242" t="s">
        <v>933</v>
      </c>
      <c r="F294" s="242" t="s">
        <v>934</v>
      </c>
      <c r="G294" s="4" t="s">
        <v>72</v>
      </c>
      <c r="H294" s="4" t="s">
        <v>41</v>
      </c>
      <c r="I294" s="4" t="s">
        <v>84</v>
      </c>
      <c r="J294" s="4">
        <v>30290</v>
      </c>
      <c r="K294" s="202" t="s">
        <v>99</v>
      </c>
      <c r="L294" s="4">
        <v>19</v>
      </c>
      <c r="M294" s="4">
        <v>1</v>
      </c>
      <c r="N294" s="4" t="str">
        <f>_xlfn.CONCAT("DBX",((L294-1)*2),".1")</f>
        <v>DBX36.1</v>
      </c>
      <c r="O294" s="4" t="s">
        <v>781</v>
      </c>
      <c r="P294" s="4" t="s">
        <v>99</v>
      </c>
      <c r="Q294" s="242" t="s">
        <v>89</v>
      </c>
      <c r="R294" s="242"/>
      <c r="S294" s="242">
        <v>3922</v>
      </c>
      <c r="T294" s="242" t="s">
        <v>2551</v>
      </c>
      <c r="U294" s="242"/>
      <c r="V294" s="242" t="s">
        <v>3039</v>
      </c>
      <c r="W294" s="242" t="s">
        <v>118</v>
      </c>
      <c r="X294" s="242">
        <f t="shared" si="4"/>
        <v>2</v>
      </c>
      <c r="Y294" s="242"/>
      <c r="Z294" s="242"/>
      <c r="AA294" s="242"/>
      <c r="AB294" s="242"/>
      <c r="AC294" s="266">
        <v>0</v>
      </c>
      <c r="AD294" s="242"/>
      <c r="AE294" s="242"/>
    </row>
    <row r="295" spans="1:31" s="244" customFormat="1" x14ac:dyDescent="0.2">
      <c r="A295" s="250"/>
      <c r="B295" s="266" t="s">
        <v>3349</v>
      </c>
      <c r="C295" s="242">
        <v>291</v>
      </c>
      <c r="D295" s="242" t="s">
        <v>935</v>
      </c>
      <c r="E295" s="242" t="s">
        <v>936</v>
      </c>
      <c r="F295" s="242" t="s">
        <v>937</v>
      </c>
      <c r="G295" s="4" t="s">
        <v>72</v>
      </c>
      <c r="H295" s="4" t="s">
        <v>41</v>
      </c>
      <c r="I295" s="4" t="s">
        <v>84</v>
      </c>
      <c r="J295" s="4">
        <v>30291</v>
      </c>
      <c r="K295" s="202" t="s">
        <v>99</v>
      </c>
      <c r="L295" s="4">
        <v>19</v>
      </c>
      <c r="M295" s="4">
        <v>2</v>
      </c>
      <c r="N295" s="4" t="str">
        <f>_xlfn.CONCAT("DBX",((L295-1)*2),".2")</f>
        <v>DBX36.2</v>
      </c>
      <c r="O295" s="4" t="s">
        <v>781</v>
      </c>
      <c r="P295" s="4" t="s">
        <v>99</v>
      </c>
      <c r="Q295" s="242" t="s">
        <v>89</v>
      </c>
      <c r="R295" s="242"/>
      <c r="S295" s="242">
        <v>3922</v>
      </c>
      <c r="T295" s="242" t="s">
        <v>2551</v>
      </c>
      <c r="U295" s="242"/>
      <c r="V295" s="242" t="s">
        <v>3040</v>
      </c>
      <c r="W295" s="242" t="s">
        <v>118</v>
      </c>
      <c r="X295" s="242">
        <f t="shared" si="4"/>
        <v>2</v>
      </c>
      <c r="Y295" s="242"/>
      <c r="Z295" s="242"/>
      <c r="AA295" s="242"/>
      <c r="AB295" s="242"/>
      <c r="AC295" s="266">
        <v>0</v>
      </c>
      <c r="AD295" s="242"/>
      <c r="AE295" s="242"/>
    </row>
    <row r="296" spans="1:31" s="244" customFormat="1" x14ac:dyDescent="0.2">
      <c r="A296" s="250"/>
      <c r="B296" s="266" t="s">
        <v>3349</v>
      </c>
      <c r="C296" s="242">
        <v>292</v>
      </c>
      <c r="D296" s="242" t="s">
        <v>938</v>
      </c>
      <c r="E296" s="242" t="s">
        <v>939</v>
      </c>
      <c r="F296" s="242" t="s">
        <v>940</v>
      </c>
      <c r="G296" s="4" t="s">
        <v>72</v>
      </c>
      <c r="H296" s="4" t="s">
        <v>41</v>
      </c>
      <c r="I296" s="4" t="s">
        <v>84</v>
      </c>
      <c r="J296" s="4">
        <v>30292</v>
      </c>
      <c r="K296" s="202" t="s">
        <v>99</v>
      </c>
      <c r="L296" s="4">
        <v>19</v>
      </c>
      <c r="M296" s="4">
        <v>3</v>
      </c>
      <c r="N296" s="4" t="str">
        <f>_xlfn.CONCAT("DBX",((L296-1)*2),".3")</f>
        <v>DBX36.3</v>
      </c>
      <c r="O296" s="4" t="s">
        <v>781</v>
      </c>
      <c r="P296" s="4" t="s">
        <v>99</v>
      </c>
      <c r="Q296" s="242" t="s">
        <v>89</v>
      </c>
      <c r="R296" s="242"/>
      <c r="S296" s="242">
        <v>3922</v>
      </c>
      <c r="T296" s="242" t="s">
        <v>2551</v>
      </c>
      <c r="U296" s="242"/>
      <c r="V296" s="242" t="s">
        <v>3041</v>
      </c>
      <c r="W296" s="242" t="s">
        <v>118</v>
      </c>
      <c r="X296" s="242">
        <f t="shared" si="4"/>
        <v>2</v>
      </c>
      <c r="Y296" s="242"/>
      <c r="Z296" s="242"/>
      <c r="AA296" s="242"/>
      <c r="AB296" s="242"/>
      <c r="AC296" s="266">
        <v>0</v>
      </c>
      <c r="AD296" s="242"/>
      <c r="AE296" s="242"/>
    </row>
    <row r="297" spans="1:31" s="244" customFormat="1" x14ac:dyDescent="0.2">
      <c r="A297" s="250"/>
      <c r="B297" s="266" t="s">
        <v>3349</v>
      </c>
      <c r="C297" s="242">
        <v>293</v>
      </c>
      <c r="D297" s="242" t="s">
        <v>941</v>
      </c>
      <c r="E297" s="242" t="s">
        <v>942</v>
      </c>
      <c r="F297" s="242" t="s">
        <v>943</v>
      </c>
      <c r="G297" s="4" t="s">
        <v>72</v>
      </c>
      <c r="H297" s="4" t="s">
        <v>41</v>
      </c>
      <c r="I297" s="4" t="s">
        <v>84</v>
      </c>
      <c r="J297" s="4">
        <v>30293</v>
      </c>
      <c r="K297" s="202" t="s">
        <v>99</v>
      </c>
      <c r="L297" s="4">
        <v>19</v>
      </c>
      <c r="M297" s="4">
        <v>4</v>
      </c>
      <c r="N297" s="4" t="str">
        <f>_xlfn.CONCAT("DBX",((L297-1)*2),".4")</f>
        <v>DBX36.4</v>
      </c>
      <c r="O297" s="4" t="s">
        <v>781</v>
      </c>
      <c r="P297" s="4" t="s">
        <v>99</v>
      </c>
      <c r="Q297" s="242" t="s">
        <v>89</v>
      </c>
      <c r="R297" s="242"/>
      <c r="S297" s="242">
        <v>3922</v>
      </c>
      <c r="T297" s="242" t="s">
        <v>2551</v>
      </c>
      <c r="U297" s="242"/>
      <c r="V297" s="242" t="s">
        <v>3042</v>
      </c>
      <c r="W297" s="242" t="s">
        <v>118</v>
      </c>
      <c r="X297" s="242">
        <f t="shared" si="4"/>
        <v>2</v>
      </c>
      <c r="Y297" s="242"/>
      <c r="Z297" s="242"/>
      <c r="AA297" s="242"/>
      <c r="AB297" s="242"/>
      <c r="AC297" s="266">
        <v>0</v>
      </c>
      <c r="AD297" s="242"/>
      <c r="AE297" s="242"/>
    </row>
    <row r="298" spans="1:31" x14ac:dyDescent="0.2">
      <c r="A298" s="201"/>
      <c r="B298" s="4" t="s">
        <v>256</v>
      </c>
      <c r="C298" s="4">
        <v>294</v>
      </c>
      <c r="D298" s="4" t="s">
        <v>2611</v>
      </c>
      <c r="E298" s="4" t="s">
        <v>2612</v>
      </c>
      <c r="F298" s="4" t="s">
        <v>2643</v>
      </c>
      <c r="G298" s="208" t="s">
        <v>2613</v>
      </c>
      <c r="H298" s="4" t="s">
        <v>41</v>
      </c>
      <c r="I298" s="4" t="s">
        <v>84</v>
      </c>
      <c r="J298" s="4">
        <v>30294</v>
      </c>
      <c r="K298" s="4" t="s">
        <v>2693</v>
      </c>
      <c r="L298" s="4">
        <v>19</v>
      </c>
      <c r="M298" s="4">
        <v>5</v>
      </c>
      <c r="N298" s="4" t="str">
        <f>_xlfn.CONCAT("DBX",((L298-1)*2),".5")</f>
        <v>DBX36.5</v>
      </c>
      <c r="O298" s="4" t="s">
        <v>781</v>
      </c>
      <c r="P298" s="4" t="s">
        <v>99</v>
      </c>
      <c r="Q298" s="4" t="s">
        <v>89</v>
      </c>
      <c r="R298" s="4"/>
      <c r="S298" s="4">
        <v>3922</v>
      </c>
      <c r="T298" s="4" t="s">
        <v>2551</v>
      </c>
      <c r="U298" s="4"/>
      <c r="V298" s="4"/>
      <c r="W298" s="4" t="s">
        <v>118</v>
      </c>
      <c r="X298" s="4">
        <f t="shared" si="4"/>
        <v>2</v>
      </c>
      <c r="Y298" s="4"/>
      <c r="Z298" s="4"/>
      <c r="AA298" s="4"/>
      <c r="AB298" s="4"/>
      <c r="AC298" s="4">
        <v>1</v>
      </c>
      <c r="AD298" s="4"/>
      <c r="AE298" s="4"/>
    </row>
    <row r="299" spans="1:31" s="244" customFormat="1" x14ac:dyDescent="0.2">
      <c r="A299" s="250"/>
      <c r="B299" s="266" t="s">
        <v>3349</v>
      </c>
      <c r="C299" s="242">
        <v>295</v>
      </c>
      <c r="D299" s="242" t="s">
        <v>976</v>
      </c>
      <c r="E299" s="242" t="s">
        <v>979</v>
      </c>
      <c r="F299" s="242" t="s">
        <v>984</v>
      </c>
      <c r="G299" s="4" t="s">
        <v>2276</v>
      </c>
      <c r="H299" s="4" t="s">
        <v>41</v>
      </c>
      <c r="I299" s="4" t="s">
        <v>40</v>
      </c>
      <c r="J299" s="4">
        <v>30295</v>
      </c>
      <c r="K299" s="202" t="s">
        <v>99</v>
      </c>
      <c r="L299" s="4">
        <v>19</v>
      </c>
      <c r="M299" s="4">
        <v>6</v>
      </c>
      <c r="N299" s="4" t="str">
        <f>_xlfn.CONCAT("DBX",((L299-1)*2),".6")</f>
        <v>DBX36.6</v>
      </c>
      <c r="O299" s="4" t="s">
        <v>781</v>
      </c>
      <c r="P299" s="4" t="s">
        <v>99</v>
      </c>
      <c r="Q299" s="242" t="s">
        <v>89</v>
      </c>
      <c r="R299" s="242"/>
      <c r="S299" s="242">
        <v>3922</v>
      </c>
      <c r="T299" s="242" t="s">
        <v>2551</v>
      </c>
      <c r="U299" s="242"/>
      <c r="V299" s="242" t="s">
        <v>3044</v>
      </c>
      <c r="W299" s="242" t="s">
        <v>121</v>
      </c>
      <c r="X299" s="242">
        <f t="shared" si="4"/>
        <v>5</v>
      </c>
      <c r="Y299" s="242"/>
      <c r="Z299" s="242"/>
      <c r="AA299" s="242"/>
      <c r="AB299" s="242"/>
      <c r="AC299" s="266">
        <v>0</v>
      </c>
      <c r="AD299" s="242"/>
      <c r="AE299" s="242"/>
    </row>
    <row r="300" spans="1:31" s="244" customFormat="1" x14ac:dyDescent="0.2">
      <c r="A300" s="250"/>
      <c r="B300" s="266" t="s">
        <v>3349</v>
      </c>
      <c r="C300" s="242">
        <v>296</v>
      </c>
      <c r="D300" s="242" t="s">
        <v>977</v>
      </c>
      <c r="E300" s="242" t="s">
        <v>981</v>
      </c>
      <c r="F300" s="242" t="s">
        <v>985</v>
      </c>
      <c r="G300" s="4" t="s">
        <v>72</v>
      </c>
      <c r="H300" s="4" t="s">
        <v>41</v>
      </c>
      <c r="I300" s="4" t="s">
        <v>84</v>
      </c>
      <c r="J300" s="4">
        <v>30296</v>
      </c>
      <c r="K300" s="202" t="s">
        <v>99</v>
      </c>
      <c r="L300" s="4">
        <v>19</v>
      </c>
      <c r="M300" s="4">
        <v>7</v>
      </c>
      <c r="N300" s="4" t="str">
        <f>_xlfn.CONCAT("DBX",((L300-1)*2),".7")</f>
        <v>DBX36.7</v>
      </c>
      <c r="O300" s="4" t="s">
        <v>781</v>
      </c>
      <c r="P300" s="4" t="s">
        <v>99</v>
      </c>
      <c r="Q300" s="242" t="s">
        <v>89</v>
      </c>
      <c r="R300" s="242"/>
      <c r="S300" s="242">
        <v>3922</v>
      </c>
      <c r="T300" s="242" t="s">
        <v>2551</v>
      </c>
      <c r="U300" s="242"/>
      <c r="V300" s="242" t="s">
        <v>3045</v>
      </c>
      <c r="W300" s="242" t="s">
        <v>121</v>
      </c>
      <c r="X300" s="242">
        <f t="shared" si="4"/>
        <v>5</v>
      </c>
      <c r="Y300" s="242"/>
      <c r="Z300" s="242"/>
      <c r="AA300" s="242"/>
      <c r="AB300" s="242"/>
      <c r="AC300" s="266">
        <v>0</v>
      </c>
      <c r="AD300" s="242"/>
      <c r="AE300" s="242"/>
    </row>
    <row r="301" spans="1:31" s="244" customFormat="1" x14ac:dyDescent="0.2">
      <c r="A301" s="250"/>
      <c r="B301" s="266" t="s">
        <v>3349</v>
      </c>
      <c r="C301" s="242">
        <v>297</v>
      </c>
      <c r="D301" s="242" t="s">
        <v>978</v>
      </c>
      <c r="E301" s="242" t="s">
        <v>982</v>
      </c>
      <c r="F301" s="242" t="s">
        <v>986</v>
      </c>
      <c r="G301" s="4" t="s">
        <v>72</v>
      </c>
      <c r="H301" s="4" t="s">
        <v>41</v>
      </c>
      <c r="I301" s="4" t="s">
        <v>84</v>
      </c>
      <c r="J301" s="4">
        <v>30297</v>
      </c>
      <c r="K301" s="202" t="s">
        <v>99</v>
      </c>
      <c r="L301" s="4">
        <v>19</v>
      </c>
      <c r="M301" s="4">
        <v>8</v>
      </c>
      <c r="N301" s="4" t="str">
        <f>_xlfn.CONCAT("DBX",((L301-1)*2)+1,".0")</f>
        <v>DBX37.0</v>
      </c>
      <c r="O301" s="4" t="s">
        <v>781</v>
      </c>
      <c r="P301" s="4" t="s">
        <v>99</v>
      </c>
      <c r="Q301" s="242" t="s">
        <v>89</v>
      </c>
      <c r="R301" s="242"/>
      <c r="S301" s="242">
        <v>3922</v>
      </c>
      <c r="T301" s="242" t="s">
        <v>2551</v>
      </c>
      <c r="U301" s="242"/>
      <c r="V301" s="242" t="s">
        <v>3046</v>
      </c>
      <c r="W301" s="242" t="s">
        <v>121</v>
      </c>
      <c r="X301" s="242">
        <f t="shared" si="4"/>
        <v>5</v>
      </c>
      <c r="Y301" s="242"/>
      <c r="Z301" s="242"/>
      <c r="AA301" s="242"/>
      <c r="AB301" s="242"/>
      <c r="AC301" s="266">
        <v>0</v>
      </c>
      <c r="AD301" s="242"/>
      <c r="AE301" s="242"/>
    </row>
    <row r="302" spans="1:31" s="244" customFormat="1" x14ac:dyDescent="0.2">
      <c r="A302" s="250"/>
      <c r="B302" s="266" t="s">
        <v>3349</v>
      </c>
      <c r="C302" s="242">
        <v>298</v>
      </c>
      <c r="D302" s="242" t="s">
        <v>980</v>
      </c>
      <c r="E302" s="242" t="s">
        <v>983</v>
      </c>
      <c r="F302" s="242" t="s">
        <v>987</v>
      </c>
      <c r="G302" s="4" t="s">
        <v>72</v>
      </c>
      <c r="H302" s="4" t="s">
        <v>41</v>
      </c>
      <c r="I302" s="4" t="s">
        <v>84</v>
      </c>
      <c r="J302" s="4">
        <v>30298</v>
      </c>
      <c r="K302" s="202" t="s">
        <v>99</v>
      </c>
      <c r="L302" s="4">
        <v>19</v>
      </c>
      <c r="M302" s="4">
        <v>9</v>
      </c>
      <c r="N302" s="4" t="str">
        <f>_xlfn.CONCAT("DBX",((L302-1)*2)+1,".1")</f>
        <v>DBX37.1</v>
      </c>
      <c r="O302" s="4" t="s">
        <v>781</v>
      </c>
      <c r="P302" s="4" t="s">
        <v>99</v>
      </c>
      <c r="Q302" s="242" t="s">
        <v>89</v>
      </c>
      <c r="R302" s="242"/>
      <c r="S302" s="242">
        <v>3922</v>
      </c>
      <c r="T302" s="242" t="s">
        <v>2551</v>
      </c>
      <c r="U302" s="242"/>
      <c r="V302" s="242" t="s">
        <v>3047</v>
      </c>
      <c r="W302" s="242" t="s">
        <v>121</v>
      </c>
      <c r="X302" s="242">
        <f t="shared" si="4"/>
        <v>5</v>
      </c>
      <c r="Y302" s="242"/>
      <c r="Z302" s="242"/>
      <c r="AA302" s="242"/>
      <c r="AB302" s="242"/>
      <c r="AC302" s="266">
        <v>0</v>
      </c>
      <c r="AD302" s="242"/>
      <c r="AE302" s="242"/>
    </row>
    <row r="303" spans="1:31" s="244" customFormat="1" x14ac:dyDescent="0.2">
      <c r="A303" s="250"/>
      <c r="B303" s="266" t="s">
        <v>3349</v>
      </c>
      <c r="C303" s="242">
        <v>299</v>
      </c>
      <c r="D303" s="242" t="s">
        <v>974</v>
      </c>
      <c r="E303" s="242" t="s">
        <v>975</v>
      </c>
      <c r="F303" s="242" t="s">
        <v>996</v>
      </c>
      <c r="G303" s="4" t="s">
        <v>2667</v>
      </c>
      <c r="H303" s="4" t="s">
        <v>41</v>
      </c>
      <c r="I303" s="4" t="s">
        <v>40</v>
      </c>
      <c r="J303" s="4">
        <v>30299</v>
      </c>
      <c r="K303" s="202" t="s">
        <v>99</v>
      </c>
      <c r="L303" s="4">
        <v>19</v>
      </c>
      <c r="M303" s="4">
        <v>10</v>
      </c>
      <c r="N303" s="4" t="str">
        <f>_xlfn.CONCAT("DBX",((L303-1)*2)+1,".2")</f>
        <v>DBX37.2</v>
      </c>
      <c r="O303" s="4" t="s">
        <v>781</v>
      </c>
      <c r="P303" s="4" t="s">
        <v>99</v>
      </c>
      <c r="Q303" s="242" t="s">
        <v>89</v>
      </c>
      <c r="R303" s="242"/>
      <c r="S303" s="242">
        <v>3922</v>
      </c>
      <c r="T303" s="242" t="s">
        <v>2551</v>
      </c>
      <c r="U303" s="242"/>
      <c r="V303" s="242" t="s">
        <v>3048</v>
      </c>
      <c r="W303" s="242" t="s">
        <v>121</v>
      </c>
      <c r="X303" s="242">
        <f t="shared" si="4"/>
        <v>5</v>
      </c>
      <c r="Y303" s="242"/>
      <c r="Z303" s="242"/>
      <c r="AA303" s="242"/>
      <c r="AB303" s="242"/>
      <c r="AC303" s="266">
        <v>0</v>
      </c>
      <c r="AD303" s="242"/>
      <c r="AE303" s="242"/>
    </row>
    <row r="304" spans="1:31" s="244" customFormat="1" x14ac:dyDescent="0.2">
      <c r="A304" s="250"/>
      <c r="B304" s="266" t="s">
        <v>3349</v>
      </c>
      <c r="C304" s="242">
        <v>300</v>
      </c>
      <c r="D304" s="242" t="s">
        <v>988</v>
      </c>
      <c r="E304" s="242" t="s">
        <v>992</v>
      </c>
      <c r="F304" s="242" t="s">
        <v>997</v>
      </c>
      <c r="G304" s="4" t="s">
        <v>72</v>
      </c>
      <c r="H304" s="4" t="s">
        <v>41</v>
      </c>
      <c r="I304" s="4" t="s">
        <v>84</v>
      </c>
      <c r="J304" s="4">
        <v>30300</v>
      </c>
      <c r="K304" s="202" t="s">
        <v>99</v>
      </c>
      <c r="L304" s="4">
        <v>19</v>
      </c>
      <c r="M304" s="4">
        <v>11</v>
      </c>
      <c r="N304" s="4" t="str">
        <f>_xlfn.CONCAT("DBX",((L304-1)*2)+1,".3")</f>
        <v>DBX37.3</v>
      </c>
      <c r="O304" s="4" t="s">
        <v>781</v>
      </c>
      <c r="P304" s="4" t="s">
        <v>99</v>
      </c>
      <c r="Q304" s="242" t="s">
        <v>89</v>
      </c>
      <c r="R304" s="242"/>
      <c r="S304" s="242">
        <v>3922</v>
      </c>
      <c r="T304" s="242" t="s">
        <v>2551</v>
      </c>
      <c r="U304" s="242"/>
      <c r="V304" s="242" t="s">
        <v>3049</v>
      </c>
      <c r="W304" s="242" t="s">
        <v>121</v>
      </c>
      <c r="X304" s="242">
        <f t="shared" si="4"/>
        <v>5</v>
      </c>
      <c r="Y304" s="242"/>
      <c r="Z304" s="242"/>
      <c r="AA304" s="242"/>
      <c r="AB304" s="242"/>
      <c r="AC304" s="266">
        <v>0</v>
      </c>
      <c r="AD304" s="242"/>
      <c r="AE304" s="242"/>
    </row>
    <row r="305" spans="1:31" s="244" customFormat="1" x14ac:dyDescent="0.2">
      <c r="A305" s="250"/>
      <c r="B305" s="266" t="s">
        <v>3349</v>
      </c>
      <c r="C305" s="267">
        <v>301</v>
      </c>
      <c r="D305" s="267" t="s">
        <v>989</v>
      </c>
      <c r="E305" s="267" t="s">
        <v>993</v>
      </c>
      <c r="F305" s="267" t="s">
        <v>2338</v>
      </c>
      <c r="G305" s="205" t="s">
        <v>72</v>
      </c>
      <c r="H305" s="205" t="s">
        <v>41</v>
      </c>
      <c r="I305" s="205" t="s">
        <v>84</v>
      </c>
      <c r="J305" s="205">
        <v>30301</v>
      </c>
      <c r="K305" s="206" t="s">
        <v>99</v>
      </c>
      <c r="L305" s="205">
        <v>19</v>
      </c>
      <c r="M305" s="205">
        <v>12</v>
      </c>
      <c r="N305" s="205" t="str">
        <f>_xlfn.CONCAT("DBX",((L305-1)*2)+1,".4")</f>
        <v>DBX37.4</v>
      </c>
      <c r="O305" s="205" t="s">
        <v>781</v>
      </c>
      <c r="P305" s="205" t="s">
        <v>99</v>
      </c>
      <c r="Q305" s="267" t="s">
        <v>89</v>
      </c>
      <c r="R305" s="267"/>
      <c r="S305" s="267">
        <v>3922</v>
      </c>
      <c r="T305" s="267" t="s">
        <v>2551</v>
      </c>
      <c r="U305" s="267"/>
      <c r="V305" s="267" t="s">
        <v>3050</v>
      </c>
      <c r="W305" s="267" t="s">
        <v>121</v>
      </c>
      <c r="X305" s="267">
        <f t="shared" si="4"/>
        <v>5</v>
      </c>
      <c r="Y305" s="267"/>
      <c r="Z305" s="267"/>
      <c r="AA305" s="267"/>
      <c r="AB305" s="267"/>
      <c r="AC305" s="266">
        <v>0</v>
      </c>
      <c r="AD305" s="267"/>
      <c r="AE305" s="267"/>
    </row>
    <row r="306" spans="1:31" s="244" customFormat="1" x14ac:dyDescent="0.2">
      <c r="A306" s="250"/>
      <c r="B306" s="266" t="s">
        <v>3349</v>
      </c>
      <c r="C306" s="242">
        <v>302</v>
      </c>
      <c r="D306" s="242" t="s">
        <v>990</v>
      </c>
      <c r="E306" s="242" t="s">
        <v>994</v>
      </c>
      <c r="F306" s="242" t="s">
        <v>998</v>
      </c>
      <c r="G306" s="4" t="s">
        <v>72</v>
      </c>
      <c r="H306" s="4" t="s">
        <v>41</v>
      </c>
      <c r="I306" s="4" t="s">
        <v>84</v>
      </c>
      <c r="J306" s="4">
        <v>30302</v>
      </c>
      <c r="K306" s="202" t="s">
        <v>99</v>
      </c>
      <c r="L306" s="4">
        <v>19</v>
      </c>
      <c r="M306" s="4">
        <v>13</v>
      </c>
      <c r="N306" s="4" t="str">
        <f>_xlfn.CONCAT("DBX",((L306-1)*2)+1,".5")</f>
        <v>DBX37.5</v>
      </c>
      <c r="O306" s="4" t="s">
        <v>781</v>
      </c>
      <c r="P306" s="4" t="s">
        <v>99</v>
      </c>
      <c r="Q306" s="242" t="s">
        <v>89</v>
      </c>
      <c r="R306" s="242"/>
      <c r="S306" s="242">
        <v>3922</v>
      </c>
      <c r="T306" s="242" t="s">
        <v>2551</v>
      </c>
      <c r="U306" s="242"/>
      <c r="V306" s="242" t="s">
        <v>3051</v>
      </c>
      <c r="W306" s="242" t="s">
        <v>121</v>
      </c>
      <c r="X306" s="242">
        <f t="shared" si="4"/>
        <v>5</v>
      </c>
      <c r="Y306" s="242"/>
      <c r="Z306" s="242"/>
      <c r="AA306" s="242"/>
      <c r="AB306" s="242"/>
      <c r="AC306" s="266">
        <v>0</v>
      </c>
      <c r="AD306" s="242"/>
      <c r="AE306" s="242"/>
    </row>
    <row r="307" spans="1:31" s="244" customFormat="1" x14ac:dyDescent="0.2">
      <c r="A307" s="250"/>
      <c r="B307" s="266" t="s">
        <v>3349</v>
      </c>
      <c r="C307" s="242">
        <v>303</v>
      </c>
      <c r="D307" s="242" t="s">
        <v>991</v>
      </c>
      <c r="E307" s="242" t="s">
        <v>995</v>
      </c>
      <c r="F307" s="242" t="s">
        <v>999</v>
      </c>
      <c r="G307" s="208" t="s">
        <v>72</v>
      </c>
      <c r="H307" s="4" t="s">
        <v>41</v>
      </c>
      <c r="I307" s="4" t="s">
        <v>84</v>
      </c>
      <c r="J307" s="4">
        <v>30303</v>
      </c>
      <c r="K307" s="202" t="s">
        <v>99</v>
      </c>
      <c r="L307" s="4">
        <v>19</v>
      </c>
      <c r="M307" s="4">
        <v>14</v>
      </c>
      <c r="N307" s="4" t="str">
        <f>_xlfn.CONCAT("DBX",((L307-1)*2)+1,".6")</f>
        <v>DBX37.6</v>
      </c>
      <c r="O307" s="4" t="s">
        <v>781</v>
      </c>
      <c r="P307" s="4" t="s">
        <v>99</v>
      </c>
      <c r="Q307" s="242" t="s">
        <v>89</v>
      </c>
      <c r="R307" s="242"/>
      <c r="S307" s="242">
        <v>3922</v>
      </c>
      <c r="T307" s="242" t="s">
        <v>2551</v>
      </c>
      <c r="U307" s="242"/>
      <c r="V307" s="242" t="s">
        <v>3052</v>
      </c>
      <c r="W307" s="242" t="s">
        <v>121</v>
      </c>
      <c r="X307" s="242">
        <f t="shared" si="4"/>
        <v>5</v>
      </c>
      <c r="Y307" s="242"/>
      <c r="Z307" s="242"/>
      <c r="AA307" s="242"/>
      <c r="AB307" s="242"/>
      <c r="AC307" s="266">
        <v>0</v>
      </c>
      <c r="AD307" s="242"/>
      <c r="AE307" s="242"/>
    </row>
    <row r="308" spans="1:31" x14ac:dyDescent="0.2">
      <c r="A308" s="201"/>
      <c r="B308" s="4" t="s">
        <v>34</v>
      </c>
      <c r="C308" s="4">
        <v>304</v>
      </c>
      <c r="D308" s="4"/>
      <c r="E308" s="4"/>
      <c r="F308" s="4"/>
      <c r="G308" s="4"/>
      <c r="H308" s="4"/>
      <c r="I308" s="4"/>
      <c r="J308" s="4">
        <v>30304</v>
      </c>
      <c r="K308" s="202"/>
      <c r="L308" s="4">
        <v>19</v>
      </c>
      <c r="M308" s="4">
        <v>15</v>
      </c>
      <c r="N308" s="4" t="str">
        <f>_xlfn.CONCAT("DBX",((L308-1)*2)+1,".7")</f>
        <v>DBX37.7</v>
      </c>
      <c r="O308" s="4" t="s">
        <v>781</v>
      </c>
      <c r="P308" s="4"/>
      <c r="Q308" s="4"/>
      <c r="R308" s="4"/>
      <c r="S308" s="4"/>
      <c r="T308" s="4"/>
      <c r="U308" s="4"/>
      <c r="V308" s="4"/>
      <c r="W308" s="4"/>
      <c r="X308" s="4" t="e">
        <f t="shared" si="4"/>
        <v>#N/A</v>
      </c>
      <c r="Y308" s="4"/>
      <c r="Z308" s="4"/>
      <c r="AA308" s="4"/>
      <c r="AB308" s="4"/>
      <c r="AC308" s="4"/>
      <c r="AD308" s="4"/>
      <c r="AE308" s="4"/>
    </row>
    <row r="309" spans="1:31" x14ac:dyDescent="0.2">
      <c r="A309" s="201"/>
      <c r="B309" s="4" t="s">
        <v>34</v>
      </c>
      <c r="C309" s="4">
        <v>305</v>
      </c>
      <c r="D309" s="4"/>
      <c r="E309" s="4"/>
      <c r="F309" s="4"/>
      <c r="G309" s="4"/>
      <c r="H309" s="4"/>
      <c r="I309" s="4"/>
      <c r="J309" s="4">
        <v>30305</v>
      </c>
      <c r="K309" s="202"/>
      <c r="L309" s="4">
        <v>20</v>
      </c>
      <c r="M309" s="4">
        <v>0</v>
      </c>
      <c r="N309" s="4" t="str">
        <f>_xlfn.CONCAT("DBX",((L309-1)*2),".0")</f>
        <v>DBX38.0</v>
      </c>
      <c r="O309" s="4" t="s">
        <v>781</v>
      </c>
      <c r="P309" s="4"/>
      <c r="Q309" s="4"/>
      <c r="R309" s="4"/>
      <c r="S309" s="4"/>
      <c r="T309" s="4"/>
      <c r="U309" s="4"/>
      <c r="V309" s="4"/>
      <c r="W309" s="4"/>
      <c r="X309" s="4" t="e">
        <f t="shared" si="4"/>
        <v>#N/A</v>
      </c>
      <c r="Y309" s="4"/>
      <c r="Z309" s="4"/>
      <c r="AA309" s="4"/>
      <c r="AB309" s="4"/>
      <c r="AC309" s="4"/>
      <c r="AD309" s="4"/>
      <c r="AE309" s="4"/>
    </row>
    <row r="310" spans="1:31" x14ac:dyDescent="0.2">
      <c r="A310" s="201"/>
      <c r="B310" s="4" t="s">
        <v>34</v>
      </c>
      <c r="C310" s="4">
        <v>306</v>
      </c>
      <c r="D310" s="4"/>
      <c r="E310" s="4"/>
      <c r="F310" s="4"/>
      <c r="G310" s="4"/>
      <c r="H310" s="4"/>
      <c r="I310" s="4"/>
      <c r="J310" s="4">
        <v>30306</v>
      </c>
      <c r="K310" s="202"/>
      <c r="L310" s="4">
        <v>20</v>
      </c>
      <c r="M310" s="4">
        <v>1</v>
      </c>
      <c r="N310" s="4" t="str">
        <f>_xlfn.CONCAT("DBX",((L310-1)*2),".1")</f>
        <v>DBX38.1</v>
      </c>
      <c r="O310" s="4" t="s">
        <v>781</v>
      </c>
      <c r="P310" s="4"/>
      <c r="Q310" s="4"/>
      <c r="R310" s="4"/>
      <c r="S310" s="4"/>
      <c r="T310" s="4"/>
      <c r="U310" s="4"/>
      <c r="V310" s="4"/>
      <c r="W310" s="4"/>
      <c r="X310" s="4" t="e">
        <f t="shared" si="4"/>
        <v>#N/A</v>
      </c>
      <c r="Y310" s="4"/>
      <c r="Z310" s="4"/>
      <c r="AA310" s="4"/>
      <c r="AB310" s="4"/>
      <c r="AC310" s="4"/>
      <c r="AD310" s="4"/>
      <c r="AE310" s="4"/>
    </row>
    <row r="311" spans="1:31" x14ac:dyDescent="0.2">
      <c r="A311" s="201"/>
      <c r="B311" s="4" t="s">
        <v>3170</v>
      </c>
      <c r="C311" s="4">
        <v>307</v>
      </c>
      <c r="D311" s="4" t="s">
        <v>1000</v>
      </c>
      <c r="E311" s="4" t="s">
        <v>1001</v>
      </c>
      <c r="F311" s="4" t="s">
        <v>2345</v>
      </c>
      <c r="G311" s="4" t="s">
        <v>72</v>
      </c>
      <c r="H311" s="4" t="s">
        <v>41</v>
      </c>
      <c r="I311" s="4" t="s">
        <v>84</v>
      </c>
      <c r="J311" s="4">
        <v>30307</v>
      </c>
      <c r="K311" s="202" t="s">
        <v>1037</v>
      </c>
      <c r="L311" s="4">
        <v>20</v>
      </c>
      <c r="M311" s="4">
        <v>2</v>
      </c>
      <c r="N311" s="4" t="str">
        <f>_xlfn.CONCAT("DBX",((L311-1)*2),".2")</f>
        <v>DBX38.2</v>
      </c>
      <c r="O311" s="4" t="s">
        <v>781</v>
      </c>
      <c r="P311" s="4" t="s">
        <v>1036</v>
      </c>
      <c r="Q311" s="4" t="s">
        <v>12</v>
      </c>
      <c r="R311" s="4"/>
      <c r="S311" s="4">
        <v>3922</v>
      </c>
      <c r="T311" s="4" t="s">
        <v>2551</v>
      </c>
      <c r="U311" s="4"/>
      <c r="V311" s="4" t="s">
        <v>3053</v>
      </c>
      <c r="W311" s="4" t="s">
        <v>129</v>
      </c>
      <c r="X311" s="4">
        <f t="shared" si="4"/>
        <v>13</v>
      </c>
      <c r="Y311" s="4"/>
      <c r="Z311" s="4"/>
      <c r="AA311" s="4"/>
      <c r="AB311" s="4"/>
      <c r="AC311" s="4">
        <v>1</v>
      </c>
      <c r="AD311" s="4"/>
      <c r="AE311" s="4"/>
    </row>
    <row r="312" spans="1:31" x14ac:dyDescent="0.2">
      <c r="A312" s="201"/>
      <c r="B312" s="4" t="s">
        <v>3170</v>
      </c>
      <c r="C312" s="4">
        <v>308</v>
      </c>
      <c r="D312" s="4" t="s">
        <v>1002</v>
      </c>
      <c r="E312" s="4" t="s">
        <v>1003</v>
      </c>
      <c r="F312" s="4" t="s">
        <v>2346</v>
      </c>
      <c r="G312" s="4" t="s">
        <v>72</v>
      </c>
      <c r="H312" s="4" t="s">
        <v>41</v>
      </c>
      <c r="I312" s="4" t="s">
        <v>84</v>
      </c>
      <c r="J312" s="4">
        <v>30308</v>
      </c>
      <c r="K312" s="202" t="s">
        <v>1037</v>
      </c>
      <c r="L312" s="4">
        <v>20</v>
      </c>
      <c r="M312" s="4">
        <v>3</v>
      </c>
      <c r="N312" s="4" t="str">
        <f>_xlfn.CONCAT("DBX",((L312-1)*2),".3")</f>
        <v>DBX38.3</v>
      </c>
      <c r="O312" s="4" t="s">
        <v>781</v>
      </c>
      <c r="P312" s="4" t="s">
        <v>99</v>
      </c>
      <c r="Q312" s="4" t="s">
        <v>89</v>
      </c>
      <c r="R312" s="4"/>
      <c r="S312" s="4">
        <v>3922</v>
      </c>
      <c r="T312" s="4" t="s">
        <v>2551</v>
      </c>
      <c r="U312" s="4"/>
      <c r="V312" s="4" t="s">
        <v>3053</v>
      </c>
      <c r="W312" s="4" t="s">
        <v>121</v>
      </c>
      <c r="X312" s="4">
        <f t="shared" si="4"/>
        <v>5</v>
      </c>
      <c r="Y312" s="4"/>
      <c r="Z312" s="4"/>
      <c r="AA312" s="4"/>
      <c r="AB312" s="4"/>
      <c r="AC312" s="4">
        <v>1</v>
      </c>
      <c r="AD312" s="4"/>
      <c r="AE312" s="4"/>
    </row>
    <row r="313" spans="1:31" x14ac:dyDescent="0.2">
      <c r="A313" s="201"/>
      <c r="B313" s="4" t="s">
        <v>3170</v>
      </c>
      <c r="C313" s="4">
        <v>309</v>
      </c>
      <c r="D313" s="4" t="s">
        <v>1004</v>
      </c>
      <c r="E313" s="4" t="s">
        <v>1005</v>
      </c>
      <c r="F313" s="4" t="s">
        <v>2351</v>
      </c>
      <c r="G313" s="4" t="s">
        <v>40</v>
      </c>
      <c r="H313" s="4" t="s">
        <v>41</v>
      </c>
      <c r="I313" s="4" t="s">
        <v>40</v>
      </c>
      <c r="J313" s="4">
        <v>30309</v>
      </c>
      <c r="K313" s="202" t="s">
        <v>1037</v>
      </c>
      <c r="L313" s="4">
        <v>20</v>
      </c>
      <c r="M313" s="4">
        <v>4</v>
      </c>
      <c r="N313" s="4" t="str">
        <f>_xlfn.CONCAT("DBX",((L313-1)*2),".4")</f>
        <v>DBX38.4</v>
      </c>
      <c r="O313" s="4" t="s">
        <v>781</v>
      </c>
      <c r="P313" s="4" t="s">
        <v>1043</v>
      </c>
      <c r="Q313" s="4" t="s">
        <v>91</v>
      </c>
      <c r="R313" s="4"/>
      <c r="S313" s="4">
        <v>3922</v>
      </c>
      <c r="T313" s="4" t="s">
        <v>2551</v>
      </c>
      <c r="U313" s="4"/>
      <c r="V313" s="4" t="s">
        <v>3053</v>
      </c>
      <c r="W313" s="4" t="s">
        <v>121</v>
      </c>
      <c r="X313" s="4">
        <f t="shared" si="4"/>
        <v>5</v>
      </c>
      <c r="Y313" s="4"/>
      <c r="Z313" s="4"/>
      <c r="AA313" s="4"/>
      <c r="AB313" s="4"/>
      <c r="AC313" s="4">
        <v>1</v>
      </c>
      <c r="AD313" s="4"/>
      <c r="AE313" s="4"/>
    </row>
    <row r="314" spans="1:31" x14ac:dyDescent="0.2">
      <c r="A314" s="201"/>
      <c r="B314" s="4" t="s">
        <v>3170</v>
      </c>
      <c r="C314" s="4">
        <v>310</v>
      </c>
      <c r="D314" s="4" t="s">
        <v>1006</v>
      </c>
      <c r="E314" s="4" t="s">
        <v>1007</v>
      </c>
      <c r="F314" s="4" t="s">
        <v>2347</v>
      </c>
      <c r="G314" s="4" t="s">
        <v>72</v>
      </c>
      <c r="H314" s="4" t="s">
        <v>41</v>
      </c>
      <c r="I314" s="4" t="s">
        <v>84</v>
      </c>
      <c r="J314" s="4">
        <v>30310</v>
      </c>
      <c r="K314" s="202" t="s">
        <v>1038</v>
      </c>
      <c r="L314" s="4">
        <v>20</v>
      </c>
      <c r="M314" s="4">
        <v>5</v>
      </c>
      <c r="N314" s="4" t="str">
        <f>_xlfn.CONCAT("DBX",((L314-1)*2),".5")</f>
        <v>DBX38.5</v>
      </c>
      <c r="O314" s="4" t="s">
        <v>781</v>
      </c>
      <c r="P314" s="4" t="s">
        <v>1044</v>
      </c>
      <c r="Q314" s="4" t="s">
        <v>12</v>
      </c>
      <c r="R314" s="4"/>
      <c r="S314" s="4">
        <v>3922</v>
      </c>
      <c r="T314" s="4" t="s">
        <v>2551</v>
      </c>
      <c r="U314" s="4"/>
      <c r="V314" s="4" t="s">
        <v>3054</v>
      </c>
      <c r="W314" s="4" t="s">
        <v>129</v>
      </c>
      <c r="X314" s="4">
        <f t="shared" si="4"/>
        <v>13</v>
      </c>
      <c r="Y314" s="4"/>
      <c r="Z314" s="4"/>
      <c r="AA314" s="4"/>
      <c r="AB314" s="4"/>
      <c r="AC314" s="4">
        <v>1</v>
      </c>
      <c r="AD314" s="4"/>
      <c r="AE314" s="4"/>
    </row>
    <row r="315" spans="1:31" x14ac:dyDescent="0.2">
      <c r="A315" s="201"/>
      <c r="B315" s="4" t="s">
        <v>3170</v>
      </c>
      <c r="C315" s="4">
        <v>311</v>
      </c>
      <c r="D315" s="4" t="s">
        <v>1008</v>
      </c>
      <c r="E315" s="4" t="s">
        <v>1009</v>
      </c>
      <c r="F315" s="4" t="s">
        <v>2344</v>
      </c>
      <c r="G315" s="4" t="s">
        <v>72</v>
      </c>
      <c r="H315" s="4" t="s">
        <v>41</v>
      </c>
      <c r="I315" s="4" t="s">
        <v>84</v>
      </c>
      <c r="J315" s="4">
        <v>30311</v>
      </c>
      <c r="K315" s="202" t="s">
        <v>1038</v>
      </c>
      <c r="L315" s="4">
        <v>20</v>
      </c>
      <c r="M315" s="4">
        <v>6</v>
      </c>
      <c r="N315" s="4" t="str">
        <f>_xlfn.CONCAT("DBX",((L315-1)*2),".6")</f>
        <v>DBX38.6</v>
      </c>
      <c r="O315" s="4" t="s">
        <v>781</v>
      </c>
      <c r="P315" s="4" t="s">
        <v>99</v>
      </c>
      <c r="Q315" s="4" t="s">
        <v>89</v>
      </c>
      <c r="R315" s="4"/>
      <c r="S315" s="4">
        <v>3922</v>
      </c>
      <c r="T315" s="4" t="s">
        <v>2551</v>
      </c>
      <c r="U315" s="4"/>
      <c r="V315" s="4" t="s">
        <v>3054</v>
      </c>
      <c r="W315" s="4" t="s">
        <v>121</v>
      </c>
      <c r="X315" s="4">
        <f t="shared" si="4"/>
        <v>5</v>
      </c>
      <c r="Y315" s="4"/>
      <c r="Z315" s="4"/>
      <c r="AA315" s="4"/>
      <c r="AB315" s="4"/>
      <c r="AC315" s="4">
        <v>1</v>
      </c>
      <c r="AD315" s="4"/>
      <c r="AE315" s="4"/>
    </row>
    <row r="316" spans="1:31" x14ac:dyDescent="0.2">
      <c r="A316" s="201"/>
      <c r="B316" s="4" t="s">
        <v>3170</v>
      </c>
      <c r="C316" s="4">
        <v>312</v>
      </c>
      <c r="D316" s="4" t="s">
        <v>1010</v>
      </c>
      <c r="E316" s="4" t="s">
        <v>1011</v>
      </c>
      <c r="F316" s="4" t="s">
        <v>2348</v>
      </c>
      <c r="G316" s="4" t="s">
        <v>40</v>
      </c>
      <c r="H316" s="4" t="s">
        <v>41</v>
      </c>
      <c r="I316" s="4" t="s">
        <v>40</v>
      </c>
      <c r="J316" s="4">
        <v>30312</v>
      </c>
      <c r="K316" s="202" t="s">
        <v>1038</v>
      </c>
      <c r="L316" s="4">
        <v>20</v>
      </c>
      <c r="M316" s="4">
        <v>7</v>
      </c>
      <c r="N316" s="4" t="str">
        <f>_xlfn.CONCAT("DBX",((L316-1)*2),".7")</f>
        <v>DBX38.7</v>
      </c>
      <c r="O316" s="4" t="s">
        <v>781</v>
      </c>
      <c r="P316" s="4" t="s">
        <v>1045</v>
      </c>
      <c r="Q316" s="4" t="s">
        <v>91</v>
      </c>
      <c r="R316" s="4"/>
      <c r="S316" s="4">
        <v>3922</v>
      </c>
      <c r="T316" s="4" t="s">
        <v>2551</v>
      </c>
      <c r="U316" s="4"/>
      <c r="V316" s="4" t="s">
        <v>3054</v>
      </c>
      <c r="W316" s="4" t="s">
        <v>121</v>
      </c>
      <c r="X316" s="4">
        <f t="shared" si="4"/>
        <v>5</v>
      </c>
      <c r="Y316" s="4"/>
      <c r="Z316" s="4"/>
      <c r="AA316" s="4"/>
      <c r="AB316" s="4"/>
      <c r="AC316" s="4">
        <v>1</v>
      </c>
      <c r="AD316" s="4"/>
      <c r="AE316" s="4"/>
    </row>
    <row r="317" spans="1:31" x14ac:dyDescent="0.2">
      <c r="A317" s="201"/>
      <c r="B317" s="4" t="s">
        <v>3170</v>
      </c>
      <c r="C317" s="4">
        <v>313</v>
      </c>
      <c r="D317" s="4" t="s">
        <v>1012</v>
      </c>
      <c r="E317" s="4" t="s">
        <v>1013</v>
      </c>
      <c r="F317" s="4" t="s">
        <v>2349</v>
      </c>
      <c r="G317" s="4" t="s">
        <v>72</v>
      </c>
      <c r="H317" s="4" t="s">
        <v>41</v>
      </c>
      <c r="I317" s="4" t="s">
        <v>84</v>
      </c>
      <c r="J317" s="4">
        <v>30313</v>
      </c>
      <c r="K317" s="202" t="s">
        <v>1039</v>
      </c>
      <c r="L317" s="4">
        <v>20</v>
      </c>
      <c r="M317" s="4">
        <v>8</v>
      </c>
      <c r="N317" s="4" t="str">
        <f>_xlfn.CONCAT("DBX",((L317-1)*2)+1,".0")</f>
        <v>DBX39.0</v>
      </c>
      <c r="O317" s="4" t="s">
        <v>781</v>
      </c>
      <c r="P317" s="4" t="s">
        <v>1046</v>
      </c>
      <c r="Q317" s="4" t="s">
        <v>12</v>
      </c>
      <c r="R317" s="4"/>
      <c r="S317" s="4">
        <v>3922</v>
      </c>
      <c r="T317" s="4" t="s">
        <v>2551</v>
      </c>
      <c r="U317" s="4"/>
      <c r="V317" s="4" t="s">
        <v>3055</v>
      </c>
      <c r="W317" s="4" t="s">
        <v>129</v>
      </c>
      <c r="X317" s="4">
        <f t="shared" si="4"/>
        <v>13</v>
      </c>
      <c r="Y317" s="4"/>
      <c r="Z317" s="4"/>
      <c r="AA317" s="4"/>
      <c r="AB317" s="4"/>
      <c r="AC317" s="4">
        <v>1</v>
      </c>
      <c r="AD317" s="4"/>
      <c r="AE317" s="4"/>
    </row>
    <row r="318" spans="1:31" x14ac:dyDescent="0.2">
      <c r="A318" s="201"/>
      <c r="B318" s="4" t="s">
        <v>3170</v>
      </c>
      <c r="C318" s="4">
        <v>314</v>
      </c>
      <c r="D318" s="4" t="s">
        <v>1014</v>
      </c>
      <c r="E318" s="4" t="s">
        <v>1015</v>
      </c>
      <c r="F318" s="4" t="s">
        <v>2352</v>
      </c>
      <c r="G318" s="4" t="s">
        <v>72</v>
      </c>
      <c r="H318" s="4" t="s">
        <v>41</v>
      </c>
      <c r="I318" s="4" t="s">
        <v>84</v>
      </c>
      <c r="J318" s="4">
        <v>30314</v>
      </c>
      <c r="K318" s="202" t="s">
        <v>1039</v>
      </c>
      <c r="L318" s="4">
        <v>20</v>
      </c>
      <c r="M318" s="4">
        <v>9</v>
      </c>
      <c r="N318" s="4" t="str">
        <f>_xlfn.CONCAT("DBX",((L318-1)*2)+1,".1")</f>
        <v>DBX39.1</v>
      </c>
      <c r="O318" s="4" t="s">
        <v>781</v>
      </c>
      <c r="P318" s="4" t="s">
        <v>99</v>
      </c>
      <c r="Q318" s="4" t="s">
        <v>89</v>
      </c>
      <c r="R318" s="4"/>
      <c r="S318" s="4">
        <v>3922</v>
      </c>
      <c r="T318" s="4" t="s">
        <v>2551</v>
      </c>
      <c r="U318" s="4"/>
      <c r="V318" s="4" t="s">
        <v>3055</v>
      </c>
      <c r="W318" s="4" t="s">
        <v>121</v>
      </c>
      <c r="X318" s="4">
        <f t="shared" si="4"/>
        <v>5</v>
      </c>
      <c r="Y318" s="4"/>
      <c r="Z318" s="4"/>
      <c r="AA318" s="4"/>
      <c r="AB318" s="4"/>
      <c r="AC318" s="4">
        <v>1</v>
      </c>
      <c r="AD318" s="4"/>
      <c r="AE318" s="4"/>
    </row>
    <row r="319" spans="1:31" x14ac:dyDescent="0.2">
      <c r="A319" s="201"/>
      <c r="B319" s="4" t="s">
        <v>3170</v>
      </c>
      <c r="C319" s="4">
        <v>315</v>
      </c>
      <c r="D319" s="4" t="s">
        <v>1016</v>
      </c>
      <c r="E319" s="4" t="s">
        <v>1017</v>
      </c>
      <c r="F319" s="4" t="s">
        <v>2350</v>
      </c>
      <c r="G319" s="4" t="s">
        <v>40</v>
      </c>
      <c r="H319" s="4" t="s">
        <v>41</v>
      </c>
      <c r="I319" s="4" t="s">
        <v>40</v>
      </c>
      <c r="J319" s="4">
        <v>30315</v>
      </c>
      <c r="K319" s="202" t="s">
        <v>1039</v>
      </c>
      <c r="L319" s="4">
        <v>20</v>
      </c>
      <c r="M319" s="4">
        <v>10</v>
      </c>
      <c r="N319" s="4" t="str">
        <f>_xlfn.CONCAT("DBX",((L319-1)*2)+1,".2")</f>
        <v>DBX39.2</v>
      </c>
      <c r="O319" s="4" t="s">
        <v>781</v>
      </c>
      <c r="P319" s="4" t="s">
        <v>1047</v>
      </c>
      <c r="Q319" s="4" t="s">
        <v>91</v>
      </c>
      <c r="R319" s="4"/>
      <c r="S319" s="4">
        <v>3922</v>
      </c>
      <c r="T319" s="4" t="s">
        <v>2551</v>
      </c>
      <c r="U319" s="4"/>
      <c r="V319" s="4" t="s">
        <v>3055</v>
      </c>
      <c r="W319" s="4" t="s">
        <v>121</v>
      </c>
      <c r="X319" s="4">
        <f t="shared" si="4"/>
        <v>5</v>
      </c>
      <c r="Y319" s="4"/>
      <c r="Z319" s="4"/>
      <c r="AA319" s="4"/>
      <c r="AB319" s="4"/>
      <c r="AC319" s="4">
        <v>1</v>
      </c>
      <c r="AD319" s="4"/>
      <c r="AE319" s="4"/>
    </row>
    <row r="320" spans="1:31" x14ac:dyDescent="0.2">
      <c r="A320" s="201"/>
      <c r="B320" s="4" t="s">
        <v>3170</v>
      </c>
      <c r="C320" s="4">
        <v>316</v>
      </c>
      <c r="D320" s="4" t="s">
        <v>1018</v>
      </c>
      <c r="E320" s="4" t="s">
        <v>1019</v>
      </c>
      <c r="F320" s="4" t="s">
        <v>2339</v>
      </c>
      <c r="G320" s="4" t="s">
        <v>72</v>
      </c>
      <c r="H320" s="4" t="s">
        <v>41</v>
      </c>
      <c r="I320" s="4" t="s">
        <v>84</v>
      </c>
      <c r="J320" s="4">
        <v>30316</v>
      </c>
      <c r="K320" s="202" t="s">
        <v>1040</v>
      </c>
      <c r="L320" s="4">
        <v>20</v>
      </c>
      <c r="M320" s="4">
        <v>11</v>
      </c>
      <c r="N320" s="4" t="str">
        <f>_xlfn.CONCAT("DBX",((L320-1)*2)+1,".3")</f>
        <v>DBX39.3</v>
      </c>
      <c r="O320" s="4" t="s">
        <v>781</v>
      </c>
      <c r="P320" s="4" t="s">
        <v>1048</v>
      </c>
      <c r="Q320" s="4" t="s">
        <v>12</v>
      </c>
      <c r="R320" s="4"/>
      <c r="S320" s="4">
        <v>3922</v>
      </c>
      <c r="T320" s="4" t="s">
        <v>2551</v>
      </c>
      <c r="U320" s="4"/>
      <c r="V320" s="4" t="s">
        <v>3056</v>
      </c>
      <c r="W320" s="4" t="s">
        <v>129</v>
      </c>
      <c r="X320" s="4">
        <f t="shared" si="4"/>
        <v>13</v>
      </c>
      <c r="Y320" s="4"/>
      <c r="Z320" s="4"/>
      <c r="AA320" s="4"/>
      <c r="AB320" s="4"/>
      <c r="AC320" s="4">
        <v>1</v>
      </c>
      <c r="AD320" s="4"/>
      <c r="AE320" s="4"/>
    </row>
    <row r="321" spans="1:31" x14ac:dyDescent="0.2">
      <c r="A321" s="201"/>
      <c r="B321" s="4" t="s">
        <v>3170</v>
      </c>
      <c r="C321" s="4">
        <v>317</v>
      </c>
      <c r="D321" s="4" t="s">
        <v>1020</v>
      </c>
      <c r="E321" s="4" t="s">
        <v>1021</v>
      </c>
      <c r="F321" s="4" t="s">
        <v>2353</v>
      </c>
      <c r="G321" s="4" t="s">
        <v>72</v>
      </c>
      <c r="H321" s="4" t="s">
        <v>41</v>
      </c>
      <c r="I321" s="4" t="s">
        <v>84</v>
      </c>
      <c r="J321" s="4">
        <v>30317</v>
      </c>
      <c r="K321" s="202" t="s">
        <v>1040</v>
      </c>
      <c r="L321" s="4">
        <v>20</v>
      </c>
      <c r="M321" s="4">
        <v>12</v>
      </c>
      <c r="N321" s="4" t="str">
        <f>_xlfn.CONCAT("DBX",((L321-1)*2)+1,".4")</f>
        <v>DBX39.4</v>
      </c>
      <c r="O321" s="4" t="s">
        <v>781</v>
      </c>
      <c r="P321" s="4" t="s">
        <v>99</v>
      </c>
      <c r="Q321" s="4" t="s">
        <v>89</v>
      </c>
      <c r="R321" s="4"/>
      <c r="S321" s="4">
        <v>3922</v>
      </c>
      <c r="T321" s="4" t="s">
        <v>2551</v>
      </c>
      <c r="U321" s="4"/>
      <c r="V321" s="4" t="s">
        <v>3056</v>
      </c>
      <c r="W321" s="4" t="s">
        <v>121</v>
      </c>
      <c r="X321" s="4">
        <f t="shared" si="4"/>
        <v>5</v>
      </c>
      <c r="Y321" s="4"/>
      <c r="Z321" s="4"/>
      <c r="AA321" s="4"/>
      <c r="AB321" s="4"/>
      <c r="AC321" s="4">
        <v>1</v>
      </c>
      <c r="AD321" s="4"/>
      <c r="AE321" s="4"/>
    </row>
    <row r="322" spans="1:31" x14ac:dyDescent="0.2">
      <c r="A322" s="201"/>
      <c r="B322" s="4" t="s">
        <v>3170</v>
      </c>
      <c r="C322" s="4">
        <v>318</v>
      </c>
      <c r="D322" s="4" t="s">
        <v>1022</v>
      </c>
      <c r="E322" s="4" t="s">
        <v>1023</v>
      </c>
      <c r="F322" s="4" t="s">
        <v>2356</v>
      </c>
      <c r="G322" s="4" t="s">
        <v>40</v>
      </c>
      <c r="H322" s="4" t="s">
        <v>41</v>
      </c>
      <c r="I322" s="4" t="s">
        <v>40</v>
      </c>
      <c r="J322" s="4">
        <v>30318</v>
      </c>
      <c r="K322" s="202" t="s">
        <v>1040</v>
      </c>
      <c r="L322" s="4">
        <v>20</v>
      </c>
      <c r="M322" s="4">
        <v>13</v>
      </c>
      <c r="N322" s="4" t="str">
        <f>_xlfn.CONCAT("DBX",((L322-1)*2)+1,".5")</f>
        <v>DBX39.5</v>
      </c>
      <c r="O322" s="4" t="s">
        <v>781</v>
      </c>
      <c r="P322" s="4" t="s">
        <v>1049</v>
      </c>
      <c r="Q322" s="4" t="s">
        <v>91</v>
      </c>
      <c r="R322" s="4"/>
      <c r="S322" s="4">
        <v>3922</v>
      </c>
      <c r="T322" s="4" t="s">
        <v>2551</v>
      </c>
      <c r="U322" s="4"/>
      <c r="V322" s="4" t="s">
        <v>3056</v>
      </c>
      <c r="W322" s="4" t="s">
        <v>121</v>
      </c>
      <c r="X322" s="4">
        <f t="shared" si="4"/>
        <v>5</v>
      </c>
      <c r="Y322" s="4"/>
      <c r="Z322" s="4"/>
      <c r="AA322" s="4"/>
      <c r="AB322" s="4"/>
      <c r="AC322" s="4">
        <v>1</v>
      </c>
      <c r="AD322" s="4"/>
      <c r="AE322" s="4"/>
    </row>
    <row r="323" spans="1:31" x14ac:dyDescent="0.2">
      <c r="A323" s="201"/>
      <c r="B323" s="4" t="s">
        <v>3170</v>
      </c>
      <c r="C323" s="4">
        <v>319</v>
      </c>
      <c r="D323" s="4" t="s">
        <v>1024</v>
      </c>
      <c r="E323" s="4" t="s">
        <v>1025</v>
      </c>
      <c r="F323" s="4" t="s">
        <v>2354</v>
      </c>
      <c r="G323" s="4" t="s">
        <v>72</v>
      </c>
      <c r="H323" s="4" t="s">
        <v>41</v>
      </c>
      <c r="I323" s="4" t="s">
        <v>84</v>
      </c>
      <c r="J323" s="4">
        <v>30319</v>
      </c>
      <c r="K323" s="202" t="s">
        <v>1041</v>
      </c>
      <c r="L323" s="4">
        <v>20</v>
      </c>
      <c r="M323" s="4">
        <v>14</v>
      </c>
      <c r="N323" s="4" t="str">
        <f>_xlfn.CONCAT("DBX",((L323-1)*2)+1,".6")</f>
        <v>DBX39.6</v>
      </c>
      <c r="O323" s="4" t="s">
        <v>781</v>
      </c>
      <c r="P323" s="4" t="s">
        <v>1050</v>
      </c>
      <c r="Q323" s="4" t="s">
        <v>12</v>
      </c>
      <c r="R323" s="4"/>
      <c r="S323" s="4">
        <v>3922</v>
      </c>
      <c r="T323" s="4" t="s">
        <v>2551</v>
      </c>
      <c r="U323" s="4"/>
      <c r="V323" s="4" t="s">
        <v>3057</v>
      </c>
      <c r="W323" s="4" t="s">
        <v>129</v>
      </c>
      <c r="X323" s="4">
        <f t="shared" si="4"/>
        <v>13</v>
      </c>
      <c r="Y323" s="4"/>
      <c r="Z323" s="4"/>
      <c r="AA323" s="4"/>
      <c r="AB323" s="4"/>
      <c r="AC323" s="4">
        <v>1</v>
      </c>
      <c r="AD323" s="4"/>
      <c r="AE323" s="4"/>
    </row>
    <row r="324" spans="1:31" x14ac:dyDescent="0.2">
      <c r="A324" s="201"/>
      <c r="B324" s="4" t="s">
        <v>3170</v>
      </c>
      <c r="C324" s="4">
        <v>320</v>
      </c>
      <c r="D324" s="4" t="s">
        <v>1026</v>
      </c>
      <c r="E324" s="4" t="s">
        <v>1027</v>
      </c>
      <c r="F324" s="4" t="s">
        <v>2355</v>
      </c>
      <c r="G324" s="4" t="s">
        <v>72</v>
      </c>
      <c r="H324" s="4" t="s">
        <v>41</v>
      </c>
      <c r="I324" s="4" t="s">
        <v>84</v>
      </c>
      <c r="J324" s="4">
        <v>30320</v>
      </c>
      <c r="K324" s="202" t="s">
        <v>1041</v>
      </c>
      <c r="L324" s="4">
        <v>20</v>
      </c>
      <c r="M324" s="4">
        <v>15</v>
      </c>
      <c r="N324" s="4" t="str">
        <f>_xlfn.CONCAT("DBX",((L324-1)*2)+1,".7")</f>
        <v>DBX39.7</v>
      </c>
      <c r="O324" s="4" t="s">
        <v>781</v>
      </c>
      <c r="P324" s="4" t="s">
        <v>99</v>
      </c>
      <c r="Q324" s="4" t="s">
        <v>89</v>
      </c>
      <c r="R324" s="4"/>
      <c r="S324" s="4">
        <v>3922</v>
      </c>
      <c r="T324" s="4" t="s">
        <v>2551</v>
      </c>
      <c r="U324" s="4"/>
      <c r="V324" s="4" t="s">
        <v>3057</v>
      </c>
      <c r="W324" s="4" t="s">
        <v>121</v>
      </c>
      <c r="X324" s="4">
        <f t="shared" si="4"/>
        <v>5</v>
      </c>
      <c r="Y324" s="4"/>
      <c r="Z324" s="4"/>
      <c r="AA324" s="4"/>
      <c r="AB324" s="4"/>
      <c r="AC324" s="4">
        <v>1</v>
      </c>
      <c r="AD324" s="4"/>
      <c r="AE324" s="4"/>
    </row>
    <row r="325" spans="1:31" x14ac:dyDescent="0.2">
      <c r="A325" s="201"/>
      <c r="B325" s="4" t="s">
        <v>3170</v>
      </c>
      <c r="C325" s="4">
        <v>321</v>
      </c>
      <c r="D325" s="4" t="s">
        <v>1028</v>
      </c>
      <c r="E325" s="4" t="s">
        <v>1029</v>
      </c>
      <c r="F325" s="4" t="s">
        <v>2357</v>
      </c>
      <c r="G325" s="4" t="s">
        <v>40</v>
      </c>
      <c r="H325" s="4" t="s">
        <v>41</v>
      </c>
      <c r="I325" s="4" t="s">
        <v>40</v>
      </c>
      <c r="J325" s="4">
        <v>30321</v>
      </c>
      <c r="K325" s="202" t="s">
        <v>1041</v>
      </c>
      <c r="L325" s="4">
        <v>21</v>
      </c>
      <c r="M325" s="4">
        <v>0</v>
      </c>
      <c r="N325" s="4" t="str">
        <f>_xlfn.CONCAT("DBX",((L325-1)*2),".0")</f>
        <v>DBX40.0</v>
      </c>
      <c r="O325" s="4" t="s">
        <v>781</v>
      </c>
      <c r="P325" s="4" t="s">
        <v>1051</v>
      </c>
      <c r="Q325" s="4" t="s">
        <v>91</v>
      </c>
      <c r="R325" s="4"/>
      <c r="S325" s="4">
        <v>3922</v>
      </c>
      <c r="T325" s="4" t="s">
        <v>2551</v>
      </c>
      <c r="U325" s="4"/>
      <c r="V325" s="4" t="s">
        <v>3057</v>
      </c>
      <c r="W325" s="4" t="s">
        <v>121</v>
      </c>
      <c r="X325" s="4">
        <f t="shared" ref="X325:X388" si="5">VLOOKUP(W325,$W$1609:$X$1639,2,FALSE)</f>
        <v>5</v>
      </c>
      <c r="Y325" s="4"/>
      <c r="Z325" s="4"/>
      <c r="AA325" s="4"/>
      <c r="AB325" s="4"/>
      <c r="AC325" s="4">
        <v>1</v>
      </c>
      <c r="AD325" s="4"/>
      <c r="AE325" s="4"/>
    </row>
    <row r="326" spans="1:31" x14ac:dyDescent="0.2">
      <c r="A326" s="201"/>
      <c r="B326" s="4" t="s">
        <v>3170</v>
      </c>
      <c r="C326" s="4">
        <v>322</v>
      </c>
      <c r="D326" s="4" t="s">
        <v>1030</v>
      </c>
      <c r="E326" s="4" t="s">
        <v>1031</v>
      </c>
      <c r="F326" s="4" t="s">
        <v>2358</v>
      </c>
      <c r="G326" s="4" t="s">
        <v>72</v>
      </c>
      <c r="H326" s="4" t="s">
        <v>41</v>
      </c>
      <c r="I326" s="4" t="s">
        <v>84</v>
      </c>
      <c r="J326" s="4">
        <v>30322</v>
      </c>
      <c r="K326" s="202" t="s">
        <v>1042</v>
      </c>
      <c r="L326" s="4">
        <v>21</v>
      </c>
      <c r="M326" s="4">
        <v>1</v>
      </c>
      <c r="N326" s="4" t="str">
        <f>_xlfn.CONCAT("DBX",((L326-1)*2),".1")</f>
        <v>DBX40.1</v>
      </c>
      <c r="O326" s="4" t="s">
        <v>781</v>
      </c>
      <c r="P326" s="4" t="s">
        <v>1052</v>
      </c>
      <c r="Q326" s="4" t="s">
        <v>12</v>
      </c>
      <c r="R326" s="4"/>
      <c r="S326" s="4">
        <v>3922</v>
      </c>
      <c r="T326" s="4" t="s">
        <v>2551</v>
      </c>
      <c r="U326" s="4"/>
      <c r="V326" s="4" t="s">
        <v>3058</v>
      </c>
      <c r="W326" s="4" t="s">
        <v>129</v>
      </c>
      <c r="X326" s="4">
        <f t="shared" si="5"/>
        <v>13</v>
      </c>
      <c r="Y326" s="4"/>
      <c r="Z326" s="4"/>
      <c r="AA326" s="4"/>
      <c r="AB326" s="4"/>
      <c r="AC326" s="4">
        <v>1</v>
      </c>
      <c r="AD326" s="4"/>
      <c r="AE326" s="4"/>
    </row>
    <row r="327" spans="1:31" x14ac:dyDescent="0.2">
      <c r="A327" s="201"/>
      <c r="B327" s="4" t="s">
        <v>3170</v>
      </c>
      <c r="C327" s="4">
        <v>323</v>
      </c>
      <c r="D327" s="4" t="s">
        <v>1032</v>
      </c>
      <c r="E327" s="4" t="s">
        <v>1033</v>
      </c>
      <c r="F327" s="4" t="s">
        <v>2359</v>
      </c>
      <c r="G327" s="4" t="s">
        <v>72</v>
      </c>
      <c r="H327" s="4" t="s">
        <v>41</v>
      </c>
      <c r="I327" s="4" t="s">
        <v>84</v>
      </c>
      <c r="J327" s="4">
        <v>30323</v>
      </c>
      <c r="K327" s="202" t="s">
        <v>1042</v>
      </c>
      <c r="L327" s="4">
        <v>21</v>
      </c>
      <c r="M327" s="4">
        <v>2</v>
      </c>
      <c r="N327" s="4" t="str">
        <f>_xlfn.CONCAT("DBX",((L327-1)*2),".2")</f>
        <v>DBX40.2</v>
      </c>
      <c r="O327" s="4" t="s">
        <v>781</v>
      </c>
      <c r="P327" s="4" t="s">
        <v>99</v>
      </c>
      <c r="Q327" s="4" t="s">
        <v>89</v>
      </c>
      <c r="R327" s="4"/>
      <c r="S327" s="4">
        <v>3922</v>
      </c>
      <c r="T327" s="4" t="s">
        <v>2551</v>
      </c>
      <c r="U327" s="4"/>
      <c r="V327" s="4" t="s">
        <v>3058</v>
      </c>
      <c r="W327" s="4" t="s">
        <v>121</v>
      </c>
      <c r="X327" s="4">
        <f t="shared" si="5"/>
        <v>5</v>
      </c>
      <c r="Y327" s="4"/>
      <c r="Z327" s="4"/>
      <c r="AA327" s="4"/>
      <c r="AB327" s="4"/>
      <c r="AC327" s="4">
        <v>1</v>
      </c>
      <c r="AD327" s="4"/>
      <c r="AE327" s="4"/>
    </row>
    <row r="328" spans="1:31" x14ac:dyDescent="0.2">
      <c r="A328" s="201"/>
      <c r="B328" s="4" t="s">
        <v>3170</v>
      </c>
      <c r="C328" s="4">
        <v>324</v>
      </c>
      <c r="D328" s="4" t="s">
        <v>1034</v>
      </c>
      <c r="E328" s="4" t="s">
        <v>1035</v>
      </c>
      <c r="F328" s="4" t="s">
        <v>2360</v>
      </c>
      <c r="G328" s="4" t="s">
        <v>40</v>
      </c>
      <c r="H328" s="4" t="s">
        <v>41</v>
      </c>
      <c r="I328" s="4" t="s">
        <v>40</v>
      </c>
      <c r="J328" s="4">
        <v>30324</v>
      </c>
      <c r="K328" s="202" t="s">
        <v>1042</v>
      </c>
      <c r="L328" s="4">
        <v>21</v>
      </c>
      <c r="M328" s="4">
        <v>3</v>
      </c>
      <c r="N328" s="4" t="str">
        <f>_xlfn.CONCAT("DBX",((L328-1)*2),".3")</f>
        <v>DBX40.3</v>
      </c>
      <c r="O328" s="4" t="s">
        <v>781</v>
      </c>
      <c r="P328" s="4" t="s">
        <v>1053</v>
      </c>
      <c r="Q328" s="4" t="s">
        <v>91</v>
      </c>
      <c r="R328" s="4"/>
      <c r="S328" s="4">
        <v>3922</v>
      </c>
      <c r="T328" s="4" t="s">
        <v>2551</v>
      </c>
      <c r="U328" s="4"/>
      <c r="V328" s="4" t="s">
        <v>3058</v>
      </c>
      <c r="W328" s="4" t="s">
        <v>121</v>
      </c>
      <c r="X328" s="4">
        <f t="shared" si="5"/>
        <v>5</v>
      </c>
      <c r="Y328" s="4"/>
      <c r="Z328" s="4"/>
      <c r="AA328" s="4"/>
      <c r="AB328" s="4"/>
      <c r="AC328" s="4">
        <v>1</v>
      </c>
      <c r="AD328" s="4"/>
      <c r="AE328" s="4"/>
    </row>
    <row r="329" spans="1:31" s="244" customFormat="1" x14ac:dyDescent="0.2">
      <c r="A329" s="250"/>
      <c r="B329" s="266" t="s">
        <v>3349</v>
      </c>
      <c r="C329" s="242">
        <v>325</v>
      </c>
      <c r="D329" s="242" t="s">
        <v>1056</v>
      </c>
      <c r="E329" s="242" t="s">
        <v>1055</v>
      </c>
      <c r="F329" s="242" t="s">
        <v>2514</v>
      </c>
      <c r="G329" s="4" t="s">
        <v>72</v>
      </c>
      <c r="H329" s="4" t="s">
        <v>41</v>
      </c>
      <c r="I329" s="4" t="s">
        <v>84</v>
      </c>
      <c r="J329" s="4">
        <v>30325</v>
      </c>
      <c r="K329" s="202" t="s">
        <v>1057</v>
      </c>
      <c r="L329" s="4">
        <v>21</v>
      </c>
      <c r="M329" s="4">
        <v>4</v>
      </c>
      <c r="N329" s="4" t="str">
        <f>_xlfn.CONCAT("DBX",((L329-1)*2),".4")</f>
        <v>DBX40.4</v>
      </c>
      <c r="O329" s="4" t="s">
        <v>781</v>
      </c>
      <c r="P329" s="4" t="s">
        <v>99</v>
      </c>
      <c r="Q329" s="242" t="s">
        <v>89</v>
      </c>
      <c r="R329" s="242"/>
      <c r="S329" s="242">
        <v>3922</v>
      </c>
      <c r="T329" s="242" t="s">
        <v>2551</v>
      </c>
      <c r="U329" s="242"/>
      <c r="V329" s="242" t="s">
        <v>3219</v>
      </c>
      <c r="W329" s="242" t="s">
        <v>129</v>
      </c>
      <c r="X329" s="242">
        <f t="shared" si="5"/>
        <v>13</v>
      </c>
      <c r="Y329" s="242"/>
      <c r="Z329" s="242"/>
      <c r="AA329" s="242"/>
      <c r="AB329" s="242"/>
      <c r="AC329" s="266">
        <v>0</v>
      </c>
      <c r="AD329" s="242"/>
      <c r="AE329" s="242"/>
    </row>
    <row r="330" spans="1:31" x14ac:dyDescent="0.2">
      <c r="A330" s="201"/>
      <c r="B330" s="4" t="s">
        <v>34</v>
      </c>
      <c r="C330" s="4">
        <v>326</v>
      </c>
      <c r="D330" s="4"/>
      <c r="E330" s="4"/>
      <c r="F330" s="4"/>
      <c r="G330" s="4"/>
      <c r="H330" s="4"/>
      <c r="I330" s="4"/>
      <c r="J330" s="4">
        <v>30326</v>
      </c>
      <c r="K330" s="202"/>
      <c r="L330" s="4">
        <v>21</v>
      </c>
      <c r="M330" s="4">
        <v>5</v>
      </c>
      <c r="N330" s="4" t="str">
        <f>_xlfn.CONCAT("DBX",((L330-1)*2),".5")</f>
        <v>DBX40.5</v>
      </c>
      <c r="O330" s="4" t="s">
        <v>781</v>
      </c>
      <c r="P330" s="4"/>
      <c r="Q330" s="4"/>
      <c r="R330" s="4"/>
      <c r="S330" s="4"/>
      <c r="T330" s="4"/>
      <c r="U330" s="4"/>
      <c r="V330" s="4"/>
      <c r="W330" s="4"/>
      <c r="X330" s="4" t="e">
        <f t="shared" si="5"/>
        <v>#N/A</v>
      </c>
      <c r="Y330" s="4"/>
      <c r="Z330" s="4"/>
      <c r="AA330" s="4"/>
      <c r="AB330" s="4"/>
      <c r="AC330" s="4"/>
      <c r="AD330" s="4"/>
      <c r="AE330" s="4"/>
    </row>
    <row r="331" spans="1:31" x14ac:dyDescent="0.2">
      <c r="A331" s="201"/>
      <c r="B331" s="4" t="s">
        <v>34</v>
      </c>
      <c r="C331" s="4">
        <v>327</v>
      </c>
      <c r="D331" s="4"/>
      <c r="E331" s="4"/>
      <c r="F331" s="4"/>
      <c r="G331" s="4"/>
      <c r="H331" s="4"/>
      <c r="I331" s="4"/>
      <c r="J331" s="4">
        <v>30327</v>
      </c>
      <c r="K331" s="202"/>
      <c r="L331" s="4">
        <v>21</v>
      </c>
      <c r="M331" s="4">
        <v>6</v>
      </c>
      <c r="N331" s="4" t="str">
        <f>_xlfn.CONCAT("DBX",((L331-1)*2),".6")</f>
        <v>DBX40.6</v>
      </c>
      <c r="O331" s="4" t="s">
        <v>781</v>
      </c>
      <c r="P331" s="4"/>
      <c r="Q331" s="4"/>
      <c r="R331" s="4"/>
      <c r="S331" s="4"/>
      <c r="T331" s="4"/>
      <c r="U331" s="4"/>
      <c r="V331" s="4"/>
      <c r="W331" s="4"/>
      <c r="X331" s="4" t="e">
        <f t="shared" si="5"/>
        <v>#N/A</v>
      </c>
      <c r="Y331" s="4"/>
      <c r="Z331" s="4"/>
      <c r="AA331" s="4"/>
      <c r="AB331" s="4"/>
      <c r="AC331" s="4"/>
      <c r="AD331" s="4"/>
      <c r="AE331" s="4"/>
    </row>
    <row r="332" spans="1:31" x14ac:dyDescent="0.2">
      <c r="A332" s="201"/>
      <c r="B332" s="4" t="s">
        <v>34</v>
      </c>
      <c r="C332" s="4">
        <v>328</v>
      </c>
      <c r="D332" s="4"/>
      <c r="E332" s="4"/>
      <c r="F332" s="4"/>
      <c r="G332" s="4"/>
      <c r="H332" s="4"/>
      <c r="I332" s="4"/>
      <c r="J332" s="4">
        <v>30328</v>
      </c>
      <c r="K332" s="202"/>
      <c r="L332" s="4">
        <v>21</v>
      </c>
      <c r="M332" s="4">
        <v>7</v>
      </c>
      <c r="N332" s="4" t="str">
        <f>_xlfn.CONCAT("DBX",((L332-1)*2),".7")</f>
        <v>DBX40.7</v>
      </c>
      <c r="O332" s="4" t="s">
        <v>781</v>
      </c>
      <c r="P332" s="4"/>
      <c r="Q332" s="4"/>
      <c r="R332" s="4"/>
      <c r="S332" s="4"/>
      <c r="T332" s="4"/>
      <c r="U332" s="4"/>
      <c r="V332" s="4"/>
      <c r="W332" s="4"/>
      <c r="X332" s="4" t="e">
        <f t="shared" si="5"/>
        <v>#N/A</v>
      </c>
      <c r="Y332" s="4"/>
      <c r="Z332" s="4"/>
      <c r="AA332" s="4"/>
      <c r="AB332" s="4"/>
      <c r="AC332" s="4"/>
      <c r="AD332" s="4"/>
      <c r="AE332" s="4"/>
    </row>
    <row r="333" spans="1:31" x14ac:dyDescent="0.2">
      <c r="A333" s="201"/>
      <c r="B333" s="4" t="s">
        <v>33</v>
      </c>
      <c r="C333" s="4">
        <v>329</v>
      </c>
      <c r="D333" s="4"/>
      <c r="E333" s="4"/>
      <c r="F333" s="4"/>
      <c r="G333" s="4"/>
      <c r="H333" s="4"/>
      <c r="I333" s="4"/>
      <c r="J333" s="4">
        <v>30329</v>
      </c>
      <c r="L333" s="4">
        <v>21</v>
      </c>
      <c r="M333" s="4">
        <v>8</v>
      </c>
      <c r="N333" s="4" t="str">
        <f>_xlfn.CONCAT("DBX",((L333-1)*2)+1,".0")</f>
        <v>DBX41.0</v>
      </c>
      <c r="O333" s="4" t="s">
        <v>781</v>
      </c>
      <c r="P333" s="4"/>
      <c r="Q333" s="4"/>
      <c r="R333" s="4"/>
      <c r="S333" s="4"/>
      <c r="T333" s="4"/>
      <c r="U333" s="4"/>
      <c r="V333" s="4"/>
      <c r="W333" s="4"/>
      <c r="X333" s="4">
        <f>VLOOKUP(W990,$W$1609:$X$1639,2,FALSE)</f>
        <v>13</v>
      </c>
      <c r="Y333" s="4"/>
      <c r="Z333" s="4"/>
      <c r="AA333" s="4"/>
      <c r="AB333" s="4"/>
      <c r="AC333" s="4"/>
      <c r="AD333" s="4"/>
      <c r="AE333" s="4"/>
    </row>
    <row r="334" spans="1:31" x14ac:dyDescent="0.2">
      <c r="A334" s="201"/>
      <c r="B334" s="4" t="s">
        <v>33</v>
      </c>
      <c r="C334" s="4">
        <v>330</v>
      </c>
      <c r="D334" s="4"/>
      <c r="E334" s="4"/>
      <c r="F334" s="4"/>
      <c r="G334" s="4"/>
      <c r="H334" s="4"/>
      <c r="I334" s="4"/>
      <c r="J334" s="4">
        <v>30330</v>
      </c>
      <c r="L334" s="4">
        <v>21</v>
      </c>
      <c r="M334" s="4">
        <v>9</v>
      </c>
      <c r="N334" s="4" t="str">
        <f>_xlfn.CONCAT("DBX",((L334-1)*2)+1,".1")</f>
        <v>DBX41.1</v>
      </c>
      <c r="O334" s="4" t="s">
        <v>781</v>
      </c>
      <c r="P334" s="4"/>
      <c r="Q334" s="4"/>
      <c r="R334" s="4"/>
      <c r="S334" s="4"/>
      <c r="T334" s="4"/>
      <c r="U334" s="4"/>
      <c r="V334" s="4"/>
      <c r="W334" s="4"/>
      <c r="X334" s="4">
        <f>VLOOKUP(W991,$W$1609:$X$1639,2,FALSE)</f>
        <v>13</v>
      </c>
      <c r="Y334" s="4"/>
      <c r="Z334" s="4"/>
      <c r="AA334" s="4"/>
      <c r="AB334" s="4"/>
      <c r="AC334" s="4"/>
      <c r="AD334" s="4"/>
      <c r="AE334" s="4"/>
    </row>
    <row r="335" spans="1:31" x14ac:dyDescent="0.2">
      <c r="A335" s="201"/>
      <c r="B335" s="4" t="s">
        <v>3170</v>
      </c>
      <c r="C335" s="4">
        <v>331</v>
      </c>
      <c r="D335" s="4" t="s">
        <v>1965</v>
      </c>
      <c r="E335" s="4" t="s">
        <v>1058</v>
      </c>
      <c r="F335" s="4" t="s">
        <v>2361</v>
      </c>
      <c r="G335" s="4" t="s">
        <v>329</v>
      </c>
      <c r="H335" s="4" t="s">
        <v>1054</v>
      </c>
      <c r="I335" s="4" t="s">
        <v>84</v>
      </c>
      <c r="J335" s="4">
        <v>30331</v>
      </c>
      <c r="K335" s="202" t="s">
        <v>99</v>
      </c>
      <c r="L335" s="4">
        <v>21</v>
      </c>
      <c r="M335" s="4">
        <v>10</v>
      </c>
      <c r="N335" s="4" t="str">
        <f>_xlfn.CONCAT("DBX",((L335-1)*2)+1,".2")</f>
        <v>DBX41.2</v>
      </c>
      <c r="O335" s="4" t="s">
        <v>781</v>
      </c>
      <c r="P335" s="4" t="s">
        <v>99</v>
      </c>
      <c r="Q335" s="4" t="s">
        <v>92</v>
      </c>
      <c r="R335" s="4"/>
      <c r="S335" s="4">
        <v>3922</v>
      </c>
      <c r="T335" s="4" t="s">
        <v>2551</v>
      </c>
      <c r="U335" s="4"/>
      <c r="V335" s="4" t="s">
        <v>3074</v>
      </c>
      <c r="W335" s="4" t="s">
        <v>121</v>
      </c>
      <c r="X335" s="4">
        <f t="shared" si="5"/>
        <v>5</v>
      </c>
      <c r="Y335" s="4"/>
      <c r="Z335" s="4"/>
      <c r="AA335" s="4"/>
      <c r="AB335" s="4"/>
      <c r="AC335" s="4">
        <v>1</v>
      </c>
      <c r="AD335" s="4"/>
      <c r="AE335" s="4"/>
    </row>
    <row r="336" spans="1:31" x14ac:dyDescent="0.2">
      <c r="A336" s="201"/>
      <c r="B336" s="4" t="s">
        <v>33</v>
      </c>
      <c r="C336" s="4">
        <v>332</v>
      </c>
      <c r="D336" s="4" t="s">
        <v>2413</v>
      </c>
      <c r="E336" s="4" t="s">
        <v>2414</v>
      </c>
      <c r="F336" s="4" t="s">
        <v>2415</v>
      </c>
      <c r="G336" s="4" t="s">
        <v>329</v>
      </c>
      <c r="H336" s="4" t="s">
        <v>2416</v>
      </c>
      <c r="I336" s="4" t="s">
        <v>84</v>
      </c>
      <c r="J336" s="4">
        <v>30332</v>
      </c>
      <c r="K336" s="202" t="s">
        <v>99</v>
      </c>
      <c r="L336" s="4">
        <v>21</v>
      </c>
      <c r="M336" s="4">
        <v>11</v>
      </c>
      <c r="N336" s="4" t="str">
        <f>_xlfn.CONCAT("DBX",((L336-1)*2)+1,".3")</f>
        <v>DBX41.3</v>
      </c>
      <c r="O336" s="4" t="s">
        <v>781</v>
      </c>
      <c r="P336" s="4" t="s">
        <v>99</v>
      </c>
      <c r="Q336" s="4" t="s">
        <v>89</v>
      </c>
      <c r="R336" s="4"/>
      <c r="S336" s="4">
        <v>3922</v>
      </c>
      <c r="T336" s="4" t="s">
        <v>2551</v>
      </c>
      <c r="U336" s="4"/>
      <c r="V336" s="4"/>
      <c r="W336" s="4" t="s">
        <v>121</v>
      </c>
      <c r="X336" s="4">
        <f t="shared" si="5"/>
        <v>5</v>
      </c>
      <c r="Y336" s="4"/>
      <c r="Z336" s="4"/>
      <c r="AA336" s="4"/>
      <c r="AB336" s="4"/>
      <c r="AC336" s="4">
        <v>1</v>
      </c>
      <c r="AD336" s="4"/>
      <c r="AE336" s="4"/>
    </row>
    <row r="337" spans="1:31" s="244" customFormat="1" x14ac:dyDescent="0.2">
      <c r="A337" s="250"/>
      <c r="B337" s="266" t="s">
        <v>3349</v>
      </c>
      <c r="C337" s="242">
        <v>333</v>
      </c>
      <c r="D337" s="242" t="s">
        <v>2417</v>
      </c>
      <c r="E337" s="242" t="s">
        <v>2418</v>
      </c>
      <c r="F337" s="242" t="s">
        <v>2419</v>
      </c>
      <c r="G337" s="242" t="s">
        <v>329</v>
      </c>
      <c r="H337" s="242" t="s">
        <v>2416</v>
      </c>
      <c r="I337" s="242" t="s">
        <v>84</v>
      </c>
      <c r="J337" s="242">
        <v>30333</v>
      </c>
      <c r="K337" s="247" t="s">
        <v>99</v>
      </c>
      <c r="L337" s="242">
        <v>21</v>
      </c>
      <c r="M337" s="242">
        <v>12</v>
      </c>
      <c r="N337" s="242" t="str">
        <f>_xlfn.CONCAT("DBX",((L337-1)*2)+1,".4")</f>
        <v>DBX41.4</v>
      </c>
      <c r="O337" s="242" t="s">
        <v>781</v>
      </c>
      <c r="P337" s="242" t="s">
        <v>99</v>
      </c>
      <c r="Q337" s="242" t="s">
        <v>89</v>
      </c>
      <c r="R337" s="242"/>
      <c r="S337" s="242">
        <v>3922</v>
      </c>
      <c r="T337" s="242" t="s">
        <v>2551</v>
      </c>
      <c r="U337" s="242"/>
      <c r="V337" s="245" t="s">
        <v>3357</v>
      </c>
      <c r="W337" s="242" t="s">
        <v>121</v>
      </c>
      <c r="X337" s="242">
        <f t="shared" si="5"/>
        <v>5</v>
      </c>
      <c r="Y337" s="242"/>
      <c r="Z337" s="242"/>
      <c r="AA337" s="242"/>
      <c r="AB337" s="242"/>
      <c r="AC337" s="4">
        <v>1</v>
      </c>
      <c r="AD337" s="242"/>
      <c r="AE337" s="242"/>
    </row>
    <row r="338" spans="1:31" x14ac:dyDescent="0.2">
      <c r="A338" s="201"/>
      <c r="B338" s="4" t="s">
        <v>34</v>
      </c>
      <c r="C338" s="4">
        <v>334</v>
      </c>
      <c r="D338" s="4"/>
      <c r="E338" s="4"/>
      <c r="F338" s="4"/>
      <c r="G338" s="4"/>
      <c r="H338" s="4"/>
      <c r="I338" s="4"/>
      <c r="J338" s="4">
        <v>30334</v>
      </c>
      <c r="K338" s="202"/>
      <c r="L338" s="4">
        <v>21</v>
      </c>
      <c r="M338" s="4">
        <v>13</v>
      </c>
      <c r="N338" s="4" t="str">
        <f>_xlfn.CONCAT("DBX",((L338-1)*2)+1,".5")</f>
        <v>DBX41.5</v>
      </c>
      <c r="O338" s="4" t="s">
        <v>781</v>
      </c>
      <c r="P338" s="4"/>
      <c r="Q338" s="4"/>
      <c r="R338" s="4"/>
      <c r="S338" s="4"/>
      <c r="T338" s="4"/>
      <c r="U338" s="4"/>
      <c r="V338" s="4"/>
      <c r="W338" s="4"/>
      <c r="X338" s="4" t="e">
        <f t="shared" si="5"/>
        <v>#N/A</v>
      </c>
      <c r="Y338" s="4"/>
      <c r="Z338" s="4"/>
      <c r="AA338" s="4"/>
      <c r="AB338" s="4"/>
      <c r="AC338" s="4"/>
      <c r="AD338" s="4"/>
      <c r="AE338" s="4"/>
    </row>
    <row r="339" spans="1:31" x14ac:dyDescent="0.2">
      <c r="A339" s="201"/>
      <c r="B339" s="4" t="s">
        <v>34</v>
      </c>
      <c r="C339" s="4">
        <v>335</v>
      </c>
      <c r="D339" s="4"/>
      <c r="E339" s="4"/>
      <c r="F339" s="4"/>
      <c r="G339" s="4"/>
      <c r="H339" s="4"/>
      <c r="I339" s="4"/>
      <c r="J339" s="4">
        <v>30335</v>
      </c>
      <c r="K339" s="202"/>
      <c r="L339" s="4">
        <v>21</v>
      </c>
      <c r="M339" s="4">
        <v>14</v>
      </c>
      <c r="N339" s="4" t="str">
        <f>_xlfn.CONCAT("DBX",((L339-1)*2)+1,".6")</f>
        <v>DBX41.6</v>
      </c>
      <c r="O339" s="4" t="s">
        <v>781</v>
      </c>
      <c r="P339" s="4"/>
      <c r="Q339" s="4"/>
      <c r="R339" s="4"/>
      <c r="S339" s="4"/>
      <c r="T339" s="4"/>
      <c r="U339" s="4"/>
      <c r="V339" s="4"/>
      <c r="W339" s="4"/>
      <c r="X339" s="4" t="e">
        <f t="shared" si="5"/>
        <v>#N/A</v>
      </c>
      <c r="Y339" s="4"/>
      <c r="Z339" s="4"/>
      <c r="AA339" s="4"/>
      <c r="AB339" s="4"/>
      <c r="AC339" s="4"/>
      <c r="AD339" s="4"/>
      <c r="AE339" s="4"/>
    </row>
    <row r="340" spans="1:31" x14ac:dyDescent="0.2">
      <c r="A340" s="201"/>
      <c r="B340" s="4" t="s">
        <v>34</v>
      </c>
      <c r="C340" s="4">
        <v>336</v>
      </c>
      <c r="D340" s="4"/>
      <c r="E340" s="4"/>
      <c r="F340" s="4"/>
      <c r="G340" s="4"/>
      <c r="H340" s="4"/>
      <c r="I340" s="4"/>
      <c r="J340" s="4">
        <v>30336</v>
      </c>
      <c r="K340" s="202"/>
      <c r="L340" s="4">
        <v>21</v>
      </c>
      <c r="M340" s="4">
        <v>15</v>
      </c>
      <c r="N340" s="4" t="str">
        <f>_xlfn.CONCAT("DBX",((L340-1)*2)+1,".7")</f>
        <v>DBX41.7</v>
      </c>
      <c r="O340" s="4" t="s">
        <v>781</v>
      </c>
      <c r="P340" s="4"/>
      <c r="Q340" s="4"/>
      <c r="R340" s="4"/>
      <c r="S340" s="4"/>
      <c r="T340" s="4"/>
      <c r="U340" s="4"/>
      <c r="V340" s="4"/>
      <c r="W340" s="4"/>
      <c r="X340" s="4" t="e">
        <f t="shared" si="5"/>
        <v>#N/A</v>
      </c>
      <c r="Y340" s="4"/>
      <c r="Z340" s="4"/>
      <c r="AA340" s="4"/>
      <c r="AB340" s="4"/>
      <c r="AC340" s="4"/>
      <c r="AD340" s="4"/>
      <c r="AE340" s="4"/>
    </row>
    <row r="341" spans="1:31" x14ac:dyDescent="0.2">
      <c r="A341" s="201"/>
      <c r="B341" s="4" t="s">
        <v>34</v>
      </c>
      <c r="C341" s="4">
        <v>337</v>
      </c>
      <c r="D341" s="4"/>
      <c r="E341" s="4"/>
      <c r="F341" s="4"/>
      <c r="G341" s="4"/>
      <c r="H341" s="4"/>
      <c r="I341" s="4"/>
      <c r="J341" s="4">
        <v>30337</v>
      </c>
      <c r="K341" s="202"/>
      <c r="L341" s="4">
        <v>22</v>
      </c>
      <c r="M341" s="4">
        <v>0</v>
      </c>
      <c r="N341" s="4" t="str">
        <f>_xlfn.CONCAT("DBX",((L341-1)*2),".0")</f>
        <v>DBX42.0</v>
      </c>
      <c r="O341" s="4" t="s">
        <v>781</v>
      </c>
      <c r="P341" s="4"/>
      <c r="Q341" s="4"/>
      <c r="R341" s="4"/>
      <c r="S341" s="4"/>
      <c r="T341" s="4"/>
      <c r="U341" s="4"/>
      <c r="V341" s="4"/>
      <c r="W341" s="4"/>
      <c r="X341" s="4" t="e">
        <f t="shared" si="5"/>
        <v>#N/A</v>
      </c>
      <c r="Y341" s="4"/>
      <c r="Z341" s="4"/>
      <c r="AA341" s="4"/>
      <c r="AB341" s="4"/>
      <c r="AC341" s="4"/>
      <c r="AD341" s="4"/>
      <c r="AE341" s="4"/>
    </row>
    <row r="342" spans="1:31" x14ac:dyDescent="0.2">
      <c r="A342" s="201"/>
      <c r="B342" s="4" t="s">
        <v>34</v>
      </c>
      <c r="C342" s="4">
        <v>338</v>
      </c>
      <c r="D342" s="4"/>
      <c r="E342" s="4"/>
      <c r="F342" s="4"/>
      <c r="G342" s="4"/>
      <c r="H342" s="4"/>
      <c r="I342" s="4"/>
      <c r="J342" s="4">
        <v>30338</v>
      </c>
      <c r="K342" s="202"/>
      <c r="L342" s="4">
        <v>22</v>
      </c>
      <c r="M342" s="4">
        <v>1</v>
      </c>
      <c r="N342" s="4" t="str">
        <f>_xlfn.CONCAT("DBX",((L342-1)*2),".1")</f>
        <v>DBX42.1</v>
      </c>
      <c r="O342" s="4" t="s">
        <v>781</v>
      </c>
      <c r="P342" s="4"/>
      <c r="Q342" s="4"/>
      <c r="R342" s="4"/>
      <c r="S342" s="4"/>
      <c r="T342" s="4"/>
      <c r="U342" s="4"/>
      <c r="V342" s="4"/>
      <c r="W342" s="4"/>
      <c r="X342" s="4" t="e">
        <f t="shared" si="5"/>
        <v>#N/A</v>
      </c>
      <c r="Y342" s="4"/>
      <c r="Z342" s="4"/>
      <c r="AA342" s="4"/>
      <c r="AB342" s="4"/>
      <c r="AC342" s="4"/>
      <c r="AD342" s="4"/>
      <c r="AE342" s="4"/>
    </row>
    <row r="343" spans="1:31" x14ac:dyDescent="0.2">
      <c r="A343" s="201"/>
      <c r="B343" s="4" t="s">
        <v>34</v>
      </c>
      <c r="C343" s="4">
        <v>339</v>
      </c>
      <c r="D343" s="4"/>
      <c r="E343" s="4"/>
      <c r="F343" s="4"/>
      <c r="G343" s="4"/>
      <c r="H343" s="4"/>
      <c r="I343" s="4"/>
      <c r="J343" s="4">
        <v>30339</v>
      </c>
      <c r="K343" s="202"/>
      <c r="L343" s="4">
        <v>22</v>
      </c>
      <c r="M343" s="4">
        <v>2</v>
      </c>
      <c r="N343" s="4" t="str">
        <f>_xlfn.CONCAT("DBX",((L343-1)*2),".2")</f>
        <v>DBX42.2</v>
      </c>
      <c r="O343" s="4" t="s">
        <v>781</v>
      </c>
      <c r="P343" s="4"/>
      <c r="Q343" s="4"/>
      <c r="R343" s="4"/>
      <c r="S343" s="4"/>
      <c r="T343" s="4"/>
      <c r="U343" s="4"/>
      <c r="V343" s="4"/>
      <c r="W343" s="4"/>
      <c r="X343" s="4" t="e">
        <f t="shared" si="5"/>
        <v>#N/A</v>
      </c>
      <c r="Y343" s="4"/>
      <c r="Z343" s="4"/>
      <c r="AA343" s="4"/>
      <c r="AB343" s="4"/>
      <c r="AC343" s="4"/>
      <c r="AD343" s="4"/>
      <c r="AE343" s="4"/>
    </row>
    <row r="344" spans="1:31" x14ac:dyDescent="0.2">
      <c r="A344" s="201"/>
      <c r="B344" s="4" t="s">
        <v>34</v>
      </c>
      <c r="C344" s="4">
        <v>340</v>
      </c>
      <c r="D344" s="4"/>
      <c r="E344" s="4"/>
      <c r="F344" s="4"/>
      <c r="G344" s="4"/>
      <c r="H344" s="4"/>
      <c r="I344" s="4"/>
      <c r="J344" s="4">
        <v>30340</v>
      </c>
      <c r="K344" s="202"/>
      <c r="L344" s="4">
        <v>22</v>
      </c>
      <c r="M344" s="4">
        <v>3</v>
      </c>
      <c r="N344" s="4" t="str">
        <f>_xlfn.CONCAT("DBX",((L344-1)*2),".3")</f>
        <v>DBX42.3</v>
      </c>
      <c r="O344" s="4" t="s">
        <v>781</v>
      </c>
      <c r="P344" s="4"/>
      <c r="Q344" s="4"/>
      <c r="R344" s="4"/>
      <c r="S344" s="4"/>
      <c r="T344" s="4"/>
      <c r="U344" s="4"/>
      <c r="V344" s="4"/>
      <c r="W344" s="4"/>
      <c r="X344" s="4" t="e">
        <f t="shared" si="5"/>
        <v>#N/A</v>
      </c>
      <c r="Y344" s="4"/>
      <c r="Z344" s="4"/>
      <c r="AA344" s="4"/>
      <c r="AB344" s="4"/>
      <c r="AC344" s="4"/>
      <c r="AD344" s="4"/>
      <c r="AE344" s="4"/>
    </row>
    <row r="345" spans="1:31" x14ac:dyDescent="0.2">
      <c r="A345" s="201"/>
      <c r="B345" s="4" t="s">
        <v>34</v>
      </c>
      <c r="C345" s="4">
        <v>341</v>
      </c>
      <c r="D345" s="4"/>
      <c r="E345" s="4"/>
      <c r="F345" s="4"/>
      <c r="G345" s="4"/>
      <c r="H345" s="4"/>
      <c r="I345" s="4"/>
      <c r="J345" s="4">
        <v>30341</v>
      </c>
      <c r="K345" s="202"/>
      <c r="L345" s="4">
        <v>22</v>
      </c>
      <c r="M345" s="4">
        <v>4</v>
      </c>
      <c r="N345" s="4" t="str">
        <f>_xlfn.CONCAT("DBX",((L345-1)*2),".4")</f>
        <v>DBX42.4</v>
      </c>
      <c r="O345" s="4" t="s">
        <v>781</v>
      </c>
      <c r="P345" s="4"/>
      <c r="Q345" s="4"/>
      <c r="R345" s="4"/>
      <c r="S345" s="4"/>
      <c r="T345" s="4"/>
      <c r="U345" s="4"/>
      <c r="V345" s="4"/>
      <c r="W345" s="4"/>
      <c r="X345" s="4" t="e">
        <f t="shared" si="5"/>
        <v>#N/A</v>
      </c>
      <c r="Y345" s="4"/>
      <c r="Z345" s="4"/>
      <c r="AA345" s="4"/>
      <c r="AB345" s="4"/>
      <c r="AC345" s="4"/>
      <c r="AD345" s="4"/>
      <c r="AE345" s="4"/>
    </row>
    <row r="346" spans="1:31" x14ac:dyDescent="0.2">
      <c r="A346" s="201"/>
      <c r="B346" s="4" t="s">
        <v>34</v>
      </c>
      <c r="C346" s="4">
        <v>342</v>
      </c>
      <c r="D346" s="4"/>
      <c r="E346" s="4"/>
      <c r="F346" s="4"/>
      <c r="G346" s="4"/>
      <c r="H346" s="4"/>
      <c r="I346" s="4"/>
      <c r="J346" s="4">
        <v>30342</v>
      </c>
      <c r="K346" s="202"/>
      <c r="L346" s="4">
        <v>22</v>
      </c>
      <c r="M346" s="4">
        <v>5</v>
      </c>
      <c r="N346" s="4" t="str">
        <f>_xlfn.CONCAT("DBX",((L346-1)*2),".5")</f>
        <v>DBX42.5</v>
      </c>
      <c r="O346" s="4" t="s">
        <v>781</v>
      </c>
      <c r="P346" s="4"/>
      <c r="Q346" s="4"/>
      <c r="R346" s="4"/>
      <c r="S346" s="4"/>
      <c r="T346" s="4"/>
      <c r="U346" s="4"/>
      <c r="V346" s="4"/>
      <c r="W346" s="4"/>
      <c r="X346" s="4" t="e">
        <f t="shared" si="5"/>
        <v>#N/A</v>
      </c>
      <c r="Y346" s="4"/>
      <c r="Z346" s="4"/>
      <c r="AA346" s="4"/>
      <c r="AB346" s="4"/>
      <c r="AC346" s="4"/>
      <c r="AD346" s="4"/>
      <c r="AE346" s="4"/>
    </row>
    <row r="347" spans="1:31" x14ac:dyDescent="0.2">
      <c r="A347" s="201"/>
      <c r="B347" s="4" t="s">
        <v>34</v>
      </c>
      <c r="C347" s="4">
        <v>343</v>
      </c>
      <c r="D347" s="4"/>
      <c r="E347" s="4"/>
      <c r="F347" s="4"/>
      <c r="G347" s="4"/>
      <c r="H347" s="4"/>
      <c r="I347" s="4"/>
      <c r="J347" s="4">
        <v>30343</v>
      </c>
      <c r="K347" s="202"/>
      <c r="L347" s="4">
        <v>22</v>
      </c>
      <c r="M347" s="4">
        <v>6</v>
      </c>
      <c r="N347" s="4" t="str">
        <f>_xlfn.CONCAT("DBX",((L347-1)*2),".6")</f>
        <v>DBX42.6</v>
      </c>
      <c r="O347" s="4" t="s">
        <v>781</v>
      </c>
      <c r="P347" s="4"/>
      <c r="Q347" s="4"/>
      <c r="R347" s="4"/>
      <c r="S347" s="4"/>
      <c r="T347" s="4"/>
      <c r="U347" s="4"/>
      <c r="V347" s="4"/>
      <c r="W347" s="4"/>
      <c r="X347" s="4" t="e">
        <f t="shared" si="5"/>
        <v>#N/A</v>
      </c>
      <c r="Y347" s="4"/>
      <c r="Z347" s="4"/>
      <c r="AA347" s="4"/>
      <c r="AB347" s="4"/>
      <c r="AC347" s="4"/>
      <c r="AD347" s="4"/>
      <c r="AE347" s="4"/>
    </row>
    <row r="348" spans="1:31" x14ac:dyDescent="0.2">
      <c r="A348" s="201"/>
      <c r="B348" s="4" t="s">
        <v>34</v>
      </c>
      <c r="C348" s="4">
        <v>344</v>
      </c>
      <c r="D348" s="4"/>
      <c r="E348" s="4"/>
      <c r="F348" s="4"/>
      <c r="G348" s="4"/>
      <c r="H348" s="4"/>
      <c r="I348" s="4"/>
      <c r="J348" s="4">
        <v>30344</v>
      </c>
      <c r="K348" s="202"/>
      <c r="L348" s="4">
        <v>22</v>
      </c>
      <c r="M348" s="4">
        <v>7</v>
      </c>
      <c r="N348" s="4" t="str">
        <f>_xlfn.CONCAT("DBX",((L348-1)*2),".7")</f>
        <v>DBX42.7</v>
      </c>
      <c r="O348" s="4" t="s">
        <v>781</v>
      </c>
      <c r="P348" s="4"/>
      <c r="Q348" s="4"/>
      <c r="R348" s="4"/>
      <c r="S348" s="4"/>
      <c r="T348" s="4"/>
      <c r="U348" s="4"/>
      <c r="V348" s="4"/>
      <c r="W348" s="4"/>
      <c r="X348" s="4" t="e">
        <f t="shared" si="5"/>
        <v>#N/A</v>
      </c>
      <c r="Y348" s="4"/>
      <c r="Z348" s="4"/>
      <c r="AA348" s="4"/>
      <c r="AB348" s="4"/>
      <c r="AC348" s="4"/>
      <c r="AD348" s="4"/>
      <c r="AE348" s="4"/>
    </row>
    <row r="349" spans="1:31" x14ac:dyDescent="0.2">
      <c r="A349" s="201"/>
      <c r="B349" s="4" t="s">
        <v>34</v>
      </c>
      <c r="C349" s="4">
        <v>345</v>
      </c>
      <c r="D349" s="4"/>
      <c r="E349" s="4"/>
      <c r="F349" s="4"/>
      <c r="G349" s="4"/>
      <c r="H349" s="4"/>
      <c r="I349" s="4"/>
      <c r="J349" s="4">
        <v>30345</v>
      </c>
      <c r="K349" s="202"/>
      <c r="L349" s="4">
        <v>22</v>
      </c>
      <c r="M349" s="4">
        <v>8</v>
      </c>
      <c r="N349" s="4" t="str">
        <f>_xlfn.CONCAT("DBX",((L349-1)*2)+1,".0")</f>
        <v>DBX43.0</v>
      </c>
      <c r="O349" s="4" t="s">
        <v>781</v>
      </c>
      <c r="P349" s="4"/>
      <c r="Q349" s="4"/>
      <c r="R349" s="4"/>
      <c r="S349" s="4"/>
      <c r="T349" s="4"/>
      <c r="U349" s="4"/>
      <c r="V349" s="4"/>
      <c r="W349" s="4"/>
      <c r="X349" s="4" t="e">
        <f t="shared" si="5"/>
        <v>#N/A</v>
      </c>
      <c r="Y349" s="4"/>
      <c r="Z349" s="4"/>
      <c r="AA349" s="4"/>
      <c r="AB349" s="4"/>
      <c r="AC349" s="4"/>
      <c r="AD349" s="4"/>
      <c r="AE349" s="4"/>
    </row>
    <row r="350" spans="1:31" x14ac:dyDescent="0.2">
      <c r="A350" s="201"/>
      <c r="B350" s="4" t="s">
        <v>34</v>
      </c>
      <c r="C350" s="4">
        <v>346</v>
      </c>
      <c r="D350" s="4"/>
      <c r="E350" s="4"/>
      <c r="F350" s="4"/>
      <c r="G350" s="4"/>
      <c r="H350" s="4"/>
      <c r="I350" s="4"/>
      <c r="J350" s="4">
        <v>30346</v>
      </c>
      <c r="K350" s="202"/>
      <c r="L350" s="4">
        <v>22</v>
      </c>
      <c r="M350" s="4">
        <v>9</v>
      </c>
      <c r="N350" s="4" t="str">
        <f>_xlfn.CONCAT("DBX",((L350-1)*2)+1,".1")</f>
        <v>DBX43.1</v>
      </c>
      <c r="O350" s="4" t="s">
        <v>781</v>
      </c>
      <c r="P350" s="4"/>
      <c r="Q350" s="4"/>
      <c r="R350" s="4"/>
      <c r="S350" s="4"/>
      <c r="T350" s="4"/>
      <c r="U350" s="4"/>
      <c r="V350" s="4"/>
      <c r="W350" s="4"/>
      <c r="X350" s="4" t="e">
        <f t="shared" si="5"/>
        <v>#N/A</v>
      </c>
      <c r="Y350" s="4"/>
      <c r="Z350" s="4"/>
      <c r="AA350" s="4"/>
      <c r="AB350" s="4"/>
      <c r="AC350" s="4"/>
      <c r="AD350" s="4"/>
      <c r="AE350" s="4"/>
    </row>
    <row r="351" spans="1:31" x14ac:dyDescent="0.2">
      <c r="A351" s="201"/>
      <c r="B351" s="4" t="s">
        <v>34</v>
      </c>
      <c r="C351" s="4">
        <v>347</v>
      </c>
      <c r="D351" s="4"/>
      <c r="E351" s="4"/>
      <c r="F351" s="4"/>
      <c r="G351" s="4"/>
      <c r="H351" s="4"/>
      <c r="I351" s="4"/>
      <c r="J351" s="4">
        <v>30347</v>
      </c>
      <c r="K351" s="202"/>
      <c r="L351" s="4">
        <v>22</v>
      </c>
      <c r="M351" s="4">
        <v>10</v>
      </c>
      <c r="N351" s="4" t="str">
        <f>_xlfn.CONCAT("DBX",((L351-1)*2)+1,".2")</f>
        <v>DBX43.2</v>
      </c>
      <c r="O351" s="4" t="s">
        <v>781</v>
      </c>
      <c r="P351" s="4"/>
      <c r="Q351" s="4"/>
      <c r="R351" s="4"/>
      <c r="S351" s="4"/>
      <c r="T351" s="4"/>
      <c r="U351" s="4"/>
      <c r="V351" s="4"/>
      <c r="W351" s="4"/>
      <c r="X351" s="4" t="e">
        <f t="shared" si="5"/>
        <v>#N/A</v>
      </c>
      <c r="Y351" s="4"/>
      <c r="Z351" s="4"/>
      <c r="AA351" s="4"/>
      <c r="AB351" s="4"/>
      <c r="AC351" s="4"/>
      <c r="AD351" s="4"/>
      <c r="AE351" s="4"/>
    </row>
    <row r="352" spans="1:31" x14ac:dyDescent="0.2">
      <c r="A352" s="201"/>
      <c r="B352" s="4" t="s">
        <v>34</v>
      </c>
      <c r="C352" s="4">
        <v>348</v>
      </c>
      <c r="D352" s="4"/>
      <c r="E352" s="4"/>
      <c r="F352" s="4"/>
      <c r="G352" s="4"/>
      <c r="H352" s="4"/>
      <c r="I352" s="4"/>
      <c r="J352" s="4">
        <v>30348</v>
      </c>
      <c r="K352" s="202"/>
      <c r="L352" s="4">
        <v>22</v>
      </c>
      <c r="M352" s="4">
        <v>11</v>
      </c>
      <c r="N352" s="4" t="str">
        <f>_xlfn.CONCAT("DBX",((L352-1)*2)+1,".3")</f>
        <v>DBX43.3</v>
      </c>
      <c r="O352" s="4" t="s">
        <v>781</v>
      </c>
      <c r="P352" s="4"/>
      <c r="Q352" s="4"/>
      <c r="R352" s="4"/>
      <c r="S352" s="4"/>
      <c r="T352" s="4"/>
      <c r="U352" s="4"/>
      <c r="V352" s="4"/>
      <c r="W352" s="4"/>
      <c r="X352" s="4" t="e">
        <f t="shared" si="5"/>
        <v>#N/A</v>
      </c>
      <c r="Y352" s="4"/>
      <c r="Z352" s="4"/>
      <c r="AA352" s="4"/>
      <c r="AB352" s="4"/>
      <c r="AC352" s="4"/>
      <c r="AD352" s="4"/>
      <c r="AE352" s="4"/>
    </row>
    <row r="353" spans="1:31" x14ac:dyDescent="0.2">
      <c r="A353" s="201"/>
      <c r="B353" s="4" t="s">
        <v>34</v>
      </c>
      <c r="C353" s="4">
        <v>349</v>
      </c>
      <c r="D353" s="4"/>
      <c r="E353" s="4"/>
      <c r="F353" s="4"/>
      <c r="G353" s="4"/>
      <c r="H353" s="4"/>
      <c r="I353" s="4"/>
      <c r="J353" s="4">
        <v>30349</v>
      </c>
      <c r="K353" s="202"/>
      <c r="L353" s="4">
        <v>22</v>
      </c>
      <c r="M353" s="4">
        <v>12</v>
      </c>
      <c r="N353" s="4" t="str">
        <f>_xlfn.CONCAT("DBX",((L353-1)*2)+1,".4")</f>
        <v>DBX43.4</v>
      </c>
      <c r="O353" s="4" t="s">
        <v>781</v>
      </c>
      <c r="P353" s="4"/>
      <c r="Q353" s="4"/>
      <c r="R353" s="4"/>
      <c r="S353" s="4"/>
      <c r="T353" s="4"/>
      <c r="U353" s="4"/>
      <c r="V353" s="4"/>
      <c r="W353" s="4"/>
      <c r="X353" s="4" t="e">
        <f t="shared" si="5"/>
        <v>#N/A</v>
      </c>
      <c r="Y353" s="4"/>
      <c r="Z353" s="4"/>
      <c r="AA353" s="4"/>
      <c r="AB353" s="4"/>
      <c r="AC353" s="4"/>
      <c r="AD353" s="4"/>
      <c r="AE353" s="4"/>
    </row>
    <row r="354" spans="1:31" x14ac:dyDescent="0.2">
      <c r="A354" s="201"/>
      <c r="B354" s="4" t="s">
        <v>34</v>
      </c>
      <c r="C354" s="4">
        <v>350</v>
      </c>
      <c r="D354" s="4"/>
      <c r="E354" s="4"/>
      <c r="F354" s="4"/>
      <c r="G354" s="4"/>
      <c r="H354" s="4"/>
      <c r="I354" s="4"/>
      <c r="J354" s="4">
        <v>30350</v>
      </c>
      <c r="K354" s="202"/>
      <c r="L354" s="4">
        <v>22</v>
      </c>
      <c r="M354" s="4">
        <v>13</v>
      </c>
      <c r="N354" s="4" t="str">
        <f>_xlfn.CONCAT("DBX",((L354-1)*2)+1,".5")</f>
        <v>DBX43.5</v>
      </c>
      <c r="O354" s="4" t="s">
        <v>781</v>
      </c>
      <c r="P354" s="4"/>
      <c r="Q354" s="4"/>
      <c r="R354" s="4"/>
      <c r="S354" s="4"/>
      <c r="T354" s="4"/>
      <c r="U354" s="4"/>
      <c r="V354" s="4"/>
      <c r="W354" s="4"/>
      <c r="X354" s="4" t="e">
        <f t="shared" si="5"/>
        <v>#N/A</v>
      </c>
      <c r="Y354" s="4"/>
      <c r="Z354" s="4"/>
      <c r="AA354" s="4"/>
      <c r="AB354" s="4"/>
      <c r="AC354" s="4"/>
      <c r="AD354" s="4"/>
      <c r="AE354" s="4"/>
    </row>
    <row r="355" spans="1:31" x14ac:dyDescent="0.2">
      <c r="A355" s="201"/>
      <c r="B355" s="4" t="s">
        <v>34</v>
      </c>
      <c r="C355" s="4">
        <v>351</v>
      </c>
      <c r="D355" s="4"/>
      <c r="E355" s="4"/>
      <c r="F355" s="4"/>
      <c r="G355" s="4"/>
      <c r="H355" s="4"/>
      <c r="I355" s="4"/>
      <c r="J355" s="4">
        <v>30351</v>
      </c>
      <c r="K355" s="202"/>
      <c r="L355" s="4">
        <v>22</v>
      </c>
      <c r="M355" s="4">
        <v>14</v>
      </c>
      <c r="N355" s="4" t="str">
        <f>_xlfn.CONCAT("DBX",((L355-1)*2)+1,".6")</f>
        <v>DBX43.6</v>
      </c>
      <c r="O355" s="4" t="s">
        <v>781</v>
      </c>
      <c r="P355" s="4"/>
      <c r="Q355" s="4"/>
      <c r="R355" s="4"/>
      <c r="S355" s="4"/>
      <c r="T355" s="4"/>
      <c r="U355" s="4"/>
      <c r="V355" s="4"/>
      <c r="W355" s="4"/>
      <c r="X355" s="4" t="e">
        <f t="shared" si="5"/>
        <v>#N/A</v>
      </c>
      <c r="Y355" s="4"/>
      <c r="Z355" s="4"/>
      <c r="AA355" s="4"/>
      <c r="AB355" s="4"/>
      <c r="AC355" s="4"/>
      <c r="AD355" s="4"/>
      <c r="AE355" s="4"/>
    </row>
    <row r="356" spans="1:31" x14ac:dyDescent="0.2">
      <c r="A356" s="201"/>
      <c r="B356" s="4" t="s">
        <v>34</v>
      </c>
      <c r="C356" s="4">
        <v>352</v>
      </c>
      <c r="D356" s="4"/>
      <c r="E356" s="4"/>
      <c r="F356" s="4"/>
      <c r="G356" s="4"/>
      <c r="H356" s="4"/>
      <c r="I356" s="4"/>
      <c r="J356" s="4">
        <v>30352</v>
      </c>
      <c r="K356" s="202"/>
      <c r="L356" s="4">
        <v>22</v>
      </c>
      <c r="M356" s="4">
        <v>15</v>
      </c>
      <c r="N356" s="4" t="str">
        <f>_xlfn.CONCAT("DBX",((L356-1)*2)+1,".7")</f>
        <v>DBX43.7</v>
      </c>
      <c r="O356" s="4" t="s">
        <v>781</v>
      </c>
      <c r="P356" s="4"/>
      <c r="Q356" s="4"/>
      <c r="R356" s="4"/>
      <c r="S356" s="4"/>
      <c r="T356" s="4"/>
      <c r="U356" s="4"/>
      <c r="V356" s="4"/>
      <c r="W356" s="4"/>
      <c r="X356" s="4" t="e">
        <f t="shared" si="5"/>
        <v>#N/A</v>
      </c>
      <c r="Y356" s="4"/>
      <c r="Z356" s="4"/>
      <c r="AA356" s="4"/>
      <c r="AB356" s="4"/>
      <c r="AC356" s="4"/>
      <c r="AD356" s="4"/>
      <c r="AE356" s="4"/>
    </row>
    <row r="357" spans="1:31" x14ac:dyDescent="0.2">
      <c r="A357" s="201"/>
      <c r="B357" s="4" t="s">
        <v>104</v>
      </c>
      <c r="C357" s="4">
        <v>353</v>
      </c>
      <c r="D357" s="4" t="s">
        <v>1059</v>
      </c>
      <c r="E357" s="4" t="s">
        <v>1060</v>
      </c>
      <c r="F357" s="4" t="s">
        <v>1061</v>
      </c>
      <c r="G357" s="4" t="s">
        <v>329</v>
      </c>
      <c r="H357" s="4" t="s">
        <v>41</v>
      </c>
      <c r="I357" s="4" t="s">
        <v>84</v>
      </c>
      <c r="J357" s="4">
        <v>30353</v>
      </c>
      <c r="K357" s="202" t="s">
        <v>1113</v>
      </c>
      <c r="L357" s="4">
        <v>23</v>
      </c>
      <c r="M357" s="4">
        <v>0</v>
      </c>
      <c r="N357" s="4" t="str">
        <f>_xlfn.CONCAT("DBX",((L357-1)*2),".0")</f>
        <v>DBX44.0</v>
      </c>
      <c r="O357" s="4" t="s">
        <v>781</v>
      </c>
      <c r="P357" s="4" t="s">
        <v>99</v>
      </c>
      <c r="Q357" s="4" t="s">
        <v>12</v>
      </c>
      <c r="R357" s="4"/>
      <c r="S357" s="4">
        <v>3922</v>
      </c>
      <c r="T357" s="4" t="s">
        <v>2551</v>
      </c>
      <c r="U357" s="4"/>
      <c r="V357" s="4"/>
      <c r="W357" s="4" t="s">
        <v>129</v>
      </c>
      <c r="X357" s="4">
        <f t="shared" si="5"/>
        <v>13</v>
      </c>
      <c r="Y357" s="4"/>
      <c r="Z357" s="4"/>
      <c r="AA357" s="4"/>
      <c r="AB357" s="4"/>
      <c r="AC357" s="4">
        <v>1</v>
      </c>
      <c r="AD357" s="4"/>
      <c r="AE357" s="4"/>
    </row>
    <row r="358" spans="1:31" x14ac:dyDescent="0.2">
      <c r="A358" s="201"/>
      <c r="B358" s="4" t="s">
        <v>104</v>
      </c>
      <c r="C358" s="4">
        <v>354</v>
      </c>
      <c r="D358" s="4" t="s">
        <v>1062</v>
      </c>
      <c r="E358" s="4" t="s">
        <v>1063</v>
      </c>
      <c r="F358" s="4" t="s">
        <v>1064</v>
      </c>
      <c r="G358" s="4" t="s">
        <v>329</v>
      </c>
      <c r="H358" s="4" t="s">
        <v>41</v>
      </c>
      <c r="I358" s="4" t="s">
        <v>84</v>
      </c>
      <c r="J358" s="4">
        <v>30354</v>
      </c>
      <c r="K358" s="202" t="s">
        <v>1113</v>
      </c>
      <c r="L358" s="4">
        <v>23</v>
      </c>
      <c r="M358" s="4">
        <v>1</v>
      </c>
      <c r="N358" s="4" t="str">
        <f>_xlfn.CONCAT("DBX",((L358-1)*2),".1")</f>
        <v>DBX44.1</v>
      </c>
      <c r="O358" s="4" t="s">
        <v>781</v>
      </c>
      <c r="P358" s="4" t="s">
        <v>99</v>
      </c>
      <c r="Q358" s="4" t="s">
        <v>12</v>
      </c>
      <c r="R358" s="4"/>
      <c r="S358" s="4">
        <v>3922</v>
      </c>
      <c r="T358" s="4" t="s">
        <v>2551</v>
      </c>
      <c r="U358" s="4"/>
      <c r="V358" s="4"/>
      <c r="W358" s="4" t="s">
        <v>129</v>
      </c>
      <c r="X358" s="4">
        <f t="shared" si="5"/>
        <v>13</v>
      </c>
      <c r="Y358" s="4"/>
      <c r="Z358" s="4"/>
      <c r="AA358" s="4"/>
      <c r="AB358" s="4"/>
      <c r="AC358" s="4">
        <v>1</v>
      </c>
      <c r="AD358" s="4"/>
      <c r="AE358" s="4"/>
    </row>
    <row r="359" spans="1:31" ht="67.5" x14ac:dyDescent="0.2">
      <c r="A359" s="201"/>
      <c r="B359" s="4" t="s">
        <v>3170</v>
      </c>
      <c r="C359" s="4">
        <v>355</v>
      </c>
      <c r="D359" s="4" t="s">
        <v>1065</v>
      </c>
      <c r="E359" s="4" t="s">
        <v>1066</v>
      </c>
      <c r="F359" s="4" t="s">
        <v>1067</v>
      </c>
      <c r="G359" s="4" t="s">
        <v>329</v>
      </c>
      <c r="H359" s="4" t="s">
        <v>41</v>
      </c>
      <c r="I359" s="4" t="s">
        <v>84</v>
      </c>
      <c r="J359" s="4">
        <v>30355</v>
      </c>
      <c r="K359" s="202" t="s">
        <v>1114</v>
      </c>
      <c r="L359" s="4">
        <v>23</v>
      </c>
      <c r="M359" s="4">
        <v>2</v>
      </c>
      <c r="N359" s="4" t="str">
        <f>_xlfn.CONCAT("DBX",((L359-1)*2),".2")</f>
        <v>DBX44.2</v>
      </c>
      <c r="O359" s="4" t="s">
        <v>781</v>
      </c>
      <c r="P359" s="4" t="s">
        <v>99</v>
      </c>
      <c r="Q359" s="4" t="s">
        <v>12</v>
      </c>
      <c r="R359" s="4"/>
      <c r="S359" s="4">
        <v>3922</v>
      </c>
      <c r="T359" s="4" t="s">
        <v>2551</v>
      </c>
      <c r="U359" s="4" t="s">
        <v>2285</v>
      </c>
      <c r="V359" s="208" t="s">
        <v>3165</v>
      </c>
      <c r="W359" s="4" t="s">
        <v>129</v>
      </c>
      <c r="X359" s="4">
        <f t="shared" si="5"/>
        <v>13</v>
      </c>
      <c r="Y359" s="4"/>
      <c r="Z359" s="4"/>
      <c r="AA359" s="4"/>
      <c r="AB359" s="4"/>
      <c r="AC359" s="4">
        <v>1</v>
      </c>
      <c r="AD359" s="4"/>
      <c r="AE359" s="4"/>
    </row>
    <row r="360" spans="1:31" x14ac:dyDescent="0.2">
      <c r="A360" s="201"/>
      <c r="B360" s="4" t="s">
        <v>3170</v>
      </c>
      <c r="C360" s="4">
        <v>356</v>
      </c>
      <c r="D360" s="4" t="s">
        <v>1068</v>
      </c>
      <c r="E360" s="4" t="s">
        <v>1069</v>
      </c>
      <c r="F360" s="4" t="s">
        <v>1070</v>
      </c>
      <c r="G360" s="4" t="s">
        <v>329</v>
      </c>
      <c r="H360" s="4" t="s">
        <v>41</v>
      </c>
      <c r="I360" s="4" t="s">
        <v>84</v>
      </c>
      <c r="J360" s="4">
        <v>30356</v>
      </c>
      <c r="K360" s="202" t="s">
        <v>1115</v>
      </c>
      <c r="L360" s="4">
        <v>23</v>
      </c>
      <c r="M360" s="4">
        <v>3</v>
      </c>
      <c r="N360" s="4" t="str">
        <f>_xlfn.CONCAT("DBX",((L360-1)*2),".3")</f>
        <v>DBX44.3</v>
      </c>
      <c r="O360" s="4" t="s">
        <v>781</v>
      </c>
      <c r="P360" s="4" t="s">
        <v>99</v>
      </c>
      <c r="Q360" s="4" t="s">
        <v>12</v>
      </c>
      <c r="R360" s="4"/>
      <c r="S360" s="4">
        <v>3922</v>
      </c>
      <c r="T360" s="4" t="s">
        <v>2551</v>
      </c>
      <c r="U360" s="4" t="s">
        <v>2540</v>
      </c>
      <c r="V360" s="4" t="s">
        <v>3019</v>
      </c>
      <c r="W360" s="4" t="s">
        <v>129</v>
      </c>
      <c r="X360" s="4">
        <f t="shared" si="5"/>
        <v>13</v>
      </c>
      <c r="Y360" s="4"/>
      <c r="Z360" s="4"/>
      <c r="AA360" s="4"/>
      <c r="AB360" s="4"/>
      <c r="AC360" s="4">
        <v>1</v>
      </c>
      <c r="AD360" s="4"/>
      <c r="AE360" s="4"/>
    </row>
    <row r="361" spans="1:31" x14ac:dyDescent="0.2">
      <c r="A361" s="201"/>
      <c r="B361" s="4" t="s">
        <v>3170</v>
      </c>
      <c r="C361" s="4">
        <v>357</v>
      </c>
      <c r="D361" s="4" t="s">
        <v>1071</v>
      </c>
      <c r="E361" s="4" t="s">
        <v>1072</v>
      </c>
      <c r="F361" s="4" t="s">
        <v>1073</v>
      </c>
      <c r="G361" s="4" t="s">
        <v>329</v>
      </c>
      <c r="H361" s="4" t="s">
        <v>41</v>
      </c>
      <c r="I361" s="4" t="s">
        <v>84</v>
      </c>
      <c r="J361" s="4">
        <v>30357</v>
      </c>
      <c r="K361" s="202" t="s">
        <v>1115</v>
      </c>
      <c r="L361" s="4">
        <v>23</v>
      </c>
      <c r="M361" s="4">
        <v>4</v>
      </c>
      <c r="N361" s="4" t="str">
        <f>_xlfn.CONCAT("DBX",((L361-1)*2),".4")</f>
        <v>DBX44.4</v>
      </c>
      <c r="O361" s="4" t="s">
        <v>781</v>
      </c>
      <c r="P361" s="4" t="s">
        <v>99</v>
      </c>
      <c r="Q361" s="4" t="s">
        <v>12</v>
      </c>
      <c r="R361" s="4"/>
      <c r="S361" s="4">
        <v>3922</v>
      </c>
      <c r="T361" s="4" t="s">
        <v>2551</v>
      </c>
      <c r="U361" s="4" t="s">
        <v>2540</v>
      </c>
      <c r="V361" s="4" t="s">
        <v>3019</v>
      </c>
      <c r="W361" s="4" t="s">
        <v>127</v>
      </c>
      <c r="X361" s="4">
        <f t="shared" si="5"/>
        <v>11</v>
      </c>
      <c r="Y361" s="4"/>
      <c r="Z361" s="4"/>
      <c r="AA361" s="4"/>
      <c r="AB361" s="4"/>
      <c r="AC361" s="4">
        <v>1</v>
      </c>
      <c r="AD361" s="4"/>
      <c r="AE361" s="4"/>
    </row>
    <row r="362" spans="1:31" x14ac:dyDescent="0.2">
      <c r="A362" s="201"/>
      <c r="B362" s="4" t="s">
        <v>3170</v>
      </c>
      <c r="C362" s="4">
        <v>358</v>
      </c>
      <c r="D362" s="4" t="s">
        <v>1074</v>
      </c>
      <c r="E362" s="4" t="s">
        <v>1075</v>
      </c>
      <c r="F362" s="4" t="s">
        <v>1076</v>
      </c>
      <c r="G362" s="4" t="s">
        <v>329</v>
      </c>
      <c r="H362" s="4" t="s">
        <v>41</v>
      </c>
      <c r="I362" s="4" t="s">
        <v>84</v>
      </c>
      <c r="J362" s="4">
        <v>30358</v>
      </c>
      <c r="K362" s="202" t="s">
        <v>1116</v>
      </c>
      <c r="L362" s="4">
        <v>23</v>
      </c>
      <c r="M362" s="4">
        <v>5</v>
      </c>
      <c r="N362" s="4" t="str">
        <f>_xlfn.CONCAT("DBX",((L362-1)*2),".5")</f>
        <v>DBX44.5</v>
      </c>
      <c r="O362" s="4" t="s">
        <v>781</v>
      </c>
      <c r="P362" s="4" t="s">
        <v>99</v>
      </c>
      <c r="Q362" s="4" t="s">
        <v>12</v>
      </c>
      <c r="R362" s="4"/>
      <c r="S362" s="4">
        <v>3922</v>
      </c>
      <c r="T362" s="4" t="s">
        <v>2551</v>
      </c>
      <c r="U362" s="4" t="s">
        <v>2541</v>
      </c>
      <c r="V362" s="4" t="s">
        <v>3019</v>
      </c>
      <c r="W362" s="4" t="s">
        <v>129</v>
      </c>
      <c r="X362" s="4">
        <f t="shared" si="5"/>
        <v>13</v>
      </c>
      <c r="Y362" s="4"/>
      <c r="Z362" s="4"/>
      <c r="AA362" s="4"/>
      <c r="AB362" s="4"/>
      <c r="AC362" s="4">
        <v>1</v>
      </c>
      <c r="AD362" s="4"/>
      <c r="AE362" s="4"/>
    </row>
    <row r="363" spans="1:31" x14ac:dyDescent="0.2">
      <c r="A363" s="201"/>
      <c r="B363" s="4" t="s">
        <v>3170</v>
      </c>
      <c r="C363" s="4">
        <v>359</v>
      </c>
      <c r="D363" s="4" t="s">
        <v>1077</v>
      </c>
      <c r="E363" s="4" t="s">
        <v>1078</v>
      </c>
      <c r="F363" s="4" t="s">
        <v>1079</v>
      </c>
      <c r="G363" s="4" t="s">
        <v>329</v>
      </c>
      <c r="H363" s="4" t="s">
        <v>41</v>
      </c>
      <c r="I363" s="4" t="s">
        <v>84</v>
      </c>
      <c r="J363" s="4">
        <v>30359</v>
      </c>
      <c r="K363" s="202" t="s">
        <v>1117</v>
      </c>
      <c r="L363" s="4">
        <v>23</v>
      </c>
      <c r="M363" s="4">
        <v>6</v>
      </c>
      <c r="N363" s="4" t="str">
        <f>_xlfn.CONCAT("DBX",((L363-1)*2),".6")</f>
        <v>DBX44.6</v>
      </c>
      <c r="O363" s="4" t="s">
        <v>781</v>
      </c>
      <c r="P363" s="4" t="s">
        <v>99</v>
      </c>
      <c r="Q363" s="4" t="s">
        <v>12</v>
      </c>
      <c r="R363" s="4"/>
      <c r="S363" s="4">
        <v>3922</v>
      </c>
      <c r="T363" s="4" t="s">
        <v>2551</v>
      </c>
      <c r="U363" s="4" t="s">
        <v>2542</v>
      </c>
      <c r="V363" s="4" t="s">
        <v>3019</v>
      </c>
      <c r="W363" s="4" t="s">
        <v>129</v>
      </c>
      <c r="X363" s="4">
        <f t="shared" si="5"/>
        <v>13</v>
      </c>
      <c r="Y363" s="4"/>
      <c r="Z363" s="4"/>
      <c r="AA363" s="4"/>
      <c r="AB363" s="4"/>
      <c r="AC363" s="4">
        <v>1</v>
      </c>
      <c r="AD363" s="4"/>
      <c r="AE363" s="4"/>
    </row>
    <row r="364" spans="1:31" x14ac:dyDescent="0.2">
      <c r="A364" s="201"/>
      <c r="B364" s="4" t="s">
        <v>3170</v>
      </c>
      <c r="C364" s="4">
        <v>360</v>
      </c>
      <c r="D364" s="4" t="s">
        <v>1080</v>
      </c>
      <c r="E364" s="4" t="s">
        <v>1081</v>
      </c>
      <c r="F364" s="4" t="s">
        <v>1082</v>
      </c>
      <c r="G364" s="4" t="s">
        <v>329</v>
      </c>
      <c r="H364" s="4" t="s">
        <v>41</v>
      </c>
      <c r="I364" s="4" t="s">
        <v>84</v>
      </c>
      <c r="J364" s="4">
        <v>30360</v>
      </c>
      <c r="K364" s="202" t="s">
        <v>1117</v>
      </c>
      <c r="L364" s="4">
        <v>23</v>
      </c>
      <c r="M364" s="4">
        <v>7</v>
      </c>
      <c r="N364" s="4" t="str">
        <f>_xlfn.CONCAT("DBX",((L364-1)*2),".7")</f>
        <v>DBX44.7</v>
      </c>
      <c r="O364" s="4" t="s">
        <v>781</v>
      </c>
      <c r="P364" s="4" t="s">
        <v>99</v>
      </c>
      <c r="Q364" s="4" t="s">
        <v>12</v>
      </c>
      <c r="R364" s="4"/>
      <c r="S364" s="4">
        <v>3922</v>
      </c>
      <c r="T364" s="4" t="s">
        <v>2551</v>
      </c>
      <c r="U364" s="4" t="s">
        <v>2542</v>
      </c>
      <c r="V364" s="4" t="s">
        <v>3019</v>
      </c>
      <c r="W364" s="4" t="s">
        <v>127</v>
      </c>
      <c r="X364" s="4">
        <f t="shared" si="5"/>
        <v>11</v>
      </c>
      <c r="Y364" s="4"/>
      <c r="Z364" s="4"/>
      <c r="AA364" s="4"/>
      <c r="AB364" s="4"/>
      <c r="AC364" s="4">
        <v>1</v>
      </c>
      <c r="AD364" s="4"/>
      <c r="AE364" s="4"/>
    </row>
    <row r="365" spans="1:31" x14ac:dyDescent="0.2">
      <c r="A365" s="201"/>
      <c r="B365" s="4" t="s">
        <v>3170</v>
      </c>
      <c r="C365" s="4">
        <v>361</v>
      </c>
      <c r="D365" s="4" t="s">
        <v>1083</v>
      </c>
      <c r="E365" s="4" t="s">
        <v>1084</v>
      </c>
      <c r="F365" s="4" t="s">
        <v>1085</v>
      </c>
      <c r="G365" s="4" t="s">
        <v>329</v>
      </c>
      <c r="H365" s="4" t="s">
        <v>41</v>
      </c>
      <c r="I365" s="4" t="s">
        <v>84</v>
      </c>
      <c r="J365" s="4">
        <v>30361</v>
      </c>
      <c r="K365" s="202" t="s">
        <v>1118</v>
      </c>
      <c r="L365" s="4">
        <v>23</v>
      </c>
      <c r="M365" s="4">
        <v>8</v>
      </c>
      <c r="N365" s="4" t="str">
        <f>_xlfn.CONCAT("DBX",((L365-1)*2)+1,".0")</f>
        <v>DBX45.0</v>
      </c>
      <c r="O365" s="4" t="s">
        <v>781</v>
      </c>
      <c r="P365" s="4" t="s">
        <v>99</v>
      </c>
      <c r="Q365" s="4" t="s">
        <v>12</v>
      </c>
      <c r="R365" s="4"/>
      <c r="S365" s="4">
        <v>3922</v>
      </c>
      <c r="T365" s="4" t="s">
        <v>2551</v>
      </c>
      <c r="U365" s="4" t="s">
        <v>2543</v>
      </c>
      <c r="V365" s="4" t="s">
        <v>3019</v>
      </c>
      <c r="W365" s="4" t="s">
        <v>129</v>
      </c>
      <c r="X365" s="4">
        <f t="shared" si="5"/>
        <v>13</v>
      </c>
      <c r="Y365" s="4"/>
      <c r="Z365" s="4"/>
      <c r="AA365" s="4"/>
      <c r="AB365" s="4"/>
      <c r="AC365" s="4">
        <v>1</v>
      </c>
      <c r="AD365" s="4"/>
      <c r="AE365" s="4"/>
    </row>
    <row r="366" spans="1:31" x14ac:dyDescent="0.2">
      <c r="A366" s="201"/>
      <c r="B366" s="4" t="s">
        <v>3170</v>
      </c>
      <c r="C366" s="4">
        <v>362</v>
      </c>
      <c r="D366" s="4" t="s">
        <v>1086</v>
      </c>
      <c r="E366" s="4" t="s">
        <v>1087</v>
      </c>
      <c r="F366" s="4" t="s">
        <v>1088</v>
      </c>
      <c r="G366" s="4" t="s">
        <v>329</v>
      </c>
      <c r="H366" s="4" t="s">
        <v>41</v>
      </c>
      <c r="I366" s="4" t="s">
        <v>84</v>
      </c>
      <c r="J366" s="4">
        <v>30362</v>
      </c>
      <c r="K366" s="202" t="s">
        <v>1119</v>
      </c>
      <c r="L366" s="4">
        <v>23</v>
      </c>
      <c r="M366" s="4">
        <v>9</v>
      </c>
      <c r="N366" s="4" t="str">
        <f>_xlfn.CONCAT("DBX",((L366-1)*2)+1,".1")</f>
        <v>DBX45.1</v>
      </c>
      <c r="O366" s="4" t="s">
        <v>781</v>
      </c>
      <c r="P366" s="4" t="s">
        <v>99</v>
      </c>
      <c r="Q366" s="4" t="s">
        <v>12</v>
      </c>
      <c r="R366" s="4"/>
      <c r="S366" s="4">
        <v>3922</v>
      </c>
      <c r="T366" s="4" t="s">
        <v>2551</v>
      </c>
      <c r="U366" s="4" t="s">
        <v>2290</v>
      </c>
      <c r="V366" s="4" t="s">
        <v>3043</v>
      </c>
      <c r="W366" s="4" t="s">
        <v>129</v>
      </c>
      <c r="X366" s="4">
        <f t="shared" si="5"/>
        <v>13</v>
      </c>
      <c r="Y366" s="4"/>
      <c r="Z366" s="4"/>
      <c r="AA366" s="4"/>
      <c r="AB366" s="4"/>
      <c r="AC366" s="4">
        <v>1</v>
      </c>
      <c r="AD366" s="4"/>
      <c r="AE366" s="4"/>
    </row>
    <row r="367" spans="1:31" x14ac:dyDescent="0.2">
      <c r="A367" s="201"/>
      <c r="B367" s="4" t="s">
        <v>3170</v>
      </c>
      <c r="C367" s="4">
        <v>363</v>
      </c>
      <c r="D367" s="4" t="s">
        <v>1089</v>
      </c>
      <c r="E367" s="4" t="s">
        <v>1090</v>
      </c>
      <c r="F367" s="4" t="s">
        <v>1091</v>
      </c>
      <c r="G367" s="4" t="s">
        <v>329</v>
      </c>
      <c r="H367" s="4" t="s">
        <v>41</v>
      </c>
      <c r="I367" s="4" t="s">
        <v>84</v>
      </c>
      <c r="J367" s="4">
        <v>30363</v>
      </c>
      <c r="K367" s="202" t="s">
        <v>1120</v>
      </c>
      <c r="L367" s="4">
        <v>23</v>
      </c>
      <c r="M367" s="4">
        <v>10</v>
      </c>
      <c r="N367" s="4" t="str">
        <f>_xlfn.CONCAT("DBX",((L367-1)*2)+1,".2")</f>
        <v>DBX45.2</v>
      </c>
      <c r="O367" s="4" t="s">
        <v>781</v>
      </c>
      <c r="P367" s="4" t="s">
        <v>99</v>
      </c>
      <c r="Q367" s="4" t="s">
        <v>12</v>
      </c>
      <c r="R367" s="4"/>
      <c r="S367" s="4">
        <v>3922</v>
      </c>
      <c r="T367" s="4" t="s">
        <v>2551</v>
      </c>
      <c r="U367" s="4" t="s">
        <v>2286</v>
      </c>
      <c r="V367" s="4" t="s">
        <v>3064</v>
      </c>
      <c r="W367" s="4" t="s">
        <v>129</v>
      </c>
      <c r="X367" s="4">
        <f t="shared" si="5"/>
        <v>13</v>
      </c>
      <c r="Y367" s="4"/>
      <c r="Z367" s="4"/>
      <c r="AA367" s="4"/>
      <c r="AB367" s="4"/>
      <c r="AC367" s="4">
        <v>1</v>
      </c>
      <c r="AD367" s="4"/>
      <c r="AE367" s="4"/>
    </row>
    <row r="368" spans="1:31" x14ac:dyDescent="0.2">
      <c r="A368" s="201"/>
      <c r="B368" s="4" t="s">
        <v>3170</v>
      </c>
      <c r="C368" s="4">
        <v>364</v>
      </c>
      <c r="D368" s="4" t="s">
        <v>1092</v>
      </c>
      <c r="E368" s="4" t="s">
        <v>1093</v>
      </c>
      <c r="F368" s="4" t="s">
        <v>1094</v>
      </c>
      <c r="G368" s="4" t="s">
        <v>329</v>
      </c>
      <c r="H368" s="4" t="s">
        <v>41</v>
      </c>
      <c r="I368" s="4" t="s">
        <v>84</v>
      </c>
      <c r="J368" s="4">
        <v>30364</v>
      </c>
      <c r="K368" s="202" t="s">
        <v>1121</v>
      </c>
      <c r="L368" s="4">
        <v>23</v>
      </c>
      <c r="M368" s="4">
        <v>11</v>
      </c>
      <c r="N368" s="4" t="str">
        <f>_xlfn.CONCAT("DBX",((L368-1)*2)+1,".3")</f>
        <v>DBX45.3</v>
      </c>
      <c r="O368" s="4" t="s">
        <v>781</v>
      </c>
      <c r="P368" s="4" t="s">
        <v>99</v>
      </c>
      <c r="Q368" s="4" t="s">
        <v>12</v>
      </c>
      <c r="R368" s="4"/>
      <c r="S368" s="4">
        <v>3922</v>
      </c>
      <c r="T368" s="4" t="s">
        <v>2551</v>
      </c>
      <c r="U368" s="4" t="s">
        <v>2287</v>
      </c>
      <c r="V368" s="4" t="s">
        <v>3064</v>
      </c>
      <c r="W368" s="4" t="s">
        <v>129</v>
      </c>
      <c r="X368" s="4">
        <f t="shared" si="5"/>
        <v>13</v>
      </c>
      <c r="Y368" s="4"/>
      <c r="Z368" s="4"/>
      <c r="AA368" s="4"/>
      <c r="AB368" s="4"/>
      <c r="AC368" s="4">
        <v>1</v>
      </c>
      <c r="AD368" s="4"/>
      <c r="AE368" s="4"/>
    </row>
    <row r="369" spans="1:31" x14ac:dyDescent="0.2">
      <c r="A369" s="201"/>
      <c r="B369" s="4" t="s">
        <v>3170</v>
      </c>
      <c r="C369" s="4">
        <v>365</v>
      </c>
      <c r="D369" s="4" t="s">
        <v>1095</v>
      </c>
      <c r="E369" s="4" t="s">
        <v>1096</v>
      </c>
      <c r="F369" s="4" t="s">
        <v>1097</v>
      </c>
      <c r="G369" s="4" t="s">
        <v>329</v>
      </c>
      <c r="H369" s="4" t="s">
        <v>41</v>
      </c>
      <c r="I369" s="4" t="s">
        <v>84</v>
      </c>
      <c r="J369" s="4">
        <v>30365</v>
      </c>
      <c r="K369" s="202" t="s">
        <v>1122</v>
      </c>
      <c r="L369" s="4">
        <v>23</v>
      </c>
      <c r="M369" s="4">
        <v>12</v>
      </c>
      <c r="N369" s="4" t="str">
        <f>_xlfn.CONCAT("DBX",((L369-1)*2)+1,".4")</f>
        <v>DBX45.4</v>
      </c>
      <c r="O369" s="4" t="s">
        <v>781</v>
      </c>
      <c r="P369" s="4" t="s">
        <v>99</v>
      </c>
      <c r="Q369" s="4" t="s">
        <v>12</v>
      </c>
      <c r="R369" s="4"/>
      <c r="S369" s="4">
        <v>3922</v>
      </c>
      <c r="T369" s="4" t="s">
        <v>2551</v>
      </c>
      <c r="U369" s="4" t="s">
        <v>2544</v>
      </c>
      <c r="V369" s="4" t="s">
        <v>3020</v>
      </c>
      <c r="W369" s="4" t="s">
        <v>129</v>
      </c>
      <c r="X369" s="4">
        <f t="shared" si="5"/>
        <v>13</v>
      </c>
      <c r="Y369" s="4"/>
      <c r="Z369" s="4"/>
      <c r="AA369" s="4"/>
      <c r="AB369" s="4"/>
      <c r="AC369" s="4">
        <v>1</v>
      </c>
      <c r="AD369" s="4"/>
      <c r="AE369" s="4"/>
    </row>
    <row r="370" spans="1:31" x14ac:dyDescent="0.2">
      <c r="A370" s="201"/>
      <c r="B370" s="4" t="s">
        <v>3170</v>
      </c>
      <c r="C370" s="4">
        <v>366</v>
      </c>
      <c r="D370" s="4" t="s">
        <v>1098</v>
      </c>
      <c r="E370" s="4" t="s">
        <v>1099</v>
      </c>
      <c r="F370" s="4" t="s">
        <v>1100</v>
      </c>
      <c r="G370" s="4" t="s">
        <v>329</v>
      </c>
      <c r="H370" s="4" t="s">
        <v>41</v>
      </c>
      <c r="I370" s="4" t="s">
        <v>84</v>
      </c>
      <c r="J370" s="4">
        <v>30366</v>
      </c>
      <c r="K370" s="202" t="s">
        <v>1122</v>
      </c>
      <c r="L370" s="4">
        <v>23</v>
      </c>
      <c r="M370" s="4">
        <v>13</v>
      </c>
      <c r="N370" s="4" t="str">
        <f>_xlfn.CONCAT("DBX",((L370-1)*2)+1,".5")</f>
        <v>DBX45.5</v>
      </c>
      <c r="O370" s="4" t="s">
        <v>781</v>
      </c>
      <c r="P370" s="4" t="s">
        <v>99</v>
      </c>
      <c r="Q370" s="4" t="s">
        <v>12</v>
      </c>
      <c r="R370" s="4"/>
      <c r="S370" s="4">
        <v>3922</v>
      </c>
      <c r="T370" s="4" t="s">
        <v>2551</v>
      </c>
      <c r="U370" s="4" t="s">
        <v>2544</v>
      </c>
      <c r="V370" s="4" t="s">
        <v>3020</v>
      </c>
      <c r="W370" s="4" t="s">
        <v>127</v>
      </c>
      <c r="X370" s="4">
        <f t="shared" si="5"/>
        <v>11</v>
      </c>
      <c r="Y370" s="4"/>
      <c r="Z370" s="4"/>
      <c r="AA370" s="4"/>
      <c r="AB370" s="4"/>
      <c r="AC370" s="4">
        <v>1</v>
      </c>
      <c r="AD370" s="4"/>
      <c r="AE370" s="4"/>
    </row>
    <row r="371" spans="1:31" x14ac:dyDescent="0.2">
      <c r="A371" s="201"/>
      <c r="B371" s="4" t="s">
        <v>3170</v>
      </c>
      <c r="C371" s="4">
        <v>367</v>
      </c>
      <c r="D371" s="4" t="s">
        <v>1101</v>
      </c>
      <c r="E371" s="4" t="s">
        <v>1102</v>
      </c>
      <c r="F371" s="4" t="s">
        <v>1103</v>
      </c>
      <c r="G371" s="4" t="s">
        <v>329</v>
      </c>
      <c r="H371" s="4" t="s">
        <v>41</v>
      </c>
      <c r="I371" s="4" t="s">
        <v>84</v>
      </c>
      <c r="J371" s="4">
        <v>30367</v>
      </c>
      <c r="K371" s="202" t="s">
        <v>1123</v>
      </c>
      <c r="L371" s="4">
        <v>23</v>
      </c>
      <c r="M371" s="4">
        <v>14</v>
      </c>
      <c r="N371" s="4" t="str">
        <f>_xlfn.CONCAT("DBX",((L371-1)*2)+1,".6")</f>
        <v>DBX45.6</v>
      </c>
      <c r="O371" s="4" t="s">
        <v>781</v>
      </c>
      <c r="P371" s="4" t="s">
        <v>99</v>
      </c>
      <c r="Q371" s="4" t="s">
        <v>12</v>
      </c>
      <c r="R371" s="4"/>
      <c r="S371" s="4">
        <v>3922</v>
      </c>
      <c r="T371" s="4" t="s">
        <v>2551</v>
      </c>
      <c r="U371" s="4" t="s">
        <v>2545</v>
      </c>
      <c r="V371" s="4" t="s">
        <v>3020</v>
      </c>
      <c r="W371" s="4" t="s">
        <v>129</v>
      </c>
      <c r="X371" s="4">
        <f t="shared" si="5"/>
        <v>13</v>
      </c>
      <c r="Y371" s="4"/>
      <c r="Z371" s="4"/>
      <c r="AA371" s="4"/>
      <c r="AB371" s="4"/>
      <c r="AC371" s="4">
        <v>1</v>
      </c>
      <c r="AD371" s="4"/>
      <c r="AE371" s="4"/>
    </row>
    <row r="372" spans="1:31" x14ac:dyDescent="0.2">
      <c r="A372" s="201"/>
      <c r="B372" s="4" t="s">
        <v>3170</v>
      </c>
      <c r="C372" s="4">
        <v>368</v>
      </c>
      <c r="D372" s="4" t="s">
        <v>1104</v>
      </c>
      <c r="E372" s="4" t="s">
        <v>1105</v>
      </c>
      <c r="F372" s="4" t="s">
        <v>1106</v>
      </c>
      <c r="G372" s="4" t="s">
        <v>329</v>
      </c>
      <c r="H372" s="4" t="s">
        <v>41</v>
      </c>
      <c r="I372" s="4" t="s">
        <v>84</v>
      </c>
      <c r="J372" s="4">
        <v>30368</v>
      </c>
      <c r="K372" s="202" t="s">
        <v>1124</v>
      </c>
      <c r="L372" s="4">
        <v>23</v>
      </c>
      <c r="M372" s="4">
        <v>15</v>
      </c>
      <c r="N372" s="4" t="str">
        <f>_xlfn.CONCAT("DBX",((L372-1)*2)+1,".7")</f>
        <v>DBX45.7</v>
      </c>
      <c r="O372" s="4" t="s">
        <v>781</v>
      </c>
      <c r="P372" s="4" t="s">
        <v>99</v>
      </c>
      <c r="Q372" s="4" t="s">
        <v>12</v>
      </c>
      <c r="R372" s="4"/>
      <c r="S372" s="4">
        <v>3922</v>
      </c>
      <c r="T372" s="4" t="s">
        <v>2551</v>
      </c>
      <c r="U372" s="4" t="s">
        <v>2546</v>
      </c>
      <c r="V372" s="4" t="s">
        <v>3020</v>
      </c>
      <c r="W372" s="4" t="s">
        <v>129</v>
      </c>
      <c r="X372" s="4">
        <f t="shared" si="5"/>
        <v>13</v>
      </c>
      <c r="Y372" s="4"/>
      <c r="Z372" s="4"/>
      <c r="AA372" s="4"/>
      <c r="AB372" s="4"/>
      <c r="AC372" s="4">
        <v>1</v>
      </c>
      <c r="AD372" s="4"/>
      <c r="AE372" s="4"/>
    </row>
    <row r="373" spans="1:31" x14ac:dyDescent="0.2">
      <c r="A373" s="201"/>
      <c r="B373" s="4" t="s">
        <v>3170</v>
      </c>
      <c r="C373" s="4">
        <v>369</v>
      </c>
      <c r="D373" s="4" t="s">
        <v>1107</v>
      </c>
      <c r="E373" s="4" t="s">
        <v>1108</v>
      </c>
      <c r="F373" s="4" t="s">
        <v>1109</v>
      </c>
      <c r="G373" s="4" t="s">
        <v>329</v>
      </c>
      <c r="H373" s="4" t="s">
        <v>41</v>
      </c>
      <c r="I373" s="4" t="s">
        <v>84</v>
      </c>
      <c r="J373" s="4">
        <v>30369</v>
      </c>
      <c r="K373" s="202" t="s">
        <v>1124</v>
      </c>
      <c r="L373" s="4">
        <v>24</v>
      </c>
      <c r="M373" s="4">
        <v>0</v>
      </c>
      <c r="N373" s="4" t="str">
        <f>_xlfn.CONCAT("DBX",((L373-1)*2),".0")</f>
        <v>DBX46.0</v>
      </c>
      <c r="O373" s="4" t="s">
        <v>781</v>
      </c>
      <c r="P373" s="4" t="s">
        <v>99</v>
      </c>
      <c r="Q373" s="4" t="s">
        <v>12</v>
      </c>
      <c r="R373" s="4"/>
      <c r="S373" s="4">
        <v>3922</v>
      </c>
      <c r="T373" s="4" t="s">
        <v>2551</v>
      </c>
      <c r="U373" s="4" t="s">
        <v>2546</v>
      </c>
      <c r="V373" s="4" t="s">
        <v>3020</v>
      </c>
      <c r="W373" s="4" t="s">
        <v>127</v>
      </c>
      <c r="X373" s="4">
        <f t="shared" si="5"/>
        <v>11</v>
      </c>
      <c r="Y373" s="4"/>
      <c r="Z373" s="4"/>
      <c r="AA373" s="4"/>
      <c r="AB373" s="4"/>
      <c r="AC373" s="4">
        <v>1</v>
      </c>
      <c r="AD373" s="4"/>
      <c r="AE373" s="4"/>
    </row>
    <row r="374" spans="1:31" x14ac:dyDescent="0.2">
      <c r="A374" s="201"/>
      <c r="B374" s="4" t="s">
        <v>3170</v>
      </c>
      <c r="C374" s="4">
        <v>370</v>
      </c>
      <c r="D374" s="4" t="s">
        <v>1110</v>
      </c>
      <c r="E374" s="4" t="s">
        <v>1111</v>
      </c>
      <c r="F374" s="4" t="s">
        <v>1112</v>
      </c>
      <c r="G374" s="4" t="s">
        <v>329</v>
      </c>
      <c r="H374" s="4" t="s">
        <v>41</v>
      </c>
      <c r="I374" s="4" t="s">
        <v>84</v>
      </c>
      <c r="J374" s="4">
        <v>30370</v>
      </c>
      <c r="K374" s="202" t="s">
        <v>1125</v>
      </c>
      <c r="L374" s="4">
        <v>24</v>
      </c>
      <c r="M374" s="4">
        <v>1</v>
      </c>
      <c r="N374" s="4" t="str">
        <f>_xlfn.CONCAT("DBX",((L374-1)*2),".1")</f>
        <v>DBX46.1</v>
      </c>
      <c r="O374" s="4" t="s">
        <v>781</v>
      </c>
      <c r="P374" s="4" t="s">
        <v>99</v>
      </c>
      <c r="Q374" s="4" t="s">
        <v>12</v>
      </c>
      <c r="R374" s="4"/>
      <c r="S374" s="4">
        <v>3922</v>
      </c>
      <c r="T374" s="4" t="s">
        <v>2551</v>
      </c>
      <c r="U374" s="4" t="s">
        <v>2547</v>
      </c>
      <c r="V374" s="4" t="s">
        <v>3020</v>
      </c>
      <c r="W374" s="4" t="s">
        <v>129</v>
      </c>
      <c r="X374" s="4">
        <f t="shared" si="5"/>
        <v>13</v>
      </c>
      <c r="Y374" s="4"/>
      <c r="Z374" s="4"/>
      <c r="AA374" s="4"/>
      <c r="AB374" s="4"/>
      <c r="AC374" s="4">
        <v>1</v>
      </c>
      <c r="AD374" s="4"/>
      <c r="AE374" s="4"/>
    </row>
    <row r="375" spans="1:31" x14ac:dyDescent="0.2">
      <c r="A375" s="201"/>
      <c r="B375" s="4" t="s">
        <v>33</v>
      </c>
      <c r="C375" s="4">
        <v>371</v>
      </c>
      <c r="D375" s="4" t="s">
        <v>2271</v>
      </c>
      <c r="E375" s="4" t="s">
        <v>2273</v>
      </c>
      <c r="F375" s="4" t="s">
        <v>2340</v>
      </c>
      <c r="G375" s="4" t="s">
        <v>329</v>
      </c>
      <c r="H375" s="4" t="s">
        <v>41</v>
      </c>
      <c r="I375" s="4" t="s">
        <v>84</v>
      </c>
      <c r="J375" s="4">
        <v>30371</v>
      </c>
      <c r="K375" s="202" t="s">
        <v>1113</v>
      </c>
      <c r="L375" s="4">
        <v>24</v>
      </c>
      <c r="M375" s="4">
        <v>2</v>
      </c>
      <c r="N375" s="4" t="str">
        <f>_xlfn.CONCAT("DBX",((L375-1)*2),".2")</f>
        <v>DBX46.2</v>
      </c>
      <c r="O375" s="4" t="s">
        <v>781</v>
      </c>
      <c r="P375" s="4" t="s">
        <v>99</v>
      </c>
      <c r="Q375" s="4" t="s">
        <v>12</v>
      </c>
      <c r="R375" s="4"/>
      <c r="S375" s="4">
        <v>3922</v>
      </c>
      <c r="T375" s="4" t="s">
        <v>2551</v>
      </c>
      <c r="U375" s="4"/>
      <c r="V375" s="4"/>
      <c r="W375" s="4" t="s">
        <v>129</v>
      </c>
      <c r="X375" s="4">
        <f t="shared" si="5"/>
        <v>13</v>
      </c>
      <c r="Y375" s="4"/>
      <c r="Z375" s="4"/>
      <c r="AA375" s="4"/>
      <c r="AB375" s="4"/>
      <c r="AC375" s="4">
        <v>1</v>
      </c>
      <c r="AD375" s="4"/>
      <c r="AE375" s="4"/>
    </row>
    <row r="376" spans="1:31" x14ac:dyDescent="0.2">
      <c r="A376" s="201"/>
      <c r="B376" s="4" t="s">
        <v>33</v>
      </c>
      <c r="C376" s="4">
        <v>372</v>
      </c>
      <c r="D376" s="4" t="s">
        <v>2272</v>
      </c>
      <c r="E376" s="4" t="s">
        <v>2274</v>
      </c>
      <c r="F376" s="4" t="s">
        <v>2341</v>
      </c>
      <c r="G376" s="4" t="s">
        <v>329</v>
      </c>
      <c r="H376" s="4" t="s">
        <v>41</v>
      </c>
      <c r="I376" s="4" t="s">
        <v>84</v>
      </c>
      <c r="J376" s="4">
        <v>30372</v>
      </c>
      <c r="K376" s="202" t="s">
        <v>1113</v>
      </c>
      <c r="L376" s="4">
        <v>24</v>
      </c>
      <c r="M376" s="4">
        <v>3</v>
      </c>
      <c r="N376" s="4" t="str">
        <f>_xlfn.CONCAT("DBX",((L376-1)*2),".3")</f>
        <v>DBX46.3</v>
      </c>
      <c r="O376" s="4" t="s">
        <v>781</v>
      </c>
      <c r="P376" s="4" t="s">
        <v>99</v>
      </c>
      <c r="Q376" s="4" t="s">
        <v>12</v>
      </c>
      <c r="R376" s="4"/>
      <c r="S376" s="4">
        <v>3922</v>
      </c>
      <c r="T376" s="4" t="s">
        <v>2551</v>
      </c>
      <c r="U376" s="4"/>
      <c r="V376" s="4"/>
      <c r="W376" s="4" t="s">
        <v>129</v>
      </c>
      <c r="X376" s="4">
        <f t="shared" si="5"/>
        <v>13</v>
      </c>
      <c r="Y376" s="4"/>
      <c r="Z376" s="4"/>
      <c r="AA376" s="4"/>
      <c r="AB376" s="4"/>
      <c r="AC376" s="4">
        <v>1</v>
      </c>
      <c r="AD376" s="4"/>
      <c r="AE376" s="4"/>
    </row>
    <row r="377" spans="1:31" x14ac:dyDescent="0.2">
      <c r="A377" s="201"/>
      <c r="B377" s="4" t="s">
        <v>33</v>
      </c>
      <c r="C377" s="4">
        <v>373</v>
      </c>
      <c r="D377" s="4" t="s">
        <v>1126</v>
      </c>
      <c r="E377" s="4" t="s">
        <v>1127</v>
      </c>
      <c r="F377" s="4" t="s">
        <v>2515</v>
      </c>
      <c r="G377" s="4" t="s">
        <v>329</v>
      </c>
      <c r="H377" s="4" t="s">
        <v>41</v>
      </c>
      <c r="I377" s="4" t="s">
        <v>84</v>
      </c>
      <c r="J377" s="4">
        <v>30373</v>
      </c>
      <c r="K377" s="202" t="s">
        <v>1113</v>
      </c>
      <c r="L377" s="4">
        <v>24</v>
      </c>
      <c r="M377" s="4">
        <v>4</v>
      </c>
      <c r="N377" s="4" t="str">
        <f>_xlfn.CONCAT("DBX",((L377-1)*2),".4")</f>
        <v>DBX46.4</v>
      </c>
      <c r="O377" s="4" t="s">
        <v>781</v>
      </c>
      <c r="P377" s="4" t="s">
        <v>99</v>
      </c>
      <c r="Q377" s="4" t="s">
        <v>12</v>
      </c>
      <c r="R377" s="4"/>
      <c r="S377" s="4">
        <v>3922</v>
      </c>
      <c r="T377" s="4" t="s">
        <v>2551</v>
      </c>
      <c r="U377" s="4"/>
      <c r="V377" s="4"/>
      <c r="W377" s="4" t="s">
        <v>129</v>
      </c>
      <c r="X377" s="4">
        <f t="shared" si="5"/>
        <v>13</v>
      </c>
      <c r="Y377" s="4"/>
      <c r="Z377" s="4"/>
      <c r="AA377" s="4"/>
      <c r="AB377" s="4"/>
      <c r="AC377" s="4">
        <v>1</v>
      </c>
      <c r="AD377" s="4"/>
      <c r="AE377" s="4"/>
    </row>
    <row r="378" spans="1:31" x14ac:dyDescent="0.2">
      <c r="A378" s="201"/>
      <c r="B378" s="4" t="s">
        <v>33</v>
      </c>
      <c r="C378" s="4">
        <v>374</v>
      </c>
      <c r="D378" s="4" t="s">
        <v>1128</v>
      </c>
      <c r="E378" s="4" t="s">
        <v>1129</v>
      </c>
      <c r="F378" s="4" t="s">
        <v>2516</v>
      </c>
      <c r="G378" s="4" t="s">
        <v>329</v>
      </c>
      <c r="H378" s="4" t="s">
        <v>41</v>
      </c>
      <c r="I378" s="4" t="s">
        <v>84</v>
      </c>
      <c r="J378" s="4">
        <v>30374</v>
      </c>
      <c r="K378" s="202" t="s">
        <v>1113</v>
      </c>
      <c r="L378" s="4">
        <v>24</v>
      </c>
      <c r="M378" s="4">
        <v>5</v>
      </c>
      <c r="N378" s="4" t="str">
        <f>_xlfn.CONCAT("DBX",((L378-1)*2),".5")</f>
        <v>DBX46.5</v>
      </c>
      <c r="O378" s="4" t="s">
        <v>781</v>
      </c>
      <c r="P378" s="4" t="s">
        <v>99</v>
      </c>
      <c r="Q378" s="4" t="s">
        <v>12</v>
      </c>
      <c r="R378" s="4"/>
      <c r="S378" s="4">
        <v>3922</v>
      </c>
      <c r="T378" s="4" t="s">
        <v>2551</v>
      </c>
      <c r="U378" s="4"/>
      <c r="V378" s="4"/>
      <c r="W378" s="4" t="s">
        <v>129</v>
      </c>
      <c r="X378" s="4">
        <f t="shared" si="5"/>
        <v>13</v>
      </c>
      <c r="Y378" s="4"/>
      <c r="Z378" s="4"/>
      <c r="AA378" s="4"/>
      <c r="AB378" s="4"/>
      <c r="AC378" s="4">
        <v>1</v>
      </c>
      <c r="AD378" s="4"/>
      <c r="AE378" s="4"/>
    </row>
    <row r="379" spans="1:31" x14ac:dyDescent="0.2">
      <c r="A379" s="201"/>
      <c r="B379" s="4" t="s">
        <v>33</v>
      </c>
      <c r="C379" s="4">
        <v>375</v>
      </c>
      <c r="D379" s="4" t="s">
        <v>1130</v>
      </c>
      <c r="E379" s="4" t="s">
        <v>1131</v>
      </c>
      <c r="F379" s="4" t="s">
        <v>2517</v>
      </c>
      <c r="G379" s="4" t="s">
        <v>329</v>
      </c>
      <c r="H379" s="4" t="s">
        <v>41</v>
      </c>
      <c r="I379" s="4" t="s">
        <v>84</v>
      </c>
      <c r="J379" s="4">
        <v>30375</v>
      </c>
      <c r="K379" s="202" t="s">
        <v>1113</v>
      </c>
      <c r="L379" s="4">
        <v>24</v>
      </c>
      <c r="M379" s="4">
        <v>6</v>
      </c>
      <c r="N379" s="4" t="str">
        <f>_xlfn.CONCAT("DBX",((L379-1)*2),".6")</f>
        <v>DBX46.6</v>
      </c>
      <c r="O379" s="4" t="s">
        <v>781</v>
      </c>
      <c r="P379" s="4" t="s">
        <v>99</v>
      </c>
      <c r="Q379" s="4" t="s">
        <v>12</v>
      </c>
      <c r="R379" s="4"/>
      <c r="S379" s="4">
        <v>3922</v>
      </c>
      <c r="T379" s="4" t="s">
        <v>2551</v>
      </c>
      <c r="U379" s="4"/>
      <c r="V379" s="4"/>
      <c r="W379" s="4" t="s">
        <v>129</v>
      </c>
      <c r="X379" s="4">
        <f t="shared" si="5"/>
        <v>13</v>
      </c>
      <c r="Y379" s="4"/>
      <c r="Z379" s="4"/>
      <c r="AA379" s="4"/>
      <c r="AB379" s="4"/>
      <c r="AC379" s="4">
        <v>1</v>
      </c>
      <c r="AD379" s="4"/>
      <c r="AE379" s="4"/>
    </row>
    <row r="380" spans="1:31" x14ac:dyDescent="0.2">
      <c r="A380" s="201"/>
      <c r="B380" s="4" t="s">
        <v>33</v>
      </c>
      <c r="C380" s="4">
        <v>376</v>
      </c>
      <c r="D380" s="4" t="s">
        <v>2241</v>
      </c>
      <c r="E380" s="4" t="s">
        <v>2242</v>
      </c>
      <c r="F380" s="4" t="s">
        <v>2518</v>
      </c>
      <c r="G380" s="4" t="s">
        <v>329</v>
      </c>
      <c r="H380" s="4" t="s">
        <v>41</v>
      </c>
      <c r="I380" s="4" t="s">
        <v>84</v>
      </c>
      <c r="J380" s="4">
        <v>30376</v>
      </c>
      <c r="K380" s="202" t="s">
        <v>1113</v>
      </c>
      <c r="L380" s="4">
        <v>24</v>
      </c>
      <c r="M380" s="4">
        <v>7</v>
      </c>
      <c r="N380" s="4" t="str">
        <f>_xlfn.CONCAT("DBX",((L380-1)*2),".7")</f>
        <v>DBX46.7</v>
      </c>
      <c r="O380" s="4" t="s">
        <v>781</v>
      </c>
      <c r="P380" s="4" t="s">
        <v>99</v>
      </c>
      <c r="Q380" s="4" t="s">
        <v>12</v>
      </c>
      <c r="R380" s="4"/>
      <c r="S380" s="4">
        <v>3922</v>
      </c>
      <c r="T380" s="4" t="s">
        <v>2551</v>
      </c>
      <c r="U380" s="4"/>
      <c r="V380" s="4"/>
      <c r="W380" s="4" t="s">
        <v>129</v>
      </c>
      <c r="X380" s="4">
        <f t="shared" si="5"/>
        <v>13</v>
      </c>
      <c r="Y380" s="4"/>
      <c r="Z380" s="4"/>
      <c r="AA380" s="4"/>
      <c r="AB380" s="4"/>
      <c r="AC380" s="4">
        <v>1</v>
      </c>
      <c r="AD380" s="4"/>
      <c r="AE380" s="4"/>
    </row>
    <row r="381" spans="1:31" x14ac:dyDescent="0.2">
      <c r="A381" s="201"/>
      <c r="B381" s="4" t="s">
        <v>34</v>
      </c>
      <c r="C381" s="4">
        <v>377</v>
      </c>
      <c r="D381" s="4"/>
      <c r="E381" s="4"/>
      <c r="F381" s="4"/>
      <c r="G381" s="4"/>
      <c r="H381" s="4"/>
      <c r="I381" s="4"/>
      <c r="J381" s="4">
        <v>30377</v>
      </c>
      <c r="K381" s="202"/>
      <c r="L381" s="4">
        <v>24</v>
      </c>
      <c r="M381" s="4">
        <v>8</v>
      </c>
      <c r="N381" s="4" t="str">
        <f>_xlfn.CONCAT("DBX",((L381-1)*2)+1,".0")</f>
        <v>DBX47.0</v>
      </c>
      <c r="O381" s="4" t="s">
        <v>781</v>
      </c>
      <c r="P381" s="4"/>
      <c r="Q381" s="4"/>
      <c r="R381" s="4"/>
      <c r="S381" s="4"/>
      <c r="T381" s="4"/>
      <c r="U381" s="4"/>
      <c r="V381" s="4"/>
      <c r="W381" s="4"/>
      <c r="X381" s="4" t="e">
        <f t="shared" si="5"/>
        <v>#N/A</v>
      </c>
      <c r="Y381" s="4"/>
      <c r="Z381" s="4"/>
      <c r="AA381" s="4"/>
      <c r="AB381" s="4"/>
      <c r="AC381" s="4"/>
      <c r="AD381" s="4"/>
      <c r="AE381" s="4"/>
    </row>
    <row r="382" spans="1:31" x14ac:dyDescent="0.2">
      <c r="A382" s="201"/>
      <c r="B382" s="4" t="s">
        <v>34</v>
      </c>
      <c r="C382" s="4">
        <v>378</v>
      </c>
      <c r="D382" s="4"/>
      <c r="E382" s="4"/>
      <c r="F382" s="4"/>
      <c r="G382" s="4"/>
      <c r="H382" s="4"/>
      <c r="I382" s="4"/>
      <c r="J382" s="4">
        <v>30378</v>
      </c>
      <c r="K382" s="202"/>
      <c r="L382" s="4">
        <v>24</v>
      </c>
      <c r="M382" s="4">
        <v>9</v>
      </c>
      <c r="N382" s="4" t="str">
        <f>_xlfn.CONCAT("DBX",((L382-1)*2)+1,".1")</f>
        <v>DBX47.1</v>
      </c>
      <c r="O382" s="4" t="s">
        <v>781</v>
      </c>
      <c r="P382" s="4"/>
      <c r="Q382" s="4"/>
      <c r="R382" s="4"/>
      <c r="S382" s="4"/>
      <c r="T382" s="4"/>
      <c r="U382" s="4"/>
      <c r="V382" s="4"/>
      <c r="W382" s="4"/>
      <c r="X382" s="4" t="e">
        <f t="shared" si="5"/>
        <v>#N/A</v>
      </c>
      <c r="Y382" s="4"/>
      <c r="Z382" s="4"/>
      <c r="AA382" s="4"/>
      <c r="AB382" s="4"/>
      <c r="AC382" s="4"/>
      <c r="AD382" s="4"/>
      <c r="AE382" s="4"/>
    </row>
    <row r="383" spans="1:31" x14ac:dyDescent="0.2">
      <c r="A383" s="201"/>
      <c r="B383" s="4" t="s">
        <v>34</v>
      </c>
      <c r="C383" s="4">
        <v>379</v>
      </c>
      <c r="D383" s="4"/>
      <c r="E383" s="4"/>
      <c r="F383" s="4"/>
      <c r="G383" s="4"/>
      <c r="H383" s="4"/>
      <c r="I383" s="4"/>
      <c r="J383" s="4">
        <v>30379</v>
      </c>
      <c r="K383" s="202"/>
      <c r="L383" s="4">
        <v>24</v>
      </c>
      <c r="M383" s="4">
        <v>10</v>
      </c>
      <c r="N383" s="4" t="str">
        <f>_xlfn.CONCAT("DBX",((L383-1)*2)+1,".2")</f>
        <v>DBX47.2</v>
      </c>
      <c r="O383" s="4" t="s">
        <v>781</v>
      </c>
      <c r="P383" s="4"/>
      <c r="Q383" s="4"/>
      <c r="R383" s="4"/>
      <c r="S383" s="4"/>
      <c r="T383" s="4"/>
      <c r="U383" s="4"/>
      <c r="V383" s="4"/>
      <c r="W383" s="4"/>
      <c r="X383" s="4" t="e">
        <f t="shared" si="5"/>
        <v>#N/A</v>
      </c>
      <c r="Y383" s="4"/>
      <c r="Z383" s="4"/>
      <c r="AA383" s="4"/>
      <c r="AB383" s="4"/>
      <c r="AC383" s="4"/>
      <c r="AD383" s="4"/>
      <c r="AE383" s="4"/>
    </row>
    <row r="384" spans="1:31" x14ac:dyDescent="0.2">
      <c r="A384" s="201"/>
      <c r="B384" s="4" t="s">
        <v>34</v>
      </c>
      <c r="C384" s="4">
        <v>380</v>
      </c>
      <c r="D384" s="4"/>
      <c r="E384" s="4"/>
      <c r="F384" s="4"/>
      <c r="G384" s="4"/>
      <c r="H384" s="4"/>
      <c r="I384" s="4"/>
      <c r="J384" s="4">
        <v>30380</v>
      </c>
      <c r="K384" s="202"/>
      <c r="L384" s="4">
        <v>24</v>
      </c>
      <c r="M384" s="4">
        <v>11</v>
      </c>
      <c r="N384" s="4" t="str">
        <f>_xlfn.CONCAT("DBX",((L384-1)*2)+1,".3")</f>
        <v>DBX47.3</v>
      </c>
      <c r="O384" s="4" t="s">
        <v>781</v>
      </c>
      <c r="P384" s="4"/>
      <c r="Q384" s="4"/>
      <c r="R384" s="4"/>
      <c r="S384" s="4"/>
      <c r="T384" s="4"/>
      <c r="U384" s="4"/>
      <c r="V384" s="4"/>
      <c r="W384" s="4"/>
      <c r="X384" s="4" t="e">
        <f t="shared" si="5"/>
        <v>#N/A</v>
      </c>
      <c r="Y384" s="4"/>
      <c r="Z384" s="4"/>
      <c r="AA384" s="4"/>
      <c r="AB384" s="4"/>
      <c r="AC384" s="4"/>
      <c r="AD384" s="4"/>
      <c r="AE384" s="4"/>
    </row>
    <row r="385" spans="1:31" x14ac:dyDescent="0.2">
      <c r="A385" s="201"/>
      <c r="B385" s="4" t="s">
        <v>34</v>
      </c>
      <c r="C385" s="4">
        <v>381</v>
      </c>
      <c r="D385" s="4"/>
      <c r="E385" s="4"/>
      <c r="F385" s="4"/>
      <c r="G385" s="4"/>
      <c r="H385" s="4"/>
      <c r="I385" s="4"/>
      <c r="J385" s="4">
        <v>30381</v>
      </c>
      <c r="K385" s="202"/>
      <c r="L385" s="4">
        <v>24</v>
      </c>
      <c r="M385" s="4">
        <v>12</v>
      </c>
      <c r="N385" s="4" t="str">
        <f>_xlfn.CONCAT("DBX",((L385-1)*2)+1,".4")</f>
        <v>DBX47.4</v>
      </c>
      <c r="O385" s="4" t="s">
        <v>781</v>
      </c>
      <c r="P385" s="4"/>
      <c r="Q385" s="4"/>
      <c r="R385" s="4"/>
      <c r="S385" s="4"/>
      <c r="T385" s="4"/>
      <c r="U385" s="4"/>
      <c r="V385" s="4"/>
      <c r="W385" s="4"/>
      <c r="X385" s="4" t="e">
        <f t="shared" si="5"/>
        <v>#N/A</v>
      </c>
      <c r="Y385" s="4"/>
      <c r="Z385" s="4"/>
      <c r="AA385" s="4"/>
      <c r="AB385" s="4"/>
      <c r="AC385" s="4"/>
      <c r="AD385" s="4"/>
      <c r="AE385" s="4"/>
    </row>
    <row r="386" spans="1:31" x14ac:dyDescent="0.2">
      <c r="A386" s="201"/>
      <c r="B386" s="4" t="s">
        <v>34</v>
      </c>
      <c r="C386" s="4">
        <v>382</v>
      </c>
      <c r="D386" s="4"/>
      <c r="E386" s="4"/>
      <c r="F386" s="4"/>
      <c r="G386" s="4"/>
      <c r="H386" s="4"/>
      <c r="I386" s="4"/>
      <c r="J386" s="4">
        <v>30382</v>
      </c>
      <c r="K386" s="202"/>
      <c r="L386" s="4">
        <v>24</v>
      </c>
      <c r="M386" s="4">
        <v>13</v>
      </c>
      <c r="N386" s="4" t="str">
        <f>_xlfn.CONCAT("DBX",((L386-1)*2)+1,".5")</f>
        <v>DBX47.5</v>
      </c>
      <c r="O386" s="4" t="s">
        <v>781</v>
      </c>
      <c r="P386" s="4"/>
      <c r="Q386" s="4"/>
      <c r="R386" s="4"/>
      <c r="S386" s="4"/>
      <c r="T386" s="4"/>
      <c r="U386" s="4"/>
      <c r="V386" s="4"/>
      <c r="W386" s="4"/>
      <c r="X386" s="4" t="e">
        <f t="shared" si="5"/>
        <v>#N/A</v>
      </c>
      <c r="Y386" s="4"/>
      <c r="Z386" s="4"/>
      <c r="AA386" s="4"/>
      <c r="AB386" s="4"/>
      <c r="AC386" s="4"/>
      <c r="AD386" s="4"/>
      <c r="AE386" s="4"/>
    </row>
    <row r="387" spans="1:31" x14ac:dyDescent="0.2">
      <c r="A387" s="201"/>
      <c r="B387" s="4" t="s">
        <v>34</v>
      </c>
      <c r="C387" s="4">
        <v>383</v>
      </c>
      <c r="D387" s="4"/>
      <c r="E387" s="4"/>
      <c r="F387" s="4"/>
      <c r="G387" s="4"/>
      <c r="H387" s="4"/>
      <c r="I387" s="4"/>
      <c r="J387" s="4">
        <v>30383</v>
      </c>
      <c r="K387" s="202"/>
      <c r="L387" s="4">
        <v>24</v>
      </c>
      <c r="M387" s="4">
        <v>14</v>
      </c>
      <c r="N387" s="4" t="str">
        <f>_xlfn.CONCAT("DBX",((L387-1)*2)+1,".6")</f>
        <v>DBX47.6</v>
      </c>
      <c r="O387" s="4" t="s">
        <v>781</v>
      </c>
      <c r="P387" s="4"/>
      <c r="Q387" s="4"/>
      <c r="R387" s="4"/>
      <c r="S387" s="4"/>
      <c r="T387" s="4"/>
      <c r="U387" s="4"/>
      <c r="V387" s="4"/>
      <c r="W387" s="4"/>
      <c r="X387" s="4" t="e">
        <f t="shared" si="5"/>
        <v>#N/A</v>
      </c>
      <c r="Y387" s="4"/>
      <c r="Z387" s="4"/>
      <c r="AA387" s="4"/>
      <c r="AB387" s="4"/>
      <c r="AC387" s="4"/>
      <c r="AD387" s="4"/>
      <c r="AE387" s="4"/>
    </row>
    <row r="388" spans="1:31" x14ac:dyDescent="0.2">
      <c r="A388" s="201"/>
      <c r="B388" s="4" t="s">
        <v>34</v>
      </c>
      <c r="C388" s="4">
        <v>384</v>
      </c>
      <c r="D388" s="4"/>
      <c r="E388" s="4"/>
      <c r="F388" s="4"/>
      <c r="G388" s="4"/>
      <c r="H388" s="4"/>
      <c r="I388" s="4"/>
      <c r="J388" s="4">
        <v>30384</v>
      </c>
      <c r="K388" s="202"/>
      <c r="L388" s="4">
        <v>24</v>
      </c>
      <c r="M388" s="4">
        <v>15</v>
      </c>
      <c r="N388" s="4" t="str">
        <f>_xlfn.CONCAT("DBX",((L388-1)*2)+1,".7")</f>
        <v>DBX47.7</v>
      </c>
      <c r="O388" s="4" t="s">
        <v>781</v>
      </c>
      <c r="P388" s="4"/>
      <c r="Q388" s="4"/>
      <c r="R388" s="4"/>
      <c r="S388" s="4"/>
      <c r="T388" s="4"/>
      <c r="U388" s="4"/>
      <c r="V388" s="4"/>
      <c r="W388" s="4"/>
      <c r="X388" s="4" t="e">
        <f t="shared" si="5"/>
        <v>#N/A</v>
      </c>
      <c r="Y388" s="4"/>
      <c r="Z388" s="4"/>
      <c r="AA388" s="4"/>
      <c r="AB388" s="4"/>
      <c r="AC388" s="4"/>
      <c r="AD388" s="4"/>
      <c r="AE388" s="4"/>
    </row>
    <row r="389" spans="1:31" x14ac:dyDescent="0.2">
      <c r="A389" s="201"/>
      <c r="B389" s="4" t="s">
        <v>3170</v>
      </c>
      <c r="C389" s="4">
        <v>385</v>
      </c>
      <c r="D389" s="4" t="s">
        <v>1176</v>
      </c>
      <c r="E389" s="4" t="s">
        <v>1177</v>
      </c>
      <c r="F389" s="4" t="s">
        <v>1178</v>
      </c>
      <c r="G389" s="4" t="s">
        <v>329</v>
      </c>
      <c r="H389" s="4" t="s">
        <v>1179</v>
      </c>
      <c r="I389" s="4" t="s">
        <v>84</v>
      </c>
      <c r="J389" s="4">
        <v>30385</v>
      </c>
      <c r="K389" s="202" t="s">
        <v>11</v>
      </c>
      <c r="L389" s="4">
        <v>25</v>
      </c>
      <c r="M389" s="4">
        <v>0</v>
      </c>
      <c r="N389" s="4" t="str">
        <f>_xlfn.CONCAT("DBX",((L389-1)*2),".0")</f>
        <v>DBX48.0</v>
      </c>
      <c r="O389" s="4" t="s">
        <v>781</v>
      </c>
      <c r="P389" s="4" t="s">
        <v>11</v>
      </c>
      <c r="Q389" s="4" t="s">
        <v>12</v>
      </c>
      <c r="R389" s="4"/>
      <c r="S389" s="4">
        <v>3922</v>
      </c>
      <c r="T389" s="4" t="s">
        <v>2551</v>
      </c>
      <c r="U389" s="4"/>
      <c r="V389" s="4" t="s">
        <v>3043</v>
      </c>
      <c r="W389" s="4" t="s">
        <v>129</v>
      </c>
      <c r="X389" s="4">
        <f t="shared" ref="X389:X452" si="6">VLOOKUP(W389,$W$1609:$X$1639,2,FALSE)</f>
        <v>13</v>
      </c>
      <c r="Y389" s="4"/>
      <c r="Z389" s="4"/>
      <c r="AA389" s="4"/>
      <c r="AB389" s="4"/>
      <c r="AC389" s="4">
        <v>1</v>
      </c>
      <c r="AD389" s="4"/>
      <c r="AE389" s="4"/>
    </row>
    <row r="390" spans="1:31" x14ac:dyDescent="0.2">
      <c r="A390" s="201"/>
      <c r="B390" s="4" t="s">
        <v>3170</v>
      </c>
      <c r="C390" s="4">
        <v>386</v>
      </c>
      <c r="D390" s="4" t="s">
        <v>1180</v>
      </c>
      <c r="E390" s="4" t="s">
        <v>1181</v>
      </c>
      <c r="F390" s="4" t="s">
        <v>1182</v>
      </c>
      <c r="G390" s="4" t="s">
        <v>329</v>
      </c>
      <c r="H390" s="4" t="s">
        <v>1179</v>
      </c>
      <c r="I390" s="4" t="s">
        <v>84</v>
      </c>
      <c r="J390" s="4">
        <v>30386</v>
      </c>
      <c r="K390" s="202" t="s">
        <v>11</v>
      </c>
      <c r="L390" s="4">
        <v>25</v>
      </c>
      <c r="M390" s="4">
        <v>1</v>
      </c>
      <c r="N390" s="4" t="str">
        <f>_xlfn.CONCAT("DBX",((L390-1)*2),".1")</f>
        <v>DBX48.1</v>
      </c>
      <c r="O390" s="4" t="s">
        <v>781</v>
      </c>
      <c r="P390" s="4" t="s">
        <v>11</v>
      </c>
      <c r="Q390" s="4" t="s">
        <v>12</v>
      </c>
      <c r="R390" s="4"/>
      <c r="S390" s="4">
        <v>3922</v>
      </c>
      <c r="T390" s="4" t="s">
        <v>2551</v>
      </c>
      <c r="U390" s="4"/>
      <c r="V390" s="4" t="s">
        <v>3043</v>
      </c>
      <c r="W390" s="4" t="s">
        <v>129</v>
      </c>
      <c r="X390" s="4">
        <f t="shared" si="6"/>
        <v>13</v>
      </c>
      <c r="Y390" s="4"/>
      <c r="Z390" s="4"/>
      <c r="AA390" s="4"/>
      <c r="AB390" s="4"/>
      <c r="AC390" s="4">
        <v>1</v>
      </c>
      <c r="AD390" s="4"/>
      <c r="AE390" s="4"/>
    </row>
    <row r="391" spans="1:31" x14ac:dyDescent="0.2">
      <c r="A391" s="201"/>
      <c r="B391" s="4" t="s">
        <v>3170</v>
      </c>
      <c r="C391" s="4">
        <v>387</v>
      </c>
      <c r="D391" s="4" t="s">
        <v>1183</v>
      </c>
      <c r="E391" s="4" t="s">
        <v>1184</v>
      </c>
      <c r="F391" s="4" t="s">
        <v>1185</v>
      </c>
      <c r="G391" s="4" t="s">
        <v>329</v>
      </c>
      <c r="H391" s="4" t="s">
        <v>1179</v>
      </c>
      <c r="I391" s="4" t="s">
        <v>84</v>
      </c>
      <c r="J391" s="4">
        <v>30387</v>
      </c>
      <c r="K391" s="202" t="s">
        <v>11</v>
      </c>
      <c r="L391" s="4">
        <v>25</v>
      </c>
      <c r="M391" s="4">
        <v>2</v>
      </c>
      <c r="N391" s="4" t="str">
        <f>_xlfn.CONCAT("DBX",((L391-1)*2),".2")</f>
        <v>DBX48.2</v>
      </c>
      <c r="O391" s="4" t="s">
        <v>781</v>
      </c>
      <c r="P391" s="4" t="s">
        <v>11</v>
      </c>
      <c r="Q391" s="4" t="s">
        <v>12</v>
      </c>
      <c r="R391" s="4"/>
      <c r="S391" s="4">
        <v>3922</v>
      </c>
      <c r="T391" s="4" t="s">
        <v>2551</v>
      </c>
      <c r="U391" s="4"/>
      <c r="V391" s="4" t="s">
        <v>3043</v>
      </c>
      <c r="W391" s="4" t="s">
        <v>129</v>
      </c>
      <c r="X391" s="4">
        <f t="shared" si="6"/>
        <v>13</v>
      </c>
      <c r="Y391" s="4"/>
      <c r="Z391" s="4"/>
      <c r="AA391" s="4"/>
      <c r="AB391" s="4"/>
      <c r="AC391" s="4">
        <v>1</v>
      </c>
      <c r="AD391" s="4"/>
      <c r="AE391" s="4"/>
    </row>
    <row r="392" spans="1:31" x14ac:dyDescent="0.2">
      <c r="A392" s="201"/>
      <c r="B392" s="4" t="s">
        <v>3170</v>
      </c>
      <c r="C392" s="4">
        <v>388</v>
      </c>
      <c r="D392" s="4" t="s">
        <v>1186</v>
      </c>
      <c r="E392" s="4" t="s">
        <v>1187</v>
      </c>
      <c r="F392" s="4" t="s">
        <v>1188</v>
      </c>
      <c r="G392" s="4" t="s">
        <v>329</v>
      </c>
      <c r="H392" s="4" t="s">
        <v>1179</v>
      </c>
      <c r="I392" s="4" t="s">
        <v>84</v>
      </c>
      <c r="J392" s="4">
        <v>30388</v>
      </c>
      <c r="K392" s="202" t="s">
        <v>11</v>
      </c>
      <c r="L392" s="4">
        <v>25</v>
      </c>
      <c r="M392" s="4">
        <v>3</v>
      </c>
      <c r="N392" s="4" t="str">
        <f>_xlfn.CONCAT("DBX",((L392-1)*2),".3")</f>
        <v>DBX48.3</v>
      </c>
      <c r="O392" s="4" t="s">
        <v>781</v>
      </c>
      <c r="P392" s="4" t="s">
        <v>11</v>
      </c>
      <c r="Q392" s="4" t="s">
        <v>12</v>
      </c>
      <c r="R392" s="4"/>
      <c r="S392" s="4">
        <v>3922</v>
      </c>
      <c r="T392" s="4" t="s">
        <v>2551</v>
      </c>
      <c r="U392" s="4"/>
      <c r="V392" s="4" t="s">
        <v>3043</v>
      </c>
      <c r="W392" s="4" t="s">
        <v>129</v>
      </c>
      <c r="X392" s="4">
        <f t="shared" si="6"/>
        <v>13</v>
      </c>
      <c r="Y392" s="4"/>
      <c r="Z392" s="4"/>
      <c r="AA392" s="4"/>
      <c r="AB392" s="4"/>
      <c r="AC392" s="4">
        <v>1</v>
      </c>
      <c r="AD392" s="4"/>
      <c r="AE392" s="4"/>
    </row>
    <row r="393" spans="1:31" x14ac:dyDescent="0.2">
      <c r="A393" s="201"/>
      <c r="B393" s="4" t="s">
        <v>3170</v>
      </c>
      <c r="C393" s="4">
        <v>389</v>
      </c>
      <c r="D393" s="4" t="s">
        <v>1189</v>
      </c>
      <c r="E393" s="4" t="s">
        <v>1190</v>
      </c>
      <c r="F393" s="4" t="s">
        <v>1191</v>
      </c>
      <c r="G393" s="4" t="s">
        <v>329</v>
      </c>
      <c r="H393" s="4" t="s">
        <v>1179</v>
      </c>
      <c r="I393" s="4" t="s">
        <v>84</v>
      </c>
      <c r="J393" s="4">
        <v>30389</v>
      </c>
      <c r="K393" s="202" t="s">
        <v>11</v>
      </c>
      <c r="L393" s="4">
        <v>25</v>
      </c>
      <c r="M393" s="4">
        <v>4</v>
      </c>
      <c r="N393" s="4" t="str">
        <f>_xlfn.CONCAT("DBX",((L393-1)*2),".4")</f>
        <v>DBX48.4</v>
      </c>
      <c r="O393" s="4" t="s">
        <v>781</v>
      </c>
      <c r="P393" s="4" t="s">
        <v>11</v>
      </c>
      <c r="Q393" s="4" t="s">
        <v>12</v>
      </c>
      <c r="R393" s="4"/>
      <c r="S393" s="4">
        <v>3922</v>
      </c>
      <c r="T393" s="4" t="s">
        <v>2551</v>
      </c>
      <c r="U393" s="4"/>
      <c r="V393" s="4" t="s">
        <v>3043</v>
      </c>
      <c r="W393" s="4" t="s">
        <v>129</v>
      </c>
      <c r="X393" s="4">
        <f t="shared" si="6"/>
        <v>13</v>
      </c>
      <c r="Y393" s="4"/>
      <c r="Z393" s="4"/>
      <c r="AA393" s="4"/>
      <c r="AB393" s="4"/>
      <c r="AC393" s="4">
        <v>1</v>
      </c>
      <c r="AD393" s="4"/>
      <c r="AE393" s="4"/>
    </row>
    <row r="394" spans="1:31" x14ac:dyDescent="0.2">
      <c r="A394" s="201"/>
      <c r="B394" s="4" t="s">
        <v>3170</v>
      </c>
      <c r="C394" s="4">
        <v>390</v>
      </c>
      <c r="D394" s="4" t="s">
        <v>1192</v>
      </c>
      <c r="E394" s="4" t="s">
        <v>1193</v>
      </c>
      <c r="F394" s="4" t="s">
        <v>1194</v>
      </c>
      <c r="G394" s="4" t="s">
        <v>329</v>
      </c>
      <c r="H394" s="4" t="s">
        <v>1179</v>
      </c>
      <c r="I394" s="4" t="s">
        <v>84</v>
      </c>
      <c r="J394" s="4">
        <v>30390</v>
      </c>
      <c r="K394" s="202" t="s">
        <v>11</v>
      </c>
      <c r="L394" s="4">
        <v>25</v>
      </c>
      <c r="M394" s="4">
        <v>5</v>
      </c>
      <c r="N394" s="4" t="str">
        <f>_xlfn.CONCAT("DBX",((L394-1)*2),".5")</f>
        <v>DBX48.5</v>
      </c>
      <c r="O394" s="4" t="s">
        <v>781</v>
      </c>
      <c r="P394" s="4" t="s">
        <v>11</v>
      </c>
      <c r="Q394" s="4" t="s">
        <v>12</v>
      </c>
      <c r="R394" s="4"/>
      <c r="S394" s="4">
        <v>3922</v>
      </c>
      <c r="T394" s="4" t="s">
        <v>2551</v>
      </c>
      <c r="U394" s="4"/>
      <c r="V394" s="4" t="s">
        <v>3043</v>
      </c>
      <c r="W394" s="4" t="s">
        <v>129</v>
      </c>
      <c r="X394" s="4">
        <f t="shared" si="6"/>
        <v>13</v>
      </c>
      <c r="Y394" s="4"/>
      <c r="Z394" s="4"/>
      <c r="AA394" s="4"/>
      <c r="AB394" s="4"/>
      <c r="AC394" s="4">
        <v>1</v>
      </c>
      <c r="AD394" s="4"/>
      <c r="AE394" s="4"/>
    </row>
    <row r="395" spans="1:31" x14ac:dyDescent="0.2">
      <c r="A395" s="201"/>
      <c r="B395" s="4" t="s">
        <v>3170</v>
      </c>
      <c r="C395" s="4">
        <v>391</v>
      </c>
      <c r="D395" s="4" t="s">
        <v>1195</v>
      </c>
      <c r="E395" s="4" t="s">
        <v>1196</v>
      </c>
      <c r="F395" s="4" t="s">
        <v>1197</v>
      </c>
      <c r="G395" s="4" t="s">
        <v>329</v>
      </c>
      <c r="H395" s="4" t="s">
        <v>1179</v>
      </c>
      <c r="I395" s="4" t="s">
        <v>84</v>
      </c>
      <c r="J395" s="4">
        <v>30391</v>
      </c>
      <c r="K395" s="202" t="s">
        <v>11</v>
      </c>
      <c r="L395" s="4">
        <v>25</v>
      </c>
      <c r="M395" s="4">
        <v>6</v>
      </c>
      <c r="N395" s="4" t="str">
        <f>_xlfn.CONCAT("DBX",((L395-1)*2),".6")</f>
        <v>DBX48.6</v>
      </c>
      <c r="O395" s="4" t="s">
        <v>781</v>
      </c>
      <c r="P395" s="4" t="s">
        <v>11</v>
      </c>
      <c r="Q395" s="4" t="s">
        <v>12</v>
      </c>
      <c r="R395" s="4"/>
      <c r="S395" s="4">
        <v>3922</v>
      </c>
      <c r="T395" s="4" t="s">
        <v>2551</v>
      </c>
      <c r="U395" s="4"/>
      <c r="V395" s="4" t="s">
        <v>3043</v>
      </c>
      <c r="W395" s="4" t="s">
        <v>129</v>
      </c>
      <c r="X395" s="4">
        <f t="shared" si="6"/>
        <v>13</v>
      </c>
      <c r="Y395" s="4"/>
      <c r="Z395" s="4"/>
      <c r="AA395" s="4"/>
      <c r="AB395" s="4"/>
      <c r="AC395" s="4">
        <v>1</v>
      </c>
      <c r="AD395" s="4"/>
      <c r="AE395" s="4"/>
    </row>
    <row r="396" spans="1:31" x14ac:dyDescent="0.2">
      <c r="A396" s="201"/>
      <c r="B396" s="4" t="s">
        <v>3170</v>
      </c>
      <c r="C396" s="4">
        <v>392</v>
      </c>
      <c r="D396" s="4" t="s">
        <v>1198</v>
      </c>
      <c r="E396" s="4" t="s">
        <v>1199</v>
      </c>
      <c r="F396" s="4" t="s">
        <v>1200</v>
      </c>
      <c r="G396" s="4" t="s">
        <v>329</v>
      </c>
      <c r="H396" s="4" t="s">
        <v>1179</v>
      </c>
      <c r="I396" s="4" t="s">
        <v>84</v>
      </c>
      <c r="J396" s="4">
        <v>30392</v>
      </c>
      <c r="K396" s="202" t="s">
        <v>11</v>
      </c>
      <c r="L396" s="4">
        <v>25</v>
      </c>
      <c r="M396" s="4">
        <v>7</v>
      </c>
      <c r="N396" s="4" t="str">
        <f>_xlfn.CONCAT("DBX",((L396-1)*2),".7")</f>
        <v>DBX48.7</v>
      </c>
      <c r="O396" s="4" t="s">
        <v>781</v>
      </c>
      <c r="P396" s="4" t="s">
        <v>11</v>
      </c>
      <c r="Q396" s="4" t="s">
        <v>12</v>
      </c>
      <c r="R396" s="4"/>
      <c r="S396" s="4">
        <v>3922</v>
      </c>
      <c r="T396" s="4" t="s">
        <v>2551</v>
      </c>
      <c r="U396" s="4"/>
      <c r="V396" s="4" t="s">
        <v>3043</v>
      </c>
      <c r="W396" s="4" t="s">
        <v>129</v>
      </c>
      <c r="X396" s="4">
        <f t="shared" si="6"/>
        <v>13</v>
      </c>
      <c r="Y396" s="4"/>
      <c r="Z396" s="4"/>
      <c r="AA396" s="4"/>
      <c r="AB396" s="4"/>
      <c r="AC396" s="4">
        <v>1</v>
      </c>
      <c r="AD396" s="4"/>
      <c r="AE396" s="4"/>
    </row>
    <row r="397" spans="1:31" x14ac:dyDescent="0.2">
      <c r="A397" s="201"/>
      <c r="B397" s="4" t="s">
        <v>3170</v>
      </c>
      <c r="C397" s="4">
        <v>393</v>
      </c>
      <c r="D397" s="4" t="s">
        <v>1201</v>
      </c>
      <c r="E397" s="4" t="s">
        <v>1202</v>
      </c>
      <c r="F397" s="4" t="s">
        <v>1203</v>
      </c>
      <c r="G397" s="4" t="s">
        <v>329</v>
      </c>
      <c r="H397" s="4" t="s">
        <v>1179</v>
      </c>
      <c r="I397" s="4" t="s">
        <v>84</v>
      </c>
      <c r="J397" s="4">
        <v>30393</v>
      </c>
      <c r="K397" s="202" t="s">
        <v>11</v>
      </c>
      <c r="L397" s="4">
        <v>25</v>
      </c>
      <c r="M397" s="4">
        <v>8</v>
      </c>
      <c r="N397" s="4" t="str">
        <f>_xlfn.CONCAT("DBX",((L397-1)*2)+1,".0")</f>
        <v>DBX49.0</v>
      </c>
      <c r="O397" s="4" t="s">
        <v>781</v>
      </c>
      <c r="P397" s="4" t="s">
        <v>11</v>
      </c>
      <c r="Q397" s="4" t="s">
        <v>12</v>
      </c>
      <c r="R397" s="4"/>
      <c r="S397" s="4">
        <v>3922</v>
      </c>
      <c r="T397" s="4" t="s">
        <v>2551</v>
      </c>
      <c r="U397" s="4"/>
      <c r="V397" s="4" t="s">
        <v>3043</v>
      </c>
      <c r="W397" s="4" t="s">
        <v>129</v>
      </c>
      <c r="X397" s="4">
        <f t="shared" si="6"/>
        <v>13</v>
      </c>
      <c r="Y397" s="4"/>
      <c r="Z397" s="4"/>
      <c r="AA397" s="4"/>
      <c r="AB397" s="4"/>
      <c r="AC397" s="4">
        <v>1</v>
      </c>
      <c r="AD397" s="4"/>
      <c r="AE397" s="4"/>
    </row>
    <row r="398" spans="1:31" x14ac:dyDescent="0.2">
      <c r="A398" s="201"/>
      <c r="B398" s="4" t="s">
        <v>3170</v>
      </c>
      <c r="C398" s="4">
        <v>394</v>
      </c>
      <c r="D398" s="4" t="s">
        <v>1204</v>
      </c>
      <c r="E398" s="4" t="s">
        <v>1205</v>
      </c>
      <c r="F398" s="4" t="s">
        <v>1206</v>
      </c>
      <c r="G398" s="4" t="s">
        <v>329</v>
      </c>
      <c r="H398" s="4" t="s">
        <v>1179</v>
      </c>
      <c r="I398" s="4" t="s">
        <v>84</v>
      </c>
      <c r="J398" s="4">
        <v>30394</v>
      </c>
      <c r="K398" s="202" t="s">
        <v>11</v>
      </c>
      <c r="L398" s="4">
        <v>25</v>
      </c>
      <c r="M398" s="4">
        <v>9</v>
      </c>
      <c r="N398" s="4" t="str">
        <f>_xlfn.CONCAT("DBX",((L398-1)*2)+1,".1")</f>
        <v>DBX49.1</v>
      </c>
      <c r="O398" s="4" t="s">
        <v>781</v>
      </c>
      <c r="P398" s="4" t="s">
        <v>11</v>
      </c>
      <c r="Q398" s="4" t="s">
        <v>12</v>
      </c>
      <c r="R398" s="4"/>
      <c r="S398" s="4">
        <v>3922</v>
      </c>
      <c r="T398" s="4" t="s">
        <v>2551</v>
      </c>
      <c r="U398" s="4"/>
      <c r="V398" s="4" t="s">
        <v>3043</v>
      </c>
      <c r="W398" s="4" t="s">
        <v>129</v>
      </c>
      <c r="X398" s="4">
        <f t="shared" si="6"/>
        <v>13</v>
      </c>
      <c r="Y398" s="4"/>
      <c r="Z398" s="4"/>
      <c r="AA398" s="4"/>
      <c r="AB398" s="4"/>
      <c r="AC398" s="4">
        <v>1</v>
      </c>
      <c r="AD398" s="4"/>
      <c r="AE398" s="4"/>
    </row>
    <row r="399" spans="1:31" x14ac:dyDescent="0.2">
      <c r="A399" s="201"/>
      <c r="B399" s="4" t="s">
        <v>34</v>
      </c>
      <c r="C399" s="4">
        <v>395</v>
      </c>
      <c r="D399" s="4"/>
      <c r="E399" s="4"/>
      <c r="F399" s="4"/>
      <c r="G399" s="4"/>
      <c r="H399" s="4"/>
      <c r="I399" s="4"/>
      <c r="J399" s="4">
        <v>30395</v>
      </c>
      <c r="K399" s="202"/>
      <c r="L399" s="4">
        <v>25</v>
      </c>
      <c r="M399" s="4">
        <v>10</v>
      </c>
      <c r="N399" s="4" t="str">
        <f>_xlfn.CONCAT("DBX",((L399-1)*2)+1,".2")</f>
        <v>DBX49.2</v>
      </c>
      <c r="O399" s="4" t="s">
        <v>781</v>
      </c>
      <c r="P399" s="4"/>
      <c r="Q399" s="4"/>
      <c r="R399" s="4"/>
      <c r="S399" s="4"/>
      <c r="T399" s="4"/>
      <c r="U399" s="4"/>
      <c r="V399" s="4"/>
      <c r="W399" s="4"/>
      <c r="X399" s="4" t="e">
        <f t="shared" si="6"/>
        <v>#N/A</v>
      </c>
      <c r="Y399" s="4"/>
      <c r="Z399" s="4"/>
      <c r="AA399" s="4"/>
      <c r="AB399" s="4"/>
      <c r="AC399" s="4"/>
      <c r="AD399" s="4"/>
      <c r="AE399" s="4"/>
    </row>
    <row r="400" spans="1:31" x14ac:dyDescent="0.2">
      <c r="A400" s="201"/>
      <c r="B400" s="4" t="s">
        <v>3170</v>
      </c>
      <c r="C400" s="4">
        <v>396</v>
      </c>
      <c r="D400" s="4" t="s">
        <v>1207</v>
      </c>
      <c r="E400" s="4" t="s">
        <v>1208</v>
      </c>
      <c r="F400" s="4" t="s">
        <v>1209</v>
      </c>
      <c r="G400" s="4" t="s">
        <v>329</v>
      </c>
      <c r="H400" s="4" t="s">
        <v>1179</v>
      </c>
      <c r="I400" s="4" t="s">
        <v>84</v>
      </c>
      <c r="J400" s="4">
        <v>30396</v>
      </c>
      <c r="K400" s="202" t="s">
        <v>11</v>
      </c>
      <c r="L400" s="4">
        <v>25</v>
      </c>
      <c r="M400" s="4">
        <v>11</v>
      </c>
      <c r="N400" s="4" t="str">
        <f>_xlfn.CONCAT("DBX",((L400-1)*2)+1,".3")</f>
        <v>DBX49.3</v>
      </c>
      <c r="O400" s="4" t="s">
        <v>781</v>
      </c>
      <c r="P400" s="4" t="s">
        <v>11</v>
      </c>
      <c r="Q400" s="4" t="s">
        <v>12</v>
      </c>
      <c r="R400" s="4"/>
      <c r="S400" s="4">
        <v>3922</v>
      </c>
      <c r="T400" s="4" t="s">
        <v>2551</v>
      </c>
      <c r="U400" s="4"/>
      <c r="V400" s="203" t="s">
        <v>3064</v>
      </c>
      <c r="W400" s="4" t="s">
        <v>129</v>
      </c>
      <c r="X400" s="4">
        <f t="shared" si="6"/>
        <v>13</v>
      </c>
      <c r="Y400" s="4"/>
      <c r="Z400" s="4"/>
      <c r="AA400" s="4"/>
      <c r="AB400" s="4"/>
      <c r="AC400" s="4">
        <v>1</v>
      </c>
      <c r="AD400" s="4"/>
      <c r="AE400" s="4"/>
    </row>
    <row r="401" spans="1:31" x14ac:dyDescent="0.2">
      <c r="A401" s="201"/>
      <c r="B401" s="4" t="s">
        <v>3170</v>
      </c>
      <c r="C401" s="4">
        <v>397</v>
      </c>
      <c r="D401" s="4" t="s">
        <v>2563</v>
      </c>
      <c r="E401" s="4" t="s">
        <v>2564</v>
      </c>
      <c r="F401" s="4" t="s">
        <v>2565</v>
      </c>
      <c r="G401" s="4" t="s">
        <v>329</v>
      </c>
      <c r="H401" s="4" t="s">
        <v>1179</v>
      </c>
      <c r="I401" s="4" t="s">
        <v>84</v>
      </c>
      <c r="J401" s="4">
        <v>30397</v>
      </c>
      <c r="K401" s="202" t="s">
        <v>11</v>
      </c>
      <c r="L401" s="4">
        <v>25</v>
      </c>
      <c r="M401" s="4">
        <v>12</v>
      </c>
      <c r="N401" s="4" t="str">
        <f>_xlfn.CONCAT("DBX",((L401-1)*2)+1,".4")</f>
        <v>DBX49.4</v>
      </c>
      <c r="O401" s="4" t="s">
        <v>781</v>
      </c>
      <c r="P401" s="4" t="s">
        <v>11</v>
      </c>
      <c r="Q401" s="4" t="s">
        <v>12</v>
      </c>
      <c r="R401" s="4"/>
      <c r="S401" s="4">
        <v>3922</v>
      </c>
      <c r="T401" s="4" t="s">
        <v>2551</v>
      </c>
      <c r="U401" s="4"/>
      <c r="V401" s="203" t="s">
        <v>3064</v>
      </c>
      <c r="W401" s="4" t="s">
        <v>129</v>
      </c>
      <c r="X401" s="4">
        <f t="shared" si="6"/>
        <v>13</v>
      </c>
      <c r="Y401" s="4"/>
      <c r="Z401" s="4"/>
      <c r="AA401" s="4"/>
      <c r="AB401" s="4"/>
      <c r="AC401" s="4">
        <v>1</v>
      </c>
      <c r="AD401" s="4"/>
      <c r="AE401" s="4"/>
    </row>
    <row r="402" spans="1:31" x14ac:dyDescent="0.2">
      <c r="A402" s="201"/>
      <c r="B402" s="4" t="s">
        <v>3170</v>
      </c>
      <c r="C402" s="4">
        <v>398</v>
      </c>
      <c r="D402" s="205" t="s">
        <v>1210</v>
      </c>
      <c r="E402" s="205" t="s">
        <v>1211</v>
      </c>
      <c r="F402" s="205" t="s">
        <v>1212</v>
      </c>
      <c r="G402" s="205" t="s">
        <v>329</v>
      </c>
      <c r="H402" s="205" t="s">
        <v>1179</v>
      </c>
      <c r="I402" s="205" t="s">
        <v>84</v>
      </c>
      <c r="J402" s="205">
        <v>30398</v>
      </c>
      <c r="K402" s="206" t="s">
        <v>11</v>
      </c>
      <c r="L402" s="205">
        <v>25</v>
      </c>
      <c r="M402" s="205">
        <v>13</v>
      </c>
      <c r="N402" s="205" t="str">
        <f>_xlfn.CONCAT("DBX",((L402-1)*2)+1,".5")</f>
        <v>DBX49.5</v>
      </c>
      <c r="O402" s="205" t="s">
        <v>781</v>
      </c>
      <c r="P402" s="205" t="s">
        <v>11</v>
      </c>
      <c r="Q402" s="205" t="s">
        <v>12</v>
      </c>
      <c r="R402" s="205"/>
      <c r="S402" s="205">
        <v>3922</v>
      </c>
      <c r="T402" s="205" t="s">
        <v>2551</v>
      </c>
      <c r="U402" s="205"/>
      <c r="V402" s="205" t="s">
        <v>3064</v>
      </c>
      <c r="W402" s="205" t="s">
        <v>129</v>
      </c>
      <c r="X402" s="205">
        <f t="shared" si="6"/>
        <v>13</v>
      </c>
      <c r="Y402" s="4"/>
      <c r="Z402" s="4"/>
      <c r="AA402" s="4"/>
      <c r="AB402" s="4"/>
      <c r="AC402" s="4">
        <v>1</v>
      </c>
      <c r="AD402" s="4"/>
      <c r="AE402" s="4"/>
    </row>
    <row r="403" spans="1:31" x14ac:dyDescent="0.2">
      <c r="A403" s="201"/>
      <c r="B403" s="4" t="s">
        <v>3170</v>
      </c>
      <c r="C403" s="4">
        <v>399</v>
      </c>
      <c r="D403" s="4" t="s">
        <v>1213</v>
      </c>
      <c r="E403" s="4" t="s">
        <v>1214</v>
      </c>
      <c r="F403" s="4" t="s">
        <v>1215</v>
      </c>
      <c r="G403" s="4" t="s">
        <v>329</v>
      </c>
      <c r="H403" s="4" t="s">
        <v>1179</v>
      </c>
      <c r="I403" s="4" t="s">
        <v>84</v>
      </c>
      <c r="J403" s="4">
        <v>30399</v>
      </c>
      <c r="K403" s="202" t="s">
        <v>11</v>
      </c>
      <c r="L403" s="4">
        <v>25</v>
      </c>
      <c r="M403" s="4">
        <v>14</v>
      </c>
      <c r="N403" s="4" t="str">
        <f>_xlfn.CONCAT("DBX",((L403-1)*2)+1,".6")</f>
        <v>DBX49.6</v>
      </c>
      <c r="O403" s="4" t="s">
        <v>781</v>
      </c>
      <c r="P403" s="4" t="s">
        <v>11</v>
      </c>
      <c r="Q403" s="4" t="s">
        <v>12</v>
      </c>
      <c r="R403" s="4"/>
      <c r="S403" s="4">
        <v>3922</v>
      </c>
      <c r="T403" s="4" t="s">
        <v>2551</v>
      </c>
      <c r="U403" s="4"/>
      <c r="V403" s="4" t="s">
        <v>3064</v>
      </c>
      <c r="W403" s="4" t="s">
        <v>129</v>
      </c>
      <c r="X403" s="4">
        <f t="shared" si="6"/>
        <v>13</v>
      </c>
      <c r="Y403" s="4"/>
      <c r="Z403" s="4"/>
      <c r="AA403" s="4"/>
      <c r="AB403" s="4"/>
      <c r="AC403" s="4">
        <v>1</v>
      </c>
      <c r="AD403" s="4"/>
      <c r="AE403" s="4"/>
    </row>
    <row r="404" spans="1:31" x14ac:dyDescent="0.2">
      <c r="A404" s="201"/>
      <c r="B404" s="4" t="s">
        <v>3170</v>
      </c>
      <c r="C404" s="4">
        <v>400</v>
      </c>
      <c r="D404" s="4" t="s">
        <v>1216</v>
      </c>
      <c r="E404" s="4" t="s">
        <v>1217</v>
      </c>
      <c r="F404" s="4" t="s">
        <v>1218</v>
      </c>
      <c r="G404" s="4" t="s">
        <v>329</v>
      </c>
      <c r="H404" s="4" t="s">
        <v>1179</v>
      </c>
      <c r="I404" s="4" t="s">
        <v>84</v>
      </c>
      <c r="J404" s="4">
        <v>30400</v>
      </c>
      <c r="K404" s="202" t="s">
        <v>11</v>
      </c>
      <c r="L404" s="4">
        <v>25</v>
      </c>
      <c r="M404" s="4">
        <v>15</v>
      </c>
      <c r="N404" s="4" t="str">
        <f>_xlfn.CONCAT("DBX",((L404-1)*2)+1,".7")</f>
        <v>DBX49.7</v>
      </c>
      <c r="O404" s="4" t="s">
        <v>781</v>
      </c>
      <c r="P404" s="4" t="s">
        <v>11</v>
      </c>
      <c r="Q404" s="4" t="s">
        <v>12</v>
      </c>
      <c r="R404" s="4"/>
      <c r="S404" s="4">
        <v>3922</v>
      </c>
      <c r="T404" s="4" t="s">
        <v>2551</v>
      </c>
      <c r="U404" s="4"/>
      <c r="V404" s="4" t="s">
        <v>3064</v>
      </c>
      <c r="W404" s="4" t="s">
        <v>129</v>
      </c>
      <c r="X404" s="4">
        <f t="shared" si="6"/>
        <v>13</v>
      </c>
      <c r="Y404" s="4"/>
      <c r="Z404" s="4"/>
      <c r="AA404" s="4"/>
      <c r="AB404" s="4"/>
      <c r="AC404" s="4">
        <v>1</v>
      </c>
      <c r="AD404" s="4"/>
      <c r="AE404" s="4"/>
    </row>
    <row r="405" spans="1:31" x14ac:dyDescent="0.2">
      <c r="A405" s="201"/>
      <c r="B405" s="4" t="s">
        <v>3170</v>
      </c>
      <c r="C405" s="4">
        <v>401</v>
      </c>
      <c r="D405" s="4" t="s">
        <v>1219</v>
      </c>
      <c r="E405" s="4" t="s">
        <v>1220</v>
      </c>
      <c r="F405" s="4" t="s">
        <v>1221</v>
      </c>
      <c r="G405" s="4" t="s">
        <v>329</v>
      </c>
      <c r="H405" s="4" t="s">
        <v>1179</v>
      </c>
      <c r="I405" s="4" t="s">
        <v>84</v>
      </c>
      <c r="J405" s="4">
        <v>30401</v>
      </c>
      <c r="K405" s="202" t="s">
        <v>11</v>
      </c>
      <c r="L405" s="4">
        <v>26</v>
      </c>
      <c r="M405" s="4">
        <v>0</v>
      </c>
      <c r="N405" s="4" t="str">
        <f>_xlfn.CONCAT("DBX",((L405-1)*2),".0")</f>
        <v>DBX50.0</v>
      </c>
      <c r="O405" s="4" t="s">
        <v>781</v>
      </c>
      <c r="P405" s="4" t="s">
        <v>11</v>
      </c>
      <c r="Q405" s="4" t="s">
        <v>12</v>
      </c>
      <c r="R405" s="4"/>
      <c r="S405" s="4">
        <v>3922</v>
      </c>
      <c r="T405" s="4" t="s">
        <v>2551</v>
      </c>
      <c r="U405" s="4"/>
      <c r="V405" s="4" t="s">
        <v>3064</v>
      </c>
      <c r="W405" s="4" t="s">
        <v>129</v>
      </c>
      <c r="X405" s="4">
        <f t="shared" si="6"/>
        <v>13</v>
      </c>
      <c r="Y405" s="4"/>
      <c r="Z405" s="4"/>
      <c r="AA405" s="4"/>
      <c r="AB405" s="4"/>
      <c r="AC405" s="4">
        <v>1</v>
      </c>
      <c r="AD405" s="4"/>
      <c r="AE405" s="4"/>
    </row>
    <row r="406" spans="1:31" x14ac:dyDescent="0.2">
      <c r="A406" s="201"/>
      <c r="B406" s="4" t="s">
        <v>3170</v>
      </c>
      <c r="C406" s="4">
        <v>402</v>
      </c>
      <c r="D406" s="4" t="s">
        <v>1222</v>
      </c>
      <c r="E406" s="4" t="s">
        <v>1223</v>
      </c>
      <c r="F406" s="4" t="s">
        <v>1224</v>
      </c>
      <c r="G406" s="4" t="s">
        <v>329</v>
      </c>
      <c r="H406" s="4" t="s">
        <v>1179</v>
      </c>
      <c r="I406" s="4" t="s">
        <v>84</v>
      </c>
      <c r="J406" s="4">
        <v>30402</v>
      </c>
      <c r="K406" s="202" t="s">
        <v>11</v>
      </c>
      <c r="L406" s="4">
        <v>26</v>
      </c>
      <c r="M406" s="4">
        <v>1</v>
      </c>
      <c r="N406" s="4" t="str">
        <f>_xlfn.CONCAT("DBX",((L406-1)*2),".1")</f>
        <v>DBX50.1</v>
      </c>
      <c r="O406" s="4" t="s">
        <v>781</v>
      </c>
      <c r="P406" s="4" t="s">
        <v>11</v>
      </c>
      <c r="Q406" s="4" t="s">
        <v>12</v>
      </c>
      <c r="R406" s="4"/>
      <c r="S406" s="4">
        <v>3922</v>
      </c>
      <c r="T406" s="4" t="s">
        <v>2551</v>
      </c>
      <c r="U406" s="4"/>
      <c r="V406" s="4" t="s">
        <v>3064</v>
      </c>
      <c r="W406" s="4" t="s">
        <v>129</v>
      </c>
      <c r="X406" s="4">
        <f t="shared" si="6"/>
        <v>13</v>
      </c>
      <c r="Y406" s="4"/>
      <c r="Z406" s="4"/>
      <c r="AA406" s="4"/>
      <c r="AB406" s="4"/>
      <c r="AC406" s="4">
        <v>1</v>
      </c>
      <c r="AD406" s="4"/>
      <c r="AE406" s="4"/>
    </row>
    <row r="407" spans="1:31" x14ac:dyDescent="0.2">
      <c r="A407" s="201"/>
      <c r="B407" s="4" t="s">
        <v>3170</v>
      </c>
      <c r="C407" s="4">
        <v>403</v>
      </c>
      <c r="D407" s="4" t="s">
        <v>1225</v>
      </c>
      <c r="E407" s="4" t="s">
        <v>1226</v>
      </c>
      <c r="F407" s="4" t="s">
        <v>1227</v>
      </c>
      <c r="G407" s="4" t="s">
        <v>329</v>
      </c>
      <c r="H407" s="4" t="s">
        <v>1179</v>
      </c>
      <c r="I407" s="4" t="s">
        <v>84</v>
      </c>
      <c r="J407" s="4">
        <v>30403</v>
      </c>
      <c r="K407" s="202" t="s">
        <v>11</v>
      </c>
      <c r="L407" s="4">
        <v>26</v>
      </c>
      <c r="M407" s="4">
        <v>2</v>
      </c>
      <c r="N407" s="4" t="str">
        <f>_xlfn.CONCAT("DBX",((L407-1)*2),".2")</f>
        <v>DBX50.2</v>
      </c>
      <c r="O407" s="4" t="s">
        <v>781</v>
      </c>
      <c r="P407" s="4" t="s">
        <v>11</v>
      </c>
      <c r="Q407" s="4" t="s">
        <v>12</v>
      </c>
      <c r="R407" s="4"/>
      <c r="S407" s="4">
        <v>3922</v>
      </c>
      <c r="T407" s="4" t="s">
        <v>2551</v>
      </c>
      <c r="U407" s="4"/>
      <c r="V407" s="4" t="s">
        <v>3064</v>
      </c>
      <c r="W407" s="4" t="s">
        <v>129</v>
      </c>
      <c r="X407" s="4">
        <f t="shared" si="6"/>
        <v>13</v>
      </c>
      <c r="Y407" s="4"/>
      <c r="Z407" s="4"/>
      <c r="AA407" s="4"/>
      <c r="AB407" s="4"/>
      <c r="AC407" s="4">
        <v>1</v>
      </c>
      <c r="AD407" s="4"/>
      <c r="AE407" s="4"/>
    </row>
    <row r="408" spans="1:31" x14ac:dyDescent="0.2">
      <c r="A408" s="201"/>
      <c r="B408" s="4" t="s">
        <v>3170</v>
      </c>
      <c r="C408" s="4">
        <v>404</v>
      </c>
      <c r="D408" s="4" t="s">
        <v>1228</v>
      </c>
      <c r="E408" s="4" t="s">
        <v>1229</v>
      </c>
      <c r="F408" s="4" t="s">
        <v>1230</v>
      </c>
      <c r="G408" s="4" t="s">
        <v>329</v>
      </c>
      <c r="H408" s="4" t="s">
        <v>1179</v>
      </c>
      <c r="I408" s="4" t="s">
        <v>84</v>
      </c>
      <c r="J408" s="4">
        <v>30404</v>
      </c>
      <c r="K408" s="202" t="s">
        <v>11</v>
      </c>
      <c r="L408" s="4">
        <v>26</v>
      </c>
      <c r="M408" s="4">
        <v>3</v>
      </c>
      <c r="N408" s="4" t="str">
        <f>_xlfn.CONCAT("DBX",((L408-1)*2),".3")</f>
        <v>DBX50.3</v>
      </c>
      <c r="O408" s="4" t="s">
        <v>781</v>
      </c>
      <c r="P408" s="4" t="s">
        <v>11</v>
      </c>
      <c r="Q408" s="4" t="s">
        <v>12</v>
      </c>
      <c r="R408" s="4"/>
      <c r="S408" s="4">
        <v>3922</v>
      </c>
      <c r="T408" s="4" t="s">
        <v>2551</v>
      </c>
      <c r="U408" s="4"/>
      <c r="V408" s="4" t="s">
        <v>3064</v>
      </c>
      <c r="W408" s="4" t="s">
        <v>129</v>
      </c>
      <c r="X408" s="4">
        <f t="shared" si="6"/>
        <v>13</v>
      </c>
      <c r="Y408" s="4"/>
      <c r="Z408" s="4"/>
      <c r="AA408" s="4"/>
      <c r="AB408" s="4"/>
      <c r="AC408" s="4">
        <v>1</v>
      </c>
      <c r="AD408" s="4"/>
      <c r="AE408" s="4"/>
    </row>
    <row r="409" spans="1:31" x14ac:dyDescent="0.2">
      <c r="A409" s="201"/>
      <c r="B409" s="4" t="s">
        <v>3170</v>
      </c>
      <c r="C409" s="4">
        <v>405</v>
      </c>
      <c r="D409" s="4" t="s">
        <v>1231</v>
      </c>
      <c r="E409" s="4" t="s">
        <v>1232</v>
      </c>
      <c r="F409" s="4" t="s">
        <v>1233</v>
      </c>
      <c r="G409" s="4" t="s">
        <v>329</v>
      </c>
      <c r="H409" s="4" t="s">
        <v>1179</v>
      </c>
      <c r="I409" s="4" t="s">
        <v>84</v>
      </c>
      <c r="J409" s="4">
        <v>30405</v>
      </c>
      <c r="K409" s="202" t="s">
        <v>11</v>
      </c>
      <c r="L409" s="4">
        <v>26</v>
      </c>
      <c r="M409" s="4">
        <v>4</v>
      </c>
      <c r="N409" s="4" t="str">
        <f>_xlfn.CONCAT("DBX",((L409-1)*2),".4")</f>
        <v>DBX50.4</v>
      </c>
      <c r="O409" s="4" t="s">
        <v>781</v>
      </c>
      <c r="P409" s="4" t="s">
        <v>11</v>
      </c>
      <c r="Q409" s="4" t="s">
        <v>12</v>
      </c>
      <c r="R409" s="4"/>
      <c r="S409" s="4">
        <v>3922</v>
      </c>
      <c r="T409" s="4" t="s">
        <v>2551</v>
      </c>
      <c r="U409" s="4"/>
      <c r="V409" s="4" t="s">
        <v>3064</v>
      </c>
      <c r="W409" s="4" t="s">
        <v>129</v>
      </c>
      <c r="X409" s="4">
        <f t="shared" si="6"/>
        <v>13</v>
      </c>
      <c r="Y409" s="4"/>
      <c r="Z409" s="4"/>
      <c r="AA409" s="4"/>
      <c r="AB409" s="4"/>
      <c r="AC409" s="4">
        <v>1</v>
      </c>
      <c r="AD409" s="4"/>
      <c r="AE409" s="4"/>
    </row>
    <row r="410" spans="1:31" x14ac:dyDescent="0.2">
      <c r="A410" s="201"/>
      <c r="B410" s="4" t="s">
        <v>3170</v>
      </c>
      <c r="C410" s="4">
        <v>406</v>
      </c>
      <c r="D410" s="4" t="s">
        <v>1234</v>
      </c>
      <c r="E410" s="4" t="s">
        <v>1235</v>
      </c>
      <c r="F410" s="4" t="s">
        <v>1236</v>
      </c>
      <c r="G410" s="4" t="s">
        <v>329</v>
      </c>
      <c r="H410" s="4" t="s">
        <v>1179</v>
      </c>
      <c r="I410" s="4" t="s">
        <v>84</v>
      </c>
      <c r="J410" s="4">
        <v>30406</v>
      </c>
      <c r="K410" s="202" t="s">
        <v>11</v>
      </c>
      <c r="L410" s="4">
        <v>26</v>
      </c>
      <c r="M410" s="4">
        <v>5</v>
      </c>
      <c r="N410" s="4" t="str">
        <f>_xlfn.CONCAT("DBX",((L410-1)*2),".5")</f>
        <v>DBX50.5</v>
      </c>
      <c r="O410" s="4" t="s">
        <v>781</v>
      </c>
      <c r="P410" s="4" t="s">
        <v>11</v>
      </c>
      <c r="Q410" s="4" t="s">
        <v>12</v>
      </c>
      <c r="R410" s="4"/>
      <c r="S410" s="4">
        <v>3922</v>
      </c>
      <c r="T410" s="4" t="s">
        <v>2551</v>
      </c>
      <c r="U410" s="4"/>
      <c r="V410" s="4" t="s">
        <v>3064</v>
      </c>
      <c r="W410" s="4" t="s">
        <v>129</v>
      </c>
      <c r="X410" s="4">
        <f t="shared" si="6"/>
        <v>13</v>
      </c>
      <c r="Y410" s="4"/>
      <c r="Z410" s="4"/>
      <c r="AA410" s="4"/>
      <c r="AB410" s="4"/>
      <c r="AC410" s="4">
        <v>1</v>
      </c>
      <c r="AD410" s="4"/>
      <c r="AE410" s="4"/>
    </row>
    <row r="411" spans="1:31" x14ac:dyDescent="0.2">
      <c r="A411" s="201"/>
      <c r="B411" s="4" t="s">
        <v>34</v>
      </c>
      <c r="C411" s="4">
        <v>407</v>
      </c>
      <c r="D411" s="4"/>
      <c r="E411" s="4"/>
      <c r="F411" s="4"/>
      <c r="G411" s="4"/>
      <c r="H411" s="4"/>
      <c r="I411" s="4"/>
      <c r="J411" s="4">
        <v>30407</v>
      </c>
      <c r="K411" s="202"/>
      <c r="L411" s="4">
        <v>26</v>
      </c>
      <c r="M411" s="4">
        <v>6</v>
      </c>
      <c r="N411" s="4" t="str">
        <f>_xlfn.CONCAT("DBX",((L411-1)*2),".6")</f>
        <v>DBX50.6</v>
      </c>
      <c r="O411" s="4" t="s">
        <v>781</v>
      </c>
      <c r="P411" s="4"/>
      <c r="Q411" s="4"/>
      <c r="R411" s="4"/>
      <c r="S411" s="4"/>
      <c r="T411" s="4"/>
      <c r="U411" s="4"/>
      <c r="V411" s="4"/>
      <c r="W411" s="4"/>
      <c r="X411" s="4" t="e">
        <f t="shared" si="6"/>
        <v>#N/A</v>
      </c>
      <c r="Y411" s="4"/>
      <c r="Z411" s="4"/>
      <c r="AA411" s="4"/>
      <c r="AB411" s="4"/>
      <c r="AC411" s="4"/>
      <c r="AD411" s="4"/>
      <c r="AE411" s="4"/>
    </row>
    <row r="412" spans="1:31" x14ac:dyDescent="0.2">
      <c r="A412" s="201"/>
      <c r="B412" s="4" t="s">
        <v>104</v>
      </c>
      <c r="C412" s="4">
        <v>408</v>
      </c>
      <c r="D412" s="4" t="s">
        <v>1237</v>
      </c>
      <c r="E412" s="4" t="s">
        <v>1238</v>
      </c>
      <c r="F412" s="4" t="s">
        <v>1239</v>
      </c>
      <c r="G412" s="4" t="s">
        <v>40</v>
      </c>
      <c r="H412" s="4" t="s">
        <v>41</v>
      </c>
      <c r="I412" s="4" t="s">
        <v>40</v>
      </c>
      <c r="J412" s="4">
        <v>30408</v>
      </c>
      <c r="K412" s="202" t="s">
        <v>99</v>
      </c>
      <c r="L412" s="4">
        <v>26</v>
      </c>
      <c r="M412" s="4">
        <v>7</v>
      </c>
      <c r="N412" s="4" t="str">
        <f>_xlfn.CONCAT("DBX",((L412-1)*2),".7")</f>
        <v>DBX50.7</v>
      </c>
      <c r="O412" s="4" t="s">
        <v>781</v>
      </c>
      <c r="P412" s="4" t="s">
        <v>99</v>
      </c>
      <c r="Q412" s="4" t="s">
        <v>33</v>
      </c>
      <c r="R412" s="4"/>
      <c r="S412" s="4">
        <v>3922</v>
      </c>
      <c r="T412" s="4" t="s">
        <v>2551</v>
      </c>
      <c r="U412" s="4"/>
      <c r="V412" s="4"/>
      <c r="W412" s="4" t="s">
        <v>123</v>
      </c>
      <c r="X412" s="4">
        <f t="shared" si="6"/>
        <v>7</v>
      </c>
      <c r="Y412" s="4"/>
      <c r="Z412" s="4"/>
      <c r="AA412" s="4"/>
      <c r="AB412" s="4"/>
      <c r="AC412" s="4">
        <v>0</v>
      </c>
      <c r="AD412" s="4"/>
      <c r="AE412" s="4"/>
    </row>
    <row r="413" spans="1:31" x14ac:dyDescent="0.2">
      <c r="A413" s="201"/>
      <c r="B413" s="4" t="s">
        <v>104</v>
      </c>
      <c r="C413" s="4">
        <v>409</v>
      </c>
      <c r="D413" s="4" t="s">
        <v>1240</v>
      </c>
      <c r="E413" s="4" t="s">
        <v>1241</v>
      </c>
      <c r="F413" s="4" t="s">
        <v>1242</v>
      </c>
      <c r="G413" s="4" t="s">
        <v>329</v>
      </c>
      <c r="H413" s="4" t="s">
        <v>41</v>
      </c>
      <c r="I413" s="4" t="s">
        <v>84</v>
      </c>
      <c r="J413" s="4">
        <v>30409</v>
      </c>
      <c r="K413" s="202" t="s">
        <v>99</v>
      </c>
      <c r="L413" s="4">
        <v>26</v>
      </c>
      <c r="M413" s="4">
        <v>8</v>
      </c>
      <c r="N413" s="4" t="str">
        <f>_xlfn.CONCAT("DBX",((L413-1)*2)+1,".0")</f>
        <v>DBX51.0</v>
      </c>
      <c r="O413" s="4" t="s">
        <v>781</v>
      </c>
      <c r="P413" s="4" t="s">
        <v>99</v>
      </c>
      <c r="Q413" s="4" t="s">
        <v>12</v>
      </c>
      <c r="R413" s="4"/>
      <c r="S413" s="4">
        <v>3922</v>
      </c>
      <c r="T413" s="4" t="s">
        <v>2551</v>
      </c>
      <c r="U413" s="4"/>
      <c r="V413" s="4"/>
      <c r="W413" s="4" t="s">
        <v>123</v>
      </c>
      <c r="X413" s="4">
        <f t="shared" si="6"/>
        <v>7</v>
      </c>
      <c r="Y413" s="4"/>
      <c r="Z413" s="4"/>
      <c r="AA413" s="4"/>
      <c r="AB413" s="4"/>
      <c r="AC413" s="4">
        <v>1</v>
      </c>
      <c r="AD413" s="4"/>
      <c r="AE413" s="4"/>
    </row>
    <row r="414" spans="1:31" x14ac:dyDescent="0.2">
      <c r="A414" s="201"/>
      <c r="B414" s="4" t="s">
        <v>33</v>
      </c>
      <c r="C414" s="4">
        <v>410</v>
      </c>
      <c r="D414" s="4" t="s">
        <v>2420</v>
      </c>
      <c r="E414" s="4" t="s">
        <v>2421</v>
      </c>
      <c r="F414" s="4" t="s">
        <v>2519</v>
      </c>
      <c r="G414" s="4" t="s">
        <v>329</v>
      </c>
      <c r="H414" s="4" t="s">
        <v>41</v>
      </c>
      <c r="I414" s="4" t="s">
        <v>85</v>
      </c>
      <c r="J414" s="4">
        <v>30410</v>
      </c>
      <c r="K414" s="202" t="s">
        <v>11</v>
      </c>
      <c r="L414" s="4">
        <v>26</v>
      </c>
      <c r="M414" s="4">
        <v>9</v>
      </c>
      <c r="N414" s="4" t="str">
        <f>_xlfn.CONCAT("DBX",((L414-1)*2)+1,".1")</f>
        <v>DBX51.1</v>
      </c>
      <c r="O414" s="4" t="s">
        <v>781</v>
      </c>
      <c r="P414" s="4" t="s">
        <v>11</v>
      </c>
      <c r="Q414" s="4" t="s">
        <v>12</v>
      </c>
      <c r="R414" s="4"/>
      <c r="S414" s="4">
        <v>3922</v>
      </c>
      <c r="T414" s="4" t="s">
        <v>2551</v>
      </c>
      <c r="U414" s="4"/>
      <c r="V414" s="4"/>
      <c r="W414" s="4" t="s">
        <v>123</v>
      </c>
      <c r="X414" s="4">
        <f t="shared" si="6"/>
        <v>7</v>
      </c>
      <c r="Y414" s="4"/>
      <c r="Z414" s="4"/>
      <c r="AA414" s="4"/>
      <c r="AB414" s="4"/>
      <c r="AC414" s="4">
        <v>1</v>
      </c>
      <c r="AD414" s="4"/>
      <c r="AE414" s="4"/>
    </row>
    <row r="415" spans="1:31" x14ac:dyDescent="0.2">
      <c r="A415" s="201"/>
      <c r="B415" s="4" t="s">
        <v>34</v>
      </c>
      <c r="C415" s="4">
        <v>411</v>
      </c>
      <c r="D415" s="4"/>
      <c r="E415" s="4"/>
      <c r="F415" s="4"/>
      <c r="G415" s="4"/>
      <c r="H415" s="4"/>
      <c r="I415" s="4"/>
      <c r="J415" s="4">
        <v>30411</v>
      </c>
      <c r="K415" s="202"/>
      <c r="L415" s="4">
        <v>26</v>
      </c>
      <c r="M415" s="4">
        <v>10</v>
      </c>
      <c r="N415" s="4" t="str">
        <f>_xlfn.CONCAT("DBX",((L415-1)*2)+1,".2")</f>
        <v>DBX51.2</v>
      </c>
      <c r="O415" s="4" t="s">
        <v>781</v>
      </c>
      <c r="P415" s="4"/>
      <c r="Q415" s="4"/>
      <c r="R415" s="4"/>
      <c r="S415" s="4"/>
      <c r="T415" s="4"/>
      <c r="U415" s="4"/>
      <c r="V415" s="4"/>
      <c r="W415" s="4"/>
      <c r="X415" s="4" t="e">
        <f t="shared" si="6"/>
        <v>#N/A</v>
      </c>
      <c r="Y415" s="4"/>
      <c r="Z415" s="4"/>
      <c r="AA415" s="4"/>
      <c r="AB415" s="4"/>
      <c r="AC415" s="4"/>
      <c r="AD415" s="4"/>
      <c r="AE415" s="4"/>
    </row>
    <row r="416" spans="1:31" s="63" customFormat="1" ht="45" x14ac:dyDescent="0.2">
      <c r="A416" s="248"/>
      <c r="B416" s="4" t="s">
        <v>3345</v>
      </c>
      <c r="C416">
        <v>412</v>
      </c>
      <c r="D416" s="4" t="s">
        <v>3334</v>
      </c>
      <c r="E416" s="4" t="s">
        <v>3340</v>
      </c>
      <c r="F416" s="203" t="s">
        <v>3342</v>
      </c>
      <c r="G416" s="4" t="s">
        <v>329</v>
      </c>
      <c r="H416" s="4" t="s">
        <v>41</v>
      </c>
      <c r="I416" s="4" t="s">
        <v>84</v>
      </c>
      <c r="J416">
        <v>30412</v>
      </c>
      <c r="K416" s="202" t="s">
        <v>3335</v>
      </c>
      <c r="L416">
        <v>26</v>
      </c>
      <c r="M416">
        <v>11</v>
      </c>
      <c r="N416" t="str">
        <f>_xlfn.CONCAT("DBX",((L416-1)*2)+1,".3")</f>
        <v>DBX51.3</v>
      </c>
      <c r="O416" t="s">
        <v>781</v>
      </c>
      <c r="P416" s="4" t="s">
        <v>3336</v>
      </c>
      <c r="Q416" s="4" t="s">
        <v>12</v>
      </c>
      <c r="R416"/>
      <c r="S416" s="4">
        <v>3922</v>
      </c>
      <c r="T416" s="4" t="s">
        <v>2551</v>
      </c>
      <c r="U416"/>
      <c r="V416" s="208" t="s">
        <v>3344</v>
      </c>
      <c r="W416" s="4" t="s">
        <v>120</v>
      </c>
      <c r="X416">
        <f t="shared" si="6"/>
        <v>4</v>
      </c>
      <c r="Y416"/>
      <c r="Z416"/>
      <c r="AA416"/>
      <c r="AB416"/>
      <c r="AC416" s="4">
        <v>1</v>
      </c>
      <c r="AD416"/>
      <c r="AE416"/>
    </row>
    <row r="417" spans="1:31" s="63" customFormat="1" ht="45" x14ac:dyDescent="0.2">
      <c r="A417" s="248"/>
      <c r="B417" s="4" t="s">
        <v>3345</v>
      </c>
      <c r="C417">
        <v>413</v>
      </c>
      <c r="D417" s="4" t="s">
        <v>3337</v>
      </c>
      <c r="E417" s="4" t="s">
        <v>3341</v>
      </c>
      <c r="F417" s="4" t="s">
        <v>3343</v>
      </c>
      <c r="G417" s="4" t="s">
        <v>329</v>
      </c>
      <c r="H417" s="4" t="s">
        <v>41</v>
      </c>
      <c r="I417" s="4" t="s">
        <v>84</v>
      </c>
      <c r="J417">
        <v>30413</v>
      </c>
      <c r="K417" s="202" t="s">
        <v>3338</v>
      </c>
      <c r="L417">
        <v>26</v>
      </c>
      <c r="M417">
        <v>12</v>
      </c>
      <c r="N417" t="str">
        <f>_xlfn.CONCAT("DBX",((L417-1)*2)+1,".4")</f>
        <v>DBX51.4</v>
      </c>
      <c r="O417" t="s">
        <v>781</v>
      </c>
      <c r="P417" s="4" t="s">
        <v>3339</v>
      </c>
      <c r="Q417" s="4" t="s">
        <v>12</v>
      </c>
      <c r="R417"/>
      <c r="S417" s="4">
        <v>3922</v>
      </c>
      <c r="T417" s="4" t="s">
        <v>2551</v>
      </c>
      <c r="U417"/>
      <c r="V417" s="249" t="s">
        <v>3344</v>
      </c>
      <c r="W417" s="4" t="s">
        <v>120</v>
      </c>
      <c r="X417">
        <f t="shared" si="6"/>
        <v>4</v>
      </c>
      <c r="Y417"/>
      <c r="Z417"/>
      <c r="AA417"/>
      <c r="AB417"/>
      <c r="AC417" s="4">
        <v>1</v>
      </c>
      <c r="AD417"/>
      <c r="AE417"/>
    </row>
    <row r="418" spans="1:31" s="244" customFormat="1" ht="22.5" x14ac:dyDescent="0.2">
      <c r="A418" s="201"/>
      <c r="B418" s="4" t="s">
        <v>3309</v>
      </c>
      <c r="C418" s="4">
        <v>414</v>
      </c>
      <c r="D418" s="4" t="s">
        <v>3270</v>
      </c>
      <c r="E418" s="4" t="s">
        <v>3311</v>
      </c>
      <c r="F418" s="208" t="s">
        <v>3330</v>
      </c>
      <c r="G418" s="241" t="s">
        <v>329</v>
      </c>
      <c r="H418" s="241" t="s">
        <v>41</v>
      </c>
      <c r="I418" s="241" t="s">
        <v>84</v>
      </c>
      <c r="J418" s="242">
        <v>30414</v>
      </c>
      <c r="K418" s="243" t="s">
        <v>3271</v>
      </c>
      <c r="L418" s="242">
        <v>26</v>
      </c>
      <c r="M418" s="242">
        <v>13</v>
      </c>
      <c r="N418" s="242" t="str">
        <f>_xlfn.CONCAT("DBX",((L418-1)*2)+1,".5")</f>
        <v>DBX51.5</v>
      </c>
      <c r="O418" s="242" t="s">
        <v>781</v>
      </c>
      <c r="P418" s="241" t="s">
        <v>3272</v>
      </c>
      <c r="Q418" s="241" t="s">
        <v>12</v>
      </c>
      <c r="R418" s="242"/>
      <c r="S418" s="241">
        <v>3922</v>
      </c>
      <c r="T418" s="241" t="s">
        <v>2551</v>
      </c>
      <c r="U418" s="242"/>
      <c r="V418" s="242"/>
      <c r="W418" s="241" t="s">
        <v>120</v>
      </c>
      <c r="X418" s="241">
        <f t="shared" si="6"/>
        <v>4</v>
      </c>
      <c r="Y418" s="242"/>
      <c r="Z418" s="242"/>
      <c r="AA418" s="242"/>
      <c r="AB418" s="242"/>
      <c r="AC418" s="4">
        <v>1</v>
      </c>
      <c r="AD418" s="242"/>
      <c r="AE418" s="242"/>
    </row>
    <row r="419" spans="1:31" x14ac:dyDescent="0.2">
      <c r="A419" s="201"/>
      <c r="B419" s="4" t="s">
        <v>250</v>
      </c>
      <c r="C419" s="4">
        <v>415</v>
      </c>
      <c r="D419" s="4" t="s">
        <v>2614</v>
      </c>
      <c r="E419" s="4" t="s">
        <v>2615</v>
      </c>
      <c r="F419" s="4" t="s">
        <v>2646</v>
      </c>
      <c r="G419" s="4" t="s">
        <v>329</v>
      </c>
      <c r="H419" s="4" t="s">
        <v>41</v>
      </c>
      <c r="I419" s="4" t="s">
        <v>84</v>
      </c>
      <c r="J419" s="4">
        <v>30415</v>
      </c>
      <c r="K419" s="202" t="s">
        <v>2641</v>
      </c>
      <c r="L419" s="4">
        <v>26</v>
      </c>
      <c r="M419" s="4">
        <v>14</v>
      </c>
      <c r="N419" s="4" t="str">
        <f>_xlfn.CONCAT("DBX",((L419-1)*2)+1,".6")</f>
        <v>DBX51.6</v>
      </c>
      <c r="O419" s="4" t="s">
        <v>781</v>
      </c>
      <c r="P419" s="4" t="s">
        <v>2642</v>
      </c>
      <c r="Q419" s="4" t="s">
        <v>12</v>
      </c>
      <c r="R419" s="4"/>
      <c r="S419" s="4">
        <v>3922</v>
      </c>
      <c r="T419" s="4" t="s">
        <v>2551</v>
      </c>
      <c r="U419" s="4"/>
      <c r="V419" s="4"/>
      <c r="W419" s="4" t="s">
        <v>120</v>
      </c>
      <c r="X419" s="4">
        <f t="shared" si="6"/>
        <v>4</v>
      </c>
      <c r="Y419" s="4"/>
      <c r="Z419" s="4"/>
      <c r="AA419" s="4"/>
      <c r="AB419" s="4"/>
      <c r="AC419" s="4">
        <v>1</v>
      </c>
      <c r="AD419" s="4"/>
      <c r="AE419" s="4"/>
    </row>
    <row r="420" spans="1:31" x14ac:dyDescent="0.2">
      <c r="A420" s="201"/>
      <c r="B420" s="4" t="s">
        <v>250</v>
      </c>
      <c r="C420" s="4">
        <v>416</v>
      </c>
      <c r="D420" s="4" t="s">
        <v>2616</v>
      </c>
      <c r="E420" s="4" t="s">
        <v>2566</v>
      </c>
      <c r="F420" s="4" t="s">
        <v>2647</v>
      </c>
      <c r="G420" s="4" t="s">
        <v>329</v>
      </c>
      <c r="H420" s="4" t="s">
        <v>41</v>
      </c>
      <c r="I420" s="4" t="s">
        <v>84</v>
      </c>
      <c r="J420" s="4">
        <v>30416</v>
      </c>
      <c r="K420" s="202" t="s">
        <v>2567</v>
      </c>
      <c r="L420" s="4">
        <v>26</v>
      </c>
      <c r="M420" s="4">
        <v>15</v>
      </c>
      <c r="N420" s="4" t="str">
        <f>_xlfn.CONCAT("DBX",((L420-1)*2)+1,".7")</f>
        <v>DBX51.7</v>
      </c>
      <c r="O420" s="4" t="s">
        <v>781</v>
      </c>
      <c r="P420" s="4" t="s">
        <v>2568</v>
      </c>
      <c r="Q420" s="4" t="s">
        <v>12</v>
      </c>
      <c r="R420" s="4"/>
      <c r="S420" s="4">
        <v>3922</v>
      </c>
      <c r="T420" s="4" t="s">
        <v>2551</v>
      </c>
      <c r="U420" s="4"/>
      <c r="V420" s="4"/>
      <c r="W420" s="4" t="s">
        <v>120</v>
      </c>
      <c r="X420" s="4">
        <f t="shared" si="6"/>
        <v>4</v>
      </c>
      <c r="Y420" s="4"/>
      <c r="Z420" s="4"/>
      <c r="AA420" s="4"/>
      <c r="AB420" s="4"/>
      <c r="AC420" s="4">
        <v>1</v>
      </c>
      <c r="AD420" s="4"/>
      <c r="AE420" s="4"/>
    </row>
    <row r="421" spans="1:31" x14ac:dyDescent="0.2">
      <c r="A421" s="201"/>
      <c r="B421" s="4" t="s">
        <v>250</v>
      </c>
      <c r="C421" s="4">
        <v>417</v>
      </c>
      <c r="D421" s="4" t="s">
        <v>1243</v>
      </c>
      <c r="E421" s="4" t="s">
        <v>1244</v>
      </c>
      <c r="F421" s="4" t="s">
        <v>2644</v>
      </c>
      <c r="G421" s="4" t="s">
        <v>329</v>
      </c>
      <c r="H421" s="4" t="s">
        <v>41</v>
      </c>
      <c r="I421" s="4" t="s">
        <v>84</v>
      </c>
      <c r="J421" s="4">
        <v>30417</v>
      </c>
      <c r="K421" s="202" t="s">
        <v>1245</v>
      </c>
      <c r="L421" s="4">
        <v>27</v>
      </c>
      <c r="M421" s="4">
        <v>0</v>
      </c>
      <c r="N421" s="4" t="str">
        <f>_xlfn.CONCAT("DBX",((L421-1)*2),".0")</f>
        <v>DBX52.0</v>
      </c>
      <c r="O421" s="4" t="s">
        <v>781</v>
      </c>
      <c r="P421" s="4" t="s">
        <v>1246</v>
      </c>
      <c r="Q421" s="4" t="s">
        <v>12</v>
      </c>
      <c r="R421" s="4"/>
      <c r="S421" s="4">
        <v>3922</v>
      </c>
      <c r="T421" s="4" t="s">
        <v>2551</v>
      </c>
      <c r="U421" s="4"/>
      <c r="V421" s="4"/>
      <c r="W421" s="4" t="s">
        <v>120</v>
      </c>
      <c r="X421" s="4">
        <f t="shared" si="6"/>
        <v>4</v>
      </c>
      <c r="Y421" s="4"/>
      <c r="Z421" s="4"/>
      <c r="AA421" s="4"/>
      <c r="AB421" s="4"/>
      <c r="AC421" s="4">
        <v>1</v>
      </c>
      <c r="AD421" s="4"/>
      <c r="AE421" s="4"/>
    </row>
    <row r="422" spans="1:31" x14ac:dyDescent="0.2">
      <c r="A422" s="201"/>
      <c r="B422" s="4" t="s">
        <v>104</v>
      </c>
      <c r="C422" s="4">
        <v>418</v>
      </c>
      <c r="D422" s="4" t="s">
        <v>1252</v>
      </c>
      <c r="E422" s="4" t="s">
        <v>1253</v>
      </c>
      <c r="F422" s="4" t="s">
        <v>1254</v>
      </c>
      <c r="G422" s="4" t="s">
        <v>329</v>
      </c>
      <c r="H422" s="4" t="s">
        <v>41</v>
      </c>
      <c r="I422" s="4" t="s">
        <v>84</v>
      </c>
      <c r="J422" s="4">
        <v>30418</v>
      </c>
      <c r="K422" s="202" t="s">
        <v>1255</v>
      </c>
      <c r="L422" s="4">
        <v>27</v>
      </c>
      <c r="M422" s="4">
        <v>1</v>
      </c>
      <c r="N422" s="4" t="str">
        <f>_xlfn.CONCAT("DBX",((L422-1)*2),".1")</f>
        <v>DBX52.1</v>
      </c>
      <c r="O422" s="4" t="s">
        <v>781</v>
      </c>
      <c r="P422" s="4" t="s">
        <v>1247</v>
      </c>
      <c r="Q422" s="4" t="s">
        <v>12</v>
      </c>
      <c r="R422" s="4"/>
      <c r="S422" s="4">
        <v>3922</v>
      </c>
      <c r="T422" s="4" t="s">
        <v>2551</v>
      </c>
      <c r="U422" s="4"/>
      <c r="V422" s="4"/>
      <c r="W422" s="4" t="s">
        <v>120</v>
      </c>
      <c r="X422" s="4">
        <f t="shared" si="6"/>
        <v>4</v>
      </c>
      <c r="Y422" s="4"/>
      <c r="Z422" s="4"/>
      <c r="AA422" s="4"/>
      <c r="AB422" s="4"/>
      <c r="AC422" s="4">
        <v>1</v>
      </c>
      <c r="AD422" s="4"/>
      <c r="AE422" s="4"/>
    </row>
    <row r="423" spans="1:31" s="244" customFormat="1" ht="33.75" x14ac:dyDescent="0.2">
      <c r="A423" s="201"/>
      <c r="B423" s="4" t="s">
        <v>3309</v>
      </c>
      <c r="C423" s="4">
        <v>419</v>
      </c>
      <c r="D423" s="4" t="s">
        <v>1256</v>
      </c>
      <c r="E423" s="4" t="s">
        <v>1257</v>
      </c>
      <c r="F423" s="4" t="s">
        <v>1258</v>
      </c>
      <c r="G423" s="4" t="s">
        <v>329</v>
      </c>
      <c r="H423" s="4" t="s">
        <v>41</v>
      </c>
      <c r="I423" s="4" t="s">
        <v>84</v>
      </c>
      <c r="J423" s="4">
        <v>30419</v>
      </c>
      <c r="K423" s="202" t="s">
        <v>1277</v>
      </c>
      <c r="L423" s="4">
        <v>27</v>
      </c>
      <c r="M423" s="4">
        <v>2</v>
      </c>
      <c r="N423" s="4" t="str">
        <f>_xlfn.CONCAT("DBX",((L423-1)*2),".2")</f>
        <v>DBX52.2</v>
      </c>
      <c r="O423" s="4" t="s">
        <v>781</v>
      </c>
      <c r="P423" s="4" t="s">
        <v>1278</v>
      </c>
      <c r="Q423" s="4" t="s">
        <v>12</v>
      </c>
      <c r="R423" s="4"/>
      <c r="S423" s="4">
        <v>3922</v>
      </c>
      <c r="T423" s="4" t="s">
        <v>2551</v>
      </c>
      <c r="U423" s="4" t="s">
        <v>1277</v>
      </c>
      <c r="V423" s="246" t="s">
        <v>3158</v>
      </c>
      <c r="W423" s="242" t="s">
        <v>120</v>
      </c>
      <c r="X423" s="242">
        <f t="shared" si="6"/>
        <v>4</v>
      </c>
      <c r="Y423" s="242"/>
      <c r="Z423" s="242"/>
      <c r="AA423" s="242"/>
      <c r="AB423" s="242"/>
      <c r="AC423" s="4">
        <v>1</v>
      </c>
      <c r="AD423" s="242"/>
      <c r="AE423" s="242"/>
    </row>
    <row r="424" spans="1:31" s="244" customFormat="1" ht="33.75" x14ac:dyDescent="0.2">
      <c r="A424" s="201"/>
      <c r="B424" s="4" t="s">
        <v>3309</v>
      </c>
      <c r="C424" s="4">
        <v>420</v>
      </c>
      <c r="D424" s="4" t="s">
        <v>1259</v>
      </c>
      <c r="E424" s="4" t="s">
        <v>1260</v>
      </c>
      <c r="F424" s="4" t="s">
        <v>2476</v>
      </c>
      <c r="G424" s="4" t="s">
        <v>329</v>
      </c>
      <c r="H424" s="4" t="s">
        <v>41</v>
      </c>
      <c r="I424" s="4" t="s">
        <v>84</v>
      </c>
      <c r="J424" s="4">
        <v>30420</v>
      </c>
      <c r="K424" s="202" t="s">
        <v>1277</v>
      </c>
      <c r="L424" s="4">
        <v>27</v>
      </c>
      <c r="M424" s="4">
        <v>3</v>
      </c>
      <c r="N424" s="4" t="str">
        <f>_xlfn.CONCAT("DBX",((L424-1)*2),".3")</f>
        <v>DBX52.3</v>
      </c>
      <c r="O424" s="4" t="s">
        <v>781</v>
      </c>
      <c r="P424" s="4" t="s">
        <v>1278</v>
      </c>
      <c r="Q424" s="4" t="s">
        <v>12</v>
      </c>
      <c r="R424" s="4"/>
      <c r="S424" s="4">
        <v>3922</v>
      </c>
      <c r="T424" s="4" t="s">
        <v>2551</v>
      </c>
      <c r="U424" s="4" t="s">
        <v>1277</v>
      </c>
      <c r="V424" s="208" t="s">
        <v>3158</v>
      </c>
      <c r="W424" s="4" t="s">
        <v>120</v>
      </c>
      <c r="X424" s="242">
        <f t="shared" si="6"/>
        <v>4</v>
      </c>
      <c r="Y424" s="242"/>
      <c r="Z424" s="242"/>
      <c r="AA424" s="242"/>
      <c r="AB424" s="242"/>
      <c r="AC424" s="4">
        <v>1</v>
      </c>
      <c r="AD424" s="242"/>
      <c r="AE424" s="242"/>
    </row>
    <row r="425" spans="1:31" s="244" customFormat="1" x14ac:dyDescent="0.2">
      <c r="A425" s="201"/>
      <c r="B425" s="4" t="s">
        <v>3309</v>
      </c>
      <c r="C425" s="4">
        <v>421</v>
      </c>
      <c r="D425" s="4" t="s">
        <v>1261</v>
      </c>
      <c r="E425" s="4" t="s">
        <v>1262</v>
      </c>
      <c r="F425" s="4" t="s">
        <v>1263</v>
      </c>
      <c r="G425" s="4" t="s">
        <v>329</v>
      </c>
      <c r="H425" s="4" t="s">
        <v>41</v>
      </c>
      <c r="I425" s="4" t="s">
        <v>84</v>
      </c>
      <c r="J425" s="4">
        <v>30421</v>
      </c>
      <c r="K425" s="247" t="s">
        <v>1279</v>
      </c>
      <c r="L425" s="4">
        <v>27</v>
      </c>
      <c r="M425" s="4">
        <v>4</v>
      </c>
      <c r="N425" s="4" t="str">
        <f>_xlfn.CONCAT("DBX",((L425-1)*2),".4")</f>
        <v>DBX52.4</v>
      </c>
      <c r="O425" s="4" t="s">
        <v>781</v>
      </c>
      <c r="P425" s="4" t="s">
        <v>1280</v>
      </c>
      <c r="Q425" s="4" t="s">
        <v>12</v>
      </c>
      <c r="R425" s="4"/>
      <c r="S425" s="4">
        <v>3922</v>
      </c>
      <c r="T425" s="4" t="s">
        <v>2551</v>
      </c>
      <c r="U425" s="242" t="s">
        <v>1279</v>
      </c>
      <c r="V425" s="245" t="s">
        <v>3026</v>
      </c>
      <c r="W425" s="242" t="s">
        <v>120</v>
      </c>
      <c r="X425" s="242">
        <f t="shared" si="6"/>
        <v>4</v>
      </c>
      <c r="Y425" s="242"/>
      <c r="Z425" s="242"/>
      <c r="AA425" s="242"/>
      <c r="AB425" s="242"/>
      <c r="AC425" s="4">
        <v>1</v>
      </c>
      <c r="AD425" s="242"/>
      <c r="AE425" s="242"/>
    </row>
    <row r="426" spans="1:31" s="244" customFormat="1" x14ac:dyDescent="0.2">
      <c r="A426" s="201"/>
      <c r="B426" s="4" t="s">
        <v>3309</v>
      </c>
      <c r="C426" s="4">
        <v>422</v>
      </c>
      <c r="D426" s="4" t="s">
        <v>1264</v>
      </c>
      <c r="E426" s="4" t="s">
        <v>1265</v>
      </c>
      <c r="F426" s="4" t="s">
        <v>2477</v>
      </c>
      <c r="G426" s="4" t="s">
        <v>329</v>
      </c>
      <c r="H426" s="4" t="s">
        <v>41</v>
      </c>
      <c r="I426" s="4" t="s">
        <v>84</v>
      </c>
      <c r="J426" s="4">
        <v>30422</v>
      </c>
      <c r="K426" s="202" t="s">
        <v>1279</v>
      </c>
      <c r="L426" s="4">
        <v>27</v>
      </c>
      <c r="M426" s="4">
        <v>5</v>
      </c>
      <c r="N426" s="4" t="str">
        <f>_xlfn.CONCAT("DBX",((L426-1)*2),".5")</f>
        <v>DBX52.5</v>
      </c>
      <c r="O426" s="4" t="s">
        <v>781</v>
      </c>
      <c r="P426" s="4" t="s">
        <v>1280</v>
      </c>
      <c r="Q426" s="4" t="s">
        <v>12</v>
      </c>
      <c r="R426" s="4"/>
      <c r="S426" s="4">
        <v>3922</v>
      </c>
      <c r="T426" s="4" t="s">
        <v>2551</v>
      </c>
      <c r="U426" s="4" t="s">
        <v>1279</v>
      </c>
      <c r="V426" s="4" t="s">
        <v>3026</v>
      </c>
      <c r="W426" s="4" t="s">
        <v>120</v>
      </c>
      <c r="X426" s="242">
        <f t="shared" si="6"/>
        <v>4</v>
      </c>
      <c r="Y426" s="242"/>
      <c r="Z426" s="242"/>
      <c r="AA426" s="242"/>
      <c r="AB426" s="242"/>
      <c r="AC426" s="4">
        <v>1</v>
      </c>
      <c r="AD426" s="242"/>
      <c r="AE426" s="242"/>
    </row>
    <row r="427" spans="1:31" x14ac:dyDescent="0.2">
      <c r="A427" s="201"/>
      <c r="B427" s="4" t="s">
        <v>3170</v>
      </c>
      <c r="C427" s="4">
        <v>423</v>
      </c>
      <c r="D427" s="4" t="s">
        <v>1266</v>
      </c>
      <c r="E427" s="4" t="s">
        <v>1267</v>
      </c>
      <c r="F427" s="4" t="s">
        <v>1268</v>
      </c>
      <c r="G427" s="4" t="s">
        <v>329</v>
      </c>
      <c r="H427" s="4" t="s">
        <v>41</v>
      </c>
      <c r="I427" s="4" t="s">
        <v>84</v>
      </c>
      <c r="J427" s="4">
        <v>30423</v>
      </c>
      <c r="K427" s="202" t="s">
        <v>1281</v>
      </c>
      <c r="L427" s="4">
        <v>27</v>
      </c>
      <c r="M427" s="4">
        <v>6</v>
      </c>
      <c r="N427" s="4" t="str">
        <f>_xlfn.CONCAT("DBX",((L427-1)*2),".6")</f>
        <v>DBX52.6</v>
      </c>
      <c r="O427" s="4" t="s">
        <v>781</v>
      </c>
      <c r="P427" s="4" t="s">
        <v>1282</v>
      </c>
      <c r="Q427" s="4" t="s">
        <v>12</v>
      </c>
      <c r="R427" s="4"/>
      <c r="S427" s="4">
        <v>3922</v>
      </c>
      <c r="T427" s="4" t="s">
        <v>2551</v>
      </c>
      <c r="U427" s="4" t="s">
        <v>1281</v>
      </c>
      <c r="V427" s="4" t="s">
        <v>3160</v>
      </c>
      <c r="W427" s="4" t="s">
        <v>120</v>
      </c>
      <c r="X427" s="4">
        <f t="shared" si="6"/>
        <v>4</v>
      </c>
      <c r="Y427" s="4"/>
      <c r="Z427" s="4"/>
      <c r="AA427" s="4"/>
      <c r="AB427" s="4"/>
      <c r="AC427" s="4">
        <v>1</v>
      </c>
      <c r="AD427" s="4"/>
      <c r="AE427" s="4"/>
    </row>
    <row r="428" spans="1:31" x14ac:dyDescent="0.2">
      <c r="A428" s="201"/>
      <c r="B428" s="4" t="s">
        <v>3170</v>
      </c>
      <c r="C428" s="4">
        <v>424</v>
      </c>
      <c r="D428" s="4" t="s">
        <v>1269</v>
      </c>
      <c r="E428" s="4" t="s">
        <v>1270</v>
      </c>
      <c r="F428" s="4" t="s">
        <v>2478</v>
      </c>
      <c r="G428" s="4" t="s">
        <v>329</v>
      </c>
      <c r="H428" s="4" t="s">
        <v>41</v>
      </c>
      <c r="I428" s="4" t="s">
        <v>84</v>
      </c>
      <c r="J428" s="4">
        <v>30424</v>
      </c>
      <c r="K428" s="202" t="s">
        <v>1281</v>
      </c>
      <c r="L428" s="4">
        <v>27</v>
      </c>
      <c r="M428" s="4">
        <v>7</v>
      </c>
      <c r="N428" s="4" t="str">
        <f>_xlfn.CONCAT("DBX",((L428-1)*2),".7")</f>
        <v>DBX52.7</v>
      </c>
      <c r="O428" s="4" t="s">
        <v>781</v>
      </c>
      <c r="P428" s="4" t="s">
        <v>1282</v>
      </c>
      <c r="Q428" s="4" t="s">
        <v>12</v>
      </c>
      <c r="R428" s="4"/>
      <c r="S428" s="4">
        <v>3922</v>
      </c>
      <c r="T428" s="4" t="s">
        <v>2551</v>
      </c>
      <c r="U428" s="4" t="s">
        <v>1281</v>
      </c>
      <c r="V428" s="4" t="s">
        <v>3160</v>
      </c>
      <c r="W428" s="4" t="s">
        <v>120</v>
      </c>
      <c r="X428" s="4">
        <f t="shared" si="6"/>
        <v>4</v>
      </c>
      <c r="Y428" s="4"/>
      <c r="Z428" s="4"/>
      <c r="AA428" s="4"/>
      <c r="AB428" s="4"/>
      <c r="AC428" s="4">
        <v>1</v>
      </c>
      <c r="AD428" s="4"/>
      <c r="AE428" s="4"/>
    </row>
    <row r="429" spans="1:31" ht="67.5" x14ac:dyDescent="0.2">
      <c r="A429" s="201"/>
      <c r="B429" s="4" t="s">
        <v>3170</v>
      </c>
      <c r="C429" s="4">
        <v>425</v>
      </c>
      <c r="D429" s="4" t="s">
        <v>1271</v>
      </c>
      <c r="E429" s="4" t="s">
        <v>1272</v>
      </c>
      <c r="F429" s="4" t="s">
        <v>1273</v>
      </c>
      <c r="G429" s="4" t="s">
        <v>329</v>
      </c>
      <c r="H429" s="4" t="s">
        <v>41</v>
      </c>
      <c r="I429" s="4" t="s">
        <v>84</v>
      </c>
      <c r="J429" s="4">
        <v>30425</v>
      </c>
      <c r="K429" s="202" t="s">
        <v>1283</v>
      </c>
      <c r="L429" s="4">
        <v>27</v>
      </c>
      <c r="M429" s="4">
        <v>8</v>
      </c>
      <c r="N429" s="4" t="str">
        <f>_xlfn.CONCAT("DBX",((L429-1)*2)+1,".0")</f>
        <v>DBX53.0</v>
      </c>
      <c r="O429" s="4" t="s">
        <v>781</v>
      </c>
      <c r="P429" s="4" t="s">
        <v>11</v>
      </c>
      <c r="Q429" s="4" t="s">
        <v>12</v>
      </c>
      <c r="R429" s="4"/>
      <c r="S429" s="4">
        <v>3922</v>
      </c>
      <c r="T429" s="4" t="s">
        <v>2551</v>
      </c>
      <c r="U429" s="4" t="s">
        <v>2285</v>
      </c>
      <c r="V429" s="208" t="s">
        <v>3165</v>
      </c>
      <c r="W429" s="4" t="s">
        <v>129</v>
      </c>
      <c r="X429" s="4">
        <f t="shared" si="6"/>
        <v>13</v>
      </c>
      <c r="Y429" s="4"/>
      <c r="Z429" s="4"/>
      <c r="AA429" s="4"/>
      <c r="AB429" s="4"/>
      <c r="AC429" s="4">
        <v>1</v>
      </c>
      <c r="AD429" s="4"/>
      <c r="AE429" s="4"/>
    </row>
    <row r="430" spans="1:31" ht="67.5" x14ac:dyDescent="0.2">
      <c r="A430" s="201"/>
      <c r="B430" s="4" t="s">
        <v>3170</v>
      </c>
      <c r="C430" s="4">
        <v>426</v>
      </c>
      <c r="D430" s="4" t="s">
        <v>1274</v>
      </c>
      <c r="E430" s="4" t="s">
        <v>1275</v>
      </c>
      <c r="F430" s="4" t="s">
        <v>1276</v>
      </c>
      <c r="G430" s="4" t="s">
        <v>329</v>
      </c>
      <c r="H430" s="4" t="s">
        <v>41</v>
      </c>
      <c r="I430" s="4" t="s">
        <v>84</v>
      </c>
      <c r="J430" s="4">
        <v>30426</v>
      </c>
      <c r="K430" s="202" t="s">
        <v>1283</v>
      </c>
      <c r="L430" s="4">
        <v>27</v>
      </c>
      <c r="M430" s="4">
        <v>9</v>
      </c>
      <c r="N430" s="4" t="str">
        <f>_xlfn.CONCAT("DBX",((L430-1)*2)+1,".1")</f>
        <v>DBX53.1</v>
      </c>
      <c r="O430" s="4" t="s">
        <v>781</v>
      </c>
      <c r="P430" s="4" t="s">
        <v>11</v>
      </c>
      <c r="Q430" s="4" t="s">
        <v>12</v>
      </c>
      <c r="R430" s="4"/>
      <c r="S430" s="4">
        <v>3922</v>
      </c>
      <c r="T430" s="4" t="s">
        <v>2551</v>
      </c>
      <c r="U430" s="4" t="s">
        <v>2285</v>
      </c>
      <c r="V430" s="208" t="s">
        <v>3165</v>
      </c>
      <c r="W430" s="4" t="s">
        <v>129</v>
      </c>
      <c r="X430" s="4">
        <f t="shared" si="6"/>
        <v>13</v>
      </c>
      <c r="Y430" s="4"/>
      <c r="Z430" s="4"/>
      <c r="AA430" s="4"/>
      <c r="AB430" s="4"/>
      <c r="AC430" s="4">
        <v>1</v>
      </c>
      <c r="AD430" s="4"/>
      <c r="AE430" s="4"/>
    </row>
    <row r="431" spans="1:31" s="244" customFormat="1" x14ac:dyDescent="0.2">
      <c r="A431" s="250"/>
      <c r="B431" s="266" t="s">
        <v>3349</v>
      </c>
      <c r="C431" s="242">
        <v>427</v>
      </c>
      <c r="D431" s="242" t="s">
        <v>1966</v>
      </c>
      <c r="E431" s="242" t="s">
        <v>2222</v>
      </c>
      <c r="F431" s="242" t="s">
        <v>2342</v>
      </c>
      <c r="G431" s="4" t="s">
        <v>329</v>
      </c>
      <c r="H431" s="4" t="s">
        <v>41</v>
      </c>
      <c r="I431" s="4" t="s">
        <v>84</v>
      </c>
      <c r="J431" s="4">
        <v>30427</v>
      </c>
      <c r="K431" s="202" t="s">
        <v>1283</v>
      </c>
      <c r="L431" s="4">
        <v>27</v>
      </c>
      <c r="M431" s="4">
        <v>10</v>
      </c>
      <c r="N431" s="4" t="str">
        <f>_xlfn.CONCAT("DBX",((L431-1)*2)+1,".2")</f>
        <v>DBX53.2</v>
      </c>
      <c r="O431" s="4" t="s">
        <v>781</v>
      </c>
      <c r="P431" s="4" t="s">
        <v>11</v>
      </c>
      <c r="Q431" s="242" t="s">
        <v>12</v>
      </c>
      <c r="R431" s="242"/>
      <c r="S431" s="242">
        <v>3922</v>
      </c>
      <c r="T431" s="242" t="s">
        <v>2551</v>
      </c>
      <c r="U431" s="242" t="s">
        <v>2285</v>
      </c>
      <c r="V431" s="242"/>
      <c r="W431" s="242" t="s">
        <v>129</v>
      </c>
      <c r="X431" s="242">
        <f t="shared" si="6"/>
        <v>13</v>
      </c>
      <c r="Y431" s="242"/>
      <c r="Z431" s="242"/>
      <c r="AA431" s="242"/>
      <c r="AB431" s="242"/>
      <c r="AC431" s="266">
        <v>0</v>
      </c>
      <c r="AD431" s="242"/>
      <c r="AE431" s="242"/>
    </row>
    <row r="432" spans="1:31" x14ac:dyDescent="0.2">
      <c r="A432" s="201"/>
      <c r="B432" s="4" t="s">
        <v>34</v>
      </c>
      <c r="C432" s="4">
        <v>428</v>
      </c>
      <c r="D432" s="4"/>
      <c r="E432" s="4"/>
      <c r="F432" s="4"/>
      <c r="G432" s="4"/>
      <c r="H432" s="4"/>
      <c r="I432" s="4"/>
      <c r="J432" s="4">
        <v>30428</v>
      </c>
      <c r="K432" s="202"/>
      <c r="L432" s="4">
        <v>27</v>
      </c>
      <c r="M432" s="4">
        <v>11</v>
      </c>
      <c r="N432" s="4" t="str">
        <f>_xlfn.CONCAT("DBX",((L432-1)*2)+1,".3")</f>
        <v>DBX53.3</v>
      </c>
      <c r="O432" s="4" t="s">
        <v>781</v>
      </c>
      <c r="P432" s="4"/>
      <c r="Q432" s="4"/>
      <c r="R432" s="4"/>
      <c r="S432" s="4"/>
      <c r="T432" s="4"/>
      <c r="U432" s="4"/>
      <c r="V432" s="4"/>
      <c r="W432" s="4"/>
      <c r="X432" s="4" t="e">
        <f t="shared" si="6"/>
        <v>#N/A</v>
      </c>
      <c r="Y432" s="4"/>
      <c r="Z432" s="4"/>
      <c r="AA432" s="4"/>
      <c r="AB432" s="4"/>
      <c r="AC432" s="4"/>
      <c r="AD432" s="4"/>
      <c r="AE432" s="4"/>
    </row>
    <row r="433" spans="1:31" x14ac:dyDescent="0.2">
      <c r="A433" s="201"/>
      <c r="B433" s="4" t="s">
        <v>3170</v>
      </c>
      <c r="C433" s="4">
        <v>429</v>
      </c>
      <c r="D433" s="4" t="s">
        <v>1284</v>
      </c>
      <c r="E433" s="4" t="s">
        <v>1285</v>
      </c>
      <c r="F433" s="4" t="s">
        <v>1286</v>
      </c>
      <c r="G433" s="4" t="s">
        <v>329</v>
      </c>
      <c r="H433" s="4" t="s">
        <v>41</v>
      </c>
      <c r="I433" s="4" t="s">
        <v>85</v>
      </c>
      <c r="J433" s="4">
        <v>30429</v>
      </c>
      <c r="K433" s="202" t="s">
        <v>1304</v>
      </c>
      <c r="L433" s="4">
        <v>27</v>
      </c>
      <c r="M433" s="4">
        <v>12</v>
      </c>
      <c r="N433" s="4" t="str">
        <f>_xlfn.CONCAT("DBX",((L433-1)*2)+1,".4")</f>
        <v>DBX53.4</v>
      </c>
      <c r="O433" s="4" t="s">
        <v>781</v>
      </c>
      <c r="P433" s="4" t="s">
        <v>1303</v>
      </c>
      <c r="Q433" s="4" t="s">
        <v>12</v>
      </c>
      <c r="R433" s="4"/>
      <c r="S433" s="4">
        <v>3922</v>
      </c>
      <c r="T433" s="4" t="s">
        <v>2551</v>
      </c>
      <c r="U433" s="4" t="s">
        <v>1305</v>
      </c>
      <c r="V433" s="4" t="s">
        <v>3018</v>
      </c>
      <c r="W433" s="4" t="s">
        <v>126</v>
      </c>
      <c r="X433" s="4">
        <f t="shared" si="6"/>
        <v>10</v>
      </c>
      <c r="Y433" s="4"/>
      <c r="Z433" s="4"/>
      <c r="AA433" s="4"/>
      <c r="AB433" s="4"/>
      <c r="AC433" s="4">
        <v>1</v>
      </c>
      <c r="AD433" s="4"/>
      <c r="AE433" s="4"/>
    </row>
    <row r="434" spans="1:31" x14ac:dyDescent="0.2">
      <c r="A434" s="201"/>
      <c r="B434" s="4" t="s">
        <v>3170</v>
      </c>
      <c r="C434" s="4">
        <v>430</v>
      </c>
      <c r="D434" s="4" t="s">
        <v>1287</v>
      </c>
      <c r="E434" s="4" t="s">
        <v>1288</v>
      </c>
      <c r="F434" s="4" t="s">
        <v>1289</v>
      </c>
      <c r="G434" s="4" t="s">
        <v>329</v>
      </c>
      <c r="H434" s="4" t="s">
        <v>41</v>
      </c>
      <c r="I434" s="4" t="s">
        <v>85</v>
      </c>
      <c r="J434" s="4">
        <v>30430</v>
      </c>
      <c r="K434" s="202" t="s">
        <v>1305</v>
      </c>
      <c r="L434" s="4">
        <v>27</v>
      </c>
      <c r="M434" s="4">
        <v>13</v>
      </c>
      <c r="N434" s="4" t="str">
        <f>_xlfn.CONCAT("DBX",((L434-1)*2)+1,".5")</f>
        <v>DBX53.5</v>
      </c>
      <c r="O434" s="4" t="s">
        <v>781</v>
      </c>
      <c r="P434" s="4" t="s">
        <v>1306</v>
      </c>
      <c r="Q434" s="4" t="s">
        <v>12</v>
      </c>
      <c r="R434" s="4"/>
      <c r="S434" s="4">
        <v>3922</v>
      </c>
      <c r="T434" s="4" t="s">
        <v>2551</v>
      </c>
      <c r="U434" s="4" t="s">
        <v>1305</v>
      </c>
      <c r="V434" s="4" t="s">
        <v>3018</v>
      </c>
      <c r="W434" s="4" t="s">
        <v>127</v>
      </c>
      <c r="X434" s="4">
        <f t="shared" si="6"/>
        <v>11</v>
      </c>
      <c r="Y434" s="4"/>
      <c r="Z434" s="4"/>
      <c r="AA434" s="4"/>
      <c r="AB434" s="4"/>
      <c r="AC434" s="4">
        <v>1</v>
      </c>
      <c r="AD434" s="4"/>
      <c r="AE434" s="4"/>
    </row>
    <row r="435" spans="1:31" x14ac:dyDescent="0.2">
      <c r="A435" s="201"/>
      <c r="B435" s="4" t="s">
        <v>2857</v>
      </c>
      <c r="C435" s="4">
        <v>431</v>
      </c>
      <c r="D435" s="4" t="s">
        <v>1290</v>
      </c>
      <c r="E435" s="4" t="s">
        <v>1291</v>
      </c>
      <c r="F435" s="4" t="s">
        <v>1292</v>
      </c>
      <c r="G435" s="4" t="s">
        <v>40</v>
      </c>
      <c r="H435" s="4" t="s">
        <v>41</v>
      </c>
      <c r="I435" s="4" t="s">
        <v>40</v>
      </c>
      <c r="J435" s="4">
        <v>30431</v>
      </c>
      <c r="K435" s="202" t="s">
        <v>1305</v>
      </c>
      <c r="L435" s="4">
        <v>27</v>
      </c>
      <c r="M435" s="4">
        <v>14</v>
      </c>
      <c r="N435" s="4" t="str">
        <f>_xlfn.CONCAT("DBX",((L435-1)*2)+1,".6")</f>
        <v>DBX53.6</v>
      </c>
      <c r="O435" s="4" t="s">
        <v>781</v>
      </c>
      <c r="P435" s="4" t="s">
        <v>1306</v>
      </c>
      <c r="Q435" s="4" t="s">
        <v>91</v>
      </c>
      <c r="R435" s="4"/>
      <c r="S435" s="4">
        <v>3922</v>
      </c>
      <c r="T435" s="4" t="s">
        <v>2551</v>
      </c>
      <c r="U435" s="4" t="s">
        <v>1305</v>
      </c>
      <c r="V435" s="4" t="s">
        <v>3018</v>
      </c>
      <c r="W435" s="4" t="s">
        <v>127</v>
      </c>
      <c r="X435" s="4">
        <f t="shared" si="6"/>
        <v>11</v>
      </c>
      <c r="Y435" s="4"/>
      <c r="Z435" s="4"/>
      <c r="AA435" s="4"/>
      <c r="AB435" s="4"/>
      <c r="AC435" s="4">
        <v>1</v>
      </c>
      <c r="AD435" s="4"/>
      <c r="AE435" s="4"/>
    </row>
    <row r="436" spans="1:31" x14ac:dyDescent="0.2">
      <c r="A436" s="201"/>
      <c r="B436" s="4" t="s">
        <v>256</v>
      </c>
      <c r="C436" s="4">
        <v>432</v>
      </c>
      <c r="D436" s="4" t="s">
        <v>1293</v>
      </c>
      <c r="E436" s="4" t="s">
        <v>1294</v>
      </c>
      <c r="F436" s="4" t="s">
        <v>2479</v>
      </c>
      <c r="G436" s="4" t="s">
        <v>1295</v>
      </c>
      <c r="H436" s="4" t="s">
        <v>41</v>
      </c>
      <c r="I436" s="4" t="s">
        <v>40</v>
      </c>
      <c r="J436" s="4">
        <v>30432</v>
      </c>
      <c r="K436" s="202" t="s">
        <v>2668</v>
      </c>
      <c r="L436" s="4">
        <v>27</v>
      </c>
      <c r="M436" s="4">
        <v>15</v>
      </c>
      <c r="N436" s="4" t="str">
        <f>_xlfn.CONCAT("DBX",((L436-1)*2)+1,".7")</f>
        <v>DBX53.7</v>
      </c>
      <c r="O436" s="4" t="s">
        <v>781</v>
      </c>
      <c r="P436" s="4" t="s">
        <v>1307</v>
      </c>
      <c r="Q436" s="4" t="s">
        <v>12</v>
      </c>
      <c r="R436" s="4"/>
      <c r="S436" s="4">
        <v>3922</v>
      </c>
      <c r="T436" s="4" t="s">
        <v>2551</v>
      </c>
      <c r="U436" s="4"/>
      <c r="V436" s="4"/>
      <c r="W436" s="4" t="s">
        <v>129</v>
      </c>
      <c r="X436" s="4">
        <f t="shared" si="6"/>
        <v>13</v>
      </c>
      <c r="Y436" s="4"/>
      <c r="Z436" s="4"/>
      <c r="AA436" s="4"/>
      <c r="AB436" s="4"/>
      <c r="AC436" s="4">
        <v>1</v>
      </c>
      <c r="AD436" s="4"/>
      <c r="AE436" s="4"/>
    </row>
    <row r="437" spans="1:31" x14ac:dyDescent="0.2">
      <c r="A437" s="201"/>
      <c r="B437" s="4" t="s">
        <v>88</v>
      </c>
      <c r="C437" s="4">
        <v>433</v>
      </c>
      <c r="D437" s="4" t="s">
        <v>2422</v>
      </c>
      <c r="E437" s="4" t="s">
        <v>2423</v>
      </c>
      <c r="F437" s="4" t="s">
        <v>2480</v>
      </c>
      <c r="G437" s="4" t="s">
        <v>356</v>
      </c>
      <c r="H437" s="4" t="s">
        <v>41</v>
      </c>
      <c r="I437" s="4" t="s">
        <v>40</v>
      </c>
      <c r="J437" s="4">
        <v>30433</v>
      </c>
      <c r="K437" s="202" t="s">
        <v>2277</v>
      </c>
      <c r="L437" s="4">
        <v>28</v>
      </c>
      <c r="M437" s="4">
        <v>0</v>
      </c>
      <c r="N437" s="4" t="str">
        <f>_xlfn.CONCAT("DBX",((L437-1)*2),".0")</f>
        <v>DBX54.0</v>
      </c>
      <c r="O437" s="4" t="s">
        <v>781</v>
      </c>
      <c r="P437" s="4" t="s">
        <v>2279</v>
      </c>
      <c r="Q437" s="4" t="s">
        <v>12</v>
      </c>
      <c r="R437" s="4"/>
      <c r="S437" s="4">
        <v>3922</v>
      </c>
      <c r="T437" s="4" t="s">
        <v>2551</v>
      </c>
      <c r="U437" s="4"/>
      <c r="V437" s="4"/>
      <c r="W437" s="4" t="s">
        <v>121</v>
      </c>
      <c r="X437" s="4">
        <f t="shared" si="6"/>
        <v>5</v>
      </c>
      <c r="Y437" s="4"/>
      <c r="Z437" s="4"/>
      <c r="AA437" s="4"/>
      <c r="AB437" s="4"/>
      <c r="AC437" s="4">
        <v>1</v>
      </c>
      <c r="AD437" s="4"/>
      <c r="AE437" s="4"/>
    </row>
    <row r="438" spans="1:31" x14ac:dyDescent="0.2">
      <c r="A438" s="201"/>
      <c r="B438" s="4" t="s">
        <v>88</v>
      </c>
      <c r="C438" s="4">
        <v>434</v>
      </c>
      <c r="D438" s="4" t="s">
        <v>2424</v>
      </c>
      <c r="E438" s="4" t="s">
        <v>2425</v>
      </c>
      <c r="F438" s="4" t="s">
        <v>2481</v>
      </c>
      <c r="G438" s="4" t="s">
        <v>356</v>
      </c>
      <c r="H438" s="4" t="s">
        <v>41</v>
      </c>
      <c r="I438" s="4" t="s">
        <v>40</v>
      </c>
      <c r="J438" s="4">
        <v>30434</v>
      </c>
      <c r="K438" s="202" t="s">
        <v>2278</v>
      </c>
      <c r="L438" s="4">
        <v>28</v>
      </c>
      <c r="M438" s="4">
        <v>1</v>
      </c>
      <c r="N438" s="4" t="str">
        <f>_xlfn.CONCAT("DBX",((L438-1)*2),".1")</f>
        <v>DBX54.1</v>
      </c>
      <c r="O438" s="4" t="s">
        <v>781</v>
      </c>
      <c r="P438" s="4" t="s">
        <v>2280</v>
      </c>
      <c r="Q438" s="4" t="s">
        <v>12</v>
      </c>
      <c r="R438" s="4"/>
      <c r="S438" s="4">
        <v>3922</v>
      </c>
      <c r="T438" s="4" t="s">
        <v>2551</v>
      </c>
      <c r="U438" s="4"/>
      <c r="V438" s="4"/>
      <c r="W438" s="4" t="s">
        <v>121</v>
      </c>
      <c r="X438" s="4">
        <f t="shared" si="6"/>
        <v>5</v>
      </c>
      <c r="Y438" s="4"/>
      <c r="Z438" s="4"/>
      <c r="AA438" s="4"/>
      <c r="AB438" s="4"/>
      <c r="AC438" s="4">
        <v>1</v>
      </c>
      <c r="AD438" s="4"/>
      <c r="AE438" s="4"/>
    </row>
    <row r="439" spans="1:31" x14ac:dyDescent="0.2">
      <c r="A439" s="201"/>
      <c r="B439" s="4" t="s">
        <v>3170</v>
      </c>
      <c r="C439" s="4">
        <v>435</v>
      </c>
      <c r="D439" s="4" t="s">
        <v>1296</v>
      </c>
      <c r="E439" s="4" t="s">
        <v>1297</v>
      </c>
      <c r="F439" s="4" t="s">
        <v>1298</v>
      </c>
      <c r="G439" s="4" t="s">
        <v>1299</v>
      </c>
      <c r="H439" s="4" t="s">
        <v>41</v>
      </c>
      <c r="I439" s="4" t="s">
        <v>84</v>
      </c>
      <c r="J439" s="4">
        <v>30435</v>
      </c>
      <c r="K439" s="202" t="s">
        <v>1308</v>
      </c>
      <c r="L439" s="4">
        <v>28</v>
      </c>
      <c r="M439" s="4">
        <v>2</v>
      </c>
      <c r="N439" s="4" t="str">
        <f>_xlfn.CONCAT("DBX",((L439-1)*2),".2")</f>
        <v>DBX54.2</v>
      </c>
      <c r="O439" s="4" t="s">
        <v>781</v>
      </c>
      <c r="P439" s="4" t="s">
        <v>1248</v>
      </c>
      <c r="Q439" s="4" t="s">
        <v>12</v>
      </c>
      <c r="R439" s="4"/>
      <c r="S439" s="4">
        <v>3922</v>
      </c>
      <c r="T439" s="4" t="s">
        <v>2551</v>
      </c>
      <c r="U439" s="4" t="s">
        <v>1308</v>
      </c>
      <c r="V439" s="4" t="s">
        <v>3008</v>
      </c>
      <c r="W439" s="4" t="s">
        <v>129</v>
      </c>
      <c r="X439" s="4">
        <f t="shared" si="6"/>
        <v>13</v>
      </c>
      <c r="Y439" s="4"/>
      <c r="Z439" s="4"/>
      <c r="AA439" s="4"/>
      <c r="AB439" s="4"/>
      <c r="AC439" s="4">
        <v>1</v>
      </c>
      <c r="AD439" s="4"/>
      <c r="AE439" s="4"/>
    </row>
    <row r="440" spans="1:31" x14ac:dyDescent="0.2">
      <c r="A440" s="201"/>
      <c r="B440" s="4" t="s">
        <v>3170</v>
      </c>
      <c r="C440" s="4">
        <v>436</v>
      </c>
      <c r="D440" s="4" t="s">
        <v>1300</v>
      </c>
      <c r="E440" s="4" t="s">
        <v>1301</v>
      </c>
      <c r="F440" s="4" t="s">
        <v>1302</v>
      </c>
      <c r="G440" s="4" t="s">
        <v>1299</v>
      </c>
      <c r="H440" s="4" t="s">
        <v>41</v>
      </c>
      <c r="I440" s="4" t="s">
        <v>84</v>
      </c>
      <c r="J440" s="4">
        <v>30436</v>
      </c>
      <c r="K440" s="202" t="s">
        <v>1309</v>
      </c>
      <c r="L440" s="4">
        <v>28</v>
      </c>
      <c r="M440" s="4">
        <v>3</v>
      </c>
      <c r="N440" s="4" t="str">
        <f>_xlfn.CONCAT("DBX",((L440-1)*2),".3")</f>
        <v>DBX54.3</v>
      </c>
      <c r="O440" s="4" t="s">
        <v>781</v>
      </c>
      <c r="P440" s="4" t="s">
        <v>1249</v>
      </c>
      <c r="Q440" s="4" t="s">
        <v>12</v>
      </c>
      <c r="R440" s="4"/>
      <c r="S440" s="4">
        <v>3922</v>
      </c>
      <c r="T440" s="4" t="s">
        <v>2551</v>
      </c>
      <c r="U440" s="4" t="s">
        <v>1309</v>
      </c>
      <c r="V440" s="4" t="s">
        <v>3009</v>
      </c>
      <c r="W440" s="4" t="s">
        <v>129</v>
      </c>
      <c r="X440" s="4">
        <f t="shared" si="6"/>
        <v>13</v>
      </c>
      <c r="Y440" s="4"/>
      <c r="Z440" s="4"/>
      <c r="AA440" s="4"/>
      <c r="AB440" s="4"/>
      <c r="AC440" s="4">
        <v>1</v>
      </c>
      <c r="AD440" s="4"/>
      <c r="AE440" s="4"/>
    </row>
    <row r="441" spans="1:31" x14ac:dyDescent="0.2">
      <c r="A441" s="201"/>
      <c r="B441" s="4" t="s">
        <v>3170</v>
      </c>
      <c r="C441" s="4">
        <v>437</v>
      </c>
      <c r="D441" s="4" t="s">
        <v>1310</v>
      </c>
      <c r="E441" s="4" t="s">
        <v>1311</v>
      </c>
      <c r="F441" s="4" t="s">
        <v>1312</v>
      </c>
      <c r="G441" s="4" t="s">
        <v>1299</v>
      </c>
      <c r="H441" s="4" t="s">
        <v>41</v>
      </c>
      <c r="I441" s="4" t="s">
        <v>84</v>
      </c>
      <c r="J441" s="4">
        <v>30437</v>
      </c>
      <c r="K441" s="202" t="s">
        <v>1313</v>
      </c>
      <c r="L441" s="4">
        <v>28</v>
      </c>
      <c r="M441" s="4">
        <v>4</v>
      </c>
      <c r="N441" s="4" t="str">
        <f>_xlfn.CONCAT("DBX",((L441-1)*2),".4")</f>
        <v>DBX54.4</v>
      </c>
      <c r="O441" s="4" t="s">
        <v>781</v>
      </c>
      <c r="P441" s="4" t="s">
        <v>1250</v>
      </c>
      <c r="Q441" s="4" t="s">
        <v>12</v>
      </c>
      <c r="R441" s="4"/>
      <c r="S441" s="4">
        <v>3922</v>
      </c>
      <c r="T441" s="4" t="s">
        <v>2551</v>
      </c>
      <c r="U441" s="4" t="s">
        <v>1313</v>
      </c>
      <c r="V441" s="4" t="s">
        <v>3157</v>
      </c>
      <c r="W441" s="4" t="s">
        <v>129</v>
      </c>
      <c r="X441" s="4">
        <f t="shared" si="6"/>
        <v>13</v>
      </c>
      <c r="Y441" s="4"/>
      <c r="Z441" s="4"/>
      <c r="AA441" s="4"/>
      <c r="AB441" s="4"/>
      <c r="AC441" s="4">
        <v>1</v>
      </c>
      <c r="AD441" s="4"/>
      <c r="AE441" s="4"/>
    </row>
    <row r="442" spans="1:31" x14ac:dyDescent="0.2">
      <c r="A442" s="201"/>
      <c r="B442" s="4" t="s">
        <v>3170</v>
      </c>
      <c r="C442" s="4">
        <v>438</v>
      </c>
      <c r="D442" s="4" t="s">
        <v>1315</v>
      </c>
      <c r="E442" s="4" t="s">
        <v>1316</v>
      </c>
      <c r="F442" s="4" t="s">
        <v>1317</v>
      </c>
      <c r="G442" s="4" t="s">
        <v>356</v>
      </c>
      <c r="H442" s="4" t="s">
        <v>41</v>
      </c>
      <c r="I442" s="4" t="s">
        <v>40</v>
      </c>
      <c r="J442" s="4">
        <v>30438</v>
      </c>
      <c r="K442" s="202" t="s">
        <v>2669</v>
      </c>
      <c r="L442" s="4">
        <v>28</v>
      </c>
      <c r="M442" s="4">
        <v>5</v>
      </c>
      <c r="N442" s="4" t="str">
        <f>_xlfn.CONCAT("DBX",((L442-1)*2),".5")</f>
        <v>DBX54.5</v>
      </c>
      <c r="O442" s="4" t="s">
        <v>781</v>
      </c>
      <c r="P442" s="4" t="s">
        <v>1251</v>
      </c>
      <c r="Q442" s="4" t="s">
        <v>90</v>
      </c>
      <c r="R442" s="4"/>
      <c r="S442" s="4">
        <v>3922</v>
      </c>
      <c r="T442" s="4" t="s">
        <v>2551</v>
      </c>
      <c r="U442" s="4"/>
      <c r="V442" s="4" t="s">
        <v>3072</v>
      </c>
      <c r="W442" s="4" t="s">
        <v>121</v>
      </c>
      <c r="X442" s="4">
        <f t="shared" si="6"/>
        <v>5</v>
      </c>
      <c r="Y442" s="4"/>
      <c r="Z442" s="4"/>
      <c r="AA442" s="4"/>
      <c r="AB442" s="4"/>
      <c r="AC442" s="4">
        <v>0</v>
      </c>
      <c r="AD442" s="4"/>
      <c r="AE442" s="4"/>
    </row>
    <row r="443" spans="1:31" x14ac:dyDescent="0.2">
      <c r="A443" s="201"/>
      <c r="B443" s="4" t="s">
        <v>3170</v>
      </c>
      <c r="C443" s="4">
        <v>439</v>
      </c>
      <c r="D443" s="4" t="s">
        <v>1318</v>
      </c>
      <c r="E443" s="4" t="s">
        <v>1319</v>
      </c>
      <c r="F443" s="4" t="s">
        <v>1320</v>
      </c>
      <c r="G443" s="4" t="s">
        <v>356</v>
      </c>
      <c r="H443" s="4" t="s">
        <v>41</v>
      </c>
      <c r="I443" s="4" t="s">
        <v>40</v>
      </c>
      <c r="J443" s="4">
        <v>30439</v>
      </c>
      <c r="K443" s="202" t="s">
        <v>2277</v>
      </c>
      <c r="L443" s="4">
        <v>28</v>
      </c>
      <c r="M443" s="4">
        <v>6</v>
      </c>
      <c r="N443" s="4" t="str">
        <f>_xlfn.CONCAT("DBX",((L443-1)*2),".6")</f>
        <v>DBX54.6</v>
      </c>
      <c r="O443" s="4" t="s">
        <v>781</v>
      </c>
      <c r="P443" s="4" t="s">
        <v>2279</v>
      </c>
      <c r="Q443" s="4" t="s">
        <v>92</v>
      </c>
      <c r="R443" s="4"/>
      <c r="S443" s="4">
        <v>3922</v>
      </c>
      <c r="T443" s="4" t="s">
        <v>2551</v>
      </c>
      <c r="U443" s="4"/>
      <c r="V443" s="4" t="s">
        <v>3010</v>
      </c>
      <c r="W443" s="4" t="s">
        <v>121</v>
      </c>
      <c r="X443" s="4">
        <f t="shared" si="6"/>
        <v>5</v>
      </c>
      <c r="Y443" s="4"/>
      <c r="Z443" s="4"/>
      <c r="AA443" s="4"/>
      <c r="AB443" s="4"/>
      <c r="AC443" s="4">
        <v>1</v>
      </c>
      <c r="AD443" s="4"/>
      <c r="AE443" s="4"/>
    </row>
    <row r="444" spans="1:31" x14ac:dyDescent="0.2">
      <c r="A444" s="201"/>
      <c r="B444" s="4" t="s">
        <v>3170</v>
      </c>
      <c r="C444" s="4">
        <v>440</v>
      </c>
      <c r="D444" s="4" t="s">
        <v>1321</v>
      </c>
      <c r="E444" s="4" t="s">
        <v>1322</v>
      </c>
      <c r="F444" s="4" t="s">
        <v>1323</v>
      </c>
      <c r="G444" s="4" t="s">
        <v>356</v>
      </c>
      <c r="H444" s="4" t="s">
        <v>41</v>
      </c>
      <c r="I444" s="4" t="s">
        <v>40</v>
      </c>
      <c r="J444" s="4">
        <v>30440</v>
      </c>
      <c r="K444" s="202" t="s">
        <v>2670</v>
      </c>
      <c r="L444" s="4">
        <v>28</v>
      </c>
      <c r="M444" s="4">
        <v>7</v>
      </c>
      <c r="N444" s="4" t="str">
        <f>_xlfn.CONCAT("DBX",((L444-1)*2),".7")</f>
        <v>DBX54.7</v>
      </c>
      <c r="O444" s="4" t="s">
        <v>781</v>
      </c>
      <c r="P444" s="4" t="s">
        <v>1335</v>
      </c>
      <c r="Q444" s="4" t="s">
        <v>90</v>
      </c>
      <c r="R444" s="4"/>
      <c r="S444" s="4">
        <v>3922</v>
      </c>
      <c r="T444" s="4" t="s">
        <v>2551</v>
      </c>
      <c r="U444" s="4"/>
      <c r="V444" s="4" t="s">
        <v>3073</v>
      </c>
      <c r="W444" s="4" t="s">
        <v>121</v>
      </c>
      <c r="X444" s="4">
        <f t="shared" si="6"/>
        <v>5</v>
      </c>
      <c r="Y444" s="4"/>
      <c r="Z444" s="4"/>
      <c r="AA444" s="4"/>
      <c r="AB444" s="4"/>
      <c r="AC444" s="4">
        <v>0</v>
      </c>
      <c r="AD444" s="4"/>
      <c r="AE444" s="4"/>
    </row>
    <row r="445" spans="1:31" x14ac:dyDescent="0.2">
      <c r="A445" s="201"/>
      <c r="B445" s="4" t="s">
        <v>3170</v>
      </c>
      <c r="C445" s="4">
        <v>441</v>
      </c>
      <c r="D445" s="4" t="s">
        <v>1324</v>
      </c>
      <c r="E445" s="4" t="s">
        <v>1325</v>
      </c>
      <c r="F445" s="4" t="s">
        <v>1326</v>
      </c>
      <c r="G445" s="4" t="s">
        <v>356</v>
      </c>
      <c r="H445" s="4" t="s">
        <v>41</v>
      </c>
      <c r="I445" s="4" t="s">
        <v>40</v>
      </c>
      <c r="J445" s="4">
        <v>30441</v>
      </c>
      <c r="K445" s="202" t="s">
        <v>2278</v>
      </c>
      <c r="L445" s="4">
        <v>28</v>
      </c>
      <c r="M445" s="4">
        <v>8</v>
      </c>
      <c r="N445" s="4" t="str">
        <f>_xlfn.CONCAT("DBX",((L445-1)*2)+1,".0")</f>
        <v>DBX55.0</v>
      </c>
      <c r="O445" s="4" t="s">
        <v>781</v>
      </c>
      <c r="P445" s="4" t="s">
        <v>2280</v>
      </c>
      <c r="Q445" s="4" t="s">
        <v>92</v>
      </c>
      <c r="R445" s="4"/>
      <c r="S445" s="4">
        <v>3922</v>
      </c>
      <c r="T445" s="4" t="s">
        <v>2551</v>
      </c>
      <c r="U445" s="4"/>
      <c r="V445" s="4" t="s">
        <v>3011</v>
      </c>
      <c r="W445" s="4" t="s">
        <v>121</v>
      </c>
      <c r="X445" s="4">
        <f t="shared" si="6"/>
        <v>5</v>
      </c>
      <c r="Y445" s="4"/>
      <c r="Z445" s="4"/>
      <c r="AA445" s="4"/>
      <c r="AB445" s="4"/>
      <c r="AC445" s="4">
        <v>1</v>
      </c>
      <c r="AD445" s="4"/>
      <c r="AE445" s="4"/>
    </row>
    <row r="446" spans="1:31" x14ac:dyDescent="0.2">
      <c r="A446" s="201"/>
      <c r="B446" s="4" t="s">
        <v>3170</v>
      </c>
      <c r="C446" s="4">
        <v>442</v>
      </c>
      <c r="D446" s="4" t="s">
        <v>1327</v>
      </c>
      <c r="E446" s="4" t="s">
        <v>1328</v>
      </c>
      <c r="F446" s="4" t="s">
        <v>1329</v>
      </c>
      <c r="G446" s="4" t="s">
        <v>329</v>
      </c>
      <c r="H446" s="4" t="s">
        <v>41</v>
      </c>
      <c r="I446" s="4" t="s">
        <v>84</v>
      </c>
      <c r="J446" s="4">
        <v>30442</v>
      </c>
      <c r="K446" s="202" t="s">
        <v>1336</v>
      </c>
      <c r="L446" s="4">
        <v>28</v>
      </c>
      <c r="M446" s="4">
        <v>9</v>
      </c>
      <c r="N446" s="4" t="str">
        <f>_xlfn.CONCAT("DBX",((L446-1)*2)+1,".1")</f>
        <v>DBX55.1</v>
      </c>
      <c r="O446" s="4" t="s">
        <v>781</v>
      </c>
      <c r="P446" s="4" t="s">
        <v>1314</v>
      </c>
      <c r="Q446" s="4" t="s">
        <v>12</v>
      </c>
      <c r="R446" s="4"/>
      <c r="S446" s="4">
        <v>3922</v>
      </c>
      <c r="T446" s="4" t="s">
        <v>2551</v>
      </c>
      <c r="U446" s="4"/>
      <c r="V446" s="4" t="s">
        <v>3010</v>
      </c>
      <c r="W446" s="4" t="s">
        <v>126</v>
      </c>
      <c r="X446" s="4">
        <f t="shared" si="6"/>
        <v>10</v>
      </c>
      <c r="Y446" s="4"/>
      <c r="Z446" s="4"/>
      <c r="AA446" s="4"/>
      <c r="AB446" s="4"/>
      <c r="AC446" s="4">
        <v>1</v>
      </c>
      <c r="AD446" s="4"/>
      <c r="AE446" s="4"/>
    </row>
    <row r="447" spans="1:31" x14ac:dyDescent="0.2">
      <c r="A447" s="201"/>
      <c r="B447" s="4" t="s">
        <v>3170</v>
      </c>
      <c r="C447" s="4">
        <v>443</v>
      </c>
      <c r="D447" s="4" t="s">
        <v>1330</v>
      </c>
      <c r="E447" s="4" t="s">
        <v>1331</v>
      </c>
      <c r="F447" s="4" t="s">
        <v>1332</v>
      </c>
      <c r="G447" s="4" t="s">
        <v>329</v>
      </c>
      <c r="H447" s="4" t="s">
        <v>41</v>
      </c>
      <c r="I447" s="4" t="s">
        <v>84</v>
      </c>
      <c r="J447" s="4">
        <v>30443</v>
      </c>
      <c r="K447" s="202" t="s">
        <v>1337</v>
      </c>
      <c r="L447" s="4">
        <v>28</v>
      </c>
      <c r="M447" s="4">
        <v>10</v>
      </c>
      <c r="N447" s="4" t="str">
        <f>_xlfn.CONCAT("DBX",((L447-1)*2)+1,".2")</f>
        <v>DBX55.2</v>
      </c>
      <c r="O447" s="4" t="s">
        <v>781</v>
      </c>
      <c r="P447" s="4" t="s">
        <v>1338</v>
      </c>
      <c r="Q447" s="4" t="s">
        <v>12</v>
      </c>
      <c r="R447" s="4"/>
      <c r="S447" s="4">
        <v>3922</v>
      </c>
      <c r="T447" s="4" t="s">
        <v>2551</v>
      </c>
      <c r="U447" s="4"/>
      <c r="V447" s="4" t="s">
        <v>3011</v>
      </c>
      <c r="W447" s="4" t="s">
        <v>126</v>
      </c>
      <c r="X447" s="4">
        <f t="shared" si="6"/>
        <v>10</v>
      </c>
      <c r="Y447" s="4"/>
      <c r="Z447" s="4"/>
      <c r="AA447" s="4"/>
      <c r="AB447" s="4"/>
      <c r="AC447" s="4">
        <v>1</v>
      </c>
      <c r="AD447" s="4"/>
      <c r="AE447" s="4"/>
    </row>
    <row r="448" spans="1:31" x14ac:dyDescent="0.2">
      <c r="A448" s="201"/>
      <c r="B448" s="4" t="s">
        <v>33</v>
      </c>
      <c r="C448" s="4">
        <v>444</v>
      </c>
      <c r="D448" s="4" t="s">
        <v>1333</v>
      </c>
      <c r="E448" s="4" t="s">
        <v>1334</v>
      </c>
      <c r="F448" s="4" t="s">
        <v>2482</v>
      </c>
      <c r="G448" s="4" t="s">
        <v>329</v>
      </c>
      <c r="H448" s="4" t="s">
        <v>41</v>
      </c>
      <c r="I448" s="4" t="s">
        <v>85</v>
      </c>
      <c r="J448" s="4">
        <v>30444</v>
      </c>
      <c r="K448" s="202" t="s">
        <v>1340</v>
      </c>
      <c r="L448" s="4">
        <v>28</v>
      </c>
      <c r="M448" s="4">
        <v>11</v>
      </c>
      <c r="N448" s="4" t="str">
        <f>_xlfn.CONCAT("DBX",((L448-1)*2)+1,".3")</f>
        <v>DBX55.3</v>
      </c>
      <c r="O448" s="4" t="s">
        <v>781</v>
      </c>
      <c r="P448" s="4" t="s">
        <v>1339</v>
      </c>
      <c r="Q448" s="4" t="s">
        <v>12</v>
      </c>
      <c r="R448" s="4"/>
      <c r="S448" s="4">
        <v>3922</v>
      </c>
      <c r="T448" s="4" t="s">
        <v>2551</v>
      </c>
      <c r="U448" s="4"/>
      <c r="V448" s="4"/>
      <c r="W448" s="4" t="s">
        <v>121</v>
      </c>
      <c r="X448" s="4">
        <f t="shared" si="6"/>
        <v>5</v>
      </c>
      <c r="Y448" s="4"/>
      <c r="Z448" s="4"/>
      <c r="AA448" s="4"/>
      <c r="AB448" s="4"/>
      <c r="AC448" s="4">
        <v>1</v>
      </c>
      <c r="AD448" s="4"/>
      <c r="AE448" s="4"/>
    </row>
    <row r="449" spans="1:31" x14ac:dyDescent="0.2">
      <c r="A449" s="201"/>
      <c r="B449" s="4" t="s">
        <v>3170</v>
      </c>
      <c r="C449" s="4">
        <v>445</v>
      </c>
      <c r="D449" s="4" t="s">
        <v>2569</v>
      </c>
      <c r="E449" s="4" t="s">
        <v>2570</v>
      </c>
      <c r="F449" s="4" t="s">
        <v>2597</v>
      </c>
      <c r="G449" s="4" t="s">
        <v>329</v>
      </c>
      <c r="H449" s="4" t="s">
        <v>41</v>
      </c>
      <c r="I449" s="4" t="s">
        <v>85</v>
      </c>
      <c r="J449" s="4">
        <v>30445</v>
      </c>
      <c r="K449" s="202" t="s">
        <v>1340</v>
      </c>
      <c r="L449" s="4">
        <v>28</v>
      </c>
      <c r="M449" s="4">
        <v>12</v>
      </c>
      <c r="N449" s="4" t="str">
        <f>_xlfn.CONCAT("DBX",((L449-1)*2)+1,".4")</f>
        <v>DBX55.4</v>
      </c>
      <c r="O449" s="4" t="s">
        <v>781</v>
      </c>
      <c r="P449" s="4" t="s">
        <v>1339</v>
      </c>
      <c r="Q449" s="4" t="s">
        <v>12</v>
      </c>
      <c r="R449" s="4"/>
      <c r="S449" s="4">
        <v>3922</v>
      </c>
      <c r="T449" s="4" t="s">
        <v>2551</v>
      </c>
      <c r="U449" s="4" t="s">
        <v>1340</v>
      </c>
      <c r="V449" s="4" t="s">
        <v>3158</v>
      </c>
      <c r="W449" s="4" t="s">
        <v>128</v>
      </c>
      <c r="X449" s="4">
        <f t="shared" si="6"/>
        <v>12</v>
      </c>
      <c r="Y449" s="4"/>
      <c r="Z449" s="4"/>
      <c r="AA449" s="4"/>
      <c r="AB449" s="4"/>
      <c r="AC449" s="4">
        <v>1</v>
      </c>
      <c r="AD449" s="4"/>
      <c r="AE449" s="4"/>
    </row>
    <row r="450" spans="1:31" x14ac:dyDescent="0.2">
      <c r="A450" s="201"/>
      <c r="B450" s="4" t="s">
        <v>33</v>
      </c>
      <c r="C450" s="4">
        <v>446</v>
      </c>
      <c r="D450" s="4" t="s">
        <v>2249</v>
      </c>
      <c r="E450" s="4" t="s">
        <v>2257</v>
      </c>
      <c r="F450" s="4" t="s">
        <v>2373</v>
      </c>
      <c r="G450" s="4" t="s">
        <v>329</v>
      </c>
      <c r="H450" s="4" t="s">
        <v>41</v>
      </c>
      <c r="I450" s="4" t="s">
        <v>84</v>
      </c>
      <c r="J450" s="4">
        <v>30446</v>
      </c>
      <c r="K450" s="202" t="s">
        <v>1341</v>
      </c>
      <c r="L450" s="4">
        <v>28</v>
      </c>
      <c r="M450" s="4">
        <v>13</v>
      </c>
      <c r="N450" s="4" t="str">
        <f>_xlfn.CONCAT("DBX",((L450-1)*2)+1,".5")</f>
        <v>DBX55.5</v>
      </c>
      <c r="O450" s="4" t="s">
        <v>781</v>
      </c>
      <c r="P450" s="4" t="s">
        <v>1343</v>
      </c>
      <c r="Q450" s="4" t="s">
        <v>12</v>
      </c>
      <c r="R450" s="4"/>
      <c r="S450" s="4">
        <v>3922</v>
      </c>
      <c r="T450" s="4" t="s">
        <v>2551</v>
      </c>
      <c r="U450" s="4"/>
      <c r="V450" s="4"/>
      <c r="W450" s="4" t="s">
        <v>129</v>
      </c>
      <c r="X450" s="4">
        <f t="shared" si="6"/>
        <v>13</v>
      </c>
      <c r="Y450" s="4"/>
      <c r="Z450" s="4"/>
      <c r="AA450" s="4"/>
      <c r="AB450" s="4"/>
      <c r="AC450" s="4">
        <v>1</v>
      </c>
      <c r="AD450" s="4"/>
      <c r="AE450" s="4"/>
    </row>
    <row r="451" spans="1:31" x14ac:dyDescent="0.2">
      <c r="A451" s="201"/>
      <c r="B451" s="4" t="s">
        <v>33</v>
      </c>
      <c r="C451" s="4">
        <v>447</v>
      </c>
      <c r="D451" s="4" t="s">
        <v>2250</v>
      </c>
      <c r="E451" s="4" t="s">
        <v>2258</v>
      </c>
      <c r="F451" s="4" t="s">
        <v>2483</v>
      </c>
      <c r="G451" s="4" t="s">
        <v>329</v>
      </c>
      <c r="H451" s="4" t="s">
        <v>41</v>
      </c>
      <c r="I451" s="4" t="s">
        <v>84</v>
      </c>
      <c r="J451" s="4">
        <v>30447</v>
      </c>
      <c r="K451" s="202" t="s">
        <v>1342</v>
      </c>
      <c r="L451" s="4">
        <v>28</v>
      </c>
      <c r="M451" s="4">
        <v>14</v>
      </c>
      <c r="N451" s="4" t="str">
        <f>_xlfn.CONCAT("DBX",((L451-1)*2)+1,".6")</f>
        <v>DBX55.6</v>
      </c>
      <c r="O451" s="4" t="s">
        <v>781</v>
      </c>
      <c r="P451" s="4" t="s">
        <v>1344</v>
      </c>
      <c r="Q451" s="4" t="s">
        <v>12</v>
      </c>
      <c r="R451" s="4"/>
      <c r="S451" s="4">
        <v>3922</v>
      </c>
      <c r="T451" s="4" t="s">
        <v>2551</v>
      </c>
      <c r="U451" s="4"/>
      <c r="V451" s="4"/>
      <c r="W451" s="4" t="s">
        <v>129</v>
      </c>
      <c r="X451" s="4">
        <f t="shared" si="6"/>
        <v>13</v>
      </c>
      <c r="Y451" s="4"/>
      <c r="Z451" s="4"/>
      <c r="AA451" s="4"/>
      <c r="AB451" s="4"/>
      <c r="AC451" s="4">
        <v>1</v>
      </c>
      <c r="AD451" s="4"/>
      <c r="AE451" s="4"/>
    </row>
    <row r="452" spans="1:31" x14ac:dyDescent="0.2">
      <c r="A452" s="201"/>
      <c r="B452" s="4" t="s">
        <v>33</v>
      </c>
      <c r="C452" s="4">
        <v>448</v>
      </c>
      <c r="D452" s="4" t="s">
        <v>2251</v>
      </c>
      <c r="E452" s="4" t="s">
        <v>2259</v>
      </c>
      <c r="F452" s="4" t="s">
        <v>2374</v>
      </c>
      <c r="G452" s="4" t="s">
        <v>329</v>
      </c>
      <c r="H452" s="4" t="s">
        <v>41</v>
      </c>
      <c r="I452" s="4" t="s">
        <v>84</v>
      </c>
      <c r="J452" s="4">
        <v>30448</v>
      </c>
      <c r="K452" s="202" t="s">
        <v>1342</v>
      </c>
      <c r="L452" s="4">
        <v>28</v>
      </c>
      <c r="M452" s="4">
        <v>15</v>
      </c>
      <c r="N452" s="4" t="str">
        <f>_xlfn.CONCAT("DBX",((L452-1)*2)+1,".7")</f>
        <v>DBX55.7</v>
      </c>
      <c r="O452" s="4" t="s">
        <v>781</v>
      </c>
      <c r="P452" s="4" t="s">
        <v>1344</v>
      </c>
      <c r="Q452" s="4" t="s">
        <v>12</v>
      </c>
      <c r="R452" s="4"/>
      <c r="S452" s="4">
        <v>3922</v>
      </c>
      <c r="T452" s="4" t="s">
        <v>2551</v>
      </c>
      <c r="U452" s="4"/>
      <c r="V452" s="4"/>
      <c r="W452" s="4" t="s">
        <v>121</v>
      </c>
      <c r="X452" s="4">
        <f t="shared" si="6"/>
        <v>5</v>
      </c>
      <c r="Y452" s="4"/>
      <c r="Z452" s="4"/>
      <c r="AA452" s="4"/>
      <c r="AB452" s="4"/>
      <c r="AC452" s="4">
        <v>1</v>
      </c>
      <c r="AD452" s="4"/>
      <c r="AE452" s="4"/>
    </row>
    <row r="453" spans="1:31" x14ac:dyDescent="0.2">
      <c r="A453" s="201"/>
      <c r="B453" s="4" t="s">
        <v>33</v>
      </c>
      <c r="C453" s="4">
        <v>449</v>
      </c>
      <c r="D453" s="4" t="s">
        <v>2252</v>
      </c>
      <c r="E453" s="4" t="s">
        <v>2260</v>
      </c>
      <c r="F453" s="4" t="s">
        <v>2375</v>
      </c>
      <c r="G453" s="4" t="s">
        <v>329</v>
      </c>
      <c r="H453" s="4" t="s">
        <v>41</v>
      </c>
      <c r="I453" s="4" t="s">
        <v>84</v>
      </c>
      <c r="J453" s="4">
        <v>30449</v>
      </c>
      <c r="K453" s="202" t="s">
        <v>1342</v>
      </c>
      <c r="L453" s="4">
        <v>29</v>
      </c>
      <c r="M453" s="4">
        <v>0</v>
      </c>
      <c r="N453" s="4" t="str">
        <f>_xlfn.CONCAT("DBX",((L453-1)*2),".0")</f>
        <v>DBX56.0</v>
      </c>
      <c r="O453" s="4" t="s">
        <v>781</v>
      </c>
      <c r="P453" s="4" t="s">
        <v>1344</v>
      </c>
      <c r="Q453" s="4" t="s">
        <v>12</v>
      </c>
      <c r="R453" s="4"/>
      <c r="S453" s="4">
        <v>3922</v>
      </c>
      <c r="T453" s="4" t="s">
        <v>2551</v>
      </c>
      <c r="U453" s="4"/>
      <c r="V453" s="4"/>
      <c r="W453" s="4" t="s">
        <v>129</v>
      </c>
      <c r="X453" s="4">
        <f t="shared" ref="X453:X516" si="7">VLOOKUP(W453,$W$1609:$X$1639,2,FALSE)</f>
        <v>13</v>
      </c>
      <c r="Y453" s="4"/>
      <c r="Z453" s="4"/>
      <c r="AA453" s="4"/>
      <c r="AB453" s="4"/>
      <c r="AC453" s="4">
        <v>1</v>
      </c>
      <c r="AD453" s="4"/>
      <c r="AE453" s="4"/>
    </row>
    <row r="454" spans="1:31" x14ac:dyDescent="0.2">
      <c r="A454" s="201"/>
      <c r="B454" s="4" t="s">
        <v>250</v>
      </c>
      <c r="C454" s="4">
        <v>450</v>
      </c>
      <c r="D454" s="4" t="s">
        <v>2253</v>
      </c>
      <c r="E454" s="4" t="s">
        <v>2261</v>
      </c>
      <c r="F454" s="4" t="s">
        <v>2376</v>
      </c>
      <c r="G454" s="4" t="s">
        <v>329</v>
      </c>
      <c r="H454" s="4" t="s">
        <v>41</v>
      </c>
      <c r="I454" s="4" t="s">
        <v>84</v>
      </c>
      <c r="J454" s="4">
        <v>30450</v>
      </c>
      <c r="K454" s="202" t="s">
        <v>1345</v>
      </c>
      <c r="L454" s="4">
        <v>29</v>
      </c>
      <c r="M454" s="4">
        <v>1</v>
      </c>
      <c r="N454" s="4" t="str">
        <f>_xlfn.CONCAT("DBX",((L454-1)*2),".1")</f>
        <v>DBX56.1</v>
      </c>
      <c r="O454" s="4" t="s">
        <v>781</v>
      </c>
      <c r="P454" s="4" t="s">
        <v>2617</v>
      </c>
      <c r="Q454" s="4" t="s">
        <v>12</v>
      </c>
      <c r="R454" s="4"/>
      <c r="S454" s="4">
        <v>3922</v>
      </c>
      <c r="T454" s="4" t="s">
        <v>2551</v>
      </c>
      <c r="U454" s="4"/>
      <c r="V454" s="4"/>
      <c r="W454" s="4" t="s">
        <v>129</v>
      </c>
      <c r="X454" s="4">
        <f t="shared" si="7"/>
        <v>13</v>
      </c>
      <c r="Y454" s="4"/>
      <c r="Z454" s="4"/>
      <c r="AA454" s="4"/>
      <c r="AB454" s="4"/>
      <c r="AC454" s="4">
        <v>1</v>
      </c>
      <c r="AD454" s="4"/>
      <c r="AE454" s="4"/>
    </row>
    <row r="455" spans="1:31" x14ac:dyDescent="0.2">
      <c r="A455" s="201"/>
      <c r="B455" s="4" t="s">
        <v>33</v>
      </c>
      <c r="C455" s="4">
        <v>451</v>
      </c>
      <c r="D455" s="4" t="s">
        <v>2254</v>
      </c>
      <c r="E455" s="4" t="s">
        <v>2262</v>
      </c>
      <c r="F455" s="4" t="s">
        <v>2484</v>
      </c>
      <c r="G455" s="4" t="s">
        <v>329</v>
      </c>
      <c r="H455" s="4" t="s">
        <v>41</v>
      </c>
      <c r="I455" s="4" t="s">
        <v>84</v>
      </c>
      <c r="J455" s="4">
        <v>30451</v>
      </c>
      <c r="K455" s="202" t="s">
        <v>1346</v>
      </c>
      <c r="L455" s="4">
        <v>29</v>
      </c>
      <c r="M455" s="4">
        <v>2</v>
      </c>
      <c r="N455" s="4" t="str">
        <f>_xlfn.CONCAT("DBX",((L455-1)*2),".2")</f>
        <v>DBX56.2</v>
      </c>
      <c r="O455" s="4" t="s">
        <v>781</v>
      </c>
      <c r="P455" s="4" t="s">
        <v>1347</v>
      </c>
      <c r="Q455" s="4" t="s">
        <v>12</v>
      </c>
      <c r="R455" s="4"/>
      <c r="S455" s="4">
        <v>3922</v>
      </c>
      <c r="T455" s="4" t="s">
        <v>2551</v>
      </c>
      <c r="U455" s="4"/>
      <c r="V455" s="4"/>
      <c r="W455" s="4" t="s">
        <v>129</v>
      </c>
      <c r="X455" s="4">
        <f t="shared" si="7"/>
        <v>13</v>
      </c>
      <c r="Y455" s="4"/>
      <c r="Z455" s="4"/>
      <c r="AA455" s="4"/>
      <c r="AB455" s="4"/>
      <c r="AC455" s="4">
        <v>1</v>
      </c>
      <c r="AD455" s="4"/>
      <c r="AE455" s="4"/>
    </row>
    <row r="456" spans="1:31" x14ac:dyDescent="0.2">
      <c r="A456" s="201"/>
      <c r="B456" s="4" t="s">
        <v>33</v>
      </c>
      <c r="C456" s="4">
        <v>452</v>
      </c>
      <c r="D456" s="4" t="s">
        <v>2255</v>
      </c>
      <c r="E456" s="4" t="s">
        <v>2263</v>
      </c>
      <c r="F456" s="4" t="s">
        <v>2377</v>
      </c>
      <c r="G456" s="4" t="s">
        <v>329</v>
      </c>
      <c r="H456" s="4" t="s">
        <v>41</v>
      </c>
      <c r="I456" s="4" t="s">
        <v>84</v>
      </c>
      <c r="J456" s="4">
        <v>30452</v>
      </c>
      <c r="K456" s="202" t="s">
        <v>1346</v>
      </c>
      <c r="L456" s="4">
        <v>29</v>
      </c>
      <c r="M456" s="4">
        <v>3</v>
      </c>
      <c r="N456" s="4" t="str">
        <f>_xlfn.CONCAT("DBX",((L456-1)*2),".3")</f>
        <v>DBX56.3</v>
      </c>
      <c r="O456" s="4" t="s">
        <v>781</v>
      </c>
      <c r="P456" s="4" t="s">
        <v>1347</v>
      </c>
      <c r="Q456" s="4" t="s">
        <v>12</v>
      </c>
      <c r="R456" s="4"/>
      <c r="S456" s="4">
        <v>3922</v>
      </c>
      <c r="T456" s="4" t="s">
        <v>2551</v>
      </c>
      <c r="U456" s="4"/>
      <c r="V456" s="4"/>
      <c r="W456" s="4" t="s">
        <v>121</v>
      </c>
      <c r="X456" s="4">
        <f t="shared" si="7"/>
        <v>5</v>
      </c>
      <c r="Y456" s="4"/>
      <c r="Z456" s="4"/>
      <c r="AA456" s="4"/>
      <c r="AB456" s="4"/>
      <c r="AC456" s="4">
        <v>1</v>
      </c>
      <c r="AD456" s="4"/>
      <c r="AE456" s="4"/>
    </row>
    <row r="457" spans="1:31" x14ac:dyDescent="0.2">
      <c r="A457" s="201"/>
      <c r="B457" s="4" t="s">
        <v>33</v>
      </c>
      <c r="C457" s="4">
        <v>453</v>
      </c>
      <c r="D457" s="4" t="s">
        <v>2256</v>
      </c>
      <c r="E457" s="4" t="s">
        <v>2264</v>
      </c>
      <c r="F457" s="4" t="s">
        <v>2378</v>
      </c>
      <c r="G457" s="4" t="s">
        <v>329</v>
      </c>
      <c r="H457" s="4" t="s">
        <v>41</v>
      </c>
      <c r="I457" s="4" t="s">
        <v>84</v>
      </c>
      <c r="J457" s="4">
        <v>30453</v>
      </c>
      <c r="K457" s="202" t="s">
        <v>1346</v>
      </c>
      <c r="L457" s="4">
        <v>29</v>
      </c>
      <c r="M457" s="4">
        <v>4</v>
      </c>
      <c r="N457" s="4" t="str">
        <f>_xlfn.CONCAT("DBX",((L457-1)*2),".4")</f>
        <v>DBX56.4</v>
      </c>
      <c r="O457" s="4" t="s">
        <v>781</v>
      </c>
      <c r="P457" s="4" t="s">
        <v>1347</v>
      </c>
      <c r="Q457" s="4" t="s">
        <v>12</v>
      </c>
      <c r="R457" s="4"/>
      <c r="S457" s="4">
        <v>3922</v>
      </c>
      <c r="T457" s="4" t="s">
        <v>2551</v>
      </c>
      <c r="U457" s="4"/>
      <c r="V457" s="4"/>
      <c r="W457" s="4" t="s">
        <v>129</v>
      </c>
      <c r="X457" s="4">
        <f t="shared" si="7"/>
        <v>13</v>
      </c>
      <c r="Y457" s="4"/>
      <c r="Z457" s="4"/>
      <c r="AA457" s="4"/>
      <c r="AB457" s="4"/>
      <c r="AC457" s="4">
        <v>1</v>
      </c>
      <c r="AD457" s="4"/>
      <c r="AE457" s="4"/>
    </row>
    <row r="458" spans="1:31" x14ac:dyDescent="0.2">
      <c r="A458" s="201"/>
      <c r="B458" s="4" t="s">
        <v>34</v>
      </c>
      <c r="C458" s="4">
        <v>454</v>
      </c>
      <c r="D458" s="4"/>
      <c r="E458" s="4"/>
      <c r="F458" s="4"/>
      <c r="G458" s="4"/>
      <c r="H458" s="4"/>
      <c r="I458" s="4"/>
      <c r="J458" s="4">
        <v>30454</v>
      </c>
      <c r="K458" s="202"/>
      <c r="L458" s="4">
        <v>29</v>
      </c>
      <c r="M458" s="4">
        <v>5</v>
      </c>
      <c r="N458" s="4" t="str">
        <f>_xlfn.CONCAT("DBX",((L458-1)*2),".5")</f>
        <v>DBX56.5</v>
      </c>
      <c r="O458" s="4" t="s">
        <v>781</v>
      </c>
      <c r="P458" s="4"/>
      <c r="Q458" s="4"/>
      <c r="R458" s="4"/>
      <c r="S458" s="4"/>
      <c r="T458" s="4"/>
      <c r="U458" s="4"/>
      <c r="V458" s="4"/>
      <c r="W458" s="4"/>
      <c r="X458" s="4" t="e">
        <f t="shared" si="7"/>
        <v>#N/A</v>
      </c>
      <c r="Y458" s="4"/>
      <c r="Z458" s="4"/>
      <c r="AA458" s="4"/>
      <c r="AB458" s="4"/>
      <c r="AC458" s="4"/>
      <c r="AD458" s="4"/>
      <c r="AE458" s="4"/>
    </row>
    <row r="459" spans="1:31" x14ac:dyDescent="0.2">
      <c r="A459" s="201"/>
      <c r="B459" s="4" t="s">
        <v>3170</v>
      </c>
      <c r="C459" s="4">
        <v>455</v>
      </c>
      <c r="D459" s="4" t="s">
        <v>1348</v>
      </c>
      <c r="E459" s="4" t="s">
        <v>1349</v>
      </c>
      <c r="F459" s="4" t="s">
        <v>1350</v>
      </c>
      <c r="G459" s="4" t="s">
        <v>329</v>
      </c>
      <c r="H459" s="4" t="s">
        <v>1179</v>
      </c>
      <c r="I459" s="4" t="s">
        <v>85</v>
      </c>
      <c r="J459" s="4">
        <v>30455</v>
      </c>
      <c r="K459" s="202" t="s">
        <v>1351</v>
      </c>
      <c r="L459" s="4">
        <v>29</v>
      </c>
      <c r="M459" s="4">
        <v>6</v>
      </c>
      <c r="N459" s="4" t="str">
        <f>_xlfn.CONCAT("DBX",((L459-1)*2),".6")</f>
        <v>DBX56.6</v>
      </c>
      <c r="O459" s="4" t="s">
        <v>781</v>
      </c>
      <c r="P459" s="4" t="s">
        <v>1352</v>
      </c>
      <c r="Q459" s="4" t="s">
        <v>12</v>
      </c>
      <c r="R459" s="4"/>
      <c r="S459" s="4">
        <v>3922</v>
      </c>
      <c r="T459" s="4" t="s">
        <v>2551</v>
      </c>
      <c r="U459" s="4" t="s">
        <v>1351</v>
      </c>
      <c r="V459" s="4" t="s">
        <v>3075</v>
      </c>
      <c r="W459" s="4" t="s">
        <v>129</v>
      </c>
      <c r="X459" s="4">
        <f t="shared" si="7"/>
        <v>13</v>
      </c>
      <c r="Y459" s="4"/>
      <c r="Z459" s="4"/>
      <c r="AA459" s="4"/>
      <c r="AB459" s="4"/>
      <c r="AC459" s="4">
        <v>1</v>
      </c>
      <c r="AD459" s="4"/>
      <c r="AE459" s="4"/>
    </row>
    <row r="460" spans="1:31" x14ac:dyDescent="0.2">
      <c r="A460" s="201"/>
      <c r="B460" s="4" t="s">
        <v>34</v>
      </c>
      <c r="C460" s="4">
        <v>456</v>
      </c>
      <c r="D460" s="4"/>
      <c r="E460" s="4"/>
      <c r="F460" s="4"/>
      <c r="G460" s="4"/>
      <c r="H460" s="4"/>
      <c r="I460" s="4"/>
      <c r="J460" s="4">
        <v>30456</v>
      </c>
      <c r="K460" s="202"/>
      <c r="L460" s="4">
        <v>29</v>
      </c>
      <c r="M460" s="4">
        <v>7</v>
      </c>
      <c r="N460" s="4" t="str">
        <f>_xlfn.CONCAT("DBX",((L460-1)*2),".7")</f>
        <v>DBX56.7</v>
      </c>
      <c r="O460" s="4" t="s">
        <v>781</v>
      </c>
      <c r="P460" s="4"/>
      <c r="Q460" s="4"/>
      <c r="R460" s="4"/>
      <c r="S460" s="4"/>
      <c r="T460" s="4"/>
      <c r="U460" s="4"/>
      <c r="V460" s="4"/>
      <c r="W460" s="4"/>
      <c r="X460" s="4" t="e">
        <f t="shared" si="7"/>
        <v>#N/A</v>
      </c>
      <c r="Y460" s="4"/>
      <c r="Z460" s="4"/>
      <c r="AA460" s="4"/>
      <c r="AB460" s="4"/>
      <c r="AC460" s="4"/>
      <c r="AD460" s="4"/>
      <c r="AE460" s="4"/>
    </row>
    <row r="461" spans="1:31" x14ac:dyDescent="0.2">
      <c r="A461" s="201"/>
      <c r="B461" s="4" t="s">
        <v>3170</v>
      </c>
      <c r="C461" s="4">
        <v>457</v>
      </c>
      <c r="D461" s="4" t="s">
        <v>1353</v>
      </c>
      <c r="E461" s="4" t="s">
        <v>1354</v>
      </c>
      <c r="F461" s="4" t="s">
        <v>1355</v>
      </c>
      <c r="G461" s="4" t="s">
        <v>1356</v>
      </c>
      <c r="H461" s="4" t="s">
        <v>41</v>
      </c>
      <c r="I461" s="4" t="s">
        <v>84</v>
      </c>
      <c r="J461" s="4">
        <v>30457</v>
      </c>
      <c r="K461" s="202" t="s">
        <v>1390</v>
      </c>
      <c r="L461" s="4">
        <v>29</v>
      </c>
      <c r="M461" s="4">
        <v>8</v>
      </c>
      <c r="N461" s="4" t="str">
        <f>_xlfn.CONCAT("DBX",((L461-1)*2)+1,".0")</f>
        <v>DBX57.0</v>
      </c>
      <c r="O461" s="4" t="s">
        <v>781</v>
      </c>
      <c r="P461" s="4" t="s">
        <v>1394</v>
      </c>
      <c r="Q461" s="4" t="s">
        <v>12</v>
      </c>
      <c r="R461" s="4"/>
      <c r="S461" s="4">
        <v>3922</v>
      </c>
      <c r="T461" s="4" t="s">
        <v>2551</v>
      </c>
      <c r="U461" s="4" t="s">
        <v>2540</v>
      </c>
      <c r="V461" s="4" t="s">
        <v>3019</v>
      </c>
      <c r="W461" s="4" t="s">
        <v>126</v>
      </c>
      <c r="X461" s="4">
        <f t="shared" si="7"/>
        <v>10</v>
      </c>
      <c r="Y461" s="4"/>
      <c r="Z461" s="4"/>
      <c r="AA461" s="4"/>
      <c r="AB461" s="4"/>
      <c r="AC461" s="4">
        <v>1</v>
      </c>
      <c r="AD461" s="4"/>
      <c r="AE461" s="4"/>
    </row>
    <row r="462" spans="1:31" x14ac:dyDescent="0.2">
      <c r="A462" s="201"/>
      <c r="B462" s="4" t="s">
        <v>3170</v>
      </c>
      <c r="C462" s="4">
        <v>458</v>
      </c>
      <c r="D462" s="4" t="s">
        <v>1357</v>
      </c>
      <c r="E462" s="4" t="s">
        <v>1358</v>
      </c>
      <c r="F462" s="4" t="s">
        <v>1359</v>
      </c>
      <c r="G462" s="4" t="s">
        <v>1356</v>
      </c>
      <c r="H462" s="4" t="s">
        <v>41</v>
      </c>
      <c r="I462" s="4" t="s">
        <v>84</v>
      </c>
      <c r="J462" s="4">
        <v>30458</v>
      </c>
      <c r="K462" s="202" t="s">
        <v>1395</v>
      </c>
      <c r="L462" s="4">
        <v>29</v>
      </c>
      <c r="M462" s="4">
        <v>9</v>
      </c>
      <c r="N462" s="4" t="str">
        <f>_xlfn.CONCAT("DBX",((L462-1)*2)+1,".1")</f>
        <v>DBX57.1</v>
      </c>
      <c r="O462" s="4" t="s">
        <v>781</v>
      </c>
      <c r="P462" s="4" t="s">
        <v>1396</v>
      </c>
      <c r="Q462" s="4" t="s">
        <v>12</v>
      </c>
      <c r="R462" s="4"/>
      <c r="S462" s="4">
        <v>3922</v>
      </c>
      <c r="T462" s="4" t="s">
        <v>2551</v>
      </c>
      <c r="U462" s="4" t="s">
        <v>2540</v>
      </c>
      <c r="V462" s="4" t="s">
        <v>3019</v>
      </c>
      <c r="W462" s="4" t="s">
        <v>127</v>
      </c>
      <c r="X462" s="4">
        <f t="shared" si="7"/>
        <v>11</v>
      </c>
      <c r="Y462" s="4"/>
      <c r="Z462" s="4"/>
      <c r="AA462" s="4"/>
      <c r="AB462" s="4"/>
      <c r="AC462" s="4">
        <v>1</v>
      </c>
      <c r="AD462" s="4"/>
      <c r="AE462" s="4"/>
    </row>
    <row r="463" spans="1:31" x14ac:dyDescent="0.2">
      <c r="A463" s="201"/>
      <c r="B463" s="4" t="s">
        <v>3170</v>
      </c>
      <c r="C463" s="4">
        <v>459</v>
      </c>
      <c r="D463" s="4" t="s">
        <v>1360</v>
      </c>
      <c r="E463" s="4" t="s">
        <v>1361</v>
      </c>
      <c r="F463" s="4" t="s">
        <v>1362</v>
      </c>
      <c r="G463" s="4" t="s">
        <v>1356</v>
      </c>
      <c r="H463" s="4" t="s">
        <v>41</v>
      </c>
      <c r="I463" s="4" t="s">
        <v>85</v>
      </c>
      <c r="J463" s="4">
        <v>30459</v>
      </c>
      <c r="K463" s="202" t="s">
        <v>811</v>
      </c>
      <c r="L463" s="4">
        <v>29</v>
      </c>
      <c r="M463" s="4">
        <v>10</v>
      </c>
      <c r="N463" s="4" t="str">
        <f>_xlfn.CONCAT("DBX",((L463-1)*2)+1,".2")</f>
        <v>DBX57.2</v>
      </c>
      <c r="O463" s="4" t="s">
        <v>781</v>
      </c>
      <c r="P463" s="4" t="s">
        <v>11</v>
      </c>
      <c r="Q463" s="4" t="s">
        <v>12</v>
      </c>
      <c r="R463" s="4"/>
      <c r="S463" s="4">
        <v>3922</v>
      </c>
      <c r="T463" s="4" t="s">
        <v>2551</v>
      </c>
      <c r="U463" s="4"/>
      <c r="V463" s="4" t="s">
        <v>3019</v>
      </c>
      <c r="W463" s="4" t="s">
        <v>129</v>
      </c>
      <c r="X463" s="4">
        <f t="shared" si="7"/>
        <v>13</v>
      </c>
      <c r="Y463" s="4"/>
      <c r="Z463" s="4"/>
      <c r="AA463" s="4"/>
      <c r="AB463" s="4"/>
      <c r="AC463" s="4">
        <v>1</v>
      </c>
      <c r="AD463" s="4"/>
      <c r="AE463" s="4"/>
    </row>
    <row r="464" spans="1:31" x14ac:dyDescent="0.2">
      <c r="A464" s="201"/>
      <c r="B464" s="4" t="s">
        <v>3170</v>
      </c>
      <c r="C464" s="4">
        <v>460</v>
      </c>
      <c r="D464" s="4" t="s">
        <v>1363</v>
      </c>
      <c r="E464" s="4" t="s">
        <v>1364</v>
      </c>
      <c r="F464" s="4" t="s">
        <v>1365</v>
      </c>
      <c r="G464" s="4" t="s">
        <v>1356</v>
      </c>
      <c r="H464" s="4" t="s">
        <v>41</v>
      </c>
      <c r="I464" s="4" t="s">
        <v>85</v>
      </c>
      <c r="J464" s="4">
        <v>30460</v>
      </c>
      <c r="K464" s="202" t="s">
        <v>11</v>
      </c>
      <c r="L464" s="4">
        <v>29</v>
      </c>
      <c r="M464" s="4">
        <v>11</v>
      </c>
      <c r="N464" s="4" t="str">
        <f>_xlfn.CONCAT("DBX",((L464-1)*2)+1,".3")</f>
        <v>DBX57.3</v>
      </c>
      <c r="O464" s="4" t="s">
        <v>781</v>
      </c>
      <c r="P464" s="4" t="s">
        <v>11</v>
      </c>
      <c r="Q464" s="4" t="s">
        <v>12</v>
      </c>
      <c r="R464" s="4"/>
      <c r="S464" s="4">
        <v>3922</v>
      </c>
      <c r="T464" s="4" t="s">
        <v>2551</v>
      </c>
      <c r="U464" s="4"/>
      <c r="V464" s="4" t="s">
        <v>3019</v>
      </c>
      <c r="W464" s="4" t="s">
        <v>129</v>
      </c>
      <c r="X464" s="4">
        <f t="shared" si="7"/>
        <v>13</v>
      </c>
      <c r="Y464" s="4"/>
      <c r="Z464" s="4"/>
      <c r="AA464" s="4"/>
      <c r="AB464" s="4"/>
      <c r="AC464" s="4">
        <v>1</v>
      </c>
      <c r="AD464" s="4"/>
      <c r="AE464" s="4"/>
    </row>
    <row r="465" spans="1:31" x14ac:dyDescent="0.2">
      <c r="A465" s="201"/>
      <c r="B465" s="4" t="s">
        <v>3170</v>
      </c>
      <c r="C465" s="4">
        <v>461</v>
      </c>
      <c r="D465" s="4" t="s">
        <v>1366</v>
      </c>
      <c r="E465" s="4" t="s">
        <v>1367</v>
      </c>
      <c r="F465" s="4" t="s">
        <v>1368</v>
      </c>
      <c r="G465" s="4" t="s">
        <v>1356</v>
      </c>
      <c r="H465" s="4" t="s">
        <v>41</v>
      </c>
      <c r="I465" s="4" t="s">
        <v>85</v>
      </c>
      <c r="J465" s="4">
        <v>30461</v>
      </c>
      <c r="K465" s="202" t="s">
        <v>11</v>
      </c>
      <c r="L465" s="4">
        <v>29</v>
      </c>
      <c r="M465" s="4">
        <v>12</v>
      </c>
      <c r="N465" s="4" t="str">
        <f>_xlfn.CONCAT("DBX",((L465-1)*2)+1,".4")</f>
        <v>DBX57.4</v>
      </c>
      <c r="O465" s="4" t="s">
        <v>781</v>
      </c>
      <c r="P465" s="4" t="s">
        <v>11</v>
      </c>
      <c r="Q465" s="4" t="s">
        <v>12</v>
      </c>
      <c r="R465" s="4"/>
      <c r="S465" s="4">
        <v>3922</v>
      </c>
      <c r="T465" s="4" t="s">
        <v>2551</v>
      </c>
      <c r="U465" s="4"/>
      <c r="V465" s="4" t="s">
        <v>3019</v>
      </c>
      <c r="W465" s="4" t="s">
        <v>128</v>
      </c>
      <c r="X465" s="4">
        <f t="shared" si="7"/>
        <v>12</v>
      </c>
      <c r="Y465" s="4"/>
      <c r="Z465" s="4"/>
      <c r="AA465" s="4"/>
      <c r="AB465" s="4"/>
      <c r="AC465" s="4">
        <v>1</v>
      </c>
      <c r="AD465" s="4"/>
      <c r="AE465" s="4"/>
    </row>
    <row r="466" spans="1:31" x14ac:dyDescent="0.2">
      <c r="A466" s="201"/>
      <c r="B466" s="4" t="s">
        <v>3170</v>
      </c>
      <c r="C466" s="4">
        <v>462</v>
      </c>
      <c r="D466" s="4" t="s">
        <v>1369</v>
      </c>
      <c r="E466" s="4" t="s">
        <v>1370</v>
      </c>
      <c r="F466" s="4" t="s">
        <v>1371</v>
      </c>
      <c r="G466" s="4" t="s">
        <v>1356</v>
      </c>
      <c r="H466" s="4" t="s">
        <v>41</v>
      </c>
      <c r="I466" s="4" t="s">
        <v>85</v>
      </c>
      <c r="J466" s="4">
        <v>30462</v>
      </c>
      <c r="K466" s="202" t="s">
        <v>11</v>
      </c>
      <c r="L466" s="4">
        <v>29</v>
      </c>
      <c r="M466" s="4">
        <v>13</v>
      </c>
      <c r="N466" s="4" t="str">
        <f>_xlfn.CONCAT("DBX",((L466-1)*2)+1,".5")</f>
        <v>DBX57.5</v>
      </c>
      <c r="O466" s="4" t="s">
        <v>781</v>
      </c>
      <c r="P466" s="4" t="s">
        <v>11</v>
      </c>
      <c r="Q466" s="4" t="s">
        <v>90</v>
      </c>
      <c r="R466" s="4"/>
      <c r="S466" s="4">
        <v>3922</v>
      </c>
      <c r="T466" s="4" t="s">
        <v>2551</v>
      </c>
      <c r="U466" s="4"/>
      <c r="V466" s="4" t="s">
        <v>3159</v>
      </c>
      <c r="W466" s="4" t="s">
        <v>129</v>
      </c>
      <c r="X466" s="4">
        <f t="shared" si="7"/>
        <v>13</v>
      </c>
      <c r="Y466" s="4"/>
      <c r="Z466" s="4"/>
      <c r="AA466" s="4"/>
      <c r="AB466" s="4"/>
      <c r="AC466" s="4">
        <v>0</v>
      </c>
      <c r="AD466" s="4"/>
      <c r="AE466" s="4"/>
    </row>
    <row r="467" spans="1:31" x14ac:dyDescent="0.2">
      <c r="A467" s="201"/>
      <c r="B467" s="4" t="s">
        <v>3170</v>
      </c>
      <c r="C467" s="4">
        <v>463</v>
      </c>
      <c r="D467" s="4" t="s">
        <v>1372</v>
      </c>
      <c r="E467" s="4" t="s">
        <v>1373</v>
      </c>
      <c r="F467" s="4" t="s">
        <v>1374</v>
      </c>
      <c r="G467" s="4" t="s">
        <v>40</v>
      </c>
      <c r="H467" s="4" t="s">
        <v>41</v>
      </c>
      <c r="I467" s="4" t="s">
        <v>40</v>
      </c>
      <c r="J467" s="4">
        <v>30463</v>
      </c>
      <c r="K467" s="202" t="s">
        <v>811</v>
      </c>
      <c r="L467" s="4">
        <v>29</v>
      </c>
      <c r="M467" s="4">
        <v>14</v>
      </c>
      <c r="N467" s="4" t="str">
        <f>_xlfn.CONCAT("DBX",((L467-1)*2)+1,".6")</f>
        <v>DBX57.6</v>
      </c>
      <c r="O467" s="4" t="s">
        <v>781</v>
      </c>
      <c r="P467" s="4" t="s">
        <v>11</v>
      </c>
      <c r="Q467" s="4" t="s">
        <v>90</v>
      </c>
      <c r="R467" s="4"/>
      <c r="S467" s="4">
        <v>3922</v>
      </c>
      <c r="T467" s="4" t="s">
        <v>2551</v>
      </c>
      <c r="U467" s="4"/>
      <c r="V467" s="4" t="s">
        <v>3019</v>
      </c>
      <c r="W467" s="4" t="s">
        <v>129</v>
      </c>
      <c r="X467" s="4">
        <f t="shared" si="7"/>
        <v>13</v>
      </c>
      <c r="Y467" s="4"/>
      <c r="Z467" s="4"/>
      <c r="AA467" s="4"/>
      <c r="AB467" s="4"/>
      <c r="AC467" s="4">
        <v>0</v>
      </c>
      <c r="AD467" s="4"/>
      <c r="AE467" s="4"/>
    </row>
    <row r="468" spans="1:31" s="244" customFormat="1" x14ac:dyDescent="0.2">
      <c r="A468" s="250"/>
      <c r="B468" s="266" t="s">
        <v>3349</v>
      </c>
      <c r="C468" s="242">
        <v>464</v>
      </c>
      <c r="D468" s="242" t="s">
        <v>1375</v>
      </c>
      <c r="E468" s="242" t="s">
        <v>1376</v>
      </c>
      <c r="F468" s="242" t="s">
        <v>1377</v>
      </c>
      <c r="G468" s="4" t="s">
        <v>40</v>
      </c>
      <c r="H468" s="4" t="s">
        <v>41</v>
      </c>
      <c r="I468" s="4" t="s">
        <v>40</v>
      </c>
      <c r="J468" s="4">
        <v>30464</v>
      </c>
      <c r="K468" s="202" t="s">
        <v>811</v>
      </c>
      <c r="L468" s="4">
        <v>29</v>
      </c>
      <c r="M468" s="4">
        <v>15</v>
      </c>
      <c r="N468" s="4" t="str">
        <f>_xlfn.CONCAT("DBX",((L468-1)*2)+1,".7")</f>
        <v>DBX57.7</v>
      </c>
      <c r="O468" s="4" t="s">
        <v>781</v>
      </c>
      <c r="P468" s="4" t="s">
        <v>11</v>
      </c>
      <c r="Q468" s="242" t="s">
        <v>88</v>
      </c>
      <c r="R468" s="242"/>
      <c r="S468" s="242">
        <v>3922</v>
      </c>
      <c r="T468" s="242" t="s">
        <v>2551</v>
      </c>
      <c r="U468" s="242"/>
      <c r="V468" s="242" t="s">
        <v>3019</v>
      </c>
      <c r="W468" s="242" t="s">
        <v>129</v>
      </c>
      <c r="X468" s="242">
        <f t="shared" si="7"/>
        <v>13</v>
      </c>
      <c r="Y468" s="242" t="s">
        <v>2652</v>
      </c>
      <c r="Z468" s="242"/>
      <c r="AA468" s="242"/>
      <c r="AB468" s="242"/>
      <c r="AC468" s="266">
        <v>0</v>
      </c>
      <c r="AD468" s="242"/>
      <c r="AE468" s="242"/>
    </row>
    <row r="469" spans="1:31" s="244" customFormat="1" x14ac:dyDescent="0.2">
      <c r="A469" s="250"/>
      <c r="B469" s="266" t="s">
        <v>3349</v>
      </c>
      <c r="C469" s="242">
        <v>465</v>
      </c>
      <c r="D469" s="242" t="s">
        <v>1378</v>
      </c>
      <c r="E469" s="242" t="s">
        <v>1379</v>
      </c>
      <c r="F469" s="242" t="s">
        <v>1380</v>
      </c>
      <c r="G469" s="4" t="s">
        <v>1356</v>
      </c>
      <c r="H469" s="4" t="s">
        <v>41</v>
      </c>
      <c r="I469" s="4" t="s">
        <v>85</v>
      </c>
      <c r="J469" s="4">
        <v>30465</v>
      </c>
      <c r="K469" s="202" t="s">
        <v>811</v>
      </c>
      <c r="L469" s="4">
        <v>30</v>
      </c>
      <c r="M469" s="4">
        <v>0</v>
      </c>
      <c r="N469" s="4" t="str">
        <f>_xlfn.CONCAT("DBX",((L469-1)*2),".0")</f>
        <v>DBX58.0</v>
      </c>
      <c r="O469" s="4" t="s">
        <v>781</v>
      </c>
      <c r="P469" s="4" t="s">
        <v>11</v>
      </c>
      <c r="Q469" s="242" t="s">
        <v>88</v>
      </c>
      <c r="R469" s="242"/>
      <c r="S469" s="242">
        <v>3922</v>
      </c>
      <c r="T469" s="242" t="s">
        <v>2551</v>
      </c>
      <c r="U469" s="242"/>
      <c r="V469" s="242" t="s">
        <v>3019</v>
      </c>
      <c r="W469" s="242" t="s">
        <v>129</v>
      </c>
      <c r="X469" s="242">
        <f t="shared" si="7"/>
        <v>13</v>
      </c>
      <c r="Y469" s="242" t="s">
        <v>1393</v>
      </c>
      <c r="Z469" s="242"/>
      <c r="AA469" s="242"/>
      <c r="AB469" s="242"/>
      <c r="AC469" s="266">
        <v>0</v>
      </c>
      <c r="AD469" s="242"/>
      <c r="AE469" s="242"/>
    </row>
    <row r="470" spans="1:31" x14ac:dyDescent="0.2">
      <c r="A470" s="201"/>
      <c r="B470" s="4" t="s">
        <v>3170</v>
      </c>
      <c r="C470" s="4">
        <v>466</v>
      </c>
      <c r="D470" s="4" t="s">
        <v>1381</v>
      </c>
      <c r="E470" s="4" t="s">
        <v>1382</v>
      </c>
      <c r="F470" s="4" t="s">
        <v>1383</v>
      </c>
      <c r="G470" s="4" t="s">
        <v>1356</v>
      </c>
      <c r="H470" s="4" t="s">
        <v>41</v>
      </c>
      <c r="I470" s="4" t="s">
        <v>84</v>
      </c>
      <c r="J470" s="4">
        <v>30466</v>
      </c>
      <c r="K470" s="202" t="s">
        <v>1391</v>
      </c>
      <c r="L470" s="4">
        <v>30</v>
      </c>
      <c r="M470" s="4">
        <v>1</v>
      </c>
      <c r="N470" s="4" t="str">
        <f>_xlfn.CONCAT("DBX",((L470-1)*2),".1")</f>
        <v>DBX58.1</v>
      </c>
      <c r="O470" s="4" t="s">
        <v>781</v>
      </c>
      <c r="P470" s="4" t="s">
        <v>1397</v>
      </c>
      <c r="Q470" s="4" t="s">
        <v>12</v>
      </c>
      <c r="R470" s="4"/>
      <c r="S470" s="4">
        <v>3922</v>
      </c>
      <c r="T470" s="4" t="s">
        <v>2551</v>
      </c>
      <c r="U470" s="4" t="s">
        <v>2542</v>
      </c>
      <c r="V470" s="4" t="s">
        <v>3019</v>
      </c>
      <c r="W470" s="4" t="s">
        <v>126</v>
      </c>
      <c r="X470" s="4">
        <f t="shared" si="7"/>
        <v>10</v>
      </c>
      <c r="Y470" s="4"/>
      <c r="Z470" s="4"/>
      <c r="AA470" s="4"/>
      <c r="AB470" s="4"/>
      <c r="AC470" s="4">
        <v>1</v>
      </c>
      <c r="AD470" s="4"/>
      <c r="AE470" s="4"/>
    </row>
    <row r="471" spans="1:31" x14ac:dyDescent="0.2">
      <c r="A471" s="201"/>
      <c r="B471" s="4" t="s">
        <v>3170</v>
      </c>
      <c r="C471" s="4">
        <v>467</v>
      </c>
      <c r="D471" s="4" t="s">
        <v>1384</v>
      </c>
      <c r="E471" s="4" t="s">
        <v>1385</v>
      </c>
      <c r="F471" s="4" t="s">
        <v>1386</v>
      </c>
      <c r="G471" s="4" t="s">
        <v>1356</v>
      </c>
      <c r="H471" s="4" t="s">
        <v>41</v>
      </c>
      <c r="I471" s="4" t="s">
        <v>84</v>
      </c>
      <c r="J471" s="4">
        <v>30467</v>
      </c>
      <c r="K471" s="202" t="s">
        <v>1392</v>
      </c>
      <c r="L471" s="4">
        <v>30</v>
      </c>
      <c r="M471" s="4">
        <v>2</v>
      </c>
      <c r="N471" s="4" t="str">
        <f>_xlfn.CONCAT("DBX",((L471-1)*2),".2")</f>
        <v>DBX58.2</v>
      </c>
      <c r="O471" s="4" t="s">
        <v>781</v>
      </c>
      <c r="P471" s="4" t="s">
        <v>1398</v>
      </c>
      <c r="Q471" s="4" t="s">
        <v>12</v>
      </c>
      <c r="R471" s="4"/>
      <c r="S471" s="4">
        <v>3922</v>
      </c>
      <c r="T471" s="4" t="s">
        <v>2551</v>
      </c>
      <c r="U471" s="4" t="s">
        <v>2542</v>
      </c>
      <c r="V471" s="4" t="s">
        <v>3019</v>
      </c>
      <c r="W471" s="4" t="s">
        <v>127</v>
      </c>
      <c r="X471" s="4">
        <f t="shared" si="7"/>
        <v>11</v>
      </c>
      <c r="Y471" s="4"/>
      <c r="Z471" s="4"/>
      <c r="AA471" s="4"/>
      <c r="AB471" s="4"/>
      <c r="AC471" s="4">
        <v>1</v>
      </c>
      <c r="AD471" s="4"/>
      <c r="AE471" s="4"/>
    </row>
    <row r="472" spans="1:31" x14ac:dyDescent="0.2">
      <c r="A472" s="201"/>
      <c r="B472" s="4" t="s">
        <v>3170</v>
      </c>
      <c r="C472" s="4">
        <v>468</v>
      </c>
      <c r="D472" s="4" t="s">
        <v>1387</v>
      </c>
      <c r="E472" s="4" t="s">
        <v>1388</v>
      </c>
      <c r="F472" s="4" t="s">
        <v>1389</v>
      </c>
      <c r="G472" s="4" t="s">
        <v>1356</v>
      </c>
      <c r="H472" s="4" t="s">
        <v>41</v>
      </c>
      <c r="I472" s="4" t="s">
        <v>84</v>
      </c>
      <c r="J472" s="4">
        <v>30468</v>
      </c>
      <c r="K472" s="202" t="s">
        <v>11</v>
      </c>
      <c r="L472" s="4">
        <v>30</v>
      </c>
      <c r="M472" s="4">
        <v>3</v>
      </c>
      <c r="N472" s="4" t="str">
        <f>_xlfn.CONCAT("DBX",((L472-1)*2),".3")</f>
        <v>DBX58.3</v>
      </c>
      <c r="O472" s="4" t="s">
        <v>781</v>
      </c>
      <c r="P472" s="4" t="s">
        <v>11</v>
      </c>
      <c r="Q472" s="4" t="s">
        <v>12</v>
      </c>
      <c r="R472" s="4"/>
      <c r="S472" s="4">
        <v>3922</v>
      </c>
      <c r="T472" s="4" t="s">
        <v>2551</v>
      </c>
      <c r="U472" s="4"/>
      <c r="V472" s="4" t="s">
        <v>3019</v>
      </c>
      <c r="W472" s="4" t="s">
        <v>129</v>
      </c>
      <c r="X472" s="4">
        <f t="shared" si="7"/>
        <v>13</v>
      </c>
      <c r="Y472" s="4"/>
      <c r="Z472" s="4"/>
      <c r="AA472" s="4"/>
      <c r="AB472" s="4"/>
      <c r="AC472" s="4">
        <v>1</v>
      </c>
      <c r="AD472" s="4"/>
      <c r="AE472" s="4"/>
    </row>
    <row r="473" spans="1:31" x14ac:dyDescent="0.2">
      <c r="A473" s="201"/>
      <c r="B473" s="4" t="s">
        <v>250</v>
      </c>
      <c r="C473" s="4">
        <v>469</v>
      </c>
      <c r="D473" s="4" t="s">
        <v>2571</v>
      </c>
      <c r="E473" s="4" t="s">
        <v>2576</v>
      </c>
      <c r="F473" s="4" t="s">
        <v>2656</v>
      </c>
      <c r="G473" s="4" t="s">
        <v>329</v>
      </c>
      <c r="H473" s="4" t="s">
        <v>1179</v>
      </c>
      <c r="I473" s="4" t="s">
        <v>85</v>
      </c>
      <c r="J473" s="4">
        <v>30469</v>
      </c>
      <c r="K473" s="202" t="s">
        <v>2572</v>
      </c>
      <c r="L473" s="4">
        <v>30</v>
      </c>
      <c r="M473" s="4">
        <v>4</v>
      </c>
      <c r="N473" s="4" t="str">
        <f>_xlfn.CONCAT("DBX",((L473-1)*2),".4")</f>
        <v>DBX58.4</v>
      </c>
      <c r="O473" s="4" t="s">
        <v>781</v>
      </c>
      <c r="P473" s="4" t="s">
        <v>2573</v>
      </c>
      <c r="Q473" s="4" t="s">
        <v>12</v>
      </c>
      <c r="R473" s="4"/>
      <c r="S473" s="4">
        <v>3922</v>
      </c>
      <c r="T473" s="4" t="s">
        <v>2551</v>
      </c>
      <c r="U473" s="4" t="s">
        <v>1415</v>
      </c>
      <c r="V473" s="4"/>
      <c r="W473" s="4" t="s">
        <v>123</v>
      </c>
      <c r="X473" s="4">
        <f t="shared" si="7"/>
        <v>7</v>
      </c>
      <c r="Y473" s="4"/>
      <c r="Z473" s="4"/>
      <c r="AA473" s="4"/>
      <c r="AB473" s="4"/>
      <c r="AC473" s="4">
        <v>1</v>
      </c>
      <c r="AD473" s="4"/>
      <c r="AE473" s="4"/>
    </row>
    <row r="474" spans="1:31" x14ac:dyDescent="0.2">
      <c r="A474" s="201"/>
      <c r="B474" s="4" t="s">
        <v>250</v>
      </c>
      <c r="C474" s="4">
        <v>470</v>
      </c>
      <c r="D474" s="4" t="s">
        <v>2426</v>
      </c>
      <c r="E474" s="4" t="s">
        <v>2427</v>
      </c>
      <c r="F474" s="4" t="s">
        <v>2657</v>
      </c>
      <c r="G474" s="4" t="s">
        <v>329</v>
      </c>
      <c r="H474" s="4" t="s">
        <v>1179</v>
      </c>
      <c r="I474" s="4" t="s">
        <v>85</v>
      </c>
      <c r="J474" s="4">
        <v>30470</v>
      </c>
      <c r="K474" s="202" t="s">
        <v>1415</v>
      </c>
      <c r="L474" s="4">
        <v>30</v>
      </c>
      <c r="M474" s="4">
        <v>5</v>
      </c>
      <c r="N474" s="4" t="str">
        <f>_xlfn.CONCAT("DBX",((L474-1)*2),".5")</f>
        <v>DBX58.5</v>
      </c>
      <c r="O474" s="4" t="s">
        <v>781</v>
      </c>
      <c r="P474" s="4" t="s">
        <v>11</v>
      </c>
      <c r="Q474" s="4" t="s">
        <v>12</v>
      </c>
      <c r="R474" s="4"/>
      <c r="S474" s="4">
        <v>3922</v>
      </c>
      <c r="T474" s="4" t="s">
        <v>2551</v>
      </c>
      <c r="U474" s="4" t="s">
        <v>1415</v>
      </c>
      <c r="V474" s="4"/>
      <c r="W474" s="4" t="s">
        <v>123</v>
      </c>
      <c r="X474" s="4">
        <f t="shared" si="7"/>
        <v>7</v>
      </c>
      <c r="Y474" s="4"/>
      <c r="Z474" s="4"/>
      <c r="AA474" s="4"/>
      <c r="AB474" s="4"/>
      <c r="AC474" s="4">
        <v>1</v>
      </c>
      <c r="AD474" s="4"/>
      <c r="AE474" s="4"/>
    </row>
    <row r="475" spans="1:31" x14ac:dyDescent="0.2">
      <c r="A475" s="201"/>
      <c r="B475" s="4" t="s">
        <v>3208</v>
      </c>
      <c r="C475" s="4">
        <v>471</v>
      </c>
      <c r="D475" s="4" t="s">
        <v>3206</v>
      </c>
      <c r="E475" s="4" t="s">
        <v>3207</v>
      </c>
      <c r="F475" s="4" t="s">
        <v>3202</v>
      </c>
      <c r="G475" s="4" t="s">
        <v>329</v>
      </c>
      <c r="H475" s="4" t="s">
        <v>1179</v>
      </c>
      <c r="I475" s="4" t="s">
        <v>1791</v>
      </c>
      <c r="J475" s="4">
        <v>30471</v>
      </c>
      <c r="K475" s="202" t="s">
        <v>11</v>
      </c>
      <c r="L475" s="4">
        <v>30</v>
      </c>
      <c r="M475" s="4">
        <v>6</v>
      </c>
      <c r="N475" s="4" t="str">
        <f>_xlfn.CONCAT("DBX",((L475-1)*2),".6")</f>
        <v>DBX58.6</v>
      </c>
      <c r="O475" s="4" t="s">
        <v>781</v>
      </c>
      <c r="P475" s="4" t="s">
        <v>11</v>
      </c>
      <c r="Q475" s="4" t="s">
        <v>90</v>
      </c>
      <c r="R475" s="4"/>
      <c r="S475" s="4">
        <v>3922</v>
      </c>
      <c r="T475" s="4" t="s">
        <v>2551</v>
      </c>
      <c r="U475" s="4"/>
      <c r="V475" s="4"/>
      <c r="W475" s="4" t="s">
        <v>124</v>
      </c>
      <c r="X475" s="4">
        <f t="shared" si="7"/>
        <v>8</v>
      </c>
      <c r="Y475" s="4"/>
      <c r="Z475" s="4"/>
      <c r="AA475" s="4"/>
      <c r="AB475" s="4"/>
      <c r="AC475" s="4">
        <v>0</v>
      </c>
      <c r="AD475" s="4"/>
      <c r="AE475" s="4"/>
    </row>
    <row r="476" spans="1:31" s="244" customFormat="1" x14ac:dyDescent="0.2">
      <c r="A476" s="250"/>
      <c r="B476" s="266" t="s">
        <v>3349</v>
      </c>
      <c r="C476" s="242">
        <v>472</v>
      </c>
      <c r="D476" s="242" t="s">
        <v>1399</v>
      </c>
      <c r="E476" s="242" t="s">
        <v>1400</v>
      </c>
      <c r="F476" s="242" t="s">
        <v>2658</v>
      </c>
      <c r="G476" s="4" t="s">
        <v>1401</v>
      </c>
      <c r="H476" s="4" t="s">
        <v>1179</v>
      </c>
      <c r="I476" s="4" t="s">
        <v>40</v>
      </c>
      <c r="J476" s="4">
        <v>30472</v>
      </c>
      <c r="K476" s="202" t="s">
        <v>1414</v>
      </c>
      <c r="L476" s="4">
        <v>30</v>
      </c>
      <c r="M476" s="4">
        <v>7</v>
      </c>
      <c r="N476" s="4" t="str">
        <f>_xlfn.CONCAT("DBX",((L476-1)*2),".7")</f>
        <v>DBX58.7</v>
      </c>
      <c r="O476" s="4" t="s">
        <v>781</v>
      </c>
      <c r="P476" s="4" t="s">
        <v>11</v>
      </c>
      <c r="Q476" s="242" t="s">
        <v>88</v>
      </c>
      <c r="R476" s="242"/>
      <c r="S476" s="242">
        <v>3922</v>
      </c>
      <c r="T476" s="242" t="s">
        <v>2551</v>
      </c>
      <c r="U476" s="242"/>
      <c r="V476" s="242"/>
      <c r="W476" s="242" t="s">
        <v>129</v>
      </c>
      <c r="X476" s="242">
        <f t="shared" si="7"/>
        <v>13</v>
      </c>
      <c r="Y476" s="242" t="s">
        <v>1413</v>
      </c>
      <c r="Z476" s="242"/>
      <c r="AA476" s="242"/>
      <c r="AB476" s="242"/>
      <c r="AC476" s="266">
        <v>0</v>
      </c>
      <c r="AD476" s="242"/>
      <c r="AE476" s="242"/>
    </row>
    <row r="477" spans="1:31" s="244" customFormat="1" x14ac:dyDescent="0.2">
      <c r="A477" s="201"/>
      <c r="B477" s="4" t="s">
        <v>3309</v>
      </c>
      <c r="C477" s="4">
        <v>473</v>
      </c>
      <c r="D477" s="4" t="s">
        <v>3273</v>
      </c>
      <c r="E477" s="4" t="s">
        <v>3274</v>
      </c>
      <c r="F477" s="4" t="s">
        <v>3329</v>
      </c>
      <c r="G477" s="241" t="s">
        <v>1356</v>
      </c>
      <c r="H477" s="241" t="s">
        <v>41</v>
      </c>
      <c r="I477" s="241" t="s">
        <v>85</v>
      </c>
      <c r="J477" s="242">
        <v>30473</v>
      </c>
      <c r="K477" s="243" t="s">
        <v>1415</v>
      </c>
      <c r="L477" s="242">
        <v>30</v>
      </c>
      <c r="M477" s="242">
        <v>8</v>
      </c>
      <c r="N477" s="242" t="str">
        <f>_xlfn.CONCAT("DBX",((L477-1)*2)+1,".0")</f>
        <v>DBX59.0</v>
      </c>
      <c r="O477" s="242" t="s">
        <v>781</v>
      </c>
      <c r="P477" s="241" t="s">
        <v>11</v>
      </c>
      <c r="Q477" s="241" t="s">
        <v>93</v>
      </c>
      <c r="R477" s="242"/>
      <c r="S477" s="241">
        <v>3922</v>
      </c>
      <c r="T477" s="241" t="s">
        <v>2551</v>
      </c>
      <c r="U477" s="242"/>
      <c r="V477" s="241" t="s">
        <v>3069</v>
      </c>
      <c r="W477" s="241" t="s">
        <v>129</v>
      </c>
      <c r="X477" s="241">
        <f t="shared" si="7"/>
        <v>13</v>
      </c>
      <c r="Y477" s="242"/>
      <c r="Z477" s="242"/>
      <c r="AA477" s="242"/>
      <c r="AB477" s="242"/>
      <c r="AC477" s="4">
        <v>1</v>
      </c>
      <c r="AD477" s="242"/>
      <c r="AE477" s="242"/>
    </row>
    <row r="478" spans="1:31" x14ac:dyDescent="0.2">
      <c r="A478" s="201"/>
      <c r="B478" s="4" t="s">
        <v>3170</v>
      </c>
      <c r="C478" s="4">
        <v>474</v>
      </c>
      <c r="D478" s="4" t="s">
        <v>1402</v>
      </c>
      <c r="E478" s="4" t="s">
        <v>1403</v>
      </c>
      <c r="F478" s="4" t="s">
        <v>2659</v>
      </c>
      <c r="G478" s="4" t="s">
        <v>356</v>
      </c>
      <c r="H478" s="4" t="s">
        <v>1179</v>
      </c>
      <c r="I478" s="4" t="s">
        <v>40</v>
      </c>
      <c r="J478" s="4">
        <v>30474</v>
      </c>
      <c r="K478" s="202" t="s">
        <v>1414</v>
      </c>
      <c r="L478" s="4">
        <v>30</v>
      </c>
      <c r="M478" s="4">
        <v>9</v>
      </c>
      <c r="N478" s="4" t="str">
        <f>_xlfn.CONCAT("DBX",((L478-1)*2)+1,".1")</f>
        <v>DBX59.1</v>
      </c>
      <c r="O478" s="4" t="s">
        <v>781</v>
      </c>
      <c r="P478" s="4" t="s">
        <v>2428</v>
      </c>
      <c r="Q478" s="4" t="s">
        <v>12</v>
      </c>
      <c r="R478" s="4"/>
      <c r="S478" s="4">
        <v>3922</v>
      </c>
      <c r="T478" s="4" t="s">
        <v>2551</v>
      </c>
      <c r="U478" s="4"/>
      <c r="V478" s="4" t="s">
        <v>3069</v>
      </c>
      <c r="W478" s="4" t="s">
        <v>122</v>
      </c>
      <c r="X478" s="4">
        <f t="shared" si="7"/>
        <v>6</v>
      </c>
      <c r="Y478" s="4"/>
      <c r="Z478" s="4"/>
      <c r="AA478" s="4"/>
      <c r="AB478" s="4"/>
      <c r="AC478" s="4">
        <v>1</v>
      </c>
      <c r="AD478" s="4"/>
      <c r="AE478" s="4"/>
    </row>
    <row r="479" spans="1:31" x14ac:dyDescent="0.2">
      <c r="A479" s="201"/>
      <c r="B479" s="4" t="s">
        <v>3170</v>
      </c>
      <c r="C479" s="4">
        <v>475</v>
      </c>
      <c r="D479" s="4" t="s">
        <v>1404</v>
      </c>
      <c r="E479" s="4" t="s">
        <v>1405</v>
      </c>
      <c r="F479" s="4" t="s">
        <v>2660</v>
      </c>
      <c r="G479" s="4" t="s">
        <v>1401</v>
      </c>
      <c r="H479" s="4" t="s">
        <v>1179</v>
      </c>
      <c r="I479" s="4" t="s">
        <v>40</v>
      </c>
      <c r="J479" s="4">
        <v>30475</v>
      </c>
      <c r="K479" s="202" t="s">
        <v>1414</v>
      </c>
      <c r="L479" s="4">
        <v>30</v>
      </c>
      <c r="M479" s="4">
        <v>10</v>
      </c>
      <c r="N479" s="4" t="str">
        <f>_xlfn.CONCAT("DBX",((L479-1)*2)+1,".2")</f>
        <v>DBX59.2</v>
      </c>
      <c r="O479" s="4" t="s">
        <v>781</v>
      </c>
      <c r="P479" s="4" t="s">
        <v>2428</v>
      </c>
      <c r="Q479" s="4" t="s">
        <v>12</v>
      </c>
      <c r="R479" s="4"/>
      <c r="S479" s="4">
        <v>3922</v>
      </c>
      <c r="T479" s="4" t="s">
        <v>2551</v>
      </c>
      <c r="U479" s="4"/>
      <c r="V479" s="4" t="s">
        <v>3069</v>
      </c>
      <c r="W479" s="4" t="s">
        <v>122</v>
      </c>
      <c r="X479" s="4">
        <f t="shared" si="7"/>
        <v>6</v>
      </c>
      <c r="Y479" s="4"/>
      <c r="Z479" s="4"/>
      <c r="AA479" s="4"/>
      <c r="AB479" s="4"/>
      <c r="AC479" s="4">
        <v>1</v>
      </c>
      <c r="AD479" s="4"/>
      <c r="AE479" s="4"/>
    </row>
    <row r="480" spans="1:31" x14ac:dyDescent="0.2">
      <c r="A480" s="201"/>
      <c r="B480" s="4" t="s">
        <v>3170</v>
      </c>
      <c r="C480" s="4">
        <v>476</v>
      </c>
      <c r="D480" s="4" t="s">
        <v>1406</v>
      </c>
      <c r="E480" s="4" t="s">
        <v>1407</v>
      </c>
      <c r="F480" s="4" t="s">
        <v>2661</v>
      </c>
      <c r="G480" s="4" t="s">
        <v>329</v>
      </c>
      <c r="H480" s="4" t="s">
        <v>1179</v>
      </c>
      <c r="I480" s="4" t="s">
        <v>85</v>
      </c>
      <c r="J480" s="4">
        <v>30476</v>
      </c>
      <c r="K480" s="202" t="s">
        <v>1414</v>
      </c>
      <c r="L480" s="4">
        <v>30</v>
      </c>
      <c r="M480" s="4">
        <v>11</v>
      </c>
      <c r="N480" s="4" t="str">
        <f>_xlfn.CONCAT("DBX",((L480-1)*2)+1,".3")</f>
        <v>DBX59.3</v>
      </c>
      <c r="O480" s="4" t="s">
        <v>781</v>
      </c>
      <c r="P480" s="4" t="s">
        <v>2428</v>
      </c>
      <c r="Q480" s="4" t="s">
        <v>12</v>
      </c>
      <c r="R480" s="4"/>
      <c r="S480" s="4">
        <v>3922</v>
      </c>
      <c r="T480" s="4" t="s">
        <v>2551</v>
      </c>
      <c r="U480" s="4"/>
      <c r="V480" s="4" t="s">
        <v>3069</v>
      </c>
      <c r="W480" s="4" t="s">
        <v>129</v>
      </c>
      <c r="X480" s="4">
        <f t="shared" si="7"/>
        <v>13</v>
      </c>
      <c r="Y480" s="4"/>
      <c r="Z480" s="4"/>
      <c r="AA480" s="4"/>
      <c r="AB480" s="4"/>
      <c r="AC480" s="4">
        <v>1</v>
      </c>
      <c r="AD480" s="4"/>
      <c r="AE480" s="4"/>
    </row>
    <row r="481" spans="1:31" x14ac:dyDescent="0.2">
      <c r="A481" s="201"/>
      <c r="B481" s="4" t="s">
        <v>3170</v>
      </c>
      <c r="C481" s="4">
        <v>477</v>
      </c>
      <c r="D481" s="4" t="s">
        <v>1408</v>
      </c>
      <c r="E481" s="4" t="s">
        <v>1409</v>
      </c>
      <c r="F481" s="4" t="s">
        <v>2663</v>
      </c>
      <c r="G481" s="4" t="s">
        <v>1410</v>
      </c>
      <c r="H481" s="4" t="s">
        <v>1179</v>
      </c>
      <c r="I481" s="4" t="s">
        <v>85</v>
      </c>
      <c r="J481" s="4">
        <v>30477</v>
      </c>
      <c r="K481" s="202" t="s">
        <v>1415</v>
      </c>
      <c r="L481" s="4">
        <v>30</v>
      </c>
      <c r="M481" s="4">
        <v>12</v>
      </c>
      <c r="N481" s="4" t="str">
        <f>_xlfn.CONCAT("DBX",((L481-1)*2)+1,".4")</f>
        <v>DBX59.4</v>
      </c>
      <c r="O481" s="4" t="s">
        <v>781</v>
      </c>
      <c r="P481" s="4" t="s">
        <v>1416</v>
      </c>
      <c r="Q481" s="4" t="s">
        <v>12</v>
      </c>
      <c r="R481" s="4"/>
      <c r="S481" s="4">
        <v>3922</v>
      </c>
      <c r="T481" s="4" t="s">
        <v>2551</v>
      </c>
      <c r="U481" s="4" t="s">
        <v>1415</v>
      </c>
      <c r="V481" s="4" t="s">
        <v>3069</v>
      </c>
      <c r="W481" s="4" t="s">
        <v>129</v>
      </c>
      <c r="X481" s="4">
        <f t="shared" si="7"/>
        <v>13</v>
      </c>
      <c r="Y481" s="4"/>
      <c r="Z481" s="4"/>
      <c r="AA481" s="4"/>
      <c r="AB481" s="4"/>
      <c r="AC481" s="4">
        <v>1</v>
      </c>
      <c r="AD481" s="4"/>
      <c r="AE481" s="4"/>
    </row>
    <row r="482" spans="1:31" x14ac:dyDescent="0.2">
      <c r="A482" s="201"/>
      <c r="B482" s="4" t="s">
        <v>3170</v>
      </c>
      <c r="C482" s="4">
        <v>478</v>
      </c>
      <c r="D482" s="4" t="s">
        <v>1411</v>
      </c>
      <c r="E482" s="4" t="s">
        <v>1412</v>
      </c>
      <c r="F482" s="4" t="s">
        <v>2662</v>
      </c>
      <c r="G482" s="4" t="s">
        <v>1410</v>
      </c>
      <c r="H482" s="4" t="s">
        <v>1179</v>
      </c>
      <c r="I482" s="4" t="s">
        <v>85</v>
      </c>
      <c r="J482" s="4">
        <v>30478</v>
      </c>
      <c r="K482" s="202" t="s">
        <v>2572</v>
      </c>
      <c r="L482" s="4">
        <v>30</v>
      </c>
      <c r="M482" s="4">
        <v>13</v>
      </c>
      <c r="N482" s="4" t="str">
        <f>_xlfn.CONCAT("DBX",((L482-1)*2)+1,".5")</f>
        <v>DBX59.5</v>
      </c>
      <c r="O482" s="4" t="s">
        <v>781</v>
      </c>
      <c r="P482" s="4" t="s">
        <v>2573</v>
      </c>
      <c r="Q482" s="4" t="s">
        <v>93</v>
      </c>
      <c r="R482" s="4"/>
      <c r="S482" s="4">
        <v>3922</v>
      </c>
      <c r="T482" s="4" t="s">
        <v>2551</v>
      </c>
      <c r="U482" s="4" t="s">
        <v>1415</v>
      </c>
      <c r="V482" s="4" t="s">
        <v>3069</v>
      </c>
      <c r="W482" s="4" t="s">
        <v>129</v>
      </c>
      <c r="X482" s="4">
        <f t="shared" si="7"/>
        <v>13</v>
      </c>
      <c r="Y482" s="4"/>
      <c r="Z482" s="4"/>
      <c r="AA482" s="4"/>
      <c r="AB482" s="4"/>
      <c r="AC482" s="4">
        <v>1</v>
      </c>
      <c r="AD482" s="4"/>
      <c r="AE482" s="4"/>
    </row>
    <row r="483" spans="1:31" ht="22.5" x14ac:dyDescent="0.2">
      <c r="A483" s="201"/>
      <c r="B483" s="4" t="s">
        <v>3208</v>
      </c>
      <c r="C483" s="4">
        <v>479</v>
      </c>
      <c r="D483" s="4" t="s">
        <v>3216</v>
      </c>
      <c r="E483" s="208" t="s">
        <v>3215</v>
      </c>
      <c r="F483" s="4" t="s">
        <v>3224</v>
      </c>
      <c r="G483" s="4" t="s">
        <v>329</v>
      </c>
      <c r="H483" s="4" t="s">
        <v>1179</v>
      </c>
      <c r="I483" s="4" t="s">
        <v>85</v>
      </c>
      <c r="J483" s="4">
        <v>30479</v>
      </c>
      <c r="K483" s="202" t="s">
        <v>1414</v>
      </c>
      <c r="L483" s="4">
        <v>30</v>
      </c>
      <c r="M483" s="4">
        <v>14</v>
      </c>
      <c r="N483" s="4" t="str">
        <f>_xlfn.CONCAT("DBX",((L483-1)*2)+1,".6")</f>
        <v>DBX59.6</v>
      </c>
      <c r="O483" s="4" t="s">
        <v>781</v>
      </c>
      <c r="P483" s="4" t="s">
        <v>2428</v>
      </c>
      <c r="Q483" s="4" t="s">
        <v>88</v>
      </c>
      <c r="R483" s="4"/>
      <c r="S483" s="4">
        <v>3922</v>
      </c>
      <c r="T483" s="4" t="s">
        <v>2551</v>
      </c>
      <c r="U483" s="4"/>
      <c r="V483" s="4" t="s">
        <v>3069</v>
      </c>
      <c r="W483" s="4" t="s">
        <v>122</v>
      </c>
      <c r="X483" s="4">
        <f t="shared" si="7"/>
        <v>6</v>
      </c>
      <c r="Y483" s="4" t="s">
        <v>2538</v>
      </c>
      <c r="Z483" s="4"/>
      <c r="AA483" s="4"/>
      <c r="AB483" s="4"/>
      <c r="AC483" s="4">
        <v>1</v>
      </c>
      <c r="AD483" s="4"/>
      <c r="AE483" s="4"/>
    </row>
    <row r="484" spans="1:31" x14ac:dyDescent="0.2">
      <c r="A484" s="201"/>
      <c r="B484" s="4" t="s">
        <v>33</v>
      </c>
      <c r="C484" s="4">
        <v>480</v>
      </c>
      <c r="D484" s="4" t="s">
        <v>2429</v>
      </c>
      <c r="E484" s="4" t="s">
        <v>2430</v>
      </c>
      <c r="F484" s="4" t="s">
        <v>2520</v>
      </c>
      <c r="G484" s="4" t="s">
        <v>329</v>
      </c>
      <c r="H484" s="4" t="s">
        <v>1179</v>
      </c>
      <c r="I484" s="4" t="s">
        <v>85</v>
      </c>
      <c r="J484" s="4">
        <v>30480</v>
      </c>
      <c r="K484" s="202" t="s">
        <v>11</v>
      </c>
      <c r="L484" s="4">
        <v>30</v>
      </c>
      <c r="M484" s="4">
        <v>15</v>
      </c>
      <c r="N484" s="4" t="str">
        <f>_xlfn.CONCAT("DBX",((L484-1)*2)+1,".7")</f>
        <v>DBX59.7</v>
      </c>
      <c r="O484" s="4" t="s">
        <v>781</v>
      </c>
      <c r="P484" s="4" t="s">
        <v>11</v>
      </c>
      <c r="Q484" s="4" t="s">
        <v>93</v>
      </c>
      <c r="R484" s="4"/>
      <c r="S484" s="4">
        <v>3922</v>
      </c>
      <c r="T484" s="4" t="s">
        <v>2551</v>
      </c>
      <c r="U484" s="4"/>
      <c r="V484" s="4"/>
      <c r="W484" s="4" t="s">
        <v>122</v>
      </c>
      <c r="X484" s="4">
        <f t="shared" si="7"/>
        <v>6</v>
      </c>
      <c r="Y484" s="4"/>
      <c r="Z484" s="4"/>
      <c r="AA484" s="4"/>
      <c r="AB484" s="4"/>
      <c r="AC484" s="4">
        <v>1</v>
      </c>
      <c r="AD484" s="4"/>
      <c r="AE484" s="4"/>
    </row>
    <row r="485" spans="1:31" x14ac:dyDescent="0.2">
      <c r="A485" s="201"/>
      <c r="B485" s="4" t="s">
        <v>33</v>
      </c>
      <c r="C485" s="4">
        <v>481</v>
      </c>
      <c r="D485" s="4" t="s">
        <v>2431</v>
      </c>
      <c r="E485" s="4" t="s">
        <v>2432</v>
      </c>
      <c r="F485" s="4" t="s">
        <v>2521</v>
      </c>
      <c r="G485" s="4" t="s">
        <v>329</v>
      </c>
      <c r="H485" s="4" t="s">
        <v>1179</v>
      </c>
      <c r="I485" s="4" t="s">
        <v>85</v>
      </c>
      <c r="J485" s="4">
        <v>30481</v>
      </c>
      <c r="K485" s="202" t="s">
        <v>1429</v>
      </c>
      <c r="L485" s="4">
        <v>31</v>
      </c>
      <c r="M485" s="4">
        <v>0</v>
      </c>
      <c r="N485" s="4" t="str">
        <f>_xlfn.CONCAT("DBX",((L485-1)*2),".0")</f>
        <v>DBX60.0</v>
      </c>
      <c r="O485" s="4" t="s">
        <v>781</v>
      </c>
      <c r="P485" s="4" t="s">
        <v>1435</v>
      </c>
      <c r="Q485" s="4" t="s">
        <v>93</v>
      </c>
      <c r="R485" s="4"/>
      <c r="S485" s="4">
        <v>3922</v>
      </c>
      <c r="T485" s="4" t="s">
        <v>2551</v>
      </c>
      <c r="U485" s="4"/>
      <c r="V485" s="4"/>
      <c r="W485" s="4" t="s">
        <v>127</v>
      </c>
      <c r="X485" s="4">
        <f t="shared" si="7"/>
        <v>11</v>
      </c>
      <c r="Y485" s="4"/>
      <c r="Z485" s="4"/>
      <c r="AA485" s="4"/>
      <c r="AB485" s="4"/>
      <c r="AC485" s="4">
        <v>1</v>
      </c>
      <c r="AD485" s="4"/>
      <c r="AE485" s="4"/>
    </row>
    <row r="486" spans="1:31" x14ac:dyDescent="0.2">
      <c r="A486" s="201"/>
      <c r="B486" s="4" t="s">
        <v>3170</v>
      </c>
      <c r="C486" s="4">
        <v>482</v>
      </c>
      <c r="D486" s="4" t="s">
        <v>1417</v>
      </c>
      <c r="E486" s="4" t="s">
        <v>1418</v>
      </c>
      <c r="F486" s="4" t="s">
        <v>1419</v>
      </c>
      <c r="G486" s="4" t="s">
        <v>329</v>
      </c>
      <c r="H486" s="4" t="s">
        <v>41</v>
      </c>
      <c r="I486" s="4" t="s">
        <v>84</v>
      </c>
      <c r="J486" s="4">
        <v>30482</v>
      </c>
      <c r="K486" s="202" t="s">
        <v>1429</v>
      </c>
      <c r="L486" s="4">
        <v>31</v>
      </c>
      <c r="M486" s="4">
        <v>1</v>
      </c>
      <c r="N486" s="4" t="str">
        <f>_xlfn.CONCAT("DBX",((L486-1)*2),".1")</f>
        <v>DBX60.1</v>
      </c>
      <c r="O486" s="4" t="s">
        <v>781</v>
      </c>
      <c r="P486" s="4" t="s">
        <v>1430</v>
      </c>
      <c r="Q486" s="4" t="s">
        <v>12</v>
      </c>
      <c r="R486" s="4"/>
      <c r="S486" s="4">
        <v>3922</v>
      </c>
      <c r="T486" s="4" t="s">
        <v>2551</v>
      </c>
      <c r="U486" s="4" t="s">
        <v>1429</v>
      </c>
      <c r="V486" s="4" t="s">
        <v>3064</v>
      </c>
      <c r="W486" s="4" t="s">
        <v>129</v>
      </c>
      <c r="X486" s="4">
        <f t="shared" si="7"/>
        <v>13</v>
      </c>
      <c r="Y486" s="4"/>
      <c r="Z486" s="4"/>
      <c r="AA486" s="4"/>
      <c r="AB486" s="4"/>
      <c r="AC486" s="4">
        <v>1</v>
      </c>
      <c r="AD486" s="4"/>
      <c r="AE486" s="4"/>
    </row>
    <row r="487" spans="1:31" x14ac:dyDescent="0.2">
      <c r="A487" s="201"/>
      <c r="B487" s="4" t="s">
        <v>3170</v>
      </c>
      <c r="C487" s="4">
        <v>483</v>
      </c>
      <c r="D487" s="4" t="s">
        <v>1420</v>
      </c>
      <c r="E487" s="4" t="s">
        <v>1421</v>
      </c>
      <c r="F487" s="4" t="s">
        <v>1422</v>
      </c>
      <c r="G487" s="4" t="s">
        <v>1356</v>
      </c>
      <c r="H487" s="4" t="s">
        <v>41</v>
      </c>
      <c r="I487" s="4" t="s">
        <v>84</v>
      </c>
      <c r="J487" s="4">
        <v>30483</v>
      </c>
      <c r="K487" s="202" t="s">
        <v>1436</v>
      </c>
      <c r="L487" s="4">
        <v>31</v>
      </c>
      <c r="M487" s="4">
        <v>2</v>
      </c>
      <c r="N487" s="4" t="str">
        <f>_xlfn.CONCAT("DBX",((L487-1)*2),".2")</f>
        <v>DBX60.2</v>
      </c>
      <c r="O487" s="4" t="s">
        <v>781</v>
      </c>
      <c r="P487" s="4" t="s">
        <v>1437</v>
      </c>
      <c r="Q487" s="4" t="s">
        <v>12</v>
      </c>
      <c r="R487" s="4"/>
      <c r="S487" s="4">
        <v>3922</v>
      </c>
      <c r="T487" s="4" t="s">
        <v>2551</v>
      </c>
      <c r="U487" s="4" t="s">
        <v>1429</v>
      </c>
      <c r="V487" s="4" t="s">
        <v>3064</v>
      </c>
      <c r="W487" s="4" t="s">
        <v>127</v>
      </c>
      <c r="X487" s="4">
        <f t="shared" si="7"/>
        <v>11</v>
      </c>
      <c r="Y487" s="4"/>
      <c r="Z487" s="4"/>
      <c r="AA487" s="4"/>
      <c r="AB487" s="4"/>
      <c r="AC487" s="4">
        <v>1</v>
      </c>
      <c r="AD487" s="4"/>
      <c r="AE487" s="4"/>
    </row>
    <row r="488" spans="1:31" x14ac:dyDescent="0.2">
      <c r="A488" s="201"/>
      <c r="B488" s="4" t="s">
        <v>3170</v>
      </c>
      <c r="C488" s="4">
        <v>484</v>
      </c>
      <c r="D488" s="4" t="s">
        <v>1423</v>
      </c>
      <c r="E488" s="4" t="s">
        <v>1424</v>
      </c>
      <c r="F488" s="4" t="s">
        <v>1425</v>
      </c>
      <c r="G488" s="4" t="s">
        <v>1356</v>
      </c>
      <c r="H488" s="4" t="s">
        <v>41</v>
      </c>
      <c r="I488" s="4" t="s">
        <v>84</v>
      </c>
      <c r="J488" s="4">
        <v>30484</v>
      </c>
      <c r="K488" s="202" t="s">
        <v>1434</v>
      </c>
      <c r="L488" s="4">
        <v>31</v>
      </c>
      <c r="M488" s="4">
        <v>3</v>
      </c>
      <c r="N488" s="4" t="str">
        <f>_xlfn.CONCAT("DBX",((L488-1)*2),".3")</f>
        <v>DBX60.3</v>
      </c>
      <c r="O488" s="4" t="s">
        <v>781</v>
      </c>
      <c r="P488" s="4" t="s">
        <v>1435</v>
      </c>
      <c r="Q488" s="4" t="s">
        <v>12</v>
      </c>
      <c r="R488" s="4"/>
      <c r="S488" s="4">
        <v>3922</v>
      </c>
      <c r="T488" s="4" t="s">
        <v>2551</v>
      </c>
      <c r="U488" s="4" t="s">
        <v>1429</v>
      </c>
      <c r="V488" s="4" t="s">
        <v>3064</v>
      </c>
      <c r="W488" s="4" t="s">
        <v>127</v>
      </c>
      <c r="X488" s="4">
        <f t="shared" si="7"/>
        <v>11</v>
      </c>
      <c r="Y488" s="4"/>
      <c r="Z488" s="4"/>
      <c r="AA488" s="4"/>
      <c r="AB488" s="4"/>
      <c r="AC488" s="4">
        <v>1</v>
      </c>
      <c r="AD488" s="4"/>
      <c r="AE488" s="4"/>
    </row>
    <row r="489" spans="1:31" x14ac:dyDescent="0.2">
      <c r="A489" s="201"/>
      <c r="B489" s="4" t="s">
        <v>3170</v>
      </c>
      <c r="C489" s="4">
        <v>485</v>
      </c>
      <c r="D489" s="4" t="s">
        <v>1426</v>
      </c>
      <c r="E489" s="4" t="s">
        <v>1427</v>
      </c>
      <c r="F489" s="4" t="s">
        <v>1428</v>
      </c>
      <c r="G489" s="4" t="s">
        <v>40</v>
      </c>
      <c r="H489" s="4" t="s">
        <v>41</v>
      </c>
      <c r="I489" s="4" t="s">
        <v>40</v>
      </c>
      <c r="J489" s="4">
        <v>30485</v>
      </c>
      <c r="K489" s="202" t="s">
        <v>11</v>
      </c>
      <c r="L489" s="4">
        <v>31</v>
      </c>
      <c r="M489" s="4">
        <v>4</v>
      </c>
      <c r="N489" s="4" t="str">
        <f>_xlfn.CONCAT("DBX",((L489-1)*2),".4")</f>
        <v>DBX60.4</v>
      </c>
      <c r="O489" s="4" t="s">
        <v>781</v>
      </c>
      <c r="P489" s="4" t="s">
        <v>11</v>
      </c>
      <c r="Q489" s="4" t="s">
        <v>90</v>
      </c>
      <c r="R489" s="4"/>
      <c r="S489" s="4">
        <v>3922</v>
      </c>
      <c r="T489" s="4" t="s">
        <v>2551</v>
      </c>
      <c r="U489" s="4"/>
      <c r="V489" s="4" t="s">
        <v>3064</v>
      </c>
      <c r="W489" s="4" t="s">
        <v>129</v>
      </c>
      <c r="X489" s="4">
        <f t="shared" si="7"/>
        <v>13</v>
      </c>
      <c r="Y489" s="4"/>
      <c r="Z489" s="4"/>
      <c r="AA489" s="4"/>
      <c r="AB489" s="4"/>
      <c r="AC489" s="4">
        <v>0</v>
      </c>
      <c r="AD489" s="4"/>
      <c r="AE489" s="4"/>
    </row>
    <row r="490" spans="1:31" x14ac:dyDescent="0.2">
      <c r="A490" s="201"/>
      <c r="B490" s="4" t="s">
        <v>3170</v>
      </c>
      <c r="C490" s="4">
        <v>486</v>
      </c>
      <c r="D490" s="4" t="s">
        <v>1431</v>
      </c>
      <c r="E490" s="4" t="s">
        <v>1432</v>
      </c>
      <c r="F490" s="4" t="s">
        <v>1433</v>
      </c>
      <c r="G490" s="4" t="s">
        <v>1356</v>
      </c>
      <c r="H490" s="4" t="s">
        <v>41</v>
      </c>
      <c r="I490" s="4" t="s">
        <v>84</v>
      </c>
      <c r="J490" s="4">
        <v>30486</v>
      </c>
      <c r="K490" s="202" t="s">
        <v>1438</v>
      </c>
      <c r="L490" s="4">
        <v>31</v>
      </c>
      <c r="M490" s="4">
        <v>5</v>
      </c>
      <c r="N490" s="4" t="str">
        <f>_xlfn.CONCAT("DBX",((L490-1)*2),".5")</f>
        <v>DBX60.5</v>
      </c>
      <c r="O490" s="4" t="s">
        <v>781</v>
      </c>
      <c r="P490" s="4" t="s">
        <v>1439</v>
      </c>
      <c r="Q490" s="4" t="s">
        <v>12</v>
      </c>
      <c r="R490" s="4"/>
      <c r="S490" s="4">
        <v>3922</v>
      </c>
      <c r="T490" s="4" t="s">
        <v>2551</v>
      </c>
      <c r="U490" s="4"/>
      <c r="V490" s="4" t="s">
        <v>3043</v>
      </c>
      <c r="W490" s="4" t="s">
        <v>127</v>
      </c>
      <c r="X490" s="4">
        <f t="shared" si="7"/>
        <v>11</v>
      </c>
      <c r="Y490" s="4"/>
      <c r="Z490" s="4"/>
      <c r="AA490" s="4"/>
      <c r="AB490" s="4"/>
      <c r="AC490" s="4">
        <v>1</v>
      </c>
      <c r="AD490" s="4"/>
      <c r="AE490" s="4"/>
    </row>
    <row r="491" spans="1:31" x14ac:dyDescent="0.2">
      <c r="A491" s="201"/>
      <c r="B491" s="4" t="s">
        <v>88</v>
      </c>
      <c r="C491" s="4">
        <v>487</v>
      </c>
      <c r="D491" s="4" t="s">
        <v>2574</v>
      </c>
      <c r="E491" s="4" t="s">
        <v>2575</v>
      </c>
      <c r="F491" s="4" t="s">
        <v>2598</v>
      </c>
      <c r="G491" s="4" t="s">
        <v>1356</v>
      </c>
      <c r="H491" s="4" t="s">
        <v>41</v>
      </c>
      <c r="I491" s="4" t="s">
        <v>84</v>
      </c>
      <c r="J491" s="4">
        <v>30487</v>
      </c>
      <c r="K491" s="202" t="s">
        <v>11</v>
      </c>
      <c r="L491" s="4">
        <v>31</v>
      </c>
      <c r="M491" s="4">
        <v>6</v>
      </c>
      <c r="N491" s="4" t="str">
        <f>_xlfn.CONCAT("DBX",((L491-1)*2),".6")</f>
        <v>DBX60.6</v>
      </c>
      <c r="O491" s="4" t="s">
        <v>781</v>
      </c>
      <c r="P491" s="4" t="s">
        <v>11</v>
      </c>
      <c r="Q491" s="4" t="s">
        <v>12</v>
      </c>
      <c r="R491" s="4"/>
      <c r="S491" s="4">
        <v>3922</v>
      </c>
      <c r="T491" s="4" t="s">
        <v>2551</v>
      </c>
      <c r="U491" s="4"/>
      <c r="V491" s="4"/>
      <c r="W491" s="4" t="s">
        <v>129</v>
      </c>
      <c r="X491" s="4">
        <f t="shared" si="7"/>
        <v>13</v>
      </c>
      <c r="Y491" s="4"/>
      <c r="Z491" s="4"/>
      <c r="AA491" s="4"/>
      <c r="AB491" s="4"/>
      <c r="AC491" s="4">
        <v>1</v>
      </c>
      <c r="AD491" s="4"/>
      <c r="AE491" s="4"/>
    </row>
    <row r="492" spans="1:31" x14ac:dyDescent="0.2">
      <c r="A492" s="201"/>
      <c r="B492" s="4" t="s">
        <v>88</v>
      </c>
      <c r="C492" s="4">
        <v>488</v>
      </c>
      <c r="D492" s="4" t="s">
        <v>2592</v>
      </c>
      <c r="E492" s="4" t="s">
        <v>2591</v>
      </c>
      <c r="F492" s="4" t="s">
        <v>2599</v>
      </c>
      <c r="G492" s="4" t="s">
        <v>40</v>
      </c>
      <c r="H492" s="4" t="s">
        <v>41</v>
      </c>
      <c r="I492" s="4" t="s">
        <v>40</v>
      </c>
      <c r="J492" s="4">
        <v>30488</v>
      </c>
      <c r="K492" s="202" t="s">
        <v>11</v>
      </c>
      <c r="L492" s="4">
        <v>31</v>
      </c>
      <c r="M492" s="4">
        <v>7</v>
      </c>
      <c r="N492" s="4" t="str">
        <f>_xlfn.CONCAT("DBX",((L492-1)*2),".7")</f>
        <v>DBX60.7</v>
      </c>
      <c r="O492" s="4" t="s">
        <v>781</v>
      </c>
      <c r="P492" s="4" t="s">
        <v>11</v>
      </c>
      <c r="Q492" s="4" t="s">
        <v>90</v>
      </c>
      <c r="R492" s="4"/>
      <c r="S492" s="4">
        <v>3922</v>
      </c>
      <c r="T492" s="4" t="s">
        <v>2551</v>
      </c>
      <c r="U492" s="4"/>
      <c r="V492" s="4"/>
      <c r="W492" s="4" t="s">
        <v>129</v>
      </c>
      <c r="X492" s="4">
        <f t="shared" si="7"/>
        <v>13</v>
      </c>
      <c r="Y492" s="4"/>
      <c r="Z492" s="4"/>
      <c r="AA492" s="4"/>
      <c r="AB492" s="4"/>
      <c r="AC492" s="4">
        <v>0</v>
      </c>
      <c r="AD492" s="4"/>
      <c r="AE492" s="4"/>
    </row>
    <row r="493" spans="1:31" x14ac:dyDescent="0.2">
      <c r="A493" s="201"/>
      <c r="B493" s="4" t="s">
        <v>3170</v>
      </c>
      <c r="C493" s="4">
        <v>489</v>
      </c>
      <c r="D493" s="4" t="s">
        <v>1440</v>
      </c>
      <c r="E493" s="4" t="s">
        <v>1441</v>
      </c>
      <c r="F493" s="4" t="s">
        <v>1442</v>
      </c>
      <c r="G493" s="4" t="s">
        <v>329</v>
      </c>
      <c r="H493" s="4" t="s">
        <v>41</v>
      </c>
      <c r="I493" s="4" t="s">
        <v>84</v>
      </c>
      <c r="J493" s="4">
        <v>30489</v>
      </c>
      <c r="K493" s="202" t="s">
        <v>1512</v>
      </c>
      <c r="L493" s="4">
        <v>31</v>
      </c>
      <c r="M493" s="4">
        <v>8</v>
      </c>
      <c r="N493" s="4" t="str">
        <f>_xlfn.CONCAT("DBX",((L493-1)*2)+1,".0")</f>
        <v>DBX61.0</v>
      </c>
      <c r="O493" s="4" t="s">
        <v>781</v>
      </c>
      <c r="P493" s="4" t="s">
        <v>1524</v>
      </c>
      <c r="Q493" s="4" t="s">
        <v>12</v>
      </c>
      <c r="R493" s="4"/>
      <c r="S493" s="4">
        <v>3922</v>
      </c>
      <c r="T493" s="4" t="s">
        <v>2551</v>
      </c>
      <c r="U493" s="4"/>
      <c r="V493" s="4" t="s">
        <v>2996</v>
      </c>
      <c r="W493" s="4" t="s">
        <v>129</v>
      </c>
      <c r="X493" s="4">
        <f t="shared" si="7"/>
        <v>13</v>
      </c>
      <c r="Y493" s="4"/>
      <c r="Z493" s="4"/>
      <c r="AA493" s="4"/>
      <c r="AB493" s="4"/>
      <c r="AC493" s="4">
        <v>1</v>
      </c>
      <c r="AD493" s="4"/>
      <c r="AE493" s="4"/>
    </row>
    <row r="494" spans="1:31" x14ac:dyDescent="0.2">
      <c r="A494" s="201"/>
      <c r="B494" s="4" t="s">
        <v>3170</v>
      </c>
      <c r="C494" s="4">
        <v>490</v>
      </c>
      <c r="D494" s="4" t="s">
        <v>1443</v>
      </c>
      <c r="E494" s="4" t="s">
        <v>1444</v>
      </c>
      <c r="F494" s="4" t="s">
        <v>1445</v>
      </c>
      <c r="G494" s="4" t="s">
        <v>329</v>
      </c>
      <c r="H494" s="4" t="s">
        <v>41</v>
      </c>
      <c r="I494" s="4" t="s">
        <v>84</v>
      </c>
      <c r="J494" s="4">
        <v>30490</v>
      </c>
      <c r="K494" s="202" t="s">
        <v>1513</v>
      </c>
      <c r="L494" s="4">
        <v>31</v>
      </c>
      <c r="M494" s="4">
        <v>9</v>
      </c>
      <c r="N494" s="4" t="str">
        <f>_xlfn.CONCAT("DBX",((L494-1)*2)+1,".1")</f>
        <v>DBX61.1</v>
      </c>
      <c r="O494" s="4" t="s">
        <v>781</v>
      </c>
      <c r="P494" s="4" t="s">
        <v>1525</v>
      </c>
      <c r="Q494" s="4" t="s">
        <v>12</v>
      </c>
      <c r="R494" s="4"/>
      <c r="S494" s="4">
        <v>3922</v>
      </c>
      <c r="T494" s="4" t="s">
        <v>2551</v>
      </c>
      <c r="U494" s="4"/>
      <c r="V494" s="4" t="s">
        <v>2997</v>
      </c>
      <c r="W494" s="4" t="s">
        <v>129</v>
      </c>
      <c r="X494" s="4">
        <f t="shared" si="7"/>
        <v>13</v>
      </c>
      <c r="Y494" s="4"/>
      <c r="Z494" s="4"/>
      <c r="AA494" s="4"/>
      <c r="AB494" s="4"/>
      <c r="AC494" s="4">
        <v>1</v>
      </c>
      <c r="AD494" s="4"/>
      <c r="AE494" s="4"/>
    </row>
    <row r="495" spans="1:31" x14ac:dyDescent="0.2">
      <c r="A495" s="201"/>
      <c r="B495" s="4" t="s">
        <v>3170</v>
      </c>
      <c r="C495" s="4">
        <v>491</v>
      </c>
      <c r="D495" s="4" t="s">
        <v>1446</v>
      </c>
      <c r="E495" s="4" t="s">
        <v>1447</v>
      </c>
      <c r="F495" s="4" t="s">
        <v>1448</v>
      </c>
      <c r="G495" s="4" t="s">
        <v>329</v>
      </c>
      <c r="H495" s="4" t="s">
        <v>41</v>
      </c>
      <c r="I495" s="4" t="s">
        <v>84</v>
      </c>
      <c r="J495" s="4">
        <v>30491</v>
      </c>
      <c r="K495" s="202" t="s">
        <v>1514</v>
      </c>
      <c r="L495" s="4">
        <v>31</v>
      </c>
      <c r="M495" s="4">
        <v>10</v>
      </c>
      <c r="N495" s="4" t="str">
        <f>_xlfn.CONCAT("DBX",((L495-1)*2)+1,".2")</f>
        <v>DBX61.2</v>
      </c>
      <c r="O495" s="4" t="s">
        <v>781</v>
      </c>
      <c r="P495" s="4" t="s">
        <v>1526</v>
      </c>
      <c r="Q495" s="4" t="s">
        <v>12</v>
      </c>
      <c r="R495" s="4"/>
      <c r="S495" s="4">
        <v>3922</v>
      </c>
      <c r="T495" s="4" t="s">
        <v>2551</v>
      </c>
      <c r="U495" s="4"/>
      <c r="V495" s="4" t="s">
        <v>2998</v>
      </c>
      <c r="W495" s="4" t="s">
        <v>129</v>
      </c>
      <c r="X495" s="4">
        <f t="shared" si="7"/>
        <v>13</v>
      </c>
      <c r="Y495" s="4"/>
      <c r="Z495" s="4"/>
      <c r="AA495" s="4"/>
      <c r="AB495" s="4"/>
      <c r="AC495" s="4">
        <v>1</v>
      </c>
      <c r="AD495" s="4"/>
      <c r="AE495" s="4"/>
    </row>
    <row r="496" spans="1:31" x14ac:dyDescent="0.2">
      <c r="A496" s="201"/>
      <c r="B496" s="4" t="s">
        <v>3170</v>
      </c>
      <c r="C496" s="4">
        <v>492</v>
      </c>
      <c r="D496" s="4" t="s">
        <v>1449</v>
      </c>
      <c r="E496" s="4" t="s">
        <v>1450</v>
      </c>
      <c r="F496" s="4" t="s">
        <v>1451</v>
      </c>
      <c r="G496" s="4" t="s">
        <v>329</v>
      </c>
      <c r="H496" s="4" t="s">
        <v>41</v>
      </c>
      <c r="I496" s="4" t="s">
        <v>84</v>
      </c>
      <c r="J496" s="4">
        <v>30492</v>
      </c>
      <c r="K496" s="202" t="s">
        <v>1515</v>
      </c>
      <c r="L496" s="4">
        <v>31</v>
      </c>
      <c r="M496" s="4">
        <v>11</v>
      </c>
      <c r="N496" s="4" t="str">
        <f>_xlfn.CONCAT("DBX",((L496-1)*2)+1,".3")</f>
        <v>DBX61.3</v>
      </c>
      <c r="O496" s="4" t="s">
        <v>781</v>
      </c>
      <c r="P496" s="4" t="s">
        <v>1527</v>
      </c>
      <c r="Q496" s="4" t="s">
        <v>12</v>
      </c>
      <c r="R496" s="4"/>
      <c r="S496" s="4">
        <v>3922</v>
      </c>
      <c r="T496" s="4" t="s">
        <v>2551</v>
      </c>
      <c r="U496" s="4"/>
      <c r="V496" s="4" t="s">
        <v>2999</v>
      </c>
      <c r="W496" s="4" t="s">
        <v>129</v>
      </c>
      <c r="X496" s="4">
        <f t="shared" si="7"/>
        <v>13</v>
      </c>
      <c r="Y496" s="4"/>
      <c r="Z496" s="4"/>
      <c r="AA496" s="4"/>
      <c r="AB496" s="4"/>
      <c r="AC496" s="4">
        <v>1</v>
      </c>
      <c r="AD496" s="4"/>
      <c r="AE496" s="4"/>
    </row>
    <row r="497" spans="1:31" x14ac:dyDescent="0.2">
      <c r="A497" s="201"/>
      <c r="B497" s="4" t="s">
        <v>3170</v>
      </c>
      <c r="C497" s="4">
        <v>493</v>
      </c>
      <c r="D497" s="4" t="s">
        <v>1452</v>
      </c>
      <c r="E497" s="4" t="s">
        <v>1453</v>
      </c>
      <c r="F497" s="4" t="s">
        <v>1454</v>
      </c>
      <c r="G497" s="4" t="s">
        <v>329</v>
      </c>
      <c r="H497" s="4" t="s">
        <v>41</v>
      </c>
      <c r="I497" s="4" t="s">
        <v>84</v>
      </c>
      <c r="J497" s="4">
        <v>30493</v>
      </c>
      <c r="K497" s="202" t="s">
        <v>1516</v>
      </c>
      <c r="L497" s="4">
        <v>31</v>
      </c>
      <c r="M497" s="4">
        <v>12</v>
      </c>
      <c r="N497" s="4" t="str">
        <f>_xlfn.CONCAT("DBX",((L497-1)*2)+1,".4")</f>
        <v>DBX61.4</v>
      </c>
      <c r="O497" s="4" t="s">
        <v>781</v>
      </c>
      <c r="P497" s="4" t="s">
        <v>1528</v>
      </c>
      <c r="Q497" s="4" t="s">
        <v>12</v>
      </c>
      <c r="R497" s="4"/>
      <c r="S497" s="4">
        <v>3922</v>
      </c>
      <c r="T497" s="4" t="s">
        <v>2551</v>
      </c>
      <c r="U497" s="4"/>
      <c r="V497" s="4" t="s">
        <v>3000</v>
      </c>
      <c r="W497" s="4" t="s">
        <v>129</v>
      </c>
      <c r="X497" s="4">
        <f t="shared" si="7"/>
        <v>13</v>
      </c>
      <c r="Y497" s="4"/>
      <c r="Z497" s="4"/>
      <c r="AA497" s="4"/>
      <c r="AB497" s="4"/>
      <c r="AC497" s="4">
        <v>1</v>
      </c>
      <c r="AD497" s="4"/>
      <c r="AE497" s="4"/>
    </row>
    <row r="498" spans="1:31" x14ac:dyDescent="0.2">
      <c r="A498" s="201"/>
      <c r="B498" s="4" t="s">
        <v>3170</v>
      </c>
      <c r="C498" s="4">
        <v>494</v>
      </c>
      <c r="D498" s="4" t="s">
        <v>1455</v>
      </c>
      <c r="E498" s="4" t="s">
        <v>1456</v>
      </c>
      <c r="F498" s="4" t="s">
        <v>1457</v>
      </c>
      <c r="G498" s="4" t="s">
        <v>329</v>
      </c>
      <c r="H498" s="4" t="s">
        <v>41</v>
      </c>
      <c r="I498" s="4" t="s">
        <v>84</v>
      </c>
      <c r="J498" s="4">
        <v>30494</v>
      </c>
      <c r="K498" s="202" t="s">
        <v>1517</v>
      </c>
      <c r="L498" s="4">
        <v>31</v>
      </c>
      <c r="M498" s="4">
        <v>13</v>
      </c>
      <c r="N498" s="4" t="str">
        <f>_xlfn.CONCAT("DBX",((L498-1)*2)+1,".5")</f>
        <v>DBX61.5</v>
      </c>
      <c r="O498" s="4" t="s">
        <v>781</v>
      </c>
      <c r="P498" s="4" t="s">
        <v>1529</v>
      </c>
      <c r="Q498" s="4" t="s">
        <v>12</v>
      </c>
      <c r="R498" s="4"/>
      <c r="S498" s="4">
        <v>3922</v>
      </c>
      <c r="T498" s="4" t="s">
        <v>2551</v>
      </c>
      <c r="U498" s="4"/>
      <c r="V498" s="4" t="s">
        <v>3001</v>
      </c>
      <c r="W498" s="4" t="s">
        <v>129</v>
      </c>
      <c r="X498" s="4">
        <f t="shared" si="7"/>
        <v>13</v>
      </c>
      <c r="Y498" s="4"/>
      <c r="Z498" s="4"/>
      <c r="AA498" s="4"/>
      <c r="AB498" s="4"/>
      <c r="AC498" s="4">
        <v>1</v>
      </c>
      <c r="AD498" s="4"/>
      <c r="AE498" s="4"/>
    </row>
    <row r="499" spans="1:31" x14ac:dyDescent="0.2">
      <c r="A499" s="201"/>
      <c r="B499" s="4" t="s">
        <v>3170</v>
      </c>
      <c r="C499" s="4">
        <v>495</v>
      </c>
      <c r="D499" s="4" t="s">
        <v>1458</v>
      </c>
      <c r="E499" s="4" t="s">
        <v>1459</v>
      </c>
      <c r="F499" s="4" t="s">
        <v>1460</v>
      </c>
      <c r="G499" s="4" t="s">
        <v>329</v>
      </c>
      <c r="H499" s="4" t="s">
        <v>41</v>
      </c>
      <c r="I499" s="4" t="s">
        <v>84</v>
      </c>
      <c r="J499" s="4">
        <v>30495</v>
      </c>
      <c r="K499" s="202" t="s">
        <v>1518</v>
      </c>
      <c r="L499" s="4">
        <v>31</v>
      </c>
      <c r="M499" s="4">
        <v>14</v>
      </c>
      <c r="N499" s="4" t="str">
        <f>_xlfn.CONCAT("DBX",((L499-1)*2)+1,".6")</f>
        <v>DBX61.6</v>
      </c>
      <c r="O499" s="4" t="s">
        <v>781</v>
      </c>
      <c r="P499" s="4" t="s">
        <v>1530</v>
      </c>
      <c r="Q499" s="4" t="s">
        <v>12</v>
      </c>
      <c r="R499" s="4"/>
      <c r="S499" s="4">
        <v>3922</v>
      </c>
      <c r="T499" s="4" t="s">
        <v>2551</v>
      </c>
      <c r="U499" s="4"/>
      <c r="V499" s="4" t="s">
        <v>3002</v>
      </c>
      <c r="W499" s="4" t="s">
        <v>129</v>
      </c>
      <c r="X499" s="4">
        <f t="shared" si="7"/>
        <v>13</v>
      </c>
      <c r="Y499" s="4"/>
      <c r="Z499" s="4"/>
      <c r="AA499" s="4"/>
      <c r="AB499" s="4"/>
      <c r="AC499" s="4">
        <v>1</v>
      </c>
      <c r="AD499" s="4"/>
      <c r="AE499" s="4"/>
    </row>
    <row r="500" spans="1:31" x14ac:dyDescent="0.2">
      <c r="A500" s="201"/>
      <c r="B500" s="4" t="s">
        <v>3170</v>
      </c>
      <c r="C500" s="4">
        <v>496</v>
      </c>
      <c r="D500" s="4" t="s">
        <v>1461</v>
      </c>
      <c r="E500" s="4" t="s">
        <v>1462</v>
      </c>
      <c r="F500" s="4" t="s">
        <v>1463</v>
      </c>
      <c r="G500" s="4" t="s">
        <v>329</v>
      </c>
      <c r="H500" s="4" t="s">
        <v>41</v>
      </c>
      <c r="I500" s="4" t="s">
        <v>84</v>
      </c>
      <c r="J500" s="4">
        <v>30496</v>
      </c>
      <c r="K500" s="202" t="s">
        <v>1519</v>
      </c>
      <c r="L500" s="4">
        <v>31</v>
      </c>
      <c r="M500" s="4">
        <v>15</v>
      </c>
      <c r="N500" s="4" t="str">
        <f>_xlfn.CONCAT("DBX",((L500-1)*2)+1,".7")</f>
        <v>DBX61.7</v>
      </c>
      <c r="O500" s="4" t="s">
        <v>781</v>
      </c>
      <c r="P500" s="4" t="s">
        <v>1531</v>
      </c>
      <c r="Q500" s="4" t="s">
        <v>12</v>
      </c>
      <c r="R500" s="4"/>
      <c r="S500" s="4">
        <v>3922</v>
      </c>
      <c r="T500" s="4" t="s">
        <v>2551</v>
      </c>
      <c r="U500" s="4"/>
      <c r="V500" s="4" t="s">
        <v>3003</v>
      </c>
      <c r="W500" s="4" t="s">
        <v>129</v>
      </c>
      <c r="X500" s="4">
        <f t="shared" si="7"/>
        <v>13</v>
      </c>
      <c r="Y500" s="4"/>
      <c r="Z500" s="4"/>
      <c r="AA500" s="4"/>
      <c r="AB500" s="4"/>
      <c r="AC500" s="4">
        <v>1</v>
      </c>
      <c r="AD500" s="4"/>
      <c r="AE500" s="4"/>
    </row>
    <row r="501" spans="1:31" x14ac:dyDescent="0.2">
      <c r="A501" s="201"/>
      <c r="B501" s="4" t="s">
        <v>3170</v>
      </c>
      <c r="C501" s="4">
        <v>497</v>
      </c>
      <c r="D501" s="4" t="s">
        <v>1464</v>
      </c>
      <c r="E501" s="4" t="s">
        <v>1465</v>
      </c>
      <c r="F501" s="4" t="s">
        <v>1466</v>
      </c>
      <c r="G501" s="4" t="s">
        <v>329</v>
      </c>
      <c r="H501" s="4" t="s">
        <v>41</v>
      </c>
      <c r="I501" s="4" t="s">
        <v>84</v>
      </c>
      <c r="J501" s="4">
        <v>30497</v>
      </c>
      <c r="K501" s="202" t="s">
        <v>1520</v>
      </c>
      <c r="L501" s="4">
        <v>32</v>
      </c>
      <c r="M501" s="4">
        <v>0</v>
      </c>
      <c r="N501" s="4" t="str">
        <f>_xlfn.CONCAT("DBX",((L501-1)*2),".0")</f>
        <v>DBX62.0</v>
      </c>
      <c r="O501" s="4" t="s">
        <v>781</v>
      </c>
      <c r="P501" s="4" t="s">
        <v>1532</v>
      </c>
      <c r="Q501" s="4" t="s">
        <v>12</v>
      </c>
      <c r="R501" s="4"/>
      <c r="S501" s="4">
        <v>3922</v>
      </c>
      <c r="T501" s="4" t="s">
        <v>2551</v>
      </c>
      <c r="U501" s="4"/>
      <c r="V501" s="4" t="s">
        <v>3004</v>
      </c>
      <c r="W501" s="4" t="s">
        <v>129</v>
      </c>
      <c r="X501" s="4">
        <f t="shared" si="7"/>
        <v>13</v>
      </c>
      <c r="Y501" s="4"/>
      <c r="Z501" s="4"/>
      <c r="AA501" s="4"/>
      <c r="AB501" s="4"/>
      <c r="AC501" s="4">
        <v>1</v>
      </c>
      <c r="AD501" s="4"/>
      <c r="AE501" s="4"/>
    </row>
    <row r="502" spans="1:31" x14ac:dyDescent="0.2">
      <c r="A502" s="201"/>
      <c r="B502" s="4" t="s">
        <v>3170</v>
      </c>
      <c r="C502" s="4">
        <v>498</v>
      </c>
      <c r="D502" s="4" t="s">
        <v>1467</v>
      </c>
      <c r="E502" s="4" t="s">
        <v>1468</v>
      </c>
      <c r="F502" s="4" t="s">
        <v>1469</v>
      </c>
      <c r="G502" s="4" t="s">
        <v>329</v>
      </c>
      <c r="H502" s="4" t="s">
        <v>41</v>
      </c>
      <c r="I502" s="4" t="s">
        <v>84</v>
      </c>
      <c r="J502" s="4">
        <v>30498</v>
      </c>
      <c r="K502" s="202" t="s">
        <v>1521</v>
      </c>
      <c r="L502" s="4">
        <v>32</v>
      </c>
      <c r="M502" s="4">
        <v>1</v>
      </c>
      <c r="N502" s="4" t="str">
        <f>_xlfn.CONCAT("DBX",((L502-1)*2),".1")</f>
        <v>DBX62.1</v>
      </c>
      <c r="O502" s="4" t="s">
        <v>781</v>
      </c>
      <c r="P502" s="4" t="s">
        <v>1533</v>
      </c>
      <c r="Q502" s="4" t="s">
        <v>12</v>
      </c>
      <c r="R502" s="4"/>
      <c r="S502" s="4">
        <v>3922</v>
      </c>
      <c r="T502" s="4" t="s">
        <v>2551</v>
      </c>
      <c r="U502" s="4"/>
      <c r="V502" s="4" t="s">
        <v>3005</v>
      </c>
      <c r="W502" s="4" t="s">
        <v>129</v>
      </c>
      <c r="X502" s="4">
        <f t="shared" si="7"/>
        <v>13</v>
      </c>
      <c r="Y502" s="4"/>
      <c r="Z502" s="4"/>
      <c r="AA502" s="4"/>
      <c r="AB502" s="4"/>
      <c r="AC502" s="4">
        <v>1</v>
      </c>
      <c r="AD502" s="4"/>
      <c r="AE502" s="4"/>
    </row>
    <row r="503" spans="1:31" x14ac:dyDescent="0.2">
      <c r="A503" s="201"/>
      <c r="B503" s="4" t="s">
        <v>3170</v>
      </c>
      <c r="C503" s="4">
        <v>499</v>
      </c>
      <c r="D503" s="4" t="s">
        <v>1470</v>
      </c>
      <c r="E503" s="4" t="s">
        <v>1471</v>
      </c>
      <c r="F503" s="4" t="s">
        <v>1472</v>
      </c>
      <c r="G503" s="4" t="s">
        <v>329</v>
      </c>
      <c r="H503" s="4" t="s">
        <v>41</v>
      </c>
      <c r="I503" s="4" t="s">
        <v>84</v>
      </c>
      <c r="J503" s="4">
        <v>30499</v>
      </c>
      <c r="K503" s="202" t="s">
        <v>1522</v>
      </c>
      <c r="L503" s="4">
        <v>32</v>
      </c>
      <c r="M503" s="4">
        <v>2</v>
      </c>
      <c r="N503" s="4" t="str">
        <f>_xlfn.CONCAT("DBX",((L503-1)*2),".2")</f>
        <v>DBX62.2</v>
      </c>
      <c r="O503" s="4" t="s">
        <v>781</v>
      </c>
      <c r="P503" s="4" t="s">
        <v>1534</v>
      </c>
      <c r="Q503" s="4" t="s">
        <v>12</v>
      </c>
      <c r="R503" s="4"/>
      <c r="S503" s="4">
        <v>3922</v>
      </c>
      <c r="T503" s="4" t="s">
        <v>2551</v>
      </c>
      <c r="U503" s="4"/>
      <c r="V503" s="4" t="s">
        <v>3006</v>
      </c>
      <c r="W503" s="4" t="s">
        <v>129</v>
      </c>
      <c r="X503" s="4">
        <f t="shared" si="7"/>
        <v>13</v>
      </c>
      <c r="Y503" s="4"/>
      <c r="Z503" s="4"/>
      <c r="AA503" s="4"/>
      <c r="AB503" s="4"/>
      <c r="AC503" s="4">
        <v>1</v>
      </c>
      <c r="AD503" s="4"/>
      <c r="AE503" s="4"/>
    </row>
    <row r="504" spans="1:31" x14ac:dyDescent="0.2">
      <c r="A504" s="201"/>
      <c r="B504" s="4" t="s">
        <v>3170</v>
      </c>
      <c r="C504" s="4">
        <v>500</v>
      </c>
      <c r="D504" s="4" t="s">
        <v>1473</v>
      </c>
      <c r="E504" s="4" t="s">
        <v>1474</v>
      </c>
      <c r="F504" s="4" t="s">
        <v>1475</v>
      </c>
      <c r="G504" s="4" t="s">
        <v>329</v>
      </c>
      <c r="H504" s="4" t="s">
        <v>41</v>
      </c>
      <c r="I504" s="4" t="s">
        <v>84</v>
      </c>
      <c r="J504" s="4">
        <v>30500</v>
      </c>
      <c r="K504" s="202" t="s">
        <v>1523</v>
      </c>
      <c r="L504" s="4">
        <v>32</v>
      </c>
      <c r="M504" s="4">
        <v>3</v>
      </c>
      <c r="N504" s="4" t="str">
        <f>_xlfn.CONCAT("DBX",((L504-1)*2),".3")</f>
        <v>DBX62.3</v>
      </c>
      <c r="O504" s="4" t="s">
        <v>781</v>
      </c>
      <c r="P504" s="4" t="s">
        <v>1535</v>
      </c>
      <c r="Q504" s="4" t="s">
        <v>12</v>
      </c>
      <c r="R504" s="4"/>
      <c r="S504" s="4">
        <v>3922</v>
      </c>
      <c r="T504" s="4" t="s">
        <v>2551</v>
      </c>
      <c r="U504" s="4"/>
      <c r="V504" s="4" t="s">
        <v>3007</v>
      </c>
      <c r="W504" s="4" t="s">
        <v>129</v>
      </c>
      <c r="X504" s="4">
        <f t="shared" si="7"/>
        <v>13</v>
      </c>
      <c r="Y504" s="4"/>
      <c r="Z504" s="4"/>
      <c r="AA504" s="4"/>
      <c r="AB504" s="4"/>
      <c r="AC504" s="4">
        <v>1</v>
      </c>
      <c r="AD504" s="4"/>
      <c r="AE504" s="4"/>
    </row>
    <row r="505" spans="1:31" x14ac:dyDescent="0.2">
      <c r="A505" s="201"/>
      <c r="B505" s="4" t="s">
        <v>3170</v>
      </c>
      <c r="C505" s="4">
        <v>501</v>
      </c>
      <c r="D505" s="4" t="s">
        <v>1476</v>
      </c>
      <c r="E505" s="4" t="s">
        <v>1477</v>
      </c>
      <c r="F505" s="4" t="s">
        <v>1478</v>
      </c>
      <c r="G505" s="4" t="s">
        <v>329</v>
      </c>
      <c r="H505" s="4" t="s">
        <v>41</v>
      </c>
      <c r="I505" s="4" t="s">
        <v>84</v>
      </c>
      <c r="J505" s="4">
        <v>30501</v>
      </c>
      <c r="K505" s="202" t="s">
        <v>1512</v>
      </c>
      <c r="L505" s="4">
        <v>32</v>
      </c>
      <c r="M505" s="4">
        <v>4</v>
      </c>
      <c r="N505" s="4" t="str">
        <f>_xlfn.CONCAT("DBX",((L505-1)*2),".4")</f>
        <v>DBX62.4</v>
      </c>
      <c r="O505" s="4" t="s">
        <v>781</v>
      </c>
      <c r="P505" s="4" t="s">
        <v>1524</v>
      </c>
      <c r="Q505" s="4" t="s">
        <v>12</v>
      </c>
      <c r="R505" s="4"/>
      <c r="S505" s="4">
        <v>3922</v>
      </c>
      <c r="T505" s="4" t="s">
        <v>2551</v>
      </c>
      <c r="U505" s="4"/>
      <c r="V505" s="4" t="s">
        <v>2996</v>
      </c>
      <c r="W505" s="4" t="s">
        <v>129</v>
      </c>
      <c r="X505" s="4">
        <f t="shared" si="7"/>
        <v>13</v>
      </c>
      <c r="Y505" s="4"/>
      <c r="Z505" s="4"/>
      <c r="AA505" s="4"/>
      <c r="AB505" s="4"/>
      <c r="AC505" s="4">
        <v>1</v>
      </c>
      <c r="AD505" s="4"/>
      <c r="AE505" s="4"/>
    </row>
    <row r="506" spans="1:31" x14ac:dyDescent="0.2">
      <c r="A506" s="201"/>
      <c r="B506" s="4" t="s">
        <v>3170</v>
      </c>
      <c r="C506" s="4">
        <v>502</v>
      </c>
      <c r="D506" s="4" t="s">
        <v>1479</v>
      </c>
      <c r="E506" s="4" t="s">
        <v>1480</v>
      </c>
      <c r="F506" s="4" t="s">
        <v>1481</v>
      </c>
      <c r="G506" s="4" t="s">
        <v>329</v>
      </c>
      <c r="H506" s="4" t="s">
        <v>41</v>
      </c>
      <c r="I506" s="4" t="s">
        <v>84</v>
      </c>
      <c r="J506" s="4">
        <v>30502</v>
      </c>
      <c r="K506" s="202" t="s">
        <v>1513</v>
      </c>
      <c r="L506" s="4">
        <v>32</v>
      </c>
      <c r="M506" s="4">
        <v>5</v>
      </c>
      <c r="N506" s="4" t="str">
        <f>_xlfn.CONCAT("DBX",((L506-1)*2),".5")</f>
        <v>DBX62.5</v>
      </c>
      <c r="O506" s="4" t="s">
        <v>781</v>
      </c>
      <c r="P506" s="4" t="s">
        <v>1525</v>
      </c>
      <c r="Q506" s="4" t="s">
        <v>12</v>
      </c>
      <c r="R506" s="4"/>
      <c r="S506" s="4">
        <v>3922</v>
      </c>
      <c r="T506" s="4" t="s">
        <v>2551</v>
      </c>
      <c r="U506" s="4"/>
      <c r="V506" s="4" t="s">
        <v>2997</v>
      </c>
      <c r="W506" s="4" t="s">
        <v>129</v>
      </c>
      <c r="X506" s="4">
        <f t="shared" si="7"/>
        <v>13</v>
      </c>
      <c r="Y506" s="4"/>
      <c r="Z506" s="4"/>
      <c r="AA506" s="4"/>
      <c r="AB506" s="4"/>
      <c r="AC506" s="4">
        <v>1</v>
      </c>
      <c r="AD506" s="4"/>
      <c r="AE506" s="4"/>
    </row>
    <row r="507" spans="1:31" x14ac:dyDescent="0.2">
      <c r="A507" s="201"/>
      <c r="B507" s="4" t="s">
        <v>3170</v>
      </c>
      <c r="C507" s="4">
        <v>503</v>
      </c>
      <c r="D507" s="4" t="s">
        <v>1482</v>
      </c>
      <c r="E507" s="4" t="s">
        <v>1483</v>
      </c>
      <c r="F507" s="4" t="s">
        <v>1484</v>
      </c>
      <c r="G507" s="4" t="s">
        <v>329</v>
      </c>
      <c r="H507" s="4" t="s">
        <v>41</v>
      </c>
      <c r="I507" s="4" t="s">
        <v>84</v>
      </c>
      <c r="J507" s="4">
        <v>30503</v>
      </c>
      <c r="K507" s="202" t="s">
        <v>1514</v>
      </c>
      <c r="L507" s="4">
        <v>32</v>
      </c>
      <c r="M507" s="4">
        <v>6</v>
      </c>
      <c r="N507" s="4" t="str">
        <f>_xlfn.CONCAT("DBX",((L507-1)*2),".6")</f>
        <v>DBX62.6</v>
      </c>
      <c r="O507" s="4" t="s">
        <v>781</v>
      </c>
      <c r="P507" s="4" t="s">
        <v>1526</v>
      </c>
      <c r="Q507" s="4" t="s">
        <v>12</v>
      </c>
      <c r="R507" s="4"/>
      <c r="S507" s="4">
        <v>3922</v>
      </c>
      <c r="T507" s="4" t="s">
        <v>2551</v>
      </c>
      <c r="U507" s="4"/>
      <c r="V507" s="4" t="s">
        <v>2998</v>
      </c>
      <c r="W507" s="4" t="s">
        <v>129</v>
      </c>
      <c r="X507" s="4">
        <f t="shared" si="7"/>
        <v>13</v>
      </c>
      <c r="Y507" s="4"/>
      <c r="Z507" s="4"/>
      <c r="AA507" s="4"/>
      <c r="AB507" s="4"/>
      <c r="AC507" s="4">
        <v>1</v>
      </c>
      <c r="AD507" s="4"/>
      <c r="AE507" s="4"/>
    </row>
    <row r="508" spans="1:31" x14ac:dyDescent="0.2">
      <c r="A508" s="201"/>
      <c r="B508" s="4" t="s">
        <v>3170</v>
      </c>
      <c r="C508" s="4">
        <v>504</v>
      </c>
      <c r="D508" s="4" t="s">
        <v>1485</v>
      </c>
      <c r="E508" s="4" t="s">
        <v>1486</v>
      </c>
      <c r="F508" s="4" t="s">
        <v>1487</v>
      </c>
      <c r="G508" s="4" t="s">
        <v>329</v>
      </c>
      <c r="H508" s="4" t="s">
        <v>41</v>
      </c>
      <c r="I508" s="4" t="s">
        <v>84</v>
      </c>
      <c r="J508" s="4">
        <v>30504</v>
      </c>
      <c r="K508" s="202" t="s">
        <v>1515</v>
      </c>
      <c r="L508" s="4">
        <v>32</v>
      </c>
      <c r="M508" s="4">
        <v>7</v>
      </c>
      <c r="N508" s="4" t="str">
        <f>_xlfn.CONCAT("DBX",((L508-1)*2),".7")</f>
        <v>DBX62.7</v>
      </c>
      <c r="O508" s="4" t="s">
        <v>781</v>
      </c>
      <c r="P508" s="4" t="s">
        <v>1527</v>
      </c>
      <c r="Q508" s="4" t="s">
        <v>12</v>
      </c>
      <c r="R508" s="4"/>
      <c r="S508" s="4">
        <v>3922</v>
      </c>
      <c r="T508" s="4" t="s">
        <v>2551</v>
      </c>
      <c r="U508" s="4"/>
      <c r="V508" s="4" t="s">
        <v>2999</v>
      </c>
      <c r="W508" s="4" t="s">
        <v>129</v>
      </c>
      <c r="X508" s="4">
        <f t="shared" si="7"/>
        <v>13</v>
      </c>
      <c r="Y508" s="4"/>
      <c r="Z508" s="4"/>
      <c r="AA508" s="4"/>
      <c r="AB508" s="4"/>
      <c r="AC508" s="4">
        <v>1</v>
      </c>
      <c r="AD508" s="4"/>
      <c r="AE508" s="4"/>
    </row>
    <row r="509" spans="1:31" x14ac:dyDescent="0.2">
      <c r="A509" s="201"/>
      <c r="B509" s="4" t="s">
        <v>3170</v>
      </c>
      <c r="C509" s="4">
        <v>505</v>
      </c>
      <c r="D509" s="4" t="s">
        <v>1488</v>
      </c>
      <c r="E509" s="4" t="s">
        <v>1489</v>
      </c>
      <c r="F509" s="4" t="s">
        <v>1490</v>
      </c>
      <c r="G509" s="4" t="s">
        <v>329</v>
      </c>
      <c r="H509" s="4" t="s">
        <v>41</v>
      </c>
      <c r="I509" s="4" t="s">
        <v>84</v>
      </c>
      <c r="J509" s="4">
        <v>30505</v>
      </c>
      <c r="K509" s="202" t="s">
        <v>1516</v>
      </c>
      <c r="L509" s="4">
        <v>32</v>
      </c>
      <c r="M509" s="4">
        <v>8</v>
      </c>
      <c r="N509" s="4" t="str">
        <f>_xlfn.CONCAT("DBX",((L509-1)*2)+1,".0")</f>
        <v>DBX63.0</v>
      </c>
      <c r="O509" s="4" t="s">
        <v>781</v>
      </c>
      <c r="P509" s="4" t="s">
        <v>1528</v>
      </c>
      <c r="Q509" s="4" t="s">
        <v>12</v>
      </c>
      <c r="R509" s="4"/>
      <c r="S509" s="4">
        <v>3922</v>
      </c>
      <c r="T509" s="4" t="s">
        <v>2551</v>
      </c>
      <c r="U509" s="4"/>
      <c r="V509" s="4" t="s">
        <v>3000</v>
      </c>
      <c r="W509" s="4" t="s">
        <v>129</v>
      </c>
      <c r="X509" s="4">
        <f t="shared" si="7"/>
        <v>13</v>
      </c>
      <c r="Y509" s="4"/>
      <c r="Z509" s="4"/>
      <c r="AA509" s="4"/>
      <c r="AB509" s="4"/>
      <c r="AC509" s="4">
        <v>1</v>
      </c>
      <c r="AD509" s="4"/>
      <c r="AE509" s="4"/>
    </row>
    <row r="510" spans="1:31" x14ac:dyDescent="0.2">
      <c r="A510" s="201"/>
      <c r="B510" s="4" t="s">
        <v>3170</v>
      </c>
      <c r="C510" s="4">
        <v>506</v>
      </c>
      <c r="D510" s="4" t="s">
        <v>1491</v>
      </c>
      <c r="E510" s="4" t="s">
        <v>1492</v>
      </c>
      <c r="F510" s="4" t="s">
        <v>1493</v>
      </c>
      <c r="G510" s="4" t="s">
        <v>329</v>
      </c>
      <c r="H510" s="4" t="s">
        <v>41</v>
      </c>
      <c r="I510" s="4" t="s">
        <v>84</v>
      </c>
      <c r="J510" s="4">
        <v>30506</v>
      </c>
      <c r="K510" s="202" t="s">
        <v>1517</v>
      </c>
      <c r="L510" s="4">
        <v>32</v>
      </c>
      <c r="M510" s="4">
        <v>9</v>
      </c>
      <c r="N510" s="4" t="str">
        <f>_xlfn.CONCAT("DBX",((L510-1)*2)+1,".1")</f>
        <v>DBX63.1</v>
      </c>
      <c r="O510" s="4" t="s">
        <v>781</v>
      </c>
      <c r="P510" s="4" t="s">
        <v>1529</v>
      </c>
      <c r="Q510" s="4" t="s">
        <v>12</v>
      </c>
      <c r="R510" s="4"/>
      <c r="S510" s="4">
        <v>3922</v>
      </c>
      <c r="T510" s="4" t="s">
        <v>2551</v>
      </c>
      <c r="U510" s="4"/>
      <c r="V510" s="4" t="s">
        <v>3001</v>
      </c>
      <c r="W510" s="4" t="s">
        <v>129</v>
      </c>
      <c r="X510" s="4">
        <f t="shared" si="7"/>
        <v>13</v>
      </c>
      <c r="Y510" s="4"/>
      <c r="Z510" s="4"/>
      <c r="AA510" s="4"/>
      <c r="AB510" s="4"/>
      <c r="AC510" s="4">
        <v>1</v>
      </c>
      <c r="AD510" s="4"/>
      <c r="AE510" s="4"/>
    </row>
    <row r="511" spans="1:31" x14ac:dyDescent="0.2">
      <c r="A511" s="201"/>
      <c r="B511" s="4" t="s">
        <v>3170</v>
      </c>
      <c r="C511" s="4">
        <v>507</v>
      </c>
      <c r="D511" s="4" t="s">
        <v>1494</v>
      </c>
      <c r="E511" s="4" t="s">
        <v>1495</v>
      </c>
      <c r="F511" s="4" t="s">
        <v>1496</v>
      </c>
      <c r="G511" s="4" t="s">
        <v>329</v>
      </c>
      <c r="H511" s="4" t="s">
        <v>41</v>
      </c>
      <c r="I511" s="4" t="s">
        <v>84</v>
      </c>
      <c r="J511" s="4">
        <v>30507</v>
      </c>
      <c r="K511" s="202" t="s">
        <v>1518</v>
      </c>
      <c r="L511" s="4">
        <v>32</v>
      </c>
      <c r="M511" s="4">
        <v>10</v>
      </c>
      <c r="N511" s="4" t="str">
        <f>_xlfn.CONCAT("DBX",((L511-1)*2)+1,".2")</f>
        <v>DBX63.2</v>
      </c>
      <c r="O511" s="4" t="s">
        <v>781</v>
      </c>
      <c r="P511" s="4" t="s">
        <v>1530</v>
      </c>
      <c r="Q511" s="4" t="s">
        <v>12</v>
      </c>
      <c r="R511" s="4"/>
      <c r="S511" s="4">
        <v>3922</v>
      </c>
      <c r="T511" s="4" t="s">
        <v>2551</v>
      </c>
      <c r="U511" s="4"/>
      <c r="V511" s="4" t="s">
        <v>3002</v>
      </c>
      <c r="W511" s="4" t="s">
        <v>129</v>
      </c>
      <c r="X511" s="4">
        <f t="shared" si="7"/>
        <v>13</v>
      </c>
      <c r="Y511" s="4"/>
      <c r="Z511" s="4"/>
      <c r="AA511" s="4"/>
      <c r="AB511" s="4"/>
      <c r="AC511" s="4">
        <v>1</v>
      </c>
      <c r="AD511" s="4"/>
      <c r="AE511" s="4"/>
    </row>
    <row r="512" spans="1:31" x14ac:dyDescent="0.2">
      <c r="A512" s="201"/>
      <c r="B512" s="4" t="s">
        <v>3170</v>
      </c>
      <c r="C512" s="4">
        <v>508</v>
      </c>
      <c r="D512" s="4" t="s">
        <v>1497</v>
      </c>
      <c r="E512" s="4" t="s">
        <v>1498</v>
      </c>
      <c r="F512" s="4" t="s">
        <v>1499</v>
      </c>
      <c r="G512" s="4" t="s">
        <v>329</v>
      </c>
      <c r="H512" s="4" t="s">
        <v>41</v>
      </c>
      <c r="I512" s="4" t="s">
        <v>84</v>
      </c>
      <c r="J512" s="4">
        <v>30508</v>
      </c>
      <c r="K512" s="202" t="s">
        <v>1519</v>
      </c>
      <c r="L512" s="4">
        <v>32</v>
      </c>
      <c r="M512" s="4">
        <v>11</v>
      </c>
      <c r="N512" s="4" t="str">
        <f>_xlfn.CONCAT("DBX",((L512-1)*2)+1,".3")</f>
        <v>DBX63.3</v>
      </c>
      <c r="O512" s="4" t="s">
        <v>781</v>
      </c>
      <c r="P512" s="4" t="s">
        <v>1531</v>
      </c>
      <c r="Q512" s="4" t="s">
        <v>12</v>
      </c>
      <c r="R512" s="4"/>
      <c r="S512" s="4">
        <v>3922</v>
      </c>
      <c r="T512" s="4" t="s">
        <v>2551</v>
      </c>
      <c r="U512" s="4"/>
      <c r="V512" s="4" t="s">
        <v>3003</v>
      </c>
      <c r="W512" s="4" t="s">
        <v>129</v>
      </c>
      <c r="X512" s="4">
        <f t="shared" si="7"/>
        <v>13</v>
      </c>
      <c r="Y512" s="4"/>
      <c r="Z512" s="4"/>
      <c r="AA512" s="4"/>
      <c r="AB512" s="4"/>
      <c r="AC512" s="4">
        <v>1</v>
      </c>
      <c r="AD512" s="4"/>
      <c r="AE512" s="4"/>
    </row>
    <row r="513" spans="1:31" x14ac:dyDescent="0.2">
      <c r="A513" s="201"/>
      <c r="B513" s="4" t="s">
        <v>3170</v>
      </c>
      <c r="C513" s="4">
        <v>509</v>
      </c>
      <c r="D513" s="4" t="s">
        <v>1500</v>
      </c>
      <c r="E513" s="4" t="s">
        <v>1501</v>
      </c>
      <c r="F513" s="4" t="s">
        <v>1502</v>
      </c>
      <c r="G513" s="4" t="s">
        <v>329</v>
      </c>
      <c r="H513" s="4" t="s">
        <v>41</v>
      </c>
      <c r="I513" s="4" t="s">
        <v>84</v>
      </c>
      <c r="J513" s="4">
        <v>30509</v>
      </c>
      <c r="K513" s="202" t="s">
        <v>1520</v>
      </c>
      <c r="L513" s="4">
        <v>32</v>
      </c>
      <c r="M513" s="4">
        <v>12</v>
      </c>
      <c r="N513" s="4" t="str">
        <f>_xlfn.CONCAT("DBX",((L513-1)*2)+1,".4")</f>
        <v>DBX63.4</v>
      </c>
      <c r="O513" s="4" t="s">
        <v>781</v>
      </c>
      <c r="P513" s="4" t="s">
        <v>1532</v>
      </c>
      <c r="Q513" s="4" t="s">
        <v>12</v>
      </c>
      <c r="R513" s="4"/>
      <c r="S513" s="4">
        <v>3922</v>
      </c>
      <c r="T513" s="4" t="s">
        <v>2551</v>
      </c>
      <c r="U513" s="4"/>
      <c r="V513" s="4" t="s">
        <v>3004</v>
      </c>
      <c r="W513" s="4" t="s">
        <v>129</v>
      </c>
      <c r="X513" s="4">
        <f t="shared" si="7"/>
        <v>13</v>
      </c>
      <c r="Y513" s="4"/>
      <c r="Z513" s="4"/>
      <c r="AA513" s="4"/>
      <c r="AB513" s="4"/>
      <c r="AC513" s="4">
        <v>1</v>
      </c>
      <c r="AD513" s="4"/>
      <c r="AE513" s="4"/>
    </row>
    <row r="514" spans="1:31" x14ac:dyDescent="0.2">
      <c r="A514" s="201"/>
      <c r="B514" s="4" t="s">
        <v>3170</v>
      </c>
      <c r="C514" s="4">
        <v>510</v>
      </c>
      <c r="D514" s="4" t="s">
        <v>1503</v>
      </c>
      <c r="E514" s="4" t="s">
        <v>1504</v>
      </c>
      <c r="F514" s="4" t="s">
        <v>1505</v>
      </c>
      <c r="G514" s="4" t="s">
        <v>329</v>
      </c>
      <c r="H514" s="4" t="s">
        <v>41</v>
      </c>
      <c r="I514" s="4" t="s">
        <v>84</v>
      </c>
      <c r="J514" s="4">
        <v>30510</v>
      </c>
      <c r="K514" s="202" t="s">
        <v>1521</v>
      </c>
      <c r="L514" s="4">
        <v>32</v>
      </c>
      <c r="M514" s="4">
        <v>13</v>
      </c>
      <c r="N514" s="4" t="str">
        <f>_xlfn.CONCAT("DBX",((L514-1)*2)+1,".5")</f>
        <v>DBX63.5</v>
      </c>
      <c r="O514" s="4" t="s">
        <v>781</v>
      </c>
      <c r="P514" s="4" t="s">
        <v>1533</v>
      </c>
      <c r="Q514" s="4" t="s">
        <v>12</v>
      </c>
      <c r="R514" s="4"/>
      <c r="S514" s="4">
        <v>3922</v>
      </c>
      <c r="T514" s="4" t="s">
        <v>2551</v>
      </c>
      <c r="U514" s="4"/>
      <c r="V514" s="4" t="s">
        <v>3005</v>
      </c>
      <c r="W514" s="4" t="s">
        <v>129</v>
      </c>
      <c r="X514" s="4">
        <f t="shared" si="7"/>
        <v>13</v>
      </c>
      <c r="Y514" s="4"/>
      <c r="Z514" s="4"/>
      <c r="AA514" s="4"/>
      <c r="AB514" s="4"/>
      <c r="AC514" s="4">
        <v>1</v>
      </c>
      <c r="AD514" s="4"/>
      <c r="AE514" s="4"/>
    </row>
    <row r="515" spans="1:31" x14ac:dyDescent="0.2">
      <c r="A515" s="201"/>
      <c r="B515" s="4" t="s">
        <v>3170</v>
      </c>
      <c r="C515" s="4">
        <v>511</v>
      </c>
      <c r="D515" s="4" t="s">
        <v>1506</v>
      </c>
      <c r="E515" s="4" t="s">
        <v>1507</v>
      </c>
      <c r="F515" s="4" t="s">
        <v>1508</v>
      </c>
      <c r="G515" s="4" t="s">
        <v>329</v>
      </c>
      <c r="H515" s="4" t="s">
        <v>41</v>
      </c>
      <c r="I515" s="4" t="s">
        <v>84</v>
      </c>
      <c r="J515" s="4">
        <v>30511</v>
      </c>
      <c r="K515" s="202" t="s">
        <v>1522</v>
      </c>
      <c r="L515" s="4">
        <v>32</v>
      </c>
      <c r="M515" s="4">
        <v>14</v>
      </c>
      <c r="N515" s="4" t="str">
        <f>_xlfn.CONCAT("DBX",((L515-1)*2)+1,".6")</f>
        <v>DBX63.6</v>
      </c>
      <c r="O515" s="4" t="s">
        <v>781</v>
      </c>
      <c r="P515" s="4" t="s">
        <v>1534</v>
      </c>
      <c r="Q515" s="4" t="s">
        <v>12</v>
      </c>
      <c r="R515" s="4"/>
      <c r="S515" s="4">
        <v>3922</v>
      </c>
      <c r="T515" s="4" t="s">
        <v>2551</v>
      </c>
      <c r="U515" s="4"/>
      <c r="V515" s="4" t="s">
        <v>3006</v>
      </c>
      <c r="W515" s="4" t="s">
        <v>129</v>
      </c>
      <c r="X515" s="4">
        <f t="shared" si="7"/>
        <v>13</v>
      </c>
      <c r="Y515" s="4"/>
      <c r="Z515" s="4"/>
      <c r="AA515" s="4"/>
      <c r="AB515" s="4"/>
      <c r="AC515" s="4">
        <v>1</v>
      </c>
      <c r="AD515" s="4"/>
      <c r="AE515" s="4"/>
    </row>
    <row r="516" spans="1:31" x14ac:dyDescent="0.2">
      <c r="A516" s="201"/>
      <c r="B516" s="4" t="s">
        <v>3170</v>
      </c>
      <c r="C516" s="4">
        <v>512</v>
      </c>
      <c r="D516" s="4" t="s">
        <v>1509</v>
      </c>
      <c r="E516" s="4" t="s">
        <v>1510</v>
      </c>
      <c r="F516" s="4" t="s">
        <v>1511</v>
      </c>
      <c r="G516" s="4" t="s">
        <v>329</v>
      </c>
      <c r="H516" s="4" t="s">
        <v>41</v>
      </c>
      <c r="I516" s="4" t="s">
        <v>84</v>
      </c>
      <c r="J516" s="4">
        <v>30512</v>
      </c>
      <c r="K516" s="202" t="s">
        <v>1523</v>
      </c>
      <c r="L516" s="4">
        <v>32</v>
      </c>
      <c r="M516" s="4">
        <v>15</v>
      </c>
      <c r="N516" s="4" t="str">
        <f>_xlfn.CONCAT("DBX",((L516-1)*2)+1,".7")</f>
        <v>DBX63.7</v>
      </c>
      <c r="O516" s="4" t="s">
        <v>781</v>
      </c>
      <c r="P516" s="4" t="s">
        <v>1535</v>
      </c>
      <c r="Q516" s="4" t="s">
        <v>12</v>
      </c>
      <c r="R516" s="4"/>
      <c r="S516" s="4">
        <v>3922</v>
      </c>
      <c r="T516" s="4" t="s">
        <v>2551</v>
      </c>
      <c r="U516" s="4"/>
      <c r="V516" s="4" t="s">
        <v>3007</v>
      </c>
      <c r="W516" s="4" t="s">
        <v>129</v>
      </c>
      <c r="X516" s="4">
        <f t="shared" si="7"/>
        <v>13</v>
      </c>
      <c r="Y516" s="4"/>
      <c r="Z516" s="4"/>
      <c r="AA516" s="4"/>
      <c r="AB516" s="4"/>
      <c r="AC516" s="4">
        <v>1</v>
      </c>
      <c r="AD516" s="4"/>
      <c r="AE516" s="4"/>
    </row>
    <row r="517" spans="1:31" x14ac:dyDescent="0.2">
      <c r="A517" s="201"/>
      <c r="B517" s="4" t="s">
        <v>34</v>
      </c>
      <c r="C517" s="4">
        <v>513</v>
      </c>
      <c r="D517" s="4"/>
      <c r="E517" s="4"/>
      <c r="F517" s="4"/>
      <c r="G517" s="4"/>
      <c r="H517" s="4"/>
      <c r="I517" s="4"/>
      <c r="J517" s="4">
        <v>30513</v>
      </c>
      <c r="K517" s="202"/>
      <c r="L517" s="4">
        <v>33</v>
      </c>
      <c r="M517" s="4">
        <v>0</v>
      </c>
      <c r="N517" s="4" t="str">
        <f>_xlfn.CONCAT("DBX",((L517-1)*2),".0")</f>
        <v>DBX64.0</v>
      </c>
      <c r="O517" s="4" t="s">
        <v>781</v>
      </c>
      <c r="P517" s="4"/>
      <c r="Q517" s="4"/>
      <c r="R517" s="4"/>
      <c r="S517" s="4"/>
      <c r="T517" s="4"/>
      <c r="U517" s="4"/>
      <c r="V517" s="4"/>
      <c r="W517" s="4"/>
      <c r="X517" s="4" t="e">
        <f t="shared" ref="X517:X580" si="8">VLOOKUP(W517,$W$1609:$X$1639,2,FALSE)</f>
        <v>#N/A</v>
      </c>
      <c r="Y517" s="4"/>
      <c r="Z517" s="4"/>
      <c r="AA517" s="4"/>
      <c r="AB517" s="4"/>
      <c r="AC517" s="4"/>
      <c r="AD517" s="4"/>
      <c r="AE517" s="4"/>
    </row>
    <row r="518" spans="1:31" x14ac:dyDescent="0.2">
      <c r="A518" s="201"/>
      <c r="B518" s="4" t="s">
        <v>3170</v>
      </c>
      <c r="C518" s="4">
        <v>514</v>
      </c>
      <c r="D518" s="4" t="s">
        <v>2433</v>
      </c>
      <c r="E518" s="4" t="s">
        <v>2434</v>
      </c>
      <c r="F518" s="4" t="s">
        <v>2522</v>
      </c>
      <c r="G518" s="4" t="s">
        <v>329</v>
      </c>
      <c r="H518" s="4" t="s">
        <v>41</v>
      </c>
      <c r="I518" s="4" t="s">
        <v>85</v>
      </c>
      <c r="J518" s="4">
        <v>30514</v>
      </c>
      <c r="K518" s="202" t="s">
        <v>11</v>
      </c>
      <c r="L518" s="4">
        <v>33</v>
      </c>
      <c r="M518" s="4">
        <v>1</v>
      </c>
      <c r="N518" s="4" t="str">
        <f>_xlfn.CONCAT("DBX",((L518-1)*2),".1")</f>
        <v>DBX64.1</v>
      </c>
      <c r="O518" s="4" t="s">
        <v>781</v>
      </c>
      <c r="P518" s="4" t="s">
        <v>11</v>
      </c>
      <c r="Q518" s="4" t="s">
        <v>92</v>
      </c>
      <c r="R518" s="4"/>
      <c r="S518" s="4">
        <v>3922</v>
      </c>
      <c r="T518" s="4" t="s">
        <v>2551</v>
      </c>
      <c r="U518" s="4"/>
      <c r="V518" s="4" t="s">
        <v>3068</v>
      </c>
      <c r="W518" s="4" t="s">
        <v>122</v>
      </c>
      <c r="X518" s="4">
        <f t="shared" si="8"/>
        <v>6</v>
      </c>
      <c r="Y518" s="4"/>
      <c r="Z518" s="4"/>
      <c r="AA518" s="4"/>
      <c r="AB518" s="4"/>
      <c r="AC518" s="4">
        <v>1</v>
      </c>
      <c r="AD518" s="4"/>
      <c r="AE518" s="4"/>
    </row>
    <row r="519" spans="1:31" x14ac:dyDescent="0.2">
      <c r="A519" s="201"/>
      <c r="B519" s="4" t="s">
        <v>33</v>
      </c>
      <c r="C519" s="4">
        <v>515</v>
      </c>
      <c r="D519" s="4" t="s">
        <v>2435</v>
      </c>
      <c r="E519" s="4" t="s">
        <v>2436</v>
      </c>
      <c r="F519" s="4" t="s">
        <v>2485</v>
      </c>
      <c r="G519" s="4" t="s">
        <v>40</v>
      </c>
      <c r="H519" s="4" t="s">
        <v>41</v>
      </c>
      <c r="I519" s="4" t="s">
        <v>40</v>
      </c>
      <c r="J519" s="4">
        <v>30515</v>
      </c>
      <c r="K519" s="202" t="s">
        <v>11</v>
      </c>
      <c r="L519" s="4">
        <v>33</v>
      </c>
      <c r="M519" s="4">
        <v>2</v>
      </c>
      <c r="N519" s="4" t="str">
        <f>_xlfn.CONCAT("DBX",((L519-1)*2),".2")</f>
        <v>DBX64.2</v>
      </c>
      <c r="O519" s="4" t="s">
        <v>781</v>
      </c>
      <c r="P519" s="4" t="s">
        <v>11</v>
      </c>
      <c r="Q519" s="4" t="s">
        <v>91</v>
      </c>
      <c r="R519" s="4"/>
      <c r="S519" s="4">
        <v>3922</v>
      </c>
      <c r="T519" s="4" t="s">
        <v>2551</v>
      </c>
      <c r="U519" s="4"/>
      <c r="V519" s="4"/>
      <c r="W519" s="4" t="s">
        <v>129</v>
      </c>
      <c r="X519" s="4">
        <f t="shared" si="8"/>
        <v>13</v>
      </c>
      <c r="Y519" s="4"/>
      <c r="Z519" s="4"/>
      <c r="AA519" s="4"/>
      <c r="AB519" s="4"/>
      <c r="AC519" s="4">
        <v>1</v>
      </c>
      <c r="AD519" s="4"/>
      <c r="AE519" s="4"/>
    </row>
    <row r="520" spans="1:31" x14ac:dyDescent="0.2">
      <c r="A520" s="201"/>
      <c r="B520" s="4" t="s">
        <v>3170</v>
      </c>
      <c r="C520" s="4">
        <v>516</v>
      </c>
      <c r="D520" s="4" t="s">
        <v>1536</v>
      </c>
      <c r="E520" s="4" t="s">
        <v>1537</v>
      </c>
      <c r="F520" s="4" t="s">
        <v>1538</v>
      </c>
      <c r="G520" s="4" t="s">
        <v>1356</v>
      </c>
      <c r="H520" s="4" t="s">
        <v>41</v>
      </c>
      <c r="I520" s="4" t="s">
        <v>84</v>
      </c>
      <c r="J520" s="4">
        <v>30516</v>
      </c>
      <c r="K520" s="202" t="s">
        <v>1579</v>
      </c>
      <c r="L520" s="4">
        <v>33</v>
      </c>
      <c r="M520" s="4">
        <v>3</v>
      </c>
      <c r="N520" s="4" t="str">
        <f>_xlfn.CONCAT("DBX",((L520-1)*2),".3")</f>
        <v>DBX64.3</v>
      </c>
      <c r="O520" s="4" t="s">
        <v>781</v>
      </c>
      <c r="P520" s="4" t="s">
        <v>1583</v>
      </c>
      <c r="Q520" s="4" t="s">
        <v>12</v>
      </c>
      <c r="R520" s="4"/>
      <c r="S520" s="4">
        <v>3922</v>
      </c>
      <c r="T520" s="4" t="s">
        <v>2551</v>
      </c>
      <c r="U520" s="4" t="s">
        <v>2544</v>
      </c>
      <c r="V520" s="4" t="s">
        <v>3020</v>
      </c>
      <c r="W520" s="4" t="s">
        <v>126</v>
      </c>
      <c r="X520" s="4">
        <f t="shared" si="8"/>
        <v>10</v>
      </c>
      <c r="Y520" s="4"/>
      <c r="Z520" s="4"/>
      <c r="AA520" s="4"/>
      <c r="AB520" s="4"/>
      <c r="AC520" s="4">
        <v>1</v>
      </c>
      <c r="AD520" s="4"/>
      <c r="AE520" s="4"/>
    </row>
    <row r="521" spans="1:31" x14ac:dyDescent="0.2">
      <c r="A521" s="201"/>
      <c r="B521" s="4" t="s">
        <v>3170</v>
      </c>
      <c r="C521" s="4">
        <v>517</v>
      </c>
      <c r="D521" s="4" t="s">
        <v>1539</v>
      </c>
      <c r="E521" s="4" t="s">
        <v>1540</v>
      </c>
      <c r="F521" s="4" t="s">
        <v>1541</v>
      </c>
      <c r="G521" s="4" t="s">
        <v>1356</v>
      </c>
      <c r="H521" s="4" t="s">
        <v>41</v>
      </c>
      <c r="I521" s="4" t="s">
        <v>84</v>
      </c>
      <c r="J521" s="4">
        <v>30517</v>
      </c>
      <c r="K521" s="202" t="s">
        <v>1580</v>
      </c>
      <c r="L521" s="4">
        <v>33</v>
      </c>
      <c r="M521" s="4">
        <v>4</v>
      </c>
      <c r="N521" s="4" t="str">
        <f>_xlfn.CONCAT("DBX",((L521-1)*2),".4")</f>
        <v>DBX64.4</v>
      </c>
      <c r="O521" s="4" t="s">
        <v>781</v>
      </c>
      <c r="P521" s="4" t="s">
        <v>1584</v>
      </c>
      <c r="Q521" s="4" t="s">
        <v>12</v>
      </c>
      <c r="R521" s="4"/>
      <c r="S521" s="4">
        <v>3922</v>
      </c>
      <c r="T521" s="4" t="s">
        <v>2551</v>
      </c>
      <c r="U521" s="4" t="s">
        <v>2544</v>
      </c>
      <c r="V521" s="4" t="s">
        <v>3020</v>
      </c>
      <c r="W521" s="4" t="s">
        <v>127</v>
      </c>
      <c r="X521" s="4">
        <f t="shared" si="8"/>
        <v>11</v>
      </c>
      <c r="Y521" s="4"/>
      <c r="Z521" s="4"/>
      <c r="AA521" s="4"/>
      <c r="AB521" s="4"/>
      <c r="AC521" s="4">
        <v>1</v>
      </c>
      <c r="AD521" s="4"/>
      <c r="AE521" s="4"/>
    </row>
    <row r="522" spans="1:31" x14ac:dyDescent="0.2">
      <c r="A522" s="201"/>
      <c r="B522" s="4" t="s">
        <v>3170</v>
      </c>
      <c r="C522" s="4">
        <v>518</v>
      </c>
      <c r="D522" s="4" t="s">
        <v>1542</v>
      </c>
      <c r="E522" s="4" t="s">
        <v>1543</v>
      </c>
      <c r="F522" s="4" t="s">
        <v>1544</v>
      </c>
      <c r="G522" s="4" t="s">
        <v>1356</v>
      </c>
      <c r="H522" s="4" t="s">
        <v>41</v>
      </c>
      <c r="I522" s="4" t="s">
        <v>85</v>
      </c>
      <c r="J522" s="4">
        <v>30518</v>
      </c>
      <c r="K522" s="202" t="s">
        <v>812</v>
      </c>
      <c r="L522" s="4">
        <v>33</v>
      </c>
      <c r="M522" s="4">
        <v>5</v>
      </c>
      <c r="N522" s="4" t="str">
        <f>_xlfn.CONCAT("DBX",((L522-1)*2),".5")</f>
        <v>DBX64.5</v>
      </c>
      <c r="O522" s="4" t="s">
        <v>781</v>
      </c>
      <c r="P522" s="4" t="s">
        <v>11</v>
      </c>
      <c r="Q522" s="4" t="s">
        <v>12</v>
      </c>
      <c r="R522" s="4"/>
      <c r="S522" s="4">
        <v>3922</v>
      </c>
      <c r="T522" s="4" t="s">
        <v>2551</v>
      </c>
      <c r="U522" s="4"/>
      <c r="V522" s="4" t="s">
        <v>3020</v>
      </c>
      <c r="W522" s="4" t="s">
        <v>129</v>
      </c>
      <c r="X522" s="4">
        <f t="shared" si="8"/>
        <v>13</v>
      </c>
      <c r="Y522" s="4"/>
      <c r="Z522" s="4"/>
      <c r="AA522" s="4"/>
      <c r="AB522" s="4"/>
      <c r="AC522" s="4">
        <v>1</v>
      </c>
      <c r="AD522" s="4"/>
      <c r="AE522" s="4"/>
    </row>
    <row r="523" spans="1:31" x14ac:dyDescent="0.2">
      <c r="A523" s="201"/>
      <c r="B523" s="4" t="s">
        <v>3170</v>
      </c>
      <c r="C523" s="4">
        <v>519</v>
      </c>
      <c r="D523" s="4" t="s">
        <v>1545</v>
      </c>
      <c r="E523" s="4" t="s">
        <v>1546</v>
      </c>
      <c r="F523" s="4" t="s">
        <v>1547</v>
      </c>
      <c r="G523" s="4" t="s">
        <v>1356</v>
      </c>
      <c r="H523" s="4" t="s">
        <v>41</v>
      </c>
      <c r="I523" s="4" t="s">
        <v>85</v>
      </c>
      <c r="J523" s="4">
        <v>30519</v>
      </c>
      <c r="K523" s="202" t="s">
        <v>11</v>
      </c>
      <c r="L523" s="4">
        <v>33</v>
      </c>
      <c r="M523" s="4">
        <v>6</v>
      </c>
      <c r="N523" s="4" t="str">
        <f>_xlfn.CONCAT("DBX",((L523-1)*2),".6")</f>
        <v>DBX64.6</v>
      </c>
      <c r="O523" s="4" t="s">
        <v>781</v>
      </c>
      <c r="P523" s="4" t="s">
        <v>11</v>
      </c>
      <c r="Q523" s="4" t="s">
        <v>93</v>
      </c>
      <c r="R523" s="4"/>
      <c r="S523" s="4">
        <v>3922</v>
      </c>
      <c r="T523" s="4" t="s">
        <v>2551</v>
      </c>
      <c r="U523" s="4"/>
      <c r="V523" s="4" t="s">
        <v>3020</v>
      </c>
      <c r="W523" s="4" t="s">
        <v>128</v>
      </c>
      <c r="X523" s="4">
        <f t="shared" si="8"/>
        <v>12</v>
      </c>
      <c r="Y523" s="4"/>
      <c r="Z523" s="4"/>
      <c r="AA523" s="4"/>
      <c r="AB523" s="4"/>
      <c r="AC523" s="4">
        <v>1</v>
      </c>
      <c r="AD523" s="4"/>
      <c r="AE523" s="4"/>
    </row>
    <row r="524" spans="1:31" x14ac:dyDescent="0.2">
      <c r="A524" s="201"/>
      <c r="B524" s="4" t="s">
        <v>3170</v>
      </c>
      <c r="C524" s="4">
        <v>520</v>
      </c>
      <c r="D524" s="4" t="s">
        <v>1548</v>
      </c>
      <c r="E524" s="4" t="s">
        <v>1549</v>
      </c>
      <c r="F524" s="4" t="s">
        <v>1550</v>
      </c>
      <c r="G524" s="4" t="s">
        <v>329</v>
      </c>
      <c r="H524" s="4" t="s">
        <v>41</v>
      </c>
      <c r="I524" s="4" t="s">
        <v>85</v>
      </c>
      <c r="J524" s="4">
        <v>30520</v>
      </c>
      <c r="K524" s="202" t="s">
        <v>11</v>
      </c>
      <c r="L524" s="4">
        <v>33</v>
      </c>
      <c r="M524" s="4">
        <v>7</v>
      </c>
      <c r="N524" s="4" t="str">
        <f>_xlfn.CONCAT("DBX",((L524-1)*2),".7")</f>
        <v>DBX64.7</v>
      </c>
      <c r="O524" s="4" t="s">
        <v>781</v>
      </c>
      <c r="P524" s="4" t="s">
        <v>11</v>
      </c>
      <c r="Q524" s="4" t="s">
        <v>93</v>
      </c>
      <c r="R524" s="4"/>
      <c r="S524" s="4">
        <v>3922</v>
      </c>
      <c r="T524" s="4" t="s">
        <v>2551</v>
      </c>
      <c r="U524" s="4"/>
      <c r="V524" s="4" t="s">
        <v>3020</v>
      </c>
      <c r="W524" s="4" t="s">
        <v>129</v>
      </c>
      <c r="X524" s="4">
        <f t="shared" si="8"/>
        <v>13</v>
      </c>
      <c r="Y524" s="4"/>
      <c r="Z524" s="4"/>
      <c r="AA524" s="4"/>
      <c r="AB524" s="4"/>
      <c r="AC524" s="4">
        <v>1</v>
      </c>
      <c r="AD524" s="4"/>
      <c r="AE524" s="4"/>
    </row>
    <row r="525" spans="1:31" x14ac:dyDescent="0.2">
      <c r="A525" s="201"/>
      <c r="B525" s="4" t="s">
        <v>104</v>
      </c>
      <c r="C525" s="4">
        <v>521</v>
      </c>
      <c r="D525" s="4" t="s">
        <v>1551</v>
      </c>
      <c r="E525" s="4" t="s">
        <v>1552</v>
      </c>
      <c r="F525" s="4" t="s">
        <v>1553</v>
      </c>
      <c r="G525" s="4" t="s">
        <v>1356</v>
      </c>
      <c r="H525" s="4" t="s">
        <v>41</v>
      </c>
      <c r="I525" s="4" t="s">
        <v>85</v>
      </c>
      <c r="J525" s="4">
        <v>30521</v>
      </c>
      <c r="K525" s="202" t="s">
        <v>11</v>
      </c>
      <c r="L525" s="4">
        <v>33</v>
      </c>
      <c r="M525" s="4">
        <v>8</v>
      </c>
      <c r="N525" s="4" t="str">
        <f>_xlfn.CONCAT("DBX",((L525-1)*2)+1,".0")</f>
        <v>DBX65.0</v>
      </c>
      <c r="O525" s="4" t="s">
        <v>781</v>
      </c>
      <c r="P525" s="4" t="s">
        <v>11</v>
      </c>
      <c r="Q525" s="4" t="s">
        <v>12</v>
      </c>
      <c r="R525" s="4"/>
      <c r="S525" s="4">
        <v>3922</v>
      </c>
      <c r="T525" s="4" t="s">
        <v>2551</v>
      </c>
      <c r="U525" s="4"/>
      <c r="V525" s="4"/>
      <c r="W525" s="4" t="s">
        <v>128</v>
      </c>
      <c r="X525" s="4">
        <f t="shared" si="8"/>
        <v>12</v>
      </c>
      <c r="Y525" s="4"/>
      <c r="Z525" s="4"/>
      <c r="AA525" s="4"/>
      <c r="AB525" s="4"/>
      <c r="AC525" s="4">
        <v>1</v>
      </c>
      <c r="AD525" s="4"/>
      <c r="AE525" s="4"/>
    </row>
    <row r="526" spans="1:31" x14ac:dyDescent="0.2">
      <c r="A526" s="201"/>
      <c r="B526" s="4" t="s">
        <v>104</v>
      </c>
      <c r="C526" s="4">
        <v>522</v>
      </c>
      <c r="D526" s="4" t="s">
        <v>1554</v>
      </c>
      <c r="E526" s="4" t="s">
        <v>1555</v>
      </c>
      <c r="F526" s="4" t="s">
        <v>1556</v>
      </c>
      <c r="G526" s="4" t="s">
        <v>1557</v>
      </c>
      <c r="H526" s="4" t="s">
        <v>41</v>
      </c>
      <c r="I526" s="4" t="s">
        <v>85</v>
      </c>
      <c r="J526" s="4">
        <v>30522</v>
      </c>
      <c r="K526" s="202" t="s">
        <v>11</v>
      </c>
      <c r="L526" s="4">
        <v>33</v>
      </c>
      <c r="M526" s="4">
        <v>9</v>
      </c>
      <c r="N526" s="4" t="str">
        <f>_xlfn.CONCAT("DBX",((L526-1)*2)+1,".1")</f>
        <v>DBX65.1</v>
      </c>
      <c r="O526" s="4" t="s">
        <v>781</v>
      </c>
      <c r="P526" s="4" t="s">
        <v>11</v>
      </c>
      <c r="Q526" s="4" t="s">
        <v>12</v>
      </c>
      <c r="R526" s="4"/>
      <c r="S526" s="4">
        <v>3922</v>
      </c>
      <c r="T526" s="4" t="s">
        <v>2551</v>
      </c>
      <c r="U526" s="4"/>
      <c r="V526" s="4"/>
      <c r="W526" s="4" t="s">
        <v>121</v>
      </c>
      <c r="X526" s="4">
        <f t="shared" si="8"/>
        <v>5</v>
      </c>
      <c r="Y526" s="4"/>
      <c r="Z526" s="4"/>
      <c r="AA526" s="4"/>
      <c r="AB526" s="4"/>
      <c r="AC526" s="4">
        <v>1</v>
      </c>
      <c r="AD526" s="4"/>
      <c r="AE526" s="4"/>
    </row>
    <row r="527" spans="1:31" x14ac:dyDescent="0.2">
      <c r="A527" s="201"/>
      <c r="B527" s="4" t="s">
        <v>3170</v>
      </c>
      <c r="C527" s="4">
        <v>523</v>
      </c>
      <c r="D527" s="4" t="s">
        <v>1558</v>
      </c>
      <c r="E527" s="4" t="s">
        <v>1559</v>
      </c>
      <c r="F527" s="4" t="s">
        <v>1560</v>
      </c>
      <c r="G527" s="4" t="s">
        <v>40</v>
      </c>
      <c r="H527" s="4" t="s">
        <v>41</v>
      </c>
      <c r="I527" s="4" t="s">
        <v>40</v>
      </c>
      <c r="J527" s="4">
        <v>30523</v>
      </c>
      <c r="K527" s="202" t="s">
        <v>812</v>
      </c>
      <c r="L527" s="4">
        <v>33</v>
      </c>
      <c r="M527" s="4">
        <v>10</v>
      </c>
      <c r="N527" s="4" t="str">
        <f>_xlfn.CONCAT("DBX",((L527-1)*2)+1,".2")</f>
        <v>DBX65.2</v>
      </c>
      <c r="O527" s="4" t="s">
        <v>781</v>
      </c>
      <c r="P527" s="4" t="s">
        <v>11</v>
      </c>
      <c r="Q527" s="4" t="s">
        <v>90</v>
      </c>
      <c r="R527" s="4"/>
      <c r="S527" s="4">
        <v>3922</v>
      </c>
      <c r="T527" s="4" t="s">
        <v>2551</v>
      </c>
      <c r="U527" s="4"/>
      <c r="V527" s="4" t="s">
        <v>3020</v>
      </c>
      <c r="W527" s="4" t="s">
        <v>129</v>
      </c>
      <c r="X527" s="4">
        <f t="shared" si="8"/>
        <v>13</v>
      </c>
      <c r="Y527" s="4"/>
      <c r="Z527" s="4"/>
      <c r="AA527" s="4"/>
      <c r="AB527" s="4"/>
      <c r="AC527" s="4">
        <v>0</v>
      </c>
      <c r="AD527" s="4"/>
      <c r="AE527" s="4"/>
    </row>
    <row r="528" spans="1:31" s="244" customFormat="1" x14ac:dyDescent="0.2">
      <c r="A528" s="250"/>
      <c r="B528" s="266" t="s">
        <v>3349</v>
      </c>
      <c r="C528" s="242">
        <v>524</v>
      </c>
      <c r="D528" s="242" t="s">
        <v>1561</v>
      </c>
      <c r="E528" s="242" t="s">
        <v>1562</v>
      </c>
      <c r="F528" s="242" t="s">
        <v>1563</v>
      </c>
      <c r="G528" s="4" t="s">
        <v>40</v>
      </c>
      <c r="H528" s="4" t="s">
        <v>41</v>
      </c>
      <c r="I528" s="4" t="s">
        <v>40</v>
      </c>
      <c r="J528" s="4">
        <v>30524</v>
      </c>
      <c r="K528" s="202" t="s">
        <v>812</v>
      </c>
      <c r="L528" s="4">
        <v>33</v>
      </c>
      <c r="M528" s="4">
        <v>11</v>
      </c>
      <c r="N528" s="4" t="str">
        <f>_xlfn.CONCAT("DBX",((L528-1)*2)+1,".3")</f>
        <v>DBX65.3</v>
      </c>
      <c r="O528" s="4" t="s">
        <v>781</v>
      </c>
      <c r="P528" s="4" t="s">
        <v>11</v>
      </c>
      <c r="Q528" s="242" t="s">
        <v>88</v>
      </c>
      <c r="R528" s="242"/>
      <c r="S528" s="242">
        <v>3922</v>
      </c>
      <c r="T528" s="242" t="s">
        <v>2551</v>
      </c>
      <c r="U528" s="242"/>
      <c r="V528" s="242" t="s">
        <v>3020</v>
      </c>
      <c r="W528" s="242" t="s">
        <v>129</v>
      </c>
      <c r="X528" s="242">
        <f t="shared" si="8"/>
        <v>13</v>
      </c>
      <c r="Y528" s="242" t="s">
        <v>2653</v>
      </c>
      <c r="Z528" s="242"/>
      <c r="AA528" s="242"/>
      <c r="AB528" s="242"/>
      <c r="AC528" s="266">
        <v>0</v>
      </c>
      <c r="AD528" s="242"/>
      <c r="AE528" s="242"/>
    </row>
    <row r="529" spans="1:31" s="244" customFormat="1" x14ac:dyDescent="0.2">
      <c r="A529" s="250"/>
      <c r="B529" s="266" t="s">
        <v>3349</v>
      </c>
      <c r="C529" s="242">
        <v>525</v>
      </c>
      <c r="D529" s="242" t="s">
        <v>1564</v>
      </c>
      <c r="E529" s="242" t="s">
        <v>1565</v>
      </c>
      <c r="F529" s="242" t="s">
        <v>1566</v>
      </c>
      <c r="G529" s="4" t="s">
        <v>1356</v>
      </c>
      <c r="H529" s="4" t="s">
        <v>41</v>
      </c>
      <c r="I529" s="4" t="s">
        <v>85</v>
      </c>
      <c r="J529" s="4">
        <v>30525</v>
      </c>
      <c r="K529" s="202" t="s">
        <v>812</v>
      </c>
      <c r="L529" s="4">
        <v>33</v>
      </c>
      <c r="M529" s="4">
        <v>12</v>
      </c>
      <c r="N529" s="4" t="str">
        <f>_xlfn.CONCAT("DBX",((L529-1)*2)+1,".4")</f>
        <v>DBX65.4</v>
      </c>
      <c r="O529" s="4" t="s">
        <v>781</v>
      </c>
      <c r="P529" s="4" t="s">
        <v>11</v>
      </c>
      <c r="Q529" s="242" t="s">
        <v>88</v>
      </c>
      <c r="R529" s="242"/>
      <c r="S529" s="242">
        <v>3922</v>
      </c>
      <c r="T529" s="242" t="s">
        <v>2551</v>
      </c>
      <c r="U529" s="242"/>
      <c r="V529" s="242" t="s">
        <v>3020</v>
      </c>
      <c r="W529" s="242" t="s">
        <v>129</v>
      </c>
      <c r="X529" s="242">
        <f t="shared" si="8"/>
        <v>13</v>
      </c>
      <c r="Y529" s="242" t="s">
        <v>1587</v>
      </c>
      <c r="Z529" s="242"/>
      <c r="AA529" s="242"/>
      <c r="AB529" s="242"/>
      <c r="AC529" s="266">
        <v>0</v>
      </c>
      <c r="AD529" s="242"/>
      <c r="AE529" s="242"/>
    </row>
    <row r="530" spans="1:31" x14ac:dyDescent="0.2">
      <c r="A530" s="201"/>
      <c r="B530" s="4" t="s">
        <v>3170</v>
      </c>
      <c r="C530" s="4">
        <v>526</v>
      </c>
      <c r="D530" s="4" t="s">
        <v>1567</v>
      </c>
      <c r="E530" s="4" t="s">
        <v>1568</v>
      </c>
      <c r="F530" s="4" t="s">
        <v>1569</v>
      </c>
      <c r="G530" s="4" t="s">
        <v>1356</v>
      </c>
      <c r="H530" s="4" t="s">
        <v>41</v>
      </c>
      <c r="I530" s="4" t="s">
        <v>84</v>
      </c>
      <c r="J530" s="4">
        <v>30526</v>
      </c>
      <c r="K530" s="202" t="s">
        <v>1581</v>
      </c>
      <c r="L530" s="4">
        <v>33</v>
      </c>
      <c r="M530" s="4">
        <v>13</v>
      </c>
      <c r="N530" s="4" t="str">
        <f>_xlfn.CONCAT("DBX",((L530-1)*2)+1,".5")</f>
        <v>DBX65.5</v>
      </c>
      <c r="O530" s="4" t="s">
        <v>781</v>
      </c>
      <c r="P530" s="4" t="s">
        <v>1585</v>
      </c>
      <c r="Q530" s="4" t="s">
        <v>12</v>
      </c>
      <c r="R530" s="4"/>
      <c r="S530" s="4">
        <v>3922</v>
      </c>
      <c r="T530" s="4" t="s">
        <v>2551</v>
      </c>
      <c r="U530" s="4" t="s">
        <v>2546</v>
      </c>
      <c r="V530" s="4" t="s">
        <v>3020</v>
      </c>
      <c r="W530" s="4" t="s">
        <v>126</v>
      </c>
      <c r="X530" s="4">
        <f t="shared" si="8"/>
        <v>10</v>
      </c>
      <c r="Y530" s="4"/>
      <c r="Z530" s="4"/>
      <c r="AA530" s="4"/>
      <c r="AB530" s="4"/>
      <c r="AC530" s="4">
        <v>1</v>
      </c>
      <c r="AD530" s="4"/>
      <c r="AE530" s="4"/>
    </row>
    <row r="531" spans="1:31" x14ac:dyDescent="0.2">
      <c r="A531" s="201"/>
      <c r="B531" s="4" t="s">
        <v>3170</v>
      </c>
      <c r="C531" s="4">
        <v>527</v>
      </c>
      <c r="D531" s="4" t="s">
        <v>1570</v>
      </c>
      <c r="E531" s="4" t="s">
        <v>1571</v>
      </c>
      <c r="F531" s="4" t="s">
        <v>1572</v>
      </c>
      <c r="G531" s="4" t="s">
        <v>1356</v>
      </c>
      <c r="H531" s="4" t="s">
        <v>41</v>
      </c>
      <c r="I531" s="4" t="s">
        <v>84</v>
      </c>
      <c r="J531" s="4">
        <v>30527</v>
      </c>
      <c r="K531" s="202" t="s">
        <v>1582</v>
      </c>
      <c r="L531" s="4">
        <v>33</v>
      </c>
      <c r="M531" s="4">
        <v>14</v>
      </c>
      <c r="N531" s="4" t="str">
        <f>_xlfn.CONCAT("DBX",((L531-1)*2)+1,".6")</f>
        <v>DBX65.6</v>
      </c>
      <c r="O531" s="4" t="s">
        <v>781</v>
      </c>
      <c r="P531" s="4" t="s">
        <v>1586</v>
      </c>
      <c r="Q531" s="4" t="s">
        <v>12</v>
      </c>
      <c r="R531" s="4"/>
      <c r="S531" s="4">
        <v>3922</v>
      </c>
      <c r="T531" s="4" t="s">
        <v>2551</v>
      </c>
      <c r="U531" s="4" t="s">
        <v>2546</v>
      </c>
      <c r="V531" s="4" t="s">
        <v>3020</v>
      </c>
      <c r="W531" s="4" t="s">
        <v>127</v>
      </c>
      <c r="X531" s="4">
        <f t="shared" si="8"/>
        <v>11</v>
      </c>
      <c r="Y531" s="4"/>
      <c r="Z531" s="4"/>
      <c r="AA531" s="4"/>
      <c r="AB531" s="4"/>
      <c r="AC531" s="4">
        <v>1</v>
      </c>
      <c r="AD531" s="4"/>
      <c r="AE531" s="4"/>
    </row>
    <row r="532" spans="1:31" x14ac:dyDescent="0.2">
      <c r="A532" s="201"/>
      <c r="B532" s="4" t="s">
        <v>3170</v>
      </c>
      <c r="C532" s="4">
        <v>528</v>
      </c>
      <c r="D532" s="4" t="s">
        <v>1573</v>
      </c>
      <c r="E532" s="4" t="s">
        <v>1574</v>
      </c>
      <c r="F532" s="4" t="s">
        <v>1575</v>
      </c>
      <c r="G532" s="4" t="s">
        <v>1356</v>
      </c>
      <c r="H532" s="4" t="s">
        <v>41</v>
      </c>
      <c r="I532" s="4" t="s">
        <v>84</v>
      </c>
      <c r="J532" s="4">
        <v>30528</v>
      </c>
      <c r="K532" s="202" t="s">
        <v>11</v>
      </c>
      <c r="L532" s="4">
        <v>33</v>
      </c>
      <c r="M532" s="4">
        <v>15</v>
      </c>
      <c r="N532" s="4" t="str">
        <f>_xlfn.CONCAT("DBX",((L532-1)*2)+1,".7")</f>
        <v>DBX65.7</v>
      </c>
      <c r="O532" s="4" t="s">
        <v>781</v>
      </c>
      <c r="P532" s="4" t="s">
        <v>11</v>
      </c>
      <c r="Q532" s="4" t="s">
        <v>12</v>
      </c>
      <c r="R532" s="4"/>
      <c r="S532" s="4">
        <v>3922</v>
      </c>
      <c r="T532" s="4" t="s">
        <v>2551</v>
      </c>
      <c r="U532" s="4"/>
      <c r="V532" s="4" t="s">
        <v>3020</v>
      </c>
      <c r="W532" s="4" t="s">
        <v>129</v>
      </c>
      <c r="X532" s="4">
        <f t="shared" si="8"/>
        <v>13</v>
      </c>
      <c r="Y532" s="4"/>
      <c r="Z532" s="4"/>
      <c r="AA532" s="4"/>
      <c r="AB532" s="4"/>
      <c r="AC532" s="4">
        <v>1</v>
      </c>
      <c r="AD532" s="4"/>
      <c r="AE532" s="4"/>
    </row>
    <row r="533" spans="1:31" x14ac:dyDescent="0.2">
      <c r="A533" s="201"/>
      <c r="B533" s="4" t="s">
        <v>104</v>
      </c>
      <c r="C533" s="4">
        <v>529</v>
      </c>
      <c r="D533" s="4" t="s">
        <v>1576</v>
      </c>
      <c r="E533" s="4" t="s">
        <v>1577</v>
      </c>
      <c r="F533" s="4" t="s">
        <v>1578</v>
      </c>
      <c r="G533" s="4" t="s">
        <v>329</v>
      </c>
      <c r="H533" s="4" t="s">
        <v>41</v>
      </c>
      <c r="I533" s="4" t="s">
        <v>85</v>
      </c>
      <c r="J533" s="4">
        <v>30529</v>
      </c>
      <c r="K533" s="202" t="s">
        <v>11</v>
      </c>
      <c r="L533" s="4">
        <v>34</v>
      </c>
      <c r="M533" s="4">
        <v>0</v>
      </c>
      <c r="N533" s="4" t="str">
        <f>_xlfn.CONCAT("DBX",((L533-1)*2),".0")</f>
        <v>DBX66.0</v>
      </c>
      <c r="O533" s="4" t="s">
        <v>781</v>
      </c>
      <c r="P533" s="4" t="s">
        <v>11</v>
      </c>
      <c r="Q533" s="4" t="s">
        <v>92</v>
      </c>
      <c r="R533" s="4"/>
      <c r="S533" s="4">
        <v>3922</v>
      </c>
      <c r="T533" s="4" t="s">
        <v>2551</v>
      </c>
      <c r="U533" s="4"/>
      <c r="V533" s="4"/>
      <c r="W533" s="4" t="s">
        <v>129</v>
      </c>
      <c r="X533" s="4">
        <f t="shared" si="8"/>
        <v>13</v>
      </c>
      <c r="Y533" s="4"/>
      <c r="Z533" s="4"/>
      <c r="AA533" s="4"/>
      <c r="AB533" s="4"/>
      <c r="AC533" s="4">
        <v>1</v>
      </c>
      <c r="AD533" s="4"/>
      <c r="AE533" s="4"/>
    </row>
    <row r="534" spans="1:31" x14ac:dyDescent="0.2">
      <c r="A534" s="201"/>
      <c r="B534" s="4" t="s">
        <v>34</v>
      </c>
      <c r="C534" s="4">
        <v>530</v>
      </c>
      <c r="D534" s="4"/>
      <c r="E534" s="4"/>
      <c r="F534" s="4"/>
      <c r="G534" s="4"/>
      <c r="H534" s="4"/>
      <c r="I534" s="4"/>
      <c r="J534" s="4">
        <v>30530</v>
      </c>
      <c r="K534" s="202"/>
      <c r="L534" s="4">
        <v>34</v>
      </c>
      <c r="M534" s="4">
        <v>1</v>
      </c>
      <c r="N534" s="4" t="str">
        <f>_xlfn.CONCAT("DBX",((L534-1)*2),".1")</f>
        <v>DBX66.1</v>
      </c>
      <c r="O534" s="4" t="s">
        <v>781</v>
      </c>
      <c r="P534" s="4"/>
      <c r="Q534" s="4"/>
      <c r="R534" s="4"/>
      <c r="S534" s="4"/>
      <c r="T534" s="4"/>
      <c r="U534" s="4"/>
      <c r="V534" s="4"/>
      <c r="W534" s="4"/>
      <c r="X534" s="4" t="e">
        <f t="shared" si="8"/>
        <v>#N/A</v>
      </c>
      <c r="Y534" s="4"/>
      <c r="Z534" s="4"/>
      <c r="AA534" s="4"/>
      <c r="AB534" s="4"/>
      <c r="AC534" s="4"/>
      <c r="AD534" s="4"/>
      <c r="AE534" s="4"/>
    </row>
    <row r="535" spans="1:31" x14ac:dyDescent="0.2">
      <c r="A535" s="201"/>
      <c r="B535" s="4" t="s">
        <v>34</v>
      </c>
      <c r="C535" s="4">
        <v>531</v>
      </c>
      <c r="D535" s="4"/>
      <c r="E535" s="4"/>
      <c r="F535" s="4"/>
      <c r="G535" s="4"/>
      <c r="H535" s="4"/>
      <c r="I535" s="4"/>
      <c r="J535" s="4">
        <v>30531</v>
      </c>
      <c r="K535" s="202"/>
      <c r="L535" s="4">
        <v>34</v>
      </c>
      <c r="M535" s="4">
        <v>2</v>
      </c>
      <c r="N535" s="4" t="str">
        <f>_xlfn.CONCAT("DBX",((L535-1)*2),".2")</f>
        <v>DBX66.2</v>
      </c>
      <c r="O535" s="4" t="s">
        <v>781</v>
      </c>
      <c r="P535" s="4"/>
      <c r="Q535" s="4"/>
      <c r="R535" s="4"/>
      <c r="S535" s="4"/>
      <c r="T535" s="4"/>
      <c r="U535" s="4"/>
      <c r="V535" s="4"/>
      <c r="W535" s="4"/>
      <c r="X535" s="4" t="e">
        <f t="shared" si="8"/>
        <v>#N/A</v>
      </c>
      <c r="Y535" s="4"/>
      <c r="Z535" s="4"/>
      <c r="AA535" s="4"/>
      <c r="AB535" s="4"/>
      <c r="AC535" s="4"/>
      <c r="AD535" s="4"/>
      <c r="AE535" s="4"/>
    </row>
    <row r="536" spans="1:31" x14ac:dyDescent="0.2">
      <c r="A536" s="201"/>
      <c r="B536" s="4" t="s">
        <v>3170</v>
      </c>
      <c r="C536" s="4">
        <v>532</v>
      </c>
      <c r="D536" s="4" t="s">
        <v>1694</v>
      </c>
      <c r="E536" s="4" t="s">
        <v>1695</v>
      </c>
      <c r="F536" s="4" t="s">
        <v>1696</v>
      </c>
      <c r="G536" s="4" t="s">
        <v>1697</v>
      </c>
      <c r="H536" s="4" t="s">
        <v>41</v>
      </c>
      <c r="I536" s="4" t="s">
        <v>84</v>
      </c>
      <c r="J536" s="4">
        <v>30532</v>
      </c>
      <c r="K536" s="202" t="s">
        <v>1719</v>
      </c>
      <c r="L536" s="4">
        <v>34</v>
      </c>
      <c r="M536" s="4">
        <v>3</v>
      </c>
      <c r="N536" s="4" t="str">
        <f>_xlfn.CONCAT("DBX",((L536-1)*2),".3")</f>
        <v>DBX66.3</v>
      </c>
      <c r="O536" s="4" t="s">
        <v>781</v>
      </c>
      <c r="P536" s="4" t="s">
        <v>1721</v>
      </c>
      <c r="Q536" s="4" t="s">
        <v>12</v>
      </c>
      <c r="R536" s="4"/>
      <c r="S536" s="4">
        <v>3922</v>
      </c>
      <c r="T536" s="4" t="s">
        <v>2551</v>
      </c>
      <c r="U536" s="4" t="s">
        <v>1719</v>
      </c>
      <c r="V536" s="203" t="s">
        <v>3067</v>
      </c>
      <c r="W536" s="4" t="s">
        <v>129</v>
      </c>
      <c r="X536" s="4">
        <f t="shared" si="8"/>
        <v>13</v>
      </c>
      <c r="Y536" s="4"/>
      <c r="Z536" s="4"/>
      <c r="AA536" s="4"/>
      <c r="AB536" s="4"/>
      <c r="AC536" s="4">
        <v>1</v>
      </c>
      <c r="AD536" s="4"/>
      <c r="AE536" s="4"/>
    </row>
    <row r="537" spans="1:31" x14ac:dyDescent="0.2">
      <c r="A537" s="201"/>
      <c r="B537" s="4" t="s">
        <v>3170</v>
      </c>
      <c r="C537" s="4">
        <v>533</v>
      </c>
      <c r="D537" s="4" t="s">
        <v>1698</v>
      </c>
      <c r="E537" s="4" t="s">
        <v>1699</v>
      </c>
      <c r="F537" s="4" t="s">
        <v>1700</v>
      </c>
      <c r="G537" s="4" t="s">
        <v>1697</v>
      </c>
      <c r="H537" s="4" t="s">
        <v>41</v>
      </c>
      <c r="I537" s="4" t="s">
        <v>84</v>
      </c>
      <c r="J537" s="4">
        <v>30533</v>
      </c>
      <c r="K537" s="202" t="s">
        <v>857</v>
      </c>
      <c r="L537" s="4">
        <v>34</v>
      </c>
      <c r="M537" s="4">
        <v>4</v>
      </c>
      <c r="N537" s="4" t="str">
        <f>_xlfn.CONCAT("DBX",((L537-1)*2),".4")</f>
        <v>DBX66.4</v>
      </c>
      <c r="O537" s="4" t="s">
        <v>781</v>
      </c>
      <c r="P537" s="4" t="s">
        <v>11</v>
      </c>
      <c r="Q537" s="4" t="s">
        <v>12</v>
      </c>
      <c r="R537" s="4"/>
      <c r="S537" s="4">
        <v>3922</v>
      </c>
      <c r="T537" s="4" t="s">
        <v>2551</v>
      </c>
      <c r="U537" s="4" t="s">
        <v>1719</v>
      </c>
      <c r="V537" s="4" t="s">
        <v>3067</v>
      </c>
      <c r="W537" s="4" t="s">
        <v>127</v>
      </c>
      <c r="X537" s="4">
        <f t="shared" si="8"/>
        <v>11</v>
      </c>
      <c r="Y537" s="4"/>
      <c r="Z537" s="4"/>
      <c r="AA537" s="4"/>
      <c r="AB537" s="4"/>
      <c r="AC537" s="4">
        <v>1</v>
      </c>
      <c r="AD537" s="4"/>
      <c r="AE537" s="4"/>
    </row>
    <row r="538" spans="1:31" x14ac:dyDescent="0.2">
      <c r="A538" s="201"/>
      <c r="B538" s="4" t="s">
        <v>3170</v>
      </c>
      <c r="C538" s="4">
        <v>534</v>
      </c>
      <c r="D538" s="4" t="s">
        <v>1701</v>
      </c>
      <c r="E538" s="4" t="s">
        <v>1702</v>
      </c>
      <c r="F538" s="4" t="s">
        <v>1703</v>
      </c>
      <c r="G538" s="4" t="s">
        <v>1697</v>
      </c>
      <c r="H538" s="4" t="s">
        <v>41</v>
      </c>
      <c r="I538" s="4" t="s">
        <v>84</v>
      </c>
      <c r="J538" s="4">
        <v>30534</v>
      </c>
      <c r="K538" s="202" t="s">
        <v>857</v>
      </c>
      <c r="L538" s="4">
        <v>34</v>
      </c>
      <c r="M538" s="4">
        <v>5</v>
      </c>
      <c r="N538" s="4" t="str">
        <f>_xlfn.CONCAT("DBX",((L538-1)*2),".5")</f>
        <v>DBX66.5</v>
      </c>
      <c r="O538" s="4" t="s">
        <v>781</v>
      </c>
      <c r="P538" s="4" t="s">
        <v>11</v>
      </c>
      <c r="Q538" s="4" t="s">
        <v>12</v>
      </c>
      <c r="R538" s="4"/>
      <c r="S538" s="4">
        <v>3922</v>
      </c>
      <c r="T538" s="4" t="s">
        <v>2551</v>
      </c>
      <c r="U538" s="4" t="s">
        <v>1719</v>
      </c>
      <c r="V538" s="4" t="s">
        <v>3067</v>
      </c>
      <c r="W538" s="4" t="s">
        <v>127</v>
      </c>
      <c r="X538" s="4">
        <f t="shared" si="8"/>
        <v>11</v>
      </c>
      <c r="Y538" s="4"/>
      <c r="Z538" s="4"/>
      <c r="AA538" s="4"/>
      <c r="AB538" s="4"/>
      <c r="AC538" s="4">
        <v>1</v>
      </c>
      <c r="AD538" s="4"/>
      <c r="AE538" s="4"/>
    </row>
    <row r="539" spans="1:31" x14ac:dyDescent="0.2">
      <c r="A539" s="201"/>
      <c r="B539" s="4" t="s">
        <v>3170</v>
      </c>
      <c r="C539" s="4">
        <v>535</v>
      </c>
      <c r="D539" s="4" t="s">
        <v>1704</v>
      </c>
      <c r="E539" s="4" t="s">
        <v>1705</v>
      </c>
      <c r="F539" s="4" t="s">
        <v>1706</v>
      </c>
      <c r="G539" s="4" t="s">
        <v>329</v>
      </c>
      <c r="H539" s="4" t="s">
        <v>41</v>
      </c>
      <c r="I539" s="4" t="s">
        <v>84</v>
      </c>
      <c r="J539" s="4">
        <v>30535</v>
      </c>
      <c r="K539" s="202" t="s">
        <v>857</v>
      </c>
      <c r="L539" s="4">
        <v>34</v>
      </c>
      <c r="M539" s="4">
        <v>6</v>
      </c>
      <c r="N539" s="4" t="str">
        <f>_xlfn.CONCAT("DBX",((L539-1)*2),".6")</f>
        <v>DBX66.6</v>
      </c>
      <c r="O539" s="4" t="s">
        <v>781</v>
      </c>
      <c r="P539" s="4" t="s">
        <v>11</v>
      </c>
      <c r="Q539" s="4" t="s">
        <v>12</v>
      </c>
      <c r="R539" s="4"/>
      <c r="S539" s="4">
        <v>3922</v>
      </c>
      <c r="T539" s="4" t="s">
        <v>2551</v>
      </c>
      <c r="U539" s="4" t="s">
        <v>1719</v>
      </c>
      <c r="V539" s="4" t="s">
        <v>3067</v>
      </c>
      <c r="W539" s="4" t="s">
        <v>127</v>
      </c>
      <c r="X539" s="4">
        <f t="shared" si="8"/>
        <v>11</v>
      </c>
      <c r="Y539" s="4"/>
      <c r="Z539" s="4"/>
      <c r="AA539" s="4"/>
      <c r="AB539" s="4"/>
      <c r="AC539" s="4">
        <v>1</v>
      </c>
      <c r="AD539" s="4"/>
      <c r="AE539" s="4"/>
    </row>
    <row r="540" spans="1:31" x14ac:dyDescent="0.2">
      <c r="A540" s="201"/>
      <c r="B540" s="4" t="s">
        <v>3170</v>
      </c>
      <c r="C540" s="4">
        <v>536</v>
      </c>
      <c r="D540" s="4" t="s">
        <v>1707</v>
      </c>
      <c r="E540" s="4" t="s">
        <v>1708</v>
      </c>
      <c r="F540" s="4" t="s">
        <v>1709</v>
      </c>
      <c r="G540" s="4" t="s">
        <v>1697</v>
      </c>
      <c r="H540" s="4" t="s">
        <v>41</v>
      </c>
      <c r="I540" s="4" t="s">
        <v>84</v>
      </c>
      <c r="J540" s="4">
        <v>30536</v>
      </c>
      <c r="K540" s="202" t="s">
        <v>1720</v>
      </c>
      <c r="L540" s="4">
        <v>34</v>
      </c>
      <c r="M540" s="4">
        <v>7</v>
      </c>
      <c r="N540" s="4" t="str">
        <f>_xlfn.CONCAT("DBX",((L540-1)*2),".7")</f>
        <v>DBX66.7</v>
      </c>
      <c r="O540" s="4" t="s">
        <v>781</v>
      </c>
      <c r="P540" s="4" t="s">
        <v>1722</v>
      </c>
      <c r="Q540" s="4" t="s">
        <v>12</v>
      </c>
      <c r="R540" s="4"/>
      <c r="S540" s="4">
        <v>3922</v>
      </c>
      <c r="T540" s="4" t="s">
        <v>2551</v>
      </c>
      <c r="U540" s="4" t="s">
        <v>1720</v>
      </c>
      <c r="V540" s="4" t="s">
        <v>3026</v>
      </c>
      <c r="W540" s="4" t="s">
        <v>129</v>
      </c>
      <c r="X540" s="4">
        <f t="shared" si="8"/>
        <v>13</v>
      </c>
      <c r="Y540" s="4"/>
      <c r="Z540" s="4"/>
      <c r="AA540" s="4"/>
      <c r="AB540" s="4"/>
      <c r="AC540" s="4">
        <v>1</v>
      </c>
      <c r="AD540" s="4"/>
      <c r="AE540" s="4"/>
    </row>
    <row r="541" spans="1:31" x14ac:dyDescent="0.2">
      <c r="A541" s="201"/>
      <c r="B541" s="4" t="s">
        <v>3170</v>
      </c>
      <c r="C541" s="4">
        <v>537</v>
      </c>
      <c r="D541" s="4" t="s">
        <v>1710</v>
      </c>
      <c r="E541" s="4" t="s">
        <v>1711</v>
      </c>
      <c r="F541" s="4" t="s">
        <v>1712</v>
      </c>
      <c r="G541" s="4" t="s">
        <v>1697</v>
      </c>
      <c r="H541" s="4" t="s">
        <v>41</v>
      </c>
      <c r="I541" s="4" t="s">
        <v>84</v>
      </c>
      <c r="J541" s="4">
        <v>30537</v>
      </c>
      <c r="K541" s="202" t="s">
        <v>858</v>
      </c>
      <c r="L541" s="4">
        <v>34</v>
      </c>
      <c r="M541" s="4">
        <v>8</v>
      </c>
      <c r="N541" s="4" t="str">
        <f>_xlfn.CONCAT("DBX",((L541-1)*2)+1,".0")</f>
        <v>DBX67.0</v>
      </c>
      <c r="O541" s="4" t="s">
        <v>781</v>
      </c>
      <c r="P541" s="4" t="s">
        <v>11</v>
      </c>
      <c r="Q541" s="4" t="s">
        <v>12</v>
      </c>
      <c r="R541" s="4"/>
      <c r="S541" s="4">
        <v>3922</v>
      </c>
      <c r="T541" s="4" t="s">
        <v>2551</v>
      </c>
      <c r="U541" s="4" t="s">
        <v>1720</v>
      </c>
      <c r="V541" s="4" t="s">
        <v>3026</v>
      </c>
      <c r="W541" s="4" t="s">
        <v>127</v>
      </c>
      <c r="X541" s="4">
        <f t="shared" si="8"/>
        <v>11</v>
      </c>
      <c r="Y541" s="4"/>
      <c r="Z541" s="4"/>
      <c r="AA541" s="4"/>
      <c r="AB541" s="4"/>
      <c r="AC541" s="4">
        <v>1</v>
      </c>
      <c r="AD541" s="4"/>
      <c r="AE541" s="4"/>
    </row>
    <row r="542" spans="1:31" x14ac:dyDescent="0.2">
      <c r="A542" s="201"/>
      <c r="B542" s="4" t="s">
        <v>3170</v>
      </c>
      <c r="C542" s="4">
        <v>538</v>
      </c>
      <c r="D542" s="4" t="s">
        <v>1713</v>
      </c>
      <c r="E542" s="4" t="s">
        <v>1714</v>
      </c>
      <c r="F542" s="4" t="s">
        <v>1715</v>
      </c>
      <c r="G542" s="4" t="s">
        <v>1697</v>
      </c>
      <c r="H542" s="4" t="s">
        <v>41</v>
      </c>
      <c r="I542" s="4" t="s">
        <v>84</v>
      </c>
      <c r="J542" s="4">
        <v>30538</v>
      </c>
      <c r="K542" s="202" t="s">
        <v>858</v>
      </c>
      <c r="L542" s="4">
        <v>34</v>
      </c>
      <c r="M542" s="4">
        <v>9</v>
      </c>
      <c r="N542" s="4" t="str">
        <f>_xlfn.CONCAT("DBX",((L542-1)*2)+1,".1")</f>
        <v>DBX67.1</v>
      </c>
      <c r="O542" s="4" t="s">
        <v>781</v>
      </c>
      <c r="P542" s="4" t="s">
        <v>11</v>
      </c>
      <c r="Q542" s="4" t="s">
        <v>12</v>
      </c>
      <c r="R542" s="4"/>
      <c r="S542" s="4">
        <v>3922</v>
      </c>
      <c r="T542" s="4" t="s">
        <v>2551</v>
      </c>
      <c r="U542" s="4" t="s">
        <v>1720</v>
      </c>
      <c r="V542" s="4" t="s">
        <v>3026</v>
      </c>
      <c r="W542" s="4" t="s">
        <v>127</v>
      </c>
      <c r="X542" s="4">
        <f t="shared" si="8"/>
        <v>11</v>
      </c>
      <c r="Y542" s="4"/>
      <c r="Z542" s="4"/>
      <c r="AA542" s="4"/>
      <c r="AB542" s="4"/>
      <c r="AC542" s="4">
        <v>1</v>
      </c>
      <c r="AD542" s="4"/>
      <c r="AE542" s="4"/>
    </row>
    <row r="543" spans="1:31" x14ac:dyDescent="0.2">
      <c r="A543" s="201"/>
      <c r="B543" s="4" t="s">
        <v>3170</v>
      </c>
      <c r="C543" s="4">
        <v>539</v>
      </c>
      <c r="D543" s="4" t="s">
        <v>1716</v>
      </c>
      <c r="E543" s="4" t="s">
        <v>1717</v>
      </c>
      <c r="F543" s="4" t="s">
        <v>1718</v>
      </c>
      <c r="G543" s="4" t="s">
        <v>329</v>
      </c>
      <c r="H543" s="4" t="s">
        <v>41</v>
      </c>
      <c r="I543" s="4" t="s">
        <v>84</v>
      </c>
      <c r="J543" s="4">
        <v>30539</v>
      </c>
      <c r="K543" s="202" t="s">
        <v>858</v>
      </c>
      <c r="L543" s="4">
        <v>34</v>
      </c>
      <c r="M543" s="4">
        <v>10</v>
      </c>
      <c r="N543" s="4" t="str">
        <f>_xlfn.CONCAT("DBX",((L543-1)*2)+1,".2")</f>
        <v>DBX67.2</v>
      </c>
      <c r="O543" s="4" t="s">
        <v>781</v>
      </c>
      <c r="P543" s="4" t="s">
        <v>11</v>
      </c>
      <c r="Q543" s="4" t="s">
        <v>12</v>
      </c>
      <c r="R543" s="4"/>
      <c r="S543" s="4">
        <v>3922</v>
      </c>
      <c r="T543" s="4" t="s">
        <v>2551</v>
      </c>
      <c r="U543" s="4" t="s">
        <v>1720</v>
      </c>
      <c r="V543" s="4" t="s">
        <v>3026</v>
      </c>
      <c r="W543" s="4" t="s">
        <v>127</v>
      </c>
      <c r="X543" s="4">
        <f t="shared" si="8"/>
        <v>11</v>
      </c>
      <c r="Y543" s="4"/>
      <c r="Z543" s="4"/>
      <c r="AA543" s="4"/>
      <c r="AB543" s="4"/>
      <c r="AC543" s="4">
        <v>1</v>
      </c>
      <c r="AD543" s="4"/>
      <c r="AE543" s="4"/>
    </row>
    <row r="544" spans="1:31" x14ac:dyDescent="0.2">
      <c r="A544" s="201"/>
      <c r="B544" s="4" t="s">
        <v>3170</v>
      </c>
      <c r="C544" s="4">
        <v>540</v>
      </c>
      <c r="D544" s="4" t="s">
        <v>1723</v>
      </c>
      <c r="E544" s="4" t="s">
        <v>1724</v>
      </c>
      <c r="F544" s="4" t="s">
        <v>1725</v>
      </c>
      <c r="G544" s="4" t="s">
        <v>1697</v>
      </c>
      <c r="H544" s="4" t="s">
        <v>41</v>
      </c>
      <c r="I544" s="4" t="s">
        <v>84</v>
      </c>
      <c r="J544" s="4">
        <v>30540</v>
      </c>
      <c r="K544" s="202" t="s">
        <v>1735</v>
      </c>
      <c r="L544" s="4">
        <v>34</v>
      </c>
      <c r="M544" s="4">
        <v>11</v>
      </c>
      <c r="N544" s="4" t="str">
        <f>_xlfn.CONCAT("DBX",((L544-1)*2)+1,".3")</f>
        <v>DBX67.3</v>
      </c>
      <c r="O544" s="4" t="s">
        <v>781</v>
      </c>
      <c r="P544" s="4" t="s">
        <v>1736</v>
      </c>
      <c r="Q544" s="4" t="s">
        <v>12</v>
      </c>
      <c r="R544" s="4"/>
      <c r="S544" s="4">
        <v>3922</v>
      </c>
      <c r="T544" s="4" t="s">
        <v>2551</v>
      </c>
      <c r="U544" s="4" t="s">
        <v>1735</v>
      </c>
      <c r="V544" s="4" t="s">
        <v>3065</v>
      </c>
      <c r="W544" s="4" t="s">
        <v>129</v>
      </c>
      <c r="X544" s="4">
        <f t="shared" si="8"/>
        <v>13</v>
      </c>
      <c r="Y544" s="4"/>
      <c r="Z544" s="4"/>
      <c r="AA544" s="4"/>
      <c r="AB544" s="4"/>
      <c r="AC544" s="4">
        <v>1</v>
      </c>
      <c r="AD544" s="4"/>
      <c r="AE544" s="4"/>
    </row>
    <row r="545" spans="1:31" x14ac:dyDescent="0.2">
      <c r="A545" s="201"/>
      <c r="B545" s="4" t="s">
        <v>3170</v>
      </c>
      <c r="C545" s="4">
        <v>541</v>
      </c>
      <c r="D545" s="4" t="s">
        <v>1726</v>
      </c>
      <c r="E545" s="4" t="s">
        <v>1727</v>
      </c>
      <c r="F545" s="4" t="s">
        <v>1728</v>
      </c>
      <c r="G545" s="4" t="s">
        <v>1697</v>
      </c>
      <c r="H545" s="4" t="s">
        <v>41</v>
      </c>
      <c r="I545" s="4" t="s">
        <v>84</v>
      </c>
      <c r="J545" s="4">
        <v>30541</v>
      </c>
      <c r="K545" s="202" t="s">
        <v>859</v>
      </c>
      <c r="L545" s="4">
        <v>34</v>
      </c>
      <c r="M545" s="4">
        <v>12</v>
      </c>
      <c r="N545" s="4" t="str">
        <f>_xlfn.CONCAT("DBX",((L545-1)*2)+1,".4")</f>
        <v>DBX67.4</v>
      </c>
      <c r="O545" s="4" t="s">
        <v>781</v>
      </c>
      <c r="P545" s="4" t="s">
        <v>11</v>
      </c>
      <c r="Q545" s="4" t="s">
        <v>12</v>
      </c>
      <c r="R545" s="4"/>
      <c r="S545" s="4">
        <v>3922</v>
      </c>
      <c r="T545" s="4" t="s">
        <v>2551</v>
      </c>
      <c r="U545" s="4" t="s">
        <v>1735</v>
      </c>
      <c r="V545" s="4" t="s">
        <v>3065</v>
      </c>
      <c r="W545" s="4" t="s">
        <v>127</v>
      </c>
      <c r="X545" s="4">
        <f t="shared" si="8"/>
        <v>11</v>
      </c>
      <c r="Y545" s="4"/>
      <c r="Z545" s="4"/>
      <c r="AA545" s="4"/>
      <c r="AB545" s="4"/>
      <c r="AC545" s="4">
        <v>1</v>
      </c>
      <c r="AD545" s="4"/>
      <c r="AE545" s="4"/>
    </row>
    <row r="546" spans="1:31" x14ac:dyDescent="0.2">
      <c r="A546" s="201"/>
      <c r="B546" s="4" t="s">
        <v>3170</v>
      </c>
      <c r="C546" s="4">
        <v>542</v>
      </c>
      <c r="D546" s="4" t="s">
        <v>1729</v>
      </c>
      <c r="E546" s="4" t="s">
        <v>1730</v>
      </c>
      <c r="F546" s="4" t="s">
        <v>1731</v>
      </c>
      <c r="G546" s="4" t="s">
        <v>1697</v>
      </c>
      <c r="H546" s="4" t="s">
        <v>41</v>
      </c>
      <c r="I546" s="4" t="s">
        <v>84</v>
      </c>
      <c r="J546" s="4">
        <v>30542</v>
      </c>
      <c r="K546" s="202" t="s">
        <v>859</v>
      </c>
      <c r="L546" s="4">
        <v>34</v>
      </c>
      <c r="M546" s="4">
        <v>13</v>
      </c>
      <c r="N546" s="4" t="str">
        <f>_xlfn.CONCAT("DBX",((L546-1)*2)+1,".5")</f>
        <v>DBX67.5</v>
      </c>
      <c r="O546" s="4" t="s">
        <v>781</v>
      </c>
      <c r="P546" s="4" t="s">
        <v>11</v>
      </c>
      <c r="Q546" s="4" t="s">
        <v>12</v>
      </c>
      <c r="R546" s="4"/>
      <c r="S546" s="4">
        <v>3922</v>
      </c>
      <c r="T546" s="4" t="s">
        <v>2551</v>
      </c>
      <c r="U546" s="4" t="s">
        <v>1735</v>
      </c>
      <c r="V546" s="4" t="s">
        <v>3065</v>
      </c>
      <c r="W546" s="4" t="s">
        <v>127</v>
      </c>
      <c r="X546" s="4">
        <f t="shared" si="8"/>
        <v>11</v>
      </c>
      <c r="Y546" s="4"/>
      <c r="Z546" s="4"/>
      <c r="AA546" s="4"/>
      <c r="AB546" s="4"/>
      <c r="AC546" s="4">
        <v>1</v>
      </c>
      <c r="AD546" s="4"/>
      <c r="AE546" s="4"/>
    </row>
    <row r="547" spans="1:31" x14ac:dyDescent="0.2">
      <c r="A547" s="201"/>
      <c r="B547" s="4" t="s">
        <v>3170</v>
      </c>
      <c r="C547" s="4">
        <v>543</v>
      </c>
      <c r="D547" s="4" t="s">
        <v>1732</v>
      </c>
      <c r="E547" s="4" t="s">
        <v>1733</v>
      </c>
      <c r="F547" s="4" t="s">
        <v>1734</v>
      </c>
      <c r="G547" s="4" t="s">
        <v>329</v>
      </c>
      <c r="H547" s="4" t="s">
        <v>41</v>
      </c>
      <c r="I547" s="4" t="s">
        <v>84</v>
      </c>
      <c r="J547" s="4">
        <v>30543</v>
      </c>
      <c r="K547" s="202" t="s">
        <v>859</v>
      </c>
      <c r="L547" s="4">
        <v>34</v>
      </c>
      <c r="M547" s="4">
        <v>14</v>
      </c>
      <c r="N547" s="4" t="str">
        <f>_xlfn.CONCAT("DBX",((L547-1)*2)+1,".6")</f>
        <v>DBX67.6</v>
      </c>
      <c r="O547" s="4" t="s">
        <v>781</v>
      </c>
      <c r="P547" s="4" t="s">
        <v>11</v>
      </c>
      <c r="Q547" s="4" t="s">
        <v>12</v>
      </c>
      <c r="R547" s="4"/>
      <c r="S547" s="4">
        <v>3922</v>
      </c>
      <c r="T547" s="4" t="s">
        <v>2551</v>
      </c>
      <c r="U547" s="4" t="s">
        <v>1735</v>
      </c>
      <c r="V547" s="4" t="s">
        <v>3065</v>
      </c>
      <c r="W547" s="4" t="s">
        <v>127</v>
      </c>
      <c r="X547" s="4">
        <f t="shared" si="8"/>
        <v>11</v>
      </c>
      <c r="Y547" s="4"/>
      <c r="Z547" s="4"/>
      <c r="AA547" s="4"/>
      <c r="AB547" s="4"/>
      <c r="AC547" s="4">
        <v>1</v>
      </c>
      <c r="AD547" s="4"/>
      <c r="AE547" s="4"/>
    </row>
    <row r="548" spans="1:31" x14ac:dyDescent="0.2">
      <c r="A548" s="201"/>
      <c r="B548" s="4" t="s">
        <v>34</v>
      </c>
      <c r="C548" s="4">
        <v>544</v>
      </c>
      <c r="D548" s="4"/>
      <c r="E548" s="4"/>
      <c r="F548" s="4"/>
      <c r="G548" s="4"/>
      <c r="H548" s="4"/>
      <c r="I548" s="4"/>
      <c r="J548" s="4">
        <v>30544</v>
      </c>
      <c r="K548" s="202"/>
      <c r="L548" s="4">
        <v>34</v>
      </c>
      <c r="M548" s="4">
        <v>15</v>
      </c>
      <c r="N548" s="4" t="str">
        <f>_xlfn.CONCAT("DBX",((L548-1)*2)+1,".7")</f>
        <v>DBX67.7</v>
      </c>
      <c r="O548" s="4" t="s">
        <v>781</v>
      </c>
      <c r="P548" s="4"/>
      <c r="Q548" s="4"/>
      <c r="R548" s="4"/>
      <c r="S548" s="4"/>
      <c r="T548" s="4"/>
      <c r="U548" s="4"/>
      <c r="V548" s="4"/>
      <c r="W548" s="4"/>
      <c r="X548" s="4" t="e">
        <f t="shared" si="8"/>
        <v>#N/A</v>
      </c>
      <c r="Y548" s="4"/>
      <c r="Z548" s="4"/>
      <c r="AA548" s="4"/>
      <c r="AB548" s="4"/>
      <c r="AC548" s="4"/>
      <c r="AD548" s="4"/>
      <c r="AE548" s="4"/>
    </row>
    <row r="549" spans="1:31" x14ac:dyDescent="0.2">
      <c r="A549" s="201"/>
      <c r="B549" s="4" t="s">
        <v>34</v>
      </c>
      <c r="C549" s="4">
        <v>545</v>
      </c>
      <c r="D549" s="4"/>
      <c r="E549" s="4"/>
      <c r="F549" s="4"/>
      <c r="G549" s="4"/>
      <c r="H549" s="4"/>
      <c r="I549" s="4"/>
      <c r="J549" s="4">
        <v>30545</v>
      </c>
      <c r="K549" s="202"/>
      <c r="L549" s="4">
        <v>35</v>
      </c>
      <c r="M549" s="4">
        <v>0</v>
      </c>
      <c r="N549" s="4" t="str">
        <f>_xlfn.CONCAT("DBX",((L549-1)*2),".0")</f>
        <v>DBX68.0</v>
      </c>
      <c r="O549" s="4" t="s">
        <v>781</v>
      </c>
      <c r="P549" s="4"/>
      <c r="Q549" s="4"/>
      <c r="R549" s="4"/>
      <c r="S549" s="4"/>
      <c r="T549" s="4"/>
      <c r="U549" s="4"/>
      <c r="V549" s="4"/>
      <c r="W549" s="4"/>
      <c r="X549" s="4" t="e">
        <f t="shared" si="8"/>
        <v>#N/A</v>
      </c>
      <c r="Y549" s="4"/>
      <c r="Z549" s="4"/>
      <c r="AA549" s="4"/>
      <c r="AB549" s="4"/>
      <c r="AC549" s="4"/>
      <c r="AD549" s="4"/>
      <c r="AE549" s="4"/>
    </row>
    <row r="550" spans="1:31" x14ac:dyDescent="0.2">
      <c r="A550" s="201"/>
      <c r="B550" s="4" t="s">
        <v>3170</v>
      </c>
      <c r="C550" s="4">
        <v>546</v>
      </c>
      <c r="D550" s="4" t="s">
        <v>1737</v>
      </c>
      <c r="E550" s="4" t="s">
        <v>1738</v>
      </c>
      <c r="F550" s="4" t="s">
        <v>1739</v>
      </c>
      <c r="G550" s="4" t="s">
        <v>1356</v>
      </c>
      <c r="H550" s="4" t="s">
        <v>1179</v>
      </c>
      <c r="I550" s="4" t="s">
        <v>84</v>
      </c>
      <c r="J550" s="4">
        <v>30546</v>
      </c>
      <c r="K550" s="202" t="s">
        <v>802</v>
      </c>
      <c r="L550" s="4">
        <v>35</v>
      </c>
      <c r="M550" s="4">
        <v>1</v>
      </c>
      <c r="N550" s="4" t="str">
        <f>_xlfn.CONCAT("DBX",((L550-1)*2),".1")</f>
        <v>DBX68.1</v>
      </c>
      <c r="O550" s="4" t="s">
        <v>781</v>
      </c>
      <c r="P550" s="4" t="s">
        <v>11</v>
      </c>
      <c r="Q550" s="4" t="s">
        <v>12</v>
      </c>
      <c r="R550" s="4"/>
      <c r="S550" s="4">
        <v>3922</v>
      </c>
      <c r="T550" s="4" t="s">
        <v>2551</v>
      </c>
      <c r="U550" s="4" t="s">
        <v>2548</v>
      </c>
      <c r="V550" s="4" t="s">
        <v>3066</v>
      </c>
      <c r="W550" s="4" t="s">
        <v>129</v>
      </c>
      <c r="X550" s="4">
        <f t="shared" si="8"/>
        <v>13</v>
      </c>
      <c r="Y550" s="4"/>
      <c r="Z550" s="4"/>
      <c r="AA550" s="4"/>
      <c r="AB550" s="4"/>
      <c r="AC550" s="4">
        <v>1</v>
      </c>
      <c r="AD550" s="4"/>
      <c r="AE550" s="4"/>
    </row>
    <row r="551" spans="1:31" x14ac:dyDescent="0.2">
      <c r="A551" s="201"/>
      <c r="B551" s="4" t="s">
        <v>3170</v>
      </c>
      <c r="C551" s="4">
        <v>547</v>
      </c>
      <c r="D551" s="4" t="s">
        <v>1740</v>
      </c>
      <c r="E551" s="4" t="s">
        <v>1741</v>
      </c>
      <c r="F551" s="4" t="s">
        <v>1742</v>
      </c>
      <c r="G551" s="4" t="s">
        <v>40</v>
      </c>
      <c r="H551" s="4" t="s">
        <v>1179</v>
      </c>
      <c r="I551" s="4" t="s">
        <v>40</v>
      </c>
      <c r="J551" s="4">
        <v>30547</v>
      </c>
      <c r="K551" s="202" t="s">
        <v>1755</v>
      </c>
      <c r="L551" s="4">
        <v>35</v>
      </c>
      <c r="M551" s="4">
        <v>2</v>
      </c>
      <c r="N551" s="4" t="str">
        <f>_xlfn.CONCAT("DBX",((L551-1)*2),".2")</f>
        <v>DBX68.2</v>
      </c>
      <c r="O551" s="4" t="s">
        <v>781</v>
      </c>
      <c r="P551" s="4" t="s">
        <v>1778</v>
      </c>
      <c r="Q551" s="4" t="s">
        <v>91</v>
      </c>
      <c r="R551" s="4"/>
      <c r="S551" s="4">
        <v>3922</v>
      </c>
      <c r="T551" s="4" t="s">
        <v>2551</v>
      </c>
      <c r="U551" s="4" t="s">
        <v>1755</v>
      </c>
      <c r="V551" s="4" t="s">
        <v>3066</v>
      </c>
      <c r="W551" s="4" t="s">
        <v>122</v>
      </c>
      <c r="X551" s="4">
        <f t="shared" si="8"/>
        <v>6</v>
      </c>
      <c r="Y551" s="4"/>
      <c r="Z551" s="4"/>
      <c r="AA551" s="4"/>
      <c r="AB551" s="4"/>
      <c r="AC551" s="4">
        <v>1</v>
      </c>
      <c r="AD551" s="4"/>
      <c r="AE551" s="4"/>
    </row>
    <row r="552" spans="1:31" x14ac:dyDescent="0.2">
      <c r="A552" s="201"/>
      <c r="B552" s="4" t="s">
        <v>3170</v>
      </c>
      <c r="C552" s="4">
        <v>548</v>
      </c>
      <c r="D552" s="4" t="s">
        <v>1743</v>
      </c>
      <c r="E552" s="4" t="s">
        <v>1744</v>
      </c>
      <c r="F552" s="4" t="s">
        <v>1745</v>
      </c>
      <c r="G552" s="4" t="s">
        <v>40</v>
      </c>
      <c r="H552" s="4" t="s">
        <v>1179</v>
      </c>
      <c r="I552" s="4" t="s">
        <v>40</v>
      </c>
      <c r="J552" s="4">
        <v>30548</v>
      </c>
      <c r="K552" s="202" t="s">
        <v>1755</v>
      </c>
      <c r="L552" s="4">
        <v>35</v>
      </c>
      <c r="M552" s="4">
        <v>3</v>
      </c>
      <c r="N552" s="4" t="str">
        <f>_xlfn.CONCAT("DBX",((L552-1)*2),".3")</f>
        <v>DBX68.3</v>
      </c>
      <c r="O552" s="4" t="s">
        <v>781</v>
      </c>
      <c r="P552" s="4" t="s">
        <v>1778</v>
      </c>
      <c r="Q552" s="4" t="s">
        <v>91</v>
      </c>
      <c r="R552" s="4"/>
      <c r="S552" s="4">
        <v>3922</v>
      </c>
      <c r="T552" s="4" t="s">
        <v>2551</v>
      </c>
      <c r="U552" s="4" t="s">
        <v>1755</v>
      </c>
      <c r="V552" s="4" t="s">
        <v>3066</v>
      </c>
      <c r="W552" s="4" t="s">
        <v>122</v>
      </c>
      <c r="X552" s="4">
        <f t="shared" si="8"/>
        <v>6</v>
      </c>
      <c r="Y552" s="4"/>
      <c r="Z552" s="4"/>
      <c r="AA552" s="4"/>
      <c r="AB552" s="4"/>
      <c r="AC552" s="4">
        <v>1</v>
      </c>
      <c r="AD552" s="4"/>
      <c r="AE552" s="4"/>
    </row>
    <row r="553" spans="1:31" x14ac:dyDescent="0.2">
      <c r="A553" s="201"/>
      <c r="B553" s="4" t="s">
        <v>3170</v>
      </c>
      <c r="C553" s="4">
        <v>549</v>
      </c>
      <c r="D553" s="4" t="s">
        <v>1746</v>
      </c>
      <c r="E553" s="4" t="s">
        <v>1747</v>
      </c>
      <c r="F553" s="4" t="s">
        <v>2486</v>
      </c>
      <c r="G553" s="4" t="s">
        <v>1356</v>
      </c>
      <c r="H553" s="4" t="s">
        <v>1179</v>
      </c>
      <c r="I553" s="4" t="s">
        <v>85</v>
      </c>
      <c r="J553" s="4">
        <v>30549</v>
      </c>
      <c r="K553" s="202" t="s">
        <v>1755</v>
      </c>
      <c r="L553" s="4">
        <v>35</v>
      </c>
      <c r="M553" s="4">
        <v>4</v>
      </c>
      <c r="N553" s="4" t="str">
        <f>_xlfn.CONCAT("DBX",((L553-1)*2),".4")</f>
        <v>DBX68.4</v>
      </c>
      <c r="O553" s="4" t="s">
        <v>781</v>
      </c>
      <c r="P553" s="4" t="s">
        <v>1778</v>
      </c>
      <c r="Q553" s="4" t="s">
        <v>12</v>
      </c>
      <c r="R553" s="4"/>
      <c r="S553" s="4">
        <v>3922</v>
      </c>
      <c r="T553" s="4" t="s">
        <v>2551</v>
      </c>
      <c r="U553" s="4" t="s">
        <v>1755</v>
      </c>
      <c r="V553" s="4" t="s">
        <v>3066</v>
      </c>
      <c r="W553" s="4" t="s">
        <v>121</v>
      </c>
      <c r="X553" s="4">
        <f t="shared" si="8"/>
        <v>5</v>
      </c>
      <c r="Y553" s="4"/>
      <c r="Z553" s="4"/>
      <c r="AA553" s="4"/>
      <c r="AB553" s="4"/>
      <c r="AC553" s="4">
        <v>1</v>
      </c>
      <c r="AD553" s="4"/>
      <c r="AE553" s="4"/>
    </row>
    <row r="554" spans="1:31" x14ac:dyDescent="0.2">
      <c r="A554" s="201"/>
      <c r="B554" s="4" t="s">
        <v>3170</v>
      </c>
      <c r="C554" s="4">
        <v>550</v>
      </c>
      <c r="D554" s="4" t="s">
        <v>1782</v>
      </c>
      <c r="E554" s="4" t="s">
        <v>1748</v>
      </c>
      <c r="F554" s="4" t="s">
        <v>1749</v>
      </c>
      <c r="G554" s="4" t="s">
        <v>1356</v>
      </c>
      <c r="H554" s="4" t="s">
        <v>1179</v>
      </c>
      <c r="I554" s="4" t="s">
        <v>85</v>
      </c>
      <c r="J554" s="4">
        <v>30550</v>
      </c>
      <c r="K554" s="202" t="s">
        <v>1756</v>
      </c>
      <c r="L554" s="4">
        <v>35</v>
      </c>
      <c r="M554" s="4">
        <v>5</v>
      </c>
      <c r="N554" s="4" t="str">
        <f>_xlfn.CONCAT("DBX",((L554-1)*2),".5")</f>
        <v>DBX68.5</v>
      </c>
      <c r="O554" s="4" t="s">
        <v>781</v>
      </c>
      <c r="P554" s="4" t="s">
        <v>1784</v>
      </c>
      <c r="Q554" s="4" t="s">
        <v>12</v>
      </c>
      <c r="R554" s="4"/>
      <c r="S554" s="4">
        <v>3922</v>
      </c>
      <c r="T554" s="4" t="s">
        <v>2551</v>
      </c>
      <c r="U554" s="4" t="s">
        <v>1756</v>
      </c>
      <c r="V554" s="4" t="s">
        <v>3070</v>
      </c>
      <c r="W554" s="4" t="s">
        <v>129</v>
      </c>
      <c r="X554" s="4">
        <f t="shared" si="8"/>
        <v>13</v>
      </c>
      <c r="Y554" s="4"/>
      <c r="Z554" s="4"/>
      <c r="AA554" s="4"/>
      <c r="AB554" s="4"/>
      <c r="AC554" s="4">
        <v>1</v>
      </c>
      <c r="AD554" s="4"/>
      <c r="AE554" s="4"/>
    </row>
    <row r="555" spans="1:31" x14ac:dyDescent="0.2">
      <c r="A555" s="201"/>
      <c r="B555" s="4" t="s">
        <v>3170</v>
      </c>
      <c r="C555" s="4">
        <v>551</v>
      </c>
      <c r="D555" s="4" t="s">
        <v>1783</v>
      </c>
      <c r="E555" s="4" t="s">
        <v>1750</v>
      </c>
      <c r="F555" s="4" t="s">
        <v>1751</v>
      </c>
      <c r="G555" s="4" t="s">
        <v>1356</v>
      </c>
      <c r="H555" s="4" t="s">
        <v>1179</v>
      </c>
      <c r="I555" s="4" t="s">
        <v>85</v>
      </c>
      <c r="J555" s="4">
        <v>30551</v>
      </c>
      <c r="K555" s="202" t="s">
        <v>1757</v>
      </c>
      <c r="L555" s="4">
        <v>35</v>
      </c>
      <c r="M555" s="4">
        <v>6</v>
      </c>
      <c r="N555" s="4" t="str">
        <f>_xlfn.CONCAT("DBX",((L555-1)*2),".6")</f>
        <v>DBX68.6</v>
      </c>
      <c r="O555" s="4" t="s">
        <v>781</v>
      </c>
      <c r="P555" s="4" t="s">
        <v>1785</v>
      </c>
      <c r="Q555" s="4" t="s">
        <v>12</v>
      </c>
      <c r="R555" s="4"/>
      <c r="S555" s="4">
        <v>3922</v>
      </c>
      <c r="T555" s="4" t="s">
        <v>2551</v>
      </c>
      <c r="U555" s="4" t="s">
        <v>1757</v>
      </c>
      <c r="V555" s="4" t="s">
        <v>3071</v>
      </c>
      <c r="W555" s="4" t="s">
        <v>129</v>
      </c>
      <c r="X555" s="4">
        <f t="shared" si="8"/>
        <v>13</v>
      </c>
      <c r="Y555" s="4"/>
      <c r="Z555" s="4"/>
      <c r="AA555" s="4"/>
      <c r="AB555" s="4"/>
      <c r="AC555" s="4">
        <v>1</v>
      </c>
      <c r="AD555" s="4"/>
      <c r="AE555" s="4"/>
    </row>
    <row r="556" spans="1:31" x14ac:dyDescent="0.2">
      <c r="A556" s="201"/>
      <c r="B556" s="4" t="s">
        <v>3170</v>
      </c>
      <c r="C556" s="4">
        <v>552</v>
      </c>
      <c r="D556" s="4" t="s">
        <v>1752</v>
      </c>
      <c r="E556" s="4" t="s">
        <v>1753</v>
      </c>
      <c r="F556" s="4" t="s">
        <v>1754</v>
      </c>
      <c r="G556" s="4" t="s">
        <v>1356</v>
      </c>
      <c r="H556" s="4" t="s">
        <v>1179</v>
      </c>
      <c r="I556" s="4" t="s">
        <v>84</v>
      </c>
      <c r="J556" s="4">
        <v>30552</v>
      </c>
      <c r="K556" s="202" t="s">
        <v>806</v>
      </c>
      <c r="L556" s="4">
        <v>35</v>
      </c>
      <c r="M556" s="4">
        <v>7</v>
      </c>
      <c r="N556" s="4" t="str">
        <f>_xlfn.CONCAT("DBX",((L556-1)*2),".7")</f>
        <v>DBX68.7</v>
      </c>
      <c r="O556" s="4" t="s">
        <v>781</v>
      </c>
      <c r="P556" s="4" t="s">
        <v>11</v>
      </c>
      <c r="Q556" s="4" t="s">
        <v>12</v>
      </c>
      <c r="R556" s="4"/>
      <c r="S556" s="4">
        <v>3922</v>
      </c>
      <c r="T556" s="4" t="s">
        <v>2551</v>
      </c>
      <c r="U556" s="4" t="s">
        <v>2549</v>
      </c>
      <c r="V556" s="4" t="s">
        <v>3065</v>
      </c>
      <c r="W556" s="4" t="s">
        <v>129</v>
      </c>
      <c r="X556" s="4">
        <f t="shared" si="8"/>
        <v>13</v>
      </c>
      <c r="Y556" s="4"/>
      <c r="Z556" s="4"/>
      <c r="AA556" s="4"/>
      <c r="AB556" s="4"/>
      <c r="AC556" s="4">
        <v>1</v>
      </c>
      <c r="AD556" s="4"/>
      <c r="AE556" s="4"/>
    </row>
    <row r="557" spans="1:31" x14ac:dyDescent="0.2">
      <c r="A557" s="201"/>
      <c r="B557" s="4" t="s">
        <v>3170</v>
      </c>
      <c r="C557" s="4">
        <v>553</v>
      </c>
      <c r="D557" s="4" t="s">
        <v>1758</v>
      </c>
      <c r="E557" s="4" t="s">
        <v>1759</v>
      </c>
      <c r="F557" s="4" t="s">
        <v>1760</v>
      </c>
      <c r="G557" s="4" t="s">
        <v>40</v>
      </c>
      <c r="H557" s="4" t="s">
        <v>1179</v>
      </c>
      <c r="I557" s="4" t="s">
        <v>40</v>
      </c>
      <c r="J557" s="4">
        <v>30553</v>
      </c>
      <c r="K557" s="202" t="s">
        <v>1763</v>
      </c>
      <c r="L557" s="4">
        <v>35</v>
      </c>
      <c r="M557" s="4">
        <v>8</v>
      </c>
      <c r="N557" s="4" t="str">
        <f>_xlfn.CONCAT("DBX",((L557-1)*2)+1,".0")</f>
        <v>DBX69.0</v>
      </c>
      <c r="O557" s="4" t="s">
        <v>781</v>
      </c>
      <c r="P557" s="4" t="s">
        <v>1779</v>
      </c>
      <c r="Q557" s="4" t="s">
        <v>91</v>
      </c>
      <c r="R557" s="4"/>
      <c r="S557" s="4">
        <v>3922</v>
      </c>
      <c r="T557" s="4" t="s">
        <v>2551</v>
      </c>
      <c r="U557" s="4" t="s">
        <v>1763</v>
      </c>
      <c r="V557" s="4" t="s">
        <v>3065</v>
      </c>
      <c r="W557" s="4" t="s">
        <v>122</v>
      </c>
      <c r="X557" s="4">
        <f t="shared" si="8"/>
        <v>6</v>
      </c>
      <c r="Y557" s="4"/>
      <c r="Z557" s="4"/>
      <c r="AA557" s="4"/>
      <c r="AB557" s="4"/>
      <c r="AC557" s="4">
        <v>1</v>
      </c>
      <c r="AD557" s="4"/>
      <c r="AE557" s="4"/>
    </row>
    <row r="558" spans="1:31" x14ac:dyDescent="0.2">
      <c r="A558" s="201"/>
      <c r="B558" s="4" t="s">
        <v>3170</v>
      </c>
      <c r="C558" s="4">
        <v>554</v>
      </c>
      <c r="D558" s="4" t="s">
        <v>1761</v>
      </c>
      <c r="E558" s="4" t="s">
        <v>1762</v>
      </c>
      <c r="F558" s="4" t="s">
        <v>2487</v>
      </c>
      <c r="G558" s="4" t="s">
        <v>1356</v>
      </c>
      <c r="H558" s="4" t="s">
        <v>1179</v>
      </c>
      <c r="I558" s="4" t="s">
        <v>85</v>
      </c>
      <c r="J558" s="4">
        <v>30554</v>
      </c>
      <c r="K558" s="202" t="s">
        <v>1763</v>
      </c>
      <c r="L558" s="4">
        <v>35</v>
      </c>
      <c r="M558" s="4">
        <v>9</v>
      </c>
      <c r="N558" s="4" t="str">
        <f>_xlfn.CONCAT("DBX",((L558-1)*2)+1,".1")</f>
        <v>DBX69.1</v>
      </c>
      <c r="O558" s="4" t="s">
        <v>781</v>
      </c>
      <c r="P558" s="4" t="s">
        <v>1779</v>
      </c>
      <c r="Q558" s="4" t="s">
        <v>12</v>
      </c>
      <c r="R558" s="4"/>
      <c r="S558" s="4">
        <v>3922</v>
      </c>
      <c r="T558" s="4" t="s">
        <v>2551</v>
      </c>
      <c r="U558" s="4" t="s">
        <v>1763</v>
      </c>
      <c r="V558" s="4" t="s">
        <v>3065</v>
      </c>
      <c r="W558" s="4" t="s">
        <v>129</v>
      </c>
      <c r="X558" s="4">
        <f t="shared" si="8"/>
        <v>13</v>
      </c>
      <c r="Y558" s="4"/>
      <c r="Z558" s="4"/>
      <c r="AA558" s="4"/>
      <c r="AB558" s="4"/>
      <c r="AC558" s="4">
        <v>1</v>
      </c>
      <c r="AD558" s="4"/>
      <c r="AE558" s="4"/>
    </row>
    <row r="559" spans="1:31" x14ac:dyDescent="0.2">
      <c r="A559" s="201"/>
      <c r="B559" s="4" t="s">
        <v>34</v>
      </c>
      <c r="C559" s="4">
        <v>555</v>
      </c>
      <c r="D559" s="4"/>
      <c r="E559" s="4"/>
      <c r="F559" s="4"/>
      <c r="G559" s="4"/>
      <c r="H559" s="4"/>
      <c r="I559" s="4"/>
      <c r="J559" s="4">
        <v>30555</v>
      </c>
      <c r="K559" s="202"/>
      <c r="L559" s="4">
        <v>35</v>
      </c>
      <c r="M559" s="4">
        <v>10</v>
      </c>
      <c r="N559" s="4" t="str">
        <f>_xlfn.CONCAT("DBX",((L559-1)*2)+1,".2")</f>
        <v>DBX69.2</v>
      </c>
      <c r="O559" s="4" t="s">
        <v>781</v>
      </c>
      <c r="P559" s="4"/>
      <c r="Q559" s="4"/>
      <c r="R559" s="4"/>
      <c r="S559" s="4"/>
      <c r="T559" s="4"/>
      <c r="U559" s="4"/>
      <c r="V559" s="4"/>
      <c r="W559" s="4"/>
      <c r="X559" s="4" t="e">
        <f t="shared" si="8"/>
        <v>#N/A</v>
      </c>
      <c r="Y559" s="4"/>
      <c r="Z559" s="4"/>
      <c r="AA559" s="4"/>
      <c r="AB559" s="4"/>
      <c r="AC559" s="4"/>
      <c r="AD559" s="4"/>
      <c r="AE559" s="4"/>
    </row>
    <row r="560" spans="1:31" x14ac:dyDescent="0.2">
      <c r="A560" s="201"/>
      <c r="B560" s="4" t="s">
        <v>3170</v>
      </c>
      <c r="C560" s="4">
        <v>556</v>
      </c>
      <c r="D560" s="4" t="s">
        <v>1764</v>
      </c>
      <c r="E560" s="4" t="s">
        <v>1765</v>
      </c>
      <c r="F560" s="4" t="s">
        <v>1766</v>
      </c>
      <c r="G560" s="4" t="s">
        <v>1356</v>
      </c>
      <c r="H560" s="4" t="s">
        <v>1179</v>
      </c>
      <c r="I560" s="4" t="s">
        <v>84</v>
      </c>
      <c r="J560" s="4">
        <v>30556</v>
      </c>
      <c r="K560" s="202" t="s">
        <v>1775</v>
      </c>
      <c r="L560" s="4">
        <v>35</v>
      </c>
      <c r="M560" s="4">
        <v>11</v>
      </c>
      <c r="N560" s="4" t="str">
        <f>_xlfn.CONCAT("DBX",((L560-1)*2)+1,".3")</f>
        <v>DBX69.3</v>
      </c>
      <c r="O560" s="4" t="s">
        <v>781</v>
      </c>
      <c r="P560" s="4" t="s">
        <v>1786</v>
      </c>
      <c r="Q560" s="4" t="s">
        <v>12</v>
      </c>
      <c r="R560" s="4"/>
      <c r="S560" s="4">
        <v>3922</v>
      </c>
      <c r="T560" s="4" t="s">
        <v>2551</v>
      </c>
      <c r="U560" s="4"/>
      <c r="V560" s="4" t="s">
        <v>3065</v>
      </c>
      <c r="W560" s="4" t="s">
        <v>129</v>
      </c>
      <c r="X560" s="4">
        <f t="shared" si="8"/>
        <v>13</v>
      </c>
      <c r="Y560" s="4"/>
      <c r="Z560" s="4"/>
      <c r="AA560" s="4"/>
      <c r="AB560" s="4"/>
      <c r="AC560" s="4">
        <v>1</v>
      </c>
      <c r="AD560" s="4"/>
      <c r="AE560" s="4"/>
    </row>
    <row r="561" spans="1:31" x14ac:dyDescent="0.2">
      <c r="A561" s="201"/>
      <c r="B561" s="4" t="s">
        <v>3170</v>
      </c>
      <c r="C561" s="4">
        <v>557</v>
      </c>
      <c r="D561" s="4" t="s">
        <v>1767</v>
      </c>
      <c r="E561" s="4" t="s">
        <v>1768</v>
      </c>
      <c r="F561" s="4" t="s">
        <v>1769</v>
      </c>
      <c r="G561" s="4" t="s">
        <v>1356</v>
      </c>
      <c r="H561" s="4" t="s">
        <v>41</v>
      </c>
      <c r="I561" s="4" t="s">
        <v>85</v>
      </c>
      <c r="J561" s="4">
        <v>30557</v>
      </c>
      <c r="K561" s="202" t="s">
        <v>1776</v>
      </c>
      <c r="L561" s="4">
        <v>35</v>
      </c>
      <c r="M561" s="4">
        <v>12</v>
      </c>
      <c r="N561" s="4" t="str">
        <f>_xlfn.CONCAT("DBX",((L561-1)*2)+1,".4")</f>
        <v>DBX69.4</v>
      </c>
      <c r="O561" s="4" t="s">
        <v>781</v>
      </c>
      <c r="P561" s="4" t="s">
        <v>11</v>
      </c>
      <c r="Q561" s="4" t="s">
        <v>12</v>
      </c>
      <c r="R561" s="4"/>
      <c r="S561" s="4">
        <v>3922</v>
      </c>
      <c r="T561" s="4" t="s">
        <v>2551</v>
      </c>
      <c r="U561" s="4"/>
      <c r="V561" s="4" t="s">
        <v>3026</v>
      </c>
      <c r="W561" s="4" t="s">
        <v>128</v>
      </c>
      <c r="X561" s="4">
        <f t="shared" si="8"/>
        <v>12</v>
      </c>
      <c r="Y561" s="4"/>
      <c r="Z561" s="4"/>
      <c r="AA561" s="4"/>
      <c r="AB561" s="4"/>
      <c r="AC561" s="4">
        <v>1</v>
      </c>
      <c r="AD561" s="4"/>
      <c r="AE561" s="4"/>
    </row>
    <row r="562" spans="1:31" x14ac:dyDescent="0.2">
      <c r="A562" s="201"/>
      <c r="B562" s="4" t="s">
        <v>3170</v>
      </c>
      <c r="C562" s="4">
        <v>558</v>
      </c>
      <c r="D562" s="4" t="s">
        <v>1770</v>
      </c>
      <c r="E562" s="4" t="s">
        <v>1771</v>
      </c>
      <c r="F562" s="4" t="s">
        <v>2488</v>
      </c>
      <c r="G562" s="4" t="s">
        <v>1356</v>
      </c>
      <c r="H562" s="4" t="s">
        <v>41</v>
      </c>
      <c r="I562" s="4" t="s">
        <v>84</v>
      </c>
      <c r="J562" s="4">
        <v>30558</v>
      </c>
      <c r="K562" s="202" t="s">
        <v>1776</v>
      </c>
      <c r="L562" s="4">
        <v>35</v>
      </c>
      <c r="M562" s="4">
        <v>13</v>
      </c>
      <c r="N562" s="4" t="str">
        <f>_xlfn.CONCAT("DBX",((L562-1)*2)+1,".5")</f>
        <v>DBX69.5</v>
      </c>
      <c r="O562" s="4" t="s">
        <v>781</v>
      </c>
      <c r="P562" s="4" t="s">
        <v>1787</v>
      </c>
      <c r="Q562" s="4" t="s">
        <v>12</v>
      </c>
      <c r="R562" s="4"/>
      <c r="S562" s="4">
        <v>3922</v>
      </c>
      <c r="T562" s="4" t="s">
        <v>2551</v>
      </c>
      <c r="U562" s="4"/>
      <c r="V562" s="4" t="s">
        <v>3026</v>
      </c>
      <c r="W562" s="4" t="s">
        <v>129</v>
      </c>
      <c r="X562" s="4">
        <f t="shared" si="8"/>
        <v>13</v>
      </c>
      <c r="Y562" s="4"/>
      <c r="Z562" s="4"/>
      <c r="AA562" s="4"/>
      <c r="AB562" s="4"/>
      <c r="AC562" s="4">
        <v>1</v>
      </c>
      <c r="AD562" s="4"/>
      <c r="AE562" s="4"/>
    </row>
    <row r="563" spans="1:31" x14ac:dyDescent="0.2">
      <c r="A563" s="201"/>
      <c r="B563" s="4" t="s">
        <v>3170</v>
      </c>
      <c r="C563" s="4">
        <v>559</v>
      </c>
      <c r="D563" s="4" t="s">
        <v>1772</v>
      </c>
      <c r="E563" s="4" t="s">
        <v>1773</v>
      </c>
      <c r="F563" s="4" t="s">
        <v>1774</v>
      </c>
      <c r="G563" s="4" t="s">
        <v>1356</v>
      </c>
      <c r="H563" s="4" t="s">
        <v>41</v>
      </c>
      <c r="I563" s="4" t="s">
        <v>84</v>
      </c>
      <c r="J563" s="4">
        <v>30559</v>
      </c>
      <c r="K563" s="202" t="s">
        <v>1777</v>
      </c>
      <c r="L563" s="4">
        <v>35</v>
      </c>
      <c r="M563" s="4">
        <v>14</v>
      </c>
      <c r="N563" s="4" t="str">
        <f>_xlfn.CONCAT("DBX",((L563-1)*2)+1,".6")</f>
        <v>DBX69.6</v>
      </c>
      <c r="O563" s="4" t="s">
        <v>781</v>
      </c>
      <c r="P563" s="4" t="s">
        <v>1788</v>
      </c>
      <c r="Q563" s="4" t="s">
        <v>12</v>
      </c>
      <c r="R563" s="4"/>
      <c r="S563" s="4">
        <v>3922</v>
      </c>
      <c r="T563" s="4" t="s">
        <v>2551</v>
      </c>
      <c r="U563" s="4"/>
      <c r="V563" s="4" t="s">
        <v>3026</v>
      </c>
      <c r="W563" s="4" t="s">
        <v>121</v>
      </c>
      <c r="X563" s="4">
        <f t="shared" si="8"/>
        <v>5</v>
      </c>
      <c r="Y563" s="4"/>
      <c r="Z563" s="4"/>
      <c r="AA563" s="4"/>
      <c r="AB563" s="4"/>
      <c r="AC563" s="4">
        <v>1</v>
      </c>
      <c r="AD563" s="4"/>
      <c r="AE563" s="4"/>
    </row>
    <row r="564" spans="1:31" x14ac:dyDescent="0.2">
      <c r="A564" s="201"/>
      <c r="B564" s="4" t="s">
        <v>34</v>
      </c>
      <c r="C564" s="4">
        <v>560</v>
      </c>
      <c r="D564" s="4"/>
      <c r="E564" s="4"/>
      <c r="F564" s="4"/>
      <c r="G564" s="4"/>
      <c r="H564" s="4"/>
      <c r="I564" s="4"/>
      <c r="J564" s="4">
        <v>30560</v>
      </c>
      <c r="K564" s="202"/>
      <c r="L564" s="4">
        <v>35</v>
      </c>
      <c r="M564" s="4">
        <v>15</v>
      </c>
      <c r="N564" s="4" t="str">
        <f>_xlfn.CONCAT("DBX",((L564-1)*2)+1,".7")</f>
        <v>DBX69.7</v>
      </c>
      <c r="O564" s="4" t="s">
        <v>781</v>
      </c>
      <c r="P564" s="4"/>
      <c r="Q564" s="4"/>
      <c r="R564" s="4"/>
      <c r="S564" s="4"/>
      <c r="T564" s="4"/>
      <c r="U564" s="4"/>
      <c r="V564" s="4"/>
      <c r="W564" s="4"/>
      <c r="X564" s="4" t="e">
        <f t="shared" si="8"/>
        <v>#N/A</v>
      </c>
      <c r="Y564" s="4"/>
      <c r="Z564" s="4"/>
      <c r="AA564" s="4"/>
      <c r="AB564" s="4"/>
      <c r="AC564" s="4"/>
      <c r="AD564" s="4"/>
      <c r="AE564" s="4"/>
    </row>
    <row r="565" spans="1:31" x14ac:dyDescent="0.2">
      <c r="A565" s="201"/>
      <c r="B565" s="4" t="s">
        <v>34</v>
      </c>
      <c r="C565" s="4">
        <v>561</v>
      </c>
      <c r="D565" s="4"/>
      <c r="E565" s="4"/>
      <c r="F565" s="4"/>
      <c r="G565" s="4"/>
      <c r="H565" s="4"/>
      <c r="I565" s="4"/>
      <c r="J565" s="4">
        <v>30561</v>
      </c>
      <c r="K565" s="202"/>
      <c r="L565" s="4">
        <v>36</v>
      </c>
      <c r="M565" s="4">
        <v>0</v>
      </c>
      <c r="N565" s="4" t="str">
        <f>_xlfn.CONCAT("DBX",((L565-1)*2),".0")</f>
        <v>DBX70.0</v>
      </c>
      <c r="O565" s="4" t="s">
        <v>781</v>
      </c>
      <c r="P565" s="4"/>
      <c r="Q565" s="4"/>
      <c r="R565" s="4"/>
      <c r="S565" s="4"/>
      <c r="T565" s="4"/>
      <c r="U565" s="4"/>
      <c r="V565" s="4"/>
      <c r="W565" s="4"/>
      <c r="X565" s="4" t="e">
        <f t="shared" si="8"/>
        <v>#N/A</v>
      </c>
      <c r="Y565" s="4"/>
      <c r="Z565" s="4"/>
      <c r="AA565" s="4"/>
      <c r="AB565" s="4"/>
      <c r="AC565" s="4"/>
      <c r="AD565" s="4"/>
      <c r="AE565" s="4"/>
    </row>
    <row r="566" spans="1:31" x14ac:dyDescent="0.2">
      <c r="A566" s="201"/>
      <c r="B566" s="4" t="s">
        <v>34</v>
      </c>
      <c r="C566" s="4">
        <v>562</v>
      </c>
      <c r="D566" s="4"/>
      <c r="E566" s="4"/>
      <c r="F566" s="4"/>
      <c r="G566" s="4"/>
      <c r="H566" s="4"/>
      <c r="I566" s="4"/>
      <c r="J566" s="4">
        <v>30562</v>
      </c>
      <c r="K566" s="202"/>
      <c r="L566" s="4">
        <v>36</v>
      </c>
      <c r="M566" s="4">
        <v>1</v>
      </c>
      <c r="N566" s="4" t="str">
        <f>_xlfn.CONCAT("DBX",((L566-1)*2),".1")</f>
        <v>DBX70.1</v>
      </c>
      <c r="O566" s="4" t="s">
        <v>781</v>
      </c>
      <c r="P566" s="4"/>
      <c r="Q566" s="4"/>
      <c r="R566" s="4"/>
      <c r="S566" s="4"/>
      <c r="T566" s="4"/>
      <c r="U566" s="4"/>
      <c r="V566" s="4"/>
      <c r="W566" s="4"/>
      <c r="X566" s="4" t="e">
        <f t="shared" si="8"/>
        <v>#N/A</v>
      </c>
      <c r="Y566" s="4"/>
      <c r="Z566" s="4"/>
      <c r="AA566" s="4"/>
      <c r="AB566" s="4"/>
      <c r="AC566" s="4"/>
      <c r="AD566" s="4"/>
      <c r="AE566" s="4"/>
    </row>
    <row r="567" spans="1:31" x14ac:dyDescent="0.2">
      <c r="A567" s="201"/>
      <c r="B567" s="4" t="s">
        <v>3170</v>
      </c>
      <c r="C567" s="4">
        <v>563</v>
      </c>
      <c r="D567" s="4" t="s">
        <v>1793</v>
      </c>
      <c r="E567" s="4" t="s">
        <v>1794</v>
      </c>
      <c r="F567" s="4" t="s">
        <v>2343</v>
      </c>
      <c r="G567" s="4" t="s">
        <v>329</v>
      </c>
      <c r="H567" s="4" t="s">
        <v>41</v>
      </c>
      <c r="I567" s="4" t="s">
        <v>1791</v>
      </c>
      <c r="J567" s="4">
        <v>30563</v>
      </c>
      <c r="K567" s="202" t="s">
        <v>11</v>
      </c>
      <c r="L567" s="4">
        <v>36</v>
      </c>
      <c r="M567" s="4">
        <v>2</v>
      </c>
      <c r="N567" s="4" t="str">
        <f>_xlfn.CONCAT("DBX",((L567-1)*2),".2")</f>
        <v>DBX70.2</v>
      </c>
      <c r="O567" s="4" t="s">
        <v>781</v>
      </c>
      <c r="P567" s="4" t="s">
        <v>11</v>
      </c>
      <c r="Q567" s="4" t="s">
        <v>90</v>
      </c>
      <c r="R567" s="4"/>
      <c r="S567" s="4">
        <v>3922</v>
      </c>
      <c r="T567" s="4" t="s">
        <v>2551</v>
      </c>
      <c r="U567" s="4"/>
      <c r="V567" s="4" t="s">
        <v>3076</v>
      </c>
      <c r="W567" s="4" t="s">
        <v>121</v>
      </c>
      <c r="X567" s="4">
        <f t="shared" si="8"/>
        <v>5</v>
      </c>
      <c r="Y567" s="4"/>
      <c r="Z567" s="4"/>
      <c r="AA567" s="4"/>
      <c r="AB567" s="4"/>
      <c r="AC567" s="4">
        <v>0</v>
      </c>
      <c r="AD567" s="4"/>
      <c r="AE567" s="4"/>
    </row>
    <row r="568" spans="1:31" x14ac:dyDescent="0.2">
      <c r="A568" s="201"/>
      <c r="B568" s="4" t="s">
        <v>3170</v>
      </c>
      <c r="C568" s="4">
        <v>564</v>
      </c>
      <c r="D568" s="4" t="s">
        <v>2618</v>
      </c>
      <c r="E568" s="4" t="s">
        <v>2619</v>
      </c>
      <c r="F568" s="4" t="s">
        <v>2648</v>
      </c>
      <c r="G568" s="4" t="s">
        <v>329</v>
      </c>
      <c r="H568" s="4" t="s">
        <v>41</v>
      </c>
      <c r="I568" s="4" t="s">
        <v>85</v>
      </c>
      <c r="J568" s="4">
        <v>30564</v>
      </c>
      <c r="K568" s="202" t="s">
        <v>1792</v>
      </c>
      <c r="L568" s="4">
        <v>36</v>
      </c>
      <c r="M568" s="4">
        <v>3</v>
      </c>
      <c r="N568" s="4" t="str">
        <f>_xlfn.CONCAT("DBX",((L568-1)*2),".3")</f>
        <v>DBX70.3</v>
      </c>
      <c r="O568" s="4" t="s">
        <v>781</v>
      </c>
      <c r="P568" s="4" t="s">
        <v>1780</v>
      </c>
      <c r="Q568" s="4" t="s">
        <v>12</v>
      </c>
      <c r="R568" s="4"/>
      <c r="S568" s="4">
        <v>3922</v>
      </c>
      <c r="T568" s="4" t="s">
        <v>2551</v>
      </c>
      <c r="U568" s="4"/>
      <c r="V568" s="4" t="s">
        <v>3076</v>
      </c>
      <c r="W568" s="4" t="s">
        <v>123</v>
      </c>
      <c r="X568" s="4">
        <f t="shared" si="8"/>
        <v>7</v>
      </c>
      <c r="Y568" s="4"/>
      <c r="Z568" s="4"/>
      <c r="AA568" s="4"/>
      <c r="AB568" s="4"/>
      <c r="AC568" s="4">
        <v>1</v>
      </c>
      <c r="AD568" s="4"/>
      <c r="AE568" s="4"/>
    </row>
    <row r="569" spans="1:31" x14ac:dyDescent="0.2">
      <c r="A569" s="201"/>
      <c r="B569" s="4" t="s">
        <v>3170</v>
      </c>
      <c r="C569" s="4">
        <v>565</v>
      </c>
      <c r="D569" s="4" t="s">
        <v>2620</v>
      </c>
      <c r="E569" s="4" t="s">
        <v>2621</v>
      </c>
      <c r="F569" s="4" t="s">
        <v>2649</v>
      </c>
      <c r="G569" s="4" t="s">
        <v>329</v>
      </c>
      <c r="H569" s="4" t="s">
        <v>41</v>
      </c>
      <c r="I569" s="4" t="s">
        <v>85</v>
      </c>
      <c r="J569" s="4">
        <v>30565</v>
      </c>
      <c r="K569" s="202" t="s">
        <v>1792</v>
      </c>
      <c r="L569" s="4">
        <v>36</v>
      </c>
      <c r="M569" s="4">
        <v>4</v>
      </c>
      <c r="N569" s="4" t="str">
        <f>_xlfn.CONCAT("DBX",((L569-1)*2),".4")</f>
        <v>DBX70.4</v>
      </c>
      <c r="O569" s="4" t="s">
        <v>781</v>
      </c>
      <c r="P569" s="4" t="s">
        <v>1780</v>
      </c>
      <c r="Q569" s="4" t="s">
        <v>12</v>
      </c>
      <c r="R569" s="4"/>
      <c r="S569" s="4">
        <v>3922</v>
      </c>
      <c r="T569" s="4" t="s">
        <v>2551</v>
      </c>
      <c r="U569" s="4"/>
      <c r="V569" s="4" t="s">
        <v>3076</v>
      </c>
      <c r="W569" s="4" t="s">
        <v>129</v>
      </c>
      <c r="X569" s="4">
        <f t="shared" si="8"/>
        <v>13</v>
      </c>
      <c r="Y569" s="4"/>
      <c r="Z569" s="4"/>
      <c r="AA569" s="4"/>
      <c r="AB569" s="4"/>
      <c r="AC569" s="4">
        <v>1</v>
      </c>
      <c r="AD569" s="4"/>
      <c r="AE569" s="4"/>
    </row>
    <row r="570" spans="1:31" x14ac:dyDescent="0.2">
      <c r="A570" s="201"/>
      <c r="B570" s="4" t="s">
        <v>2857</v>
      </c>
      <c r="C570" s="4">
        <v>566</v>
      </c>
      <c r="D570" s="4" t="s">
        <v>3194</v>
      </c>
      <c r="E570" s="4" t="s">
        <v>3195</v>
      </c>
      <c r="F570" s="4" t="s">
        <v>3196</v>
      </c>
      <c r="G570" s="4" t="s">
        <v>329</v>
      </c>
      <c r="H570" s="4" t="s">
        <v>41</v>
      </c>
      <c r="I570" s="4" t="s">
        <v>85</v>
      </c>
      <c r="J570" s="4">
        <v>30566</v>
      </c>
      <c r="K570" s="202" t="s">
        <v>1792</v>
      </c>
      <c r="L570" s="4">
        <v>36</v>
      </c>
      <c r="M570" s="4">
        <v>5</v>
      </c>
      <c r="N570" s="4" t="s">
        <v>3197</v>
      </c>
      <c r="O570" s="4" t="s">
        <v>781</v>
      </c>
      <c r="P570" s="4" t="s">
        <v>1780</v>
      </c>
      <c r="Q570" s="4" t="s">
        <v>12</v>
      </c>
      <c r="R570" s="4"/>
      <c r="S570" s="4">
        <v>3922</v>
      </c>
      <c r="T570" s="4" t="s">
        <v>2551</v>
      </c>
      <c r="U570" s="4"/>
      <c r="V570" s="4" t="s">
        <v>3076</v>
      </c>
      <c r="W570" s="4" t="s">
        <v>129</v>
      </c>
      <c r="X570" s="4">
        <v>13</v>
      </c>
      <c r="Y570" s="4"/>
      <c r="Z570" s="4"/>
      <c r="AA570" s="4"/>
      <c r="AB570" s="4"/>
      <c r="AC570" s="4">
        <v>1</v>
      </c>
      <c r="AD570" s="4"/>
      <c r="AE570" s="4"/>
    </row>
    <row r="571" spans="1:31" x14ac:dyDescent="0.2">
      <c r="A571" s="201"/>
      <c r="B571" s="4" t="s">
        <v>34</v>
      </c>
      <c r="C571" s="4">
        <v>567</v>
      </c>
      <c r="D571" s="4"/>
      <c r="E571" s="4"/>
      <c r="F571" s="4"/>
      <c r="G571" s="4"/>
      <c r="H571" s="4"/>
      <c r="I571" s="4"/>
      <c r="J571" s="4">
        <v>30567</v>
      </c>
      <c r="K571" s="202"/>
      <c r="L571" s="4">
        <v>36</v>
      </c>
      <c r="M571" s="4">
        <v>6</v>
      </c>
      <c r="N571" s="4" t="str">
        <f>_xlfn.CONCAT("DBX",((L571-1)*2),".6")</f>
        <v>DBX70.6</v>
      </c>
      <c r="O571" s="4" t="s">
        <v>781</v>
      </c>
      <c r="P571" s="4"/>
      <c r="Q571" s="4"/>
      <c r="R571" s="4"/>
      <c r="S571" s="4"/>
      <c r="T571" s="4"/>
      <c r="U571" s="4"/>
      <c r="V571" s="4"/>
      <c r="W571" s="4"/>
      <c r="X571" s="4" t="e">
        <f t="shared" si="8"/>
        <v>#N/A</v>
      </c>
      <c r="Y571" s="4"/>
      <c r="Z571" s="4"/>
      <c r="AA571" s="4"/>
      <c r="AB571" s="4"/>
      <c r="AC571" s="4"/>
      <c r="AD571" s="4"/>
      <c r="AE571" s="4"/>
    </row>
    <row r="572" spans="1:31" x14ac:dyDescent="0.2">
      <c r="A572" s="201"/>
      <c r="B572" s="4" t="s">
        <v>34</v>
      </c>
      <c r="C572" s="4">
        <v>568</v>
      </c>
      <c r="D572" s="4"/>
      <c r="E572" s="4"/>
      <c r="F572" s="4"/>
      <c r="G572" s="4"/>
      <c r="H572" s="4"/>
      <c r="I572" s="4"/>
      <c r="J572" s="4">
        <v>30568</v>
      </c>
      <c r="K572" s="202"/>
      <c r="L572" s="4">
        <v>36</v>
      </c>
      <c r="M572" s="4">
        <v>7</v>
      </c>
      <c r="N572" s="4" t="str">
        <f>_xlfn.CONCAT("DBX",((L572-1)*2),".7")</f>
        <v>DBX70.7</v>
      </c>
      <c r="O572" s="4" t="s">
        <v>781</v>
      </c>
      <c r="P572" s="4"/>
      <c r="Q572" s="4"/>
      <c r="R572" s="4"/>
      <c r="S572" s="4"/>
      <c r="T572" s="4"/>
      <c r="U572" s="4"/>
      <c r="V572" s="4"/>
      <c r="W572" s="4"/>
      <c r="X572" s="4" t="e">
        <f t="shared" si="8"/>
        <v>#N/A</v>
      </c>
      <c r="Y572" s="4"/>
      <c r="Z572" s="4"/>
      <c r="AA572" s="4"/>
      <c r="AB572" s="4"/>
      <c r="AC572" s="4"/>
      <c r="AD572" s="4"/>
      <c r="AE572" s="4"/>
    </row>
    <row r="573" spans="1:31" x14ac:dyDescent="0.2">
      <c r="A573" s="201"/>
      <c r="B573" s="4" t="s">
        <v>34</v>
      </c>
      <c r="C573" s="4">
        <v>569</v>
      </c>
      <c r="D573" s="4"/>
      <c r="E573" s="4"/>
      <c r="F573" s="4"/>
      <c r="G573" s="4"/>
      <c r="H573" s="4"/>
      <c r="I573" s="4"/>
      <c r="J573" s="4">
        <v>30569</v>
      </c>
      <c r="K573" s="202"/>
      <c r="L573" s="4">
        <v>36</v>
      </c>
      <c r="M573" s="4">
        <v>8</v>
      </c>
      <c r="N573" s="4" t="str">
        <f>_xlfn.CONCAT("DBX",((L573-1)*2)+1,".0")</f>
        <v>DBX71.0</v>
      </c>
      <c r="O573" s="4" t="s">
        <v>781</v>
      </c>
      <c r="P573" s="4"/>
      <c r="Q573" s="4"/>
      <c r="R573" s="4"/>
      <c r="S573" s="4"/>
      <c r="T573" s="4"/>
      <c r="U573" s="4"/>
      <c r="V573" s="4"/>
      <c r="W573" s="4"/>
      <c r="X573" s="4" t="e">
        <f t="shared" si="8"/>
        <v>#N/A</v>
      </c>
      <c r="Y573" s="4"/>
      <c r="Z573" s="4"/>
      <c r="AA573" s="4"/>
      <c r="AB573" s="4"/>
      <c r="AC573" s="4"/>
      <c r="AD573" s="4"/>
      <c r="AE573" s="4"/>
    </row>
    <row r="574" spans="1:31" s="244" customFormat="1" x14ac:dyDescent="0.2">
      <c r="A574" s="268"/>
      <c r="B574" s="266" t="s">
        <v>3349</v>
      </c>
      <c r="C574" s="242">
        <v>570</v>
      </c>
      <c r="D574" s="269" t="s">
        <v>2012</v>
      </c>
      <c r="E574" s="269" t="s">
        <v>2000</v>
      </c>
      <c r="F574" s="269" t="s">
        <v>2001</v>
      </c>
      <c r="G574" s="210" t="s">
        <v>356</v>
      </c>
      <c r="H574" s="210" t="s">
        <v>1179</v>
      </c>
      <c r="I574" s="210" t="s">
        <v>40</v>
      </c>
      <c r="J574" s="4">
        <v>30570</v>
      </c>
      <c r="K574" s="210" t="s">
        <v>2026</v>
      </c>
      <c r="L574" s="210">
        <v>36</v>
      </c>
      <c r="M574" s="4">
        <v>9</v>
      </c>
      <c r="N574" s="4" t="str">
        <f>_xlfn.CONCAT("DBX",((L574-1)*2)+1,".1")</f>
        <v>DBX71.1</v>
      </c>
      <c r="O574" s="4" t="s">
        <v>781</v>
      </c>
      <c r="P574" s="210" t="s">
        <v>11</v>
      </c>
      <c r="Q574" s="269" t="s">
        <v>88</v>
      </c>
      <c r="R574" s="269"/>
      <c r="S574" s="242">
        <v>3922</v>
      </c>
      <c r="T574" s="242" t="s">
        <v>2551</v>
      </c>
      <c r="U574" s="269"/>
      <c r="V574" s="269"/>
      <c r="W574" s="269" t="s">
        <v>129</v>
      </c>
      <c r="X574" s="242">
        <f t="shared" si="8"/>
        <v>13</v>
      </c>
      <c r="Y574" s="242" t="s">
        <v>2310</v>
      </c>
      <c r="Z574" s="269"/>
      <c r="AA574" s="269"/>
      <c r="AB574" s="269"/>
      <c r="AC574" s="266">
        <v>0</v>
      </c>
      <c r="AD574" s="269"/>
      <c r="AE574" s="269"/>
    </row>
    <row r="575" spans="1:31" x14ac:dyDescent="0.2">
      <c r="A575" s="201"/>
      <c r="B575" s="4" t="s">
        <v>34</v>
      </c>
      <c r="C575" s="4">
        <v>571</v>
      </c>
      <c r="D575" s="4"/>
      <c r="E575" s="4"/>
      <c r="F575" s="4"/>
      <c r="G575" s="4"/>
      <c r="H575" s="4"/>
      <c r="I575" s="4"/>
      <c r="J575" s="4">
        <v>30571</v>
      </c>
      <c r="K575" s="202"/>
      <c r="L575" s="4">
        <v>36</v>
      </c>
      <c r="M575" s="4">
        <v>10</v>
      </c>
      <c r="N575" s="4" t="str">
        <f>_xlfn.CONCAT("DBX",((L575-1)*2)+1,".2")</f>
        <v>DBX71.2</v>
      </c>
      <c r="O575" s="4" t="s">
        <v>781</v>
      </c>
      <c r="P575" s="4"/>
      <c r="Q575" s="4"/>
      <c r="R575" s="4"/>
      <c r="S575" s="4"/>
      <c r="T575" s="4"/>
      <c r="U575" s="4"/>
      <c r="V575" s="4"/>
      <c r="W575" s="4"/>
      <c r="X575" s="4" t="e">
        <f t="shared" si="8"/>
        <v>#N/A</v>
      </c>
      <c r="Y575" s="4"/>
      <c r="Z575" s="4"/>
      <c r="AA575" s="4"/>
      <c r="AB575" s="4"/>
      <c r="AC575" s="4"/>
      <c r="AD575" s="4"/>
      <c r="AE575" s="4"/>
    </row>
    <row r="576" spans="1:31" x14ac:dyDescent="0.2">
      <c r="A576" s="201"/>
      <c r="B576" s="4" t="s">
        <v>34</v>
      </c>
      <c r="C576" s="4">
        <v>572</v>
      </c>
      <c r="D576" s="4"/>
      <c r="E576" s="4"/>
      <c r="F576" s="4"/>
      <c r="G576" s="4"/>
      <c r="H576" s="4"/>
      <c r="I576" s="4"/>
      <c r="J576" s="4">
        <v>30572</v>
      </c>
      <c r="K576" s="202"/>
      <c r="L576" s="4">
        <v>36</v>
      </c>
      <c r="M576" s="4">
        <v>11</v>
      </c>
      <c r="N576" s="4" t="str">
        <f>_xlfn.CONCAT("DBX",((L576-1)*2)+1,".3")</f>
        <v>DBX71.3</v>
      </c>
      <c r="O576" s="4" t="s">
        <v>781</v>
      </c>
      <c r="P576" s="4"/>
      <c r="Q576" s="4"/>
      <c r="R576" s="4"/>
      <c r="S576" s="4"/>
      <c r="T576" s="4"/>
      <c r="U576" s="4"/>
      <c r="V576" s="4"/>
      <c r="W576" s="4"/>
      <c r="X576" s="4" t="e">
        <f t="shared" si="8"/>
        <v>#N/A</v>
      </c>
      <c r="Y576" s="4"/>
      <c r="Z576" s="4"/>
      <c r="AA576" s="4"/>
      <c r="AB576" s="4"/>
      <c r="AC576" s="4"/>
      <c r="AD576" s="4"/>
      <c r="AE576" s="4"/>
    </row>
    <row r="577" spans="1:31" x14ac:dyDescent="0.2">
      <c r="A577" s="201"/>
      <c r="B577" s="4" t="s">
        <v>34</v>
      </c>
      <c r="C577" s="4">
        <v>573</v>
      </c>
      <c r="D577" s="4"/>
      <c r="E577" s="4"/>
      <c r="F577" s="4"/>
      <c r="G577" s="4"/>
      <c r="H577" s="4"/>
      <c r="I577" s="4"/>
      <c r="J577" s="4">
        <v>30573</v>
      </c>
      <c r="K577" s="202"/>
      <c r="L577" s="4">
        <v>36</v>
      </c>
      <c r="M577" s="4">
        <v>12</v>
      </c>
      <c r="N577" s="4" t="str">
        <f>_xlfn.CONCAT("DBX",((L577-1)*2)+1,".4")</f>
        <v>DBX71.4</v>
      </c>
      <c r="O577" s="4" t="s">
        <v>781</v>
      </c>
      <c r="P577" s="4"/>
      <c r="Q577" s="4"/>
      <c r="R577" s="4"/>
      <c r="S577" s="4"/>
      <c r="T577" s="4"/>
      <c r="U577" s="4"/>
      <c r="V577" s="4"/>
      <c r="W577" s="4"/>
      <c r="X577" s="4" t="e">
        <f t="shared" si="8"/>
        <v>#N/A</v>
      </c>
      <c r="Y577" s="4"/>
      <c r="Z577" s="4"/>
      <c r="AA577" s="4"/>
      <c r="AB577" s="4"/>
      <c r="AC577" s="4"/>
      <c r="AD577" s="4"/>
      <c r="AE577" s="4"/>
    </row>
    <row r="578" spans="1:31" x14ac:dyDescent="0.2">
      <c r="A578" s="201"/>
      <c r="B578" s="4" t="s">
        <v>34</v>
      </c>
      <c r="C578" s="4">
        <v>574</v>
      </c>
      <c r="D578" s="4"/>
      <c r="E578" s="4"/>
      <c r="F578" s="4"/>
      <c r="G578" s="4"/>
      <c r="H578" s="4"/>
      <c r="I578" s="4"/>
      <c r="J578" s="4">
        <v>30574</v>
      </c>
      <c r="K578" s="202"/>
      <c r="L578" s="4">
        <v>36</v>
      </c>
      <c r="M578" s="4">
        <v>13</v>
      </c>
      <c r="N578" s="4" t="str">
        <f>_xlfn.CONCAT("DBX",((L578-1)*2)+1,".5")</f>
        <v>DBX71.5</v>
      </c>
      <c r="O578" s="4" t="s">
        <v>781</v>
      </c>
      <c r="P578" s="4"/>
      <c r="Q578" s="4"/>
      <c r="R578" s="4"/>
      <c r="S578" s="4"/>
      <c r="T578" s="4"/>
      <c r="U578" s="4"/>
      <c r="V578" s="4"/>
      <c r="W578" s="4"/>
      <c r="X578" s="4" t="e">
        <f t="shared" si="8"/>
        <v>#N/A</v>
      </c>
      <c r="Y578" s="4"/>
      <c r="Z578" s="4"/>
      <c r="AA578" s="4"/>
      <c r="AB578" s="4"/>
      <c r="AC578" s="4"/>
      <c r="AD578" s="4"/>
      <c r="AE578" s="4"/>
    </row>
    <row r="579" spans="1:31" x14ac:dyDescent="0.2">
      <c r="A579" s="201"/>
      <c r="B579" s="4" t="s">
        <v>34</v>
      </c>
      <c r="C579" s="4">
        <v>575</v>
      </c>
      <c r="D579" s="4"/>
      <c r="E579" s="4"/>
      <c r="F579" s="4"/>
      <c r="G579" s="4"/>
      <c r="H579" s="4"/>
      <c r="I579" s="4"/>
      <c r="J579" s="4">
        <v>30575</v>
      </c>
      <c r="K579" s="202"/>
      <c r="L579" s="4">
        <v>36</v>
      </c>
      <c r="M579" s="4">
        <v>14</v>
      </c>
      <c r="N579" s="4" t="str">
        <f>_xlfn.CONCAT("DBX",((L579-1)*2)+1,".6")</f>
        <v>DBX71.6</v>
      </c>
      <c r="O579" s="4" t="s">
        <v>781</v>
      </c>
      <c r="P579" s="4"/>
      <c r="Q579" s="4"/>
      <c r="R579" s="4"/>
      <c r="S579" s="4"/>
      <c r="T579" s="4"/>
      <c r="U579" s="4"/>
      <c r="V579" s="4"/>
      <c r="W579" s="4"/>
      <c r="X579" s="4" t="e">
        <f t="shared" si="8"/>
        <v>#N/A</v>
      </c>
      <c r="Y579" s="4"/>
      <c r="Z579" s="4"/>
      <c r="AA579" s="4"/>
      <c r="AB579" s="4"/>
      <c r="AC579" s="4"/>
      <c r="AD579" s="4"/>
      <c r="AE579" s="4"/>
    </row>
    <row r="580" spans="1:31" x14ac:dyDescent="0.2">
      <c r="A580" s="201"/>
      <c r="B580" s="4" t="s">
        <v>34</v>
      </c>
      <c r="C580" s="4">
        <v>576</v>
      </c>
      <c r="D580" s="4"/>
      <c r="E580" s="4"/>
      <c r="F580" s="4"/>
      <c r="G580" s="4"/>
      <c r="H580" s="4"/>
      <c r="I580" s="4"/>
      <c r="J580" s="4">
        <v>30576</v>
      </c>
      <c r="K580" s="202"/>
      <c r="L580" s="4">
        <v>36</v>
      </c>
      <c r="M580" s="4">
        <v>15</v>
      </c>
      <c r="N580" s="4" t="str">
        <f>_xlfn.CONCAT("DBX",((L580-1)*2)+1,".7")</f>
        <v>DBX71.7</v>
      </c>
      <c r="O580" s="4" t="s">
        <v>781</v>
      </c>
      <c r="P580" s="4"/>
      <c r="Q580" s="4"/>
      <c r="R580" s="4"/>
      <c r="S580" s="4"/>
      <c r="T580" s="4"/>
      <c r="U580" s="4"/>
      <c r="V580" s="4"/>
      <c r="W580" s="4"/>
      <c r="X580" s="4" t="e">
        <f t="shared" si="8"/>
        <v>#N/A</v>
      </c>
      <c r="Y580" s="4"/>
      <c r="Z580" s="4"/>
      <c r="AA580" s="4"/>
      <c r="AB580" s="4"/>
      <c r="AC580" s="4"/>
      <c r="AD580" s="4"/>
      <c r="AE580" s="4"/>
    </row>
    <row r="581" spans="1:31" x14ac:dyDescent="0.2">
      <c r="A581" s="201"/>
      <c r="B581" s="4" t="s">
        <v>3170</v>
      </c>
      <c r="C581" s="4">
        <v>577</v>
      </c>
      <c r="D581" s="4" t="s">
        <v>1795</v>
      </c>
      <c r="E581" s="4" t="s">
        <v>1796</v>
      </c>
      <c r="F581" s="4" t="s">
        <v>2381</v>
      </c>
      <c r="G581" s="4" t="s">
        <v>40</v>
      </c>
      <c r="H581" s="4" t="s">
        <v>41</v>
      </c>
      <c r="I581" s="4" t="s">
        <v>40</v>
      </c>
      <c r="J581" s="4">
        <v>30577</v>
      </c>
      <c r="K581" s="202" t="s">
        <v>1813</v>
      </c>
      <c r="L581" s="4">
        <v>37</v>
      </c>
      <c r="M581" s="4">
        <v>0</v>
      </c>
      <c r="N581" s="4" t="str">
        <f>_xlfn.CONCAT("DBX",((L581-1)*2),".0")</f>
        <v>DBX72.0</v>
      </c>
      <c r="O581" s="4" t="s">
        <v>781</v>
      </c>
      <c r="P581" s="4" t="s">
        <v>1819</v>
      </c>
      <c r="Q581" s="4" t="s">
        <v>12</v>
      </c>
      <c r="R581" s="4"/>
      <c r="S581" s="4">
        <v>3922</v>
      </c>
      <c r="T581" s="4" t="s">
        <v>2551</v>
      </c>
      <c r="U581" s="4"/>
      <c r="V581" s="4" t="s">
        <v>3012</v>
      </c>
      <c r="W581" s="4" t="s">
        <v>123</v>
      </c>
      <c r="X581" s="4">
        <f t="shared" ref="X581:X644" si="9">VLOOKUP(W581,$W$1609:$X$1639,2,FALSE)</f>
        <v>7</v>
      </c>
      <c r="Y581" s="4"/>
      <c r="Z581" s="4"/>
      <c r="AA581" s="4"/>
      <c r="AB581" s="4"/>
      <c r="AC581" s="4">
        <v>1</v>
      </c>
      <c r="AD581" s="4"/>
      <c r="AE581" s="4"/>
    </row>
    <row r="582" spans="1:31" x14ac:dyDescent="0.2">
      <c r="A582" s="201"/>
      <c r="B582" s="4" t="s">
        <v>3170</v>
      </c>
      <c r="C582" s="4">
        <v>578</v>
      </c>
      <c r="D582" s="4" t="s">
        <v>1797</v>
      </c>
      <c r="E582" s="4" t="s">
        <v>1798</v>
      </c>
      <c r="F582" s="4" t="s">
        <v>2379</v>
      </c>
      <c r="G582" s="4" t="s">
        <v>40</v>
      </c>
      <c r="H582" s="4" t="s">
        <v>41</v>
      </c>
      <c r="I582" s="4" t="s">
        <v>40</v>
      </c>
      <c r="J582" s="4">
        <v>30578</v>
      </c>
      <c r="K582" s="202" t="s">
        <v>1814</v>
      </c>
      <c r="L582" s="4">
        <v>37</v>
      </c>
      <c r="M582" s="4">
        <v>1</v>
      </c>
      <c r="N582" s="4" t="str">
        <f>_xlfn.CONCAT("DBX",((L582-1)*2),".1")</f>
        <v>DBX72.1</v>
      </c>
      <c r="O582" s="4" t="s">
        <v>781</v>
      </c>
      <c r="P582" s="4" t="s">
        <v>1820</v>
      </c>
      <c r="Q582" s="4" t="s">
        <v>12</v>
      </c>
      <c r="R582" s="4"/>
      <c r="S582" s="4">
        <v>3922</v>
      </c>
      <c r="T582" s="4" t="s">
        <v>2551</v>
      </c>
      <c r="U582" s="4"/>
      <c r="V582" s="4" t="s">
        <v>3013</v>
      </c>
      <c r="W582" s="4" t="s">
        <v>123</v>
      </c>
      <c r="X582" s="4">
        <f t="shared" si="9"/>
        <v>7</v>
      </c>
      <c r="Y582" s="4"/>
      <c r="Z582" s="4"/>
      <c r="AA582" s="4"/>
      <c r="AB582" s="4"/>
      <c r="AC582" s="4">
        <v>1</v>
      </c>
      <c r="AD582" s="4"/>
      <c r="AE582" s="4"/>
    </row>
    <row r="583" spans="1:31" x14ac:dyDescent="0.2">
      <c r="A583" s="201"/>
      <c r="B583" s="4" t="s">
        <v>3170</v>
      </c>
      <c r="C583" s="4">
        <v>579</v>
      </c>
      <c r="D583" s="4" t="s">
        <v>1799</v>
      </c>
      <c r="E583" s="4" t="s">
        <v>1800</v>
      </c>
      <c r="F583" s="4" t="s">
        <v>2380</v>
      </c>
      <c r="G583" s="4" t="s">
        <v>40</v>
      </c>
      <c r="H583" s="4" t="s">
        <v>41</v>
      </c>
      <c r="I583" s="4" t="s">
        <v>40</v>
      </c>
      <c r="J583" s="4">
        <v>30579</v>
      </c>
      <c r="K583" s="202" t="s">
        <v>1815</v>
      </c>
      <c r="L583" s="4">
        <v>37</v>
      </c>
      <c r="M583" s="4">
        <v>2</v>
      </c>
      <c r="N583" s="4" t="str">
        <f>_xlfn.CONCAT("DBX",((L583-1)*2),".2")</f>
        <v>DBX72.2</v>
      </c>
      <c r="O583" s="4" t="s">
        <v>781</v>
      </c>
      <c r="P583" s="4" t="s">
        <v>1821</v>
      </c>
      <c r="Q583" s="4" t="s">
        <v>12</v>
      </c>
      <c r="R583" s="4"/>
      <c r="S583" s="4">
        <v>3922</v>
      </c>
      <c r="T583" s="4" t="s">
        <v>2551</v>
      </c>
      <c r="U583" s="4"/>
      <c r="V583" s="4" t="s">
        <v>3014</v>
      </c>
      <c r="W583" s="4" t="s">
        <v>123</v>
      </c>
      <c r="X583" s="4">
        <f t="shared" si="9"/>
        <v>7</v>
      </c>
      <c r="Y583" s="4"/>
      <c r="Z583" s="4"/>
      <c r="AA583" s="4"/>
      <c r="AB583" s="4"/>
      <c r="AC583" s="4">
        <v>1</v>
      </c>
      <c r="AD583" s="4"/>
      <c r="AE583" s="4"/>
    </row>
    <row r="584" spans="1:31" x14ac:dyDescent="0.2">
      <c r="A584" s="201"/>
      <c r="B584" s="4" t="s">
        <v>3170</v>
      </c>
      <c r="C584" s="4">
        <v>580</v>
      </c>
      <c r="D584" s="4" t="s">
        <v>1801</v>
      </c>
      <c r="E584" s="4" t="s">
        <v>1802</v>
      </c>
      <c r="F584" s="4" t="s">
        <v>2382</v>
      </c>
      <c r="G584" s="4" t="s">
        <v>40</v>
      </c>
      <c r="H584" s="4" t="s">
        <v>41</v>
      </c>
      <c r="I584" s="4" t="s">
        <v>40</v>
      </c>
      <c r="J584" s="4">
        <v>30580</v>
      </c>
      <c r="K584" s="202" t="s">
        <v>1816</v>
      </c>
      <c r="L584" s="4">
        <v>37</v>
      </c>
      <c r="M584" s="4">
        <v>3</v>
      </c>
      <c r="N584" s="4" t="str">
        <f>_xlfn.CONCAT("DBX",((L584-1)*2),".3")</f>
        <v>DBX72.3</v>
      </c>
      <c r="O584" s="4" t="s">
        <v>781</v>
      </c>
      <c r="P584" s="4" t="s">
        <v>1822</v>
      </c>
      <c r="Q584" s="4" t="s">
        <v>12</v>
      </c>
      <c r="R584" s="4"/>
      <c r="S584" s="4">
        <v>3922</v>
      </c>
      <c r="T584" s="4" t="s">
        <v>2551</v>
      </c>
      <c r="U584" s="4"/>
      <c r="V584" s="4" t="s">
        <v>3015</v>
      </c>
      <c r="W584" s="4" t="s">
        <v>123</v>
      </c>
      <c r="X584" s="4">
        <f t="shared" si="9"/>
        <v>7</v>
      </c>
      <c r="Y584" s="4"/>
      <c r="Z584" s="4"/>
      <c r="AA584" s="4"/>
      <c r="AB584" s="4"/>
      <c r="AC584" s="4">
        <v>1</v>
      </c>
      <c r="AD584" s="4"/>
      <c r="AE584" s="4"/>
    </row>
    <row r="585" spans="1:31" x14ac:dyDescent="0.2">
      <c r="A585" s="201"/>
      <c r="B585" s="4" t="s">
        <v>3170</v>
      </c>
      <c r="C585" s="4">
        <v>581</v>
      </c>
      <c r="D585" s="4" t="s">
        <v>1809</v>
      </c>
      <c r="E585" s="4" t="s">
        <v>1810</v>
      </c>
      <c r="F585" s="4" t="s">
        <v>2383</v>
      </c>
      <c r="G585" s="4" t="s">
        <v>40</v>
      </c>
      <c r="H585" s="4" t="s">
        <v>41</v>
      </c>
      <c r="I585" s="4" t="s">
        <v>40</v>
      </c>
      <c r="J585" s="4">
        <v>30581</v>
      </c>
      <c r="K585" s="202" t="s">
        <v>1817</v>
      </c>
      <c r="L585" s="4">
        <v>37</v>
      </c>
      <c r="M585" s="4">
        <v>4</v>
      </c>
      <c r="N585" s="4" t="str">
        <f>_xlfn.CONCAT("DBX",((L585-1)*2),".4")</f>
        <v>DBX72.4</v>
      </c>
      <c r="O585" s="4" t="s">
        <v>781</v>
      </c>
      <c r="P585" s="4" t="s">
        <v>1823</v>
      </c>
      <c r="Q585" s="4" t="s">
        <v>12</v>
      </c>
      <c r="R585" s="4"/>
      <c r="S585" s="4">
        <v>3922</v>
      </c>
      <c r="T585" s="4" t="s">
        <v>2551</v>
      </c>
      <c r="U585" s="4"/>
      <c r="V585" s="4" t="s">
        <v>3016</v>
      </c>
      <c r="W585" s="4" t="s">
        <v>123</v>
      </c>
      <c r="X585" s="4">
        <f t="shared" si="9"/>
        <v>7</v>
      </c>
      <c r="Y585" s="4"/>
      <c r="Z585" s="4"/>
      <c r="AA585" s="4"/>
      <c r="AB585" s="4"/>
      <c r="AC585" s="4">
        <v>1</v>
      </c>
      <c r="AD585" s="4"/>
      <c r="AE585" s="4"/>
    </row>
    <row r="586" spans="1:31" x14ac:dyDescent="0.2">
      <c r="A586" s="201"/>
      <c r="B586" s="4" t="s">
        <v>3170</v>
      </c>
      <c r="C586" s="4">
        <v>582</v>
      </c>
      <c r="D586" s="4" t="s">
        <v>1811</v>
      </c>
      <c r="E586" s="4" t="s">
        <v>1812</v>
      </c>
      <c r="F586" s="4" t="s">
        <v>2654</v>
      </c>
      <c r="G586" s="4" t="s">
        <v>40</v>
      </c>
      <c r="H586" s="4" t="s">
        <v>41</v>
      </c>
      <c r="I586" s="4" t="s">
        <v>40</v>
      </c>
      <c r="J586" s="4">
        <v>30582</v>
      </c>
      <c r="K586" s="202" t="s">
        <v>1818</v>
      </c>
      <c r="L586" s="4">
        <v>37</v>
      </c>
      <c r="M586" s="4">
        <v>5</v>
      </c>
      <c r="N586" s="4" t="str">
        <f>_xlfn.CONCAT("DBX",((L586-1)*2),".5")</f>
        <v>DBX72.5</v>
      </c>
      <c r="O586" s="4" t="s">
        <v>781</v>
      </c>
      <c r="P586" s="4" t="s">
        <v>1824</v>
      </c>
      <c r="Q586" s="4" t="s">
        <v>12</v>
      </c>
      <c r="R586" s="4"/>
      <c r="S586" s="4">
        <v>3922</v>
      </c>
      <c r="T586" s="4" t="s">
        <v>2551</v>
      </c>
      <c r="U586" s="4"/>
      <c r="V586" s="4" t="s">
        <v>3017</v>
      </c>
      <c r="W586" s="4" t="s">
        <v>123</v>
      </c>
      <c r="X586" s="4">
        <f t="shared" si="9"/>
        <v>7</v>
      </c>
      <c r="Y586" s="4"/>
      <c r="Z586" s="4"/>
      <c r="AA586" s="4"/>
      <c r="AB586" s="4"/>
      <c r="AC586" s="4">
        <v>1</v>
      </c>
      <c r="AD586" s="4"/>
      <c r="AE586" s="4"/>
    </row>
    <row r="587" spans="1:31" x14ac:dyDescent="0.2">
      <c r="A587" s="201"/>
      <c r="B587" s="4" t="s">
        <v>3170</v>
      </c>
      <c r="C587" s="4">
        <v>583</v>
      </c>
      <c r="D587" s="4" t="s">
        <v>1803</v>
      </c>
      <c r="E587" s="4" t="s">
        <v>1804</v>
      </c>
      <c r="F587" s="4" t="s">
        <v>2384</v>
      </c>
      <c r="G587" s="4" t="s">
        <v>40</v>
      </c>
      <c r="H587" s="4" t="s">
        <v>41</v>
      </c>
      <c r="I587" s="4" t="s">
        <v>40</v>
      </c>
      <c r="J587" s="4">
        <v>30583</v>
      </c>
      <c r="K587" s="202" t="s">
        <v>1825</v>
      </c>
      <c r="L587" s="4">
        <v>37</v>
      </c>
      <c r="M587" s="4">
        <v>6</v>
      </c>
      <c r="N587" s="4" t="str">
        <f>_xlfn.CONCAT("DBX",((L587-1)*2),".6")</f>
        <v>DBX72.6</v>
      </c>
      <c r="O587" s="4" t="s">
        <v>781</v>
      </c>
      <c r="P587" s="4" t="s">
        <v>1826</v>
      </c>
      <c r="Q587" s="4" t="s">
        <v>12</v>
      </c>
      <c r="R587" s="4"/>
      <c r="S587" s="4">
        <v>3922</v>
      </c>
      <c r="T587" s="4" t="s">
        <v>2551</v>
      </c>
      <c r="U587" s="4"/>
      <c r="V587" s="4" t="s">
        <v>3026</v>
      </c>
      <c r="W587" s="4" t="s">
        <v>123</v>
      </c>
      <c r="X587" s="4">
        <f t="shared" si="9"/>
        <v>7</v>
      </c>
      <c r="Y587" s="4"/>
      <c r="Z587" s="4"/>
      <c r="AA587" s="4"/>
      <c r="AB587" s="4"/>
      <c r="AC587" s="4">
        <v>1</v>
      </c>
      <c r="AD587" s="4"/>
      <c r="AE587" s="4"/>
    </row>
    <row r="588" spans="1:31" x14ac:dyDescent="0.2">
      <c r="A588" s="201"/>
      <c r="B588" s="4" t="s">
        <v>3170</v>
      </c>
      <c r="C588" s="4">
        <v>584</v>
      </c>
      <c r="D588" s="4" t="s">
        <v>2577</v>
      </c>
      <c r="E588" s="4" t="s">
        <v>2578</v>
      </c>
      <c r="F588" s="4" t="s">
        <v>2601</v>
      </c>
      <c r="G588" s="4" t="s">
        <v>40</v>
      </c>
      <c r="H588" s="4" t="s">
        <v>41</v>
      </c>
      <c r="I588" s="4" t="s">
        <v>40</v>
      </c>
      <c r="J588" s="4">
        <v>30584</v>
      </c>
      <c r="K588" s="202" t="s">
        <v>1827</v>
      </c>
      <c r="L588" s="4">
        <v>37</v>
      </c>
      <c r="M588" s="4">
        <v>7</v>
      </c>
      <c r="N588" s="4" t="str">
        <f>_xlfn.CONCAT("DBX",((L588-1)*2),".7")</f>
        <v>DBX72.7</v>
      </c>
      <c r="O588" s="4" t="s">
        <v>781</v>
      </c>
      <c r="P588" s="4" t="s">
        <v>1830</v>
      </c>
      <c r="Q588" s="4" t="s">
        <v>12</v>
      </c>
      <c r="R588" s="4"/>
      <c r="S588" s="4">
        <v>3922</v>
      </c>
      <c r="T588" s="4" t="s">
        <v>2551</v>
      </c>
      <c r="U588" s="4"/>
      <c r="V588" s="4" t="s">
        <v>3021</v>
      </c>
      <c r="W588" s="4" t="s">
        <v>123</v>
      </c>
      <c r="X588" s="4">
        <f t="shared" si="9"/>
        <v>7</v>
      </c>
      <c r="Y588" s="4"/>
      <c r="Z588" s="4"/>
      <c r="AA588" s="4"/>
      <c r="AB588" s="4"/>
      <c r="AC588" s="4">
        <v>1</v>
      </c>
      <c r="AD588" s="4"/>
      <c r="AE588" s="4"/>
    </row>
    <row r="589" spans="1:31" x14ac:dyDescent="0.2">
      <c r="A589" s="201"/>
      <c r="B589" s="4" t="s">
        <v>3170</v>
      </c>
      <c r="C589" s="4">
        <v>585</v>
      </c>
      <c r="D589" s="4" t="s">
        <v>1805</v>
      </c>
      <c r="E589" s="4" t="s">
        <v>1806</v>
      </c>
      <c r="F589" s="4" t="s">
        <v>2385</v>
      </c>
      <c r="G589" s="4" t="s">
        <v>40</v>
      </c>
      <c r="H589" s="4" t="s">
        <v>41</v>
      </c>
      <c r="I589" s="4" t="s">
        <v>40</v>
      </c>
      <c r="J589" s="4">
        <v>30585</v>
      </c>
      <c r="K589" s="202" t="s">
        <v>1828</v>
      </c>
      <c r="L589" s="4">
        <v>37</v>
      </c>
      <c r="M589" s="4">
        <v>8</v>
      </c>
      <c r="N589" s="4" t="str">
        <f>_xlfn.CONCAT("DBX",((L589-1)*2)+1,".0")</f>
        <v>DBX73.0</v>
      </c>
      <c r="O589" s="4" t="s">
        <v>781</v>
      </c>
      <c r="P589" s="4" t="s">
        <v>1831</v>
      </c>
      <c r="Q589" s="4" t="s">
        <v>12</v>
      </c>
      <c r="R589" s="4"/>
      <c r="S589" s="4">
        <v>3922</v>
      </c>
      <c r="T589" s="4" t="s">
        <v>2551</v>
      </c>
      <c r="U589" s="4"/>
      <c r="V589" s="4" t="s">
        <v>3022</v>
      </c>
      <c r="W589" s="4" t="s">
        <v>123</v>
      </c>
      <c r="X589" s="4">
        <f t="shared" si="9"/>
        <v>7</v>
      </c>
      <c r="Y589" s="4"/>
      <c r="Z589" s="4"/>
      <c r="AA589" s="4"/>
      <c r="AB589" s="4"/>
      <c r="AC589" s="4">
        <v>1</v>
      </c>
      <c r="AD589" s="4"/>
      <c r="AE589" s="4"/>
    </row>
    <row r="590" spans="1:31" x14ac:dyDescent="0.2">
      <c r="A590" s="201"/>
      <c r="B590" s="4" t="s">
        <v>3170</v>
      </c>
      <c r="C590" s="4">
        <v>586</v>
      </c>
      <c r="D590" s="4" t="s">
        <v>1807</v>
      </c>
      <c r="E590" s="4" t="s">
        <v>1808</v>
      </c>
      <c r="F590" s="4" t="s">
        <v>2386</v>
      </c>
      <c r="G590" s="4" t="s">
        <v>40</v>
      </c>
      <c r="H590" s="4" t="s">
        <v>41</v>
      </c>
      <c r="I590" s="4" t="s">
        <v>40</v>
      </c>
      <c r="J590" s="4">
        <v>30586</v>
      </c>
      <c r="K590" s="202" t="s">
        <v>1829</v>
      </c>
      <c r="L590" s="4">
        <v>37</v>
      </c>
      <c r="M590" s="4">
        <v>9</v>
      </c>
      <c r="N590" s="4" t="str">
        <f>_xlfn.CONCAT("DBX",((L590-1)*2)+1,".1")</f>
        <v>DBX73.1</v>
      </c>
      <c r="O590" s="4" t="s">
        <v>781</v>
      </c>
      <c r="P590" s="4" t="s">
        <v>1832</v>
      </c>
      <c r="Q590" s="4" t="s">
        <v>12</v>
      </c>
      <c r="R590" s="4"/>
      <c r="S590" s="4">
        <v>3922</v>
      </c>
      <c r="T590" s="4" t="s">
        <v>2551</v>
      </c>
      <c r="U590" s="4"/>
      <c r="V590" s="4" t="s">
        <v>3023</v>
      </c>
      <c r="W590" s="4" t="s">
        <v>123</v>
      </c>
      <c r="X590" s="4">
        <f t="shared" si="9"/>
        <v>7</v>
      </c>
      <c r="Y590" s="4"/>
      <c r="Z590" s="4"/>
      <c r="AA590" s="4"/>
      <c r="AB590" s="4"/>
      <c r="AC590" s="4">
        <v>1</v>
      </c>
      <c r="AD590" s="4"/>
      <c r="AE590" s="4"/>
    </row>
    <row r="591" spans="1:31" x14ac:dyDescent="0.2">
      <c r="A591" s="201"/>
      <c r="B591" s="4" t="s">
        <v>3170</v>
      </c>
      <c r="C591" s="4">
        <v>587</v>
      </c>
      <c r="D591" s="4" t="s">
        <v>2671</v>
      </c>
      <c r="E591" s="4" t="s">
        <v>2672</v>
      </c>
      <c r="F591" s="4" t="s">
        <v>2687</v>
      </c>
      <c r="G591" s="4" t="s">
        <v>40</v>
      </c>
      <c r="H591" s="4" t="s">
        <v>41</v>
      </c>
      <c r="I591" s="4" t="s">
        <v>40</v>
      </c>
      <c r="J591" s="4">
        <v>30587</v>
      </c>
      <c r="K591" s="202" t="s">
        <v>2581</v>
      </c>
      <c r="L591" s="4">
        <v>37</v>
      </c>
      <c r="M591" s="4">
        <v>10</v>
      </c>
      <c r="N591" s="4" t="str">
        <f>_xlfn.CONCAT("DBX",((L591-1)*2)+1,".2")</f>
        <v>DBX73.2</v>
      </c>
      <c r="O591" s="4" t="s">
        <v>781</v>
      </c>
      <c r="P591" s="202" t="s">
        <v>2583</v>
      </c>
      <c r="Q591" s="4" t="s">
        <v>12</v>
      </c>
      <c r="R591" s="4"/>
      <c r="S591" s="4">
        <v>3922</v>
      </c>
      <c r="T591" s="4" t="s">
        <v>2551</v>
      </c>
      <c r="U591" s="4"/>
      <c r="V591" s="4" t="s">
        <v>3076</v>
      </c>
      <c r="W591" s="4" t="s">
        <v>123</v>
      </c>
      <c r="X591" s="4">
        <f t="shared" si="9"/>
        <v>7</v>
      </c>
      <c r="Y591" s="4"/>
      <c r="Z591" s="4"/>
      <c r="AA591" s="4"/>
      <c r="AB591" s="4"/>
      <c r="AC591" s="4">
        <v>1</v>
      </c>
      <c r="AD591" s="4"/>
      <c r="AE591" s="4"/>
    </row>
    <row r="592" spans="1:31" x14ac:dyDescent="0.2">
      <c r="A592" s="201"/>
      <c r="B592" s="4" t="s">
        <v>3170</v>
      </c>
      <c r="C592" s="4">
        <v>588</v>
      </c>
      <c r="D592" s="4" t="s">
        <v>2673</v>
      </c>
      <c r="E592" s="4" t="s">
        <v>2674</v>
      </c>
      <c r="F592" s="203" t="s">
        <v>2688</v>
      </c>
      <c r="G592" s="4" t="s">
        <v>329</v>
      </c>
      <c r="H592" s="4" t="s">
        <v>41</v>
      </c>
      <c r="I592" s="4" t="s">
        <v>85</v>
      </c>
      <c r="J592" s="4">
        <v>30588</v>
      </c>
      <c r="K592" s="202" t="s">
        <v>2582</v>
      </c>
      <c r="L592" s="4">
        <v>37</v>
      </c>
      <c r="M592" s="4">
        <v>11</v>
      </c>
      <c r="N592" s="4" t="str">
        <f>_xlfn.CONCAT("DBX",((L592-1)*2)+1,".3")</f>
        <v>DBX73.3</v>
      </c>
      <c r="O592" s="4" t="s">
        <v>781</v>
      </c>
      <c r="P592" s="202" t="s">
        <v>2584</v>
      </c>
      <c r="Q592" s="4" t="s">
        <v>12</v>
      </c>
      <c r="R592" s="4"/>
      <c r="S592" s="4">
        <v>3922</v>
      </c>
      <c r="T592" s="4" t="s">
        <v>2551</v>
      </c>
      <c r="U592" s="4"/>
      <c r="V592" s="4" t="s">
        <v>3076</v>
      </c>
      <c r="W592" s="4" t="s">
        <v>129</v>
      </c>
      <c r="X592" s="4">
        <f t="shared" si="9"/>
        <v>13</v>
      </c>
      <c r="Y592" s="4"/>
      <c r="Z592" s="4"/>
      <c r="AA592" s="4"/>
      <c r="AB592" s="4"/>
      <c r="AC592" s="4">
        <v>1</v>
      </c>
      <c r="AD592" s="4"/>
      <c r="AE592" s="4"/>
    </row>
    <row r="593" spans="1:31" x14ac:dyDescent="0.2">
      <c r="A593" s="201"/>
      <c r="B593" s="4" t="s">
        <v>104</v>
      </c>
      <c r="C593" s="4">
        <v>589</v>
      </c>
      <c r="D593" s="4" t="s">
        <v>1833</v>
      </c>
      <c r="E593" s="4" t="s">
        <v>1834</v>
      </c>
      <c r="F593" s="4" t="s">
        <v>1835</v>
      </c>
      <c r="G593" s="4" t="s">
        <v>329</v>
      </c>
      <c r="H593" s="4" t="s">
        <v>41</v>
      </c>
      <c r="I593" s="4" t="s">
        <v>85</v>
      </c>
      <c r="J593" s="4">
        <v>30589</v>
      </c>
      <c r="K593" s="202" t="s">
        <v>1843</v>
      </c>
      <c r="L593" s="4">
        <v>37</v>
      </c>
      <c r="M593" s="4">
        <v>12</v>
      </c>
      <c r="N593" s="4" t="str">
        <f>_xlfn.CONCAT("DBX",((L593-1)*2)+1,".4")</f>
        <v>DBX73.4</v>
      </c>
      <c r="O593" s="4" t="s">
        <v>781</v>
      </c>
      <c r="P593" s="4" t="s">
        <v>1844</v>
      </c>
      <c r="Q593" s="4" t="s">
        <v>12</v>
      </c>
      <c r="R593" s="4"/>
      <c r="S593" s="4">
        <v>3922</v>
      </c>
      <c r="T593" s="4" t="s">
        <v>2551</v>
      </c>
      <c r="U593" s="4" t="s">
        <v>1843</v>
      </c>
      <c r="V593" s="4"/>
      <c r="W593" s="4" t="s">
        <v>120</v>
      </c>
      <c r="X593" s="4">
        <f t="shared" si="9"/>
        <v>4</v>
      </c>
      <c r="Y593" s="4"/>
      <c r="Z593" s="4"/>
      <c r="AA593" s="4"/>
      <c r="AB593" s="4"/>
      <c r="AC593" s="4">
        <v>1</v>
      </c>
      <c r="AD593" s="4"/>
      <c r="AE593" s="4"/>
    </row>
    <row r="594" spans="1:31" x14ac:dyDescent="0.2">
      <c r="A594" s="201"/>
      <c r="B594" s="4" t="s">
        <v>33</v>
      </c>
      <c r="C594" s="4">
        <v>590</v>
      </c>
      <c r="D594" s="4" t="s">
        <v>1836</v>
      </c>
      <c r="E594" s="4" t="s">
        <v>1837</v>
      </c>
      <c r="F594" s="4" t="s">
        <v>2489</v>
      </c>
      <c r="G594" s="4" t="s">
        <v>329</v>
      </c>
      <c r="H594" s="4" t="s">
        <v>41</v>
      </c>
      <c r="I594" s="4" t="s">
        <v>85</v>
      </c>
      <c r="J594" s="4">
        <v>30590</v>
      </c>
      <c r="K594" s="202" t="s">
        <v>1843</v>
      </c>
      <c r="L594" s="4">
        <v>37</v>
      </c>
      <c r="M594" s="4">
        <v>13</v>
      </c>
      <c r="N594" s="4" t="str">
        <f>_xlfn.CONCAT("DBX",((L594-1)*2)+1,".5")</f>
        <v>DBX73.5</v>
      </c>
      <c r="O594" s="4" t="s">
        <v>781</v>
      </c>
      <c r="P594" s="4" t="s">
        <v>1844</v>
      </c>
      <c r="Q594" s="4" t="s">
        <v>12</v>
      </c>
      <c r="R594" s="4"/>
      <c r="S594" s="4">
        <v>3922</v>
      </c>
      <c r="T594" s="4" t="s">
        <v>2551</v>
      </c>
      <c r="U594" s="4" t="s">
        <v>1843</v>
      </c>
      <c r="V594" s="4"/>
      <c r="W594" s="4" t="s">
        <v>129</v>
      </c>
      <c r="X594" s="4">
        <f t="shared" si="9"/>
        <v>13</v>
      </c>
      <c r="Y594" s="4"/>
      <c r="Z594" s="4"/>
      <c r="AA594" s="4"/>
      <c r="AB594" s="4"/>
      <c r="AC594" s="4">
        <v>1</v>
      </c>
      <c r="AD594" s="4"/>
      <c r="AE594" s="4"/>
    </row>
    <row r="595" spans="1:31" x14ac:dyDescent="0.2">
      <c r="A595" s="201"/>
      <c r="B595" s="4" t="s">
        <v>3170</v>
      </c>
      <c r="C595" s="4">
        <v>591</v>
      </c>
      <c r="D595" s="4" t="s">
        <v>1838</v>
      </c>
      <c r="E595" s="4" t="s">
        <v>1839</v>
      </c>
      <c r="F595" s="4" t="s">
        <v>1840</v>
      </c>
      <c r="G595" s="4" t="s">
        <v>329</v>
      </c>
      <c r="H595" s="4" t="s">
        <v>41</v>
      </c>
      <c r="I595" s="4" t="s">
        <v>85</v>
      </c>
      <c r="J595" s="4">
        <v>30591</v>
      </c>
      <c r="K595" s="202" t="s">
        <v>1846</v>
      </c>
      <c r="L595" s="4">
        <v>37</v>
      </c>
      <c r="M595" s="4">
        <v>14</v>
      </c>
      <c r="N595" s="4" t="str">
        <f>_xlfn.CONCAT("DBX",((L595-1)*2)+1,".6")</f>
        <v>DBX73.6</v>
      </c>
      <c r="O595" s="4" t="s">
        <v>781</v>
      </c>
      <c r="P595" s="4" t="s">
        <v>1845</v>
      </c>
      <c r="Q595" s="4" t="s">
        <v>12</v>
      </c>
      <c r="R595" s="4"/>
      <c r="S595" s="4">
        <v>3922</v>
      </c>
      <c r="T595" s="4" t="s">
        <v>2551</v>
      </c>
      <c r="U595" s="4" t="s">
        <v>1846</v>
      </c>
      <c r="V595" s="4" t="s">
        <v>3164</v>
      </c>
      <c r="W595" s="4" t="s">
        <v>120</v>
      </c>
      <c r="X595" s="4">
        <f t="shared" si="9"/>
        <v>4</v>
      </c>
      <c r="Y595" s="4"/>
      <c r="Z595" s="4"/>
      <c r="AA595" s="4"/>
      <c r="AB595" s="4"/>
      <c r="AC595" s="4">
        <v>1</v>
      </c>
      <c r="AD595" s="4"/>
      <c r="AE595" s="4"/>
    </row>
    <row r="596" spans="1:31" x14ac:dyDescent="0.2">
      <c r="A596" s="201"/>
      <c r="B596" s="4" t="s">
        <v>3170</v>
      </c>
      <c r="C596" s="4">
        <v>592</v>
      </c>
      <c r="D596" s="4" t="s">
        <v>1841</v>
      </c>
      <c r="E596" s="4" t="s">
        <v>1842</v>
      </c>
      <c r="F596" s="4" t="s">
        <v>2490</v>
      </c>
      <c r="G596" s="4" t="s">
        <v>329</v>
      </c>
      <c r="H596" s="4" t="s">
        <v>41</v>
      </c>
      <c r="I596" s="4" t="s">
        <v>85</v>
      </c>
      <c r="J596" s="4">
        <v>30592</v>
      </c>
      <c r="K596" s="202" t="s">
        <v>1846</v>
      </c>
      <c r="L596" s="4">
        <v>37</v>
      </c>
      <c r="M596" s="4">
        <v>15</v>
      </c>
      <c r="N596" s="4" t="str">
        <f>_xlfn.CONCAT("DBX",((L596-1)*2)+1,".7")</f>
        <v>DBX73.7</v>
      </c>
      <c r="O596" s="4" t="s">
        <v>781</v>
      </c>
      <c r="P596" s="4" t="s">
        <v>1845</v>
      </c>
      <c r="Q596" s="4" t="s">
        <v>12</v>
      </c>
      <c r="R596" s="4"/>
      <c r="S596" s="4">
        <v>3922</v>
      </c>
      <c r="T596" s="4" t="s">
        <v>2551</v>
      </c>
      <c r="U596" s="4" t="s">
        <v>1846</v>
      </c>
      <c r="V596" s="4" t="s">
        <v>3164</v>
      </c>
      <c r="W596" s="4" t="s">
        <v>129</v>
      </c>
      <c r="X596" s="4">
        <f t="shared" si="9"/>
        <v>13</v>
      </c>
      <c r="Y596" s="4"/>
      <c r="Z596" s="4"/>
      <c r="AA596" s="4"/>
      <c r="AB596" s="4"/>
      <c r="AC596" s="4">
        <v>1</v>
      </c>
      <c r="AD596" s="4"/>
      <c r="AE596" s="4"/>
    </row>
    <row r="597" spans="1:31" x14ac:dyDescent="0.2">
      <c r="A597" s="201"/>
      <c r="B597" s="4" t="s">
        <v>3170</v>
      </c>
      <c r="C597" s="4">
        <v>593</v>
      </c>
      <c r="D597" s="4" t="s">
        <v>2579</v>
      </c>
      <c r="E597" s="4" t="s">
        <v>2580</v>
      </c>
      <c r="F597" s="4" t="s">
        <v>2600</v>
      </c>
      <c r="G597" s="4" t="s">
        <v>40</v>
      </c>
      <c r="H597" s="4" t="s">
        <v>41</v>
      </c>
      <c r="I597" s="4" t="s">
        <v>40</v>
      </c>
      <c r="J597" s="4">
        <v>30593</v>
      </c>
      <c r="K597" s="202" t="s">
        <v>2585</v>
      </c>
      <c r="L597" s="4">
        <v>38</v>
      </c>
      <c r="M597" s="4">
        <v>0</v>
      </c>
      <c r="N597" s="4" t="str">
        <f>_xlfn.CONCAT("DBX",((L597-1)*2),".0")</f>
        <v>DBX74.0</v>
      </c>
      <c r="O597" s="4" t="s">
        <v>781</v>
      </c>
      <c r="P597" s="4" t="s">
        <v>2587</v>
      </c>
      <c r="Q597" s="4" t="s">
        <v>12</v>
      </c>
      <c r="R597" s="4"/>
      <c r="S597" s="4">
        <v>3922</v>
      </c>
      <c r="T597" s="4" t="s">
        <v>2551</v>
      </c>
      <c r="U597" s="4"/>
      <c r="V597" s="4" t="s">
        <v>3021</v>
      </c>
      <c r="W597" s="4" t="s">
        <v>123</v>
      </c>
      <c r="X597" s="4">
        <f t="shared" si="9"/>
        <v>7</v>
      </c>
      <c r="Y597" s="4"/>
      <c r="Z597" s="4"/>
      <c r="AA597" s="4"/>
      <c r="AB597" s="4"/>
      <c r="AC597" s="4">
        <v>1</v>
      </c>
      <c r="AD597" s="4"/>
      <c r="AE597" s="4"/>
    </row>
    <row r="598" spans="1:31" x14ac:dyDescent="0.2">
      <c r="A598" s="201"/>
      <c r="B598" s="4" t="s">
        <v>3170</v>
      </c>
      <c r="C598" s="4">
        <v>594</v>
      </c>
      <c r="D598" s="4" t="s">
        <v>2675</v>
      </c>
      <c r="E598" s="4" t="s">
        <v>2676</v>
      </c>
      <c r="F598" s="203" t="s">
        <v>2689</v>
      </c>
      <c r="G598" s="4" t="s">
        <v>329</v>
      </c>
      <c r="H598" s="4" t="s">
        <v>41</v>
      </c>
      <c r="I598" s="4" t="s">
        <v>85</v>
      </c>
      <c r="J598" s="4">
        <v>30594</v>
      </c>
      <c r="K598" s="202" t="s">
        <v>2586</v>
      </c>
      <c r="L598" s="4">
        <v>38</v>
      </c>
      <c r="M598" s="4">
        <v>1</v>
      </c>
      <c r="N598" s="4" t="str">
        <f>_xlfn.CONCAT("DBX",((L598-1)*2),".1")</f>
        <v>DBX74.1</v>
      </c>
      <c r="O598" s="4" t="s">
        <v>781</v>
      </c>
      <c r="P598" s="4" t="s">
        <v>2588</v>
      </c>
      <c r="Q598" s="4" t="s">
        <v>12</v>
      </c>
      <c r="R598" s="4"/>
      <c r="S598" s="4">
        <v>3922</v>
      </c>
      <c r="T598" s="4" t="s">
        <v>2551</v>
      </c>
      <c r="U598" s="4"/>
      <c r="V598" s="4" t="s">
        <v>3076</v>
      </c>
      <c r="W598" s="4" t="s">
        <v>129</v>
      </c>
      <c r="X598" s="4">
        <f t="shared" si="9"/>
        <v>13</v>
      </c>
      <c r="Y598" s="4"/>
      <c r="Z598" s="4"/>
      <c r="AA598" s="4"/>
      <c r="AB598" s="4"/>
      <c r="AC598" s="4">
        <v>1</v>
      </c>
      <c r="AD598" s="4"/>
      <c r="AE598" s="4"/>
    </row>
    <row r="599" spans="1:31" x14ac:dyDescent="0.2">
      <c r="A599" s="201"/>
      <c r="B599" s="4" t="s">
        <v>34</v>
      </c>
      <c r="C599" s="4">
        <v>595</v>
      </c>
      <c r="D599" s="4"/>
      <c r="E599" s="4"/>
      <c r="F599" s="4"/>
      <c r="G599" s="4"/>
      <c r="H599" s="4"/>
      <c r="I599" s="4"/>
      <c r="J599" s="4">
        <v>30595</v>
      </c>
      <c r="K599" s="202"/>
      <c r="L599" s="4">
        <v>38</v>
      </c>
      <c r="M599" s="4">
        <v>2</v>
      </c>
      <c r="N599" s="4" t="str">
        <f>_xlfn.CONCAT("DBX",((L599-1)*2),".2")</f>
        <v>DBX74.2</v>
      </c>
      <c r="O599" s="4" t="s">
        <v>781</v>
      </c>
      <c r="P599" s="4"/>
      <c r="Q599" s="4"/>
      <c r="R599" s="4"/>
      <c r="S599" s="4"/>
      <c r="T599" s="4"/>
      <c r="U599" s="4"/>
      <c r="V599" s="4"/>
      <c r="W599" s="4"/>
      <c r="X599" s="4" t="e">
        <f t="shared" si="9"/>
        <v>#N/A</v>
      </c>
      <c r="Y599" s="4"/>
      <c r="Z599" s="4"/>
      <c r="AA599" s="4"/>
      <c r="AB599" s="4"/>
      <c r="AC599" s="4"/>
      <c r="AD599" s="4"/>
      <c r="AE599" s="4"/>
    </row>
    <row r="600" spans="1:31" x14ac:dyDescent="0.2">
      <c r="A600" s="201"/>
      <c r="B600" s="4" t="s">
        <v>34</v>
      </c>
      <c r="C600" s="4">
        <v>596</v>
      </c>
      <c r="D600" s="4"/>
      <c r="E600" s="4"/>
      <c r="F600" s="4"/>
      <c r="G600" s="4"/>
      <c r="H600" s="4"/>
      <c r="I600" s="4"/>
      <c r="J600" s="4">
        <v>30596</v>
      </c>
      <c r="K600" s="202"/>
      <c r="L600" s="4">
        <v>38</v>
      </c>
      <c r="M600" s="4">
        <v>3</v>
      </c>
      <c r="N600" s="4" t="str">
        <f>_xlfn.CONCAT("DBX",((L600-1)*2),".3")</f>
        <v>DBX74.3</v>
      </c>
      <c r="O600" s="4" t="s">
        <v>781</v>
      </c>
      <c r="P600" s="4"/>
      <c r="Q600" s="4"/>
      <c r="R600" s="4"/>
      <c r="S600" s="4"/>
      <c r="T600" s="4"/>
      <c r="U600" s="4"/>
      <c r="V600" s="4"/>
      <c r="W600" s="4"/>
      <c r="X600" s="4" t="e">
        <f t="shared" si="9"/>
        <v>#N/A</v>
      </c>
      <c r="Y600" s="4"/>
      <c r="Z600" s="4"/>
      <c r="AA600" s="4"/>
      <c r="AB600" s="4"/>
      <c r="AC600" s="4"/>
      <c r="AD600" s="4"/>
      <c r="AE600" s="4"/>
    </row>
    <row r="601" spans="1:31" x14ac:dyDescent="0.2">
      <c r="A601" s="201"/>
      <c r="B601" s="4" t="s">
        <v>34</v>
      </c>
      <c r="C601" s="4">
        <v>597</v>
      </c>
      <c r="D601" s="4"/>
      <c r="E601" s="4"/>
      <c r="F601" s="4"/>
      <c r="G601" s="4"/>
      <c r="H601" s="4"/>
      <c r="I601" s="4"/>
      <c r="J601" s="4">
        <v>30597</v>
      </c>
      <c r="K601" s="202"/>
      <c r="L601" s="4">
        <v>38</v>
      </c>
      <c r="M601" s="4">
        <v>4</v>
      </c>
      <c r="N601" s="4" t="str">
        <f>_xlfn.CONCAT("DBX",((L601-1)*2),".4")</f>
        <v>DBX74.4</v>
      </c>
      <c r="O601" s="4" t="s">
        <v>781</v>
      </c>
      <c r="P601" s="4"/>
      <c r="Q601" s="4"/>
      <c r="R601" s="4"/>
      <c r="S601" s="4"/>
      <c r="T601" s="4"/>
      <c r="U601" s="4"/>
      <c r="V601" s="4"/>
      <c r="W601" s="4"/>
      <c r="X601" s="4" t="e">
        <f t="shared" si="9"/>
        <v>#N/A</v>
      </c>
      <c r="Y601" s="4"/>
      <c r="Z601" s="4"/>
      <c r="AA601" s="4"/>
      <c r="AB601" s="4"/>
      <c r="AC601" s="4"/>
      <c r="AD601" s="4"/>
      <c r="AE601" s="4"/>
    </row>
    <row r="602" spans="1:31" x14ac:dyDescent="0.2">
      <c r="A602" s="201"/>
      <c r="B602" s="4" t="s">
        <v>3170</v>
      </c>
      <c r="C602" s="4">
        <v>598</v>
      </c>
      <c r="D602" s="4" t="s">
        <v>1847</v>
      </c>
      <c r="E602" s="4" t="s">
        <v>1848</v>
      </c>
      <c r="F602" s="4" t="s">
        <v>2387</v>
      </c>
      <c r="G602" s="4" t="s">
        <v>40</v>
      </c>
      <c r="H602" s="4" t="s">
        <v>41</v>
      </c>
      <c r="I602" s="4" t="s">
        <v>40</v>
      </c>
      <c r="J602" s="4">
        <v>30598</v>
      </c>
      <c r="K602" s="202" t="s">
        <v>1853</v>
      </c>
      <c r="L602" s="4">
        <v>38</v>
      </c>
      <c r="M602" s="4">
        <v>5</v>
      </c>
      <c r="N602" s="4" t="str">
        <f>_xlfn.CONCAT("DBX",((L602-1)*2),".5")</f>
        <v>DBX74.5</v>
      </c>
      <c r="O602" s="4" t="s">
        <v>781</v>
      </c>
      <c r="P602" s="4" t="s">
        <v>1856</v>
      </c>
      <c r="Q602" s="4" t="s">
        <v>12</v>
      </c>
      <c r="R602" s="4"/>
      <c r="S602" s="4">
        <v>3922</v>
      </c>
      <c r="T602" s="4" t="s">
        <v>2551</v>
      </c>
      <c r="U602" s="4"/>
      <c r="V602" s="4" t="s">
        <v>3059</v>
      </c>
      <c r="W602" s="4" t="s">
        <v>123</v>
      </c>
      <c r="X602" s="4">
        <f t="shared" si="9"/>
        <v>7</v>
      </c>
      <c r="Y602" s="4"/>
      <c r="Z602" s="4"/>
      <c r="AA602" s="4"/>
      <c r="AB602" s="4"/>
      <c r="AC602" s="4">
        <v>1</v>
      </c>
      <c r="AD602" s="4"/>
      <c r="AE602" s="4"/>
    </row>
    <row r="603" spans="1:31" x14ac:dyDescent="0.2">
      <c r="A603" s="201"/>
      <c r="B603" s="4" t="s">
        <v>3170</v>
      </c>
      <c r="C603" s="4">
        <v>599</v>
      </c>
      <c r="D603" s="4" t="s">
        <v>1849</v>
      </c>
      <c r="E603" s="4" t="s">
        <v>1850</v>
      </c>
      <c r="F603" s="4" t="s">
        <v>2388</v>
      </c>
      <c r="G603" s="4" t="s">
        <v>40</v>
      </c>
      <c r="H603" s="4" t="s">
        <v>41</v>
      </c>
      <c r="I603" s="4" t="s">
        <v>40</v>
      </c>
      <c r="J603" s="4">
        <v>30599</v>
      </c>
      <c r="K603" s="202" t="s">
        <v>1854</v>
      </c>
      <c r="L603" s="4">
        <v>38</v>
      </c>
      <c r="M603" s="4">
        <v>6</v>
      </c>
      <c r="N603" s="4" t="str">
        <f>_xlfn.CONCAT("DBX",((L603-1)*2),".6")</f>
        <v>DBX74.6</v>
      </c>
      <c r="O603" s="4" t="s">
        <v>781</v>
      </c>
      <c r="P603" s="4" t="s">
        <v>1857</v>
      </c>
      <c r="Q603" s="4" t="s">
        <v>12</v>
      </c>
      <c r="R603" s="4"/>
      <c r="S603" s="4">
        <v>3922</v>
      </c>
      <c r="T603" s="4" t="s">
        <v>2551</v>
      </c>
      <c r="U603" s="4"/>
      <c r="V603" s="4" t="s">
        <v>3060</v>
      </c>
      <c r="W603" s="4" t="s">
        <v>123</v>
      </c>
      <c r="X603" s="4">
        <f t="shared" si="9"/>
        <v>7</v>
      </c>
      <c r="Y603" s="4"/>
      <c r="Z603" s="4"/>
      <c r="AA603" s="4"/>
      <c r="AB603" s="4"/>
      <c r="AC603" s="4">
        <v>1</v>
      </c>
      <c r="AD603" s="4"/>
      <c r="AE603" s="4"/>
    </row>
    <row r="604" spans="1:31" x14ac:dyDescent="0.2">
      <c r="A604" s="201"/>
      <c r="B604" s="4" t="s">
        <v>3170</v>
      </c>
      <c r="C604" s="4">
        <v>600</v>
      </c>
      <c r="D604" s="4" t="s">
        <v>1851</v>
      </c>
      <c r="E604" s="4" t="s">
        <v>1852</v>
      </c>
      <c r="F604" s="4" t="s">
        <v>2389</v>
      </c>
      <c r="G604" s="4" t="s">
        <v>40</v>
      </c>
      <c r="H604" s="4" t="s">
        <v>41</v>
      </c>
      <c r="I604" s="4" t="s">
        <v>40</v>
      </c>
      <c r="J604" s="4">
        <v>30600</v>
      </c>
      <c r="K604" s="202" t="s">
        <v>1855</v>
      </c>
      <c r="L604" s="4">
        <v>38</v>
      </c>
      <c r="M604" s="4">
        <v>7</v>
      </c>
      <c r="N604" s="4" t="str">
        <f>_xlfn.CONCAT("DBX",((L604-1)*2),".7")</f>
        <v>DBX74.7</v>
      </c>
      <c r="O604" s="4" t="s">
        <v>781</v>
      </c>
      <c r="P604" s="4" t="s">
        <v>1858</v>
      </c>
      <c r="Q604" s="4" t="s">
        <v>12</v>
      </c>
      <c r="R604" s="4"/>
      <c r="S604" s="4">
        <v>3922</v>
      </c>
      <c r="T604" s="4" t="s">
        <v>2551</v>
      </c>
      <c r="U604" s="4"/>
      <c r="V604" s="4" t="s">
        <v>3061</v>
      </c>
      <c r="W604" s="4" t="s">
        <v>123</v>
      </c>
      <c r="X604" s="4">
        <f t="shared" si="9"/>
        <v>7</v>
      </c>
      <c r="Y604" s="4"/>
      <c r="Z604" s="4"/>
      <c r="AA604" s="4"/>
      <c r="AB604" s="4"/>
      <c r="AC604" s="4">
        <v>1</v>
      </c>
      <c r="AD604" s="4"/>
      <c r="AE604" s="4"/>
    </row>
    <row r="605" spans="1:31" x14ac:dyDescent="0.2">
      <c r="A605" s="201"/>
      <c r="B605" s="4" t="s">
        <v>34</v>
      </c>
      <c r="C605" s="4">
        <v>601</v>
      </c>
      <c r="D605" s="4"/>
      <c r="E605" s="4"/>
      <c r="F605" s="4"/>
      <c r="G605" s="4"/>
      <c r="H605" s="4"/>
      <c r="I605" s="4"/>
      <c r="J605" s="4">
        <v>30601</v>
      </c>
      <c r="K605" s="202"/>
      <c r="L605" s="4">
        <v>38</v>
      </c>
      <c r="M605" s="4">
        <v>8</v>
      </c>
      <c r="N605" s="4" t="str">
        <f>_xlfn.CONCAT("DBX",((L605-1)*2)+1,".0")</f>
        <v>DBX75.0</v>
      </c>
      <c r="O605" s="4" t="s">
        <v>781</v>
      </c>
      <c r="P605" s="4"/>
      <c r="Q605" s="4"/>
      <c r="R605" s="4"/>
      <c r="S605" s="4"/>
      <c r="T605" s="4"/>
      <c r="U605" s="4"/>
      <c r="V605" s="4"/>
      <c r="W605" s="4"/>
      <c r="X605" s="4" t="e">
        <f t="shared" si="9"/>
        <v>#N/A</v>
      </c>
      <c r="Y605" s="4"/>
      <c r="Z605" s="4"/>
      <c r="AA605" s="4"/>
      <c r="AB605" s="4"/>
      <c r="AC605" s="4"/>
      <c r="AD605" s="4"/>
      <c r="AE605" s="4"/>
    </row>
    <row r="606" spans="1:31" x14ac:dyDescent="0.2">
      <c r="A606" s="201"/>
      <c r="B606" s="4" t="s">
        <v>3170</v>
      </c>
      <c r="C606" s="4">
        <v>602</v>
      </c>
      <c r="D606" s="4" t="s">
        <v>1859</v>
      </c>
      <c r="E606" s="4" t="s">
        <v>1860</v>
      </c>
      <c r="F606" s="4" t="s">
        <v>2390</v>
      </c>
      <c r="G606" s="4" t="s">
        <v>40</v>
      </c>
      <c r="H606" s="4" t="s">
        <v>41</v>
      </c>
      <c r="I606" s="4" t="s">
        <v>40</v>
      </c>
      <c r="J606" s="4">
        <v>30602</v>
      </c>
      <c r="K606" s="202" t="s">
        <v>1865</v>
      </c>
      <c r="L606" s="4">
        <v>38</v>
      </c>
      <c r="M606" s="4">
        <v>9</v>
      </c>
      <c r="N606" s="4" t="str">
        <f>_xlfn.CONCAT("DBX",((L606-1)*2)+1,".1")</f>
        <v>DBX75.1</v>
      </c>
      <c r="O606" s="4" t="s">
        <v>781</v>
      </c>
      <c r="P606" s="4" t="s">
        <v>1866</v>
      </c>
      <c r="Q606" s="4" t="s">
        <v>12</v>
      </c>
      <c r="R606" s="4"/>
      <c r="S606" s="4">
        <v>3922</v>
      </c>
      <c r="T606" s="4" t="s">
        <v>2551</v>
      </c>
      <c r="U606" s="4"/>
      <c r="V606" s="4" t="s">
        <v>3062</v>
      </c>
      <c r="W606" s="4" t="s">
        <v>123</v>
      </c>
      <c r="X606" s="4">
        <f t="shared" si="9"/>
        <v>7</v>
      </c>
      <c r="Y606" s="4"/>
      <c r="Z606" s="4"/>
      <c r="AA606" s="4"/>
      <c r="AB606" s="4"/>
      <c r="AC606" s="4">
        <v>1</v>
      </c>
      <c r="AD606" s="4"/>
      <c r="AE606" s="4"/>
    </row>
    <row r="607" spans="1:31" x14ac:dyDescent="0.2">
      <c r="A607" s="201"/>
      <c r="B607" s="4" t="s">
        <v>3170</v>
      </c>
      <c r="C607" s="4">
        <v>603</v>
      </c>
      <c r="D607" s="4" t="s">
        <v>1861</v>
      </c>
      <c r="E607" s="4" t="s">
        <v>1862</v>
      </c>
      <c r="F607" s="4" t="s">
        <v>2391</v>
      </c>
      <c r="G607" s="4" t="s">
        <v>40</v>
      </c>
      <c r="H607" s="4" t="s">
        <v>41</v>
      </c>
      <c r="I607" s="4" t="s">
        <v>40</v>
      </c>
      <c r="J607" s="4">
        <v>30603</v>
      </c>
      <c r="K607" s="202" t="s">
        <v>1863</v>
      </c>
      <c r="L607" s="4">
        <v>38</v>
      </c>
      <c r="M607" s="4">
        <v>10</v>
      </c>
      <c r="N607" s="4" t="str">
        <f>_xlfn.CONCAT("DBX",((L607-1)*2)+1,".2")</f>
        <v>DBX75.2</v>
      </c>
      <c r="O607" s="4" t="s">
        <v>781</v>
      </c>
      <c r="P607" s="4" t="s">
        <v>1864</v>
      </c>
      <c r="Q607" s="4" t="s">
        <v>12</v>
      </c>
      <c r="R607" s="4"/>
      <c r="S607" s="4">
        <v>3922</v>
      </c>
      <c r="T607" s="4" t="s">
        <v>2551</v>
      </c>
      <c r="U607" s="4"/>
      <c r="V607" s="4" t="s">
        <v>3063</v>
      </c>
      <c r="W607" s="4" t="s">
        <v>123</v>
      </c>
      <c r="X607" s="4">
        <f t="shared" si="9"/>
        <v>7</v>
      </c>
      <c r="Y607" s="4"/>
      <c r="Z607" s="4"/>
      <c r="AA607" s="4"/>
      <c r="AB607" s="4"/>
      <c r="AC607" s="4">
        <v>1</v>
      </c>
      <c r="AD607" s="4"/>
      <c r="AE607" s="4"/>
    </row>
    <row r="608" spans="1:31" x14ac:dyDescent="0.2">
      <c r="A608" s="201"/>
      <c r="B608" s="4" t="s">
        <v>34</v>
      </c>
      <c r="C608" s="4">
        <v>604</v>
      </c>
      <c r="D608" s="4"/>
      <c r="E608" s="4"/>
      <c r="F608" s="4"/>
      <c r="G608" s="4"/>
      <c r="H608" s="4"/>
      <c r="I608" s="4"/>
      <c r="J608" s="4">
        <v>30604</v>
      </c>
      <c r="K608" s="202"/>
      <c r="L608" s="4">
        <v>38</v>
      </c>
      <c r="M608" s="4">
        <v>11</v>
      </c>
      <c r="N608" s="4" t="str">
        <f>_xlfn.CONCAT("DBX",((L608-1)*2)+1,".3")</f>
        <v>DBX75.3</v>
      </c>
      <c r="O608" s="4" t="s">
        <v>781</v>
      </c>
      <c r="P608" s="4"/>
      <c r="Q608" s="4"/>
      <c r="R608" s="4"/>
      <c r="S608" s="4"/>
      <c r="T608" s="4"/>
      <c r="U608" s="4"/>
      <c r="V608" s="4"/>
      <c r="W608" s="4"/>
      <c r="X608" s="4" t="e">
        <f t="shared" si="9"/>
        <v>#N/A</v>
      </c>
      <c r="Y608" s="4"/>
      <c r="Z608" s="4"/>
      <c r="AA608" s="4"/>
      <c r="AB608" s="4"/>
      <c r="AC608" s="4"/>
      <c r="AD608" s="4"/>
      <c r="AE608" s="4"/>
    </row>
    <row r="609" spans="1:31" x14ac:dyDescent="0.2">
      <c r="A609" s="201"/>
      <c r="B609" s="4" t="s">
        <v>34</v>
      </c>
      <c r="C609" s="4">
        <v>605</v>
      </c>
      <c r="D609" s="4"/>
      <c r="E609" s="4"/>
      <c r="F609" s="4"/>
      <c r="G609" s="4"/>
      <c r="H609" s="4"/>
      <c r="I609" s="4"/>
      <c r="J609" s="4">
        <v>30605</v>
      </c>
      <c r="K609" s="202"/>
      <c r="L609" s="4">
        <v>38</v>
      </c>
      <c r="M609" s="4">
        <v>12</v>
      </c>
      <c r="N609" s="4" t="str">
        <f>_xlfn.CONCAT("DBX",((L609-1)*2)+1,".4")</f>
        <v>DBX75.4</v>
      </c>
      <c r="O609" s="4" t="s">
        <v>781</v>
      </c>
      <c r="P609" s="4"/>
      <c r="Q609" s="4"/>
      <c r="R609" s="4"/>
      <c r="S609" s="4"/>
      <c r="T609" s="4"/>
      <c r="U609" s="4"/>
      <c r="V609" s="4"/>
      <c r="W609" s="4"/>
      <c r="X609" s="4" t="e">
        <f t="shared" si="9"/>
        <v>#N/A</v>
      </c>
      <c r="Y609" s="4"/>
      <c r="Z609" s="4"/>
      <c r="AA609" s="4"/>
      <c r="AB609" s="4"/>
      <c r="AC609" s="4"/>
      <c r="AD609" s="4"/>
      <c r="AE609" s="4"/>
    </row>
    <row r="610" spans="1:31" x14ac:dyDescent="0.2">
      <c r="A610" s="201"/>
      <c r="B610" s="4" t="s">
        <v>34</v>
      </c>
      <c r="C610" s="4">
        <v>606</v>
      </c>
      <c r="D610" s="4"/>
      <c r="E610" s="4"/>
      <c r="F610" s="4"/>
      <c r="G610" s="4"/>
      <c r="H610" s="4"/>
      <c r="I610" s="4"/>
      <c r="J610" s="4">
        <v>30606</v>
      </c>
      <c r="K610" s="202"/>
      <c r="L610" s="4">
        <v>38</v>
      </c>
      <c r="M610" s="4">
        <v>13</v>
      </c>
      <c r="N610" s="4" t="str">
        <f>_xlfn.CONCAT("DBX",((L610-1)*2)+1,".5")</f>
        <v>DBX75.5</v>
      </c>
      <c r="O610" s="4" t="s">
        <v>781</v>
      </c>
      <c r="P610" s="4"/>
      <c r="Q610" s="4"/>
      <c r="R610" s="4"/>
      <c r="S610" s="4"/>
      <c r="T610" s="4"/>
      <c r="U610" s="4"/>
      <c r="V610" s="4"/>
      <c r="W610" s="4"/>
      <c r="X610" s="4" t="e">
        <f t="shared" si="9"/>
        <v>#N/A</v>
      </c>
      <c r="Y610" s="4"/>
      <c r="Z610" s="4"/>
      <c r="AA610" s="4"/>
      <c r="AB610" s="4"/>
      <c r="AC610" s="4"/>
      <c r="AD610" s="4"/>
      <c r="AE610" s="4"/>
    </row>
    <row r="611" spans="1:31" x14ac:dyDescent="0.2">
      <c r="A611" s="201"/>
      <c r="B611" s="4" t="s">
        <v>3170</v>
      </c>
      <c r="C611" s="4">
        <v>607</v>
      </c>
      <c r="D611" s="4" t="s">
        <v>1867</v>
      </c>
      <c r="E611" s="4" t="s">
        <v>1868</v>
      </c>
      <c r="F611" s="4" t="s">
        <v>1869</v>
      </c>
      <c r="G611" s="4" t="s">
        <v>329</v>
      </c>
      <c r="H611" s="4" t="s">
        <v>41</v>
      </c>
      <c r="I611" s="4" t="s">
        <v>85</v>
      </c>
      <c r="J611" s="4">
        <v>30607</v>
      </c>
      <c r="K611" s="202" t="s">
        <v>1885</v>
      </c>
      <c r="L611" s="4">
        <v>38</v>
      </c>
      <c r="M611" s="4">
        <v>14</v>
      </c>
      <c r="N611" s="4" t="str">
        <f>_xlfn.CONCAT("DBX",((L611-1)*2)+1,".6")</f>
        <v>DBX75.6</v>
      </c>
      <c r="O611" s="4" t="s">
        <v>781</v>
      </c>
      <c r="P611" s="4" t="s">
        <v>1886</v>
      </c>
      <c r="Q611" s="4" t="s">
        <v>12</v>
      </c>
      <c r="R611" s="4"/>
      <c r="S611" s="4">
        <v>3922</v>
      </c>
      <c r="T611" s="4" t="s">
        <v>2551</v>
      </c>
      <c r="U611" s="4" t="s">
        <v>2291</v>
      </c>
      <c r="V611" s="4" t="s">
        <v>3059</v>
      </c>
      <c r="W611" s="4" t="s">
        <v>129</v>
      </c>
      <c r="X611" s="4">
        <f t="shared" si="9"/>
        <v>13</v>
      </c>
      <c r="Y611" s="4"/>
      <c r="Z611" s="4"/>
      <c r="AA611" s="4"/>
      <c r="AB611" s="4"/>
      <c r="AC611" s="4">
        <v>1</v>
      </c>
      <c r="AD611" s="4"/>
      <c r="AE611" s="4"/>
    </row>
    <row r="612" spans="1:31" x14ac:dyDescent="0.2">
      <c r="A612" s="201"/>
      <c r="B612" s="4" t="s">
        <v>3170</v>
      </c>
      <c r="C612" s="4">
        <v>608</v>
      </c>
      <c r="D612" s="4" t="s">
        <v>1870</v>
      </c>
      <c r="E612" s="4" t="s">
        <v>1871</v>
      </c>
      <c r="F612" s="4" t="s">
        <v>1872</v>
      </c>
      <c r="G612" s="4" t="s">
        <v>329</v>
      </c>
      <c r="H612" s="4" t="s">
        <v>41</v>
      </c>
      <c r="I612" s="4" t="s">
        <v>85</v>
      </c>
      <c r="J612" s="4">
        <v>30608</v>
      </c>
      <c r="K612" s="202" t="s">
        <v>1887</v>
      </c>
      <c r="L612" s="4">
        <v>38</v>
      </c>
      <c r="M612" s="4">
        <v>15</v>
      </c>
      <c r="N612" s="4" t="str">
        <f>_xlfn.CONCAT("DBX",((L612-1)*2)+1,".7")</f>
        <v>DBX75.7</v>
      </c>
      <c r="O612" s="4" t="s">
        <v>781</v>
      </c>
      <c r="P612" s="4" t="s">
        <v>1888</v>
      </c>
      <c r="Q612" s="4" t="s">
        <v>12</v>
      </c>
      <c r="R612" s="4"/>
      <c r="S612" s="4">
        <v>3922</v>
      </c>
      <c r="T612" s="4" t="s">
        <v>2551</v>
      </c>
      <c r="U612" s="4" t="s">
        <v>2292</v>
      </c>
      <c r="V612" s="4" t="s">
        <v>3059</v>
      </c>
      <c r="W612" s="4" t="s">
        <v>129</v>
      </c>
      <c r="X612" s="4">
        <f t="shared" si="9"/>
        <v>13</v>
      </c>
      <c r="Y612" s="4"/>
      <c r="Z612" s="4"/>
      <c r="AA612" s="4"/>
      <c r="AB612" s="4"/>
      <c r="AC612" s="4">
        <v>1</v>
      </c>
      <c r="AD612" s="4"/>
      <c r="AE612" s="4"/>
    </row>
    <row r="613" spans="1:31" x14ac:dyDescent="0.2">
      <c r="A613" s="201"/>
      <c r="B613" s="4" t="s">
        <v>3170</v>
      </c>
      <c r="C613" s="4">
        <v>609</v>
      </c>
      <c r="D613" s="4" t="s">
        <v>1873</v>
      </c>
      <c r="E613" s="4" t="s">
        <v>1874</v>
      </c>
      <c r="F613" s="4" t="s">
        <v>1875</v>
      </c>
      <c r="G613" s="4" t="s">
        <v>329</v>
      </c>
      <c r="H613" s="4" t="s">
        <v>41</v>
      </c>
      <c r="I613" s="4" t="s">
        <v>85</v>
      </c>
      <c r="J613" s="4">
        <v>30609</v>
      </c>
      <c r="K613" s="202" t="s">
        <v>1891</v>
      </c>
      <c r="L613" s="4">
        <v>39</v>
      </c>
      <c r="M613" s="4">
        <v>0</v>
      </c>
      <c r="N613" s="4" t="str">
        <f>_xlfn.CONCAT("DBX",((L613-1)*2),".0")</f>
        <v>DBX76.0</v>
      </c>
      <c r="O613" s="4" t="s">
        <v>781</v>
      </c>
      <c r="P613" s="4" t="s">
        <v>1890</v>
      </c>
      <c r="Q613" s="4" t="s">
        <v>12</v>
      </c>
      <c r="R613" s="4"/>
      <c r="S613" s="4">
        <v>3922</v>
      </c>
      <c r="T613" s="4" t="s">
        <v>2551</v>
      </c>
      <c r="U613" s="4" t="s">
        <v>2293</v>
      </c>
      <c r="V613" s="4" t="s">
        <v>3060</v>
      </c>
      <c r="W613" s="4" t="s">
        <v>129</v>
      </c>
      <c r="X613" s="4">
        <f t="shared" si="9"/>
        <v>13</v>
      </c>
      <c r="Y613" s="4"/>
      <c r="Z613" s="4"/>
      <c r="AA613" s="4"/>
      <c r="AB613" s="4"/>
      <c r="AC613" s="4">
        <v>1</v>
      </c>
      <c r="AD613" s="4"/>
      <c r="AE613" s="4"/>
    </row>
    <row r="614" spans="1:31" x14ac:dyDescent="0.2">
      <c r="A614" s="201"/>
      <c r="B614" s="4" t="s">
        <v>3170</v>
      </c>
      <c r="C614" s="4">
        <v>610</v>
      </c>
      <c r="D614" s="4" t="s">
        <v>1876</v>
      </c>
      <c r="E614" s="4" t="s">
        <v>1877</v>
      </c>
      <c r="F614" s="4" t="s">
        <v>1878</v>
      </c>
      <c r="G614" s="4" t="s">
        <v>329</v>
      </c>
      <c r="H614" s="4" t="s">
        <v>41</v>
      </c>
      <c r="I614" s="4" t="s">
        <v>85</v>
      </c>
      <c r="J614" s="4">
        <v>30610</v>
      </c>
      <c r="K614" s="202" t="s">
        <v>1892</v>
      </c>
      <c r="L614" s="4">
        <v>39</v>
      </c>
      <c r="M614" s="4">
        <v>1</v>
      </c>
      <c r="N614" s="4" t="str">
        <f>_xlfn.CONCAT("DBX",((L614-1)*2),".1")</f>
        <v>DBX76.1</v>
      </c>
      <c r="O614" s="4" t="s">
        <v>781</v>
      </c>
      <c r="P614" s="4" t="s">
        <v>1889</v>
      </c>
      <c r="Q614" s="4" t="s">
        <v>12</v>
      </c>
      <c r="R614" s="4"/>
      <c r="S614" s="4">
        <v>3922</v>
      </c>
      <c r="T614" s="4" t="s">
        <v>2551</v>
      </c>
      <c r="U614" s="4" t="s">
        <v>2294</v>
      </c>
      <c r="V614" s="4" t="s">
        <v>3060</v>
      </c>
      <c r="W614" s="4" t="s">
        <v>129</v>
      </c>
      <c r="X614" s="4">
        <f t="shared" si="9"/>
        <v>13</v>
      </c>
      <c r="Y614" s="4"/>
      <c r="Z614" s="4"/>
      <c r="AA614" s="4"/>
      <c r="AB614" s="4"/>
      <c r="AC614" s="4">
        <v>1</v>
      </c>
      <c r="AD614" s="4"/>
      <c r="AE614" s="4"/>
    </row>
    <row r="615" spans="1:31" x14ac:dyDescent="0.2">
      <c r="A615" s="201"/>
      <c r="B615" s="4" t="s">
        <v>3170</v>
      </c>
      <c r="C615" s="4">
        <v>611</v>
      </c>
      <c r="D615" s="4" t="s">
        <v>1879</v>
      </c>
      <c r="E615" s="4" t="s">
        <v>1880</v>
      </c>
      <c r="F615" s="4" t="s">
        <v>1881</v>
      </c>
      <c r="G615" s="4" t="s">
        <v>329</v>
      </c>
      <c r="H615" s="4" t="s">
        <v>41</v>
      </c>
      <c r="I615" s="4" t="s">
        <v>85</v>
      </c>
      <c r="J615" s="4">
        <v>30611</v>
      </c>
      <c r="K615" s="202" t="s">
        <v>1893</v>
      </c>
      <c r="L615" s="4">
        <v>39</v>
      </c>
      <c r="M615" s="4">
        <v>2</v>
      </c>
      <c r="N615" s="4" t="str">
        <f>_xlfn.CONCAT("DBX",((L615-1)*2),".2")</f>
        <v>DBX76.2</v>
      </c>
      <c r="O615" s="4" t="s">
        <v>781</v>
      </c>
      <c r="P615" s="4" t="s">
        <v>1895</v>
      </c>
      <c r="Q615" s="4" t="s">
        <v>12</v>
      </c>
      <c r="R615" s="4"/>
      <c r="S615" s="4">
        <v>3922</v>
      </c>
      <c r="T615" s="4" t="s">
        <v>2551</v>
      </c>
      <c r="U615" s="4" t="s">
        <v>2295</v>
      </c>
      <c r="V615" s="4" t="s">
        <v>3061</v>
      </c>
      <c r="W615" s="4" t="s">
        <v>129</v>
      </c>
      <c r="X615" s="4">
        <f t="shared" si="9"/>
        <v>13</v>
      </c>
      <c r="Y615" s="4"/>
      <c r="Z615" s="4"/>
      <c r="AA615" s="4"/>
      <c r="AB615" s="4"/>
      <c r="AC615" s="4">
        <v>1</v>
      </c>
      <c r="AD615" s="4"/>
      <c r="AE615" s="4"/>
    </row>
    <row r="616" spans="1:31" x14ac:dyDescent="0.2">
      <c r="A616" s="201"/>
      <c r="B616" s="4" t="s">
        <v>3170</v>
      </c>
      <c r="C616" s="4">
        <v>612</v>
      </c>
      <c r="D616" s="4" t="s">
        <v>1882</v>
      </c>
      <c r="E616" s="4" t="s">
        <v>1883</v>
      </c>
      <c r="F616" s="4" t="s">
        <v>1884</v>
      </c>
      <c r="G616" s="4" t="s">
        <v>329</v>
      </c>
      <c r="H616" s="4" t="s">
        <v>41</v>
      </c>
      <c r="I616" s="4" t="s">
        <v>85</v>
      </c>
      <c r="J616" s="4">
        <v>30612</v>
      </c>
      <c r="K616" s="202" t="s">
        <v>1894</v>
      </c>
      <c r="L616" s="4">
        <v>39</v>
      </c>
      <c r="M616" s="4">
        <v>3</v>
      </c>
      <c r="N616" s="4" t="str">
        <f>_xlfn.CONCAT("DBX",((L616-1)*2),".3")</f>
        <v>DBX76.3</v>
      </c>
      <c r="O616" s="4" t="s">
        <v>781</v>
      </c>
      <c r="P616" s="4" t="s">
        <v>1896</v>
      </c>
      <c r="Q616" s="4" t="s">
        <v>12</v>
      </c>
      <c r="R616" s="4"/>
      <c r="S616" s="4">
        <v>3922</v>
      </c>
      <c r="T616" s="4" t="s">
        <v>2551</v>
      </c>
      <c r="U616" s="4" t="s">
        <v>2296</v>
      </c>
      <c r="V616" s="4" t="s">
        <v>3061</v>
      </c>
      <c r="W616" s="4" t="s">
        <v>129</v>
      </c>
      <c r="X616" s="4">
        <f t="shared" si="9"/>
        <v>13</v>
      </c>
      <c r="Y616" s="4"/>
      <c r="Z616" s="4"/>
      <c r="AA616" s="4"/>
      <c r="AB616" s="4"/>
      <c r="AC616" s="4">
        <v>1</v>
      </c>
      <c r="AD616" s="4"/>
      <c r="AE616" s="4"/>
    </row>
    <row r="617" spans="1:31" x14ac:dyDescent="0.2">
      <c r="A617" s="201"/>
      <c r="B617" s="4" t="s">
        <v>3170</v>
      </c>
      <c r="C617" s="4">
        <v>613</v>
      </c>
      <c r="D617" s="4" t="s">
        <v>1897</v>
      </c>
      <c r="E617" s="4" t="s">
        <v>1898</v>
      </c>
      <c r="F617" s="4" t="s">
        <v>1899</v>
      </c>
      <c r="G617" s="4" t="s">
        <v>329</v>
      </c>
      <c r="H617" s="4" t="s">
        <v>41</v>
      </c>
      <c r="I617" s="4" t="s">
        <v>85</v>
      </c>
      <c r="J617" s="4">
        <v>30613</v>
      </c>
      <c r="K617" s="202" t="s">
        <v>1909</v>
      </c>
      <c r="L617" s="4">
        <v>39</v>
      </c>
      <c r="M617" s="4">
        <v>4</v>
      </c>
      <c r="N617" s="4" t="str">
        <f>_xlfn.CONCAT("DBX",((L617-1)*2),".4")</f>
        <v>DBX76.4</v>
      </c>
      <c r="O617" s="4" t="s">
        <v>781</v>
      </c>
      <c r="P617" s="4" t="s">
        <v>1911</v>
      </c>
      <c r="Q617" s="4" t="s">
        <v>12</v>
      </c>
      <c r="R617" s="4"/>
      <c r="S617" s="4">
        <v>3922</v>
      </c>
      <c r="T617" s="4" t="s">
        <v>2551</v>
      </c>
      <c r="U617" s="4" t="s">
        <v>2297</v>
      </c>
      <c r="V617" s="4" t="s">
        <v>3062</v>
      </c>
      <c r="W617" s="4" t="s">
        <v>129</v>
      </c>
      <c r="X617" s="4">
        <f t="shared" si="9"/>
        <v>13</v>
      </c>
      <c r="Y617" s="4"/>
      <c r="Z617" s="4"/>
      <c r="AA617" s="4"/>
      <c r="AB617" s="4"/>
      <c r="AC617" s="4">
        <v>1</v>
      </c>
      <c r="AD617" s="4"/>
      <c r="AE617" s="4"/>
    </row>
    <row r="618" spans="1:31" x14ac:dyDescent="0.2">
      <c r="A618" s="201"/>
      <c r="B618" s="4" t="s">
        <v>3170</v>
      </c>
      <c r="C618" s="4">
        <v>614</v>
      </c>
      <c r="D618" s="4" t="s">
        <v>1900</v>
      </c>
      <c r="E618" s="4" t="s">
        <v>1901</v>
      </c>
      <c r="F618" s="4" t="s">
        <v>1902</v>
      </c>
      <c r="G618" s="4" t="s">
        <v>329</v>
      </c>
      <c r="H618" s="4" t="s">
        <v>41</v>
      </c>
      <c r="I618" s="4" t="s">
        <v>85</v>
      </c>
      <c r="J618" s="4">
        <v>30614</v>
      </c>
      <c r="K618" s="202" t="s">
        <v>1910</v>
      </c>
      <c r="L618" s="4">
        <v>39</v>
      </c>
      <c r="M618" s="4">
        <v>5</v>
      </c>
      <c r="N618" s="4" t="str">
        <f>_xlfn.CONCAT("DBX",((L618-1)*2),".5")</f>
        <v>DBX76.5</v>
      </c>
      <c r="O618" s="4" t="s">
        <v>781</v>
      </c>
      <c r="P618" s="4" t="s">
        <v>1912</v>
      </c>
      <c r="Q618" s="4" t="s">
        <v>12</v>
      </c>
      <c r="R618" s="4"/>
      <c r="S618" s="4">
        <v>3922</v>
      </c>
      <c r="T618" s="4" t="s">
        <v>2551</v>
      </c>
      <c r="U618" s="4" t="s">
        <v>2298</v>
      </c>
      <c r="V618" s="4" t="s">
        <v>3062</v>
      </c>
      <c r="W618" s="4" t="s">
        <v>129</v>
      </c>
      <c r="X618" s="4">
        <f t="shared" si="9"/>
        <v>13</v>
      </c>
      <c r="Y618" s="4"/>
      <c r="Z618" s="4"/>
      <c r="AA618" s="4"/>
      <c r="AB618" s="4"/>
      <c r="AC618" s="4">
        <v>1</v>
      </c>
      <c r="AD618" s="4"/>
      <c r="AE618" s="4"/>
    </row>
    <row r="619" spans="1:31" x14ac:dyDescent="0.2">
      <c r="A619" s="201"/>
      <c r="B619" s="4" t="s">
        <v>3170</v>
      </c>
      <c r="C619" s="4">
        <v>615</v>
      </c>
      <c r="D619" s="4" t="s">
        <v>1903</v>
      </c>
      <c r="E619" s="4" t="s">
        <v>1904</v>
      </c>
      <c r="F619" s="4" t="s">
        <v>1905</v>
      </c>
      <c r="G619" s="4" t="s">
        <v>329</v>
      </c>
      <c r="H619" s="4" t="s">
        <v>41</v>
      </c>
      <c r="I619" s="4" t="s">
        <v>85</v>
      </c>
      <c r="J619" s="4">
        <v>30615</v>
      </c>
      <c r="K619" s="202" t="s">
        <v>1913</v>
      </c>
      <c r="L619" s="4">
        <v>39</v>
      </c>
      <c r="M619" s="4">
        <v>6</v>
      </c>
      <c r="N619" s="4" t="str">
        <f>_xlfn.CONCAT("DBX",((L619-1)*2),".6")</f>
        <v>DBX76.6</v>
      </c>
      <c r="O619" s="4" t="s">
        <v>781</v>
      </c>
      <c r="P619" s="4" t="s">
        <v>1915</v>
      </c>
      <c r="Q619" s="4" t="s">
        <v>12</v>
      </c>
      <c r="R619" s="4"/>
      <c r="S619" s="4">
        <v>3922</v>
      </c>
      <c r="T619" s="4" t="s">
        <v>2551</v>
      </c>
      <c r="U619" s="4" t="s">
        <v>2299</v>
      </c>
      <c r="V619" s="4" t="s">
        <v>3063</v>
      </c>
      <c r="W619" s="4" t="s">
        <v>129</v>
      </c>
      <c r="X619" s="4">
        <f t="shared" si="9"/>
        <v>13</v>
      </c>
      <c r="Y619" s="4"/>
      <c r="Z619" s="4"/>
      <c r="AA619" s="4"/>
      <c r="AB619" s="4"/>
      <c r="AC619" s="4">
        <v>1</v>
      </c>
      <c r="AD619" s="4"/>
      <c r="AE619" s="4"/>
    </row>
    <row r="620" spans="1:31" x14ac:dyDescent="0.2">
      <c r="A620" s="201"/>
      <c r="B620" s="4" t="s">
        <v>3170</v>
      </c>
      <c r="C620" s="4">
        <v>616</v>
      </c>
      <c r="D620" s="4" t="s">
        <v>1906</v>
      </c>
      <c r="E620" s="4" t="s">
        <v>1907</v>
      </c>
      <c r="F620" s="4" t="s">
        <v>1908</v>
      </c>
      <c r="G620" s="4" t="s">
        <v>329</v>
      </c>
      <c r="H620" s="4" t="s">
        <v>41</v>
      </c>
      <c r="I620" s="4" t="s">
        <v>85</v>
      </c>
      <c r="J620" s="4">
        <v>30616</v>
      </c>
      <c r="K620" s="202" t="s">
        <v>1914</v>
      </c>
      <c r="L620" s="4">
        <v>39</v>
      </c>
      <c r="M620" s="4">
        <v>7</v>
      </c>
      <c r="N620" s="4" t="str">
        <f>_xlfn.CONCAT("DBX",((L620-1)*2),".7")</f>
        <v>DBX76.7</v>
      </c>
      <c r="O620" s="4" t="s">
        <v>781</v>
      </c>
      <c r="P620" s="4" t="s">
        <v>1916</v>
      </c>
      <c r="Q620" s="4" t="s">
        <v>12</v>
      </c>
      <c r="R620" s="4"/>
      <c r="S620" s="4">
        <v>3922</v>
      </c>
      <c r="T620" s="4" t="s">
        <v>2551</v>
      </c>
      <c r="U620" s="4" t="s">
        <v>2300</v>
      </c>
      <c r="V620" s="4" t="s">
        <v>3063</v>
      </c>
      <c r="W620" s="4" t="s">
        <v>129</v>
      </c>
      <c r="X620" s="4">
        <f t="shared" si="9"/>
        <v>13</v>
      </c>
      <c r="Y620" s="4"/>
      <c r="Z620" s="4"/>
      <c r="AA620" s="4"/>
      <c r="AB620" s="4"/>
      <c r="AC620" s="4">
        <v>1</v>
      </c>
      <c r="AD620" s="4"/>
      <c r="AE620" s="4"/>
    </row>
    <row r="621" spans="1:31" x14ac:dyDescent="0.2">
      <c r="A621" s="201"/>
      <c r="B621" s="4" t="s">
        <v>34</v>
      </c>
      <c r="C621" s="4">
        <v>617</v>
      </c>
      <c r="D621" s="4"/>
      <c r="E621" s="4"/>
      <c r="F621" s="4"/>
      <c r="G621" s="4"/>
      <c r="H621" s="4"/>
      <c r="I621" s="4"/>
      <c r="J621" s="4">
        <v>30617</v>
      </c>
      <c r="K621" s="202"/>
      <c r="L621" s="4">
        <v>39</v>
      </c>
      <c r="M621" s="4">
        <v>8</v>
      </c>
      <c r="N621" s="4" t="str">
        <f>_xlfn.CONCAT("DBX",((L621-1)*2)+1,".0")</f>
        <v>DBX77.0</v>
      </c>
      <c r="O621" s="4" t="s">
        <v>781</v>
      </c>
      <c r="P621" s="4"/>
      <c r="Q621" s="4"/>
      <c r="R621" s="4"/>
      <c r="S621" s="4"/>
      <c r="T621" s="4"/>
      <c r="U621" s="4"/>
      <c r="V621" s="4"/>
      <c r="W621" s="4"/>
      <c r="X621" s="4" t="e">
        <f t="shared" si="9"/>
        <v>#N/A</v>
      </c>
      <c r="Y621" s="4"/>
      <c r="Z621" s="4"/>
      <c r="AA621" s="4"/>
      <c r="AB621" s="4"/>
      <c r="AC621" s="4"/>
      <c r="AD621" s="4"/>
      <c r="AE621" s="4"/>
    </row>
    <row r="622" spans="1:31" x14ac:dyDescent="0.2">
      <c r="A622" s="201"/>
      <c r="B622" s="4" t="s">
        <v>34</v>
      </c>
      <c r="C622" s="4">
        <v>618</v>
      </c>
      <c r="D622" s="4"/>
      <c r="E622" s="4"/>
      <c r="F622" s="4"/>
      <c r="G622" s="4"/>
      <c r="H622" s="4"/>
      <c r="I622" s="4"/>
      <c r="J622" s="4">
        <v>30618</v>
      </c>
      <c r="K622" s="202"/>
      <c r="L622" s="4">
        <v>39</v>
      </c>
      <c r="M622" s="4">
        <v>9</v>
      </c>
      <c r="N622" s="4" t="str">
        <f>_xlfn.CONCAT("DBX",((L622-1)*2)+1,".1")</f>
        <v>DBX77.1</v>
      </c>
      <c r="O622" s="4" t="s">
        <v>781</v>
      </c>
      <c r="P622" s="4"/>
      <c r="Q622" s="4"/>
      <c r="R622" s="4"/>
      <c r="S622" s="4"/>
      <c r="T622" s="4"/>
      <c r="U622" s="4"/>
      <c r="V622" s="4"/>
      <c r="W622" s="4"/>
      <c r="X622" s="4" t="e">
        <f t="shared" si="9"/>
        <v>#N/A</v>
      </c>
      <c r="Y622" s="4"/>
      <c r="Z622" s="4"/>
      <c r="AA622" s="4"/>
      <c r="AB622" s="4"/>
      <c r="AC622" s="4"/>
      <c r="AD622" s="4"/>
      <c r="AE622" s="4"/>
    </row>
    <row r="623" spans="1:31" x14ac:dyDescent="0.2">
      <c r="A623" s="201"/>
      <c r="B623" s="4" t="s">
        <v>34</v>
      </c>
      <c r="C623" s="4">
        <v>619</v>
      </c>
      <c r="D623" s="4"/>
      <c r="E623" s="4"/>
      <c r="F623" s="4"/>
      <c r="G623" s="4"/>
      <c r="H623" s="4"/>
      <c r="I623" s="4"/>
      <c r="J623" s="4">
        <v>30619</v>
      </c>
      <c r="K623" s="202"/>
      <c r="L623" s="4">
        <v>39</v>
      </c>
      <c r="M623" s="4">
        <v>10</v>
      </c>
      <c r="N623" s="4" t="str">
        <f>_xlfn.CONCAT("DBX",((L623-1)*2)+1,".2")</f>
        <v>DBX77.2</v>
      </c>
      <c r="O623" s="4" t="s">
        <v>781</v>
      </c>
      <c r="P623" s="4"/>
      <c r="Q623" s="4"/>
      <c r="R623" s="4"/>
      <c r="S623" s="4"/>
      <c r="T623" s="4"/>
      <c r="U623" s="4"/>
      <c r="V623" s="4"/>
      <c r="W623" s="4"/>
      <c r="X623" s="4" t="e">
        <f t="shared" si="9"/>
        <v>#N/A</v>
      </c>
      <c r="Y623" s="4"/>
      <c r="Z623" s="4"/>
      <c r="AA623" s="4"/>
      <c r="AB623" s="4"/>
      <c r="AC623" s="4"/>
      <c r="AD623" s="4"/>
      <c r="AE623" s="4"/>
    </row>
    <row r="624" spans="1:31" x14ac:dyDescent="0.2">
      <c r="A624" s="201"/>
      <c r="B624" s="4" t="s">
        <v>3170</v>
      </c>
      <c r="C624" s="4">
        <v>620</v>
      </c>
      <c r="D624" s="4" t="s">
        <v>1917</v>
      </c>
      <c r="E624" s="4" t="s">
        <v>1918</v>
      </c>
      <c r="F624" s="4" t="s">
        <v>2392</v>
      </c>
      <c r="G624" s="4" t="s">
        <v>40</v>
      </c>
      <c r="H624" s="4" t="s">
        <v>41</v>
      </c>
      <c r="I624" s="4" t="s">
        <v>40</v>
      </c>
      <c r="J624" s="4">
        <v>30620</v>
      </c>
      <c r="K624" s="202" t="s">
        <v>1931</v>
      </c>
      <c r="L624" s="4">
        <v>39</v>
      </c>
      <c r="M624" s="4">
        <v>11</v>
      </c>
      <c r="N624" s="4" t="str">
        <f>_xlfn.CONCAT("DBX",((L624-1)*2)+1,".3")</f>
        <v>DBX77.3</v>
      </c>
      <c r="O624" s="4" t="s">
        <v>781</v>
      </c>
      <c r="P624" s="4" t="s">
        <v>1932</v>
      </c>
      <c r="Q624" s="4" t="s">
        <v>12</v>
      </c>
      <c r="R624" s="4"/>
      <c r="S624" s="4">
        <v>3922</v>
      </c>
      <c r="T624" s="4" t="s">
        <v>2551</v>
      </c>
      <c r="U624" s="4" t="s">
        <v>1931</v>
      </c>
      <c r="V624" s="4" t="s">
        <v>3062</v>
      </c>
      <c r="W624" s="4" t="s">
        <v>123</v>
      </c>
      <c r="X624" s="4">
        <f t="shared" si="9"/>
        <v>7</v>
      </c>
      <c r="Y624" s="4"/>
      <c r="Z624" s="4"/>
      <c r="AA624" s="4"/>
      <c r="AB624" s="4"/>
      <c r="AC624" s="4">
        <v>1</v>
      </c>
      <c r="AD624" s="4"/>
      <c r="AE624" s="4"/>
    </row>
    <row r="625" spans="1:31" x14ac:dyDescent="0.2">
      <c r="A625" s="201"/>
      <c r="B625" s="4" t="s">
        <v>3170</v>
      </c>
      <c r="C625" s="4">
        <v>621</v>
      </c>
      <c r="D625" s="4" t="s">
        <v>1919</v>
      </c>
      <c r="E625" s="4" t="s">
        <v>1920</v>
      </c>
      <c r="F625" s="4" t="s">
        <v>2393</v>
      </c>
      <c r="G625" s="4" t="s">
        <v>40</v>
      </c>
      <c r="H625" s="4" t="s">
        <v>41</v>
      </c>
      <c r="I625" s="4" t="s">
        <v>40</v>
      </c>
      <c r="J625" s="4">
        <v>30621</v>
      </c>
      <c r="K625" s="202" t="s">
        <v>1933</v>
      </c>
      <c r="L625" s="4">
        <v>39</v>
      </c>
      <c r="M625" s="4">
        <v>12</v>
      </c>
      <c r="N625" s="4" t="str">
        <f>_xlfn.CONCAT("DBX",((L625-1)*2)+1,".4")</f>
        <v>DBX77.4</v>
      </c>
      <c r="O625" s="4" t="s">
        <v>781</v>
      </c>
      <c r="P625" s="4" t="s">
        <v>1781</v>
      </c>
      <c r="Q625" s="4" t="s">
        <v>12</v>
      </c>
      <c r="R625" s="4"/>
      <c r="S625" s="4">
        <v>3922</v>
      </c>
      <c r="T625" s="4" t="s">
        <v>2551</v>
      </c>
      <c r="U625" s="4" t="s">
        <v>1933</v>
      </c>
      <c r="V625" s="4" t="s">
        <v>3063</v>
      </c>
      <c r="W625" s="4" t="s">
        <v>123</v>
      </c>
      <c r="X625" s="4">
        <f t="shared" si="9"/>
        <v>7</v>
      </c>
      <c r="Y625" s="4"/>
      <c r="Z625" s="4"/>
      <c r="AA625" s="4"/>
      <c r="AB625" s="4"/>
      <c r="AC625" s="4">
        <v>1</v>
      </c>
      <c r="AD625" s="4"/>
      <c r="AE625" s="4"/>
    </row>
    <row r="626" spans="1:31" x14ac:dyDescent="0.2">
      <c r="A626" s="201"/>
      <c r="B626" s="4" t="s">
        <v>3170</v>
      </c>
      <c r="C626" s="4">
        <v>622</v>
      </c>
      <c r="D626" s="4" t="s">
        <v>1921</v>
      </c>
      <c r="E626" s="4" t="s">
        <v>1922</v>
      </c>
      <c r="F626" s="4" t="s">
        <v>1923</v>
      </c>
      <c r="G626" s="4" t="s">
        <v>40</v>
      </c>
      <c r="H626" s="4" t="s">
        <v>41</v>
      </c>
      <c r="I626" s="4" t="s">
        <v>40</v>
      </c>
      <c r="J626" s="4">
        <v>30622</v>
      </c>
      <c r="K626" s="202" t="s">
        <v>1931</v>
      </c>
      <c r="L626" s="4">
        <v>39</v>
      </c>
      <c r="M626" s="4">
        <v>13</v>
      </c>
      <c r="N626" s="4" t="str">
        <f>_xlfn.CONCAT("DBX",((L626-1)*2)+1,".5")</f>
        <v>DBX77.5</v>
      </c>
      <c r="O626" s="4" t="s">
        <v>781</v>
      </c>
      <c r="P626" s="4" t="s">
        <v>1932</v>
      </c>
      <c r="Q626" s="4" t="s">
        <v>12</v>
      </c>
      <c r="R626" s="4"/>
      <c r="S626" s="4">
        <v>3922</v>
      </c>
      <c r="T626" s="4" t="s">
        <v>2551</v>
      </c>
      <c r="U626" s="4" t="s">
        <v>1931</v>
      </c>
      <c r="V626" s="203" t="s">
        <v>3062</v>
      </c>
      <c r="W626" s="4" t="s">
        <v>123</v>
      </c>
      <c r="X626" s="4">
        <f t="shared" si="9"/>
        <v>7</v>
      </c>
      <c r="Y626" s="4"/>
      <c r="Z626" s="4"/>
      <c r="AA626" s="4"/>
      <c r="AB626" s="4"/>
      <c r="AC626" s="4">
        <v>1</v>
      </c>
      <c r="AD626" s="4"/>
      <c r="AE626" s="4"/>
    </row>
    <row r="627" spans="1:31" x14ac:dyDescent="0.2">
      <c r="A627" s="201"/>
      <c r="B627" s="4" t="s">
        <v>3170</v>
      </c>
      <c r="C627" s="4">
        <v>623</v>
      </c>
      <c r="D627" s="4" t="s">
        <v>1924</v>
      </c>
      <c r="E627" s="4" t="s">
        <v>1925</v>
      </c>
      <c r="F627" s="4" t="s">
        <v>1926</v>
      </c>
      <c r="G627" s="4" t="s">
        <v>40</v>
      </c>
      <c r="H627" s="4" t="s">
        <v>41</v>
      </c>
      <c r="I627" s="4" t="s">
        <v>40</v>
      </c>
      <c r="J627" s="4">
        <v>30623</v>
      </c>
      <c r="K627" s="202" t="s">
        <v>1933</v>
      </c>
      <c r="L627" s="4">
        <v>39</v>
      </c>
      <c r="M627" s="4">
        <v>14</v>
      </c>
      <c r="N627" s="4" t="str">
        <f>_xlfn.CONCAT("DBX",((L627-1)*2)+1,".6")</f>
        <v>DBX77.6</v>
      </c>
      <c r="O627" s="4" t="s">
        <v>781</v>
      </c>
      <c r="P627" s="4" t="s">
        <v>1781</v>
      </c>
      <c r="Q627" s="4" t="s">
        <v>12</v>
      </c>
      <c r="R627" s="4"/>
      <c r="S627" s="4">
        <v>3922</v>
      </c>
      <c r="T627" s="4" t="s">
        <v>2551</v>
      </c>
      <c r="U627" s="4" t="s">
        <v>1933</v>
      </c>
      <c r="V627" s="203" t="s">
        <v>3063</v>
      </c>
      <c r="W627" s="4" t="s">
        <v>123</v>
      </c>
      <c r="X627" s="4">
        <f t="shared" si="9"/>
        <v>7</v>
      </c>
      <c r="Y627" s="4"/>
      <c r="Z627" s="4"/>
      <c r="AA627" s="4"/>
      <c r="AB627" s="4"/>
      <c r="AC627" s="4">
        <v>1</v>
      </c>
      <c r="AD627" s="4"/>
      <c r="AE627" s="4"/>
    </row>
    <row r="628" spans="1:31" x14ac:dyDescent="0.2">
      <c r="A628" s="201"/>
      <c r="B628" s="4" t="s">
        <v>3170</v>
      </c>
      <c r="C628" s="4">
        <v>624</v>
      </c>
      <c r="D628" s="4" t="s">
        <v>1927</v>
      </c>
      <c r="E628" s="4" t="s">
        <v>1928</v>
      </c>
      <c r="F628" s="4" t="s">
        <v>2491</v>
      </c>
      <c r="G628" s="4" t="s">
        <v>40</v>
      </c>
      <c r="H628" s="4" t="s">
        <v>41</v>
      </c>
      <c r="I628" s="4" t="s">
        <v>40</v>
      </c>
      <c r="J628" s="4">
        <v>30624</v>
      </c>
      <c r="K628" s="202" t="s">
        <v>1931</v>
      </c>
      <c r="L628" s="4">
        <v>39</v>
      </c>
      <c r="M628" s="4">
        <v>15</v>
      </c>
      <c r="N628" s="4" t="str">
        <f>_xlfn.CONCAT("DBX",((L628-1)*2)+1,".7")</f>
        <v>DBX77.7</v>
      </c>
      <c r="O628" s="4" t="s">
        <v>781</v>
      </c>
      <c r="P628" s="4" t="s">
        <v>1932</v>
      </c>
      <c r="Q628" s="4" t="s">
        <v>12</v>
      </c>
      <c r="R628" s="4"/>
      <c r="S628" s="4">
        <v>3922</v>
      </c>
      <c r="T628" s="4" t="s">
        <v>2551</v>
      </c>
      <c r="U628" s="4" t="s">
        <v>1931</v>
      </c>
      <c r="V628" s="203" t="s">
        <v>3062</v>
      </c>
      <c r="W628" s="4" t="s">
        <v>129</v>
      </c>
      <c r="X628" s="4">
        <f t="shared" si="9"/>
        <v>13</v>
      </c>
      <c r="Y628" s="4"/>
      <c r="Z628" s="4"/>
      <c r="AA628" s="4"/>
      <c r="AB628" s="4"/>
      <c r="AC628" s="4">
        <v>1</v>
      </c>
      <c r="AD628" s="4"/>
      <c r="AE628" s="4"/>
    </row>
    <row r="629" spans="1:31" x14ac:dyDescent="0.2">
      <c r="A629" s="201"/>
      <c r="B629" s="4" t="s">
        <v>3170</v>
      </c>
      <c r="C629" s="4">
        <v>625</v>
      </c>
      <c r="D629" s="4" t="s">
        <v>1929</v>
      </c>
      <c r="E629" s="4" t="s">
        <v>1930</v>
      </c>
      <c r="F629" s="4" t="s">
        <v>2492</v>
      </c>
      <c r="G629" s="4" t="s">
        <v>40</v>
      </c>
      <c r="H629" s="4" t="s">
        <v>41</v>
      </c>
      <c r="I629" s="4" t="s">
        <v>40</v>
      </c>
      <c r="J629" s="4">
        <v>30625</v>
      </c>
      <c r="K629" s="202" t="s">
        <v>1933</v>
      </c>
      <c r="L629" s="4">
        <v>40</v>
      </c>
      <c r="M629" s="4">
        <v>0</v>
      </c>
      <c r="N629" s="4" t="str">
        <f>_xlfn.CONCAT("DBX",((L629-1)*2),".0")</f>
        <v>DBX78.0</v>
      </c>
      <c r="O629" s="4" t="s">
        <v>781</v>
      </c>
      <c r="P629" s="4" t="s">
        <v>1781</v>
      </c>
      <c r="Q629" s="4" t="s">
        <v>12</v>
      </c>
      <c r="R629" s="4"/>
      <c r="S629" s="4">
        <v>3922</v>
      </c>
      <c r="T629" s="4" t="s">
        <v>2551</v>
      </c>
      <c r="U629" s="4" t="s">
        <v>1933</v>
      </c>
      <c r="V629" s="203" t="s">
        <v>3063</v>
      </c>
      <c r="W629" s="4" t="s">
        <v>123</v>
      </c>
      <c r="X629" s="4">
        <f t="shared" si="9"/>
        <v>7</v>
      </c>
      <c r="Y629" s="4"/>
      <c r="Z629" s="4"/>
      <c r="AA629" s="4"/>
      <c r="AB629" s="4"/>
      <c r="AC629" s="4">
        <v>1</v>
      </c>
      <c r="AD629" s="4"/>
      <c r="AE629" s="4"/>
    </row>
    <row r="630" spans="1:31" x14ac:dyDescent="0.2">
      <c r="A630" s="201"/>
      <c r="B630" s="4" t="s">
        <v>2706</v>
      </c>
      <c r="C630" s="4">
        <v>626</v>
      </c>
      <c r="D630" s="4" t="s">
        <v>2773</v>
      </c>
      <c r="E630" s="4" t="s">
        <v>2773</v>
      </c>
      <c r="F630" s="4" t="s">
        <v>2721</v>
      </c>
      <c r="G630" s="4" t="s">
        <v>2718</v>
      </c>
      <c r="H630" s="4" t="s">
        <v>41</v>
      </c>
      <c r="I630" s="4" t="s">
        <v>85</v>
      </c>
      <c r="J630" s="4">
        <v>30626</v>
      </c>
      <c r="K630" s="202" t="s">
        <v>1934</v>
      </c>
      <c r="L630" s="4">
        <v>40</v>
      </c>
      <c r="M630" s="4">
        <v>1</v>
      </c>
      <c r="N630" s="4" t="str">
        <f>_xlfn.CONCAT("DBX",((L630-1)*2),".1")</f>
        <v>DBX78.1</v>
      </c>
      <c r="O630" s="4" t="s">
        <v>781</v>
      </c>
      <c r="P630" s="4" t="s">
        <v>11</v>
      </c>
      <c r="Q630" s="4" t="s">
        <v>12</v>
      </c>
      <c r="R630" s="4"/>
      <c r="S630" s="4">
        <v>3922</v>
      </c>
      <c r="T630" s="4" t="s">
        <v>2551</v>
      </c>
      <c r="U630" s="4"/>
      <c r="V630" s="4"/>
      <c r="W630" s="211" t="s">
        <v>129</v>
      </c>
      <c r="X630" s="4">
        <f t="shared" si="9"/>
        <v>13</v>
      </c>
      <c r="Y630" s="4"/>
      <c r="Z630" s="4"/>
      <c r="AA630" s="4"/>
      <c r="AB630" s="4"/>
      <c r="AC630" s="4">
        <v>1</v>
      </c>
      <c r="AD630" s="4" t="s">
        <v>2812</v>
      </c>
      <c r="AE630" s="4"/>
    </row>
    <row r="631" spans="1:31" ht="33.75" x14ac:dyDescent="0.2">
      <c r="A631" s="201"/>
      <c r="B631" s="4" t="s">
        <v>3170</v>
      </c>
      <c r="C631" s="4">
        <v>627</v>
      </c>
      <c r="D631" s="4" t="s">
        <v>2774</v>
      </c>
      <c r="E631" s="4" t="s">
        <v>2774</v>
      </c>
      <c r="F631" s="4" t="s">
        <v>2720</v>
      </c>
      <c r="G631" s="4" t="s">
        <v>2718</v>
      </c>
      <c r="H631" s="4" t="s">
        <v>41</v>
      </c>
      <c r="I631" s="4" t="s">
        <v>85</v>
      </c>
      <c r="J631" s="4">
        <v>30627</v>
      </c>
      <c r="K631" s="202" t="s">
        <v>1934</v>
      </c>
      <c r="L631" s="4">
        <v>40</v>
      </c>
      <c r="M631" s="4">
        <v>2</v>
      </c>
      <c r="N631" s="4" t="str">
        <f>_xlfn.CONCAT("DBX",((L631-1)*2),".2")</f>
        <v>DBX78.2</v>
      </c>
      <c r="O631" s="4" t="s">
        <v>781</v>
      </c>
      <c r="P631" s="4" t="s">
        <v>2719</v>
      </c>
      <c r="Q631" s="4" t="s">
        <v>93</v>
      </c>
      <c r="R631" s="4"/>
      <c r="S631" s="4">
        <v>3922</v>
      </c>
      <c r="T631" s="4" t="s">
        <v>2551</v>
      </c>
      <c r="U631" s="4"/>
      <c r="V631" s="4" t="s">
        <v>3059</v>
      </c>
      <c r="W631" s="211" t="s">
        <v>129</v>
      </c>
      <c r="X631" s="4">
        <f t="shared" si="9"/>
        <v>13</v>
      </c>
      <c r="Y631" s="4"/>
      <c r="Z631" s="4"/>
      <c r="AA631" s="4"/>
      <c r="AB631" s="4"/>
      <c r="AC631" s="4">
        <v>1</v>
      </c>
      <c r="AD631" s="208" t="s">
        <v>2814</v>
      </c>
      <c r="AE631" s="4"/>
    </row>
    <row r="632" spans="1:31" ht="33.75" x14ac:dyDescent="0.2">
      <c r="A632" s="201"/>
      <c r="B632" s="4" t="s">
        <v>3170</v>
      </c>
      <c r="C632" s="4">
        <v>628</v>
      </c>
      <c r="D632" s="4" t="s">
        <v>2775</v>
      </c>
      <c r="E632" s="4" t="s">
        <v>2775</v>
      </c>
      <c r="F632" s="4" t="s">
        <v>2722</v>
      </c>
      <c r="G632" s="4" t="s">
        <v>2718</v>
      </c>
      <c r="H632" s="4" t="s">
        <v>41</v>
      </c>
      <c r="I632" s="4" t="s">
        <v>85</v>
      </c>
      <c r="J632" s="4">
        <v>30628</v>
      </c>
      <c r="K632" s="202" t="s">
        <v>1934</v>
      </c>
      <c r="L632" s="4">
        <v>40</v>
      </c>
      <c r="M632" s="4">
        <v>3</v>
      </c>
      <c r="N632" s="4" t="str">
        <f>_xlfn.CONCAT("DBX",((L632-1)*2),".3")</f>
        <v>DBX78.3</v>
      </c>
      <c r="O632" s="4" t="s">
        <v>781</v>
      </c>
      <c r="P632" s="4" t="s">
        <v>2719</v>
      </c>
      <c r="Q632" s="4" t="s">
        <v>93</v>
      </c>
      <c r="R632" s="4"/>
      <c r="S632" s="4">
        <v>3922</v>
      </c>
      <c r="T632" s="4" t="s">
        <v>2551</v>
      </c>
      <c r="U632" s="4"/>
      <c r="V632" s="4" t="s">
        <v>3059</v>
      </c>
      <c r="W632" s="211" t="s">
        <v>129</v>
      </c>
      <c r="X632" s="4">
        <f t="shared" si="9"/>
        <v>13</v>
      </c>
      <c r="Y632" s="4"/>
      <c r="Z632" s="4"/>
      <c r="AA632" s="4"/>
      <c r="AB632" s="4"/>
      <c r="AC632" s="4">
        <v>1</v>
      </c>
      <c r="AD632" s="208" t="s">
        <v>2815</v>
      </c>
      <c r="AE632" s="4"/>
    </row>
    <row r="633" spans="1:31" ht="33.75" x14ac:dyDescent="0.2">
      <c r="A633" s="201"/>
      <c r="B633" s="4" t="s">
        <v>3170</v>
      </c>
      <c r="C633" s="4">
        <v>629</v>
      </c>
      <c r="D633" s="4" t="s">
        <v>2776</v>
      </c>
      <c r="E633" s="4" t="s">
        <v>2776</v>
      </c>
      <c r="F633" s="4" t="s">
        <v>2724</v>
      </c>
      <c r="G633" s="4" t="s">
        <v>2718</v>
      </c>
      <c r="H633" s="4" t="s">
        <v>41</v>
      </c>
      <c r="I633" s="4" t="s">
        <v>85</v>
      </c>
      <c r="J633" s="4">
        <v>30629</v>
      </c>
      <c r="K633" s="202" t="s">
        <v>1934</v>
      </c>
      <c r="L633" s="4">
        <v>40</v>
      </c>
      <c r="M633" s="4">
        <v>4</v>
      </c>
      <c r="N633" s="4" t="str">
        <f>_xlfn.CONCAT("DBX",((L633-1)*2),".4")</f>
        <v>DBX78.4</v>
      </c>
      <c r="O633" s="4" t="s">
        <v>781</v>
      </c>
      <c r="P633" s="4" t="s">
        <v>2719</v>
      </c>
      <c r="Q633" s="4" t="s">
        <v>93</v>
      </c>
      <c r="R633" s="4"/>
      <c r="S633" s="4">
        <v>3922</v>
      </c>
      <c r="T633" s="4" t="s">
        <v>2551</v>
      </c>
      <c r="U633" s="4"/>
      <c r="V633" s="4" t="s">
        <v>3059</v>
      </c>
      <c r="W633" s="211" t="s">
        <v>122</v>
      </c>
      <c r="X633" s="4">
        <f t="shared" si="9"/>
        <v>6</v>
      </c>
      <c r="Y633" s="4"/>
      <c r="Z633" s="4"/>
      <c r="AA633" s="4"/>
      <c r="AB633" s="4"/>
      <c r="AC633" s="4">
        <v>1</v>
      </c>
      <c r="AD633" s="208" t="s">
        <v>2816</v>
      </c>
      <c r="AE633" s="4"/>
    </row>
    <row r="634" spans="1:31" x14ac:dyDescent="0.2">
      <c r="A634" s="201"/>
      <c r="B634" s="4" t="s">
        <v>3170</v>
      </c>
      <c r="C634" s="4">
        <v>630</v>
      </c>
      <c r="D634" s="4" t="s">
        <v>2777</v>
      </c>
      <c r="E634" s="4" t="s">
        <v>2777</v>
      </c>
      <c r="F634" s="4" t="s">
        <v>2725</v>
      </c>
      <c r="G634" s="4" t="s">
        <v>2718</v>
      </c>
      <c r="H634" s="4" t="s">
        <v>41</v>
      </c>
      <c r="I634" s="4" t="s">
        <v>85</v>
      </c>
      <c r="J634" s="4">
        <v>30630</v>
      </c>
      <c r="K634" s="202" t="s">
        <v>1934</v>
      </c>
      <c r="L634" s="4">
        <v>40</v>
      </c>
      <c r="M634" s="4">
        <v>5</v>
      </c>
      <c r="N634" s="4" t="str">
        <f>_xlfn.CONCAT("DBX",((L634-1)*2),".5")</f>
        <v>DBX78.5</v>
      </c>
      <c r="O634" s="4" t="s">
        <v>781</v>
      </c>
      <c r="P634" s="4" t="s">
        <v>11</v>
      </c>
      <c r="Q634" s="4" t="s">
        <v>12</v>
      </c>
      <c r="R634" s="4"/>
      <c r="S634" s="4">
        <v>3922</v>
      </c>
      <c r="T634" s="4" t="s">
        <v>2551</v>
      </c>
      <c r="U634" s="4"/>
      <c r="V634" s="4" t="s">
        <v>3059</v>
      </c>
      <c r="W634" s="4" t="s">
        <v>129</v>
      </c>
      <c r="X634" s="4">
        <f t="shared" si="9"/>
        <v>13</v>
      </c>
      <c r="Y634" s="4"/>
      <c r="Z634" s="4"/>
      <c r="AA634" s="4"/>
      <c r="AB634" s="4"/>
      <c r="AC634" s="4">
        <v>1</v>
      </c>
      <c r="AD634" s="4" t="s">
        <v>2813</v>
      </c>
      <c r="AE634" s="4"/>
    </row>
    <row r="635" spans="1:31" ht="33.75" x14ac:dyDescent="0.2">
      <c r="A635" s="201"/>
      <c r="B635" s="4" t="s">
        <v>3170</v>
      </c>
      <c r="C635" s="4">
        <v>631</v>
      </c>
      <c r="D635" s="4" t="s">
        <v>2778</v>
      </c>
      <c r="E635" s="4" t="s">
        <v>2778</v>
      </c>
      <c r="F635" s="4" t="s">
        <v>2726</v>
      </c>
      <c r="G635" s="4" t="s">
        <v>2718</v>
      </c>
      <c r="H635" s="4" t="s">
        <v>41</v>
      </c>
      <c r="I635" s="4" t="s">
        <v>85</v>
      </c>
      <c r="J635" s="4">
        <v>30631</v>
      </c>
      <c r="K635" s="202" t="s">
        <v>1934</v>
      </c>
      <c r="L635" s="4">
        <v>40</v>
      </c>
      <c r="M635" s="4">
        <v>6</v>
      </c>
      <c r="N635" s="4" t="str">
        <f>_xlfn.CONCAT("DBX",((L635-1)*2),".6")</f>
        <v>DBX78.6</v>
      </c>
      <c r="O635" s="4" t="s">
        <v>781</v>
      </c>
      <c r="P635" s="4" t="s">
        <v>2719</v>
      </c>
      <c r="Q635" s="4" t="s">
        <v>93</v>
      </c>
      <c r="R635" s="4"/>
      <c r="S635" s="4">
        <v>3922</v>
      </c>
      <c r="T635" s="4" t="s">
        <v>2551</v>
      </c>
      <c r="U635" s="4"/>
      <c r="V635" s="4" t="s">
        <v>3059</v>
      </c>
      <c r="W635" s="4" t="s">
        <v>122</v>
      </c>
      <c r="X635" s="4">
        <f t="shared" si="9"/>
        <v>6</v>
      </c>
      <c r="Y635" s="4"/>
      <c r="Z635" s="4"/>
      <c r="AA635" s="4"/>
      <c r="AB635" s="4"/>
      <c r="AC635" s="4">
        <v>1</v>
      </c>
      <c r="AD635" s="208" t="s">
        <v>2817</v>
      </c>
      <c r="AE635" s="4"/>
    </row>
    <row r="636" spans="1:31" ht="33.75" x14ac:dyDescent="0.2">
      <c r="A636" s="201"/>
      <c r="B636" s="4" t="s">
        <v>3170</v>
      </c>
      <c r="C636" s="4">
        <v>632</v>
      </c>
      <c r="D636" s="4" t="s">
        <v>2779</v>
      </c>
      <c r="E636" s="4" t="s">
        <v>2779</v>
      </c>
      <c r="F636" s="4" t="s">
        <v>2727</v>
      </c>
      <c r="G636" s="4" t="s">
        <v>2718</v>
      </c>
      <c r="H636" s="4" t="s">
        <v>41</v>
      </c>
      <c r="I636" s="4" t="s">
        <v>85</v>
      </c>
      <c r="J636" s="4">
        <v>30632</v>
      </c>
      <c r="K636" s="202" t="s">
        <v>1934</v>
      </c>
      <c r="L636" s="4">
        <v>40</v>
      </c>
      <c r="M636" s="4">
        <v>7</v>
      </c>
      <c r="N636" s="4" t="str">
        <f>_xlfn.CONCAT("DBX",((L636-1)*2),".7")</f>
        <v>DBX78.7</v>
      </c>
      <c r="O636" s="4" t="s">
        <v>781</v>
      </c>
      <c r="P636" s="4" t="s">
        <v>2719</v>
      </c>
      <c r="Q636" s="4" t="s">
        <v>93</v>
      </c>
      <c r="R636" s="4"/>
      <c r="S636" s="4">
        <v>3922</v>
      </c>
      <c r="T636" s="4" t="s">
        <v>2551</v>
      </c>
      <c r="U636" s="4"/>
      <c r="V636" s="4" t="s">
        <v>3059</v>
      </c>
      <c r="W636" s="4" t="s">
        <v>122</v>
      </c>
      <c r="X636" s="4">
        <f t="shared" si="9"/>
        <v>6</v>
      </c>
      <c r="Y636" s="4"/>
      <c r="Z636" s="4"/>
      <c r="AA636" s="4"/>
      <c r="AB636" s="4"/>
      <c r="AC636" s="4">
        <v>1</v>
      </c>
      <c r="AD636" s="208" t="s">
        <v>2818</v>
      </c>
      <c r="AE636" s="4"/>
    </row>
    <row r="637" spans="1:31" ht="33.75" x14ac:dyDescent="0.2">
      <c r="A637" s="201"/>
      <c r="B637" s="4" t="s">
        <v>3170</v>
      </c>
      <c r="C637" s="4">
        <v>633</v>
      </c>
      <c r="D637" s="210" t="s">
        <v>2780</v>
      </c>
      <c r="E637" s="210" t="s">
        <v>2780</v>
      </c>
      <c r="F637" s="4" t="s">
        <v>2728</v>
      </c>
      <c r="G637" s="4" t="s">
        <v>2718</v>
      </c>
      <c r="H637" s="4" t="s">
        <v>41</v>
      </c>
      <c r="I637" s="4" t="s">
        <v>85</v>
      </c>
      <c r="J637" s="4">
        <v>30633</v>
      </c>
      <c r="K637" s="202" t="s">
        <v>1934</v>
      </c>
      <c r="L637" s="4">
        <v>40</v>
      </c>
      <c r="M637" s="4">
        <v>8</v>
      </c>
      <c r="N637" s="4" t="str">
        <f>_xlfn.CONCAT("DBX",((L637-1)*2)+1,".0")</f>
        <v>DBX79.0</v>
      </c>
      <c r="O637" s="4" t="s">
        <v>781</v>
      </c>
      <c r="P637" s="4" t="s">
        <v>2723</v>
      </c>
      <c r="Q637" s="4" t="s">
        <v>93</v>
      </c>
      <c r="R637" s="4"/>
      <c r="S637" s="4">
        <v>3922</v>
      </c>
      <c r="T637" s="4" t="s">
        <v>2551</v>
      </c>
      <c r="U637" s="4"/>
      <c r="V637" s="4" t="s">
        <v>3059</v>
      </c>
      <c r="W637" s="4" t="s">
        <v>122</v>
      </c>
      <c r="X637" s="4">
        <f t="shared" si="9"/>
        <v>6</v>
      </c>
      <c r="Y637" s="4"/>
      <c r="Z637" s="4"/>
      <c r="AA637" s="4"/>
      <c r="AB637" s="4"/>
      <c r="AC637" s="4">
        <v>1</v>
      </c>
      <c r="AD637" s="208" t="s">
        <v>2819</v>
      </c>
      <c r="AE637" s="4"/>
    </row>
    <row r="638" spans="1:31" ht="33.75" x14ac:dyDescent="0.2">
      <c r="A638" s="201"/>
      <c r="B638" s="4" t="s">
        <v>3170</v>
      </c>
      <c r="C638" s="4">
        <v>634</v>
      </c>
      <c r="D638" s="210" t="s">
        <v>2781</v>
      </c>
      <c r="E638" s="210" t="s">
        <v>2781</v>
      </c>
      <c r="F638" s="4" t="s">
        <v>2729</v>
      </c>
      <c r="G638" s="4" t="s">
        <v>2718</v>
      </c>
      <c r="H638" s="4" t="s">
        <v>41</v>
      </c>
      <c r="I638" s="4" t="s">
        <v>85</v>
      </c>
      <c r="J638" s="4">
        <v>30634</v>
      </c>
      <c r="K638" s="202" t="s">
        <v>1934</v>
      </c>
      <c r="L638" s="4">
        <v>40</v>
      </c>
      <c r="M638" s="4">
        <v>9</v>
      </c>
      <c r="N638" s="4" t="str">
        <f>_xlfn.CONCAT("DBX",((L638-1)*2)+1,".1")</f>
        <v>DBX79.1</v>
      </c>
      <c r="O638" s="4" t="s">
        <v>781</v>
      </c>
      <c r="P638" s="4" t="s">
        <v>2723</v>
      </c>
      <c r="Q638" s="4" t="s">
        <v>93</v>
      </c>
      <c r="R638" s="4"/>
      <c r="S638" s="4">
        <v>3922</v>
      </c>
      <c r="T638" s="4" t="s">
        <v>2551</v>
      </c>
      <c r="U638" s="4"/>
      <c r="V638" s="4" t="s">
        <v>3059</v>
      </c>
      <c r="W638" s="4" t="s">
        <v>122</v>
      </c>
      <c r="X638" s="4">
        <f t="shared" si="9"/>
        <v>6</v>
      </c>
      <c r="Y638" s="4"/>
      <c r="Z638" s="4"/>
      <c r="AA638" s="4"/>
      <c r="AB638" s="4"/>
      <c r="AC638" s="4">
        <v>1</v>
      </c>
      <c r="AD638" s="208" t="s">
        <v>2820</v>
      </c>
      <c r="AE638" s="4"/>
    </row>
    <row r="639" spans="1:31" ht="33.75" x14ac:dyDescent="0.2">
      <c r="A639" s="201"/>
      <c r="B639" s="4" t="s">
        <v>3170</v>
      </c>
      <c r="C639" s="4">
        <v>635</v>
      </c>
      <c r="D639" s="210" t="s">
        <v>2782</v>
      </c>
      <c r="E639" s="210" t="s">
        <v>2782</v>
      </c>
      <c r="F639" s="212" t="s">
        <v>2730</v>
      </c>
      <c r="G639" s="4" t="s">
        <v>2718</v>
      </c>
      <c r="H639" s="4" t="s">
        <v>41</v>
      </c>
      <c r="I639" s="4" t="s">
        <v>85</v>
      </c>
      <c r="J639" s="4">
        <v>30635</v>
      </c>
      <c r="K639" s="202" t="s">
        <v>1934</v>
      </c>
      <c r="L639" s="4">
        <v>40</v>
      </c>
      <c r="M639" s="4">
        <v>10</v>
      </c>
      <c r="N639" s="4" t="str">
        <f>_xlfn.CONCAT("DBX",((L639-1)*2)+1,".2")</f>
        <v>DBX79.2</v>
      </c>
      <c r="O639" s="4" t="s">
        <v>781</v>
      </c>
      <c r="P639" s="4" t="s">
        <v>2723</v>
      </c>
      <c r="Q639" s="4" t="s">
        <v>93</v>
      </c>
      <c r="R639" s="4"/>
      <c r="S639" s="4">
        <v>3922</v>
      </c>
      <c r="T639" s="4" t="s">
        <v>2551</v>
      </c>
      <c r="U639" s="4"/>
      <c r="V639" s="4" t="s">
        <v>3059</v>
      </c>
      <c r="W639" s="4" t="s">
        <v>122</v>
      </c>
      <c r="X639" s="4">
        <f t="shared" si="9"/>
        <v>6</v>
      </c>
      <c r="Y639" s="4"/>
      <c r="Z639" s="4"/>
      <c r="AA639" s="4"/>
      <c r="AB639" s="4"/>
      <c r="AC639" s="4">
        <v>1</v>
      </c>
      <c r="AD639" s="208" t="s">
        <v>2821</v>
      </c>
      <c r="AE639" s="4"/>
    </row>
    <row r="640" spans="1:31" ht="33.75" x14ac:dyDescent="0.2">
      <c r="A640" s="201"/>
      <c r="B640" s="4" t="s">
        <v>3170</v>
      </c>
      <c r="C640" s="4">
        <v>636</v>
      </c>
      <c r="D640" s="210" t="s">
        <v>2783</v>
      </c>
      <c r="E640" s="210" t="s">
        <v>2783</v>
      </c>
      <c r="F640" s="212" t="s">
        <v>2731</v>
      </c>
      <c r="G640" s="4" t="s">
        <v>2718</v>
      </c>
      <c r="H640" s="4" t="s">
        <v>41</v>
      </c>
      <c r="I640" s="4" t="s">
        <v>85</v>
      </c>
      <c r="J640" s="4">
        <v>30636</v>
      </c>
      <c r="K640" s="202" t="s">
        <v>1934</v>
      </c>
      <c r="L640" s="4">
        <v>40</v>
      </c>
      <c r="M640" s="4">
        <v>11</v>
      </c>
      <c r="N640" s="4" t="str">
        <f>_xlfn.CONCAT("DBX",((L640-1)*2)+1,".3")</f>
        <v>DBX79.3</v>
      </c>
      <c r="O640" s="4" t="s">
        <v>781</v>
      </c>
      <c r="P640" s="4" t="s">
        <v>2723</v>
      </c>
      <c r="Q640" s="4" t="s">
        <v>93</v>
      </c>
      <c r="R640" s="4"/>
      <c r="S640" s="4">
        <v>3922</v>
      </c>
      <c r="T640" s="4" t="s">
        <v>2551</v>
      </c>
      <c r="U640" s="4"/>
      <c r="V640" s="4" t="s">
        <v>3059</v>
      </c>
      <c r="W640" s="4" t="s">
        <v>122</v>
      </c>
      <c r="X640" s="4">
        <f t="shared" si="9"/>
        <v>6</v>
      </c>
      <c r="Y640" s="4"/>
      <c r="Z640" s="4"/>
      <c r="AA640" s="4"/>
      <c r="AB640" s="4"/>
      <c r="AC640" s="4">
        <v>1</v>
      </c>
      <c r="AD640" s="208" t="s">
        <v>2822</v>
      </c>
      <c r="AE640" s="4"/>
    </row>
    <row r="641" spans="1:31" ht="33.75" x14ac:dyDescent="0.2">
      <c r="A641" s="201"/>
      <c r="B641" s="4" t="s">
        <v>3170</v>
      </c>
      <c r="C641" s="4">
        <v>637</v>
      </c>
      <c r="D641" s="210" t="s">
        <v>2784</v>
      </c>
      <c r="E641" s="210" t="s">
        <v>2784</v>
      </c>
      <c r="F641" s="212" t="s">
        <v>2732</v>
      </c>
      <c r="G641" s="4" t="s">
        <v>2718</v>
      </c>
      <c r="H641" s="4" t="s">
        <v>41</v>
      </c>
      <c r="I641" s="4" t="s">
        <v>85</v>
      </c>
      <c r="J641" s="4">
        <v>30637</v>
      </c>
      <c r="K641" s="202" t="s">
        <v>1934</v>
      </c>
      <c r="L641" s="4">
        <v>40</v>
      </c>
      <c r="M641" s="4">
        <v>12</v>
      </c>
      <c r="N641" s="4" t="str">
        <f>_xlfn.CONCAT("DBX",((L641-1)*2)+1,".4")</f>
        <v>DBX79.4</v>
      </c>
      <c r="O641" s="4" t="s">
        <v>781</v>
      </c>
      <c r="P641" s="4" t="s">
        <v>2719</v>
      </c>
      <c r="Q641" s="4" t="s">
        <v>93</v>
      </c>
      <c r="R641" s="4"/>
      <c r="S641" s="4">
        <v>3922</v>
      </c>
      <c r="T641" s="4" t="s">
        <v>2551</v>
      </c>
      <c r="U641" s="4"/>
      <c r="V641" s="4" t="s">
        <v>3059</v>
      </c>
      <c r="W641" s="4" t="s">
        <v>122</v>
      </c>
      <c r="X641" s="4">
        <f t="shared" si="9"/>
        <v>6</v>
      </c>
      <c r="Y641" s="4"/>
      <c r="Z641" s="4"/>
      <c r="AA641" s="4"/>
      <c r="AB641" s="4"/>
      <c r="AC641" s="4">
        <v>1</v>
      </c>
      <c r="AD641" s="208" t="s">
        <v>2823</v>
      </c>
      <c r="AE641" s="4"/>
    </row>
    <row r="642" spans="1:31" ht="33.75" x14ac:dyDescent="0.2">
      <c r="A642" s="201"/>
      <c r="B642" s="4" t="s">
        <v>3170</v>
      </c>
      <c r="C642" s="4">
        <v>638</v>
      </c>
      <c r="D642" s="210" t="s">
        <v>2785</v>
      </c>
      <c r="E642" s="210" t="s">
        <v>2785</v>
      </c>
      <c r="F642" s="212" t="s">
        <v>2733</v>
      </c>
      <c r="G642" s="4" t="s">
        <v>2718</v>
      </c>
      <c r="H642" s="4" t="s">
        <v>41</v>
      </c>
      <c r="I642" s="4" t="s">
        <v>85</v>
      </c>
      <c r="J642" s="4">
        <v>30638</v>
      </c>
      <c r="K642" s="202" t="s">
        <v>1934</v>
      </c>
      <c r="L642" s="4">
        <v>40</v>
      </c>
      <c r="M642" s="4">
        <v>13</v>
      </c>
      <c r="N642" s="4" t="str">
        <f>_xlfn.CONCAT("DBX",((L642-1)*2)+1,".5")</f>
        <v>DBX79.5</v>
      </c>
      <c r="O642" s="4" t="s">
        <v>781</v>
      </c>
      <c r="P642" s="4" t="s">
        <v>2719</v>
      </c>
      <c r="Q642" s="4" t="s">
        <v>93</v>
      </c>
      <c r="R642" s="4"/>
      <c r="S642" s="4">
        <v>3922</v>
      </c>
      <c r="T642" s="4" t="s">
        <v>2551</v>
      </c>
      <c r="U642" s="4"/>
      <c r="V642" s="4" t="s">
        <v>3059</v>
      </c>
      <c r="W642" s="4" t="s">
        <v>122</v>
      </c>
      <c r="X642" s="4">
        <f t="shared" si="9"/>
        <v>6</v>
      </c>
      <c r="Y642" s="4"/>
      <c r="Z642" s="4"/>
      <c r="AA642" s="4"/>
      <c r="AB642" s="4"/>
      <c r="AC642" s="4">
        <v>1</v>
      </c>
      <c r="AD642" s="208" t="s">
        <v>2824</v>
      </c>
      <c r="AE642" s="4"/>
    </row>
    <row r="643" spans="1:31" x14ac:dyDescent="0.2">
      <c r="A643" s="201"/>
      <c r="B643" s="4" t="s">
        <v>3170</v>
      </c>
      <c r="C643" s="4">
        <v>639</v>
      </c>
      <c r="D643" s="4" t="s">
        <v>2786</v>
      </c>
      <c r="E643" s="4" t="s">
        <v>2786</v>
      </c>
      <c r="F643" s="4" t="s">
        <v>2734</v>
      </c>
      <c r="G643" s="4" t="s">
        <v>2718</v>
      </c>
      <c r="H643" s="4" t="s">
        <v>41</v>
      </c>
      <c r="I643" s="4" t="s">
        <v>85</v>
      </c>
      <c r="J643" s="4">
        <v>30639</v>
      </c>
      <c r="K643" s="202" t="s">
        <v>1935</v>
      </c>
      <c r="L643" s="4">
        <v>40</v>
      </c>
      <c r="M643" s="4">
        <v>14</v>
      </c>
      <c r="N643" s="4" t="str">
        <f>_xlfn.CONCAT("DBX",((L643-1)*2)+1,".6")</f>
        <v>DBX79.6</v>
      </c>
      <c r="O643" s="4" t="s">
        <v>781</v>
      </c>
      <c r="P643" s="4" t="s">
        <v>11</v>
      </c>
      <c r="Q643" s="4" t="s">
        <v>12</v>
      </c>
      <c r="R643" s="4"/>
      <c r="S643" s="4">
        <v>3922</v>
      </c>
      <c r="T643" s="4" t="s">
        <v>2551</v>
      </c>
      <c r="U643" s="4"/>
      <c r="V643" s="4" t="s">
        <v>3060</v>
      </c>
      <c r="W643" s="211" t="s">
        <v>129</v>
      </c>
      <c r="X643" s="4">
        <f t="shared" si="9"/>
        <v>13</v>
      </c>
      <c r="Y643" s="4"/>
      <c r="Z643" s="4"/>
      <c r="AA643" s="4"/>
      <c r="AB643" s="4"/>
      <c r="AC643" s="4">
        <v>1</v>
      </c>
      <c r="AD643" s="4" t="s">
        <v>2812</v>
      </c>
      <c r="AE643" s="4"/>
    </row>
    <row r="644" spans="1:31" ht="33.75" x14ac:dyDescent="0.2">
      <c r="A644" s="201"/>
      <c r="B644" s="4" t="s">
        <v>3170</v>
      </c>
      <c r="C644" s="4">
        <v>640</v>
      </c>
      <c r="D644" s="4" t="s">
        <v>2787</v>
      </c>
      <c r="E644" s="4" t="s">
        <v>2787</v>
      </c>
      <c r="F644" s="4" t="s">
        <v>2735</v>
      </c>
      <c r="G644" s="4" t="s">
        <v>2718</v>
      </c>
      <c r="H644" s="4" t="s">
        <v>41</v>
      </c>
      <c r="I644" s="4" t="s">
        <v>85</v>
      </c>
      <c r="J644" s="4">
        <v>30640</v>
      </c>
      <c r="K644" s="202" t="s">
        <v>1935</v>
      </c>
      <c r="L644" s="4">
        <v>40</v>
      </c>
      <c r="M644" s="4">
        <v>15</v>
      </c>
      <c r="N644" s="4" t="str">
        <f>_xlfn.CONCAT("DBX",((L644-1)*2)+1,".7")</f>
        <v>DBX79.7</v>
      </c>
      <c r="O644" s="4" t="s">
        <v>781</v>
      </c>
      <c r="P644" s="4" t="s">
        <v>2719</v>
      </c>
      <c r="Q644" s="4" t="s">
        <v>93</v>
      </c>
      <c r="R644" s="4"/>
      <c r="S644" s="4">
        <v>3922</v>
      </c>
      <c r="T644" s="4" t="s">
        <v>2551</v>
      </c>
      <c r="U644" s="4"/>
      <c r="V644" s="4" t="s">
        <v>3060</v>
      </c>
      <c r="W644" s="211" t="s">
        <v>129</v>
      </c>
      <c r="X644" s="4">
        <f t="shared" si="9"/>
        <v>13</v>
      </c>
      <c r="Y644" s="4"/>
      <c r="Z644" s="4"/>
      <c r="AA644" s="4"/>
      <c r="AB644" s="4"/>
      <c r="AC644" s="4">
        <v>1</v>
      </c>
      <c r="AD644" s="208" t="s">
        <v>2825</v>
      </c>
      <c r="AE644" s="4"/>
    </row>
    <row r="645" spans="1:31" ht="33.75" x14ac:dyDescent="0.2">
      <c r="A645" s="201"/>
      <c r="B645" s="4" t="s">
        <v>3170</v>
      </c>
      <c r="C645" s="4">
        <v>641</v>
      </c>
      <c r="D645" s="4" t="s">
        <v>2788</v>
      </c>
      <c r="E645" s="4" t="s">
        <v>2788</v>
      </c>
      <c r="F645" s="4" t="s">
        <v>2736</v>
      </c>
      <c r="G645" s="4" t="s">
        <v>2718</v>
      </c>
      <c r="H645" s="4" t="s">
        <v>41</v>
      </c>
      <c r="I645" s="4" t="s">
        <v>85</v>
      </c>
      <c r="J645" s="4">
        <v>30641</v>
      </c>
      <c r="K645" s="202" t="s">
        <v>1935</v>
      </c>
      <c r="L645" s="4">
        <v>41</v>
      </c>
      <c r="M645" s="4">
        <v>0</v>
      </c>
      <c r="N645" s="4" t="str">
        <f>_xlfn.CONCAT("DBX",((L645-1)*2),".0")</f>
        <v>DBX80.0</v>
      </c>
      <c r="O645" s="4" t="s">
        <v>781</v>
      </c>
      <c r="P645" s="4" t="s">
        <v>2719</v>
      </c>
      <c r="Q645" s="4" t="s">
        <v>93</v>
      </c>
      <c r="R645" s="4"/>
      <c r="S645" s="4">
        <v>3922</v>
      </c>
      <c r="T645" s="4" t="s">
        <v>2551</v>
      </c>
      <c r="U645" s="4"/>
      <c r="V645" s="4" t="s">
        <v>3060</v>
      </c>
      <c r="W645" s="211" t="s">
        <v>129</v>
      </c>
      <c r="X645" s="4">
        <f t="shared" ref="X645:X708" si="10">VLOOKUP(W645,$W$1609:$X$1639,2,FALSE)</f>
        <v>13</v>
      </c>
      <c r="Y645" s="4"/>
      <c r="Z645" s="4"/>
      <c r="AA645" s="4"/>
      <c r="AB645" s="4"/>
      <c r="AC645" s="4">
        <v>1</v>
      </c>
      <c r="AD645" s="208" t="s">
        <v>2826</v>
      </c>
      <c r="AE645" s="4"/>
    </row>
    <row r="646" spans="1:31" ht="33.75" x14ac:dyDescent="0.2">
      <c r="A646" s="201"/>
      <c r="B646" s="4" t="s">
        <v>3170</v>
      </c>
      <c r="C646" s="4">
        <v>642</v>
      </c>
      <c r="D646" s="4" t="s">
        <v>2789</v>
      </c>
      <c r="E646" s="4" t="s">
        <v>2789</v>
      </c>
      <c r="F646" s="4" t="s">
        <v>2737</v>
      </c>
      <c r="G646" s="4" t="s">
        <v>2718</v>
      </c>
      <c r="H646" s="4" t="s">
        <v>41</v>
      </c>
      <c r="I646" s="4" t="s">
        <v>85</v>
      </c>
      <c r="J646" s="4">
        <v>30642</v>
      </c>
      <c r="K646" s="202" t="s">
        <v>1935</v>
      </c>
      <c r="L646" s="4">
        <v>41</v>
      </c>
      <c r="M646" s="4">
        <v>1</v>
      </c>
      <c r="N646" s="4" t="str">
        <f>_xlfn.CONCAT("DBX",((L646-1)*2),".1")</f>
        <v>DBX80.1</v>
      </c>
      <c r="O646" s="4" t="s">
        <v>781</v>
      </c>
      <c r="P646" s="4" t="s">
        <v>2719</v>
      </c>
      <c r="Q646" s="4" t="s">
        <v>93</v>
      </c>
      <c r="R646" s="4"/>
      <c r="S646" s="4">
        <v>3922</v>
      </c>
      <c r="T646" s="4" t="s">
        <v>2551</v>
      </c>
      <c r="U646" s="4"/>
      <c r="V646" s="4" t="s">
        <v>3060</v>
      </c>
      <c r="W646" s="211" t="s">
        <v>122</v>
      </c>
      <c r="X646" s="4">
        <f t="shared" si="10"/>
        <v>6</v>
      </c>
      <c r="Y646" s="4"/>
      <c r="Z646" s="4"/>
      <c r="AA646" s="4"/>
      <c r="AB646" s="4"/>
      <c r="AC646" s="4">
        <v>1</v>
      </c>
      <c r="AD646" s="208" t="s">
        <v>2827</v>
      </c>
      <c r="AE646" s="4"/>
    </row>
    <row r="647" spans="1:31" x14ac:dyDescent="0.2">
      <c r="A647" s="201"/>
      <c r="B647" s="4" t="s">
        <v>3170</v>
      </c>
      <c r="C647" s="4">
        <v>643</v>
      </c>
      <c r="D647" s="4" t="s">
        <v>2790</v>
      </c>
      <c r="E647" s="4" t="s">
        <v>2790</v>
      </c>
      <c r="F647" s="4" t="s">
        <v>2738</v>
      </c>
      <c r="G647" s="4" t="s">
        <v>2718</v>
      </c>
      <c r="H647" s="4" t="s">
        <v>41</v>
      </c>
      <c r="I647" s="4" t="s">
        <v>85</v>
      </c>
      <c r="J647" s="4">
        <v>30643</v>
      </c>
      <c r="K647" s="202" t="s">
        <v>1935</v>
      </c>
      <c r="L647" s="4">
        <v>41</v>
      </c>
      <c r="M647" s="4">
        <v>2</v>
      </c>
      <c r="N647" s="4" t="str">
        <f>_xlfn.CONCAT("DBX",((L647-1)*2),".2")</f>
        <v>DBX80.2</v>
      </c>
      <c r="O647" s="4" t="s">
        <v>781</v>
      </c>
      <c r="P647" s="4" t="s">
        <v>11</v>
      </c>
      <c r="Q647" s="4" t="s">
        <v>12</v>
      </c>
      <c r="R647" s="4"/>
      <c r="S647" s="4">
        <v>3922</v>
      </c>
      <c r="T647" s="4" t="s">
        <v>2551</v>
      </c>
      <c r="U647" s="4"/>
      <c r="V647" s="4" t="s">
        <v>3060</v>
      </c>
      <c r="W647" s="4" t="s">
        <v>129</v>
      </c>
      <c r="X647" s="4">
        <f t="shared" si="10"/>
        <v>13</v>
      </c>
      <c r="Y647" s="4"/>
      <c r="Z647" s="4"/>
      <c r="AA647" s="4"/>
      <c r="AB647" s="4"/>
      <c r="AC647" s="4">
        <v>1</v>
      </c>
      <c r="AD647" s="4" t="s">
        <v>2813</v>
      </c>
      <c r="AE647" s="4"/>
    </row>
    <row r="648" spans="1:31" ht="33.75" x14ac:dyDescent="0.2">
      <c r="A648" s="201"/>
      <c r="B648" s="4" t="s">
        <v>3170</v>
      </c>
      <c r="C648" s="4">
        <v>644</v>
      </c>
      <c r="D648" s="4" t="s">
        <v>2791</v>
      </c>
      <c r="E648" s="4" t="s">
        <v>2791</v>
      </c>
      <c r="F648" s="4" t="s">
        <v>2739</v>
      </c>
      <c r="G648" s="4" t="s">
        <v>2718</v>
      </c>
      <c r="H648" s="4" t="s">
        <v>41</v>
      </c>
      <c r="I648" s="4" t="s">
        <v>85</v>
      </c>
      <c r="J648" s="4">
        <v>30644</v>
      </c>
      <c r="K648" s="202" t="s">
        <v>1935</v>
      </c>
      <c r="L648" s="4">
        <v>41</v>
      </c>
      <c r="M648" s="4">
        <v>3</v>
      </c>
      <c r="N648" s="4" t="str">
        <f>_xlfn.CONCAT("DBX",((L648-1)*2),".3")</f>
        <v>DBX80.3</v>
      </c>
      <c r="O648" s="4" t="s">
        <v>781</v>
      </c>
      <c r="P648" s="4" t="s">
        <v>2719</v>
      </c>
      <c r="Q648" s="4" t="s">
        <v>93</v>
      </c>
      <c r="R648" s="4"/>
      <c r="S648" s="4">
        <v>3922</v>
      </c>
      <c r="T648" s="4" t="s">
        <v>2551</v>
      </c>
      <c r="U648" s="4"/>
      <c r="V648" s="4" t="s">
        <v>3060</v>
      </c>
      <c r="W648" s="4" t="s">
        <v>122</v>
      </c>
      <c r="X648" s="4">
        <f t="shared" si="10"/>
        <v>6</v>
      </c>
      <c r="Y648" s="4"/>
      <c r="Z648" s="4"/>
      <c r="AA648" s="4"/>
      <c r="AB648" s="4"/>
      <c r="AC648" s="4">
        <v>1</v>
      </c>
      <c r="AD648" s="208" t="s">
        <v>2828</v>
      </c>
      <c r="AE648" s="4"/>
    </row>
    <row r="649" spans="1:31" ht="33.75" x14ac:dyDescent="0.2">
      <c r="A649" s="201"/>
      <c r="B649" s="4" t="s">
        <v>3170</v>
      </c>
      <c r="C649" s="4">
        <v>645</v>
      </c>
      <c r="D649" s="4" t="s">
        <v>2792</v>
      </c>
      <c r="E649" s="4" t="s">
        <v>2792</v>
      </c>
      <c r="F649" s="4" t="s">
        <v>2740</v>
      </c>
      <c r="G649" s="4" t="s">
        <v>2718</v>
      </c>
      <c r="H649" s="4" t="s">
        <v>41</v>
      </c>
      <c r="I649" s="4" t="s">
        <v>85</v>
      </c>
      <c r="J649" s="4">
        <v>30645</v>
      </c>
      <c r="K649" s="202" t="s">
        <v>1935</v>
      </c>
      <c r="L649" s="4">
        <v>41</v>
      </c>
      <c r="M649" s="4">
        <v>4</v>
      </c>
      <c r="N649" s="4" t="str">
        <f>_xlfn.CONCAT("DBX",((L649-1)*2),".4")</f>
        <v>DBX80.4</v>
      </c>
      <c r="O649" s="4" t="s">
        <v>781</v>
      </c>
      <c r="P649" s="4" t="s">
        <v>2719</v>
      </c>
      <c r="Q649" s="4" t="s">
        <v>93</v>
      </c>
      <c r="R649" s="4"/>
      <c r="S649" s="4">
        <v>3922</v>
      </c>
      <c r="T649" s="4" t="s">
        <v>2551</v>
      </c>
      <c r="U649" s="4"/>
      <c r="V649" s="4" t="s">
        <v>3060</v>
      </c>
      <c r="W649" s="4" t="s">
        <v>122</v>
      </c>
      <c r="X649" s="4">
        <f t="shared" si="10"/>
        <v>6</v>
      </c>
      <c r="Y649" s="4"/>
      <c r="Z649" s="4"/>
      <c r="AA649" s="4"/>
      <c r="AB649" s="4"/>
      <c r="AC649" s="4">
        <v>1</v>
      </c>
      <c r="AD649" s="208" t="s">
        <v>2829</v>
      </c>
      <c r="AE649" s="4"/>
    </row>
    <row r="650" spans="1:31" ht="33.75" x14ac:dyDescent="0.2">
      <c r="A650" s="201"/>
      <c r="B650" s="4" t="s">
        <v>3170</v>
      </c>
      <c r="C650" s="4">
        <v>646</v>
      </c>
      <c r="D650" s="210" t="s">
        <v>2793</v>
      </c>
      <c r="E650" s="210" t="s">
        <v>2793</v>
      </c>
      <c r="F650" s="4" t="s">
        <v>2741</v>
      </c>
      <c r="G650" s="4" t="s">
        <v>2718</v>
      </c>
      <c r="H650" s="4" t="s">
        <v>41</v>
      </c>
      <c r="I650" s="4" t="s">
        <v>85</v>
      </c>
      <c r="J650" s="4">
        <v>30646</v>
      </c>
      <c r="K650" s="202" t="s">
        <v>1935</v>
      </c>
      <c r="L650" s="4">
        <v>41</v>
      </c>
      <c r="M650" s="4">
        <v>5</v>
      </c>
      <c r="N650" s="4" t="str">
        <f>_xlfn.CONCAT("DBX",((L650-1)*2),".5")</f>
        <v>DBX80.5</v>
      </c>
      <c r="O650" s="4" t="s">
        <v>781</v>
      </c>
      <c r="P650" s="4" t="s">
        <v>2723</v>
      </c>
      <c r="Q650" s="4" t="s">
        <v>93</v>
      </c>
      <c r="R650" s="4"/>
      <c r="S650" s="4">
        <v>3922</v>
      </c>
      <c r="T650" s="4" t="s">
        <v>2551</v>
      </c>
      <c r="U650" s="4"/>
      <c r="V650" s="4" t="s">
        <v>3060</v>
      </c>
      <c r="W650" s="4" t="s">
        <v>122</v>
      </c>
      <c r="X650" s="4">
        <f t="shared" si="10"/>
        <v>6</v>
      </c>
      <c r="Y650" s="4"/>
      <c r="Z650" s="4"/>
      <c r="AA650" s="4"/>
      <c r="AB650" s="4"/>
      <c r="AC650" s="4">
        <v>1</v>
      </c>
      <c r="AD650" s="208" t="s">
        <v>2830</v>
      </c>
      <c r="AE650" s="4"/>
    </row>
    <row r="651" spans="1:31" ht="33.75" x14ac:dyDescent="0.2">
      <c r="A651" s="201"/>
      <c r="B651" s="4" t="s">
        <v>3170</v>
      </c>
      <c r="C651" s="4">
        <v>647</v>
      </c>
      <c r="D651" s="210" t="s">
        <v>2794</v>
      </c>
      <c r="E651" s="210" t="s">
        <v>2794</v>
      </c>
      <c r="F651" s="4" t="s">
        <v>2742</v>
      </c>
      <c r="G651" s="4" t="s">
        <v>2718</v>
      </c>
      <c r="H651" s="4" t="s">
        <v>41</v>
      </c>
      <c r="I651" s="4" t="s">
        <v>85</v>
      </c>
      <c r="J651" s="4">
        <v>30647</v>
      </c>
      <c r="K651" s="202" t="s">
        <v>1935</v>
      </c>
      <c r="L651" s="4">
        <v>41</v>
      </c>
      <c r="M651" s="4">
        <v>6</v>
      </c>
      <c r="N651" s="4" t="str">
        <f>_xlfn.CONCAT("DBX",((L651-1)*2),".6")</f>
        <v>DBX80.6</v>
      </c>
      <c r="O651" s="4" t="s">
        <v>781</v>
      </c>
      <c r="P651" s="4" t="s">
        <v>2723</v>
      </c>
      <c r="Q651" s="4" t="s">
        <v>93</v>
      </c>
      <c r="R651" s="4"/>
      <c r="S651" s="4">
        <v>3922</v>
      </c>
      <c r="T651" s="4" t="s">
        <v>2551</v>
      </c>
      <c r="U651" s="4"/>
      <c r="V651" s="4" t="s">
        <v>3060</v>
      </c>
      <c r="W651" s="4" t="s">
        <v>122</v>
      </c>
      <c r="X651" s="4">
        <f t="shared" si="10"/>
        <v>6</v>
      </c>
      <c r="Y651" s="4"/>
      <c r="Z651" s="4"/>
      <c r="AA651" s="4"/>
      <c r="AB651" s="4"/>
      <c r="AC651" s="4">
        <v>1</v>
      </c>
      <c r="AD651" s="208" t="s">
        <v>2831</v>
      </c>
      <c r="AE651" s="4"/>
    </row>
    <row r="652" spans="1:31" ht="33.75" x14ac:dyDescent="0.2">
      <c r="A652" s="201"/>
      <c r="B652" s="4" t="s">
        <v>3170</v>
      </c>
      <c r="C652" s="4">
        <v>648</v>
      </c>
      <c r="D652" s="210" t="s">
        <v>2795</v>
      </c>
      <c r="E652" s="210" t="s">
        <v>2795</v>
      </c>
      <c r="F652" s="212" t="s">
        <v>2743</v>
      </c>
      <c r="G652" s="4" t="s">
        <v>2718</v>
      </c>
      <c r="H652" s="4" t="s">
        <v>41</v>
      </c>
      <c r="I652" s="4" t="s">
        <v>85</v>
      </c>
      <c r="J652" s="4">
        <v>30648</v>
      </c>
      <c r="K652" s="202" t="s">
        <v>1935</v>
      </c>
      <c r="L652" s="4">
        <v>41</v>
      </c>
      <c r="M652" s="4">
        <v>7</v>
      </c>
      <c r="N652" s="4" t="str">
        <f>_xlfn.CONCAT("DBX",((L652-1)*2),".7")</f>
        <v>DBX80.7</v>
      </c>
      <c r="O652" s="4" t="s">
        <v>781</v>
      </c>
      <c r="P652" s="4" t="s">
        <v>2723</v>
      </c>
      <c r="Q652" s="4" t="s">
        <v>93</v>
      </c>
      <c r="R652" s="4"/>
      <c r="S652" s="4">
        <v>3922</v>
      </c>
      <c r="T652" s="4" t="s">
        <v>2551</v>
      </c>
      <c r="U652" s="4"/>
      <c r="V652" s="4" t="s">
        <v>3060</v>
      </c>
      <c r="W652" s="4" t="s">
        <v>122</v>
      </c>
      <c r="X652" s="4">
        <f t="shared" si="10"/>
        <v>6</v>
      </c>
      <c r="Y652" s="4"/>
      <c r="Z652" s="4"/>
      <c r="AA652" s="4"/>
      <c r="AB652" s="4"/>
      <c r="AC652" s="4">
        <v>1</v>
      </c>
      <c r="AD652" s="208" t="s">
        <v>2832</v>
      </c>
      <c r="AE652" s="4"/>
    </row>
    <row r="653" spans="1:31" ht="33.75" x14ac:dyDescent="0.2">
      <c r="A653" s="201"/>
      <c r="B653" s="4" t="s">
        <v>3170</v>
      </c>
      <c r="C653" s="4">
        <v>649</v>
      </c>
      <c r="D653" s="210" t="s">
        <v>2796</v>
      </c>
      <c r="E653" s="210" t="s">
        <v>2796</v>
      </c>
      <c r="F653" s="212" t="s">
        <v>2744</v>
      </c>
      <c r="G653" s="4" t="s">
        <v>2718</v>
      </c>
      <c r="H653" s="4" t="s">
        <v>41</v>
      </c>
      <c r="I653" s="4" t="s">
        <v>85</v>
      </c>
      <c r="J653" s="4">
        <v>30649</v>
      </c>
      <c r="K653" s="202" t="s">
        <v>1935</v>
      </c>
      <c r="L653" s="4">
        <v>41</v>
      </c>
      <c r="M653" s="4">
        <v>8</v>
      </c>
      <c r="N653" s="4" t="str">
        <f>_xlfn.CONCAT("DBX",((L653-1)*2)+1,".0")</f>
        <v>DBX81.0</v>
      </c>
      <c r="O653" s="4" t="s">
        <v>781</v>
      </c>
      <c r="P653" s="4" t="s">
        <v>2723</v>
      </c>
      <c r="Q653" s="4" t="s">
        <v>93</v>
      </c>
      <c r="R653" s="4"/>
      <c r="S653" s="4">
        <v>3922</v>
      </c>
      <c r="T653" s="4" t="s">
        <v>2551</v>
      </c>
      <c r="U653" s="4"/>
      <c r="V653" s="4" t="s">
        <v>3060</v>
      </c>
      <c r="W653" s="4" t="s">
        <v>122</v>
      </c>
      <c r="X653" s="4">
        <f t="shared" si="10"/>
        <v>6</v>
      </c>
      <c r="Y653" s="4"/>
      <c r="Z653" s="4"/>
      <c r="AA653" s="4"/>
      <c r="AB653" s="4"/>
      <c r="AC653" s="4">
        <v>1</v>
      </c>
      <c r="AD653" s="208" t="s">
        <v>2833</v>
      </c>
      <c r="AE653" s="4"/>
    </row>
    <row r="654" spans="1:31" ht="33.75" x14ac:dyDescent="0.2">
      <c r="A654" s="201"/>
      <c r="B654" s="4" t="s">
        <v>3170</v>
      </c>
      <c r="C654" s="4">
        <v>650</v>
      </c>
      <c r="D654" s="210" t="s">
        <v>2797</v>
      </c>
      <c r="E654" s="210" t="s">
        <v>2797</v>
      </c>
      <c r="F654" s="212" t="s">
        <v>2745</v>
      </c>
      <c r="G654" s="4" t="s">
        <v>2718</v>
      </c>
      <c r="H654" s="4" t="s">
        <v>41</v>
      </c>
      <c r="I654" s="4" t="s">
        <v>85</v>
      </c>
      <c r="J654" s="4">
        <v>30650</v>
      </c>
      <c r="K654" s="202" t="s">
        <v>1935</v>
      </c>
      <c r="L654" s="4">
        <v>41</v>
      </c>
      <c r="M654" s="4">
        <v>9</v>
      </c>
      <c r="N654" s="4" t="str">
        <f>_xlfn.CONCAT("DBX",((L654-1)*2)+1,".1")</f>
        <v>DBX81.1</v>
      </c>
      <c r="O654" s="4" t="s">
        <v>781</v>
      </c>
      <c r="P654" s="4" t="s">
        <v>2719</v>
      </c>
      <c r="Q654" s="4" t="s">
        <v>93</v>
      </c>
      <c r="R654" s="4"/>
      <c r="S654" s="4">
        <v>3922</v>
      </c>
      <c r="T654" s="4" t="s">
        <v>2551</v>
      </c>
      <c r="U654" s="4"/>
      <c r="V654" s="4" t="s">
        <v>3060</v>
      </c>
      <c r="W654" s="4" t="s">
        <v>122</v>
      </c>
      <c r="X654" s="4">
        <f t="shared" si="10"/>
        <v>6</v>
      </c>
      <c r="Y654" s="4"/>
      <c r="Z654" s="4"/>
      <c r="AA654" s="4"/>
      <c r="AB654" s="4"/>
      <c r="AC654" s="4">
        <v>1</v>
      </c>
      <c r="AD654" s="208" t="s">
        <v>2834</v>
      </c>
      <c r="AE654" s="4"/>
    </row>
    <row r="655" spans="1:31" ht="33.75" x14ac:dyDescent="0.2">
      <c r="A655" s="201"/>
      <c r="B655" s="4" t="s">
        <v>3170</v>
      </c>
      <c r="C655" s="4">
        <v>651</v>
      </c>
      <c r="D655" s="210" t="s">
        <v>2798</v>
      </c>
      <c r="E655" s="210" t="s">
        <v>2798</v>
      </c>
      <c r="F655" s="212" t="s">
        <v>2746</v>
      </c>
      <c r="G655" s="4" t="s">
        <v>2718</v>
      </c>
      <c r="H655" s="4" t="s">
        <v>41</v>
      </c>
      <c r="I655" s="4" t="s">
        <v>85</v>
      </c>
      <c r="J655" s="4">
        <v>30651</v>
      </c>
      <c r="K655" s="202" t="s">
        <v>1935</v>
      </c>
      <c r="L655" s="4">
        <v>41</v>
      </c>
      <c r="M655" s="4">
        <v>10</v>
      </c>
      <c r="N655" s="4" t="str">
        <f>_xlfn.CONCAT("DBX",((L655-1)*2)+1,".2")</f>
        <v>DBX81.2</v>
      </c>
      <c r="O655" s="4" t="s">
        <v>781</v>
      </c>
      <c r="P655" s="4" t="s">
        <v>2719</v>
      </c>
      <c r="Q655" s="4" t="s">
        <v>93</v>
      </c>
      <c r="R655" s="4"/>
      <c r="S655" s="4">
        <v>3922</v>
      </c>
      <c r="T655" s="4" t="s">
        <v>2551</v>
      </c>
      <c r="U655" s="4"/>
      <c r="V655" s="4" t="s">
        <v>3163</v>
      </c>
      <c r="W655" s="4" t="s">
        <v>122</v>
      </c>
      <c r="X655" s="4">
        <f t="shared" si="10"/>
        <v>6</v>
      </c>
      <c r="Y655" s="4"/>
      <c r="Z655" s="4"/>
      <c r="AA655" s="4"/>
      <c r="AB655" s="4"/>
      <c r="AC655" s="4">
        <v>1</v>
      </c>
      <c r="AD655" s="208" t="s">
        <v>2835</v>
      </c>
      <c r="AE655" s="4"/>
    </row>
    <row r="656" spans="1:31" x14ac:dyDescent="0.2">
      <c r="A656" s="201"/>
      <c r="B656" s="4" t="s">
        <v>2706</v>
      </c>
      <c r="C656" s="4">
        <v>652</v>
      </c>
      <c r="D656" s="4" t="s">
        <v>2748</v>
      </c>
      <c r="E656" s="4" t="s">
        <v>2748</v>
      </c>
      <c r="F656" s="4" t="s">
        <v>2747</v>
      </c>
      <c r="G656" s="4" t="s">
        <v>2718</v>
      </c>
      <c r="H656" s="4" t="s">
        <v>41</v>
      </c>
      <c r="I656" s="4" t="s">
        <v>85</v>
      </c>
      <c r="J656" s="4">
        <v>30652</v>
      </c>
      <c r="K656" s="202" t="s">
        <v>1936</v>
      </c>
      <c r="L656" s="4">
        <v>41</v>
      </c>
      <c r="M656" s="4">
        <v>11</v>
      </c>
      <c r="N656" s="4" t="str">
        <f>_xlfn.CONCAT("DBX",((L656-1)*2)+1,".3")</f>
        <v>DBX81.3</v>
      </c>
      <c r="O656" s="4" t="s">
        <v>781</v>
      </c>
      <c r="P656" s="4" t="s">
        <v>11</v>
      </c>
      <c r="Q656" s="4" t="s">
        <v>12</v>
      </c>
      <c r="R656" s="4"/>
      <c r="S656" s="4">
        <v>3922</v>
      </c>
      <c r="T656" s="4" t="s">
        <v>2551</v>
      </c>
      <c r="U656" s="4"/>
      <c r="V656" s="4"/>
      <c r="W656" s="211" t="s">
        <v>129</v>
      </c>
      <c r="X656" s="4">
        <f t="shared" si="10"/>
        <v>13</v>
      </c>
      <c r="Y656" s="4"/>
      <c r="Z656" s="4"/>
      <c r="AA656" s="4"/>
      <c r="AB656" s="4"/>
      <c r="AC656" s="4">
        <v>1</v>
      </c>
      <c r="AD656" s="4" t="s">
        <v>2812</v>
      </c>
      <c r="AE656" s="4"/>
    </row>
    <row r="657" spans="1:31" ht="33.75" x14ac:dyDescent="0.2">
      <c r="A657" s="201"/>
      <c r="B657" s="4" t="s">
        <v>3170</v>
      </c>
      <c r="C657" s="4">
        <v>653</v>
      </c>
      <c r="D657" s="4" t="s">
        <v>2749</v>
      </c>
      <c r="E657" s="4" t="s">
        <v>2749</v>
      </c>
      <c r="F657" s="4" t="s">
        <v>2761</v>
      </c>
      <c r="G657" s="4" t="s">
        <v>2718</v>
      </c>
      <c r="H657" s="4" t="s">
        <v>41</v>
      </c>
      <c r="I657" s="4" t="s">
        <v>85</v>
      </c>
      <c r="J657" s="4">
        <v>30653</v>
      </c>
      <c r="K657" s="202" t="s">
        <v>1936</v>
      </c>
      <c r="L657" s="4">
        <v>41</v>
      </c>
      <c r="M657" s="4">
        <v>12</v>
      </c>
      <c r="N657" s="4" t="str">
        <f>_xlfn.CONCAT("DBX",((L657-1)*2)+1,".4")</f>
        <v>DBX81.4</v>
      </c>
      <c r="O657" s="4" t="s">
        <v>781</v>
      </c>
      <c r="P657" s="4" t="s">
        <v>2719</v>
      </c>
      <c r="Q657" s="4" t="s">
        <v>93</v>
      </c>
      <c r="R657" s="4"/>
      <c r="S657" s="4">
        <v>3922</v>
      </c>
      <c r="T657" s="4" t="s">
        <v>2551</v>
      </c>
      <c r="U657" s="4"/>
      <c r="V657" s="4" t="s">
        <v>3061</v>
      </c>
      <c r="W657" s="211" t="s">
        <v>129</v>
      </c>
      <c r="X657" s="4">
        <f t="shared" si="10"/>
        <v>13</v>
      </c>
      <c r="Y657" s="4"/>
      <c r="Z657" s="4"/>
      <c r="AA657" s="4"/>
      <c r="AB657" s="4"/>
      <c r="AC657" s="4">
        <v>1</v>
      </c>
      <c r="AD657" s="208" t="s">
        <v>2836</v>
      </c>
      <c r="AE657" s="4"/>
    </row>
    <row r="658" spans="1:31" ht="33.75" x14ac:dyDescent="0.2">
      <c r="A658" s="201"/>
      <c r="B658" s="4" t="s">
        <v>3170</v>
      </c>
      <c r="C658" s="4">
        <v>654</v>
      </c>
      <c r="D658" s="4" t="s">
        <v>2750</v>
      </c>
      <c r="E658" s="4" t="s">
        <v>2750</v>
      </c>
      <c r="F658" s="4" t="s">
        <v>2762</v>
      </c>
      <c r="G658" s="4" t="s">
        <v>2718</v>
      </c>
      <c r="H658" s="4" t="s">
        <v>41</v>
      </c>
      <c r="I658" s="4" t="s">
        <v>85</v>
      </c>
      <c r="J658" s="4">
        <v>30654</v>
      </c>
      <c r="K658" s="202" t="s">
        <v>1936</v>
      </c>
      <c r="L658" s="4">
        <v>41</v>
      </c>
      <c r="M658" s="4">
        <v>13</v>
      </c>
      <c r="N658" s="4" t="str">
        <f>_xlfn.CONCAT("DBX",((L658-1)*2)+1,".5")</f>
        <v>DBX81.5</v>
      </c>
      <c r="O658" s="4" t="s">
        <v>781</v>
      </c>
      <c r="P658" s="4" t="s">
        <v>2719</v>
      </c>
      <c r="Q658" s="4" t="s">
        <v>93</v>
      </c>
      <c r="R658" s="4"/>
      <c r="S658" s="4">
        <v>3922</v>
      </c>
      <c r="T658" s="4" t="s">
        <v>2551</v>
      </c>
      <c r="U658" s="4"/>
      <c r="V658" s="4" t="s">
        <v>3061</v>
      </c>
      <c r="W658" s="211" t="s">
        <v>129</v>
      </c>
      <c r="X658" s="4">
        <f t="shared" si="10"/>
        <v>13</v>
      </c>
      <c r="Y658" s="4"/>
      <c r="Z658" s="4"/>
      <c r="AA658" s="4"/>
      <c r="AB658" s="4"/>
      <c r="AC658" s="4">
        <v>1</v>
      </c>
      <c r="AD658" s="208" t="s">
        <v>2837</v>
      </c>
      <c r="AE658" s="4"/>
    </row>
    <row r="659" spans="1:31" ht="33.75" x14ac:dyDescent="0.2">
      <c r="A659" s="201"/>
      <c r="B659" s="4" t="s">
        <v>3170</v>
      </c>
      <c r="C659" s="4">
        <v>655</v>
      </c>
      <c r="D659" s="4" t="s">
        <v>2751</v>
      </c>
      <c r="E659" s="4" t="s">
        <v>2751</v>
      </c>
      <c r="F659" s="4" t="s">
        <v>2763</v>
      </c>
      <c r="G659" s="4" t="s">
        <v>2718</v>
      </c>
      <c r="H659" s="4" t="s">
        <v>41</v>
      </c>
      <c r="I659" s="4" t="s">
        <v>85</v>
      </c>
      <c r="J659" s="4">
        <v>30655</v>
      </c>
      <c r="K659" s="202" t="s">
        <v>1936</v>
      </c>
      <c r="L659" s="4">
        <v>41</v>
      </c>
      <c r="M659" s="4">
        <v>14</v>
      </c>
      <c r="N659" s="4" t="str">
        <f>_xlfn.CONCAT("DBX",((L659-1)*2)+1,".6")</f>
        <v>DBX81.6</v>
      </c>
      <c r="O659" s="4" t="s">
        <v>781</v>
      </c>
      <c r="P659" s="4" t="s">
        <v>2719</v>
      </c>
      <c r="Q659" s="4" t="s">
        <v>93</v>
      </c>
      <c r="R659" s="4"/>
      <c r="S659" s="4">
        <v>3922</v>
      </c>
      <c r="T659" s="4" t="s">
        <v>2551</v>
      </c>
      <c r="U659" s="4"/>
      <c r="V659" s="4" t="s">
        <v>3061</v>
      </c>
      <c r="W659" s="211" t="s">
        <v>122</v>
      </c>
      <c r="X659" s="4">
        <f t="shared" si="10"/>
        <v>6</v>
      </c>
      <c r="Y659" s="4"/>
      <c r="Z659" s="4"/>
      <c r="AA659" s="4"/>
      <c r="AB659" s="4"/>
      <c r="AC659" s="4">
        <v>1</v>
      </c>
      <c r="AD659" s="208" t="s">
        <v>2838</v>
      </c>
      <c r="AE659" s="4"/>
    </row>
    <row r="660" spans="1:31" x14ac:dyDescent="0.2">
      <c r="A660" s="201"/>
      <c r="B660" s="4" t="s">
        <v>3170</v>
      </c>
      <c r="C660" s="4">
        <v>656</v>
      </c>
      <c r="D660" s="4" t="s">
        <v>2752</v>
      </c>
      <c r="E660" s="4" t="s">
        <v>2752</v>
      </c>
      <c r="F660" s="4" t="s">
        <v>2764</v>
      </c>
      <c r="G660" s="4" t="s">
        <v>2718</v>
      </c>
      <c r="H660" s="4" t="s">
        <v>41</v>
      </c>
      <c r="I660" s="4" t="s">
        <v>85</v>
      </c>
      <c r="J660" s="4">
        <v>30656</v>
      </c>
      <c r="K660" s="202" t="s">
        <v>1936</v>
      </c>
      <c r="L660" s="4">
        <v>41</v>
      </c>
      <c r="M660" s="4">
        <v>15</v>
      </c>
      <c r="N660" s="4" t="str">
        <f>_xlfn.CONCAT("DBX",((L660-1)*2)+1,".7")</f>
        <v>DBX81.7</v>
      </c>
      <c r="O660" s="4" t="s">
        <v>781</v>
      </c>
      <c r="P660" s="4" t="s">
        <v>11</v>
      </c>
      <c r="Q660" s="4" t="s">
        <v>12</v>
      </c>
      <c r="R660" s="4"/>
      <c r="S660" s="4">
        <v>3922</v>
      </c>
      <c r="T660" s="4" t="s">
        <v>2551</v>
      </c>
      <c r="U660" s="4"/>
      <c r="V660" s="4" t="s">
        <v>3061</v>
      </c>
      <c r="W660" s="4" t="s">
        <v>129</v>
      </c>
      <c r="X660" s="4">
        <f t="shared" si="10"/>
        <v>13</v>
      </c>
      <c r="Y660" s="4"/>
      <c r="Z660" s="4"/>
      <c r="AA660" s="4"/>
      <c r="AB660" s="4"/>
      <c r="AC660" s="4">
        <v>1</v>
      </c>
      <c r="AD660" s="4" t="s">
        <v>2813</v>
      </c>
      <c r="AE660" s="4"/>
    </row>
    <row r="661" spans="1:31" ht="33.75" x14ac:dyDescent="0.2">
      <c r="A661" s="201"/>
      <c r="B661" s="4" t="s">
        <v>3170</v>
      </c>
      <c r="C661" s="4">
        <v>657</v>
      </c>
      <c r="D661" s="4" t="s">
        <v>2753</v>
      </c>
      <c r="E661" s="4" t="s">
        <v>2753</v>
      </c>
      <c r="F661" s="4" t="s">
        <v>2765</v>
      </c>
      <c r="G661" s="4" t="s">
        <v>2718</v>
      </c>
      <c r="H661" s="4" t="s">
        <v>41</v>
      </c>
      <c r="I661" s="4" t="s">
        <v>85</v>
      </c>
      <c r="J661" s="4">
        <v>30657</v>
      </c>
      <c r="K661" s="202" t="s">
        <v>1936</v>
      </c>
      <c r="L661" s="4">
        <v>42</v>
      </c>
      <c r="M661" s="4">
        <v>0</v>
      </c>
      <c r="N661" s="4" t="str">
        <f>_xlfn.CONCAT("DBX",((L661-1)*2),".0")</f>
        <v>DBX82.0</v>
      </c>
      <c r="O661" s="4" t="s">
        <v>781</v>
      </c>
      <c r="P661" s="4" t="s">
        <v>2719</v>
      </c>
      <c r="Q661" s="4" t="s">
        <v>93</v>
      </c>
      <c r="R661" s="4"/>
      <c r="S661" s="4">
        <v>3922</v>
      </c>
      <c r="T661" s="4" t="s">
        <v>2551</v>
      </c>
      <c r="U661" s="4" t="s">
        <v>2853</v>
      </c>
      <c r="V661" s="4" t="s">
        <v>3061</v>
      </c>
      <c r="W661" s="4" t="s">
        <v>122</v>
      </c>
      <c r="X661" s="4">
        <f t="shared" si="10"/>
        <v>6</v>
      </c>
      <c r="Y661" s="4"/>
      <c r="Z661" s="4"/>
      <c r="AA661" s="4"/>
      <c r="AB661" s="4"/>
      <c r="AC661" s="4">
        <v>1</v>
      </c>
      <c r="AD661" s="208" t="s">
        <v>2839</v>
      </c>
      <c r="AE661" s="4"/>
    </row>
    <row r="662" spans="1:31" ht="33.75" x14ac:dyDescent="0.2">
      <c r="A662" s="201"/>
      <c r="B662" s="4" t="s">
        <v>3170</v>
      </c>
      <c r="C662" s="4">
        <v>658</v>
      </c>
      <c r="D662" s="4" t="s">
        <v>2754</v>
      </c>
      <c r="E662" s="4" t="s">
        <v>2754</v>
      </c>
      <c r="F662" s="4" t="s">
        <v>2766</v>
      </c>
      <c r="G662" s="4" t="s">
        <v>2718</v>
      </c>
      <c r="H662" s="4" t="s">
        <v>41</v>
      </c>
      <c r="I662" s="4" t="s">
        <v>85</v>
      </c>
      <c r="J662" s="4">
        <v>30658</v>
      </c>
      <c r="K662" s="202" t="s">
        <v>1936</v>
      </c>
      <c r="L662" s="4">
        <v>42</v>
      </c>
      <c r="M662" s="4">
        <v>1</v>
      </c>
      <c r="N662" s="4" t="str">
        <f>_xlfn.CONCAT("DBX",((L662-1)*2),".1")</f>
        <v>DBX82.1</v>
      </c>
      <c r="O662" s="4" t="s">
        <v>781</v>
      </c>
      <c r="P662" s="4" t="s">
        <v>2719</v>
      </c>
      <c r="Q662" s="4" t="s">
        <v>93</v>
      </c>
      <c r="R662" s="4"/>
      <c r="S662" s="4">
        <v>3922</v>
      </c>
      <c r="T662" s="4" t="s">
        <v>2551</v>
      </c>
      <c r="U662" s="4"/>
      <c r="V662" s="4" t="s">
        <v>3061</v>
      </c>
      <c r="W662" s="4" t="s">
        <v>122</v>
      </c>
      <c r="X662" s="4">
        <f t="shared" si="10"/>
        <v>6</v>
      </c>
      <c r="Y662" s="4"/>
      <c r="Z662" s="4"/>
      <c r="AA662" s="4"/>
      <c r="AB662" s="4"/>
      <c r="AC662" s="4">
        <v>1</v>
      </c>
      <c r="AD662" s="208" t="s">
        <v>2840</v>
      </c>
      <c r="AE662" s="4"/>
    </row>
    <row r="663" spans="1:31" ht="33.75" x14ac:dyDescent="0.2">
      <c r="A663" s="201"/>
      <c r="B663" s="4" t="s">
        <v>3170</v>
      </c>
      <c r="C663" s="4">
        <v>659</v>
      </c>
      <c r="D663" s="210" t="s">
        <v>2755</v>
      </c>
      <c r="E663" s="210" t="s">
        <v>2755</v>
      </c>
      <c r="F663" s="4" t="s">
        <v>2767</v>
      </c>
      <c r="G663" s="4" t="s">
        <v>2718</v>
      </c>
      <c r="H663" s="4" t="s">
        <v>41</v>
      </c>
      <c r="I663" s="4" t="s">
        <v>85</v>
      </c>
      <c r="J663" s="4">
        <v>30659</v>
      </c>
      <c r="K663" s="202" t="s">
        <v>1936</v>
      </c>
      <c r="L663" s="4">
        <v>42</v>
      </c>
      <c r="M663" s="4">
        <v>2</v>
      </c>
      <c r="N663" s="4" t="str">
        <f>_xlfn.CONCAT("DBX",((L663-1)*2),".2")</f>
        <v>DBX82.2</v>
      </c>
      <c r="O663" s="4" t="s">
        <v>781</v>
      </c>
      <c r="P663" s="4" t="s">
        <v>2723</v>
      </c>
      <c r="Q663" s="4" t="s">
        <v>93</v>
      </c>
      <c r="R663" s="4"/>
      <c r="S663" s="4">
        <v>3922</v>
      </c>
      <c r="T663" s="4" t="s">
        <v>2551</v>
      </c>
      <c r="U663" s="4"/>
      <c r="V663" s="4" t="s">
        <v>3061</v>
      </c>
      <c r="W663" s="4" t="s">
        <v>122</v>
      </c>
      <c r="X663" s="4">
        <f t="shared" si="10"/>
        <v>6</v>
      </c>
      <c r="Y663" s="4"/>
      <c r="Z663" s="4"/>
      <c r="AA663" s="4"/>
      <c r="AB663" s="4"/>
      <c r="AC663" s="4">
        <v>1</v>
      </c>
      <c r="AD663" s="208" t="s">
        <v>2841</v>
      </c>
      <c r="AE663" s="4"/>
    </row>
    <row r="664" spans="1:31" ht="33.75" x14ac:dyDescent="0.2">
      <c r="A664" s="201"/>
      <c r="B664" s="4" t="s">
        <v>3170</v>
      </c>
      <c r="C664" s="4">
        <v>660</v>
      </c>
      <c r="D664" s="210" t="s">
        <v>2756</v>
      </c>
      <c r="E664" s="210" t="s">
        <v>2756</v>
      </c>
      <c r="F664" s="4" t="s">
        <v>2768</v>
      </c>
      <c r="G664" s="4" t="s">
        <v>2718</v>
      </c>
      <c r="H664" s="4" t="s">
        <v>41</v>
      </c>
      <c r="I664" s="4" t="s">
        <v>85</v>
      </c>
      <c r="J664" s="4">
        <v>30660</v>
      </c>
      <c r="K664" s="202" t="s">
        <v>1936</v>
      </c>
      <c r="L664" s="4">
        <v>42</v>
      </c>
      <c r="M664" s="4">
        <v>3</v>
      </c>
      <c r="N664" s="4" t="str">
        <f>_xlfn.CONCAT("DBX",((L664-1)*2),".3")</f>
        <v>DBX82.3</v>
      </c>
      <c r="O664" s="4" t="s">
        <v>781</v>
      </c>
      <c r="P664" s="4" t="s">
        <v>2723</v>
      </c>
      <c r="Q664" s="4" t="s">
        <v>93</v>
      </c>
      <c r="R664" s="4"/>
      <c r="S664" s="4">
        <v>3922</v>
      </c>
      <c r="T664" s="4" t="s">
        <v>2551</v>
      </c>
      <c r="U664" s="4"/>
      <c r="V664" s="4" t="s">
        <v>3061</v>
      </c>
      <c r="W664" s="4" t="s">
        <v>122</v>
      </c>
      <c r="X664" s="4">
        <f t="shared" si="10"/>
        <v>6</v>
      </c>
      <c r="Y664" s="4"/>
      <c r="Z664" s="4"/>
      <c r="AA664" s="4"/>
      <c r="AB664" s="4"/>
      <c r="AC664" s="4">
        <v>1</v>
      </c>
      <c r="AD664" s="208" t="s">
        <v>2842</v>
      </c>
      <c r="AE664" s="4"/>
    </row>
    <row r="665" spans="1:31" ht="33.75" x14ac:dyDescent="0.2">
      <c r="A665" s="201"/>
      <c r="B665" s="4" t="s">
        <v>3170</v>
      </c>
      <c r="C665" s="4">
        <v>661</v>
      </c>
      <c r="D665" s="210" t="s">
        <v>2757</v>
      </c>
      <c r="E665" s="210" t="s">
        <v>2757</v>
      </c>
      <c r="F665" s="212" t="s">
        <v>2769</v>
      </c>
      <c r="G665" s="4" t="s">
        <v>2718</v>
      </c>
      <c r="H665" s="4" t="s">
        <v>41</v>
      </c>
      <c r="I665" s="4" t="s">
        <v>85</v>
      </c>
      <c r="J665" s="4">
        <v>30661</v>
      </c>
      <c r="K665" s="202" t="s">
        <v>1936</v>
      </c>
      <c r="L665" s="4">
        <v>42</v>
      </c>
      <c r="M665" s="4">
        <v>4</v>
      </c>
      <c r="N665" s="4" t="str">
        <f>_xlfn.CONCAT("DBX",((L665-1)*2),".4")</f>
        <v>DBX82.4</v>
      </c>
      <c r="O665" s="4" t="s">
        <v>781</v>
      </c>
      <c r="P665" s="4" t="s">
        <v>2723</v>
      </c>
      <c r="Q665" s="4" t="s">
        <v>93</v>
      </c>
      <c r="R665" s="4"/>
      <c r="S665" s="4">
        <v>3922</v>
      </c>
      <c r="T665" s="4" t="s">
        <v>2551</v>
      </c>
      <c r="U665" s="4" t="s">
        <v>2854</v>
      </c>
      <c r="V665" s="4" t="s">
        <v>3061</v>
      </c>
      <c r="W665" s="4" t="s">
        <v>122</v>
      </c>
      <c r="X665" s="4">
        <f t="shared" si="10"/>
        <v>6</v>
      </c>
      <c r="Y665" s="4"/>
      <c r="Z665" s="4"/>
      <c r="AA665" s="4"/>
      <c r="AB665" s="4"/>
      <c r="AC665" s="4">
        <v>1</v>
      </c>
      <c r="AD665" s="208" t="s">
        <v>2843</v>
      </c>
      <c r="AE665" s="4"/>
    </row>
    <row r="666" spans="1:31" ht="33.75" x14ac:dyDescent="0.2">
      <c r="A666" s="201"/>
      <c r="B666" s="4" t="s">
        <v>3170</v>
      </c>
      <c r="C666" s="4">
        <v>662</v>
      </c>
      <c r="D666" s="210" t="s">
        <v>2758</v>
      </c>
      <c r="E666" s="210" t="s">
        <v>2758</v>
      </c>
      <c r="F666" s="212" t="s">
        <v>2770</v>
      </c>
      <c r="G666" s="4" t="s">
        <v>2718</v>
      </c>
      <c r="H666" s="4" t="s">
        <v>41</v>
      </c>
      <c r="I666" s="4" t="s">
        <v>85</v>
      </c>
      <c r="J666" s="4">
        <v>30662</v>
      </c>
      <c r="K666" s="202" t="s">
        <v>1936</v>
      </c>
      <c r="L666" s="4">
        <v>42</v>
      </c>
      <c r="M666" s="4">
        <v>5</v>
      </c>
      <c r="N666" s="4" t="str">
        <f>_xlfn.CONCAT("DBX",((L666-1)*2),".5")</f>
        <v>DBX82.5</v>
      </c>
      <c r="O666" s="4" t="s">
        <v>781</v>
      </c>
      <c r="P666" s="4" t="s">
        <v>2723</v>
      </c>
      <c r="Q666" s="4" t="s">
        <v>93</v>
      </c>
      <c r="R666" s="4"/>
      <c r="S666" s="4">
        <v>3922</v>
      </c>
      <c r="T666" s="4" t="s">
        <v>2551</v>
      </c>
      <c r="U666" s="4" t="s">
        <v>2855</v>
      </c>
      <c r="V666" s="4" t="s">
        <v>3061</v>
      </c>
      <c r="W666" s="4" t="s">
        <v>122</v>
      </c>
      <c r="X666" s="4">
        <f t="shared" si="10"/>
        <v>6</v>
      </c>
      <c r="Y666" s="4"/>
      <c r="Z666" s="4"/>
      <c r="AA666" s="4"/>
      <c r="AB666" s="4"/>
      <c r="AC666" s="4">
        <v>1</v>
      </c>
      <c r="AD666" s="208" t="s">
        <v>2844</v>
      </c>
      <c r="AE666" s="4"/>
    </row>
    <row r="667" spans="1:31" ht="33.75" x14ac:dyDescent="0.2">
      <c r="A667" s="201"/>
      <c r="B667" s="4" t="s">
        <v>3170</v>
      </c>
      <c r="C667" s="4">
        <v>663</v>
      </c>
      <c r="D667" s="210" t="s">
        <v>2759</v>
      </c>
      <c r="E667" s="210" t="s">
        <v>2759</v>
      </c>
      <c r="F667" s="212" t="s">
        <v>2771</v>
      </c>
      <c r="G667" s="4" t="s">
        <v>2718</v>
      </c>
      <c r="H667" s="4" t="s">
        <v>41</v>
      </c>
      <c r="I667" s="4" t="s">
        <v>85</v>
      </c>
      <c r="J667" s="4">
        <v>30663</v>
      </c>
      <c r="K667" s="202" t="s">
        <v>1936</v>
      </c>
      <c r="L667" s="4">
        <v>42</v>
      </c>
      <c r="M667" s="4">
        <v>6</v>
      </c>
      <c r="N667" s="4" t="str">
        <f>_xlfn.CONCAT("DBX",((L667-1)*2),".6")</f>
        <v>DBX82.6</v>
      </c>
      <c r="O667" s="4" t="s">
        <v>781</v>
      </c>
      <c r="P667" s="4" t="s">
        <v>2719</v>
      </c>
      <c r="Q667" s="4" t="s">
        <v>93</v>
      </c>
      <c r="R667" s="4"/>
      <c r="S667" s="4">
        <v>3922</v>
      </c>
      <c r="T667" s="4" t="s">
        <v>2551</v>
      </c>
      <c r="U667" s="4" t="s">
        <v>2853</v>
      </c>
      <c r="V667" s="4" t="s">
        <v>3061</v>
      </c>
      <c r="W667" s="4" t="s">
        <v>122</v>
      </c>
      <c r="X667" s="4">
        <f t="shared" si="10"/>
        <v>6</v>
      </c>
      <c r="Y667" s="4"/>
      <c r="Z667" s="4"/>
      <c r="AA667" s="4"/>
      <c r="AB667" s="4"/>
      <c r="AC667" s="4">
        <v>1</v>
      </c>
      <c r="AD667" s="208" t="s">
        <v>2845</v>
      </c>
      <c r="AE667" s="4"/>
    </row>
    <row r="668" spans="1:31" ht="33.75" x14ac:dyDescent="0.2">
      <c r="A668" s="201"/>
      <c r="B668" s="4" t="s">
        <v>2706</v>
      </c>
      <c r="C668" s="4">
        <v>664</v>
      </c>
      <c r="D668" s="210" t="s">
        <v>2760</v>
      </c>
      <c r="E668" s="210" t="s">
        <v>2760</v>
      </c>
      <c r="F668" s="212" t="s">
        <v>2772</v>
      </c>
      <c r="G668" s="4" t="s">
        <v>2718</v>
      </c>
      <c r="H668" s="4" t="s">
        <v>41</v>
      </c>
      <c r="I668" s="4" t="s">
        <v>85</v>
      </c>
      <c r="J668" s="4">
        <v>30664</v>
      </c>
      <c r="K668" s="202" t="s">
        <v>1936</v>
      </c>
      <c r="L668" s="4">
        <v>42</v>
      </c>
      <c r="M668" s="4">
        <v>7</v>
      </c>
      <c r="N668" s="4" t="str">
        <f>_xlfn.CONCAT("DBX",((L668-1)*2),".7")</f>
        <v>DBX82.7</v>
      </c>
      <c r="O668" s="4" t="s">
        <v>781</v>
      </c>
      <c r="P668" s="4" t="s">
        <v>2719</v>
      </c>
      <c r="Q668" s="4" t="s">
        <v>93</v>
      </c>
      <c r="R668" s="4"/>
      <c r="S668" s="4">
        <v>3922</v>
      </c>
      <c r="T668" s="4" t="s">
        <v>2551</v>
      </c>
      <c r="U668" s="4"/>
      <c r="V668" s="4"/>
      <c r="W668" s="4" t="s">
        <v>122</v>
      </c>
      <c r="X668" s="4">
        <f t="shared" si="10"/>
        <v>6</v>
      </c>
      <c r="Y668" s="4"/>
      <c r="Z668" s="4"/>
      <c r="AA668" s="4"/>
      <c r="AB668" s="4"/>
      <c r="AC668" s="4">
        <v>1</v>
      </c>
      <c r="AD668" s="208" t="s">
        <v>2846</v>
      </c>
      <c r="AE668" s="4"/>
    </row>
    <row r="669" spans="1:31" x14ac:dyDescent="0.2">
      <c r="A669" s="201"/>
      <c r="B669" s="4" t="s">
        <v>34</v>
      </c>
      <c r="C669" s="4">
        <v>665</v>
      </c>
      <c r="D669" s="4"/>
      <c r="E669" s="4"/>
      <c r="F669" s="4"/>
      <c r="G669" s="4"/>
      <c r="H669" s="4"/>
      <c r="I669" s="4"/>
      <c r="J669" s="4">
        <v>30665</v>
      </c>
      <c r="K669" s="202"/>
      <c r="L669" s="4">
        <v>42</v>
      </c>
      <c r="M669" s="4">
        <v>8</v>
      </c>
      <c r="N669" s="4" t="str">
        <f>_xlfn.CONCAT("DBX",((L669-1)*2)+1,".0")</f>
        <v>DBX83.0</v>
      </c>
      <c r="O669" s="4" t="s">
        <v>781</v>
      </c>
      <c r="P669" s="4"/>
      <c r="Q669" s="4"/>
      <c r="R669" s="4"/>
      <c r="S669" s="4"/>
      <c r="T669" s="4"/>
      <c r="U669" s="4"/>
      <c r="V669" s="4"/>
      <c r="W669" s="4"/>
      <c r="X669" s="4" t="e">
        <f t="shared" si="10"/>
        <v>#N/A</v>
      </c>
      <c r="Y669" s="4"/>
      <c r="Z669" s="4"/>
      <c r="AA669" s="4"/>
      <c r="AB669" s="4"/>
      <c r="AC669" s="4"/>
      <c r="AD669" s="4"/>
      <c r="AE669" s="4"/>
    </row>
    <row r="670" spans="1:31" x14ac:dyDescent="0.2">
      <c r="A670" s="201"/>
      <c r="B670" s="4" t="s">
        <v>34</v>
      </c>
      <c r="C670" s="4">
        <v>666</v>
      </c>
      <c r="D670" s="4"/>
      <c r="E670" s="4"/>
      <c r="F670" s="4"/>
      <c r="G670" s="4"/>
      <c r="H670" s="4"/>
      <c r="I670" s="4"/>
      <c r="J670" s="4">
        <v>30666</v>
      </c>
      <c r="K670" s="202"/>
      <c r="L670" s="4">
        <v>42</v>
      </c>
      <c r="M670" s="4">
        <v>9</v>
      </c>
      <c r="N670" s="4" t="str">
        <f>_xlfn.CONCAT("DBX",((L670-1)*2)+1,".1")</f>
        <v>DBX83.1</v>
      </c>
      <c r="O670" s="4" t="s">
        <v>781</v>
      </c>
      <c r="P670" s="4"/>
      <c r="Q670" s="4"/>
      <c r="R670" s="4"/>
      <c r="S670" s="4"/>
      <c r="T670" s="4"/>
      <c r="U670" s="4"/>
      <c r="V670" s="4"/>
      <c r="W670" s="4"/>
      <c r="X670" s="4" t="e">
        <f t="shared" si="10"/>
        <v>#N/A</v>
      </c>
      <c r="Y670" s="4"/>
      <c r="Z670" s="4"/>
      <c r="AA670" s="4"/>
      <c r="AB670" s="4"/>
      <c r="AC670" s="4"/>
      <c r="AD670" s="4"/>
      <c r="AE670" s="4"/>
    </row>
    <row r="671" spans="1:31" ht="45" x14ac:dyDescent="0.2">
      <c r="A671" s="201"/>
      <c r="B671" s="4" t="s">
        <v>3170</v>
      </c>
      <c r="C671" s="4">
        <v>667</v>
      </c>
      <c r="D671" s="4" t="s">
        <v>1937</v>
      </c>
      <c r="E671" s="4" t="s">
        <v>1940</v>
      </c>
      <c r="F671" s="208" t="s">
        <v>2806</v>
      </c>
      <c r="G671" s="4" t="s">
        <v>40</v>
      </c>
      <c r="H671" s="4" t="s">
        <v>41</v>
      </c>
      <c r="I671" s="4" t="s">
        <v>40</v>
      </c>
      <c r="J671" s="4">
        <v>30667</v>
      </c>
      <c r="K671" s="202" t="s">
        <v>11</v>
      </c>
      <c r="L671" s="4">
        <v>42</v>
      </c>
      <c r="M671" s="4">
        <v>10</v>
      </c>
      <c r="N671" s="4" t="str">
        <f>_xlfn.CONCAT("DBX",((L671-1)*2)+1,".2")</f>
        <v>DBX83.2</v>
      </c>
      <c r="O671" s="4" t="s">
        <v>781</v>
      </c>
      <c r="P671" s="4" t="s">
        <v>11</v>
      </c>
      <c r="Q671" s="4" t="s">
        <v>88</v>
      </c>
      <c r="R671" s="4"/>
      <c r="S671" s="4">
        <v>3922</v>
      </c>
      <c r="T671" s="4" t="s">
        <v>2551</v>
      </c>
      <c r="U671" s="4"/>
      <c r="V671" s="4" t="s">
        <v>3062</v>
      </c>
      <c r="W671" s="4" t="s">
        <v>129</v>
      </c>
      <c r="X671" s="4">
        <f t="shared" si="10"/>
        <v>13</v>
      </c>
      <c r="Y671" s="213" t="s">
        <v>2847</v>
      </c>
      <c r="Z671" s="4"/>
      <c r="AA671" s="4"/>
      <c r="AB671" s="4"/>
      <c r="AC671" s="4">
        <v>1</v>
      </c>
      <c r="AD671" s="4"/>
      <c r="AE671" s="4"/>
    </row>
    <row r="672" spans="1:31" ht="56.25" x14ac:dyDescent="0.2">
      <c r="A672" s="201"/>
      <c r="B672" s="4" t="s">
        <v>3170</v>
      </c>
      <c r="C672" s="4">
        <v>668</v>
      </c>
      <c r="D672" s="4" t="s">
        <v>2799</v>
      </c>
      <c r="E672" s="4" t="s">
        <v>2802</v>
      </c>
      <c r="F672" s="208" t="s">
        <v>2807</v>
      </c>
      <c r="G672" s="4" t="s">
        <v>40</v>
      </c>
      <c r="H672" s="4" t="s">
        <v>41</v>
      </c>
      <c r="I672" s="4" t="s">
        <v>40</v>
      </c>
      <c r="J672" s="4">
        <v>30668</v>
      </c>
      <c r="K672" s="202" t="s">
        <v>11</v>
      </c>
      <c r="L672" s="4">
        <v>42</v>
      </c>
      <c r="M672" s="4">
        <v>11</v>
      </c>
      <c r="N672" s="4" t="str">
        <f>_xlfn.CONCAT("DBX",((L672-1)*2)+1,".3")</f>
        <v>DBX83.3</v>
      </c>
      <c r="O672" s="4" t="s">
        <v>781</v>
      </c>
      <c r="P672" s="4" t="s">
        <v>11</v>
      </c>
      <c r="Q672" s="4" t="s">
        <v>88</v>
      </c>
      <c r="R672" s="4"/>
      <c r="S672" s="4">
        <v>3922</v>
      </c>
      <c r="T672" s="4" t="s">
        <v>2551</v>
      </c>
      <c r="U672" s="4"/>
      <c r="V672" s="4" t="s">
        <v>3062</v>
      </c>
      <c r="W672" s="4" t="s">
        <v>129</v>
      </c>
      <c r="X672" s="4">
        <f t="shared" si="10"/>
        <v>13</v>
      </c>
      <c r="Y672" s="213" t="s">
        <v>2848</v>
      </c>
      <c r="Z672" s="4"/>
      <c r="AA672" s="4"/>
      <c r="AB672" s="4"/>
      <c r="AC672" s="4">
        <v>1</v>
      </c>
      <c r="AD672" s="4"/>
      <c r="AE672" s="4"/>
    </row>
    <row r="673" spans="1:31" ht="67.5" x14ac:dyDescent="0.2">
      <c r="A673" s="201"/>
      <c r="B673" s="4" t="s">
        <v>3170</v>
      </c>
      <c r="C673" s="4">
        <v>669</v>
      </c>
      <c r="D673" s="4" t="s">
        <v>2800</v>
      </c>
      <c r="E673" s="4" t="s">
        <v>2803</v>
      </c>
      <c r="F673" s="208" t="s">
        <v>2808</v>
      </c>
      <c r="G673" s="4" t="s">
        <v>40</v>
      </c>
      <c r="H673" s="4" t="s">
        <v>41</v>
      </c>
      <c r="I673" s="4" t="s">
        <v>40</v>
      </c>
      <c r="J673" s="4">
        <v>30669</v>
      </c>
      <c r="K673" s="202" t="s">
        <v>11</v>
      </c>
      <c r="L673" s="4">
        <v>42</v>
      </c>
      <c r="M673" s="4">
        <v>12</v>
      </c>
      <c r="N673" s="4" t="str">
        <f>_xlfn.CONCAT("DBX",((L673-1)*2)+1,".4")</f>
        <v>DBX83.4</v>
      </c>
      <c r="O673" s="4" t="s">
        <v>781</v>
      </c>
      <c r="P673" s="4" t="s">
        <v>11</v>
      </c>
      <c r="Q673" s="4" t="s">
        <v>88</v>
      </c>
      <c r="R673" s="4"/>
      <c r="S673" s="4">
        <v>3922</v>
      </c>
      <c r="T673" s="4" t="s">
        <v>2551</v>
      </c>
      <c r="U673" s="4"/>
      <c r="V673" s="4" t="s">
        <v>3062</v>
      </c>
      <c r="W673" s="4" t="s">
        <v>129</v>
      </c>
      <c r="X673" s="4">
        <f t="shared" si="10"/>
        <v>13</v>
      </c>
      <c r="Y673" s="213" t="s">
        <v>2849</v>
      </c>
      <c r="Z673" s="4"/>
      <c r="AA673" s="4"/>
      <c r="AB673" s="4"/>
      <c r="AC673" s="4">
        <v>1</v>
      </c>
      <c r="AD673" s="4"/>
      <c r="AE673" s="4"/>
    </row>
    <row r="674" spans="1:31" ht="45" x14ac:dyDescent="0.2">
      <c r="A674" s="201"/>
      <c r="B674" s="4" t="s">
        <v>3170</v>
      </c>
      <c r="C674" s="4">
        <v>670</v>
      </c>
      <c r="D674" s="4" t="s">
        <v>1938</v>
      </c>
      <c r="E674" s="4" t="s">
        <v>2362</v>
      </c>
      <c r="F674" s="208" t="s">
        <v>2809</v>
      </c>
      <c r="G674" s="4" t="s">
        <v>40</v>
      </c>
      <c r="H674" s="4" t="s">
        <v>41</v>
      </c>
      <c r="I674" s="4" t="s">
        <v>40</v>
      </c>
      <c r="J674" s="4">
        <v>30670</v>
      </c>
      <c r="K674" s="202" t="s">
        <v>11</v>
      </c>
      <c r="L674" s="4">
        <v>42</v>
      </c>
      <c r="M674" s="4">
        <v>13</v>
      </c>
      <c r="N674" s="4" t="str">
        <f>_xlfn.CONCAT("DBX",((L674-1)*2)+1,".5")</f>
        <v>DBX83.5</v>
      </c>
      <c r="O674" s="4" t="s">
        <v>781</v>
      </c>
      <c r="P674" s="4" t="s">
        <v>11</v>
      </c>
      <c r="Q674" s="4" t="s">
        <v>88</v>
      </c>
      <c r="R674" s="4"/>
      <c r="S674" s="4">
        <v>3922</v>
      </c>
      <c r="T674" s="4" t="s">
        <v>2551</v>
      </c>
      <c r="U674" s="4"/>
      <c r="V674" s="4" t="s">
        <v>3063</v>
      </c>
      <c r="W674" s="4" t="s">
        <v>129</v>
      </c>
      <c r="X674" s="4">
        <f t="shared" si="10"/>
        <v>13</v>
      </c>
      <c r="Y674" s="213" t="s">
        <v>2850</v>
      </c>
      <c r="Z674" s="4"/>
      <c r="AA674" s="4"/>
      <c r="AB674" s="4"/>
      <c r="AC674" s="4">
        <v>1</v>
      </c>
      <c r="AD674" s="4"/>
      <c r="AE674" s="4"/>
    </row>
    <row r="675" spans="1:31" ht="56.25" x14ac:dyDescent="0.2">
      <c r="A675" s="201"/>
      <c r="B675" s="4" t="s">
        <v>3170</v>
      </c>
      <c r="C675" s="4">
        <v>671</v>
      </c>
      <c r="D675" s="4" t="s">
        <v>1939</v>
      </c>
      <c r="E675" s="4" t="s">
        <v>2804</v>
      </c>
      <c r="F675" s="208" t="s">
        <v>2810</v>
      </c>
      <c r="G675" s="4" t="s">
        <v>40</v>
      </c>
      <c r="H675" s="4" t="s">
        <v>41</v>
      </c>
      <c r="I675" s="4" t="s">
        <v>40</v>
      </c>
      <c r="J675" s="4">
        <v>30671</v>
      </c>
      <c r="K675" s="202" t="s">
        <v>11</v>
      </c>
      <c r="L675" s="4">
        <v>42</v>
      </c>
      <c r="M675" s="4">
        <v>14</v>
      </c>
      <c r="N675" s="4" t="str">
        <f>_xlfn.CONCAT("DBX",((L675-1)*2)+1,".6")</f>
        <v>DBX83.6</v>
      </c>
      <c r="O675" s="4" t="s">
        <v>781</v>
      </c>
      <c r="P675" s="4" t="s">
        <v>11</v>
      </c>
      <c r="Q675" s="4" t="s">
        <v>88</v>
      </c>
      <c r="R675" s="4"/>
      <c r="S675" s="4">
        <v>3922</v>
      </c>
      <c r="T675" s="4" t="s">
        <v>2551</v>
      </c>
      <c r="U675" s="4"/>
      <c r="V675" s="4" t="s">
        <v>3063</v>
      </c>
      <c r="W675" s="4" t="s">
        <v>129</v>
      </c>
      <c r="X675" s="4">
        <f t="shared" si="10"/>
        <v>13</v>
      </c>
      <c r="Y675" s="213" t="s">
        <v>2851</v>
      </c>
      <c r="Z675" s="4"/>
      <c r="AA675" s="4"/>
      <c r="AB675" s="4"/>
      <c r="AC675" s="4">
        <v>1</v>
      </c>
      <c r="AD675" s="4"/>
      <c r="AE675" s="4"/>
    </row>
    <row r="676" spans="1:31" ht="67.5" x14ac:dyDescent="0.2">
      <c r="A676" s="201"/>
      <c r="B676" s="4" t="s">
        <v>3170</v>
      </c>
      <c r="C676" s="4">
        <v>672</v>
      </c>
      <c r="D676" s="4" t="s">
        <v>2801</v>
      </c>
      <c r="E676" s="4" t="s">
        <v>2805</v>
      </c>
      <c r="F676" s="208" t="s">
        <v>2811</v>
      </c>
      <c r="G676" s="4" t="s">
        <v>40</v>
      </c>
      <c r="H676" s="4" t="s">
        <v>41</v>
      </c>
      <c r="I676" s="4" t="s">
        <v>40</v>
      </c>
      <c r="J676" s="4">
        <v>30672</v>
      </c>
      <c r="K676" s="202" t="s">
        <v>11</v>
      </c>
      <c r="L676" s="4">
        <v>42</v>
      </c>
      <c r="M676" s="4">
        <v>15</v>
      </c>
      <c r="N676" s="4" t="str">
        <f>_xlfn.CONCAT("DBX",((L676-1)*2)+1,".7")</f>
        <v>DBX83.7</v>
      </c>
      <c r="O676" s="4" t="s">
        <v>781</v>
      </c>
      <c r="P676" s="4" t="s">
        <v>11</v>
      </c>
      <c r="Q676" s="4" t="s">
        <v>88</v>
      </c>
      <c r="R676" s="4"/>
      <c r="S676" s="4">
        <v>3922</v>
      </c>
      <c r="T676" s="4" t="s">
        <v>2551</v>
      </c>
      <c r="U676" s="4"/>
      <c r="V676" s="4" t="s">
        <v>3063</v>
      </c>
      <c r="W676" s="4" t="s">
        <v>129</v>
      </c>
      <c r="X676" s="4">
        <f t="shared" si="10"/>
        <v>13</v>
      </c>
      <c r="Y676" s="213" t="s">
        <v>2852</v>
      </c>
      <c r="Z676" s="4"/>
      <c r="AA676" s="4"/>
      <c r="AB676" s="4"/>
      <c r="AC676" s="4">
        <v>1</v>
      </c>
      <c r="AD676" s="4"/>
      <c r="AE676" s="4"/>
    </row>
    <row r="677" spans="1:31" ht="33.75" x14ac:dyDescent="0.2">
      <c r="A677" s="201"/>
      <c r="B677" s="4" t="s">
        <v>2706</v>
      </c>
      <c r="C677" s="4">
        <v>673</v>
      </c>
      <c r="D677" s="214" t="s">
        <v>1941</v>
      </c>
      <c r="E677" s="205" t="s">
        <v>1942</v>
      </c>
      <c r="F677" s="205" t="s">
        <v>2323</v>
      </c>
      <c r="G677" s="205" t="s">
        <v>40</v>
      </c>
      <c r="H677" s="205" t="s">
        <v>41</v>
      </c>
      <c r="I677" s="205" t="s">
        <v>40</v>
      </c>
      <c r="J677" s="4">
        <v>30673</v>
      </c>
      <c r="K677" s="206" t="s">
        <v>11</v>
      </c>
      <c r="L677" s="4">
        <v>43</v>
      </c>
      <c r="M677" s="4">
        <v>0</v>
      </c>
      <c r="N677" s="4" t="str">
        <f>_xlfn.CONCAT("DBX",((L677-1)*2),".0")</f>
        <v>DBX84.0</v>
      </c>
      <c r="O677" s="4" t="s">
        <v>781</v>
      </c>
      <c r="P677" s="205" t="s">
        <v>11</v>
      </c>
      <c r="Q677" s="205" t="s">
        <v>33</v>
      </c>
      <c r="R677" s="205"/>
      <c r="S677" s="205">
        <v>3922</v>
      </c>
      <c r="T677" s="205" t="s">
        <v>2551</v>
      </c>
      <c r="U677" s="205"/>
      <c r="V677" s="205"/>
      <c r="W677" s="205" t="s">
        <v>129</v>
      </c>
      <c r="X677" s="205">
        <f t="shared" si="10"/>
        <v>13</v>
      </c>
      <c r="Y677" s="4"/>
      <c r="Z677" s="4"/>
      <c r="AA677" s="4"/>
      <c r="AB677" s="4"/>
      <c r="AC677" s="4">
        <v>0</v>
      </c>
      <c r="AD677" s="4"/>
      <c r="AE677" s="4"/>
    </row>
    <row r="678" spans="1:31" ht="33.75" x14ac:dyDescent="0.2">
      <c r="A678" s="201"/>
      <c r="B678" s="4" t="s">
        <v>2706</v>
      </c>
      <c r="C678" s="4">
        <v>674</v>
      </c>
      <c r="D678" s="214" t="s">
        <v>1938</v>
      </c>
      <c r="E678" s="205" t="s">
        <v>2362</v>
      </c>
      <c r="F678" s="205" t="s">
        <v>2365</v>
      </c>
      <c r="G678" s="205" t="s">
        <v>40</v>
      </c>
      <c r="H678" s="205" t="s">
        <v>41</v>
      </c>
      <c r="I678" s="205" t="s">
        <v>40</v>
      </c>
      <c r="J678" s="4">
        <v>30674</v>
      </c>
      <c r="K678" s="206" t="s">
        <v>11</v>
      </c>
      <c r="L678" s="4">
        <v>43</v>
      </c>
      <c r="M678" s="4">
        <v>1</v>
      </c>
      <c r="N678" s="4" t="str">
        <f>_xlfn.CONCAT("DBX",((L678-1)*2),".1")</f>
        <v>DBX84.1</v>
      </c>
      <c r="O678" s="4" t="s">
        <v>781</v>
      </c>
      <c r="P678" s="205" t="s">
        <v>11</v>
      </c>
      <c r="Q678" s="205" t="s">
        <v>88</v>
      </c>
      <c r="R678" s="205"/>
      <c r="S678" s="205">
        <v>3922</v>
      </c>
      <c r="T678" s="205" t="s">
        <v>2551</v>
      </c>
      <c r="U678" s="205"/>
      <c r="V678" s="205"/>
      <c r="W678" s="205" t="s">
        <v>129</v>
      </c>
      <c r="X678" s="205">
        <f t="shared" si="10"/>
        <v>13</v>
      </c>
      <c r="Y678" s="4"/>
      <c r="Z678" s="4"/>
      <c r="AA678" s="4"/>
      <c r="AB678" s="4"/>
      <c r="AC678" s="4">
        <v>1</v>
      </c>
      <c r="AD678" s="4"/>
      <c r="AE678" s="4"/>
    </row>
    <row r="679" spans="1:31" ht="33.75" x14ac:dyDescent="0.2">
      <c r="A679" s="201"/>
      <c r="B679" s="4" t="s">
        <v>2706</v>
      </c>
      <c r="C679" s="4">
        <v>675</v>
      </c>
      <c r="D679" s="214" t="s">
        <v>1939</v>
      </c>
      <c r="E679" s="205" t="s">
        <v>2363</v>
      </c>
      <c r="F679" s="205" t="s">
        <v>2364</v>
      </c>
      <c r="G679" s="205" t="s">
        <v>40</v>
      </c>
      <c r="H679" s="205" t="s">
        <v>41</v>
      </c>
      <c r="I679" s="205" t="s">
        <v>40</v>
      </c>
      <c r="J679" s="4">
        <v>30675</v>
      </c>
      <c r="K679" s="206" t="s">
        <v>11</v>
      </c>
      <c r="L679" s="4">
        <v>43</v>
      </c>
      <c r="M679" s="4">
        <v>2</v>
      </c>
      <c r="N679" s="4" t="str">
        <f>_xlfn.CONCAT("DBX",((L679-1)*2),".2")</f>
        <v>DBX84.2</v>
      </c>
      <c r="O679" s="4" t="s">
        <v>781</v>
      </c>
      <c r="P679" s="205" t="s">
        <v>11</v>
      </c>
      <c r="Q679" s="205" t="s">
        <v>88</v>
      </c>
      <c r="R679" s="205"/>
      <c r="S679" s="205">
        <v>3922</v>
      </c>
      <c r="T679" s="205" t="s">
        <v>2551</v>
      </c>
      <c r="U679" s="205"/>
      <c r="V679" s="205"/>
      <c r="W679" s="205" t="s">
        <v>129</v>
      </c>
      <c r="X679" s="205">
        <f t="shared" si="10"/>
        <v>13</v>
      </c>
      <c r="Y679" s="4"/>
      <c r="Z679" s="4"/>
      <c r="AA679" s="4"/>
      <c r="AB679" s="4"/>
      <c r="AC679" s="4">
        <v>1</v>
      </c>
      <c r="AD679" s="4"/>
      <c r="AE679" s="4"/>
    </row>
    <row r="680" spans="1:31" ht="33.75" x14ac:dyDescent="0.2">
      <c r="A680" s="201"/>
      <c r="B680" s="4" t="s">
        <v>2706</v>
      </c>
      <c r="C680" s="4">
        <v>676</v>
      </c>
      <c r="D680" s="214" t="s">
        <v>2622</v>
      </c>
      <c r="E680" s="205" t="s">
        <v>2494</v>
      </c>
      <c r="F680" s="205" t="s">
        <v>2504</v>
      </c>
      <c r="G680" s="205" t="s">
        <v>40</v>
      </c>
      <c r="H680" s="205" t="s">
        <v>41</v>
      </c>
      <c r="I680" s="205" t="s">
        <v>40</v>
      </c>
      <c r="J680" s="4">
        <v>30676</v>
      </c>
      <c r="K680" s="206" t="s">
        <v>11</v>
      </c>
      <c r="L680" s="4">
        <v>43</v>
      </c>
      <c r="M680" s="4">
        <v>3</v>
      </c>
      <c r="N680" s="4" t="str">
        <f>_xlfn.CONCAT("DBX",((L680-1)*2),".3")</f>
        <v>DBX84.3</v>
      </c>
      <c r="O680" s="4" t="s">
        <v>781</v>
      </c>
      <c r="P680" s="205" t="s">
        <v>11</v>
      </c>
      <c r="Q680" s="205" t="s">
        <v>88</v>
      </c>
      <c r="R680" s="205"/>
      <c r="S680" s="205">
        <v>3922</v>
      </c>
      <c r="T680" s="205" t="s">
        <v>2551</v>
      </c>
      <c r="U680" s="205"/>
      <c r="V680" s="205"/>
      <c r="W680" s="205" t="s">
        <v>129</v>
      </c>
      <c r="X680" s="205">
        <f t="shared" si="10"/>
        <v>13</v>
      </c>
      <c r="Y680" s="4"/>
      <c r="Z680" s="4"/>
      <c r="AA680" s="4"/>
      <c r="AB680" s="4"/>
      <c r="AC680" s="4">
        <v>1</v>
      </c>
      <c r="AD680" s="4"/>
      <c r="AE680" s="4"/>
    </row>
    <row r="681" spans="1:31" ht="33.75" x14ac:dyDescent="0.2">
      <c r="A681" s="201"/>
      <c r="B681" s="4" t="s">
        <v>2706</v>
      </c>
      <c r="C681" s="4">
        <v>677</v>
      </c>
      <c r="D681" s="214" t="s">
        <v>2623</v>
      </c>
      <c r="E681" s="205" t="s">
        <v>2495</v>
      </c>
      <c r="F681" s="205" t="s">
        <v>2505</v>
      </c>
      <c r="G681" s="205" t="s">
        <v>40</v>
      </c>
      <c r="H681" s="205" t="s">
        <v>41</v>
      </c>
      <c r="I681" s="205" t="s">
        <v>40</v>
      </c>
      <c r="J681" s="4">
        <v>30677</v>
      </c>
      <c r="K681" s="206" t="s">
        <v>11</v>
      </c>
      <c r="L681" s="4">
        <v>43</v>
      </c>
      <c r="M681" s="4">
        <v>4</v>
      </c>
      <c r="N681" s="4" t="str">
        <f>_xlfn.CONCAT("DBX",((L681-1)*2),".4")</f>
        <v>DBX84.4</v>
      </c>
      <c r="O681" s="4" t="s">
        <v>781</v>
      </c>
      <c r="P681" s="205" t="s">
        <v>11</v>
      </c>
      <c r="Q681" s="205" t="s">
        <v>88</v>
      </c>
      <c r="R681" s="205"/>
      <c r="S681" s="205">
        <v>3922</v>
      </c>
      <c r="T681" s="205" t="s">
        <v>2551</v>
      </c>
      <c r="U681" s="205"/>
      <c r="V681" s="205"/>
      <c r="W681" s="205" t="s">
        <v>129</v>
      </c>
      <c r="X681" s="205">
        <f t="shared" si="10"/>
        <v>13</v>
      </c>
      <c r="Y681" s="4"/>
      <c r="Z681" s="4"/>
      <c r="AA681" s="4"/>
      <c r="AB681" s="4"/>
      <c r="AC681" s="4">
        <v>1</v>
      </c>
      <c r="AD681" s="4"/>
      <c r="AE681" s="4"/>
    </row>
    <row r="682" spans="1:31" ht="33.75" x14ac:dyDescent="0.2">
      <c r="A682" s="201"/>
      <c r="B682" s="4" t="s">
        <v>2706</v>
      </c>
      <c r="C682" s="4">
        <v>678</v>
      </c>
      <c r="D682" s="214" t="s">
        <v>2624</v>
      </c>
      <c r="E682" s="205" t="s">
        <v>2496</v>
      </c>
      <c r="F682" s="205" t="s">
        <v>2506</v>
      </c>
      <c r="G682" s="205" t="s">
        <v>40</v>
      </c>
      <c r="H682" s="205" t="s">
        <v>41</v>
      </c>
      <c r="I682" s="205" t="s">
        <v>40</v>
      </c>
      <c r="J682" s="4">
        <v>30678</v>
      </c>
      <c r="K682" s="206" t="s">
        <v>11</v>
      </c>
      <c r="L682" s="4">
        <v>43</v>
      </c>
      <c r="M682" s="4">
        <v>5</v>
      </c>
      <c r="N682" s="4" t="str">
        <f>_xlfn.CONCAT("DBX",((L682-1)*2),".5")</f>
        <v>DBX84.5</v>
      </c>
      <c r="O682" s="4" t="s">
        <v>781</v>
      </c>
      <c r="P682" s="205" t="s">
        <v>11</v>
      </c>
      <c r="Q682" s="205" t="s">
        <v>88</v>
      </c>
      <c r="R682" s="205"/>
      <c r="S682" s="205">
        <v>3922</v>
      </c>
      <c r="T682" s="205" t="s">
        <v>2551</v>
      </c>
      <c r="U682" s="205"/>
      <c r="V682" s="205"/>
      <c r="W682" s="205" t="s">
        <v>129</v>
      </c>
      <c r="X682" s="205">
        <f t="shared" si="10"/>
        <v>13</v>
      </c>
      <c r="Y682" s="4"/>
      <c r="Z682" s="4"/>
      <c r="AA682" s="4"/>
      <c r="AB682" s="4"/>
      <c r="AC682" s="4">
        <v>1</v>
      </c>
      <c r="AD682" s="4"/>
      <c r="AE682" s="4"/>
    </row>
    <row r="683" spans="1:31" ht="33.75" x14ac:dyDescent="0.2">
      <c r="A683" s="201"/>
      <c r="B683" s="4" t="s">
        <v>2706</v>
      </c>
      <c r="C683" s="4">
        <v>679</v>
      </c>
      <c r="D683" s="214" t="s">
        <v>2625</v>
      </c>
      <c r="E683" s="205" t="s">
        <v>2497</v>
      </c>
      <c r="F683" s="205" t="s">
        <v>2507</v>
      </c>
      <c r="G683" s="205" t="s">
        <v>40</v>
      </c>
      <c r="H683" s="205" t="s">
        <v>41</v>
      </c>
      <c r="I683" s="205" t="s">
        <v>40</v>
      </c>
      <c r="J683" s="4">
        <v>30679</v>
      </c>
      <c r="K683" s="206" t="s">
        <v>11</v>
      </c>
      <c r="L683" s="4">
        <v>43</v>
      </c>
      <c r="M683" s="4">
        <v>6</v>
      </c>
      <c r="N683" s="4" t="str">
        <f>_xlfn.CONCAT("DBX",((L683-1)*2),".6")</f>
        <v>DBX84.6</v>
      </c>
      <c r="O683" s="4" t="s">
        <v>781</v>
      </c>
      <c r="P683" s="205" t="s">
        <v>11</v>
      </c>
      <c r="Q683" s="205" t="s">
        <v>88</v>
      </c>
      <c r="R683" s="205"/>
      <c r="S683" s="205">
        <v>3922</v>
      </c>
      <c r="T683" s="205" t="s">
        <v>2551</v>
      </c>
      <c r="U683" s="205"/>
      <c r="V683" s="205"/>
      <c r="W683" s="205" t="s">
        <v>129</v>
      </c>
      <c r="X683" s="205">
        <f t="shared" si="10"/>
        <v>13</v>
      </c>
      <c r="Y683" s="4"/>
      <c r="Z683" s="4"/>
      <c r="AA683" s="4"/>
      <c r="AB683" s="4"/>
      <c r="AC683" s="4">
        <v>1</v>
      </c>
      <c r="AD683" s="4"/>
      <c r="AE683" s="4"/>
    </row>
    <row r="684" spans="1:31" s="244" customFormat="1" ht="67.5" x14ac:dyDescent="0.2">
      <c r="A684" s="250"/>
      <c r="B684" s="266" t="s">
        <v>3349</v>
      </c>
      <c r="C684" s="262">
        <v>680</v>
      </c>
      <c r="D684" s="263" t="s">
        <v>2694</v>
      </c>
      <c r="E684" s="264" t="s">
        <v>3359</v>
      </c>
      <c r="F684" s="265" t="s">
        <v>2703</v>
      </c>
      <c r="G684" s="242" t="s">
        <v>72</v>
      </c>
      <c r="H684" s="242" t="s">
        <v>41</v>
      </c>
      <c r="I684" s="242" t="s">
        <v>84</v>
      </c>
      <c r="J684" s="242">
        <v>30680</v>
      </c>
      <c r="K684" s="247" t="s">
        <v>11</v>
      </c>
      <c r="L684" s="242">
        <v>43</v>
      </c>
      <c r="M684" s="242">
        <v>7</v>
      </c>
      <c r="N684" s="242" t="str">
        <f>_xlfn.CONCAT("DBX",((L684-1)*2),".7")</f>
        <v>DBX84.7</v>
      </c>
      <c r="O684" s="242" t="s">
        <v>781</v>
      </c>
      <c r="P684" s="242" t="s">
        <v>11</v>
      </c>
      <c r="Q684" s="242" t="s">
        <v>88</v>
      </c>
      <c r="R684" s="242"/>
      <c r="S684" s="242">
        <v>3922</v>
      </c>
      <c r="T684" s="242" t="s">
        <v>2551</v>
      </c>
      <c r="U684" s="242"/>
      <c r="V684" s="242"/>
      <c r="W684" s="242" t="s">
        <v>129</v>
      </c>
      <c r="X684" s="242">
        <f t="shared" si="10"/>
        <v>13</v>
      </c>
      <c r="Y684" s="246" t="s">
        <v>3360</v>
      </c>
      <c r="Z684" s="242"/>
      <c r="AA684" s="242"/>
      <c r="AB684" s="242"/>
      <c r="AC684" s="266">
        <v>0</v>
      </c>
      <c r="AD684" s="242"/>
      <c r="AE684" s="242"/>
    </row>
    <row r="685" spans="1:31" x14ac:dyDescent="0.2">
      <c r="A685" s="201"/>
      <c r="B685" s="4" t="s">
        <v>33</v>
      </c>
      <c r="C685" s="4">
        <v>681</v>
      </c>
      <c r="D685" s="4" t="s">
        <v>2439</v>
      </c>
      <c r="E685" s="4" t="s">
        <v>2440</v>
      </c>
      <c r="F685" s="4" t="s">
        <v>2441</v>
      </c>
      <c r="G685" s="4" t="s">
        <v>40</v>
      </c>
      <c r="H685" s="4" t="s">
        <v>41</v>
      </c>
      <c r="I685" s="4" t="s">
        <v>40</v>
      </c>
      <c r="J685" s="4">
        <v>30681</v>
      </c>
      <c r="K685" s="202" t="s">
        <v>11</v>
      </c>
      <c r="L685" s="4">
        <v>43</v>
      </c>
      <c r="M685" s="4">
        <v>8</v>
      </c>
      <c r="N685" s="4" t="str">
        <f>_xlfn.CONCAT("DBX",((L685-1)*2)+1,".0")</f>
        <v>DBX85.0</v>
      </c>
      <c r="O685" s="4" t="s">
        <v>781</v>
      </c>
      <c r="P685" s="4" t="s">
        <v>11</v>
      </c>
      <c r="Q685" s="4" t="s">
        <v>87</v>
      </c>
      <c r="R685" s="4"/>
      <c r="S685" s="4">
        <v>3922</v>
      </c>
      <c r="T685" s="4" t="s">
        <v>2551</v>
      </c>
      <c r="U685" s="4"/>
      <c r="V685" s="4"/>
      <c r="W685" s="4" t="s">
        <v>127</v>
      </c>
      <c r="X685" s="4">
        <f t="shared" si="10"/>
        <v>11</v>
      </c>
      <c r="Y685" s="4"/>
      <c r="Z685" s="4"/>
      <c r="AA685" s="4"/>
      <c r="AB685" s="4"/>
      <c r="AC685" s="4">
        <v>0</v>
      </c>
      <c r="AD685" s="4"/>
      <c r="AE685" s="4"/>
    </row>
    <row r="686" spans="1:31" s="244" customFormat="1" x14ac:dyDescent="0.2">
      <c r="A686" s="250"/>
      <c r="B686" s="266" t="s">
        <v>3349</v>
      </c>
      <c r="C686" s="242">
        <v>682</v>
      </c>
      <c r="D686" s="242" t="s">
        <v>2442</v>
      </c>
      <c r="E686" s="242" t="s">
        <v>2443</v>
      </c>
      <c r="F686" s="242" t="s">
        <v>2444</v>
      </c>
      <c r="G686" s="4" t="s">
        <v>40</v>
      </c>
      <c r="H686" s="4" t="s">
        <v>41</v>
      </c>
      <c r="I686" s="4" t="s">
        <v>40</v>
      </c>
      <c r="J686" s="4">
        <v>30682</v>
      </c>
      <c r="K686" s="202" t="s">
        <v>11</v>
      </c>
      <c r="L686" s="4">
        <v>43</v>
      </c>
      <c r="M686" s="4">
        <v>9</v>
      </c>
      <c r="N686" s="4" t="str">
        <f>_xlfn.CONCAT("DBX",((L686-1)*2)+1,".1")</f>
        <v>DBX85.1</v>
      </c>
      <c r="O686" s="4" t="s">
        <v>781</v>
      </c>
      <c r="P686" s="4" t="s">
        <v>11</v>
      </c>
      <c r="Q686" s="242" t="s">
        <v>88</v>
      </c>
      <c r="R686" s="242"/>
      <c r="S686" s="242">
        <v>3922</v>
      </c>
      <c r="T686" s="242" t="s">
        <v>2551</v>
      </c>
      <c r="U686" s="242"/>
      <c r="V686" s="242"/>
      <c r="W686" s="242" t="s">
        <v>129</v>
      </c>
      <c r="X686" s="242">
        <f t="shared" si="10"/>
        <v>13</v>
      </c>
      <c r="Y686" s="242" t="s">
        <v>2445</v>
      </c>
      <c r="Z686" s="242"/>
      <c r="AA686" s="242"/>
      <c r="AB686" s="242"/>
      <c r="AC686" s="266">
        <v>0</v>
      </c>
      <c r="AD686" s="242"/>
      <c r="AE686" s="242"/>
    </row>
    <row r="687" spans="1:31" s="244" customFormat="1" x14ac:dyDescent="0.2">
      <c r="A687" s="250"/>
      <c r="B687" s="266" t="s">
        <v>3349</v>
      </c>
      <c r="C687" s="242">
        <v>683</v>
      </c>
      <c r="D687" s="242" t="s">
        <v>2446</v>
      </c>
      <c r="E687" s="242" t="s">
        <v>2447</v>
      </c>
      <c r="F687" s="242" t="s">
        <v>2448</v>
      </c>
      <c r="G687" s="4" t="s">
        <v>72</v>
      </c>
      <c r="H687" s="4" t="s">
        <v>41</v>
      </c>
      <c r="I687" s="4" t="s">
        <v>84</v>
      </c>
      <c r="J687" s="4">
        <v>30683</v>
      </c>
      <c r="K687" s="202" t="s">
        <v>11</v>
      </c>
      <c r="L687" s="4">
        <v>43</v>
      </c>
      <c r="M687" s="4">
        <v>10</v>
      </c>
      <c r="N687" s="4" t="str">
        <f>_xlfn.CONCAT("DBX",((L687-1)*2)+1,".2")</f>
        <v>DBX85.2</v>
      </c>
      <c r="O687" s="4" t="s">
        <v>781</v>
      </c>
      <c r="P687" s="4" t="s">
        <v>11</v>
      </c>
      <c r="Q687" s="242" t="s">
        <v>88</v>
      </c>
      <c r="R687" s="242"/>
      <c r="S687" s="242">
        <v>3922</v>
      </c>
      <c r="T687" s="242" t="s">
        <v>2551</v>
      </c>
      <c r="U687" s="242"/>
      <c r="V687" s="242"/>
      <c r="W687" s="242" t="s">
        <v>129</v>
      </c>
      <c r="X687" s="242">
        <f t="shared" si="10"/>
        <v>13</v>
      </c>
      <c r="Y687" s="242" t="s">
        <v>2449</v>
      </c>
      <c r="Z687" s="242"/>
      <c r="AA687" s="242"/>
      <c r="AB687" s="242"/>
      <c r="AC687" s="266">
        <v>0</v>
      </c>
      <c r="AD687" s="242"/>
      <c r="AE687" s="242"/>
    </row>
    <row r="688" spans="1:31" x14ac:dyDescent="0.2">
      <c r="A688" s="201"/>
      <c r="B688" s="4" t="s">
        <v>34</v>
      </c>
      <c r="C688" s="4">
        <v>684</v>
      </c>
      <c r="D688" s="4"/>
      <c r="E688" s="4"/>
      <c r="F688" s="4"/>
      <c r="G688" s="4"/>
      <c r="H688" s="4"/>
      <c r="I688" s="4"/>
      <c r="J688" s="4">
        <v>30684</v>
      </c>
      <c r="K688" s="202"/>
      <c r="L688" s="4">
        <v>43</v>
      </c>
      <c r="M688" s="4">
        <v>11</v>
      </c>
      <c r="N688" s="4" t="str">
        <f>_xlfn.CONCAT("DBX",((L688-1)*2)+1,".3")</f>
        <v>DBX85.3</v>
      </c>
      <c r="O688" s="4" t="s">
        <v>781</v>
      </c>
      <c r="P688" s="4"/>
      <c r="Q688" s="4"/>
      <c r="R688" s="4"/>
      <c r="S688" s="4"/>
      <c r="T688" s="4"/>
      <c r="U688" s="4"/>
      <c r="V688" s="4"/>
      <c r="W688" s="4"/>
      <c r="X688" s="4" t="e">
        <f t="shared" si="10"/>
        <v>#N/A</v>
      </c>
      <c r="Y688" s="4"/>
      <c r="Z688" s="4"/>
      <c r="AA688" s="4"/>
      <c r="AB688" s="4"/>
      <c r="AC688" s="4"/>
      <c r="AD688" s="4"/>
      <c r="AE688" s="4"/>
    </row>
    <row r="689" spans="1:31" s="244" customFormat="1" ht="56.25" x14ac:dyDescent="0.2">
      <c r="A689" s="250"/>
      <c r="B689" s="266" t="s">
        <v>3349</v>
      </c>
      <c r="C689" s="242">
        <v>685</v>
      </c>
      <c r="D689" s="242" t="s">
        <v>2450</v>
      </c>
      <c r="E689" s="242" t="s">
        <v>2451</v>
      </c>
      <c r="F689" s="242" t="s">
        <v>2604</v>
      </c>
      <c r="G689" s="4" t="s">
        <v>1356</v>
      </c>
      <c r="H689" s="4" t="s">
        <v>41</v>
      </c>
      <c r="I689" s="4" t="s">
        <v>85</v>
      </c>
      <c r="J689" s="4">
        <v>30685</v>
      </c>
      <c r="K689" s="202" t="s">
        <v>11</v>
      </c>
      <c r="L689" s="4">
        <v>43</v>
      </c>
      <c r="M689" s="4">
        <v>12</v>
      </c>
      <c r="N689" s="4" t="str">
        <f>_xlfn.CONCAT("DBX",((L689-1)*2)+1,".4")</f>
        <v>DBX85.4</v>
      </c>
      <c r="O689" s="4" t="s">
        <v>781</v>
      </c>
      <c r="P689" s="4" t="s">
        <v>11</v>
      </c>
      <c r="Q689" s="242" t="s">
        <v>88</v>
      </c>
      <c r="R689" s="242"/>
      <c r="S689" s="242">
        <v>3922</v>
      </c>
      <c r="T689" s="242" t="s">
        <v>2551</v>
      </c>
      <c r="U689" s="242"/>
      <c r="V689" s="242"/>
      <c r="W689" s="242" t="s">
        <v>129</v>
      </c>
      <c r="X689" s="242">
        <f t="shared" si="10"/>
        <v>13</v>
      </c>
      <c r="Y689" s="265" t="s">
        <v>2452</v>
      </c>
      <c r="Z689" s="242"/>
      <c r="AA689" s="242"/>
      <c r="AB689" s="242"/>
      <c r="AC689" s="266">
        <v>0</v>
      </c>
      <c r="AD689" s="242"/>
      <c r="AE689" s="242"/>
    </row>
    <row r="690" spans="1:31" x14ac:dyDescent="0.2">
      <c r="A690" s="201"/>
      <c r="B690" s="4" t="s">
        <v>34</v>
      </c>
      <c r="C690" s="4">
        <v>686</v>
      </c>
      <c r="D690" s="4"/>
      <c r="E690" s="4"/>
      <c r="F690" s="4"/>
      <c r="G690" s="4"/>
      <c r="H690" s="4"/>
      <c r="I690" s="4"/>
      <c r="J690" s="4">
        <v>30686</v>
      </c>
      <c r="K690" s="202"/>
      <c r="L690" s="4">
        <v>43</v>
      </c>
      <c r="M690" s="4">
        <v>13</v>
      </c>
      <c r="N690" s="4" t="str">
        <f>_xlfn.CONCAT("DBX",((L690-1)*2)+1,".5")</f>
        <v>DBX85.5</v>
      </c>
      <c r="O690" s="4" t="s">
        <v>781</v>
      </c>
      <c r="P690" s="4"/>
      <c r="Q690" s="4"/>
      <c r="R690" s="4"/>
      <c r="S690" s="4"/>
      <c r="T690" s="4"/>
      <c r="U690" s="4"/>
      <c r="V690" s="4"/>
      <c r="W690" s="4"/>
      <c r="X690" s="4" t="e">
        <f t="shared" si="10"/>
        <v>#N/A</v>
      </c>
      <c r="Y690" s="4"/>
      <c r="Z690" s="4"/>
      <c r="AA690" s="4"/>
      <c r="AB690" s="4"/>
      <c r="AC690" s="4"/>
      <c r="AD690" s="4"/>
      <c r="AE690" s="4"/>
    </row>
    <row r="691" spans="1:31" x14ac:dyDescent="0.2">
      <c r="A691" s="201"/>
      <c r="B691" s="4" t="s">
        <v>34</v>
      </c>
      <c r="C691" s="4">
        <v>687</v>
      </c>
      <c r="D691" s="4"/>
      <c r="E691" s="4"/>
      <c r="F691" s="4"/>
      <c r="G691" s="4"/>
      <c r="H691" s="4"/>
      <c r="I691" s="4"/>
      <c r="J691" s="4">
        <v>30687</v>
      </c>
      <c r="K691" s="202"/>
      <c r="L691" s="4">
        <v>43</v>
      </c>
      <c r="M691" s="4">
        <v>14</v>
      </c>
      <c r="N691" s="4" t="str">
        <f>_xlfn.CONCAT("DBX",((L691-1)*2)+1,".6")</f>
        <v>DBX85.6</v>
      </c>
      <c r="O691" s="4" t="s">
        <v>781</v>
      </c>
      <c r="P691" s="4"/>
      <c r="Q691" s="4"/>
      <c r="R691" s="4"/>
      <c r="S691" s="4"/>
      <c r="T691" s="4"/>
      <c r="U691" s="4"/>
      <c r="V691" s="4"/>
      <c r="W691" s="4"/>
      <c r="X691" s="4" t="e">
        <f t="shared" si="10"/>
        <v>#N/A</v>
      </c>
      <c r="Y691" s="4"/>
      <c r="Z691" s="4"/>
      <c r="AA691" s="4"/>
      <c r="AB691" s="4"/>
      <c r="AC691" s="4"/>
      <c r="AD691" s="4"/>
      <c r="AE691" s="4"/>
    </row>
    <row r="692" spans="1:31" x14ac:dyDescent="0.2">
      <c r="A692" s="201"/>
      <c r="B692" s="4" t="s">
        <v>33</v>
      </c>
      <c r="C692" s="4">
        <v>688</v>
      </c>
      <c r="D692" s="4" t="s">
        <v>2453</v>
      </c>
      <c r="E692" s="4" t="s">
        <v>2454</v>
      </c>
      <c r="F692" s="4" t="s">
        <v>2455</v>
      </c>
      <c r="G692" s="4" t="s">
        <v>1401</v>
      </c>
      <c r="H692" s="4" t="s">
        <v>1179</v>
      </c>
      <c r="I692" s="4" t="s">
        <v>40</v>
      </c>
      <c r="J692" s="4">
        <v>30688</v>
      </c>
      <c r="K692" s="202" t="s">
        <v>1414</v>
      </c>
      <c r="L692" s="4">
        <v>43</v>
      </c>
      <c r="M692" s="4">
        <v>15</v>
      </c>
      <c r="N692" s="4" t="str">
        <f>_xlfn.CONCAT("DBX",((L692-1)*2)+1,".7")</f>
        <v>DBX85.7</v>
      </c>
      <c r="O692" s="4" t="s">
        <v>781</v>
      </c>
      <c r="P692" s="4" t="s">
        <v>11</v>
      </c>
      <c r="Q692" s="4" t="s">
        <v>88</v>
      </c>
      <c r="R692" s="4"/>
      <c r="S692" s="4">
        <v>3922</v>
      </c>
      <c r="T692" s="4" t="s">
        <v>2551</v>
      </c>
      <c r="U692" s="4"/>
      <c r="V692" s="4"/>
      <c r="W692" s="4" t="s">
        <v>129</v>
      </c>
      <c r="X692" s="4">
        <f t="shared" si="10"/>
        <v>13</v>
      </c>
      <c r="Y692" s="4" t="s">
        <v>2456</v>
      </c>
      <c r="Z692" s="4"/>
      <c r="AA692" s="4"/>
      <c r="AB692" s="4"/>
      <c r="AC692" s="4">
        <v>1</v>
      </c>
      <c r="AD692" s="4"/>
      <c r="AE692" s="4"/>
    </row>
    <row r="693" spans="1:31" x14ac:dyDescent="0.2">
      <c r="A693" s="201"/>
      <c r="B693" s="4" t="s">
        <v>33</v>
      </c>
      <c r="C693" s="4">
        <v>689</v>
      </c>
      <c r="D693" s="4" t="s">
        <v>2457</v>
      </c>
      <c r="E693" s="4" t="s">
        <v>2458</v>
      </c>
      <c r="F693" s="4" t="s">
        <v>2459</v>
      </c>
      <c r="G693" s="4" t="s">
        <v>1401</v>
      </c>
      <c r="H693" s="4" t="s">
        <v>1179</v>
      </c>
      <c r="I693" s="4" t="s">
        <v>40</v>
      </c>
      <c r="J693" s="4">
        <v>30689</v>
      </c>
      <c r="K693" s="202" t="s">
        <v>11</v>
      </c>
      <c r="L693" s="4">
        <v>44</v>
      </c>
      <c r="M693" s="4">
        <v>0</v>
      </c>
      <c r="N693" s="4" t="str">
        <f>_xlfn.CONCAT("DBX",((L693-1)*2),".0")</f>
        <v>DBX86.0</v>
      </c>
      <c r="O693" s="4" t="s">
        <v>781</v>
      </c>
      <c r="P693" s="4" t="s">
        <v>11</v>
      </c>
      <c r="Q693" s="4" t="s">
        <v>33</v>
      </c>
      <c r="R693" s="4"/>
      <c r="S693" s="4">
        <v>3922</v>
      </c>
      <c r="T693" s="4" t="s">
        <v>2551</v>
      </c>
      <c r="U693" s="4"/>
      <c r="V693" s="4"/>
      <c r="W693" s="4" t="s">
        <v>129</v>
      </c>
      <c r="X693" s="4">
        <f t="shared" si="10"/>
        <v>13</v>
      </c>
      <c r="Y693" s="4"/>
      <c r="Z693" s="4"/>
      <c r="AA693" s="4"/>
      <c r="AB693" s="4"/>
      <c r="AC693" s="4">
        <v>0</v>
      </c>
      <c r="AD693" s="4"/>
      <c r="AE693" s="4"/>
    </row>
    <row r="694" spans="1:31" x14ac:dyDescent="0.2">
      <c r="A694" s="201"/>
      <c r="B694" s="4" t="s">
        <v>250</v>
      </c>
      <c r="C694" s="4">
        <v>690</v>
      </c>
      <c r="D694" s="4" t="s">
        <v>2626</v>
      </c>
      <c r="E694" s="4" t="s">
        <v>2627</v>
      </c>
      <c r="F694" s="4" t="s">
        <v>2650</v>
      </c>
      <c r="G694" s="4" t="s">
        <v>40</v>
      </c>
      <c r="H694" s="4" t="s">
        <v>41</v>
      </c>
      <c r="I694" s="4" t="s">
        <v>40</v>
      </c>
      <c r="J694" s="4">
        <v>30690</v>
      </c>
      <c r="K694" s="202" t="s">
        <v>2628</v>
      </c>
      <c r="L694" s="4">
        <v>44</v>
      </c>
      <c r="M694" s="4">
        <v>1</v>
      </c>
      <c r="N694" s="4" t="str">
        <f>_xlfn.CONCAT("DBX",((L694-1)*2),".1")</f>
        <v>DBX86.1</v>
      </c>
      <c r="O694" s="4" t="s">
        <v>781</v>
      </c>
      <c r="P694" s="4" t="s">
        <v>2629</v>
      </c>
      <c r="Q694" s="4" t="s">
        <v>12</v>
      </c>
      <c r="R694" s="4"/>
      <c r="S694" s="4">
        <v>3922</v>
      </c>
      <c r="T694" s="4" t="s">
        <v>2551</v>
      </c>
      <c r="U694" s="202" t="s">
        <v>2628</v>
      </c>
      <c r="V694" s="202"/>
      <c r="W694" s="4" t="s">
        <v>122</v>
      </c>
      <c r="X694" s="4">
        <f t="shared" si="10"/>
        <v>6</v>
      </c>
      <c r="Y694" s="4"/>
      <c r="Z694" s="4"/>
      <c r="AA694" s="4"/>
      <c r="AB694" s="4"/>
      <c r="AC694" s="4">
        <v>1</v>
      </c>
      <c r="AD694" s="4"/>
      <c r="AE694" s="4"/>
    </row>
    <row r="695" spans="1:31" x14ac:dyDescent="0.2">
      <c r="A695" s="201"/>
      <c r="B695" s="4" t="s">
        <v>3170</v>
      </c>
      <c r="C695" s="4">
        <v>691</v>
      </c>
      <c r="D695" s="4" t="s">
        <v>2630</v>
      </c>
      <c r="E695" s="4" t="s">
        <v>2631</v>
      </c>
      <c r="F695" s="4" t="s">
        <v>2651</v>
      </c>
      <c r="G695" s="4" t="s">
        <v>40</v>
      </c>
      <c r="H695" s="4" t="s">
        <v>41</v>
      </c>
      <c r="I695" s="4" t="s">
        <v>40</v>
      </c>
      <c r="J695" s="4">
        <v>30691</v>
      </c>
      <c r="K695" s="202" t="s">
        <v>2628</v>
      </c>
      <c r="L695" s="4">
        <v>44</v>
      </c>
      <c r="M695" s="4">
        <v>2</v>
      </c>
      <c r="N695" s="4" t="str">
        <f>_xlfn.CONCAT("DBX",((L695-1)*2),".2")</f>
        <v>DBX86.2</v>
      </c>
      <c r="O695" s="4" t="s">
        <v>781</v>
      </c>
      <c r="P695" s="4" t="s">
        <v>2629</v>
      </c>
      <c r="Q695" s="4" t="s">
        <v>87</v>
      </c>
      <c r="R695" s="4"/>
      <c r="S695" s="4">
        <v>3922</v>
      </c>
      <c r="T695" s="4" t="s">
        <v>2551</v>
      </c>
      <c r="U695" s="202" t="s">
        <v>2628</v>
      </c>
      <c r="V695" s="202" t="s">
        <v>3077</v>
      </c>
      <c r="W695" s="4" t="s">
        <v>122</v>
      </c>
      <c r="X695" s="4">
        <f t="shared" si="10"/>
        <v>6</v>
      </c>
      <c r="Y695" s="4"/>
      <c r="Z695" s="4"/>
      <c r="AA695" s="4"/>
      <c r="AB695" s="4"/>
      <c r="AC695" s="4">
        <v>0</v>
      </c>
      <c r="AD695" s="4"/>
      <c r="AE695" s="4"/>
    </row>
    <row r="696" spans="1:31" x14ac:dyDescent="0.2">
      <c r="A696" s="201"/>
      <c r="B696" s="4" t="s">
        <v>34</v>
      </c>
      <c r="C696" s="4">
        <v>692</v>
      </c>
      <c r="D696" s="4"/>
      <c r="E696" s="4"/>
      <c r="F696" s="4"/>
      <c r="G696" s="4"/>
      <c r="H696" s="4"/>
      <c r="I696" s="4"/>
      <c r="J696" s="4">
        <v>30692</v>
      </c>
      <c r="K696" s="202"/>
      <c r="L696" s="4">
        <v>44</v>
      </c>
      <c r="M696" s="4">
        <v>3</v>
      </c>
      <c r="N696" s="4" t="str">
        <f>_xlfn.CONCAT("DBX",((L696-1)*2),".3")</f>
        <v>DBX86.3</v>
      </c>
      <c r="O696" s="4" t="s">
        <v>781</v>
      </c>
      <c r="P696" s="4"/>
      <c r="Q696" s="4"/>
      <c r="R696" s="4"/>
      <c r="S696" s="4"/>
      <c r="T696" s="4"/>
      <c r="U696" s="4"/>
      <c r="V696" s="4"/>
      <c r="W696" s="4"/>
      <c r="X696" s="4" t="e">
        <f t="shared" si="10"/>
        <v>#N/A</v>
      </c>
      <c r="Y696" s="4"/>
      <c r="Z696" s="4"/>
      <c r="AA696" s="4"/>
      <c r="AB696" s="4"/>
      <c r="AC696" s="4"/>
      <c r="AD696" s="4"/>
      <c r="AE696" s="4"/>
    </row>
    <row r="697" spans="1:31" x14ac:dyDescent="0.2">
      <c r="A697" s="201"/>
      <c r="B697" s="4" t="s">
        <v>34</v>
      </c>
      <c r="C697" s="4">
        <v>693</v>
      </c>
      <c r="D697" s="4"/>
      <c r="E697" s="4"/>
      <c r="F697" s="4"/>
      <c r="G697" s="4"/>
      <c r="H697" s="4"/>
      <c r="I697" s="4"/>
      <c r="J697" s="4">
        <v>30693</v>
      </c>
      <c r="K697" s="202"/>
      <c r="L697" s="4">
        <v>44</v>
      </c>
      <c r="M697" s="4">
        <v>4</v>
      </c>
      <c r="N697" s="4" t="str">
        <f>_xlfn.CONCAT("DBX",((L697-1)*2),".4")</f>
        <v>DBX86.4</v>
      </c>
      <c r="O697" s="4" t="s">
        <v>781</v>
      </c>
      <c r="P697" s="4"/>
      <c r="Q697" s="4"/>
      <c r="R697" s="4"/>
      <c r="S697" s="4"/>
      <c r="T697" s="4"/>
      <c r="U697" s="4"/>
      <c r="V697" s="4"/>
      <c r="W697" s="4"/>
      <c r="X697" s="4" t="e">
        <f t="shared" si="10"/>
        <v>#N/A</v>
      </c>
      <c r="Y697" s="4"/>
      <c r="Z697" s="4"/>
      <c r="AA697" s="4"/>
      <c r="AB697" s="4"/>
      <c r="AC697" s="4"/>
      <c r="AD697" s="4"/>
      <c r="AE697" s="4"/>
    </row>
    <row r="698" spans="1:31" x14ac:dyDescent="0.2">
      <c r="A698" s="201"/>
      <c r="B698" s="4" t="s">
        <v>34</v>
      </c>
      <c r="C698" s="4">
        <v>694</v>
      </c>
      <c r="D698" s="4"/>
      <c r="E698" s="4"/>
      <c r="F698" s="4"/>
      <c r="G698" s="4"/>
      <c r="H698" s="4"/>
      <c r="I698" s="4"/>
      <c r="J698" s="4">
        <v>30694</v>
      </c>
      <c r="K698" s="202"/>
      <c r="L698" s="4">
        <v>44</v>
      </c>
      <c r="M698" s="4">
        <v>5</v>
      </c>
      <c r="N698" s="4" t="str">
        <f>_xlfn.CONCAT("DBX",((L698-1)*2),".5")</f>
        <v>DBX86.5</v>
      </c>
      <c r="O698" s="4" t="s">
        <v>781</v>
      </c>
      <c r="P698" s="4"/>
      <c r="Q698" s="4"/>
      <c r="R698" s="4"/>
      <c r="S698" s="4"/>
      <c r="T698" s="4"/>
      <c r="U698" s="4"/>
      <c r="V698" s="4"/>
      <c r="W698" s="4"/>
      <c r="X698" s="4" t="e">
        <f t="shared" si="10"/>
        <v>#N/A</v>
      </c>
      <c r="Y698" s="4"/>
      <c r="Z698" s="4"/>
      <c r="AA698" s="4"/>
      <c r="AB698" s="4"/>
      <c r="AC698" s="4"/>
      <c r="AD698" s="4"/>
      <c r="AE698" s="4"/>
    </row>
    <row r="699" spans="1:31" s="244" customFormat="1" x14ac:dyDescent="0.2">
      <c r="A699" s="201"/>
      <c r="B699" s="4" t="s">
        <v>3309</v>
      </c>
      <c r="C699" s="4">
        <v>695</v>
      </c>
      <c r="D699" s="4" t="s">
        <v>3275</v>
      </c>
      <c r="E699" s="4" t="s">
        <v>3292</v>
      </c>
      <c r="F699" s="4" t="s">
        <v>3312</v>
      </c>
      <c r="G699" s="4" t="s">
        <v>40</v>
      </c>
      <c r="H699" s="4" t="s">
        <v>41</v>
      </c>
      <c r="I699" s="4" t="s">
        <v>40</v>
      </c>
      <c r="J699" s="4">
        <v>30695</v>
      </c>
      <c r="K699" s="202" t="s">
        <v>1813</v>
      </c>
      <c r="L699" s="4">
        <v>44</v>
      </c>
      <c r="M699" s="4">
        <v>6</v>
      </c>
      <c r="N699" s="4" t="str">
        <f>_xlfn.CONCAT("DBX",((L699-1)*2),".6")</f>
        <v>DBX86.6</v>
      </c>
      <c r="O699" s="4" t="s">
        <v>781</v>
      </c>
      <c r="P699" s="4" t="s">
        <v>1819</v>
      </c>
      <c r="Q699" s="4" t="s">
        <v>12</v>
      </c>
      <c r="R699" s="4"/>
      <c r="S699" s="4">
        <v>3922</v>
      </c>
      <c r="T699" s="4" t="s">
        <v>2551</v>
      </c>
      <c r="U699" s="4"/>
      <c r="V699" s="4" t="s">
        <v>3012</v>
      </c>
      <c r="W699" s="4" t="s">
        <v>123</v>
      </c>
      <c r="X699" s="4">
        <f t="shared" si="10"/>
        <v>7</v>
      </c>
      <c r="Y699" s="4"/>
      <c r="Z699" s="242"/>
      <c r="AA699" s="242"/>
      <c r="AB699" s="242"/>
      <c r="AC699" s="4">
        <v>1</v>
      </c>
      <c r="AD699" s="242"/>
      <c r="AE699" s="242"/>
    </row>
    <row r="700" spans="1:31" s="244" customFormat="1" x14ac:dyDescent="0.2">
      <c r="A700" s="201"/>
      <c r="B700" s="4" t="s">
        <v>3309</v>
      </c>
      <c r="C700" s="4">
        <v>696</v>
      </c>
      <c r="D700" s="4" t="s">
        <v>3276</v>
      </c>
      <c r="E700" s="4" t="s">
        <v>3293</v>
      </c>
      <c r="F700" s="4" t="s">
        <v>3313</v>
      </c>
      <c r="G700" s="4" t="s">
        <v>40</v>
      </c>
      <c r="H700" s="4" t="s">
        <v>41</v>
      </c>
      <c r="I700" s="4" t="s">
        <v>40</v>
      </c>
      <c r="J700" s="4">
        <v>30696</v>
      </c>
      <c r="K700" s="202" t="s">
        <v>1814</v>
      </c>
      <c r="L700" s="4">
        <v>44</v>
      </c>
      <c r="M700" s="4">
        <v>7</v>
      </c>
      <c r="N700" s="4" t="str">
        <f>_xlfn.CONCAT("DBX",((L700-1)*2),".7")</f>
        <v>DBX86.7</v>
      </c>
      <c r="O700" s="4" t="s">
        <v>781</v>
      </c>
      <c r="P700" s="4" t="s">
        <v>1820</v>
      </c>
      <c r="Q700" s="4" t="s">
        <v>12</v>
      </c>
      <c r="R700" s="4"/>
      <c r="S700" s="4">
        <v>3922</v>
      </c>
      <c r="T700" s="4" t="s">
        <v>2551</v>
      </c>
      <c r="U700" s="4"/>
      <c r="V700" s="4" t="s">
        <v>3013</v>
      </c>
      <c r="W700" s="4" t="s">
        <v>123</v>
      </c>
      <c r="X700" s="4">
        <f t="shared" si="10"/>
        <v>7</v>
      </c>
      <c r="Y700" s="4"/>
      <c r="Z700" s="242"/>
      <c r="AA700" s="242"/>
      <c r="AB700" s="242"/>
      <c r="AC700" s="4">
        <v>1</v>
      </c>
      <c r="AD700" s="242"/>
      <c r="AE700" s="242"/>
    </row>
    <row r="701" spans="1:31" s="244" customFormat="1" x14ac:dyDescent="0.2">
      <c r="A701" s="201"/>
      <c r="B701" s="4" t="s">
        <v>3309</v>
      </c>
      <c r="C701" s="4">
        <v>697</v>
      </c>
      <c r="D701" s="4" t="s">
        <v>3277</v>
      </c>
      <c r="E701" s="4" t="s">
        <v>3294</v>
      </c>
      <c r="F701" s="4" t="s">
        <v>3314</v>
      </c>
      <c r="G701" s="4" t="s">
        <v>40</v>
      </c>
      <c r="H701" s="4" t="s">
        <v>41</v>
      </c>
      <c r="I701" s="4" t="s">
        <v>40</v>
      </c>
      <c r="J701" s="4">
        <v>30697</v>
      </c>
      <c r="K701" s="202" t="s">
        <v>1815</v>
      </c>
      <c r="L701" s="4">
        <v>44</v>
      </c>
      <c r="M701" s="4">
        <v>8</v>
      </c>
      <c r="N701" s="4" t="str">
        <f>_xlfn.CONCAT("DBX",((L701-1)*2)+1,".0")</f>
        <v>DBX87.0</v>
      </c>
      <c r="O701" s="4" t="s">
        <v>781</v>
      </c>
      <c r="P701" s="4" t="s">
        <v>1821</v>
      </c>
      <c r="Q701" s="4" t="s">
        <v>12</v>
      </c>
      <c r="R701" s="4"/>
      <c r="S701" s="4">
        <v>3922</v>
      </c>
      <c r="T701" s="4" t="s">
        <v>2551</v>
      </c>
      <c r="U701" s="4"/>
      <c r="V701" s="4" t="s">
        <v>3014</v>
      </c>
      <c r="W701" s="4" t="s">
        <v>123</v>
      </c>
      <c r="X701" s="4">
        <f t="shared" si="10"/>
        <v>7</v>
      </c>
      <c r="Y701" s="4"/>
      <c r="Z701" s="242"/>
      <c r="AA701" s="242"/>
      <c r="AB701" s="242"/>
      <c r="AC701" s="4">
        <v>1</v>
      </c>
      <c r="AD701" s="242"/>
      <c r="AE701" s="242"/>
    </row>
    <row r="702" spans="1:31" s="244" customFormat="1" x14ac:dyDescent="0.2">
      <c r="A702" s="201"/>
      <c r="B702" s="4" t="s">
        <v>3309</v>
      </c>
      <c r="C702" s="4">
        <v>698</v>
      </c>
      <c r="D702" s="4" t="s">
        <v>3278</v>
      </c>
      <c r="E702" s="4" t="s">
        <v>3295</v>
      </c>
      <c r="F702" s="4" t="s">
        <v>3315</v>
      </c>
      <c r="G702" s="4" t="s">
        <v>40</v>
      </c>
      <c r="H702" s="4" t="s">
        <v>41</v>
      </c>
      <c r="I702" s="4" t="s">
        <v>40</v>
      </c>
      <c r="J702" s="4">
        <v>30698</v>
      </c>
      <c r="K702" s="202" t="s">
        <v>1816</v>
      </c>
      <c r="L702" s="4">
        <v>44</v>
      </c>
      <c r="M702" s="4">
        <v>9</v>
      </c>
      <c r="N702" s="4" t="str">
        <f>_xlfn.CONCAT("DBX",((L702-1)*2)+1,".1")</f>
        <v>DBX87.1</v>
      </c>
      <c r="O702" s="4" t="s">
        <v>781</v>
      </c>
      <c r="P702" s="4" t="s">
        <v>1822</v>
      </c>
      <c r="Q702" s="4" t="s">
        <v>12</v>
      </c>
      <c r="R702" s="4"/>
      <c r="S702" s="4">
        <v>3922</v>
      </c>
      <c r="T702" s="4" t="s">
        <v>2551</v>
      </c>
      <c r="U702" s="4"/>
      <c r="V702" s="4" t="s">
        <v>3015</v>
      </c>
      <c r="W702" s="4" t="s">
        <v>123</v>
      </c>
      <c r="X702" s="4">
        <f t="shared" si="10"/>
        <v>7</v>
      </c>
      <c r="Y702" s="4"/>
      <c r="Z702" s="242"/>
      <c r="AA702" s="242"/>
      <c r="AB702" s="242"/>
      <c r="AC702" s="4">
        <v>1</v>
      </c>
      <c r="AD702" s="242"/>
      <c r="AE702" s="242"/>
    </row>
    <row r="703" spans="1:31" s="244" customFormat="1" x14ac:dyDescent="0.2">
      <c r="A703" s="201"/>
      <c r="B703" s="4" t="s">
        <v>3309</v>
      </c>
      <c r="C703" s="4">
        <v>699</v>
      </c>
      <c r="D703" s="4" t="s">
        <v>3279</v>
      </c>
      <c r="E703" s="4" t="s">
        <v>3296</v>
      </c>
      <c r="F703" s="4" t="s">
        <v>3316</v>
      </c>
      <c r="G703" s="4" t="s">
        <v>40</v>
      </c>
      <c r="H703" s="4" t="s">
        <v>41</v>
      </c>
      <c r="I703" s="4" t="s">
        <v>40</v>
      </c>
      <c r="J703" s="4">
        <v>30699</v>
      </c>
      <c r="K703" s="202" t="s">
        <v>1817</v>
      </c>
      <c r="L703" s="4">
        <v>44</v>
      </c>
      <c r="M703" s="4">
        <v>10</v>
      </c>
      <c r="N703" s="4" t="str">
        <f>_xlfn.CONCAT("DBX",((L703-1)*2)+1,".2")</f>
        <v>DBX87.2</v>
      </c>
      <c r="O703" s="4" t="s">
        <v>781</v>
      </c>
      <c r="P703" s="4" t="s">
        <v>1823</v>
      </c>
      <c r="Q703" s="4" t="s">
        <v>12</v>
      </c>
      <c r="R703" s="4"/>
      <c r="S703" s="4">
        <v>3922</v>
      </c>
      <c r="T703" s="4" t="s">
        <v>2551</v>
      </c>
      <c r="U703" s="4"/>
      <c r="V703" s="4" t="s">
        <v>3016</v>
      </c>
      <c r="W703" s="4" t="s">
        <v>123</v>
      </c>
      <c r="X703" s="4">
        <f t="shared" si="10"/>
        <v>7</v>
      </c>
      <c r="Y703" s="4"/>
      <c r="Z703" s="242"/>
      <c r="AA703" s="242"/>
      <c r="AB703" s="242"/>
      <c r="AC703" s="4">
        <v>1</v>
      </c>
      <c r="AD703" s="242"/>
      <c r="AE703" s="242"/>
    </row>
    <row r="704" spans="1:31" s="244" customFormat="1" x14ac:dyDescent="0.2">
      <c r="A704" s="201"/>
      <c r="B704" s="4" t="s">
        <v>3309</v>
      </c>
      <c r="C704" s="4">
        <v>700</v>
      </c>
      <c r="D704" s="4" t="s">
        <v>3280</v>
      </c>
      <c r="E704" s="4" t="s">
        <v>3297</v>
      </c>
      <c r="F704" s="4" t="s">
        <v>3317</v>
      </c>
      <c r="G704" s="4" t="s">
        <v>40</v>
      </c>
      <c r="H704" s="4" t="s">
        <v>41</v>
      </c>
      <c r="I704" s="4" t="s">
        <v>40</v>
      </c>
      <c r="J704" s="4">
        <v>30700</v>
      </c>
      <c r="K704" s="202" t="s">
        <v>1818</v>
      </c>
      <c r="L704" s="4">
        <v>44</v>
      </c>
      <c r="M704" s="4">
        <v>11</v>
      </c>
      <c r="N704" s="4" t="str">
        <f>_xlfn.CONCAT("DBX",((L704-1)*2)+1,".3")</f>
        <v>DBX87.3</v>
      </c>
      <c r="O704" s="4" t="s">
        <v>781</v>
      </c>
      <c r="P704" s="4" t="s">
        <v>1824</v>
      </c>
      <c r="Q704" s="4" t="s">
        <v>12</v>
      </c>
      <c r="R704" s="4"/>
      <c r="S704" s="4">
        <v>3922</v>
      </c>
      <c r="T704" s="4" t="s">
        <v>2551</v>
      </c>
      <c r="U704" s="4"/>
      <c r="V704" s="4" t="s">
        <v>3017</v>
      </c>
      <c r="W704" s="4" t="s">
        <v>123</v>
      </c>
      <c r="X704" s="4">
        <f t="shared" si="10"/>
        <v>7</v>
      </c>
      <c r="Y704" s="4"/>
      <c r="Z704" s="242"/>
      <c r="AA704" s="242"/>
      <c r="AB704" s="242"/>
      <c r="AC704" s="4">
        <v>1</v>
      </c>
      <c r="AD704" s="242"/>
      <c r="AE704" s="242"/>
    </row>
    <row r="705" spans="1:31" s="244" customFormat="1" x14ac:dyDescent="0.2">
      <c r="A705" s="201"/>
      <c r="B705" s="4" t="s">
        <v>3309</v>
      </c>
      <c r="C705" s="4">
        <v>701</v>
      </c>
      <c r="D705" s="4" t="s">
        <v>3281</v>
      </c>
      <c r="E705" s="4" t="s">
        <v>3298</v>
      </c>
      <c r="F705" s="4" t="s">
        <v>3318</v>
      </c>
      <c r="G705" s="4" t="s">
        <v>40</v>
      </c>
      <c r="H705" s="4" t="s">
        <v>41</v>
      </c>
      <c r="I705" s="4" t="s">
        <v>40</v>
      </c>
      <c r="J705" s="4">
        <v>30701</v>
      </c>
      <c r="K705" s="202" t="s">
        <v>1825</v>
      </c>
      <c r="L705" s="4">
        <v>44</v>
      </c>
      <c r="M705" s="4">
        <v>12</v>
      </c>
      <c r="N705" s="4" t="str">
        <f>_xlfn.CONCAT("DBX",((L705-1)*2)+1,".4")</f>
        <v>DBX87.4</v>
      </c>
      <c r="O705" s="4" t="s">
        <v>781</v>
      </c>
      <c r="P705" s="4" t="s">
        <v>1826</v>
      </c>
      <c r="Q705" s="4" t="s">
        <v>12</v>
      </c>
      <c r="R705" s="4"/>
      <c r="S705" s="4">
        <v>3922</v>
      </c>
      <c r="T705" s="4" t="s">
        <v>2551</v>
      </c>
      <c r="U705" s="4"/>
      <c r="V705" s="4" t="s">
        <v>3026</v>
      </c>
      <c r="W705" s="4" t="s">
        <v>123</v>
      </c>
      <c r="X705" s="4">
        <f t="shared" si="10"/>
        <v>7</v>
      </c>
      <c r="Y705" s="4"/>
      <c r="Z705" s="242"/>
      <c r="AA705" s="242"/>
      <c r="AB705" s="242"/>
      <c r="AC705" s="4">
        <v>1</v>
      </c>
      <c r="AD705" s="242"/>
      <c r="AE705" s="242"/>
    </row>
    <row r="706" spans="1:31" s="244" customFormat="1" x14ac:dyDescent="0.2">
      <c r="A706" s="201"/>
      <c r="B706" s="4" t="s">
        <v>3309</v>
      </c>
      <c r="C706" s="4">
        <v>702</v>
      </c>
      <c r="D706" s="4" t="s">
        <v>3282</v>
      </c>
      <c r="E706" s="4" t="s">
        <v>3299</v>
      </c>
      <c r="F706" s="4" t="s">
        <v>3319</v>
      </c>
      <c r="G706" s="4" t="s">
        <v>40</v>
      </c>
      <c r="H706" s="4" t="s">
        <v>41</v>
      </c>
      <c r="I706" s="4" t="s">
        <v>40</v>
      </c>
      <c r="J706" s="4">
        <v>30702</v>
      </c>
      <c r="K706" s="202" t="s">
        <v>1827</v>
      </c>
      <c r="L706" s="4">
        <v>44</v>
      </c>
      <c r="M706" s="4">
        <v>13</v>
      </c>
      <c r="N706" s="4" t="str">
        <f>_xlfn.CONCAT("DBX",((L706-1)*2)+1,".5")</f>
        <v>DBX87.5</v>
      </c>
      <c r="O706" s="4" t="s">
        <v>781</v>
      </c>
      <c r="P706" s="4" t="s">
        <v>1830</v>
      </c>
      <c r="Q706" s="4" t="s">
        <v>12</v>
      </c>
      <c r="R706" s="4"/>
      <c r="S706" s="4">
        <v>3922</v>
      </c>
      <c r="T706" s="4" t="s">
        <v>2551</v>
      </c>
      <c r="U706" s="4"/>
      <c r="V706" s="4" t="s">
        <v>3021</v>
      </c>
      <c r="W706" s="4" t="s">
        <v>123</v>
      </c>
      <c r="X706" s="4">
        <f t="shared" si="10"/>
        <v>7</v>
      </c>
      <c r="Y706" s="4"/>
      <c r="Z706" s="242"/>
      <c r="AA706" s="242"/>
      <c r="AB706" s="242"/>
      <c r="AC706" s="4">
        <v>1</v>
      </c>
      <c r="AD706" s="242"/>
      <c r="AE706" s="242"/>
    </row>
    <row r="707" spans="1:31" s="244" customFormat="1" x14ac:dyDescent="0.2">
      <c r="A707" s="201"/>
      <c r="B707" s="4" t="s">
        <v>3309</v>
      </c>
      <c r="C707" s="4">
        <v>703</v>
      </c>
      <c r="D707" s="4" t="s">
        <v>3283</v>
      </c>
      <c r="E707" s="4" t="s">
        <v>3300</v>
      </c>
      <c r="F707" s="4" t="s">
        <v>3320</v>
      </c>
      <c r="G707" s="4" t="s">
        <v>40</v>
      </c>
      <c r="H707" s="4" t="s">
        <v>41</v>
      </c>
      <c r="I707" s="4" t="s">
        <v>40</v>
      </c>
      <c r="J707" s="4">
        <v>30703</v>
      </c>
      <c r="K707" s="202" t="s">
        <v>2585</v>
      </c>
      <c r="L707" s="4">
        <v>44</v>
      </c>
      <c r="M707" s="4">
        <v>14</v>
      </c>
      <c r="N707" s="4" t="str">
        <f>_xlfn.CONCAT("DBX",((L707-1)*2)+1,".6")</f>
        <v>DBX87.6</v>
      </c>
      <c r="O707" s="4" t="s">
        <v>781</v>
      </c>
      <c r="P707" s="4" t="s">
        <v>2587</v>
      </c>
      <c r="Q707" s="4" t="s">
        <v>12</v>
      </c>
      <c r="R707" s="4"/>
      <c r="S707" s="4">
        <v>3922</v>
      </c>
      <c r="T707" s="4" t="s">
        <v>2551</v>
      </c>
      <c r="U707" s="4"/>
      <c r="V707" s="4" t="s">
        <v>3021</v>
      </c>
      <c r="W707" s="4" t="s">
        <v>123</v>
      </c>
      <c r="X707" s="4">
        <f t="shared" si="10"/>
        <v>7</v>
      </c>
      <c r="Y707" s="4"/>
      <c r="Z707" s="242"/>
      <c r="AA707" s="242"/>
      <c r="AB707" s="242"/>
      <c r="AC707" s="4">
        <v>1</v>
      </c>
      <c r="AD707" s="242"/>
      <c r="AE707" s="242"/>
    </row>
    <row r="708" spans="1:31" s="244" customFormat="1" x14ac:dyDescent="0.2">
      <c r="A708" s="201"/>
      <c r="B708" s="4" t="s">
        <v>3309</v>
      </c>
      <c r="C708" s="4">
        <v>704</v>
      </c>
      <c r="D708" s="4" t="s">
        <v>3284</v>
      </c>
      <c r="E708" s="4" t="s">
        <v>3301</v>
      </c>
      <c r="F708" s="4" t="s">
        <v>3321</v>
      </c>
      <c r="G708" s="4" t="s">
        <v>40</v>
      </c>
      <c r="H708" s="4" t="s">
        <v>41</v>
      </c>
      <c r="I708" s="4" t="s">
        <v>40</v>
      </c>
      <c r="J708" s="4">
        <v>30704</v>
      </c>
      <c r="K708" s="202" t="s">
        <v>1828</v>
      </c>
      <c r="L708" s="4">
        <v>44</v>
      </c>
      <c r="M708" s="4">
        <v>15</v>
      </c>
      <c r="N708" s="4" t="str">
        <f>_xlfn.CONCAT("DBX",((L708-1)*2)+1,".7")</f>
        <v>DBX87.7</v>
      </c>
      <c r="O708" s="4" t="s">
        <v>781</v>
      </c>
      <c r="P708" s="4" t="s">
        <v>1831</v>
      </c>
      <c r="Q708" s="4" t="s">
        <v>12</v>
      </c>
      <c r="R708" s="4"/>
      <c r="S708" s="4">
        <v>3922</v>
      </c>
      <c r="T708" s="4" t="s">
        <v>2551</v>
      </c>
      <c r="U708" s="4"/>
      <c r="V708" s="4" t="s">
        <v>3022</v>
      </c>
      <c r="W708" s="4" t="s">
        <v>123</v>
      </c>
      <c r="X708" s="4">
        <f t="shared" si="10"/>
        <v>7</v>
      </c>
      <c r="Y708" s="4"/>
      <c r="Z708" s="242"/>
      <c r="AA708" s="242"/>
      <c r="AB708" s="242"/>
      <c r="AC708" s="4">
        <v>1</v>
      </c>
      <c r="AD708" s="242"/>
      <c r="AE708" s="242"/>
    </row>
    <row r="709" spans="1:31" s="244" customFormat="1" x14ac:dyDescent="0.2">
      <c r="A709" s="201"/>
      <c r="B709" s="4" t="s">
        <v>3309</v>
      </c>
      <c r="C709" s="4">
        <v>705</v>
      </c>
      <c r="D709" s="4" t="s">
        <v>3285</v>
      </c>
      <c r="E709" s="4" t="s">
        <v>3302</v>
      </c>
      <c r="F709" s="4" t="s">
        <v>3322</v>
      </c>
      <c r="G709" s="4" t="s">
        <v>40</v>
      </c>
      <c r="H709" s="4" t="s">
        <v>41</v>
      </c>
      <c r="I709" s="4" t="s">
        <v>40</v>
      </c>
      <c r="J709" s="4">
        <v>30705</v>
      </c>
      <c r="K709" s="202" t="s">
        <v>1829</v>
      </c>
      <c r="L709" s="4">
        <v>45</v>
      </c>
      <c r="M709" s="4">
        <v>0</v>
      </c>
      <c r="N709" s="4" t="str">
        <f>_xlfn.CONCAT("DBX",((L709-1)*2),".0")</f>
        <v>DBX88.0</v>
      </c>
      <c r="O709" s="4" t="s">
        <v>781</v>
      </c>
      <c r="P709" s="4" t="s">
        <v>1832</v>
      </c>
      <c r="Q709" s="4" t="s">
        <v>12</v>
      </c>
      <c r="R709" s="4"/>
      <c r="S709" s="4">
        <v>3922</v>
      </c>
      <c r="T709" s="4" t="s">
        <v>2551</v>
      </c>
      <c r="U709" s="4"/>
      <c r="V709" s="4" t="s">
        <v>3023</v>
      </c>
      <c r="W709" s="4" t="s">
        <v>123</v>
      </c>
      <c r="X709" s="4">
        <f t="shared" ref="X709:X772" si="11">VLOOKUP(W709,$W$1609:$X$1639,2,FALSE)</f>
        <v>7</v>
      </c>
      <c r="Y709" s="4"/>
      <c r="Z709" s="242"/>
      <c r="AA709" s="242"/>
      <c r="AB709" s="242"/>
      <c r="AC709" s="4">
        <v>1</v>
      </c>
      <c r="AD709" s="242"/>
      <c r="AE709" s="242"/>
    </row>
    <row r="710" spans="1:31" s="244" customFormat="1" x14ac:dyDescent="0.2">
      <c r="A710" s="201"/>
      <c r="B710" s="4" t="s">
        <v>3309</v>
      </c>
      <c r="C710" s="4">
        <v>706</v>
      </c>
      <c r="D710" s="4" t="s">
        <v>3286</v>
      </c>
      <c r="E710" s="4" t="s">
        <v>3303</v>
      </c>
      <c r="F710" s="4" t="s">
        <v>3323</v>
      </c>
      <c r="G710" s="4" t="s">
        <v>40</v>
      </c>
      <c r="H710" s="4" t="s">
        <v>41</v>
      </c>
      <c r="I710" s="4" t="s">
        <v>40</v>
      </c>
      <c r="J710" s="4">
        <v>30706</v>
      </c>
      <c r="K710" s="202" t="s">
        <v>2581</v>
      </c>
      <c r="L710" s="4">
        <v>45</v>
      </c>
      <c r="M710" s="4">
        <v>1</v>
      </c>
      <c r="N710" s="4" t="str">
        <f>_xlfn.CONCAT("DBX",((L710-1)*2),".1")</f>
        <v>DBX88.1</v>
      </c>
      <c r="O710" s="4" t="s">
        <v>781</v>
      </c>
      <c r="P710" s="202" t="s">
        <v>2583</v>
      </c>
      <c r="Q710" s="4" t="s">
        <v>12</v>
      </c>
      <c r="R710" s="4"/>
      <c r="S710" s="4">
        <v>3922</v>
      </c>
      <c r="T710" s="4" t="s">
        <v>2551</v>
      </c>
      <c r="U710" s="4"/>
      <c r="V710" s="4" t="s">
        <v>3076</v>
      </c>
      <c r="W710" s="4" t="s">
        <v>123</v>
      </c>
      <c r="X710" s="4">
        <f t="shared" si="11"/>
        <v>7</v>
      </c>
      <c r="Y710" s="4"/>
      <c r="Z710" s="242"/>
      <c r="AA710" s="242"/>
      <c r="AB710" s="242"/>
      <c r="AC710" s="4">
        <v>1</v>
      </c>
      <c r="AD710" s="242"/>
      <c r="AE710" s="242"/>
    </row>
    <row r="711" spans="1:31" s="244" customFormat="1" x14ac:dyDescent="0.2">
      <c r="A711" s="201"/>
      <c r="B711" s="4" t="s">
        <v>3309</v>
      </c>
      <c r="C711" s="4">
        <v>707</v>
      </c>
      <c r="D711" s="4" t="s">
        <v>3287</v>
      </c>
      <c r="E711" s="4" t="s">
        <v>3304</v>
      </c>
      <c r="F711" s="4" t="s">
        <v>3324</v>
      </c>
      <c r="G711" s="4" t="s">
        <v>40</v>
      </c>
      <c r="H711" s="4" t="s">
        <v>41</v>
      </c>
      <c r="I711" s="4" t="s">
        <v>40</v>
      </c>
      <c r="J711" s="4">
        <v>30707</v>
      </c>
      <c r="K711" s="202" t="s">
        <v>1853</v>
      </c>
      <c r="L711" s="4">
        <v>45</v>
      </c>
      <c r="M711" s="4">
        <v>2</v>
      </c>
      <c r="N711" s="4" t="str">
        <f>_xlfn.CONCAT("DBX",((L711-1)*2),".2")</f>
        <v>DBX88.2</v>
      </c>
      <c r="O711" s="4" t="s">
        <v>781</v>
      </c>
      <c r="P711" s="4" t="s">
        <v>1856</v>
      </c>
      <c r="Q711" s="4" t="s">
        <v>12</v>
      </c>
      <c r="R711" s="4"/>
      <c r="S711" s="4">
        <v>3922</v>
      </c>
      <c r="T711" s="4" t="s">
        <v>2551</v>
      </c>
      <c r="U711" s="4"/>
      <c r="V711" s="4" t="s">
        <v>3059</v>
      </c>
      <c r="W711" s="4" t="s">
        <v>123</v>
      </c>
      <c r="X711" s="4">
        <f t="shared" si="11"/>
        <v>7</v>
      </c>
      <c r="Y711" s="4"/>
      <c r="Z711" s="242"/>
      <c r="AA711" s="242"/>
      <c r="AB711" s="242"/>
      <c r="AC711" s="4">
        <v>1</v>
      </c>
      <c r="AD711" s="242"/>
      <c r="AE711" s="242"/>
    </row>
    <row r="712" spans="1:31" s="244" customFormat="1" x14ac:dyDescent="0.2">
      <c r="A712" s="201"/>
      <c r="B712" s="4" t="s">
        <v>3309</v>
      </c>
      <c r="C712" s="4">
        <v>708</v>
      </c>
      <c r="D712" s="4" t="s">
        <v>3288</v>
      </c>
      <c r="E712" s="4" t="s">
        <v>3305</v>
      </c>
      <c r="F712" s="4" t="s">
        <v>3325</v>
      </c>
      <c r="G712" s="4" t="s">
        <v>40</v>
      </c>
      <c r="H712" s="4" t="s">
        <v>41</v>
      </c>
      <c r="I712" s="4" t="s">
        <v>40</v>
      </c>
      <c r="J712" s="4">
        <v>30708</v>
      </c>
      <c r="K712" s="202" t="s">
        <v>1854</v>
      </c>
      <c r="L712" s="4">
        <v>45</v>
      </c>
      <c r="M712" s="4">
        <v>3</v>
      </c>
      <c r="N712" s="4" t="str">
        <f>_xlfn.CONCAT("DBX",((L712-1)*2),".3")</f>
        <v>DBX88.3</v>
      </c>
      <c r="O712" s="4" t="s">
        <v>781</v>
      </c>
      <c r="P712" s="4" t="s">
        <v>1857</v>
      </c>
      <c r="Q712" s="4" t="s">
        <v>12</v>
      </c>
      <c r="R712" s="4"/>
      <c r="S712" s="4">
        <v>3922</v>
      </c>
      <c r="T712" s="4" t="s">
        <v>2551</v>
      </c>
      <c r="U712" s="4"/>
      <c r="V712" s="4" t="s">
        <v>3060</v>
      </c>
      <c r="W712" s="4" t="s">
        <v>123</v>
      </c>
      <c r="X712" s="4">
        <f t="shared" si="11"/>
        <v>7</v>
      </c>
      <c r="Y712" s="4"/>
      <c r="Z712" s="242"/>
      <c r="AA712" s="242"/>
      <c r="AB712" s="242"/>
      <c r="AC712" s="4">
        <v>1</v>
      </c>
      <c r="AD712" s="242"/>
      <c r="AE712" s="242"/>
    </row>
    <row r="713" spans="1:31" s="244" customFormat="1" x14ac:dyDescent="0.2">
      <c r="A713" s="201"/>
      <c r="B713" s="4" t="s">
        <v>3309</v>
      </c>
      <c r="C713" s="4">
        <v>709</v>
      </c>
      <c r="D713" s="4" t="s">
        <v>3289</v>
      </c>
      <c r="E713" s="4" t="s">
        <v>3306</v>
      </c>
      <c r="F713" s="4" t="s">
        <v>3326</v>
      </c>
      <c r="G713" s="4" t="s">
        <v>40</v>
      </c>
      <c r="H713" s="4" t="s">
        <v>41</v>
      </c>
      <c r="I713" s="4" t="s">
        <v>40</v>
      </c>
      <c r="J713" s="4">
        <v>30709</v>
      </c>
      <c r="K713" s="202" t="s">
        <v>1855</v>
      </c>
      <c r="L713" s="4">
        <v>45</v>
      </c>
      <c r="M713" s="4">
        <v>4</v>
      </c>
      <c r="N713" s="4" t="str">
        <f>_xlfn.CONCAT("DBX",((L713-1)*2),".4")</f>
        <v>DBX88.4</v>
      </c>
      <c r="O713" s="4" t="s">
        <v>781</v>
      </c>
      <c r="P713" s="4" t="s">
        <v>1858</v>
      </c>
      <c r="Q713" s="4" t="s">
        <v>12</v>
      </c>
      <c r="R713" s="4"/>
      <c r="S713" s="4">
        <v>3922</v>
      </c>
      <c r="T713" s="4" t="s">
        <v>2551</v>
      </c>
      <c r="U713" s="4"/>
      <c r="V713" s="4" t="s">
        <v>3061</v>
      </c>
      <c r="W713" s="4" t="s">
        <v>123</v>
      </c>
      <c r="X713" s="4">
        <f t="shared" si="11"/>
        <v>7</v>
      </c>
      <c r="Y713" s="4"/>
      <c r="Z713" s="242"/>
      <c r="AA713" s="242"/>
      <c r="AB713" s="242"/>
      <c r="AC713" s="4">
        <v>1</v>
      </c>
      <c r="AD713" s="242"/>
      <c r="AE713" s="242"/>
    </row>
    <row r="714" spans="1:31" s="244" customFormat="1" x14ac:dyDescent="0.2">
      <c r="A714" s="201"/>
      <c r="B714" s="4" t="s">
        <v>3309</v>
      </c>
      <c r="C714" s="4">
        <v>710</v>
      </c>
      <c r="D714" s="4" t="s">
        <v>3290</v>
      </c>
      <c r="E714" s="4" t="s">
        <v>3307</v>
      </c>
      <c r="F714" s="4" t="s">
        <v>3327</v>
      </c>
      <c r="G714" s="4" t="s">
        <v>40</v>
      </c>
      <c r="H714" s="4" t="s">
        <v>41</v>
      </c>
      <c r="I714" s="4" t="s">
        <v>40</v>
      </c>
      <c r="J714" s="4">
        <v>30710</v>
      </c>
      <c r="K714" s="202" t="s">
        <v>1865</v>
      </c>
      <c r="L714" s="4">
        <v>45</v>
      </c>
      <c r="M714" s="4">
        <v>5</v>
      </c>
      <c r="N714" s="4" t="str">
        <f>_xlfn.CONCAT("DBX",((L714-1)*2),".5")</f>
        <v>DBX88.5</v>
      </c>
      <c r="O714" s="4" t="s">
        <v>781</v>
      </c>
      <c r="P714" s="4" t="s">
        <v>1866</v>
      </c>
      <c r="Q714" s="4" t="s">
        <v>12</v>
      </c>
      <c r="R714" s="4"/>
      <c r="S714" s="4">
        <v>3922</v>
      </c>
      <c r="T714" s="4" t="s">
        <v>2551</v>
      </c>
      <c r="U714" s="4"/>
      <c r="V714" s="4" t="s">
        <v>3062</v>
      </c>
      <c r="W714" s="4" t="s">
        <v>123</v>
      </c>
      <c r="X714" s="4">
        <f t="shared" si="11"/>
        <v>7</v>
      </c>
      <c r="Y714" s="4"/>
      <c r="Z714" s="242"/>
      <c r="AA714" s="242"/>
      <c r="AB714" s="242"/>
      <c r="AC714" s="4">
        <v>1</v>
      </c>
      <c r="AD714" s="242"/>
      <c r="AE714" s="242"/>
    </row>
    <row r="715" spans="1:31" s="244" customFormat="1" x14ac:dyDescent="0.2">
      <c r="A715" s="201"/>
      <c r="B715" s="4" t="s">
        <v>3309</v>
      </c>
      <c r="C715" s="4">
        <v>711</v>
      </c>
      <c r="D715" s="4" t="s">
        <v>3291</v>
      </c>
      <c r="E715" s="4" t="s">
        <v>3308</v>
      </c>
      <c r="F715" s="4" t="s">
        <v>3328</v>
      </c>
      <c r="G715" s="4" t="s">
        <v>40</v>
      </c>
      <c r="H715" s="4" t="s">
        <v>41</v>
      </c>
      <c r="I715" s="4" t="s">
        <v>40</v>
      </c>
      <c r="J715" s="4">
        <v>30711</v>
      </c>
      <c r="K715" s="202" t="s">
        <v>1863</v>
      </c>
      <c r="L715" s="4">
        <v>45</v>
      </c>
      <c r="M715" s="4">
        <v>6</v>
      </c>
      <c r="N715" s="4" t="str">
        <f>_xlfn.CONCAT("DBX",((L715-1)*2),".6")</f>
        <v>DBX88.6</v>
      </c>
      <c r="O715" s="4" t="s">
        <v>781</v>
      </c>
      <c r="P715" s="4" t="s">
        <v>1864</v>
      </c>
      <c r="Q715" s="4" t="s">
        <v>12</v>
      </c>
      <c r="R715" s="4"/>
      <c r="S715" s="4">
        <v>3922</v>
      </c>
      <c r="T715" s="4" t="s">
        <v>2551</v>
      </c>
      <c r="U715" s="4"/>
      <c r="V715" s="4" t="s">
        <v>3063</v>
      </c>
      <c r="W715" s="4" t="s">
        <v>123</v>
      </c>
      <c r="X715" s="4">
        <f t="shared" si="11"/>
        <v>7</v>
      </c>
      <c r="Y715" s="4"/>
      <c r="Z715" s="242"/>
      <c r="AA715" s="242"/>
      <c r="AB715" s="242"/>
      <c r="AC715" s="4">
        <v>1</v>
      </c>
      <c r="AD715" s="242"/>
      <c r="AE715" s="242"/>
    </row>
    <row r="716" spans="1:31" x14ac:dyDescent="0.2">
      <c r="A716" s="201"/>
      <c r="B716" s="4" t="s">
        <v>34</v>
      </c>
      <c r="C716" s="4">
        <v>712</v>
      </c>
      <c r="D716" s="4"/>
      <c r="E716" s="4"/>
      <c r="F716" s="203"/>
      <c r="G716" s="4"/>
      <c r="H716" s="4"/>
      <c r="I716" s="4"/>
      <c r="J716" s="4">
        <v>30712</v>
      </c>
      <c r="K716" s="202"/>
      <c r="L716" s="4">
        <v>45</v>
      </c>
      <c r="M716" s="4">
        <v>7</v>
      </c>
      <c r="N716" s="4" t="str">
        <f>_xlfn.CONCAT("DBX",((L716-1)*2),".7")</f>
        <v>DBX88.7</v>
      </c>
      <c r="O716" s="4" t="s">
        <v>781</v>
      </c>
      <c r="P716" s="4"/>
      <c r="Q716" s="4"/>
      <c r="R716" s="4"/>
      <c r="S716" s="4"/>
      <c r="T716" s="4"/>
      <c r="U716" s="4"/>
      <c r="V716" s="4"/>
      <c r="W716" s="4"/>
      <c r="X716" s="4" t="e">
        <f t="shared" si="11"/>
        <v>#N/A</v>
      </c>
      <c r="Y716" s="4"/>
      <c r="Z716" s="4"/>
      <c r="AA716" s="4"/>
      <c r="AB716" s="4"/>
      <c r="AC716" s="4"/>
      <c r="AD716" s="4"/>
      <c r="AE716" s="4"/>
    </row>
    <row r="717" spans="1:31" x14ac:dyDescent="0.2">
      <c r="A717" s="201"/>
      <c r="B717" s="4" t="s">
        <v>34</v>
      </c>
      <c r="C717" s="4">
        <v>713</v>
      </c>
      <c r="D717" s="4"/>
      <c r="E717" s="4"/>
      <c r="F717" s="4"/>
      <c r="G717" s="4"/>
      <c r="H717" s="4"/>
      <c r="I717" s="4"/>
      <c r="J717" s="4">
        <v>30713</v>
      </c>
      <c r="K717" s="202"/>
      <c r="L717" s="4">
        <v>45</v>
      </c>
      <c r="M717" s="4">
        <v>8</v>
      </c>
      <c r="N717" s="4" t="str">
        <f>_xlfn.CONCAT("DBX",((L717-1)*2)+1,".0")</f>
        <v>DBX89.0</v>
      </c>
      <c r="O717" s="4" t="s">
        <v>781</v>
      </c>
      <c r="P717" s="4"/>
      <c r="Q717" s="4"/>
      <c r="R717" s="4"/>
      <c r="S717" s="4"/>
      <c r="T717" s="4"/>
      <c r="U717" s="4"/>
      <c r="V717" s="4"/>
      <c r="W717" s="4"/>
      <c r="X717" s="4" t="e">
        <f t="shared" si="11"/>
        <v>#N/A</v>
      </c>
      <c r="Y717" s="4"/>
      <c r="Z717" s="4"/>
      <c r="AA717" s="4"/>
      <c r="AB717" s="4"/>
      <c r="AC717" s="4"/>
      <c r="AD717" s="4"/>
      <c r="AE717" s="4"/>
    </row>
    <row r="718" spans="1:31" x14ac:dyDescent="0.2">
      <c r="A718" s="201"/>
      <c r="B718" s="4" t="s">
        <v>34</v>
      </c>
      <c r="C718" s="4">
        <v>714</v>
      </c>
      <c r="D718" s="4"/>
      <c r="E718" s="4"/>
      <c r="F718" s="4"/>
      <c r="G718" s="4"/>
      <c r="H718" s="4"/>
      <c r="I718" s="4"/>
      <c r="J718" s="4">
        <v>30714</v>
      </c>
      <c r="K718" s="202"/>
      <c r="L718" s="4">
        <v>45</v>
      </c>
      <c r="M718" s="4">
        <v>9</v>
      </c>
      <c r="N718" s="4" t="str">
        <f>_xlfn.CONCAT("DBX",((L718-1)*2)+1,".1")</f>
        <v>DBX89.1</v>
      </c>
      <c r="O718" s="4" t="s">
        <v>781</v>
      </c>
      <c r="P718" s="4"/>
      <c r="Q718" s="4"/>
      <c r="R718" s="4"/>
      <c r="S718" s="4"/>
      <c r="T718" s="4"/>
      <c r="U718" s="4"/>
      <c r="V718" s="4"/>
      <c r="W718" s="4"/>
      <c r="X718" s="4" t="e">
        <f t="shared" si="11"/>
        <v>#N/A</v>
      </c>
      <c r="Y718" s="4"/>
      <c r="Z718" s="4"/>
      <c r="AA718" s="4"/>
      <c r="AB718" s="4"/>
      <c r="AC718" s="4"/>
      <c r="AD718" s="4"/>
      <c r="AE718" s="4"/>
    </row>
    <row r="719" spans="1:31" x14ac:dyDescent="0.2">
      <c r="A719" s="201"/>
      <c r="B719" s="4" t="s">
        <v>34</v>
      </c>
      <c r="C719" s="4">
        <v>715</v>
      </c>
      <c r="D719" s="4"/>
      <c r="E719" s="4"/>
      <c r="F719" s="203"/>
      <c r="G719" s="4"/>
      <c r="H719" s="4"/>
      <c r="I719" s="4"/>
      <c r="J719" s="4">
        <v>30715</v>
      </c>
      <c r="K719" s="202"/>
      <c r="L719" s="4">
        <v>45</v>
      </c>
      <c r="M719" s="4">
        <v>10</v>
      </c>
      <c r="N719" s="4" t="str">
        <f>_xlfn.CONCAT("DBX",((L719-1)*2)+1,".2")</f>
        <v>DBX89.2</v>
      </c>
      <c r="O719" s="4" t="s">
        <v>781</v>
      </c>
      <c r="P719" s="4"/>
      <c r="Q719" s="4"/>
      <c r="R719" s="4"/>
      <c r="S719" s="4"/>
      <c r="T719" s="4"/>
      <c r="U719" s="4"/>
      <c r="V719" s="4"/>
      <c r="W719" s="4"/>
      <c r="X719" s="4" t="e">
        <f t="shared" si="11"/>
        <v>#N/A</v>
      </c>
      <c r="Y719" s="4"/>
      <c r="Z719" s="4"/>
      <c r="AA719" s="4"/>
      <c r="AB719" s="4"/>
      <c r="AC719" s="4"/>
      <c r="AD719" s="4"/>
      <c r="AE719" s="4"/>
    </row>
    <row r="720" spans="1:31" x14ac:dyDescent="0.2">
      <c r="A720" s="201"/>
      <c r="B720" s="4" t="s">
        <v>34</v>
      </c>
      <c r="C720" s="4">
        <v>716</v>
      </c>
      <c r="D720" s="4"/>
      <c r="E720" s="4"/>
      <c r="F720" s="4"/>
      <c r="G720" s="4"/>
      <c r="H720" s="4"/>
      <c r="I720" s="4"/>
      <c r="J720" s="4">
        <v>30716</v>
      </c>
      <c r="K720" s="202"/>
      <c r="L720" s="4">
        <v>45</v>
      </c>
      <c r="M720" s="4">
        <v>11</v>
      </c>
      <c r="N720" s="4" t="str">
        <f>_xlfn.CONCAT("DBX",((L720-1)*2)+1,".3")</f>
        <v>DBX89.3</v>
      </c>
      <c r="O720" s="4" t="s">
        <v>781</v>
      </c>
      <c r="P720" s="4"/>
      <c r="Q720" s="4"/>
      <c r="R720" s="4"/>
      <c r="S720" s="4"/>
      <c r="T720" s="4"/>
      <c r="U720" s="4"/>
      <c r="V720" s="4"/>
      <c r="W720" s="4"/>
      <c r="X720" s="4" t="e">
        <f t="shared" si="11"/>
        <v>#N/A</v>
      </c>
      <c r="Y720" s="4"/>
      <c r="Z720" s="4"/>
      <c r="AA720" s="4"/>
      <c r="AB720" s="4"/>
      <c r="AC720" s="4"/>
      <c r="AD720" s="4"/>
      <c r="AE720" s="4"/>
    </row>
    <row r="721" spans="1:31" x14ac:dyDescent="0.2">
      <c r="A721" s="201"/>
      <c r="B721" s="4" t="s">
        <v>34</v>
      </c>
      <c r="C721" s="4">
        <v>717</v>
      </c>
      <c r="D721" s="4"/>
      <c r="E721" s="4"/>
      <c r="F721" s="4"/>
      <c r="G721" s="4"/>
      <c r="H721" s="4"/>
      <c r="I721" s="4"/>
      <c r="J721" s="4">
        <v>30717</v>
      </c>
      <c r="K721" s="202"/>
      <c r="L721" s="4">
        <v>45</v>
      </c>
      <c r="M721" s="4">
        <v>12</v>
      </c>
      <c r="N721" s="4" t="str">
        <f>_xlfn.CONCAT("DBX",((L721-1)*2)+1,".4")</f>
        <v>DBX89.4</v>
      </c>
      <c r="O721" s="4" t="s">
        <v>781</v>
      </c>
      <c r="P721" s="4"/>
      <c r="Q721" s="4"/>
      <c r="R721" s="4"/>
      <c r="S721" s="4"/>
      <c r="T721" s="4"/>
      <c r="U721" s="4"/>
      <c r="V721" s="4"/>
      <c r="W721" s="4"/>
      <c r="X721" s="4" t="e">
        <f t="shared" si="11"/>
        <v>#N/A</v>
      </c>
      <c r="Y721" s="4"/>
      <c r="Z721" s="4"/>
      <c r="AA721" s="4"/>
      <c r="AB721" s="4"/>
      <c r="AC721" s="4"/>
      <c r="AD721" s="4"/>
      <c r="AE721" s="4"/>
    </row>
    <row r="722" spans="1:31" x14ac:dyDescent="0.2">
      <c r="A722" s="201"/>
      <c r="B722" s="4" t="s">
        <v>34</v>
      </c>
      <c r="C722" s="4">
        <v>718</v>
      </c>
      <c r="D722" s="4"/>
      <c r="E722" s="4"/>
      <c r="F722" s="4"/>
      <c r="G722" s="4"/>
      <c r="H722" s="4"/>
      <c r="I722" s="4"/>
      <c r="J722" s="4">
        <v>30718</v>
      </c>
      <c r="K722" s="202"/>
      <c r="L722" s="4">
        <v>45</v>
      </c>
      <c r="M722" s="4">
        <v>13</v>
      </c>
      <c r="N722" s="4" t="str">
        <f>_xlfn.CONCAT("DBX",((L722-1)*2)+1,".5")</f>
        <v>DBX89.5</v>
      </c>
      <c r="O722" s="4" t="s">
        <v>781</v>
      </c>
      <c r="P722" s="4"/>
      <c r="Q722" s="4"/>
      <c r="R722" s="4"/>
      <c r="S722" s="4"/>
      <c r="T722" s="4"/>
      <c r="U722" s="4"/>
      <c r="V722" s="4"/>
      <c r="W722" s="4"/>
      <c r="X722" s="4" t="e">
        <f t="shared" si="11"/>
        <v>#N/A</v>
      </c>
      <c r="Y722" s="4"/>
      <c r="Z722" s="4"/>
      <c r="AA722" s="4"/>
      <c r="AB722" s="4"/>
      <c r="AC722" s="4"/>
      <c r="AD722" s="4"/>
      <c r="AE722" s="4"/>
    </row>
    <row r="723" spans="1:31" x14ac:dyDescent="0.2">
      <c r="A723" s="201"/>
      <c r="B723" s="4" t="s">
        <v>34</v>
      </c>
      <c r="C723" s="4">
        <v>719</v>
      </c>
      <c r="D723" s="4"/>
      <c r="E723" s="4"/>
      <c r="F723" s="4"/>
      <c r="G723" s="4"/>
      <c r="H723" s="4"/>
      <c r="I723" s="4"/>
      <c r="J723" s="4">
        <v>30719</v>
      </c>
      <c r="K723" s="202"/>
      <c r="L723" s="4">
        <v>45</v>
      </c>
      <c r="M723" s="4">
        <v>14</v>
      </c>
      <c r="N723" s="4" t="str">
        <f>_xlfn.CONCAT("DBX",((L723-1)*2)+1,".6")</f>
        <v>DBX89.6</v>
      </c>
      <c r="O723" s="4" t="s">
        <v>781</v>
      </c>
      <c r="P723" s="4"/>
      <c r="Q723" s="4"/>
      <c r="R723" s="4"/>
      <c r="S723" s="4"/>
      <c r="T723" s="4"/>
      <c r="U723" s="4"/>
      <c r="V723" s="4"/>
      <c r="W723" s="4"/>
      <c r="X723" s="4" t="e">
        <f t="shared" si="11"/>
        <v>#N/A</v>
      </c>
      <c r="Y723" s="4"/>
      <c r="Z723" s="4"/>
      <c r="AA723" s="4"/>
      <c r="AB723" s="4"/>
      <c r="AC723" s="4"/>
      <c r="AD723" s="4"/>
      <c r="AE723" s="4"/>
    </row>
    <row r="724" spans="1:31" x14ac:dyDescent="0.2">
      <c r="A724" s="201"/>
      <c r="B724" s="4" t="s">
        <v>34</v>
      </c>
      <c r="C724" s="4">
        <v>720</v>
      </c>
      <c r="D724" s="4"/>
      <c r="E724" s="4"/>
      <c r="F724" s="4"/>
      <c r="G724" s="4"/>
      <c r="H724" s="4"/>
      <c r="I724" s="4"/>
      <c r="J724" s="4">
        <v>30720</v>
      </c>
      <c r="K724" s="202"/>
      <c r="L724" s="4">
        <v>45</v>
      </c>
      <c r="M724" s="4">
        <v>15</v>
      </c>
      <c r="N724" s="4" t="str">
        <f>_xlfn.CONCAT("DBX",((L724-1)*2)+1,".7")</f>
        <v>DBX89.7</v>
      </c>
      <c r="O724" s="4" t="s">
        <v>781</v>
      </c>
      <c r="P724" s="4"/>
      <c r="Q724" s="4"/>
      <c r="R724" s="4"/>
      <c r="S724" s="4"/>
      <c r="T724" s="4"/>
      <c r="U724" s="4"/>
      <c r="V724" s="4"/>
      <c r="W724" s="4"/>
      <c r="X724" s="4" t="e">
        <f t="shared" si="11"/>
        <v>#N/A</v>
      </c>
      <c r="Y724" s="4"/>
      <c r="Z724" s="4"/>
      <c r="AA724" s="4"/>
      <c r="AB724" s="4"/>
      <c r="AC724" s="4"/>
      <c r="AD724" s="4"/>
      <c r="AE724" s="4"/>
    </row>
    <row r="725" spans="1:31" x14ac:dyDescent="0.2">
      <c r="A725" s="201"/>
      <c r="B725" s="4" t="s">
        <v>34</v>
      </c>
      <c r="C725" s="4">
        <v>721</v>
      </c>
      <c r="D725" s="4"/>
      <c r="E725" s="4"/>
      <c r="F725" s="203"/>
      <c r="G725" s="4"/>
      <c r="H725" s="4"/>
      <c r="I725" s="4"/>
      <c r="J725" s="4">
        <v>30721</v>
      </c>
      <c r="K725" s="202"/>
      <c r="L725" s="4">
        <v>46</v>
      </c>
      <c r="M725" s="4">
        <v>0</v>
      </c>
      <c r="N725" s="4" t="str">
        <f>_xlfn.CONCAT("DBX",((L725-1)*2),".0")</f>
        <v>DBX90.0</v>
      </c>
      <c r="O725" s="4" t="s">
        <v>781</v>
      </c>
      <c r="P725" s="4"/>
      <c r="Q725" s="4"/>
      <c r="R725" s="4"/>
      <c r="S725" s="4"/>
      <c r="T725" s="4"/>
      <c r="U725" s="4"/>
      <c r="V725" s="4"/>
      <c r="W725" s="4"/>
      <c r="X725" s="4" t="e">
        <f t="shared" si="11"/>
        <v>#N/A</v>
      </c>
      <c r="Y725" s="4"/>
      <c r="Z725" s="4"/>
      <c r="AA725" s="4"/>
      <c r="AB725" s="4"/>
      <c r="AC725" s="4"/>
      <c r="AD725" s="4"/>
      <c r="AE725" s="4"/>
    </row>
    <row r="726" spans="1:31" x14ac:dyDescent="0.2">
      <c r="A726" s="201"/>
      <c r="B726" s="4" t="s">
        <v>34</v>
      </c>
      <c r="C726" s="4">
        <v>722</v>
      </c>
      <c r="D726" s="4"/>
      <c r="E726" s="4"/>
      <c r="F726" s="4"/>
      <c r="G726" s="4"/>
      <c r="H726" s="4"/>
      <c r="I726" s="4"/>
      <c r="J726" s="4">
        <v>30722</v>
      </c>
      <c r="K726" s="202"/>
      <c r="L726" s="4">
        <v>46</v>
      </c>
      <c r="M726" s="4">
        <v>1</v>
      </c>
      <c r="N726" s="4" t="str">
        <f>_xlfn.CONCAT("DBX",((L726-1)*2),".1")</f>
        <v>DBX90.1</v>
      </c>
      <c r="O726" s="4" t="s">
        <v>781</v>
      </c>
      <c r="P726" s="4"/>
      <c r="Q726" s="4"/>
      <c r="R726" s="4"/>
      <c r="S726" s="4"/>
      <c r="T726" s="4"/>
      <c r="U726" s="4"/>
      <c r="V726" s="4"/>
      <c r="W726" s="4"/>
      <c r="X726" s="4" t="e">
        <f t="shared" si="11"/>
        <v>#N/A</v>
      </c>
      <c r="Y726" s="4"/>
      <c r="Z726" s="4"/>
      <c r="AA726" s="4"/>
      <c r="AB726" s="4"/>
      <c r="AC726" s="4"/>
      <c r="AD726" s="4"/>
      <c r="AE726" s="4"/>
    </row>
    <row r="727" spans="1:31" x14ac:dyDescent="0.2">
      <c r="A727" s="201"/>
      <c r="B727" s="4" t="s">
        <v>34</v>
      </c>
      <c r="C727" s="4">
        <v>723</v>
      </c>
      <c r="D727" s="4"/>
      <c r="E727" s="4"/>
      <c r="F727" s="4"/>
      <c r="G727" s="4"/>
      <c r="H727" s="4"/>
      <c r="I727" s="4"/>
      <c r="J727" s="4">
        <v>30723</v>
      </c>
      <c r="K727" s="202"/>
      <c r="L727" s="4">
        <v>46</v>
      </c>
      <c r="M727" s="4">
        <v>2</v>
      </c>
      <c r="N727" s="4" t="str">
        <f>_xlfn.CONCAT("DBX",((L727-1)*2),".2")</f>
        <v>DBX90.2</v>
      </c>
      <c r="O727" s="4" t="s">
        <v>781</v>
      </c>
      <c r="P727" s="4"/>
      <c r="Q727" s="4"/>
      <c r="R727" s="4"/>
      <c r="S727" s="4"/>
      <c r="T727" s="4"/>
      <c r="U727" s="4"/>
      <c r="V727" s="4"/>
      <c r="W727" s="4"/>
      <c r="X727" s="4" t="e">
        <f t="shared" si="11"/>
        <v>#N/A</v>
      </c>
      <c r="Y727" s="4"/>
      <c r="Z727" s="4"/>
      <c r="AA727" s="4"/>
      <c r="AB727" s="4"/>
      <c r="AC727" s="4"/>
      <c r="AD727" s="4"/>
      <c r="AE727" s="4"/>
    </row>
    <row r="728" spans="1:31" x14ac:dyDescent="0.2">
      <c r="A728" s="201"/>
      <c r="B728" s="4" t="s">
        <v>34</v>
      </c>
      <c r="C728" s="4">
        <v>724</v>
      </c>
      <c r="D728" s="4"/>
      <c r="E728" s="4"/>
      <c r="F728" s="4"/>
      <c r="G728" s="4"/>
      <c r="H728" s="4"/>
      <c r="I728" s="4"/>
      <c r="J728" s="4">
        <v>30724</v>
      </c>
      <c r="K728" s="202"/>
      <c r="L728" s="4">
        <v>46</v>
      </c>
      <c r="M728" s="4">
        <v>3</v>
      </c>
      <c r="N728" s="4" t="str">
        <f>_xlfn.CONCAT("DBX",((L728-1)*2),".3")</f>
        <v>DBX90.3</v>
      </c>
      <c r="O728" s="4" t="s">
        <v>781</v>
      </c>
      <c r="P728" s="4"/>
      <c r="Q728" s="4"/>
      <c r="R728" s="4"/>
      <c r="S728" s="4"/>
      <c r="T728" s="4"/>
      <c r="U728" s="4"/>
      <c r="V728" s="4"/>
      <c r="W728" s="4"/>
      <c r="X728" s="4" t="e">
        <f t="shared" si="11"/>
        <v>#N/A</v>
      </c>
      <c r="Y728" s="4"/>
      <c r="Z728" s="4"/>
      <c r="AA728" s="4"/>
      <c r="AB728" s="4"/>
      <c r="AC728" s="4"/>
      <c r="AD728" s="4"/>
      <c r="AE728" s="4"/>
    </row>
    <row r="729" spans="1:31" x14ac:dyDescent="0.2">
      <c r="A729" s="201"/>
      <c r="B729" s="4" t="s">
        <v>34</v>
      </c>
      <c r="C729" s="4">
        <v>725</v>
      </c>
      <c r="D729" s="4"/>
      <c r="E729" s="4"/>
      <c r="F729" s="4"/>
      <c r="G729" s="4"/>
      <c r="H729" s="4"/>
      <c r="I729" s="4"/>
      <c r="J729" s="4">
        <v>30725</v>
      </c>
      <c r="K729" s="202"/>
      <c r="L729" s="4">
        <v>46</v>
      </c>
      <c r="M729" s="4">
        <v>4</v>
      </c>
      <c r="N729" s="4" t="str">
        <f>_xlfn.CONCAT("DBX",((L729-1)*2),".4")</f>
        <v>DBX90.4</v>
      </c>
      <c r="O729" s="4" t="s">
        <v>781</v>
      </c>
      <c r="P729" s="4"/>
      <c r="Q729" s="4"/>
      <c r="R729" s="4"/>
      <c r="S729" s="4"/>
      <c r="T729" s="4"/>
      <c r="U729" s="4"/>
      <c r="V729" s="4"/>
      <c r="W729" s="4"/>
      <c r="X729" s="4" t="e">
        <f t="shared" si="11"/>
        <v>#N/A</v>
      </c>
      <c r="Y729" s="4"/>
      <c r="Z729" s="4"/>
      <c r="AA729" s="4"/>
      <c r="AB729" s="4"/>
      <c r="AC729" s="4"/>
      <c r="AD729" s="4"/>
      <c r="AE729" s="4"/>
    </row>
    <row r="730" spans="1:31" x14ac:dyDescent="0.2">
      <c r="A730" s="201"/>
      <c r="B730" s="4" t="s">
        <v>34</v>
      </c>
      <c r="C730" s="4">
        <v>726</v>
      </c>
      <c r="D730" s="4"/>
      <c r="E730" s="4"/>
      <c r="F730" s="4"/>
      <c r="G730" s="4"/>
      <c r="H730" s="4"/>
      <c r="I730" s="4"/>
      <c r="J730" s="4">
        <v>30726</v>
      </c>
      <c r="K730" s="202"/>
      <c r="L730" s="4">
        <v>46</v>
      </c>
      <c r="M730" s="4">
        <v>5</v>
      </c>
      <c r="N730" s="4" t="str">
        <f>_xlfn.CONCAT("DBX",((L730-1)*2),".5")</f>
        <v>DBX90.5</v>
      </c>
      <c r="O730" s="4" t="s">
        <v>781</v>
      </c>
      <c r="P730" s="4"/>
      <c r="Q730" s="4"/>
      <c r="R730" s="4"/>
      <c r="S730" s="4"/>
      <c r="T730" s="4"/>
      <c r="U730" s="4"/>
      <c r="V730" s="4"/>
      <c r="W730" s="4"/>
      <c r="X730" s="4" t="e">
        <f t="shared" si="11"/>
        <v>#N/A</v>
      </c>
      <c r="Y730" s="4"/>
      <c r="Z730" s="4"/>
      <c r="AA730" s="4"/>
      <c r="AB730" s="4"/>
      <c r="AC730" s="4"/>
      <c r="AD730" s="4"/>
      <c r="AE730" s="4"/>
    </row>
    <row r="731" spans="1:31" x14ac:dyDescent="0.2">
      <c r="A731" s="201"/>
      <c r="B731" s="4" t="s">
        <v>34</v>
      </c>
      <c r="C731" s="4">
        <v>727</v>
      </c>
      <c r="D731" s="4"/>
      <c r="E731" s="4"/>
      <c r="F731" s="4"/>
      <c r="G731" s="4"/>
      <c r="H731" s="4"/>
      <c r="I731" s="4"/>
      <c r="J731" s="4">
        <v>30727</v>
      </c>
      <c r="K731" s="202"/>
      <c r="L731" s="4">
        <v>46</v>
      </c>
      <c r="M731" s="4">
        <v>6</v>
      </c>
      <c r="N731" s="4" t="str">
        <f>_xlfn.CONCAT("DBX",((L731-1)*2),".6")</f>
        <v>DBX90.6</v>
      </c>
      <c r="O731" s="4" t="s">
        <v>781</v>
      </c>
      <c r="P731" s="4"/>
      <c r="Q731" s="4"/>
      <c r="R731" s="4"/>
      <c r="S731" s="4"/>
      <c r="T731" s="4"/>
      <c r="U731" s="4"/>
      <c r="V731" s="4"/>
      <c r="W731" s="4"/>
      <c r="X731" s="4" t="e">
        <f t="shared" si="11"/>
        <v>#N/A</v>
      </c>
      <c r="Y731" s="4"/>
      <c r="Z731" s="4"/>
      <c r="AA731" s="4"/>
      <c r="AB731" s="4"/>
      <c r="AC731" s="4"/>
      <c r="AD731" s="4"/>
      <c r="AE731" s="4"/>
    </row>
    <row r="732" spans="1:31" x14ac:dyDescent="0.2">
      <c r="A732" s="201"/>
      <c r="B732" s="4" t="s">
        <v>34</v>
      </c>
      <c r="C732" s="4">
        <v>728</v>
      </c>
      <c r="D732" s="4"/>
      <c r="E732" s="4"/>
      <c r="F732" s="4"/>
      <c r="G732" s="4"/>
      <c r="H732" s="4"/>
      <c r="I732" s="4"/>
      <c r="J732" s="4">
        <v>30728</v>
      </c>
      <c r="K732" s="202"/>
      <c r="L732" s="4">
        <v>46</v>
      </c>
      <c r="M732" s="4">
        <v>7</v>
      </c>
      <c r="N732" s="4" t="str">
        <f>_xlfn.CONCAT("DBX",((L732-1)*2),".7")</f>
        <v>DBX90.7</v>
      </c>
      <c r="O732" s="4" t="s">
        <v>781</v>
      </c>
      <c r="P732" s="4"/>
      <c r="Q732" s="4"/>
      <c r="R732" s="4"/>
      <c r="S732" s="4"/>
      <c r="T732" s="4"/>
      <c r="U732" s="4"/>
      <c r="V732" s="4"/>
      <c r="W732" s="4"/>
      <c r="X732" s="4" t="e">
        <f t="shared" si="11"/>
        <v>#N/A</v>
      </c>
      <c r="Y732" s="4"/>
      <c r="Z732" s="4"/>
      <c r="AA732" s="4"/>
      <c r="AB732" s="4"/>
      <c r="AC732" s="4"/>
      <c r="AD732" s="4"/>
      <c r="AE732" s="4"/>
    </row>
    <row r="733" spans="1:31" x14ac:dyDescent="0.2">
      <c r="A733" s="201"/>
      <c r="B733" s="4" t="s">
        <v>34</v>
      </c>
      <c r="C733" s="4">
        <v>729</v>
      </c>
      <c r="D733" s="4"/>
      <c r="E733" s="4"/>
      <c r="F733" s="4"/>
      <c r="G733" s="4"/>
      <c r="H733" s="4"/>
      <c r="I733" s="4"/>
      <c r="J733" s="4">
        <v>30729</v>
      </c>
      <c r="K733" s="202"/>
      <c r="L733" s="4">
        <v>46</v>
      </c>
      <c r="M733" s="4">
        <v>8</v>
      </c>
      <c r="N733" s="4" t="str">
        <f>_xlfn.CONCAT("DBX",((L733-1)*2)+1,".0")</f>
        <v>DBX91.0</v>
      </c>
      <c r="O733" s="4" t="s">
        <v>781</v>
      </c>
      <c r="P733" s="4"/>
      <c r="Q733" s="4"/>
      <c r="R733" s="4"/>
      <c r="S733" s="4"/>
      <c r="T733" s="4"/>
      <c r="U733" s="4"/>
      <c r="V733" s="4"/>
      <c r="W733" s="4"/>
      <c r="X733" s="4" t="e">
        <f t="shared" si="11"/>
        <v>#N/A</v>
      </c>
      <c r="Y733" s="4"/>
      <c r="Z733" s="4"/>
      <c r="AA733" s="4"/>
      <c r="AB733" s="4"/>
      <c r="AC733" s="4"/>
      <c r="AD733" s="4"/>
      <c r="AE733" s="4"/>
    </row>
    <row r="734" spans="1:31" x14ac:dyDescent="0.2">
      <c r="A734" s="201"/>
      <c r="B734" s="4" t="s">
        <v>34</v>
      </c>
      <c r="C734" s="4">
        <v>730</v>
      </c>
      <c r="D734" s="4"/>
      <c r="E734" s="4"/>
      <c r="F734" s="4"/>
      <c r="G734" s="4"/>
      <c r="H734" s="4"/>
      <c r="I734" s="4"/>
      <c r="J734" s="4">
        <v>30730</v>
      </c>
      <c r="K734" s="202"/>
      <c r="L734" s="4">
        <v>46</v>
      </c>
      <c r="M734" s="4">
        <v>9</v>
      </c>
      <c r="N734" s="4" t="str">
        <f>_xlfn.CONCAT("DBX",((L734-1)*2)+1,".1")</f>
        <v>DBX91.1</v>
      </c>
      <c r="O734" s="4" t="s">
        <v>781</v>
      </c>
      <c r="P734" s="4"/>
      <c r="Q734" s="4"/>
      <c r="R734" s="4"/>
      <c r="S734" s="4"/>
      <c r="T734" s="4"/>
      <c r="U734" s="4"/>
      <c r="V734" s="4"/>
      <c r="W734" s="4"/>
      <c r="X734" s="4" t="e">
        <f t="shared" si="11"/>
        <v>#N/A</v>
      </c>
      <c r="Y734" s="4"/>
      <c r="Z734" s="4"/>
      <c r="AA734" s="4"/>
      <c r="AB734" s="4"/>
      <c r="AC734" s="4"/>
      <c r="AD734" s="4"/>
      <c r="AE734" s="4"/>
    </row>
    <row r="735" spans="1:31" x14ac:dyDescent="0.2">
      <c r="A735" s="201"/>
      <c r="B735" s="4" t="s">
        <v>34</v>
      </c>
      <c r="C735" s="4">
        <v>731</v>
      </c>
      <c r="D735" s="4"/>
      <c r="E735" s="4"/>
      <c r="F735" s="4"/>
      <c r="G735" s="4"/>
      <c r="H735" s="4"/>
      <c r="I735" s="4"/>
      <c r="J735" s="4">
        <v>30731</v>
      </c>
      <c r="K735" s="202"/>
      <c r="L735" s="4">
        <v>46</v>
      </c>
      <c r="M735" s="4">
        <v>10</v>
      </c>
      <c r="N735" s="4" t="str">
        <f>_xlfn.CONCAT("DBX",((L735-1)*2)+1,".2")</f>
        <v>DBX91.2</v>
      </c>
      <c r="O735" s="4" t="s">
        <v>781</v>
      </c>
      <c r="P735" s="4"/>
      <c r="Q735" s="4"/>
      <c r="R735" s="4"/>
      <c r="S735" s="4"/>
      <c r="T735" s="4"/>
      <c r="U735" s="4"/>
      <c r="V735" s="4"/>
      <c r="W735" s="4"/>
      <c r="X735" s="4" t="e">
        <f t="shared" si="11"/>
        <v>#N/A</v>
      </c>
      <c r="Y735" s="4"/>
      <c r="Z735" s="4"/>
      <c r="AA735" s="4"/>
      <c r="AB735" s="4"/>
      <c r="AC735" s="4"/>
      <c r="AD735" s="4"/>
      <c r="AE735" s="4"/>
    </row>
    <row r="736" spans="1:31" x14ac:dyDescent="0.2">
      <c r="A736" s="201"/>
      <c r="B736" s="4" t="s">
        <v>34</v>
      </c>
      <c r="C736" s="4">
        <v>732</v>
      </c>
      <c r="D736" s="4"/>
      <c r="E736" s="4"/>
      <c r="F736" s="4"/>
      <c r="G736" s="4"/>
      <c r="H736" s="4"/>
      <c r="I736" s="4"/>
      <c r="J736" s="4">
        <v>30732</v>
      </c>
      <c r="K736" s="202"/>
      <c r="L736" s="4">
        <v>46</v>
      </c>
      <c r="M736" s="4">
        <v>11</v>
      </c>
      <c r="N736" s="4" t="str">
        <f>_xlfn.CONCAT("DBX",((L736-1)*2)+1,".3")</f>
        <v>DBX91.3</v>
      </c>
      <c r="O736" s="4" t="s">
        <v>781</v>
      </c>
      <c r="P736" s="4"/>
      <c r="Q736" s="4"/>
      <c r="R736" s="4"/>
      <c r="S736" s="4"/>
      <c r="T736" s="4"/>
      <c r="U736" s="4"/>
      <c r="V736" s="4"/>
      <c r="W736" s="4"/>
      <c r="X736" s="4" t="e">
        <f t="shared" si="11"/>
        <v>#N/A</v>
      </c>
      <c r="Y736" s="4"/>
      <c r="Z736" s="4"/>
      <c r="AA736" s="4"/>
      <c r="AB736" s="4"/>
      <c r="AC736" s="4"/>
      <c r="AD736" s="4"/>
      <c r="AE736" s="4"/>
    </row>
    <row r="737" spans="1:31" x14ac:dyDescent="0.2">
      <c r="A737" s="201"/>
      <c r="B737" s="4" t="s">
        <v>34</v>
      </c>
      <c r="C737" s="4">
        <v>733</v>
      </c>
      <c r="D737" s="4"/>
      <c r="E737" s="4"/>
      <c r="F737" s="4"/>
      <c r="G737" s="4"/>
      <c r="H737" s="4"/>
      <c r="I737" s="4"/>
      <c r="J737" s="4">
        <v>30733</v>
      </c>
      <c r="K737" s="202"/>
      <c r="L737" s="4">
        <v>46</v>
      </c>
      <c r="M737" s="4">
        <v>12</v>
      </c>
      <c r="N737" s="4" t="str">
        <f>_xlfn.CONCAT("DBX",((L737-1)*2)+1,".4")</f>
        <v>DBX91.4</v>
      </c>
      <c r="O737" s="4" t="s">
        <v>781</v>
      </c>
      <c r="P737" s="4"/>
      <c r="Q737" s="4"/>
      <c r="R737" s="4"/>
      <c r="S737" s="4"/>
      <c r="T737" s="4"/>
      <c r="U737" s="4"/>
      <c r="V737" s="4"/>
      <c r="W737" s="4"/>
      <c r="X737" s="4" t="e">
        <f t="shared" si="11"/>
        <v>#N/A</v>
      </c>
      <c r="Y737" s="4"/>
      <c r="Z737" s="4"/>
      <c r="AA737" s="4"/>
      <c r="AB737" s="4"/>
      <c r="AC737" s="4"/>
      <c r="AD737" s="4"/>
      <c r="AE737" s="4"/>
    </row>
    <row r="738" spans="1:31" x14ac:dyDescent="0.2">
      <c r="A738" s="201"/>
      <c r="B738" s="4" t="s">
        <v>34</v>
      </c>
      <c r="C738" s="4">
        <v>734</v>
      </c>
      <c r="D738" s="4"/>
      <c r="E738" s="4"/>
      <c r="F738" s="4"/>
      <c r="G738" s="4"/>
      <c r="H738" s="4"/>
      <c r="I738" s="4"/>
      <c r="J738" s="4">
        <v>30734</v>
      </c>
      <c r="K738" s="202"/>
      <c r="L738" s="4">
        <v>46</v>
      </c>
      <c r="M738" s="4">
        <v>13</v>
      </c>
      <c r="N738" s="4" t="str">
        <f>_xlfn.CONCAT("DBX",((L738-1)*2)+1,".5")</f>
        <v>DBX91.5</v>
      </c>
      <c r="O738" s="4" t="s">
        <v>781</v>
      </c>
      <c r="P738" s="4"/>
      <c r="Q738" s="4"/>
      <c r="R738" s="4"/>
      <c r="S738" s="4"/>
      <c r="T738" s="4"/>
      <c r="U738" s="4"/>
      <c r="V738" s="4"/>
      <c r="W738" s="4"/>
      <c r="X738" s="4" t="e">
        <f t="shared" si="11"/>
        <v>#N/A</v>
      </c>
      <c r="Y738" s="4"/>
      <c r="Z738" s="4"/>
      <c r="AA738" s="4"/>
      <c r="AB738" s="4"/>
      <c r="AC738" s="4"/>
      <c r="AD738" s="4"/>
      <c r="AE738" s="4"/>
    </row>
    <row r="739" spans="1:31" x14ac:dyDescent="0.2">
      <c r="A739" s="201"/>
      <c r="B739" s="4" t="s">
        <v>34</v>
      </c>
      <c r="C739" s="4">
        <v>735</v>
      </c>
      <c r="D739" s="4"/>
      <c r="E739" s="4"/>
      <c r="F739" s="4"/>
      <c r="G739" s="4"/>
      <c r="H739" s="4"/>
      <c r="I739" s="4"/>
      <c r="J739" s="4">
        <v>30735</v>
      </c>
      <c r="K739" s="202"/>
      <c r="L739" s="4">
        <v>46</v>
      </c>
      <c r="M739" s="4">
        <v>14</v>
      </c>
      <c r="N739" s="4" t="str">
        <f>_xlfn.CONCAT("DBX",((L739-1)*2)+1,".6")</f>
        <v>DBX91.6</v>
      </c>
      <c r="O739" s="4" t="s">
        <v>781</v>
      </c>
      <c r="P739" s="4"/>
      <c r="Q739" s="4"/>
      <c r="R739" s="4"/>
      <c r="S739" s="4"/>
      <c r="T739" s="4"/>
      <c r="U739" s="4"/>
      <c r="V739" s="4"/>
      <c r="W739" s="4"/>
      <c r="X739" s="4" t="e">
        <f t="shared" si="11"/>
        <v>#N/A</v>
      </c>
      <c r="Y739" s="4"/>
      <c r="Z739" s="4"/>
      <c r="AA739" s="4"/>
      <c r="AB739" s="4"/>
      <c r="AC739" s="4"/>
      <c r="AD739" s="4"/>
      <c r="AE739" s="4"/>
    </row>
    <row r="740" spans="1:31" x14ac:dyDescent="0.2">
      <c r="A740" s="201"/>
      <c r="B740" s="4" t="s">
        <v>34</v>
      </c>
      <c r="C740" s="4">
        <v>736</v>
      </c>
      <c r="D740" s="4"/>
      <c r="E740" s="4"/>
      <c r="F740" s="4"/>
      <c r="G740" s="4"/>
      <c r="H740" s="4"/>
      <c r="I740" s="4"/>
      <c r="J740" s="4">
        <v>30736</v>
      </c>
      <c r="K740" s="202"/>
      <c r="L740" s="4">
        <v>46</v>
      </c>
      <c r="M740" s="4">
        <v>15</v>
      </c>
      <c r="N740" s="4" t="str">
        <f>_xlfn.CONCAT("DBX",((L740-1)*2)+1,".7")</f>
        <v>DBX91.7</v>
      </c>
      <c r="O740" s="4" t="s">
        <v>781</v>
      </c>
      <c r="P740" s="4"/>
      <c r="Q740" s="4"/>
      <c r="R740" s="4"/>
      <c r="S740" s="4"/>
      <c r="T740" s="4"/>
      <c r="U740" s="4"/>
      <c r="V740" s="4"/>
      <c r="W740" s="4"/>
      <c r="X740" s="4" t="e">
        <f t="shared" si="11"/>
        <v>#N/A</v>
      </c>
      <c r="Y740" s="4"/>
      <c r="Z740" s="4"/>
      <c r="AA740" s="4"/>
      <c r="AB740" s="4"/>
      <c r="AC740" s="4"/>
      <c r="AD740" s="4"/>
      <c r="AE740" s="4"/>
    </row>
    <row r="741" spans="1:31" x14ac:dyDescent="0.2">
      <c r="A741" s="201"/>
      <c r="B741" s="4" t="s">
        <v>34</v>
      </c>
      <c r="C741" s="4">
        <v>737</v>
      </c>
      <c r="D741" s="4"/>
      <c r="E741" s="4"/>
      <c r="F741" s="4"/>
      <c r="G741" s="4"/>
      <c r="H741" s="4"/>
      <c r="I741" s="4"/>
      <c r="J741" s="4">
        <v>30737</v>
      </c>
      <c r="K741" s="202"/>
      <c r="L741" s="4">
        <v>47</v>
      </c>
      <c r="M741" s="4">
        <v>0</v>
      </c>
      <c r="N741" s="4" t="str">
        <f>_xlfn.CONCAT("DBX",((L741-1)*2),".0")</f>
        <v>DBX92.0</v>
      </c>
      <c r="O741" s="4" t="s">
        <v>781</v>
      </c>
      <c r="P741" s="4"/>
      <c r="Q741" s="4"/>
      <c r="R741" s="4"/>
      <c r="S741" s="4"/>
      <c r="T741" s="4"/>
      <c r="U741" s="4"/>
      <c r="V741" s="4"/>
      <c r="W741" s="4"/>
      <c r="X741" s="4" t="e">
        <f t="shared" si="11"/>
        <v>#N/A</v>
      </c>
      <c r="Y741" s="4"/>
      <c r="Z741" s="4"/>
      <c r="AA741" s="4"/>
      <c r="AB741" s="4"/>
      <c r="AC741" s="4"/>
      <c r="AD741" s="4"/>
      <c r="AE741" s="4"/>
    </row>
    <row r="742" spans="1:31" x14ac:dyDescent="0.2">
      <c r="A742" s="201"/>
      <c r="B742" s="4" t="s">
        <v>34</v>
      </c>
      <c r="C742" s="4">
        <v>738</v>
      </c>
      <c r="D742" s="4"/>
      <c r="E742" s="4"/>
      <c r="F742" s="4"/>
      <c r="G742" s="4"/>
      <c r="H742" s="4"/>
      <c r="I742" s="4"/>
      <c r="J742" s="4">
        <v>30738</v>
      </c>
      <c r="K742" s="202"/>
      <c r="L742" s="4">
        <v>47</v>
      </c>
      <c r="M742" s="4">
        <v>1</v>
      </c>
      <c r="N742" s="4" t="str">
        <f>_xlfn.CONCAT("DBX",((L742-1)*2),".1")</f>
        <v>DBX92.1</v>
      </c>
      <c r="O742" s="4" t="s">
        <v>781</v>
      </c>
      <c r="P742" s="4"/>
      <c r="Q742" s="4"/>
      <c r="R742" s="4"/>
      <c r="S742" s="4"/>
      <c r="T742" s="4"/>
      <c r="U742" s="4"/>
      <c r="V742" s="4"/>
      <c r="W742" s="4"/>
      <c r="X742" s="4" t="e">
        <f t="shared" si="11"/>
        <v>#N/A</v>
      </c>
      <c r="Y742" s="4"/>
      <c r="Z742" s="4"/>
      <c r="AA742" s="4"/>
      <c r="AB742" s="4"/>
      <c r="AC742" s="4"/>
      <c r="AD742" s="4"/>
      <c r="AE742" s="4"/>
    </row>
    <row r="743" spans="1:31" x14ac:dyDescent="0.2">
      <c r="A743" s="201"/>
      <c r="B743" s="4" t="s">
        <v>34</v>
      </c>
      <c r="C743" s="4">
        <v>739</v>
      </c>
      <c r="D743" s="4"/>
      <c r="E743" s="4"/>
      <c r="F743" s="4"/>
      <c r="G743" s="4"/>
      <c r="H743" s="4"/>
      <c r="I743" s="4"/>
      <c r="J743" s="4">
        <v>30739</v>
      </c>
      <c r="K743" s="202"/>
      <c r="L743" s="4">
        <v>47</v>
      </c>
      <c r="M743" s="4">
        <v>2</v>
      </c>
      <c r="N743" s="4" t="str">
        <f>_xlfn.CONCAT("DBX",((L743-1)*2),".2")</f>
        <v>DBX92.2</v>
      </c>
      <c r="O743" s="4" t="s">
        <v>781</v>
      </c>
      <c r="P743" s="4"/>
      <c r="Q743" s="4"/>
      <c r="R743" s="4"/>
      <c r="S743" s="4"/>
      <c r="T743" s="4"/>
      <c r="U743" s="4"/>
      <c r="V743" s="4"/>
      <c r="W743" s="4"/>
      <c r="X743" s="4" t="e">
        <f t="shared" si="11"/>
        <v>#N/A</v>
      </c>
      <c r="Y743" s="4"/>
      <c r="Z743" s="4"/>
      <c r="AA743" s="4"/>
      <c r="AB743" s="4"/>
      <c r="AC743" s="4"/>
      <c r="AD743" s="4"/>
      <c r="AE743" s="4"/>
    </row>
    <row r="744" spans="1:31" x14ac:dyDescent="0.2">
      <c r="A744" s="201"/>
      <c r="B744" s="4" t="s">
        <v>34</v>
      </c>
      <c r="C744" s="4">
        <v>740</v>
      </c>
      <c r="D744" s="4"/>
      <c r="E744" s="4"/>
      <c r="F744" s="4"/>
      <c r="G744" s="4"/>
      <c r="H744" s="4"/>
      <c r="I744" s="4"/>
      <c r="J744" s="4">
        <v>30740</v>
      </c>
      <c r="K744" s="202"/>
      <c r="L744" s="4">
        <v>47</v>
      </c>
      <c r="M744" s="4">
        <v>3</v>
      </c>
      <c r="N744" s="4" t="str">
        <f>_xlfn.CONCAT("DBX",((L744-1)*2),".3")</f>
        <v>DBX92.3</v>
      </c>
      <c r="O744" s="4" t="s">
        <v>781</v>
      </c>
      <c r="P744" s="4"/>
      <c r="Q744" s="4"/>
      <c r="R744" s="4"/>
      <c r="S744" s="4"/>
      <c r="T744" s="4"/>
      <c r="U744" s="4"/>
      <c r="V744" s="4"/>
      <c r="W744" s="4"/>
      <c r="X744" s="4" t="e">
        <f t="shared" si="11"/>
        <v>#N/A</v>
      </c>
      <c r="Y744" s="4"/>
      <c r="Z744" s="4"/>
      <c r="AA744" s="4"/>
      <c r="AB744" s="4"/>
      <c r="AC744" s="4"/>
      <c r="AD744" s="4"/>
      <c r="AE744" s="4"/>
    </row>
    <row r="745" spans="1:31" x14ac:dyDescent="0.2">
      <c r="A745" s="201"/>
      <c r="B745" s="4" t="s">
        <v>34</v>
      </c>
      <c r="C745" s="4">
        <v>741</v>
      </c>
      <c r="D745" s="4"/>
      <c r="E745" s="4"/>
      <c r="F745" s="4"/>
      <c r="G745" s="4"/>
      <c r="H745" s="4"/>
      <c r="I745" s="4"/>
      <c r="J745" s="4">
        <v>30741</v>
      </c>
      <c r="K745" s="202"/>
      <c r="L745" s="4">
        <v>47</v>
      </c>
      <c r="M745" s="4">
        <v>4</v>
      </c>
      <c r="N745" s="4" t="str">
        <f>_xlfn.CONCAT("DBX",((L745-1)*2),".4")</f>
        <v>DBX92.4</v>
      </c>
      <c r="O745" s="4" t="s">
        <v>781</v>
      </c>
      <c r="P745" s="4"/>
      <c r="Q745" s="4"/>
      <c r="R745" s="4"/>
      <c r="S745" s="4"/>
      <c r="T745" s="4"/>
      <c r="U745" s="4"/>
      <c r="V745" s="4"/>
      <c r="W745" s="4"/>
      <c r="X745" s="4" t="e">
        <f t="shared" si="11"/>
        <v>#N/A</v>
      </c>
      <c r="Y745" s="4"/>
      <c r="Z745" s="4"/>
      <c r="AA745" s="4"/>
      <c r="AB745" s="4"/>
      <c r="AC745" s="4"/>
      <c r="AD745" s="4"/>
      <c r="AE745" s="4"/>
    </row>
    <row r="746" spans="1:31" x14ac:dyDescent="0.2">
      <c r="A746" s="201"/>
      <c r="B746" s="4" t="s">
        <v>34</v>
      </c>
      <c r="C746" s="4">
        <v>742</v>
      </c>
      <c r="D746" s="4"/>
      <c r="E746" s="4"/>
      <c r="F746" s="4"/>
      <c r="G746" s="4"/>
      <c r="H746" s="4"/>
      <c r="I746" s="4"/>
      <c r="J746" s="4">
        <v>30742</v>
      </c>
      <c r="K746" s="202"/>
      <c r="L746" s="4">
        <v>47</v>
      </c>
      <c r="M746" s="4">
        <v>5</v>
      </c>
      <c r="N746" s="4" t="str">
        <f>_xlfn.CONCAT("DBX",((L746-1)*2),".5")</f>
        <v>DBX92.5</v>
      </c>
      <c r="O746" s="4" t="s">
        <v>781</v>
      </c>
      <c r="P746" s="4"/>
      <c r="Q746" s="4"/>
      <c r="R746" s="4"/>
      <c r="S746" s="4"/>
      <c r="T746" s="4"/>
      <c r="U746" s="4"/>
      <c r="V746" s="4"/>
      <c r="W746" s="4"/>
      <c r="X746" s="4" t="e">
        <f t="shared" si="11"/>
        <v>#N/A</v>
      </c>
      <c r="Y746" s="4"/>
      <c r="Z746" s="4"/>
      <c r="AA746" s="4"/>
      <c r="AB746" s="4"/>
      <c r="AC746" s="4"/>
      <c r="AD746" s="4"/>
      <c r="AE746" s="4"/>
    </row>
    <row r="747" spans="1:31" x14ac:dyDescent="0.2">
      <c r="A747" s="201"/>
      <c r="B747" s="4" t="s">
        <v>34</v>
      </c>
      <c r="C747" s="4">
        <v>743</v>
      </c>
      <c r="D747" s="4"/>
      <c r="E747" s="4"/>
      <c r="F747" s="4"/>
      <c r="G747" s="4"/>
      <c r="H747" s="4"/>
      <c r="I747" s="4"/>
      <c r="J747" s="4">
        <v>30743</v>
      </c>
      <c r="K747" s="202"/>
      <c r="L747" s="4">
        <v>47</v>
      </c>
      <c r="M747" s="4">
        <v>6</v>
      </c>
      <c r="N747" s="4" t="str">
        <f>_xlfn.CONCAT("DBX",((L747-1)*2),".6")</f>
        <v>DBX92.6</v>
      </c>
      <c r="O747" s="4" t="s">
        <v>781</v>
      </c>
      <c r="P747" s="4"/>
      <c r="Q747" s="4"/>
      <c r="R747" s="4"/>
      <c r="S747" s="4"/>
      <c r="T747" s="4"/>
      <c r="U747" s="4"/>
      <c r="V747" s="4"/>
      <c r="W747" s="4"/>
      <c r="X747" s="4" t="e">
        <f t="shared" si="11"/>
        <v>#N/A</v>
      </c>
      <c r="Y747" s="4"/>
      <c r="Z747" s="4"/>
      <c r="AA747" s="4"/>
      <c r="AB747" s="4"/>
      <c r="AC747" s="4"/>
      <c r="AD747" s="4"/>
      <c r="AE747" s="4"/>
    </row>
    <row r="748" spans="1:31" x14ac:dyDescent="0.2">
      <c r="A748" s="201"/>
      <c r="B748" s="4" t="s">
        <v>34</v>
      </c>
      <c r="C748" s="4">
        <v>744</v>
      </c>
      <c r="D748" s="4"/>
      <c r="E748" s="4"/>
      <c r="F748" s="4"/>
      <c r="G748" s="4"/>
      <c r="H748" s="4"/>
      <c r="I748" s="4"/>
      <c r="J748" s="4">
        <v>30744</v>
      </c>
      <c r="K748" s="202"/>
      <c r="L748" s="4">
        <v>47</v>
      </c>
      <c r="M748" s="4">
        <v>7</v>
      </c>
      <c r="N748" s="4" t="str">
        <f>_xlfn.CONCAT("DBX",((L748-1)*2),".7")</f>
        <v>DBX92.7</v>
      </c>
      <c r="O748" s="4" t="s">
        <v>781</v>
      </c>
      <c r="P748" s="4"/>
      <c r="Q748" s="4"/>
      <c r="R748" s="4"/>
      <c r="S748" s="4"/>
      <c r="T748" s="4"/>
      <c r="U748" s="4"/>
      <c r="V748" s="4"/>
      <c r="W748" s="4"/>
      <c r="X748" s="4" t="e">
        <f t="shared" si="11"/>
        <v>#N/A</v>
      </c>
      <c r="Y748" s="4"/>
      <c r="Z748" s="4"/>
      <c r="AA748" s="4"/>
      <c r="AB748" s="4"/>
      <c r="AC748" s="4"/>
      <c r="AD748" s="4"/>
      <c r="AE748" s="4"/>
    </row>
    <row r="749" spans="1:31" x14ac:dyDescent="0.2">
      <c r="A749" s="201"/>
      <c r="B749" s="4" t="s">
        <v>34</v>
      </c>
      <c r="C749" s="4">
        <v>745</v>
      </c>
      <c r="D749" s="4"/>
      <c r="E749" s="4"/>
      <c r="F749" s="4"/>
      <c r="G749" s="4"/>
      <c r="H749" s="4"/>
      <c r="I749" s="4"/>
      <c r="J749" s="4">
        <v>30745</v>
      </c>
      <c r="K749" s="202"/>
      <c r="L749" s="4">
        <v>47</v>
      </c>
      <c r="M749" s="4">
        <v>8</v>
      </c>
      <c r="N749" s="4" t="str">
        <f>_xlfn.CONCAT("DBX",((L749-1)*2)+1,".0")</f>
        <v>DBX93.0</v>
      </c>
      <c r="O749" s="4" t="s">
        <v>781</v>
      </c>
      <c r="P749" s="4"/>
      <c r="Q749" s="4"/>
      <c r="R749" s="4"/>
      <c r="S749" s="4"/>
      <c r="T749" s="4"/>
      <c r="U749" s="4"/>
      <c r="V749" s="4"/>
      <c r="W749" s="4"/>
      <c r="X749" s="4" t="e">
        <f t="shared" si="11"/>
        <v>#N/A</v>
      </c>
      <c r="Y749" s="4"/>
      <c r="Z749" s="4"/>
      <c r="AA749" s="4"/>
      <c r="AB749" s="4"/>
      <c r="AC749" s="4"/>
      <c r="AD749" s="4"/>
      <c r="AE749" s="4"/>
    </row>
    <row r="750" spans="1:31" x14ac:dyDescent="0.2">
      <c r="A750" s="201"/>
      <c r="B750" s="4" t="s">
        <v>34</v>
      </c>
      <c r="C750" s="4">
        <v>746</v>
      </c>
      <c r="D750" s="4"/>
      <c r="E750" s="4"/>
      <c r="F750" s="4"/>
      <c r="G750" s="4"/>
      <c r="H750" s="4"/>
      <c r="I750" s="4"/>
      <c r="J750" s="4">
        <v>30746</v>
      </c>
      <c r="K750" s="202"/>
      <c r="L750" s="4">
        <v>47</v>
      </c>
      <c r="M750" s="4">
        <v>9</v>
      </c>
      <c r="N750" s="4" t="str">
        <f>_xlfn.CONCAT("DBX",((L750-1)*2)+1,".1")</f>
        <v>DBX93.1</v>
      </c>
      <c r="O750" s="4" t="s">
        <v>781</v>
      </c>
      <c r="P750" s="4"/>
      <c r="Q750" s="4"/>
      <c r="R750" s="4"/>
      <c r="S750" s="4"/>
      <c r="T750" s="4"/>
      <c r="U750" s="4"/>
      <c r="V750" s="4"/>
      <c r="W750" s="4"/>
      <c r="X750" s="4" t="e">
        <f t="shared" si="11"/>
        <v>#N/A</v>
      </c>
      <c r="Y750" s="4"/>
      <c r="Z750" s="4"/>
      <c r="AA750" s="4"/>
      <c r="AB750" s="4"/>
      <c r="AC750" s="4"/>
      <c r="AD750" s="4"/>
      <c r="AE750" s="4"/>
    </row>
    <row r="751" spans="1:31" x14ac:dyDescent="0.2">
      <c r="A751" s="201"/>
      <c r="B751" s="4" t="s">
        <v>34</v>
      </c>
      <c r="C751" s="4">
        <v>747</v>
      </c>
      <c r="D751" s="4"/>
      <c r="E751" s="4"/>
      <c r="F751" s="4"/>
      <c r="G751" s="4"/>
      <c r="H751" s="4"/>
      <c r="I751" s="4"/>
      <c r="J751" s="4">
        <v>30747</v>
      </c>
      <c r="K751" s="202"/>
      <c r="L751" s="4">
        <v>47</v>
      </c>
      <c r="M751" s="4">
        <v>10</v>
      </c>
      <c r="N751" s="4" t="str">
        <f>_xlfn.CONCAT("DBX",((L751-1)*2)+1,".2")</f>
        <v>DBX93.2</v>
      </c>
      <c r="O751" s="4" t="s">
        <v>781</v>
      </c>
      <c r="P751" s="4"/>
      <c r="Q751" s="4"/>
      <c r="R751" s="4"/>
      <c r="S751" s="4"/>
      <c r="T751" s="4"/>
      <c r="U751" s="4"/>
      <c r="V751" s="4"/>
      <c r="W751" s="4"/>
      <c r="X751" s="4" t="e">
        <f t="shared" si="11"/>
        <v>#N/A</v>
      </c>
      <c r="Y751" s="4"/>
      <c r="Z751" s="4"/>
      <c r="AA751" s="4"/>
      <c r="AB751" s="4"/>
      <c r="AC751" s="4"/>
      <c r="AD751" s="4"/>
      <c r="AE751" s="4"/>
    </row>
    <row r="752" spans="1:31" x14ac:dyDescent="0.2">
      <c r="A752" s="201"/>
      <c r="B752" s="4" t="s">
        <v>34</v>
      </c>
      <c r="C752" s="4">
        <v>748</v>
      </c>
      <c r="D752" s="4"/>
      <c r="E752" s="4"/>
      <c r="F752" s="4"/>
      <c r="G752" s="4"/>
      <c r="H752" s="4"/>
      <c r="I752" s="4"/>
      <c r="J752" s="4">
        <v>30748</v>
      </c>
      <c r="K752" s="202"/>
      <c r="L752" s="4">
        <v>47</v>
      </c>
      <c r="M752" s="4">
        <v>11</v>
      </c>
      <c r="N752" s="4" t="str">
        <f>_xlfn.CONCAT("DBX",((L752-1)*2)+1,".3")</f>
        <v>DBX93.3</v>
      </c>
      <c r="O752" s="4" t="s">
        <v>781</v>
      </c>
      <c r="P752" s="4"/>
      <c r="Q752" s="4"/>
      <c r="R752" s="4"/>
      <c r="S752" s="4"/>
      <c r="T752" s="4"/>
      <c r="U752" s="4"/>
      <c r="V752" s="4"/>
      <c r="W752" s="4"/>
      <c r="X752" s="4" t="e">
        <f t="shared" si="11"/>
        <v>#N/A</v>
      </c>
      <c r="Y752" s="4"/>
      <c r="Z752" s="4"/>
      <c r="AA752" s="4"/>
      <c r="AB752" s="4"/>
      <c r="AC752" s="4"/>
      <c r="AD752" s="4"/>
      <c r="AE752" s="4"/>
    </row>
    <row r="753" spans="1:31" x14ac:dyDescent="0.2">
      <c r="A753" s="201"/>
      <c r="B753" s="4" t="s">
        <v>34</v>
      </c>
      <c r="C753" s="4">
        <v>749</v>
      </c>
      <c r="D753" s="4"/>
      <c r="E753" s="4"/>
      <c r="F753" s="4"/>
      <c r="G753" s="4"/>
      <c r="H753" s="4"/>
      <c r="I753" s="4"/>
      <c r="J753" s="4">
        <v>30749</v>
      </c>
      <c r="K753" s="202"/>
      <c r="L753" s="4">
        <v>47</v>
      </c>
      <c r="M753" s="4">
        <v>12</v>
      </c>
      <c r="N753" s="4" t="str">
        <f>_xlfn.CONCAT("DBX",((L753-1)*2)+1,".4")</f>
        <v>DBX93.4</v>
      </c>
      <c r="O753" s="4" t="s">
        <v>781</v>
      </c>
      <c r="P753" s="4"/>
      <c r="Q753" s="4"/>
      <c r="R753" s="4"/>
      <c r="S753" s="4"/>
      <c r="T753" s="4"/>
      <c r="U753" s="4"/>
      <c r="V753" s="4"/>
      <c r="W753" s="4"/>
      <c r="X753" s="4" t="e">
        <f t="shared" si="11"/>
        <v>#N/A</v>
      </c>
      <c r="Y753" s="4"/>
      <c r="Z753" s="4"/>
      <c r="AA753" s="4"/>
      <c r="AB753" s="4"/>
      <c r="AC753" s="4"/>
      <c r="AD753" s="4"/>
      <c r="AE753" s="4"/>
    </row>
    <row r="754" spans="1:31" x14ac:dyDescent="0.2">
      <c r="A754" s="201"/>
      <c r="B754" s="4" t="s">
        <v>34</v>
      </c>
      <c r="C754" s="4">
        <v>750</v>
      </c>
      <c r="D754" s="4"/>
      <c r="E754" s="4"/>
      <c r="F754" s="4"/>
      <c r="G754" s="4"/>
      <c r="H754" s="4"/>
      <c r="I754" s="4"/>
      <c r="J754" s="4">
        <v>30750</v>
      </c>
      <c r="K754" s="202"/>
      <c r="L754" s="4">
        <v>47</v>
      </c>
      <c r="M754" s="4">
        <v>13</v>
      </c>
      <c r="N754" s="4" t="str">
        <f>_xlfn.CONCAT("DBX",((L754-1)*2)+1,".5")</f>
        <v>DBX93.5</v>
      </c>
      <c r="O754" s="4" t="s">
        <v>781</v>
      </c>
      <c r="P754" s="4"/>
      <c r="Q754" s="4"/>
      <c r="R754" s="4"/>
      <c r="S754" s="4"/>
      <c r="T754" s="4"/>
      <c r="U754" s="4"/>
      <c r="V754" s="4"/>
      <c r="W754" s="4"/>
      <c r="X754" s="4" t="e">
        <f t="shared" si="11"/>
        <v>#N/A</v>
      </c>
      <c r="Y754" s="4"/>
      <c r="Z754" s="4"/>
      <c r="AA754" s="4"/>
      <c r="AB754" s="4"/>
      <c r="AC754" s="4"/>
      <c r="AD754" s="4"/>
      <c r="AE754" s="4"/>
    </row>
    <row r="755" spans="1:31" x14ac:dyDescent="0.2">
      <c r="A755" s="201"/>
      <c r="B755" s="4" t="s">
        <v>34</v>
      </c>
      <c r="C755" s="4">
        <v>751</v>
      </c>
      <c r="D755" s="4"/>
      <c r="E755" s="4"/>
      <c r="F755" s="4"/>
      <c r="G755" s="4"/>
      <c r="H755" s="4"/>
      <c r="I755" s="4"/>
      <c r="J755" s="4">
        <v>30751</v>
      </c>
      <c r="K755" s="202"/>
      <c r="L755" s="4">
        <v>47</v>
      </c>
      <c r="M755" s="4">
        <v>14</v>
      </c>
      <c r="N755" s="4" t="str">
        <f>_xlfn.CONCAT("DBX",((L755-1)*2)+1,".6")</f>
        <v>DBX93.6</v>
      </c>
      <c r="O755" s="4" t="s">
        <v>781</v>
      </c>
      <c r="P755" s="4"/>
      <c r="Q755" s="4"/>
      <c r="R755" s="4"/>
      <c r="S755" s="4"/>
      <c r="T755" s="4"/>
      <c r="U755" s="4"/>
      <c r="V755" s="4"/>
      <c r="W755" s="4"/>
      <c r="X755" s="4" t="e">
        <f t="shared" si="11"/>
        <v>#N/A</v>
      </c>
      <c r="Y755" s="4"/>
      <c r="Z755" s="4"/>
      <c r="AA755" s="4"/>
      <c r="AB755" s="4"/>
      <c r="AC755" s="4"/>
      <c r="AD755" s="4"/>
      <c r="AE755" s="4"/>
    </row>
    <row r="756" spans="1:31" x14ac:dyDescent="0.2">
      <c r="A756" s="201"/>
      <c r="B756" s="4" t="s">
        <v>34</v>
      </c>
      <c r="C756" s="4">
        <v>752</v>
      </c>
      <c r="D756" s="4"/>
      <c r="E756" s="4"/>
      <c r="F756" s="4"/>
      <c r="G756" s="4"/>
      <c r="H756" s="4"/>
      <c r="I756" s="4"/>
      <c r="J756" s="4">
        <v>30752</v>
      </c>
      <c r="K756" s="202"/>
      <c r="L756" s="4">
        <v>47</v>
      </c>
      <c r="M756" s="4">
        <v>15</v>
      </c>
      <c r="N756" s="4" t="str">
        <f>_xlfn.CONCAT("DBX",((L756-1)*2)+1,".7")</f>
        <v>DBX93.7</v>
      </c>
      <c r="O756" s="4" t="s">
        <v>781</v>
      </c>
      <c r="P756" s="4"/>
      <c r="Q756" s="4"/>
      <c r="R756" s="4"/>
      <c r="S756" s="4"/>
      <c r="T756" s="4"/>
      <c r="U756" s="4"/>
      <c r="V756" s="4"/>
      <c r="W756" s="4"/>
      <c r="X756" s="4" t="e">
        <f t="shared" si="11"/>
        <v>#N/A</v>
      </c>
      <c r="Y756" s="4"/>
      <c r="Z756" s="4"/>
      <c r="AA756" s="4"/>
      <c r="AB756" s="4"/>
      <c r="AC756" s="4"/>
      <c r="AD756" s="4"/>
      <c r="AE756" s="4"/>
    </row>
    <row r="757" spans="1:31" x14ac:dyDescent="0.2">
      <c r="A757" s="201"/>
      <c r="B757" s="4" t="s">
        <v>34</v>
      </c>
      <c r="C757" s="4">
        <v>753</v>
      </c>
      <c r="D757" s="4"/>
      <c r="E757" s="4"/>
      <c r="F757" s="4"/>
      <c r="G757" s="4"/>
      <c r="H757" s="4"/>
      <c r="I757" s="4"/>
      <c r="J757" s="4">
        <v>30753</v>
      </c>
      <c r="K757" s="202"/>
      <c r="L757" s="4">
        <v>48</v>
      </c>
      <c r="M757" s="4">
        <v>0</v>
      </c>
      <c r="N757" s="4" t="str">
        <f>_xlfn.CONCAT("DBX",((L757-1)*2),".0")</f>
        <v>DBX94.0</v>
      </c>
      <c r="O757" s="4" t="s">
        <v>781</v>
      </c>
      <c r="P757" s="4"/>
      <c r="Q757" s="4"/>
      <c r="R757" s="4"/>
      <c r="S757" s="4"/>
      <c r="T757" s="4"/>
      <c r="U757" s="4"/>
      <c r="V757" s="4"/>
      <c r="W757" s="4"/>
      <c r="X757" s="4" t="e">
        <f t="shared" si="11"/>
        <v>#N/A</v>
      </c>
      <c r="Y757" s="4"/>
      <c r="Z757" s="4"/>
      <c r="AA757" s="4"/>
      <c r="AB757" s="4"/>
      <c r="AC757" s="4"/>
      <c r="AD757" s="4"/>
      <c r="AE757" s="4"/>
    </row>
    <row r="758" spans="1:31" x14ac:dyDescent="0.2">
      <c r="A758" s="201"/>
      <c r="B758" s="4" t="s">
        <v>34</v>
      </c>
      <c r="C758" s="4">
        <v>754</v>
      </c>
      <c r="D758" s="4"/>
      <c r="E758" s="4"/>
      <c r="F758" s="4"/>
      <c r="G758" s="4"/>
      <c r="H758" s="4"/>
      <c r="I758" s="4"/>
      <c r="J758" s="4">
        <v>30754</v>
      </c>
      <c r="K758" s="202"/>
      <c r="L758" s="4">
        <v>48</v>
      </c>
      <c r="M758" s="4">
        <v>1</v>
      </c>
      <c r="N758" s="4" t="str">
        <f>_xlfn.CONCAT("DBX",((L758-1)*2),".1")</f>
        <v>DBX94.1</v>
      </c>
      <c r="O758" s="4" t="s">
        <v>781</v>
      </c>
      <c r="P758" s="4"/>
      <c r="Q758" s="4"/>
      <c r="R758" s="4"/>
      <c r="S758" s="4"/>
      <c r="T758" s="4"/>
      <c r="U758" s="4"/>
      <c r="V758" s="4"/>
      <c r="W758" s="4"/>
      <c r="X758" s="4" t="e">
        <f t="shared" si="11"/>
        <v>#N/A</v>
      </c>
      <c r="Y758" s="4"/>
      <c r="Z758" s="4"/>
      <c r="AA758" s="4"/>
      <c r="AB758" s="4"/>
      <c r="AC758" s="4"/>
      <c r="AD758" s="4"/>
      <c r="AE758" s="4"/>
    </row>
    <row r="759" spans="1:31" x14ac:dyDescent="0.2">
      <c r="A759" s="201"/>
      <c r="B759" s="4" t="s">
        <v>34</v>
      </c>
      <c r="C759" s="4">
        <v>755</v>
      </c>
      <c r="D759" s="4"/>
      <c r="E759" s="4"/>
      <c r="F759" s="4"/>
      <c r="G759" s="4"/>
      <c r="H759" s="4"/>
      <c r="I759" s="4"/>
      <c r="J759" s="4">
        <v>30755</v>
      </c>
      <c r="K759" s="202"/>
      <c r="L759" s="4">
        <v>48</v>
      </c>
      <c r="M759" s="4">
        <v>2</v>
      </c>
      <c r="N759" s="4" t="str">
        <f>_xlfn.CONCAT("DBX",((L759-1)*2),".2")</f>
        <v>DBX94.2</v>
      </c>
      <c r="O759" s="4" t="s">
        <v>781</v>
      </c>
      <c r="P759" s="4"/>
      <c r="Q759" s="4"/>
      <c r="R759" s="4"/>
      <c r="S759" s="4"/>
      <c r="T759" s="4"/>
      <c r="U759" s="4"/>
      <c r="V759" s="4"/>
      <c r="W759" s="4"/>
      <c r="X759" s="4" t="e">
        <f t="shared" si="11"/>
        <v>#N/A</v>
      </c>
      <c r="Y759" s="4"/>
      <c r="Z759" s="4"/>
      <c r="AA759" s="4"/>
      <c r="AB759" s="4"/>
      <c r="AC759" s="4"/>
      <c r="AD759" s="4"/>
      <c r="AE759" s="4"/>
    </row>
    <row r="760" spans="1:31" x14ac:dyDescent="0.2">
      <c r="A760" s="201"/>
      <c r="B760" s="4" t="s">
        <v>34</v>
      </c>
      <c r="C760" s="4">
        <v>756</v>
      </c>
      <c r="D760" s="4"/>
      <c r="E760" s="4"/>
      <c r="F760" s="4"/>
      <c r="G760" s="4"/>
      <c r="H760" s="4"/>
      <c r="I760" s="4"/>
      <c r="J760" s="4">
        <v>30756</v>
      </c>
      <c r="K760" s="202"/>
      <c r="L760" s="4">
        <v>48</v>
      </c>
      <c r="M760" s="4">
        <v>3</v>
      </c>
      <c r="N760" s="4" t="str">
        <f>_xlfn.CONCAT("DBX",((L760-1)*2),".3")</f>
        <v>DBX94.3</v>
      </c>
      <c r="O760" s="4" t="s">
        <v>781</v>
      </c>
      <c r="P760" s="4"/>
      <c r="Q760" s="4"/>
      <c r="R760" s="4"/>
      <c r="S760" s="4"/>
      <c r="T760" s="4"/>
      <c r="U760" s="4"/>
      <c r="V760" s="4"/>
      <c r="W760" s="4"/>
      <c r="X760" s="4" t="e">
        <f t="shared" si="11"/>
        <v>#N/A</v>
      </c>
      <c r="Y760" s="4"/>
      <c r="Z760" s="4"/>
      <c r="AA760" s="4"/>
      <c r="AB760" s="4"/>
      <c r="AC760" s="4"/>
      <c r="AD760" s="4"/>
      <c r="AE760" s="4"/>
    </row>
    <row r="761" spans="1:31" x14ac:dyDescent="0.2">
      <c r="A761" s="201"/>
      <c r="B761" s="4" t="s">
        <v>34</v>
      </c>
      <c r="C761" s="4">
        <v>757</v>
      </c>
      <c r="D761" s="4"/>
      <c r="E761" s="4"/>
      <c r="F761" s="4"/>
      <c r="G761" s="4"/>
      <c r="H761" s="4"/>
      <c r="I761" s="4"/>
      <c r="J761" s="4">
        <v>30757</v>
      </c>
      <c r="K761" s="202"/>
      <c r="L761" s="4">
        <v>48</v>
      </c>
      <c r="M761" s="4">
        <v>4</v>
      </c>
      <c r="N761" s="4" t="str">
        <f>_xlfn.CONCAT("DBX",((L761-1)*2),".4")</f>
        <v>DBX94.4</v>
      </c>
      <c r="O761" s="4" t="s">
        <v>781</v>
      </c>
      <c r="P761" s="4"/>
      <c r="Q761" s="4"/>
      <c r="R761" s="4"/>
      <c r="S761" s="4"/>
      <c r="T761" s="4"/>
      <c r="U761" s="4"/>
      <c r="V761" s="4"/>
      <c r="W761" s="4"/>
      <c r="X761" s="4" t="e">
        <f t="shared" si="11"/>
        <v>#N/A</v>
      </c>
      <c r="Y761" s="4"/>
      <c r="Z761" s="4"/>
      <c r="AA761" s="4"/>
      <c r="AB761" s="4"/>
      <c r="AC761" s="4"/>
      <c r="AD761" s="4"/>
      <c r="AE761" s="4"/>
    </row>
    <row r="762" spans="1:31" x14ac:dyDescent="0.2">
      <c r="A762" s="201"/>
      <c r="B762" s="4" t="s">
        <v>34</v>
      </c>
      <c r="C762" s="4">
        <v>758</v>
      </c>
      <c r="D762" s="4"/>
      <c r="E762" s="4"/>
      <c r="F762" s="4"/>
      <c r="G762" s="4"/>
      <c r="H762" s="4"/>
      <c r="I762" s="4"/>
      <c r="J762" s="4">
        <v>30758</v>
      </c>
      <c r="K762" s="202"/>
      <c r="L762" s="4">
        <v>48</v>
      </c>
      <c r="M762" s="4">
        <v>5</v>
      </c>
      <c r="N762" s="4" t="str">
        <f>_xlfn.CONCAT("DBX",((L762-1)*2),".5")</f>
        <v>DBX94.5</v>
      </c>
      <c r="O762" s="4" t="s">
        <v>781</v>
      </c>
      <c r="P762" s="4"/>
      <c r="Q762" s="4"/>
      <c r="R762" s="4"/>
      <c r="S762" s="4"/>
      <c r="T762" s="4"/>
      <c r="U762" s="4"/>
      <c r="V762" s="4"/>
      <c r="W762" s="4"/>
      <c r="X762" s="4" t="e">
        <f t="shared" si="11"/>
        <v>#N/A</v>
      </c>
      <c r="Y762" s="4"/>
      <c r="Z762" s="4"/>
      <c r="AA762" s="4"/>
      <c r="AB762" s="4"/>
      <c r="AC762" s="4"/>
      <c r="AD762" s="4"/>
      <c r="AE762" s="4"/>
    </row>
    <row r="763" spans="1:31" x14ac:dyDescent="0.2">
      <c r="A763" s="201"/>
      <c r="B763" s="4" t="s">
        <v>34</v>
      </c>
      <c r="C763" s="4">
        <v>759</v>
      </c>
      <c r="D763" s="4"/>
      <c r="E763" s="4"/>
      <c r="F763" s="4"/>
      <c r="G763" s="4"/>
      <c r="H763" s="4"/>
      <c r="I763" s="4"/>
      <c r="J763" s="4">
        <v>30759</v>
      </c>
      <c r="K763" s="202"/>
      <c r="L763" s="4">
        <v>48</v>
      </c>
      <c r="M763" s="4">
        <v>6</v>
      </c>
      <c r="N763" s="4" t="str">
        <f>_xlfn.CONCAT("DBX",((L763-1)*2),".6")</f>
        <v>DBX94.6</v>
      </c>
      <c r="O763" s="4" t="s">
        <v>781</v>
      </c>
      <c r="P763" s="4"/>
      <c r="Q763" s="4"/>
      <c r="R763" s="4"/>
      <c r="S763" s="4"/>
      <c r="T763" s="4"/>
      <c r="U763" s="4"/>
      <c r="V763" s="4"/>
      <c r="W763" s="4"/>
      <c r="X763" s="4" t="e">
        <f t="shared" si="11"/>
        <v>#N/A</v>
      </c>
      <c r="Y763" s="4"/>
      <c r="Z763" s="4"/>
      <c r="AA763" s="4"/>
      <c r="AB763" s="4"/>
      <c r="AC763" s="4"/>
      <c r="AD763" s="4"/>
      <c r="AE763" s="4"/>
    </row>
    <row r="764" spans="1:31" x14ac:dyDescent="0.2">
      <c r="A764" s="201"/>
      <c r="B764" s="4" t="s">
        <v>34</v>
      </c>
      <c r="C764" s="4">
        <v>760</v>
      </c>
      <c r="D764" s="4"/>
      <c r="E764" s="4"/>
      <c r="F764" s="4"/>
      <c r="G764" s="4"/>
      <c r="H764" s="4"/>
      <c r="I764" s="4"/>
      <c r="J764" s="4">
        <v>30760</v>
      </c>
      <c r="K764" s="202"/>
      <c r="L764" s="4">
        <v>48</v>
      </c>
      <c r="M764" s="4">
        <v>7</v>
      </c>
      <c r="N764" s="4" t="str">
        <f>_xlfn.CONCAT("DBX",((L764-1)*2),".7")</f>
        <v>DBX94.7</v>
      </c>
      <c r="O764" s="4" t="s">
        <v>781</v>
      </c>
      <c r="P764" s="4"/>
      <c r="Q764" s="4"/>
      <c r="R764" s="4"/>
      <c r="S764" s="4"/>
      <c r="T764" s="4"/>
      <c r="U764" s="4"/>
      <c r="V764" s="4"/>
      <c r="W764" s="4"/>
      <c r="X764" s="4" t="e">
        <f t="shared" si="11"/>
        <v>#N/A</v>
      </c>
      <c r="Y764" s="4"/>
      <c r="Z764" s="4"/>
      <c r="AA764" s="4"/>
      <c r="AB764" s="4"/>
      <c r="AC764" s="4"/>
      <c r="AD764" s="4"/>
      <c r="AE764" s="4"/>
    </row>
    <row r="765" spans="1:31" x14ac:dyDescent="0.2">
      <c r="A765" s="201"/>
      <c r="B765" s="4" t="s">
        <v>34</v>
      </c>
      <c r="C765" s="4">
        <v>761</v>
      </c>
      <c r="D765" s="4"/>
      <c r="E765" s="4"/>
      <c r="F765" s="4"/>
      <c r="G765" s="4"/>
      <c r="H765" s="4"/>
      <c r="I765" s="4"/>
      <c r="J765" s="4">
        <v>30761</v>
      </c>
      <c r="K765" s="202"/>
      <c r="L765" s="4">
        <v>48</v>
      </c>
      <c r="M765" s="4">
        <v>8</v>
      </c>
      <c r="N765" s="4" t="str">
        <f>_xlfn.CONCAT("DBX",((L765-1)*2)+1,".0")</f>
        <v>DBX95.0</v>
      </c>
      <c r="O765" s="4" t="s">
        <v>781</v>
      </c>
      <c r="P765" s="4"/>
      <c r="Q765" s="4"/>
      <c r="R765" s="4"/>
      <c r="S765" s="4"/>
      <c r="T765" s="4"/>
      <c r="U765" s="4"/>
      <c r="V765" s="4"/>
      <c r="W765" s="4"/>
      <c r="X765" s="4" t="e">
        <f t="shared" si="11"/>
        <v>#N/A</v>
      </c>
      <c r="Y765" s="4"/>
      <c r="Z765" s="4"/>
      <c r="AA765" s="4"/>
      <c r="AB765" s="4"/>
      <c r="AC765" s="4"/>
      <c r="AD765" s="4"/>
      <c r="AE765" s="4"/>
    </row>
    <row r="766" spans="1:31" x14ac:dyDescent="0.2">
      <c r="A766" s="201"/>
      <c r="B766" s="4" t="s">
        <v>34</v>
      </c>
      <c r="C766" s="4">
        <v>762</v>
      </c>
      <c r="D766" s="4"/>
      <c r="E766" s="4"/>
      <c r="F766" s="4"/>
      <c r="G766" s="4"/>
      <c r="H766" s="4"/>
      <c r="I766" s="4"/>
      <c r="J766" s="4">
        <v>30762</v>
      </c>
      <c r="K766" s="202"/>
      <c r="L766" s="4">
        <v>48</v>
      </c>
      <c r="M766" s="4">
        <v>9</v>
      </c>
      <c r="N766" s="4" t="str">
        <f>_xlfn.CONCAT("DBX",((L766-1)*2)+1,".1")</f>
        <v>DBX95.1</v>
      </c>
      <c r="O766" s="4" t="s">
        <v>781</v>
      </c>
      <c r="P766" s="4"/>
      <c r="Q766" s="4"/>
      <c r="R766" s="4"/>
      <c r="S766" s="4"/>
      <c r="T766" s="4"/>
      <c r="U766" s="4"/>
      <c r="V766" s="4"/>
      <c r="W766" s="4"/>
      <c r="X766" s="4" t="e">
        <f t="shared" si="11"/>
        <v>#N/A</v>
      </c>
      <c r="Y766" s="4"/>
      <c r="Z766" s="4"/>
      <c r="AA766" s="4"/>
      <c r="AB766" s="4"/>
      <c r="AC766" s="4"/>
      <c r="AD766" s="4"/>
      <c r="AE766" s="4"/>
    </row>
    <row r="767" spans="1:31" x14ac:dyDescent="0.2">
      <c r="A767" s="201"/>
      <c r="B767" s="4" t="s">
        <v>34</v>
      </c>
      <c r="C767" s="4">
        <v>763</v>
      </c>
      <c r="D767" s="4"/>
      <c r="E767" s="4"/>
      <c r="F767" s="4"/>
      <c r="G767" s="4"/>
      <c r="H767" s="4"/>
      <c r="I767" s="4"/>
      <c r="J767" s="4">
        <v>30763</v>
      </c>
      <c r="K767" s="202"/>
      <c r="L767" s="4">
        <v>48</v>
      </c>
      <c r="M767" s="4">
        <v>10</v>
      </c>
      <c r="N767" s="4" t="str">
        <f>_xlfn.CONCAT("DBX",((L767-1)*2)+1,".2")</f>
        <v>DBX95.2</v>
      </c>
      <c r="O767" s="4" t="s">
        <v>781</v>
      </c>
      <c r="P767" s="4"/>
      <c r="Q767" s="4"/>
      <c r="R767" s="4"/>
      <c r="S767" s="4"/>
      <c r="T767" s="4"/>
      <c r="U767" s="4"/>
      <c r="V767" s="4"/>
      <c r="W767" s="4"/>
      <c r="X767" s="4" t="e">
        <f t="shared" si="11"/>
        <v>#N/A</v>
      </c>
      <c r="Y767" s="4"/>
      <c r="Z767" s="4"/>
      <c r="AA767" s="4"/>
      <c r="AB767" s="4"/>
      <c r="AC767" s="4"/>
      <c r="AD767" s="4"/>
      <c r="AE767" s="4"/>
    </row>
    <row r="768" spans="1:31" x14ac:dyDescent="0.2">
      <c r="A768" s="201"/>
      <c r="B768" s="4" t="s">
        <v>34</v>
      </c>
      <c r="C768" s="4">
        <v>764</v>
      </c>
      <c r="D768" s="4"/>
      <c r="E768" s="4"/>
      <c r="F768" s="4"/>
      <c r="G768" s="4"/>
      <c r="H768" s="4"/>
      <c r="I768" s="4"/>
      <c r="J768" s="4">
        <v>30764</v>
      </c>
      <c r="K768" s="202"/>
      <c r="L768" s="4">
        <v>48</v>
      </c>
      <c r="M768" s="4">
        <v>11</v>
      </c>
      <c r="N768" s="4" t="str">
        <f>_xlfn.CONCAT("DBX",((L768-1)*2)+1,".3")</f>
        <v>DBX95.3</v>
      </c>
      <c r="O768" s="4" t="s">
        <v>781</v>
      </c>
      <c r="P768" s="4"/>
      <c r="Q768" s="4"/>
      <c r="R768" s="4"/>
      <c r="S768" s="4"/>
      <c r="T768" s="4"/>
      <c r="U768" s="4"/>
      <c r="V768" s="4"/>
      <c r="W768" s="4"/>
      <c r="X768" s="4" t="e">
        <f t="shared" si="11"/>
        <v>#N/A</v>
      </c>
      <c r="Y768" s="4"/>
      <c r="Z768" s="4"/>
      <c r="AA768" s="4"/>
      <c r="AB768" s="4"/>
      <c r="AC768" s="4"/>
      <c r="AD768" s="4"/>
      <c r="AE768" s="4"/>
    </row>
    <row r="769" spans="1:31" x14ac:dyDescent="0.2">
      <c r="A769" s="201"/>
      <c r="B769" s="4" t="s">
        <v>34</v>
      </c>
      <c r="C769" s="4">
        <v>765</v>
      </c>
      <c r="D769" s="4"/>
      <c r="E769" s="4"/>
      <c r="F769" s="4"/>
      <c r="G769" s="4"/>
      <c r="H769" s="4"/>
      <c r="I769" s="4"/>
      <c r="J769" s="4">
        <v>30765</v>
      </c>
      <c r="K769" s="202"/>
      <c r="L769" s="4">
        <v>48</v>
      </c>
      <c r="M769" s="4">
        <v>12</v>
      </c>
      <c r="N769" s="4" t="str">
        <f>_xlfn.CONCAT("DBX",((L769-1)*2)+1,".4")</f>
        <v>DBX95.4</v>
      </c>
      <c r="O769" s="4" t="s">
        <v>781</v>
      </c>
      <c r="P769" s="4"/>
      <c r="Q769" s="4"/>
      <c r="R769" s="4"/>
      <c r="S769" s="4"/>
      <c r="T769" s="4"/>
      <c r="U769" s="4"/>
      <c r="V769" s="4"/>
      <c r="W769" s="4"/>
      <c r="X769" s="4" t="e">
        <f t="shared" si="11"/>
        <v>#N/A</v>
      </c>
      <c r="Y769" s="4"/>
      <c r="Z769" s="4"/>
      <c r="AA769" s="4"/>
      <c r="AB769" s="4"/>
      <c r="AC769" s="4"/>
      <c r="AD769" s="4"/>
      <c r="AE769" s="4"/>
    </row>
    <row r="770" spans="1:31" x14ac:dyDescent="0.2">
      <c r="A770" s="201"/>
      <c r="B770" s="4" t="s">
        <v>34</v>
      </c>
      <c r="C770" s="4">
        <v>766</v>
      </c>
      <c r="D770" s="4"/>
      <c r="E770" s="4"/>
      <c r="F770" s="4"/>
      <c r="G770" s="4"/>
      <c r="H770" s="4"/>
      <c r="I770" s="4"/>
      <c r="J770" s="4">
        <v>30766</v>
      </c>
      <c r="K770" s="202"/>
      <c r="L770" s="4">
        <v>48</v>
      </c>
      <c r="M770" s="4">
        <v>13</v>
      </c>
      <c r="N770" s="4" t="str">
        <f>_xlfn.CONCAT("DBX",((L770-1)*2)+1,".5")</f>
        <v>DBX95.5</v>
      </c>
      <c r="O770" s="4" t="s">
        <v>781</v>
      </c>
      <c r="P770" s="4"/>
      <c r="Q770" s="4"/>
      <c r="R770" s="4"/>
      <c r="S770" s="4"/>
      <c r="T770" s="4"/>
      <c r="U770" s="4"/>
      <c r="V770" s="4"/>
      <c r="W770" s="4"/>
      <c r="X770" s="4" t="e">
        <f t="shared" si="11"/>
        <v>#N/A</v>
      </c>
      <c r="Y770" s="4"/>
      <c r="Z770" s="4"/>
      <c r="AA770" s="4"/>
      <c r="AB770" s="4"/>
      <c r="AC770" s="4"/>
      <c r="AD770" s="4"/>
      <c r="AE770" s="4"/>
    </row>
    <row r="771" spans="1:31" x14ac:dyDescent="0.2">
      <c r="A771" s="201"/>
      <c r="B771" s="4" t="s">
        <v>34</v>
      </c>
      <c r="C771" s="4">
        <v>767</v>
      </c>
      <c r="D771" s="4"/>
      <c r="E771" s="4"/>
      <c r="F771" s="4"/>
      <c r="G771" s="4"/>
      <c r="H771" s="4"/>
      <c r="I771" s="4"/>
      <c r="J771" s="4">
        <v>30767</v>
      </c>
      <c r="K771" s="202"/>
      <c r="L771" s="4">
        <v>48</v>
      </c>
      <c r="M771" s="4">
        <v>14</v>
      </c>
      <c r="N771" s="4" t="str">
        <f>_xlfn.CONCAT("DBX",((L771-1)*2)+1,".6")</f>
        <v>DBX95.6</v>
      </c>
      <c r="O771" s="4" t="s">
        <v>781</v>
      </c>
      <c r="P771" s="4"/>
      <c r="Q771" s="4"/>
      <c r="R771" s="4"/>
      <c r="S771" s="4"/>
      <c r="T771" s="4"/>
      <c r="U771" s="4"/>
      <c r="V771" s="4"/>
      <c r="W771" s="4"/>
      <c r="X771" s="4" t="e">
        <f t="shared" si="11"/>
        <v>#N/A</v>
      </c>
      <c r="Y771" s="4"/>
      <c r="Z771" s="4"/>
      <c r="AA771" s="4"/>
      <c r="AB771" s="4"/>
      <c r="AC771" s="4"/>
      <c r="AD771" s="4"/>
      <c r="AE771" s="4"/>
    </row>
    <row r="772" spans="1:31" x14ac:dyDescent="0.2">
      <c r="A772" s="201"/>
      <c r="B772" s="4" t="s">
        <v>34</v>
      </c>
      <c r="C772" s="4">
        <v>768</v>
      </c>
      <c r="D772" s="4"/>
      <c r="E772" s="4"/>
      <c r="F772" s="4"/>
      <c r="G772" s="4"/>
      <c r="H772" s="4"/>
      <c r="I772" s="4"/>
      <c r="J772" s="4">
        <v>30768</v>
      </c>
      <c r="K772" s="202"/>
      <c r="L772" s="4">
        <v>48</v>
      </c>
      <c r="M772" s="4">
        <v>15</v>
      </c>
      <c r="N772" s="4" t="str">
        <f>_xlfn.CONCAT("DBX",((L772-1)*2)+1,".7")</f>
        <v>DBX95.7</v>
      </c>
      <c r="O772" s="4" t="s">
        <v>781</v>
      </c>
      <c r="P772" s="4"/>
      <c r="Q772" s="4"/>
      <c r="R772" s="4"/>
      <c r="S772" s="4"/>
      <c r="T772" s="4"/>
      <c r="U772" s="4"/>
      <c r="V772" s="4"/>
      <c r="W772" s="4"/>
      <c r="X772" s="4" t="e">
        <f t="shared" si="11"/>
        <v>#N/A</v>
      </c>
      <c r="Y772" s="4"/>
      <c r="Z772" s="4"/>
      <c r="AA772" s="4"/>
      <c r="AB772" s="4"/>
      <c r="AC772" s="4"/>
      <c r="AD772" s="4"/>
      <c r="AE772" s="4"/>
    </row>
    <row r="773" spans="1:31" x14ac:dyDescent="0.2">
      <c r="A773" s="201"/>
      <c r="B773" s="4" t="s">
        <v>34</v>
      </c>
      <c r="C773" s="4">
        <v>769</v>
      </c>
      <c r="D773" s="4"/>
      <c r="E773" s="4"/>
      <c r="F773" s="4"/>
      <c r="G773" s="4"/>
      <c r="H773" s="4"/>
      <c r="I773" s="4"/>
      <c r="J773" s="4">
        <v>30769</v>
      </c>
      <c r="K773" s="202"/>
      <c r="L773" s="4">
        <v>49</v>
      </c>
      <c r="M773" s="4">
        <v>0</v>
      </c>
      <c r="N773" s="4" t="str">
        <f>_xlfn.CONCAT("DBX",((L773-1)*2),".0")</f>
        <v>DBX96.0</v>
      </c>
      <c r="O773" s="4" t="s">
        <v>781</v>
      </c>
      <c r="P773" s="4"/>
      <c r="Q773" s="4"/>
      <c r="R773" s="4"/>
      <c r="S773" s="4"/>
      <c r="T773" s="4"/>
      <c r="U773" s="4"/>
      <c r="V773" s="4"/>
      <c r="W773" s="4"/>
      <c r="X773" s="4" t="e">
        <f t="shared" ref="X773:X804" si="12">VLOOKUP(W773,$W$1609:$X$1639,2,FALSE)</f>
        <v>#N/A</v>
      </c>
      <c r="Y773" s="4"/>
      <c r="Z773" s="4"/>
      <c r="AA773" s="4"/>
      <c r="AB773" s="4"/>
      <c r="AC773" s="4"/>
      <c r="AD773" s="4"/>
      <c r="AE773" s="4"/>
    </row>
    <row r="774" spans="1:31" x14ac:dyDescent="0.2">
      <c r="A774" s="201"/>
      <c r="B774" s="4" t="s">
        <v>34</v>
      </c>
      <c r="C774" s="4">
        <v>770</v>
      </c>
      <c r="D774" s="4"/>
      <c r="E774" s="4"/>
      <c r="F774" s="4"/>
      <c r="G774" s="4"/>
      <c r="H774" s="4"/>
      <c r="I774" s="4"/>
      <c r="J774" s="4">
        <v>30770</v>
      </c>
      <c r="K774" s="202"/>
      <c r="L774" s="4">
        <v>49</v>
      </c>
      <c r="M774" s="4">
        <v>1</v>
      </c>
      <c r="N774" s="4" t="str">
        <f>_xlfn.CONCAT("DBX",((L774-1)*2),".1")</f>
        <v>DBX96.1</v>
      </c>
      <c r="O774" s="4" t="s">
        <v>781</v>
      </c>
      <c r="P774" s="4"/>
      <c r="Q774" s="4"/>
      <c r="R774" s="4"/>
      <c r="S774" s="4"/>
      <c r="T774" s="4"/>
      <c r="U774" s="4"/>
      <c r="V774" s="4"/>
      <c r="W774" s="4"/>
      <c r="X774" s="4" t="e">
        <f t="shared" si="12"/>
        <v>#N/A</v>
      </c>
      <c r="Y774" s="4"/>
      <c r="Z774" s="4"/>
      <c r="AA774" s="4"/>
      <c r="AB774" s="4"/>
      <c r="AC774" s="4"/>
      <c r="AD774" s="4"/>
      <c r="AE774" s="4"/>
    </row>
    <row r="775" spans="1:31" x14ac:dyDescent="0.2">
      <c r="A775" s="201"/>
      <c r="B775" s="4" t="s">
        <v>34</v>
      </c>
      <c r="C775" s="4">
        <v>771</v>
      </c>
      <c r="D775" s="4"/>
      <c r="E775" s="4"/>
      <c r="F775" s="4"/>
      <c r="G775" s="4"/>
      <c r="H775" s="4"/>
      <c r="I775" s="4"/>
      <c r="J775" s="4">
        <v>30771</v>
      </c>
      <c r="K775" s="202"/>
      <c r="L775" s="4">
        <v>49</v>
      </c>
      <c r="M775" s="4">
        <v>2</v>
      </c>
      <c r="N775" s="4" t="str">
        <f>_xlfn.CONCAT("DBX",((L775-1)*2),".2")</f>
        <v>DBX96.2</v>
      </c>
      <c r="O775" s="4" t="s">
        <v>781</v>
      </c>
      <c r="P775" s="4"/>
      <c r="Q775" s="4"/>
      <c r="R775" s="4"/>
      <c r="S775" s="4"/>
      <c r="T775" s="4"/>
      <c r="U775" s="4"/>
      <c r="V775" s="4"/>
      <c r="W775" s="4"/>
      <c r="X775" s="4" t="e">
        <f t="shared" si="12"/>
        <v>#N/A</v>
      </c>
      <c r="Y775" s="4"/>
      <c r="Z775" s="4"/>
      <c r="AA775" s="4"/>
      <c r="AB775" s="4"/>
      <c r="AC775" s="4"/>
      <c r="AD775" s="4"/>
      <c r="AE775" s="4"/>
    </row>
    <row r="776" spans="1:31" x14ac:dyDescent="0.2">
      <c r="A776" s="201"/>
      <c r="B776" s="4" t="s">
        <v>34</v>
      </c>
      <c r="C776" s="4">
        <v>772</v>
      </c>
      <c r="D776" s="4"/>
      <c r="E776" s="4"/>
      <c r="F776" s="4"/>
      <c r="G776" s="4"/>
      <c r="H776" s="4"/>
      <c r="I776" s="4"/>
      <c r="J776" s="4">
        <v>30772</v>
      </c>
      <c r="K776" s="202"/>
      <c r="L776" s="4">
        <v>49</v>
      </c>
      <c r="M776" s="4">
        <v>3</v>
      </c>
      <c r="N776" s="4" t="str">
        <f>_xlfn.CONCAT("DBX",((L776-1)*2),".3")</f>
        <v>DBX96.3</v>
      </c>
      <c r="O776" s="4" t="s">
        <v>781</v>
      </c>
      <c r="P776" s="4"/>
      <c r="Q776" s="4"/>
      <c r="R776" s="4"/>
      <c r="S776" s="4"/>
      <c r="T776" s="4"/>
      <c r="U776" s="4"/>
      <c r="V776" s="4"/>
      <c r="W776" s="4"/>
      <c r="X776" s="4" t="e">
        <f t="shared" si="12"/>
        <v>#N/A</v>
      </c>
      <c r="Y776" s="4"/>
      <c r="Z776" s="4"/>
      <c r="AA776" s="4"/>
      <c r="AB776" s="4"/>
      <c r="AC776" s="4"/>
      <c r="AD776" s="4"/>
      <c r="AE776" s="4"/>
    </row>
    <row r="777" spans="1:31" x14ac:dyDescent="0.2">
      <c r="A777" s="201"/>
      <c r="B777" s="4" t="s">
        <v>34</v>
      </c>
      <c r="C777" s="4">
        <v>773</v>
      </c>
      <c r="D777" s="4"/>
      <c r="E777" s="4"/>
      <c r="F777" s="4"/>
      <c r="G777" s="4"/>
      <c r="H777" s="4"/>
      <c r="I777" s="4"/>
      <c r="J777" s="4">
        <v>30773</v>
      </c>
      <c r="K777" s="202"/>
      <c r="L777" s="4">
        <v>49</v>
      </c>
      <c r="M777" s="4">
        <v>4</v>
      </c>
      <c r="N777" s="4" t="str">
        <f>_xlfn.CONCAT("DBX",((L777-1)*2),".4")</f>
        <v>DBX96.4</v>
      </c>
      <c r="O777" s="4" t="s">
        <v>781</v>
      </c>
      <c r="P777" s="4"/>
      <c r="Q777" s="4"/>
      <c r="R777" s="4"/>
      <c r="S777" s="4"/>
      <c r="T777" s="4"/>
      <c r="U777" s="4"/>
      <c r="V777" s="4"/>
      <c r="W777" s="4"/>
      <c r="X777" s="4" t="e">
        <f t="shared" si="12"/>
        <v>#N/A</v>
      </c>
      <c r="Y777" s="4"/>
      <c r="Z777" s="4"/>
      <c r="AA777" s="4"/>
      <c r="AB777" s="4"/>
      <c r="AC777" s="4"/>
      <c r="AD777" s="4"/>
      <c r="AE777" s="4"/>
    </row>
    <row r="778" spans="1:31" x14ac:dyDescent="0.2">
      <c r="A778" s="201"/>
      <c r="B778" s="4" t="s">
        <v>34</v>
      </c>
      <c r="C778" s="4">
        <v>774</v>
      </c>
      <c r="D778" s="4"/>
      <c r="E778" s="4"/>
      <c r="F778" s="4"/>
      <c r="G778" s="4"/>
      <c r="H778" s="4"/>
      <c r="I778" s="4"/>
      <c r="J778" s="4">
        <v>30774</v>
      </c>
      <c r="K778" s="202"/>
      <c r="L778" s="4">
        <v>49</v>
      </c>
      <c r="M778" s="4">
        <v>5</v>
      </c>
      <c r="N778" s="4" t="str">
        <f>_xlfn.CONCAT("DBX",((L778-1)*2),".5")</f>
        <v>DBX96.5</v>
      </c>
      <c r="O778" s="4" t="s">
        <v>781</v>
      </c>
      <c r="P778" s="4"/>
      <c r="Q778" s="4"/>
      <c r="R778" s="4"/>
      <c r="S778" s="4"/>
      <c r="T778" s="4"/>
      <c r="U778" s="4"/>
      <c r="V778" s="4"/>
      <c r="W778" s="4"/>
      <c r="X778" s="4" t="e">
        <f t="shared" si="12"/>
        <v>#N/A</v>
      </c>
      <c r="Y778" s="4"/>
      <c r="Z778" s="4"/>
      <c r="AA778" s="4"/>
      <c r="AB778" s="4"/>
      <c r="AC778" s="4"/>
      <c r="AD778" s="4"/>
      <c r="AE778" s="4"/>
    </row>
    <row r="779" spans="1:31" x14ac:dyDescent="0.2">
      <c r="A779" s="201"/>
      <c r="B779" s="4" t="s">
        <v>34</v>
      </c>
      <c r="C779" s="4">
        <v>775</v>
      </c>
      <c r="D779" s="4"/>
      <c r="E779" s="4"/>
      <c r="F779" s="4"/>
      <c r="G779" s="4"/>
      <c r="H779" s="4"/>
      <c r="I779" s="4"/>
      <c r="J779" s="4">
        <v>30775</v>
      </c>
      <c r="K779" s="202"/>
      <c r="L779" s="4">
        <v>49</v>
      </c>
      <c r="M779" s="4">
        <v>6</v>
      </c>
      <c r="N779" s="4" t="str">
        <f>_xlfn.CONCAT("DBX",((L779-1)*2),".6")</f>
        <v>DBX96.6</v>
      </c>
      <c r="O779" s="4" t="s">
        <v>781</v>
      </c>
      <c r="P779" s="4"/>
      <c r="Q779" s="4"/>
      <c r="R779" s="4"/>
      <c r="S779" s="4"/>
      <c r="T779" s="4"/>
      <c r="U779" s="4"/>
      <c r="V779" s="4"/>
      <c r="W779" s="4"/>
      <c r="X779" s="4" t="e">
        <f t="shared" si="12"/>
        <v>#N/A</v>
      </c>
      <c r="Y779" s="4"/>
      <c r="Z779" s="4"/>
      <c r="AA779" s="4"/>
      <c r="AB779" s="4"/>
      <c r="AC779" s="4"/>
      <c r="AD779" s="4"/>
      <c r="AE779" s="4"/>
    </row>
    <row r="780" spans="1:31" x14ac:dyDescent="0.2">
      <c r="A780" s="201"/>
      <c r="B780" s="4" t="s">
        <v>34</v>
      </c>
      <c r="C780" s="4">
        <v>776</v>
      </c>
      <c r="D780" s="4"/>
      <c r="E780" s="4"/>
      <c r="F780" s="4"/>
      <c r="G780" s="4"/>
      <c r="H780" s="4"/>
      <c r="I780" s="4"/>
      <c r="J780" s="4">
        <v>30776</v>
      </c>
      <c r="K780" s="202"/>
      <c r="L780" s="4">
        <v>49</v>
      </c>
      <c r="M780" s="4">
        <v>7</v>
      </c>
      <c r="N780" s="4" t="str">
        <f>_xlfn.CONCAT("DBX",((L780-1)*2),".7")</f>
        <v>DBX96.7</v>
      </c>
      <c r="O780" s="4" t="s">
        <v>781</v>
      </c>
      <c r="P780" s="4"/>
      <c r="Q780" s="4"/>
      <c r="R780" s="4"/>
      <c r="S780" s="4"/>
      <c r="T780" s="4"/>
      <c r="U780" s="4"/>
      <c r="V780" s="4"/>
      <c r="W780" s="4"/>
      <c r="X780" s="4" t="e">
        <f t="shared" si="12"/>
        <v>#N/A</v>
      </c>
      <c r="Y780" s="4"/>
      <c r="Z780" s="4"/>
      <c r="AA780" s="4"/>
      <c r="AB780" s="4"/>
      <c r="AC780" s="4"/>
      <c r="AD780" s="4"/>
      <c r="AE780" s="4"/>
    </row>
    <row r="781" spans="1:31" x14ac:dyDescent="0.2">
      <c r="A781" s="201"/>
      <c r="B781" s="4" t="s">
        <v>34</v>
      </c>
      <c r="C781" s="4">
        <v>777</v>
      </c>
      <c r="D781" s="4"/>
      <c r="E781" s="4"/>
      <c r="F781" s="4"/>
      <c r="G781" s="4"/>
      <c r="H781" s="4"/>
      <c r="I781" s="4"/>
      <c r="J781" s="4">
        <v>30777</v>
      </c>
      <c r="K781" s="202"/>
      <c r="L781" s="4">
        <v>49</v>
      </c>
      <c r="M781" s="4">
        <v>8</v>
      </c>
      <c r="N781" s="4" t="str">
        <f>_xlfn.CONCAT("DBX",((L781-1)*2)+1,".0")</f>
        <v>DBX97.0</v>
      </c>
      <c r="O781" s="4" t="s">
        <v>781</v>
      </c>
      <c r="P781" s="4"/>
      <c r="Q781" s="4"/>
      <c r="R781" s="4"/>
      <c r="S781" s="4"/>
      <c r="T781" s="4"/>
      <c r="U781" s="4"/>
      <c r="V781" s="4"/>
      <c r="W781" s="4"/>
      <c r="X781" s="4" t="e">
        <f t="shared" si="12"/>
        <v>#N/A</v>
      </c>
      <c r="Y781" s="4"/>
      <c r="Z781" s="4"/>
      <c r="AA781" s="4"/>
      <c r="AB781" s="4"/>
      <c r="AC781" s="4"/>
      <c r="AD781" s="4"/>
      <c r="AE781" s="4"/>
    </row>
    <row r="782" spans="1:31" x14ac:dyDescent="0.2">
      <c r="A782" s="201"/>
      <c r="B782" s="4" t="s">
        <v>34</v>
      </c>
      <c r="C782" s="4">
        <v>778</v>
      </c>
      <c r="D782" s="4"/>
      <c r="E782" s="4"/>
      <c r="F782" s="4"/>
      <c r="G782" s="4"/>
      <c r="H782" s="4"/>
      <c r="I782" s="4"/>
      <c r="J782" s="4">
        <v>30778</v>
      </c>
      <c r="K782" s="202"/>
      <c r="L782" s="4">
        <v>49</v>
      </c>
      <c r="M782" s="4">
        <v>9</v>
      </c>
      <c r="N782" s="4" t="str">
        <f>_xlfn.CONCAT("DBX",((L782-1)*2)+1,".1")</f>
        <v>DBX97.1</v>
      </c>
      <c r="O782" s="4" t="s">
        <v>781</v>
      </c>
      <c r="P782" s="4"/>
      <c r="Q782" s="4"/>
      <c r="R782" s="4"/>
      <c r="S782" s="4"/>
      <c r="T782" s="4"/>
      <c r="U782" s="4"/>
      <c r="V782" s="4"/>
      <c r="W782" s="4"/>
      <c r="X782" s="4" t="e">
        <f t="shared" si="12"/>
        <v>#N/A</v>
      </c>
      <c r="Y782" s="4"/>
      <c r="Z782" s="4"/>
      <c r="AA782" s="4"/>
      <c r="AB782" s="4"/>
      <c r="AC782" s="4"/>
      <c r="AD782" s="4"/>
      <c r="AE782" s="4"/>
    </row>
    <row r="783" spans="1:31" x14ac:dyDescent="0.2">
      <c r="A783" s="201"/>
      <c r="B783" s="4" t="s">
        <v>34</v>
      </c>
      <c r="C783" s="4">
        <v>779</v>
      </c>
      <c r="D783" s="4"/>
      <c r="E783" s="4"/>
      <c r="F783" s="4"/>
      <c r="G783" s="4"/>
      <c r="H783" s="4"/>
      <c r="I783" s="4"/>
      <c r="J783" s="4">
        <v>30779</v>
      </c>
      <c r="K783" s="202"/>
      <c r="L783" s="4">
        <v>49</v>
      </c>
      <c r="M783" s="4">
        <v>10</v>
      </c>
      <c r="N783" s="4" t="str">
        <f>_xlfn.CONCAT("DBX",((L783-1)*2)+1,".2")</f>
        <v>DBX97.2</v>
      </c>
      <c r="O783" s="4" t="s">
        <v>781</v>
      </c>
      <c r="P783" s="4"/>
      <c r="Q783" s="4"/>
      <c r="R783" s="4"/>
      <c r="S783" s="4"/>
      <c r="T783" s="4"/>
      <c r="U783" s="4"/>
      <c r="V783" s="4"/>
      <c r="W783" s="4"/>
      <c r="X783" s="4" t="e">
        <f t="shared" si="12"/>
        <v>#N/A</v>
      </c>
      <c r="Y783" s="4"/>
      <c r="Z783" s="4"/>
      <c r="AA783" s="4"/>
      <c r="AB783" s="4"/>
      <c r="AC783" s="4"/>
      <c r="AD783" s="4"/>
      <c r="AE783" s="4"/>
    </row>
    <row r="784" spans="1:31" x14ac:dyDescent="0.2">
      <c r="A784" s="201"/>
      <c r="B784" s="4" t="s">
        <v>34</v>
      </c>
      <c r="C784" s="4">
        <v>780</v>
      </c>
      <c r="D784" s="4"/>
      <c r="E784" s="4"/>
      <c r="F784" s="4"/>
      <c r="G784" s="4"/>
      <c r="H784" s="4"/>
      <c r="I784" s="4"/>
      <c r="J784" s="4">
        <v>30780</v>
      </c>
      <c r="K784" s="202"/>
      <c r="L784" s="4">
        <v>49</v>
      </c>
      <c r="M784" s="4">
        <v>11</v>
      </c>
      <c r="N784" s="4" t="str">
        <f>_xlfn.CONCAT("DBX",((L784-1)*2)+1,".3")</f>
        <v>DBX97.3</v>
      </c>
      <c r="O784" s="4" t="s">
        <v>781</v>
      </c>
      <c r="P784" s="4"/>
      <c r="Q784" s="4"/>
      <c r="R784" s="4"/>
      <c r="S784" s="4"/>
      <c r="T784" s="4"/>
      <c r="U784" s="4"/>
      <c r="V784" s="4"/>
      <c r="W784" s="4"/>
      <c r="X784" s="4" t="e">
        <f t="shared" si="12"/>
        <v>#N/A</v>
      </c>
      <c r="Y784" s="4"/>
      <c r="Z784" s="4"/>
      <c r="AA784" s="4"/>
      <c r="AB784" s="4"/>
      <c r="AC784" s="4"/>
      <c r="AD784" s="4"/>
      <c r="AE784" s="4"/>
    </row>
    <row r="785" spans="1:31" x14ac:dyDescent="0.2">
      <c r="A785" s="201"/>
      <c r="B785" s="4" t="s">
        <v>34</v>
      </c>
      <c r="C785" s="4">
        <v>781</v>
      </c>
      <c r="D785" s="4"/>
      <c r="E785" s="4"/>
      <c r="F785" s="4"/>
      <c r="G785" s="4"/>
      <c r="H785" s="4"/>
      <c r="I785" s="4"/>
      <c r="J785" s="4">
        <v>30781</v>
      </c>
      <c r="K785" s="202"/>
      <c r="L785" s="4">
        <v>49</v>
      </c>
      <c r="M785" s="4">
        <v>12</v>
      </c>
      <c r="N785" s="4" t="str">
        <f>_xlfn.CONCAT("DBX",((L785-1)*2)+1,".4")</f>
        <v>DBX97.4</v>
      </c>
      <c r="O785" s="4" t="s">
        <v>781</v>
      </c>
      <c r="P785" s="4"/>
      <c r="Q785" s="4"/>
      <c r="R785" s="4"/>
      <c r="S785" s="4"/>
      <c r="T785" s="4"/>
      <c r="U785" s="4"/>
      <c r="V785" s="4"/>
      <c r="W785" s="4"/>
      <c r="X785" s="4" t="e">
        <f t="shared" si="12"/>
        <v>#N/A</v>
      </c>
      <c r="Y785" s="4"/>
      <c r="Z785" s="4"/>
      <c r="AA785" s="4"/>
      <c r="AB785" s="4"/>
      <c r="AC785" s="4"/>
      <c r="AD785" s="4"/>
      <c r="AE785" s="4"/>
    </row>
    <row r="786" spans="1:31" x14ac:dyDescent="0.2">
      <c r="A786" s="201"/>
      <c r="B786" s="4" t="s">
        <v>34</v>
      </c>
      <c r="C786" s="4">
        <v>782</v>
      </c>
      <c r="D786" s="4"/>
      <c r="E786" s="4"/>
      <c r="F786" s="4"/>
      <c r="G786" s="4"/>
      <c r="H786" s="4"/>
      <c r="I786" s="4"/>
      <c r="J786" s="4">
        <v>30782</v>
      </c>
      <c r="K786" s="202"/>
      <c r="L786" s="4">
        <v>49</v>
      </c>
      <c r="M786" s="4">
        <v>13</v>
      </c>
      <c r="N786" s="4" t="str">
        <f>_xlfn.CONCAT("DBX",((L786-1)*2)+1,".5")</f>
        <v>DBX97.5</v>
      </c>
      <c r="O786" s="4" t="s">
        <v>781</v>
      </c>
      <c r="P786" s="4"/>
      <c r="Q786" s="4"/>
      <c r="R786" s="4"/>
      <c r="S786" s="4"/>
      <c r="T786" s="4"/>
      <c r="U786" s="4"/>
      <c r="V786" s="4"/>
      <c r="W786" s="4"/>
      <c r="X786" s="4" t="e">
        <f t="shared" si="12"/>
        <v>#N/A</v>
      </c>
      <c r="Y786" s="4"/>
      <c r="Z786" s="4"/>
      <c r="AA786" s="4"/>
      <c r="AB786" s="4"/>
      <c r="AC786" s="4"/>
      <c r="AD786" s="4"/>
      <c r="AE786" s="4"/>
    </row>
    <row r="787" spans="1:31" x14ac:dyDescent="0.2">
      <c r="A787" s="201"/>
      <c r="B787" s="4" t="s">
        <v>34</v>
      </c>
      <c r="C787" s="4">
        <v>783</v>
      </c>
      <c r="D787" s="4"/>
      <c r="E787" s="4"/>
      <c r="F787" s="4"/>
      <c r="G787" s="4"/>
      <c r="H787" s="4"/>
      <c r="I787" s="4"/>
      <c r="J787" s="4">
        <v>30783</v>
      </c>
      <c r="K787" s="202"/>
      <c r="L787" s="4">
        <v>49</v>
      </c>
      <c r="M787" s="4">
        <v>14</v>
      </c>
      <c r="N787" s="4" t="str">
        <f>_xlfn.CONCAT("DBX",((L787-1)*2)+1,".6")</f>
        <v>DBX97.6</v>
      </c>
      <c r="O787" s="4" t="s">
        <v>781</v>
      </c>
      <c r="P787" s="4"/>
      <c r="Q787" s="4"/>
      <c r="R787" s="4"/>
      <c r="S787" s="4"/>
      <c r="T787" s="4"/>
      <c r="U787" s="4"/>
      <c r="V787" s="4"/>
      <c r="W787" s="4"/>
      <c r="X787" s="4" t="e">
        <f t="shared" si="12"/>
        <v>#N/A</v>
      </c>
      <c r="Y787" s="4"/>
      <c r="Z787" s="4"/>
      <c r="AA787" s="4"/>
      <c r="AB787" s="4"/>
      <c r="AC787" s="4"/>
      <c r="AD787" s="4"/>
      <c r="AE787" s="4"/>
    </row>
    <row r="788" spans="1:31" x14ac:dyDescent="0.2">
      <c r="A788" s="201"/>
      <c r="B788" s="4" t="s">
        <v>34</v>
      </c>
      <c r="C788" s="4">
        <v>784</v>
      </c>
      <c r="D788" s="4"/>
      <c r="E788" s="4"/>
      <c r="F788" s="4"/>
      <c r="G788" s="4"/>
      <c r="H788" s="4"/>
      <c r="I788" s="4"/>
      <c r="J788" s="4">
        <v>30784</v>
      </c>
      <c r="K788" s="202"/>
      <c r="L788" s="4">
        <v>49</v>
      </c>
      <c r="M788" s="4">
        <v>15</v>
      </c>
      <c r="N788" s="4" t="str">
        <f>_xlfn.CONCAT("DBX",((L788-1)*2)+1,".7")</f>
        <v>DBX97.7</v>
      </c>
      <c r="O788" s="4" t="s">
        <v>781</v>
      </c>
      <c r="P788" s="4"/>
      <c r="Q788" s="4"/>
      <c r="R788" s="4"/>
      <c r="S788" s="4"/>
      <c r="T788" s="4"/>
      <c r="U788" s="4"/>
      <c r="V788" s="4"/>
      <c r="W788" s="4"/>
      <c r="X788" s="4" t="e">
        <f t="shared" si="12"/>
        <v>#N/A</v>
      </c>
      <c r="Y788" s="4"/>
      <c r="Z788" s="4"/>
      <c r="AA788" s="4"/>
      <c r="AB788" s="4"/>
      <c r="AC788" s="4"/>
      <c r="AD788" s="4"/>
      <c r="AE788" s="4"/>
    </row>
    <row r="789" spans="1:31" x14ac:dyDescent="0.2">
      <c r="A789" s="201"/>
      <c r="B789" s="4" t="s">
        <v>34</v>
      </c>
      <c r="C789" s="4">
        <v>785</v>
      </c>
      <c r="D789" s="4"/>
      <c r="E789" s="4"/>
      <c r="F789" s="4"/>
      <c r="G789" s="4"/>
      <c r="H789" s="4"/>
      <c r="I789" s="4"/>
      <c r="J789" s="4">
        <v>30785</v>
      </c>
      <c r="K789" s="202"/>
      <c r="L789" s="4">
        <v>50</v>
      </c>
      <c r="M789" s="4">
        <v>0</v>
      </c>
      <c r="N789" s="4" t="str">
        <f>_xlfn.CONCAT("DBX",((L789-1)*2),".0")</f>
        <v>DBX98.0</v>
      </c>
      <c r="O789" s="4" t="s">
        <v>781</v>
      </c>
      <c r="P789" s="4"/>
      <c r="Q789" s="4"/>
      <c r="R789" s="4"/>
      <c r="S789" s="4"/>
      <c r="T789" s="4"/>
      <c r="U789" s="4"/>
      <c r="V789" s="4"/>
      <c r="W789" s="4"/>
      <c r="X789" s="4" t="e">
        <f t="shared" si="12"/>
        <v>#N/A</v>
      </c>
      <c r="Y789" s="4"/>
      <c r="Z789" s="4"/>
      <c r="AA789" s="4"/>
      <c r="AB789" s="4"/>
      <c r="AC789" s="4"/>
      <c r="AD789" s="4"/>
      <c r="AE789" s="4"/>
    </row>
    <row r="790" spans="1:31" x14ac:dyDescent="0.2">
      <c r="A790" s="201"/>
      <c r="B790" s="4" t="s">
        <v>34</v>
      </c>
      <c r="C790" s="4">
        <v>786</v>
      </c>
      <c r="D790" s="4"/>
      <c r="E790" s="4"/>
      <c r="F790" s="4"/>
      <c r="G790" s="4"/>
      <c r="H790" s="4"/>
      <c r="I790" s="4"/>
      <c r="J790" s="4">
        <v>30786</v>
      </c>
      <c r="K790" s="202"/>
      <c r="L790" s="4">
        <v>50</v>
      </c>
      <c r="M790" s="4">
        <v>1</v>
      </c>
      <c r="N790" s="4" t="str">
        <f>_xlfn.CONCAT("DBX",((L790-1)*2),".1")</f>
        <v>DBX98.1</v>
      </c>
      <c r="O790" s="4" t="s">
        <v>781</v>
      </c>
      <c r="P790" s="4"/>
      <c r="Q790" s="4"/>
      <c r="R790" s="4"/>
      <c r="S790" s="4"/>
      <c r="T790" s="4"/>
      <c r="U790" s="4"/>
      <c r="V790" s="4"/>
      <c r="W790" s="4"/>
      <c r="X790" s="4" t="e">
        <f t="shared" si="12"/>
        <v>#N/A</v>
      </c>
      <c r="Y790" s="4"/>
      <c r="Z790" s="4"/>
      <c r="AA790" s="4"/>
      <c r="AB790" s="4"/>
      <c r="AC790" s="4"/>
      <c r="AD790" s="4"/>
      <c r="AE790" s="4"/>
    </row>
    <row r="791" spans="1:31" x14ac:dyDescent="0.2">
      <c r="A791" s="201"/>
      <c r="B791" s="4" t="s">
        <v>34</v>
      </c>
      <c r="C791" s="4">
        <v>787</v>
      </c>
      <c r="D791" s="4"/>
      <c r="E791" s="4"/>
      <c r="F791" s="4"/>
      <c r="G791" s="4"/>
      <c r="H791" s="4"/>
      <c r="I791" s="4"/>
      <c r="J791" s="4">
        <v>30787</v>
      </c>
      <c r="K791" s="202"/>
      <c r="L791" s="4">
        <v>50</v>
      </c>
      <c r="M791" s="4">
        <v>2</v>
      </c>
      <c r="N791" s="4" t="str">
        <f>_xlfn.CONCAT("DBX",((L791-1)*2),".2")</f>
        <v>DBX98.2</v>
      </c>
      <c r="O791" s="4" t="s">
        <v>781</v>
      </c>
      <c r="P791" s="4"/>
      <c r="Q791" s="4"/>
      <c r="R791" s="4"/>
      <c r="S791" s="4"/>
      <c r="T791" s="4"/>
      <c r="U791" s="4"/>
      <c r="V791" s="4"/>
      <c r="W791" s="4"/>
      <c r="X791" s="4" t="e">
        <f t="shared" si="12"/>
        <v>#N/A</v>
      </c>
      <c r="Y791" s="4"/>
      <c r="Z791" s="4"/>
      <c r="AA791" s="4"/>
      <c r="AB791" s="4"/>
      <c r="AC791" s="4"/>
      <c r="AD791" s="4"/>
      <c r="AE791" s="4"/>
    </row>
    <row r="792" spans="1:31" x14ac:dyDescent="0.2">
      <c r="A792" s="201"/>
      <c r="B792" s="4" t="s">
        <v>34</v>
      </c>
      <c r="C792" s="4">
        <v>788</v>
      </c>
      <c r="D792" s="4"/>
      <c r="E792" s="4"/>
      <c r="F792" s="4"/>
      <c r="G792" s="4"/>
      <c r="H792" s="4"/>
      <c r="I792" s="4"/>
      <c r="J792" s="4">
        <v>30788</v>
      </c>
      <c r="K792" s="202"/>
      <c r="L792" s="4">
        <v>50</v>
      </c>
      <c r="M792" s="4">
        <v>3</v>
      </c>
      <c r="N792" s="4" t="str">
        <f>_xlfn.CONCAT("DBX",((L792-1)*2),".3")</f>
        <v>DBX98.3</v>
      </c>
      <c r="O792" s="4" t="s">
        <v>781</v>
      </c>
      <c r="P792" s="4"/>
      <c r="Q792" s="4"/>
      <c r="R792" s="4"/>
      <c r="S792" s="4"/>
      <c r="T792" s="4"/>
      <c r="U792" s="4"/>
      <c r="V792" s="4"/>
      <c r="W792" s="4"/>
      <c r="X792" s="4" t="e">
        <f t="shared" si="12"/>
        <v>#N/A</v>
      </c>
      <c r="Y792" s="4"/>
      <c r="Z792" s="4"/>
      <c r="AA792" s="4"/>
      <c r="AB792" s="4"/>
      <c r="AC792" s="4"/>
      <c r="AD792" s="4"/>
      <c r="AE792" s="4"/>
    </row>
    <row r="793" spans="1:31" x14ac:dyDescent="0.2">
      <c r="A793" s="201"/>
      <c r="B793" s="4" t="s">
        <v>34</v>
      </c>
      <c r="C793" s="4">
        <v>789</v>
      </c>
      <c r="D793" s="4"/>
      <c r="E793" s="4"/>
      <c r="F793" s="4"/>
      <c r="G793" s="4"/>
      <c r="H793" s="4"/>
      <c r="I793" s="4"/>
      <c r="J793" s="4">
        <v>30789</v>
      </c>
      <c r="K793" s="202"/>
      <c r="L793" s="4">
        <v>50</v>
      </c>
      <c r="M793" s="4">
        <v>4</v>
      </c>
      <c r="N793" s="4" t="str">
        <f>_xlfn.CONCAT("DBX",((L793-1)*2),".4")</f>
        <v>DBX98.4</v>
      </c>
      <c r="O793" s="4" t="s">
        <v>781</v>
      </c>
      <c r="P793" s="4"/>
      <c r="Q793" s="4"/>
      <c r="R793" s="4"/>
      <c r="S793" s="4"/>
      <c r="T793" s="4"/>
      <c r="U793" s="4"/>
      <c r="V793" s="4"/>
      <c r="W793" s="4"/>
      <c r="X793" s="4" t="e">
        <f t="shared" si="12"/>
        <v>#N/A</v>
      </c>
      <c r="Y793" s="4"/>
      <c r="Z793" s="4"/>
      <c r="AA793" s="4"/>
      <c r="AB793" s="4"/>
      <c r="AC793" s="4"/>
      <c r="AD793" s="4"/>
      <c r="AE793" s="4"/>
    </row>
    <row r="794" spans="1:31" x14ac:dyDescent="0.2">
      <c r="A794" s="201"/>
      <c r="B794" s="4" t="s">
        <v>34</v>
      </c>
      <c r="C794" s="4">
        <v>790</v>
      </c>
      <c r="D794" s="4"/>
      <c r="E794" s="4"/>
      <c r="F794" s="4"/>
      <c r="G794" s="4"/>
      <c r="H794" s="4"/>
      <c r="I794" s="4"/>
      <c r="J794" s="4">
        <v>30790</v>
      </c>
      <c r="K794" s="202"/>
      <c r="L794" s="4">
        <v>50</v>
      </c>
      <c r="M794" s="4">
        <v>5</v>
      </c>
      <c r="N794" s="4" t="str">
        <f>_xlfn.CONCAT("DBX",((L794-1)*2),".5")</f>
        <v>DBX98.5</v>
      </c>
      <c r="O794" s="4" t="s">
        <v>781</v>
      </c>
      <c r="P794" s="4"/>
      <c r="Q794" s="4"/>
      <c r="R794" s="4"/>
      <c r="S794" s="4"/>
      <c r="T794" s="4"/>
      <c r="U794" s="4"/>
      <c r="V794" s="4"/>
      <c r="W794" s="4"/>
      <c r="X794" s="4" t="e">
        <f t="shared" si="12"/>
        <v>#N/A</v>
      </c>
      <c r="Y794" s="4"/>
      <c r="Z794" s="4"/>
      <c r="AA794" s="4"/>
      <c r="AB794" s="4"/>
      <c r="AC794" s="4"/>
      <c r="AD794" s="4"/>
      <c r="AE794" s="4"/>
    </row>
    <row r="795" spans="1:31" x14ac:dyDescent="0.2">
      <c r="A795" s="201"/>
      <c r="B795" s="4" t="s">
        <v>34</v>
      </c>
      <c r="C795" s="4">
        <v>791</v>
      </c>
      <c r="D795" s="4"/>
      <c r="E795" s="4"/>
      <c r="F795" s="4"/>
      <c r="G795" s="4"/>
      <c r="H795" s="4"/>
      <c r="I795" s="4"/>
      <c r="J795" s="4">
        <v>30791</v>
      </c>
      <c r="K795" s="202"/>
      <c r="L795" s="4">
        <v>50</v>
      </c>
      <c r="M795" s="4">
        <v>6</v>
      </c>
      <c r="N795" s="4" t="str">
        <f>_xlfn.CONCAT("DBX",((L795-1)*2),".6")</f>
        <v>DBX98.6</v>
      </c>
      <c r="O795" s="4" t="s">
        <v>781</v>
      </c>
      <c r="P795" s="4"/>
      <c r="Q795" s="4"/>
      <c r="R795" s="4"/>
      <c r="S795" s="4"/>
      <c r="T795" s="4"/>
      <c r="U795" s="4"/>
      <c r="V795" s="4"/>
      <c r="W795" s="4"/>
      <c r="X795" s="4" t="e">
        <f t="shared" si="12"/>
        <v>#N/A</v>
      </c>
      <c r="Y795" s="4"/>
      <c r="Z795" s="4"/>
      <c r="AA795" s="4"/>
      <c r="AB795" s="4"/>
      <c r="AC795" s="4"/>
      <c r="AD795" s="4"/>
      <c r="AE795" s="4"/>
    </row>
    <row r="796" spans="1:31" x14ac:dyDescent="0.2">
      <c r="A796" s="201"/>
      <c r="B796" s="4" t="s">
        <v>34</v>
      </c>
      <c r="C796" s="4">
        <v>792</v>
      </c>
      <c r="D796" s="4"/>
      <c r="E796" s="4"/>
      <c r="F796" s="4"/>
      <c r="G796" s="4"/>
      <c r="H796" s="4"/>
      <c r="I796" s="4"/>
      <c r="J796" s="4">
        <v>30792</v>
      </c>
      <c r="K796" s="202"/>
      <c r="L796" s="4">
        <v>50</v>
      </c>
      <c r="M796" s="4">
        <v>7</v>
      </c>
      <c r="N796" s="4" t="str">
        <f>_xlfn.CONCAT("DBX",((L796-1)*2),".7")</f>
        <v>DBX98.7</v>
      </c>
      <c r="O796" s="4" t="s">
        <v>781</v>
      </c>
      <c r="P796" s="4"/>
      <c r="Q796" s="4"/>
      <c r="R796" s="4"/>
      <c r="S796" s="4"/>
      <c r="T796" s="4"/>
      <c r="U796" s="4"/>
      <c r="V796" s="4"/>
      <c r="W796" s="4"/>
      <c r="X796" s="4" t="e">
        <f t="shared" si="12"/>
        <v>#N/A</v>
      </c>
      <c r="Y796" s="4"/>
      <c r="Z796" s="4"/>
      <c r="AA796" s="4"/>
      <c r="AB796" s="4"/>
      <c r="AC796" s="4"/>
      <c r="AD796" s="4"/>
      <c r="AE796" s="4"/>
    </row>
    <row r="797" spans="1:31" x14ac:dyDescent="0.2">
      <c r="A797" s="201"/>
      <c r="B797" s="4" t="s">
        <v>34</v>
      </c>
      <c r="C797" s="4">
        <v>793</v>
      </c>
      <c r="D797" s="4"/>
      <c r="E797" s="4"/>
      <c r="F797" s="4"/>
      <c r="G797" s="4"/>
      <c r="H797" s="4"/>
      <c r="I797" s="4"/>
      <c r="J797" s="4">
        <v>30793</v>
      </c>
      <c r="K797" s="202"/>
      <c r="L797" s="4">
        <v>50</v>
      </c>
      <c r="M797" s="4">
        <v>8</v>
      </c>
      <c r="N797" s="4" t="str">
        <f>_xlfn.CONCAT("DBX",((L797-1)*2)+1,".0")</f>
        <v>DBX99.0</v>
      </c>
      <c r="O797" s="4" t="s">
        <v>781</v>
      </c>
      <c r="P797" s="4"/>
      <c r="Q797" s="4"/>
      <c r="R797" s="4"/>
      <c r="S797" s="4"/>
      <c r="T797" s="4"/>
      <c r="U797" s="4"/>
      <c r="V797" s="4"/>
      <c r="W797" s="4"/>
      <c r="X797" s="4" t="e">
        <f t="shared" si="12"/>
        <v>#N/A</v>
      </c>
      <c r="Y797" s="4"/>
      <c r="Z797" s="4"/>
      <c r="AA797" s="4"/>
      <c r="AB797" s="4"/>
      <c r="AC797" s="4"/>
      <c r="AD797" s="4"/>
      <c r="AE797" s="4"/>
    </row>
    <row r="798" spans="1:31" x14ac:dyDescent="0.2">
      <c r="A798" s="201"/>
      <c r="B798" s="4" t="s">
        <v>34</v>
      </c>
      <c r="C798" s="4">
        <v>794</v>
      </c>
      <c r="D798" s="4"/>
      <c r="E798" s="4"/>
      <c r="F798" s="4"/>
      <c r="G798" s="4"/>
      <c r="H798" s="4"/>
      <c r="I798" s="4"/>
      <c r="J798" s="4">
        <v>30794</v>
      </c>
      <c r="K798" s="202"/>
      <c r="L798" s="4">
        <v>50</v>
      </c>
      <c r="M798" s="4">
        <v>9</v>
      </c>
      <c r="N798" s="4" t="str">
        <f>_xlfn.CONCAT("DBX",((L798-1)*2)+1,".1")</f>
        <v>DBX99.1</v>
      </c>
      <c r="O798" s="4" t="s">
        <v>781</v>
      </c>
      <c r="P798" s="4"/>
      <c r="Q798" s="4"/>
      <c r="R798" s="4"/>
      <c r="S798" s="4"/>
      <c r="T798" s="4"/>
      <c r="U798" s="4"/>
      <c r="V798" s="4"/>
      <c r="W798" s="4"/>
      <c r="X798" s="4" t="e">
        <f t="shared" si="12"/>
        <v>#N/A</v>
      </c>
      <c r="Y798" s="4"/>
      <c r="Z798" s="4"/>
      <c r="AA798" s="4"/>
      <c r="AB798" s="4"/>
      <c r="AC798" s="4"/>
      <c r="AD798" s="4"/>
      <c r="AE798" s="4"/>
    </row>
    <row r="799" spans="1:31" x14ac:dyDescent="0.2">
      <c r="A799" s="201"/>
      <c r="B799" s="4" t="s">
        <v>34</v>
      </c>
      <c r="C799" s="4">
        <v>795</v>
      </c>
      <c r="D799" s="4"/>
      <c r="E799" s="4"/>
      <c r="F799" s="4"/>
      <c r="G799" s="4"/>
      <c r="H799" s="4"/>
      <c r="I799" s="4"/>
      <c r="J799" s="4">
        <v>30795</v>
      </c>
      <c r="K799" s="202"/>
      <c r="L799" s="4">
        <v>50</v>
      </c>
      <c r="M799" s="4">
        <v>10</v>
      </c>
      <c r="N799" s="4" t="str">
        <f>_xlfn.CONCAT("DBX",((L799-1)*2)+1,".2")</f>
        <v>DBX99.2</v>
      </c>
      <c r="O799" s="4" t="s">
        <v>781</v>
      </c>
      <c r="P799" s="4"/>
      <c r="Q799" s="4"/>
      <c r="R799" s="4"/>
      <c r="S799" s="4"/>
      <c r="T799" s="4"/>
      <c r="U799" s="4"/>
      <c r="V799" s="4"/>
      <c r="W799" s="4"/>
      <c r="X799" s="4" t="e">
        <f t="shared" si="12"/>
        <v>#N/A</v>
      </c>
      <c r="Y799" s="4"/>
      <c r="Z799" s="4"/>
      <c r="AA799" s="4"/>
      <c r="AB799" s="4"/>
      <c r="AC799" s="4"/>
      <c r="AD799" s="4"/>
      <c r="AE799" s="4"/>
    </row>
    <row r="800" spans="1:31" x14ac:dyDescent="0.2">
      <c r="A800" s="201"/>
      <c r="B800" s="4" t="s">
        <v>34</v>
      </c>
      <c r="C800" s="4">
        <v>796</v>
      </c>
      <c r="D800" s="4"/>
      <c r="E800" s="4"/>
      <c r="F800" s="4"/>
      <c r="G800" s="4"/>
      <c r="H800" s="4"/>
      <c r="I800" s="4"/>
      <c r="J800" s="4">
        <v>30796</v>
      </c>
      <c r="K800" s="202"/>
      <c r="L800" s="4">
        <v>50</v>
      </c>
      <c r="M800" s="4">
        <v>11</v>
      </c>
      <c r="N800" s="4" t="str">
        <f>_xlfn.CONCAT("DBX",((L800-1)*2)+1,".3")</f>
        <v>DBX99.3</v>
      </c>
      <c r="O800" s="4" t="s">
        <v>781</v>
      </c>
      <c r="P800" s="4"/>
      <c r="Q800" s="4"/>
      <c r="R800" s="4"/>
      <c r="S800" s="4"/>
      <c r="T800" s="4"/>
      <c r="U800" s="4"/>
      <c r="V800" s="4"/>
      <c r="W800" s="4"/>
      <c r="X800" s="4" t="e">
        <f t="shared" si="12"/>
        <v>#N/A</v>
      </c>
      <c r="Y800" s="4"/>
      <c r="Z800" s="4"/>
      <c r="AA800" s="4"/>
      <c r="AB800" s="4"/>
      <c r="AC800" s="4"/>
      <c r="AD800" s="4"/>
      <c r="AE800" s="4"/>
    </row>
    <row r="801" spans="1:34" x14ac:dyDescent="0.2">
      <c r="A801" s="201"/>
      <c r="B801" s="4" t="s">
        <v>34</v>
      </c>
      <c r="C801" s="4">
        <v>797</v>
      </c>
      <c r="D801" s="4"/>
      <c r="E801" s="4"/>
      <c r="F801" s="4"/>
      <c r="G801" s="4"/>
      <c r="H801" s="4"/>
      <c r="I801" s="4"/>
      <c r="J801" s="4">
        <v>30797</v>
      </c>
      <c r="K801" s="202"/>
      <c r="L801" s="4">
        <v>50</v>
      </c>
      <c r="M801" s="4">
        <v>12</v>
      </c>
      <c r="N801" s="4" t="str">
        <f>_xlfn.CONCAT("DBX",((L801-1)*2)+1,".4")</f>
        <v>DBX99.4</v>
      </c>
      <c r="O801" s="4" t="s">
        <v>781</v>
      </c>
      <c r="P801" s="4"/>
      <c r="Q801" s="4"/>
      <c r="R801" s="4"/>
      <c r="S801" s="4"/>
      <c r="T801" s="4"/>
      <c r="U801" s="4"/>
      <c r="V801" s="4"/>
      <c r="W801" s="4"/>
      <c r="X801" s="4" t="e">
        <f t="shared" si="12"/>
        <v>#N/A</v>
      </c>
      <c r="Y801" s="4"/>
      <c r="Z801" s="4"/>
      <c r="AA801" s="4"/>
      <c r="AB801" s="4"/>
      <c r="AC801" s="4"/>
      <c r="AD801" s="4"/>
      <c r="AE801" s="4"/>
    </row>
    <row r="802" spans="1:34" x14ac:dyDescent="0.2">
      <c r="A802" s="201"/>
      <c r="B802" s="4" t="s">
        <v>34</v>
      </c>
      <c r="C802" s="4">
        <v>798</v>
      </c>
      <c r="D802" s="4"/>
      <c r="E802" s="4"/>
      <c r="F802" s="4"/>
      <c r="G802" s="4"/>
      <c r="H802" s="4"/>
      <c r="I802" s="4"/>
      <c r="J802" s="4">
        <v>30798</v>
      </c>
      <c r="K802" s="202"/>
      <c r="L802" s="4">
        <v>50</v>
      </c>
      <c r="M802" s="4">
        <v>13</v>
      </c>
      <c r="N802" s="4" t="str">
        <f>_xlfn.CONCAT("DBX",((L802-1)*2)+1,".5")</f>
        <v>DBX99.5</v>
      </c>
      <c r="O802" s="4" t="s">
        <v>781</v>
      </c>
      <c r="P802" s="4"/>
      <c r="Q802" s="4"/>
      <c r="R802" s="4"/>
      <c r="S802" s="4"/>
      <c r="T802" s="4"/>
      <c r="U802" s="4"/>
      <c r="V802" s="4"/>
      <c r="W802" s="4"/>
      <c r="X802" s="4" t="e">
        <f t="shared" si="12"/>
        <v>#N/A</v>
      </c>
      <c r="Y802" s="4"/>
      <c r="Z802" s="4"/>
      <c r="AA802" s="4"/>
      <c r="AB802" s="4"/>
      <c r="AC802" s="4"/>
      <c r="AD802" s="4"/>
      <c r="AE802" s="4"/>
    </row>
    <row r="803" spans="1:34" x14ac:dyDescent="0.2">
      <c r="A803" s="201"/>
      <c r="B803" s="4" t="s">
        <v>34</v>
      </c>
      <c r="C803" s="4">
        <v>799</v>
      </c>
      <c r="D803" s="4"/>
      <c r="E803" s="4"/>
      <c r="F803" s="4"/>
      <c r="G803" s="4"/>
      <c r="H803" s="4"/>
      <c r="I803" s="4"/>
      <c r="J803" s="4">
        <v>30799</v>
      </c>
      <c r="K803" s="202"/>
      <c r="L803" s="4">
        <v>50</v>
      </c>
      <c r="M803" s="4">
        <v>14</v>
      </c>
      <c r="N803" s="4" t="str">
        <f>_xlfn.CONCAT("DBX",((L803-1)*2)+1,".6")</f>
        <v>DBX99.6</v>
      </c>
      <c r="O803" s="4" t="s">
        <v>781</v>
      </c>
      <c r="P803" s="4"/>
      <c r="Q803" s="4"/>
      <c r="R803" s="4"/>
      <c r="S803" s="4"/>
      <c r="T803" s="4"/>
      <c r="U803" s="4"/>
      <c r="V803" s="4"/>
      <c r="W803" s="4"/>
      <c r="X803" s="4" t="e">
        <f t="shared" si="12"/>
        <v>#N/A</v>
      </c>
      <c r="Y803" s="4"/>
      <c r="Z803" s="4"/>
      <c r="AA803" s="4"/>
      <c r="AB803" s="4"/>
      <c r="AC803" s="4"/>
      <c r="AD803" s="4"/>
      <c r="AE803" s="4"/>
    </row>
    <row r="804" spans="1:34" x14ac:dyDescent="0.2">
      <c r="A804" s="201"/>
      <c r="B804" s="4" t="s">
        <v>34</v>
      </c>
      <c r="C804" s="4">
        <v>800</v>
      </c>
      <c r="D804" s="4"/>
      <c r="E804" s="4"/>
      <c r="F804" s="4"/>
      <c r="G804" s="4"/>
      <c r="H804" s="4"/>
      <c r="I804" s="4"/>
      <c r="J804" s="4">
        <v>30800</v>
      </c>
      <c r="K804" s="202"/>
      <c r="L804" s="4">
        <v>50</v>
      </c>
      <c r="M804" s="4">
        <v>15</v>
      </c>
      <c r="N804" s="4" t="str">
        <f>_xlfn.CONCAT("DBX",((L804-1)*2)+1,".7")</f>
        <v>DBX99.7</v>
      </c>
      <c r="O804" s="4" t="s">
        <v>781</v>
      </c>
      <c r="P804" s="4"/>
      <c r="Q804" s="4"/>
      <c r="R804" s="4"/>
      <c r="S804" s="4"/>
      <c r="T804" s="4"/>
      <c r="U804" s="4"/>
      <c r="V804" s="4"/>
      <c r="W804" s="4"/>
      <c r="X804" s="4" t="e">
        <f t="shared" si="12"/>
        <v>#N/A</v>
      </c>
      <c r="Y804" s="4"/>
      <c r="Z804" s="4"/>
      <c r="AA804" s="4"/>
      <c r="AB804" s="4"/>
      <c r="AC804" s="4"/>
      <c r="AD804" s="4"/>
      <c r="AE804" s="4"/>
    </row>
    <row r="805" spans="1:34" ht="23.25" x14ac:dyDescent="0.2">
      <c r="A805" s="304" t="s">
        <v>2228</v>
      </c>
      <c r="B805" s="305"/>
      <c r="C805" s="305"/>
      <c r="D805" s="305"/>
      <c r="E805" s="305"/>
      <c r="F805" s="305"/>
      <c r="G805" s="305"/>
      <c r="H805" s="305"/>
      <c r="I805" s="305"/>
      <c r="J805" s="305"/>
      <c r="K805" s="305"/>
      <c r="L805" s="305"/>
      <c r="M805" s="305"/>
      <c r="N805" s="305"/>
      <c r="O805" s="305"/>
      <c r="P805" s="305"/>
      <c r="Q805" s="305"/>
      <c r="R805" s="305"/>
      <c r="S805" s="305"/>
      <c r="T805" s="305"/>
      <c r="U805" s="305"/>
      <c r="V805" s="305"/>
      <c r="W805" s="305"/>
      <c r="X805" s="305"/>
      <c r="Y805" s="305"/>
      <c r="Z805" s="305"/>
      <c r="AA805" s="305"/>
      <c r="AB805" s="305"/>
      <c r="AC805" s="305"/>
      <c r="AD805" s="305"/>
      <c r="AE805" s="305"/>
    </row>
    <row r="806" spans="1:34" x14ac:dyDescent="0.2">
      <c r="A806" s="201"/>
      <c r="B806" s="4" t="s">
        <v>104</v>
      </c>
      <c r="C806" s="4">
        <v>801</v>
      </c>
      <c r="D806" s="4" t="s">
        <v>9</v>
      </c>
      <c r="E806" s="4" t="s">
        <v>9</v>
      </c>
      <c r="F806" s="4" t="s">
        <v>10</v>
      </c>
      <c r="G806" s="4"/>
      <c r="H806" s="4"/>
      <c r="I806" s="4"/>
      <c r="J806" s="4">
        <v>40001</v>
      </c>
      <c r="K806" s="4" t="s">
        <v>11</v>
      </c>
      <c r="L806" s="4">
        <v>51</v>
      </c>
      <c r="M806" s="4">
        <v>0</v>
      </c>
      <c r="N806" s="4" t="str">
        <f>_xlfn.CONCAT("DBX",((L806-1)*2),".0")</f>
        <v>DBX100.0</v>
      </c>
      <c r="O806" s="4" t="s">
        <v>179</v>
      </c>
      <c r="P806" s="4" t="s">
        <v>11</v>
      </c>
      <c r="Q806" s="4" t="s">
        <v>12</v>
      </c>
      <c r="R806" s="4"/>
      <c r="S806" s="4">
        <v>3923</v>
      </c>
      <c r="T806" s="4" t="s">
        <v>2550</v>
      </c>
      <c r="U806" s="4"/>
      <c r="V806" s="4"/>
      <c r="W806" s="4" t="s">
        <v>129</v>
      </c>
      <c r="X806" s="4">
        <f t="shared" ref="X806:X869" si="13">VLOOKUP(W806,$W$1609:$X$1639,2,FALSE)</f>
        <v>13</v>
      </c>
      <c r="Y806" s="4"/>
      <c r="Z806" s="4"/>
      <c r="AA806" s="4"/>
      <c r="AB806" s="4"/>
      <c r="AC806" s="210">
        <v>1</v>
      </c>
      <c r="AD806" s="4"/>
      <c r="AE806" s="4"/>
    </row>
    <row r="807" spans="1:34" ht="12.75" x14ac:dyDescent="0.2">
      <c r="A807" s="201"/>
      <c r="B807" s="4" t="s">
        <v>104</v>
      </c>
      <c r="C807" s="4">
        <v>802</v>
      </c>
      <c r="D807" s="4" t="s">
        <v>13</v>
      </c>
      <c r="E807" s="4" t="s">
        <v>13</v>
      </c>
      <c r="F807" s="4" t="s">
        <v>14</v>
      </c>
      <c r="G807" s="4"/>
      <c r="H807" s="4"/>
      <c r="I807" s="4"/>
      <c r="J807" s="4">
        <v>40002</v>
      </c>
      <c r="K807" s="4" t="s">
        <v>98</v>
      </c>
      <c r="L807" s="4">
        <v>51</v>
      </c>
      <c r="M807" s="4">
        <v>1</v>
      </c>
      <c r="N807" s="4" t="str">
        <f>_xlfn.CONCAT("DBX",((L807-1)*2),".1")</f>
        <v>DBX100.1</v>
      </c>
      <c r="O807" s="4" t="s">
        <v>179</v>
      </c>
      <c r="P807" s="4" t="s">
        <v>98</v>
      </c>
      <c r="Q807" s="4" t="s">
        <v>12</v>
      </c>
      <c r="R807" s="4"/>
      <c r="S807" s="4">
        <v>3923</v>
      </c>
      <c r="T807" s="4" t="s">
        <v>2550</v>
      </c>
      <c r="U807" s="4"/>
      <c r="V807" s="4"/>
      <c r="W807" s="4" t="s">
        <v>129</v>
      </c>
      <c r="X807" s="4">
        <f t="shared" si="13"/>
        <v>13</v>
      </c>
      <c r="Y807" s="4"/>
      <c r="Z807" s="4"/>
      <c r="AA807" s="4"/>
      <c r="AB807" s="4"/>
      <c r="AC807" s="210">
        <v>1</v>
      </c>
      <c r="AD807" s="4"/>
      <c r="AE807" s="4"/>
      <c r="AG807" s="31"/>
      <c r="AH807" s="31"/>
    </row>
    <row r="808" spans="1:34" ht="12.75" x14ac:dyDescent="0.2">
      <c r="A808" s="201"/>
      <c r="B808" s="4" t="s">
        <v>104</v>
      </c>
      <c r="C808" s="4">
        <v>803</v>
      </c>
      <c r="D808" s="4" t="s">
        <v>15</v>
      </c>
      <c r="E808" s="4" t="s">
        <v>15</v>
      </c>
      <c r="F808" s="4" t="s">
        <v>16</v>
      </c>
      <c r="G808" s="4"/>
      <c r="H808" s="4"/>
      <c r="I808" s="4"/>
      <c r="J808" s="4">
        <v>40003</v>
      </c>
      <c r="K808" s="4" t="s">
        <v>98</v>
      </c>
      <c r="L808" s="4">
        <v>51</v>
      </c>
      <c r="M808" s="4">
        <v>2</v>
      </c>
      <c r="N808" s="4" t="str">
        <f>_xlfn.CONCAT("DBX",((L808-1)*2),".2")</f>
        <v>DBX100.2</v>
      </c>
      <c r="O808" s="4" t="s">
        <v>179</v>
      </c>
      <c r="P808" s="4" t="s">
        <v>98</v>
      </c>
      <c r="Q808" s="4" t="s">
        <v>12</v>
      </c>
      <c r="R808" s="4"/>
      <c r="S808" s="4">
        <v>3923</v>
      </c>
      <c r="T808" s="4" t="s">
        <v>2550</v>
      </c>
      <c r="U808" s="4"/>
      <c r="V808" s="4"/>
      <c r="W808" s="4" t="s">
        <v>129</v>
      </c>
      <c r="X808" s="4">
        <f t="shared" si="13"/>
        <v>13</v>
      </c>
      <c r="Y808" s="4"/>
      <c r="Z808" s="4"/>
      <c r="AA808" s="4"/>
      <c r="AB808" s="4"/>
      <c r="AC808" s="210">
        <v>1</v>
      </c>
      <c r="AD808" s="4"/>
      <c r="AE808" s="4"/>
      <c r="AG808" s="31"/>
      <c r="AH808" s="31"/>
    </row>
    <row r="809" spans="1:34" ht="12.75" x14ac:dyDescent="0.2">
      <c r="A809" s="201"/>
      <c r="B809" s="4" t="s">
        <v>34</v>
      </c>
      <c r="C809" s="4">
        <v>804</v>
      </c>
      <c r="D809" s="4" t="s">
        <v>17</v>
      </c>
      <c r="E809" s="4" t="s">
        <v>17</v>
      </c>
      <c r="F809" s="4" t="s">
        <v>18</v>
      </c>
      <c r="G809" s="4"/>
      <c r="H809" s="4"/>
      <c r="I809" s="4"/>
      <c r="J809" s="4">
        <v>40004</v>
      </c>
      <c r="K809" s="4"/>
      <c r="L809" s="4">
        <v>51</v>
      </c>
      <c r="M809" s="4">
        <v>3</v>
      </c>
      <c r="N809" s="4" t="str">
        <f>_xlfn.CONCAT("DBX",((L809-1)*2),".3")</f>
        <v>DBX100.3</v>
      </c>
      <c r="O809" s="4" t="s">
        <v>179</v>
      </c>
      <c r="P809" s="4"/>
      <c r="Q809" s="4"/>
      <c r="R809" s="4"/>
      <c r="S809" s="4"/>
      <c r="T809" s="4"/>
      <c r="U809" s="4"/>
      <c r="V809" s="4"/>
      <c r="W809" s="4" t="s">
        <v>154</v>
      </c>
      <c r="X809" s="4" t="e">
        <f t="shared" si="13"/>
        <v>#N/A</v>
      </c>
      <c r="Y809" s="4"/>
      <c r="Z809" s="4"/>
      <c r="AA809" s="4"/>
      <c r="AB809" s="4"/>
      <c r="AC809" s="210"/>
      <c r="AD809" s="4"/>
      <c r="AE809" s="4"/>
      <c r="AG809" s="31"/>
      <c r="AH809" s="31"/>
    </row>
    <row r="810" spans="1:34" x14ac:dyDescent="0.2">
      <c r="A810" s="201"/>
      <c r="B810" s="4" t="s">
        <v>34</v>
      </c>
      <c r="C810" s="4">
        <v>805</v>
      </c>
      <c r="D810" s="4" t="s">
        <v>17</v>
      </c>
      <c r="E810" s="4" t="s">
        <v>17</v>
      </c>
      <c r="F810" s="4" t="s">
        <v>18</v>
      </c>
      <c r="G810" s="4"/>
      <c r="H810" s="4"/>
      <c r="I810" s="4"/>
      <c r="J810" s="4">
        <v>40005</v>
      </c>
      <c r="K810" s="4"/>
      <c r="L810" s="4">
        <v>51</v>
      </c>
      <c r="M810" s="4">
        <v>4</v>
      </c>
      <c r="N810" s="4" t="str">
        <f>_xlfn.CONCAT("DBX",((L810-1)*2),".4")</f>
        <v>DBX100.4</v>
      </c>
      <c r="O810" s="4" t="s">
        <v>179</v>
      </c>
      <c r="P810" s="4"/>
      <c r="Q810" s="4"/>
      <c r="R810" s="4"/>
      <c r="S810" s="4"/>
      <c r="T810" s="4"/>
      <c r="U810" s="4"/>
      <c r="V810" s="4"/>
      <c r="W810" s="4" t="s">
        <v>154</v>
      </c>
      <c r="X810" s="4" t="e">
        <f t="shared" si="13"/>
        <v>#N/A</v>
      </c>
      <c r="Y810" s="4"/>
      <c r="Z810" s="4"/>
      <c r="AA810" s="4"/>
      <c r="AB810" s="4"/>
      <c r="AC810" s="210"/>
      <c r="AD810" s="4"/>
      <c r="AE810" s="4"/>
    </row>
    <row r="811" spans="1:34" ht="12.75" x14ac:dyDescent="0.2">
      <c r="A811" s="201"/>
      <c r="B811" s="4" t="s">
        <v>34</v>
      </c>
      <c r="C811" s="4">
        <v>806</v>
      </c>
      <c r="D811" s="4" t="s">
        <v>17</v>
      </c>
      <c r="E811" s="4" t="s">
        <v>17</v>
      </c>
      <c r="F811" s="4" t="s">
        <v>18</v>
      </c>
      <c r="G811" s="4"/>
      <c r="H811" s="4"/>
      <c r="I811" s="4"/>
      <c r="J811" s="4">
        <v>40006</v>
      </c>
      <c r="K811" s="4"/>
      <c r="L811" s="4">
        <v>51</v>
      </c>
      <c r="M811" s="4">
        <v>5</v>
      </c>
      <c r="N811" s="4" t="str">
        <f>_xlfn.CONCAT("DBX",((L811-1)*2),".5")</f>
        <v>DBX100.5</v>
      </c>
      <c r="O811" s="4" t="s">
        <v>179</v>
      </c>
      <c r="P811" s="4"/>
      <c r="Q811" s="4"/>
      <c r="R811" s="4"/>
      <c r="S811" s="4"/>
      <c r="T811" s="4"/>
      <c r="U811" s="4"/>
      <c r="V811" s="4"/>
      <c r="W811" s="4" t="s">
        <v>154</v>
      </c>
      <c r="X811" s="4" t="e">
        <f t="shared" si="13"/>
        <v>#N/A</v>
      </c>
      <c r="Y811" s="4"/>
      <c r="Z811" s="4"/>
      <c r="AA811" s="4"/>
      <c r="AB811" s="4"/>
      <c r="AC811" s="210"/>
      <c r="AD811" s="4"/>
      <c r="AE811" s="4"/>
      <c r="AG811" s="215"/>
      <c r="AH811" s="31"/>
    </row>
    <row r="812" spans="1:34" ht="12.75" x14ac:dyDescent="0.2">
      <c r="A812" s="201"/>
      <c r="B812" s="4" t="s">
        <v>34</v>
      </c>
      <c r="C812" s="4">
        <v>807</v>
      </c>
      <c r="D812" s="4" t="s">
        <v>17</v>
      </c>
      <c r="E812" s="4" t="s">
        <v>17</v>
      </c>
      <c r="F812" s="4" t="s">
        <v>18</v>
      </c>
      <c r="G812" s="4"/>
      <c r="H812" s="4"/>
      <c r="I812" s="4"/>
      <c r="J812" s="4">
        <v>40007</v>
      </c>
      <c r="K812" s="4"/>
      <c r="L812" s="4">
        <v>51</v>
      </c>
      <c r="M812" s="4">
        <v>6</v>
      </c>
      <c r="N812" s="4" t="str">
        <f>_xlfn.CONCAT("DBX",((L812-1)*2),".6")</f>
        <v>DBX100.6</v>
      </c>
      <c r="O812" s="4" t="s">
        <v>179</v>
      </c>
      <c r="P812" s="4"/>
      <c r="Q812" s="4"/>
      <c r="R812" s="4"/>
      <c r="S812" s="4"/>
      <c r="T812" s="4"/>
      <c r="U812" s="4"/>
      <c r="V812" s="4"/>
      <c r="W812" s="4" t="s">
        <v>154</v>
      </c>
      <c r="X812" s="4" t="e">
        <f t="shared" si="13"/>
        <v>#N/A</v>
      </c>
      <c r="Y812" s="4"/>
      <c r="Z812" s="4"/>
      <c r="AA812" s="4"/>
      <c r="AB812" s="4"/>
      <c r="AC812" s="210"/>
      <c r="AD812" s="4"/>
      <c r="AE812" s="4"/>
      <c r="AH812" s="31"/>
    </row>
    <row r="813" spans="1:34" x14ac:dyDescent="0.2">
      <c r="A813" s="201"/>
      <c r="B813" s="4" t="s">
        <v>34</v>
      </c>
      <c r="C813" s="4">
        <v>808</v>
      </c>
      <c r="D813" s="4" t="s">
        <v>17</v>
      </c>
      <c r="E813" s="4" t="s">
        <v>17</v>
      </c>
      <c r="F813" s="4" t="s">
        <v>18</v>
      </c>
      <c r="G813" s="4"/>
      <c r="H813" s="4"/>
      <c r="I813" s="4"/>
      <c r="J813" s="4">
        <v>40008</v>
      </c>
      <c r="K813" s="4"/>
      <c r="L813" s="4">
        <v>51</v>
      </c>
      <c r="M813" s="4">
        <v>7</v>
      </c>
      <c r="N813" s="4" t="str">
        <f>_xlfn.CONCAT("DBX",((L813-1)*2),".7")</f>
        <v>DBX100.7</v>
      </c>
      <c r="O813" s="4" t="s">
        <v>179</v>
      </c>
      <c r="P813" s="4"/>
      <c r="Q813" s="4"/>
      <c r="R813" s="4"/>
      <c r="S813" s="4"/>
      <c r="T813" s="4"/>
      <c r="U813" s="4"/>
      <c r="V813" s="4"/>
      <c r="W813" s="4" t="s">
        <v>154</v>
      </c>
      <c r="X813" s="4" t="e">
        <f t="shared" si="13"/>
        <v>#N/A</v>
      </c>
      <c r="Y813" s="4"/>
      <c r="Z813" s="4"/>
      <c r="AA813" s="4"/>
      <c r="AB813" s="4"/>
      <c r="AC813" s="210"/>
      <c r="AD813" s="4"/>
      <c r="AE813" s="4"/>
    </row>
    <row r="814" spans="1:34" x14ac:dyDescent="0.2">
      <c r="A814" s="201"/>
      <c r="B814" s="4" t="s">
        <v>104</v>
      </c>
      <c r="C814" s="4">
        <v>809</v>
      </c>
      <c r="D814" s="4" t="s">
        <v>19</v>
      </c>
      <c r="E814" s="4" t="s">
        <v>19</v>
      </c>
      <c r="F814" s="4" t="s">
        <v>20</v>
      </c>
      <c r="G814" s="4"/>
      <c r="H814" s="4"/>
      <c r="I814" s="4"/>
      <c r="J814" s="4">
        <v>40009</v>
      </c>
      <c r="K814" s="4" t="s">
        <v>11</v>
      </c>
      <c r="L814" s="4">
        <v>51</v>
      </c>
      <c r="M814" s="4">
        <v>8</v>
      </c>
      <c r="N814" s="4" t="str">
        <f>_xlfn.CONCAT("DBX",((L814-1)*2)+1,".0")</f>
        <v>DBX101.0</v>
      </c>
      <c r="O814" s="4" t="s">
        <v>179</v>
      </c>
      <c r="P814" s="4" t="s">
        <v>11</v>
      </c>
      <c r="Q814" s="4" t="s">
        <v>12</v>
      </c>
      <c r="R814" s="4"/>
      <c r="S814" s="4">
        <v>3923</v>
      </c>
      <c r="T814" s="4" t="s">
        <v>2550</v>
      </c>
      <c r="U814" s="4"/>
      <c r="V814" s="4"/>
      <c r="W814" s="4" t="s">
        <v>129</v>
      </c>
      <c r="X814" s="4">
        <f t="shared" si="13"/>
        <v>13</v>
      </c>
      <c r="Y814" s="4"/>
      <c r="Z814" s="4"/>
      <c r="AA814" s="4"/>
      <c r="AB814" s="4"/>
      <c r="AC814" s="210">
        <v>1</v>
      </c>
      <c r="AD814" s="4"/>
      <c r="AE814" s="4"/>
    </row>
    <row r="815" spans="1:34" x14ac:dyDescent="0.2">
      <c r="A815" s="201"/>
      <c r="B815" s="4" t="s">
        <v>104</v>
      </c>
      <c r="C815" s="4">
        <v>810</v>
      </c>
      <c r="D815" s="4" t="s">
        <v>13</v>
      </c>
      <c r="E815" s="4" t="s">
        <v>13</v>
      </c>
      <c r="F815" s="4" t="s">
        <v>14</v>
      </c>
      <c r="G815" s="4"/>
      <c r="H815" s="4"/>
      <c r="I815" s="4"/>
      <c r="J815" s="4">
        <v>40010</v>
      </c>
      <c r="K815" s="4" t="s">
        <v>98</v>
      </c>
      <c r="L815" s="4">
        <v>51</v>
      </c>
      <c r="M815" s="4">
        <v>9</v>
      </c>
      <c r="N815" s="4" t="str">
        <f>_xlfn.CONCAT("DBX",((L815-1)*2)+1,".1")</f>
        <v>DBX101.1</v>
      </c>
      <c r="O815" s="4" t="s">
        <v>179</v>
      </c>
      <c r="P815" s="4" t="s">
        <v>98</v>
      </c>
      <c r="Q815" s="4" t="s">
        <v>12</v>
      </c>
      <c r="R815" s="4"/>
      <c r="S815" s="4">
        <v>3923</v>
      </c>
      <c r="T815" s="4" t="s">
        <v>2550</v>
      </c>
      <c r="U815" s="4"/>
      <c r="V815" s="4"/>
      <c r="W815" s="4" t="s">
        <v>129</v>
      </c>
      <c r="X815" s="4">
        <f t="shared" si="13"/>
        <v>13</v>
      </c>
      <c r="Y815" s="4"/>
      <c r="Z815" s="4"/>
      <c r="AA815" s="4"/>
      <c r="AB815" s="4"/>
      <c r="AC815" s="210">
        <v>1</v>
      </c>
      <c r="AD815" s="4"/>
      <c r="AE815" s="4"/>
    </row>
    <row r="816" spans="1:34" x14ac:dyDescent="0.2">
      <c r="A816" s="201"/>
      <c r="B816" s="4" t="s">
        <v>104</v>
      </c>
      <c r="C816" s="4">
        <v>811</v>
      </c>
      <c r="D816" s="4" t="s">
        <v>21</v>
      </c>
      <c r="E816" s="4" t="s">
        <v>21</v>
      </c>
      <c r="F816" s="4" t="s">
        <v>22</v>
      </c>
      <c r="G816" s="4"/>
      <c r="H816" s="4"/>
      <c r="I816" s="4"/>
      <c r="J816" s="4">
        <v>40011</v>
      </c>
      <c r="K816" s="4" t="s">
        <v>98</v>
      </c>
      <c r="L816" s="4">
        <v>51</v>
      </c>
      <c r="M816" s="4">
        <v>10</v>
      </c>
      <c r="N816" s="4" t="str">
        <f>_xlfn.CONCAT("DBX",((L816-1)*2)+1,".2")</f>
        <v>DBX101.2</v>
      </c>
      <c r="O816" s="4" t="s">
        <v>179</v>
      </c>
      <c r="P816" s="4" t="s">
        <v>98</v>
      </c>
      <c r="Q816" s="4" t="s">
        <v>12</v>
      </c>
      <c r="R816" s="4"/>
      <c r="S816" s="4">
        <v>3923</v>
      </c>
      <c r="T816" s="4" t="s">
        <v>2550</v>
      </c>
      <c r="U816" s="4"/>
      <c r="V816" s="4"/>
      <c r="W816" s="4" t="s">
        <v>129</v>
      </c>
      <c r="X816" s="4">
        <f t="shared" si="13"/>
        <v>13</v>
      </c>
      <c r="Y816" s="4"/>
      <c r="Z816" s="4"/>
      <c r="AA816" s="4"/>
      <c r="AB816" s="4"/>
      <c r="AC816" s="210">
        <v>1</v>
      </c>
      <c r="AD816" s="4"/>
      <c r="AE816" s="4"/>
    </row>
    <row r="817" spans="1:31" x14ac:dyDescent="0.2">
      <c r="A817" s="201"/>
      <c r="B817" s="4" t="s">
        <v>104</v>
      </c>
      <c r="C817" s="4">
        <v>812</v>
      </c>
      <c r="D817" s="4" t="s">
        <v>23</v>
      </c>
      <c r="E817" s="4" t="s">
        <v>23</v>
      </c>
      <c r="F817" s="4" t="s">
        <v>24</v>
      </c>
      <c r="G817" s="4"/>
      <c r="H817" s="4"/>
      <c r="I817" s="4"/>
      <c r="J817" s="4">
        <v>40012</v>
      </c>
      <c r="K817" s="4" t="s">
        <v>98</v>
      </c>
      <c r="L817" s="4">
        <v>51</v>
      </c>
      <c r="M817" s="4">
        <v>11</v>
      </c>
      <c r="N817" s="4" t="str">
        <f>_xlfn.CONCAT("DBX",((L817-1)*2)+1,".3")</f>
        <v>DBX101.3</v>
      </c>
      <c r="O817" s="4" t="s">
        <v>179</v>
      </c>
      <c r="P817" s="4" t="s">
        <v>98</v>
      </c>
      <c r="Q817" s="4" t="s">
        <v>12</v>
      </c>
      <c r="R817" s="4"/>
      <c r="S817" s="4">
        <v>3923</v>
      </c>
      <c r="T817" s="4" t="s">
        <v>2550</v>
      </c>
      <c r="U817" s="4"/>
      <c r="V817" s="4"/>
      <c r="W817" s="4" t="s">
        <v>129</v>
      </c>
      <c r="X817" s="4">
        <f t="shared" si="13"/>
        <v>13</v>
      </c>
      <c r="Y817" s="4"/>
      <c r="Z817" s="4"/>
      <c r="AA817" s="4"/>
      <c r="AB817" s="4"/>
      <c r="AC817" s="210">
        <v>1</v>
      </c>
      <c r="AD817" s="4"/>
      <c r="AE817" s="4"/>
    </row>
    <row r="818" spans="1:31" x14ac:dyDescent="0.2">
      <c r="A818" s="201"/>
      <c r="B818" s="4" t="s">
        <v>104</v>
      </c>
      <c r="C818" s="4">
        <v>813</v>
      </c>
      <c r="D818" s="4" t="s">
        <v>25</v>
      </c>
      <c r="E818" s="4" t="s">
        <v>25</v>
      </c>
      <c r="F818" s="4" t="s">
        <v>26</v>
      </c>
      <c r="G818" s="4"/>
      <c r="H818" s="4"/>
      <c r="I818" s="4"/>
      <c r="J818" s="4">
        <v>40013</v>
      </c>
      <c r="K818" s="4" t="s">
        <v>98</v>
      </c>
      <c r="L818" s="4">
        <v>51</v>
      </c>
      <c r="M818" s="4">
        <v>12</v>
      </c>
      <c r="N818" s="4" t="str">
        <f>_xlfn.CONCAT("DBX",((L818-1)*2)+1,".4")</f>
        <v>DBX101.4</v>
      </c>
      <c r="O818" s="4" t="s">
        <v>179</v>
      </c>
      <c r="P818" s="4" t="s">
        <v>98</v>
      </c>
      <c r="Q818" s="4" t="s">
        <v>12</v>
      </c>
      <c r="R818" s="4"/>
      <c r="S818" s="4">
        <v>3923</v>
      </c>
      <c r="T818" s="4" t="s">
        <v>2550</v>
      </c>
      <c r="U818" s="4"/>
      <c r="V818" s="4"/>
      <c r="W818" s="4" t="s">
        <v>129</v>
      </c>
      <c r="X818" s="4">
        <f t="shared" si="13"/>
        <v>13</v>
      </c>
      <c r="Y818" s="4"/>
      <c r="Z818" s="4"/>
      <c r="AA818" s="4"/>
      <c r="AB818" s="4"/>
      <c r="AC818" s="210">
        <v>1</v>
      </c>
      <c r="AD818" s="4"/>
      <c r="AE818" s="4"/>
    </row>
    <row r="819" spans="1:31" x14ac:dyDescent="0.2">
      <c r="A819" s="201"/>
      <c r="B819" s="4" t="s">
        <v>104</v>
      </c>
      <c r="C819" s="4">
        <v>814</v>
      </c>
      <c r="D819" s="4" t="s">
        <v>27</v>
      </c>
      <c r="E819" s="4" t="s">
        <v>27</v>
      </c>
      <c r="F819" s="4" t="s">
        <v>28</v>
      </c>
      <c r="G819" s="4"/>
      <c r="H819" s="4"/>
      <c r="I819" s="4"/>
      <c r="J819" s="4">
        <v>40014</v>
      </c>
      <c r="K819" s="4" t="s">
        <v>98</v>
      </c>
      <c r="L819" s="4">
        <v>51</v>
      </c>
      <c r="M819" s="4">
        <v>13</v>
      </c>
      <c r="N819" s="4" t="str">
        <f>_xlfn.CONCAT("DBX",((L819-1)*2)+1,".5")</f>
        <v>DBX101.5</v>
      </c>
      <c r="O819" s="4" t="s">
        <v>179</v>
      </c>
      <c r="P819" s="4" t="s">
        <v>98</v>
      </c>
      <c r="Q819" s="4" t="s">
        <v>12</v>
      </c>
      <c r="R819" s="4"/>
      <c r="S819" s="4">
        <v>3923</v>
      </c>
      <c r="T819" s="4" t="s">
        <v>2550</v>
      </c>
      <c r="U819" s="4"/>
      <c r="V819" s="4"/>
      <c r="W819" s="4" t="s">
        <v>129</v>
      </c>
      <c r="X819" s="4">
        <f t="shared" si="13"/>
        <v>13</v>
      </c>
      <c r="Y819" s="4"/>
      <c r="Z819" s="4"/>
      <c r="AA819" s="4"/>
      <c r="AB819" s="4"/>
      <c r="AC819" s="210">
        <v>1</v>
      </c>
      <c r="AD819" s="4"/>
      <c r="AE819" s="4"/>
    </row>
    <row r="820" spans="1:31" x14ac:dyDescent="0.2">
      <c r="A820" s="201"/>
      <c r="B820" s="4" t="s">
        <v>104</v>
      </c>
      <c r="C820" s="4">
        <v>815</v>
      </c>
      <c r="D820" s="4" t="s">
        <v>29</v>
      </c>
      <c r="E820" s="4" t="s">
        <v>29</v>
      </c>
      <c r="F820" s="4" t="s">
        <v>30</v>
      </c>
      <c r="G820" s="4"/>
      <c r="H820" s="4"/>
      <c r="I820" s="4"/>
      <c r="J820" s="4">
        <v>40015</v>
      </c>
      <c r="K820" s="4" t="s">
        <v>98</v>
      </c>
      <c r="L820" s="4">
        <v>51</v>
      </c>
      <c r="M820" s="4">
        <v>14</v>
      </c>
      <c r="N820" s="4" t="str">
        <f>_xlfn.CONCAT("DBX",((L820-1)*2)+1,".6")</f>
        <v>DBX101.6</v>
      </c>
      <c r="O820" s="4" t="s">
        <v>179</v>
      </c>
      <c r="P820" s="4" t="s">
        <v>98</v>
      </c>
      <c r="Q820" s="4" t="s">
        <v>12</v>
      </c>
      <c r="R820" s="4"/>
      <c r="S820" s="4">
        <v>3923</v>
      </c>
      <c r="T820" s="4" t="s">
        <v>2550</v>
      </c>
      <c r="U820" s="4"/>
      <c r="V820" s="4"/>
      <c r="W820" s="4" t="s">
        <v>129</v>
      </c>
      <c r="X820" s="4">
        <f t="shared" si="13"/>
        <v>13</v>
      </c>
      <c r="Y820" s="4"/>
      <c r="Z820" s="4"/>
      <c r="AA820" s="4"/>
      <c r="AB820" s="4"/>
      <c r="AC820" s="210">
        <v>1</v>
      </c>
      <c r="AD820" s="4"/>
      <c r="AE820" s="4"/>
    </row>
    <row r="821" spans="1:31" x14ac:dyDescent="0.2">
      <c r="A821" s="201"/>
      <c r="B821" s="4" t="s">
        <v>104</v>
      </c>
      <c r="C821" s="4">
        <v>816</v>
      </c>
      <c r="D821" s="4" t="s">
        <v>31</v>
      </c>
      <c r="E821" s="4" t="s">
        <v>31</v>
      </c>
      <c r="F821" s="4" t="s">
        <v>32</v>
      </c>
      <c r="G821" s="4"/>
      <c r="H821" s="4"/>
      <c r="I821" s="4"/>
      <c r="J821" s="4">
        <v>40016</v>
      </c>
      <c r="K821" s="4" t="s">
        <v>98</v>
      </c>
      <c r="L821" s="4">
        <v>51</v>
      </c>
      <c r="M821" s="4">
        <v>15</v>
      </c>
      <c r="N821" s="4" t="str">
        <f>_xlfn.CONCAT("DBX",((L821-1)*2)+1,".7")</f>
        <v>DBX101.7</v>
      </c>
      <c r="O821" s="4" t="s">
        <v>179</v>
      </c>
      <c r="P821" s="4" t="s">
        <v>98</v>
      </c>
      <c r="Q821" s="4" t="s">
        <v>12</v>
      </c>
      <c r="R821" s="4"/>
      <c r="S821" s="4">
        <v>3923</v>
      </c>
      <c r="T821" s="4" t="s">
        <v>2550</v>
      </c>
      <c r="U821" s="4"/>
      <c r="V821" s="4"/>
      <c r="W821" s="4" t="s">
        <v>129</v>
      </c>
      <c r="X821" s="4">
        <f t="shared" si="13"/>
        <v>13</v>
      </c>
      <c r="Y821" s="4"/>
      <c r="Z821" s="4"/>
      <c r="AA821" s="4"/>
      <c r="AB821" s="4"/>
      <c r="AC821" s="210">
        <v>1</v>
      </c>
      <c r="AD821" s="4"/>
      <c r="AE821" s="4"/>
    </row>
    <row r="822" spans="1:31" x14ac:dyDescent="0.2">
      <c r="A822" s="201"/>
      <c r="B822" s="4" t="s">
        <v>104</v>
      </c>
      <c r="C822" s="4">
        <v>817</v>
      </c>
      <c r="D822" s="4" t="s">
        <v>161</v>
      </c>
      <c r="E822" s="4" t="s">
        <v>161</v>
      </c>
      <c r="F822" s="4" t="s">
        <v>162</v>
      </c>
      <c r="G822" s="4" t="s">
        <v>40</v>
      </c>
      <c r="H822" s="4" t="s">
        <v>41</v>
      </c>
      <c r="I822" s="4" t="s">
        <v>40</v>
      </c>
      <c r="J822" s="4">
        <v>40017</v>
      </c>
      <c r="K822" s="4" t="s">
        <v>98</v>
      </c>
      <c r="L822" s="4">
        <v>52</v>
      </c>
      <c r="M822" s="4">
        <f>M806</f>
        <v>0</v>
      </c>
      <c r="N822" s="4" t="str">
        <f>_xlfn.CONCAT("DBX",((L822-1)*2),".0")</f>
        <v>DBX102.0</v>
      </c>
      <c r="O822" s="4" t="s">
        <v>179</v>
      </c>
      <c r="P822" s="4" t="s">
        <v>98</v>
      </c>
      <c r="Q822" s="4" t="s">
        <v>33</v>
      </c>
      <c r="R822" s="4"/>
      <c r="S822" s="4">
        <v>3923</v>
      </c>
      <c r="T822" s="4" t="s">
        <v>2550</v>
      </c>
      <c r="U822" s="4"/>
      <c r="V822" s="4"/>
      <c r="W822" s="4" t="s">
        <v>129</v>
      </c>
      <c r="X822" s="4">
        <f t="shared" si="13"/>
        <v>13</v>
      </c>
      <c r="Y822" s="4"/>
      <c r="Z822" s="4"/>
      <c r="AA822" s="4"/>
      <c r="AB822" s="4"/>
      <c r="AC822" s="210">
        <v>0</v>
      </c>
      <c r="AD822" s="4"/>
      <c r="AE822" s="4"/>
    </row>
    <row r="823" spans="1:31" x14ac:dyDescent="0.2">
      <c r="A823" s="201"/>
      <c r="B823" s="4" t="s">
        <v>34</v>
      </c>
      <c r="C823" s="4">
        <v>818</v>
      </c>
      <c r="D823" s="4" t="s">
        <v>17</v>
      </c>
      <c r="E823" s="4" t="s">
        <v>17</v>
      </c>
      <c r="F823" s="4" t="s">
        <v>35</v>
      </c>
      <c r="G823" s="4"/>
      <c r="H823" s="4"/>
      <c r="I823" s="4"/>
      <c r="J823" s="4">
        <v>40018</v>
      </c>
      <c r="K823" s="4"/>
      <c r="L823" s="4">
        <v>52</v>
      </c>
      <c r="M823" s="4">
        <f t="shared" ref="M823:M852" si="14">M807</f>
        <v>1</v>
      </c>
      <c r="N823" s="4" t="str">
        <f>_xlfn.CONCAT("DBX",((L823-1)*2),".1")</f>
        <v>DBX102.1</v>
      </c>
      <c r="O823" s="4" t="s">
        <v>179</v>
      </c>
      <c r="P823" s="4"/>
      <c r="Q823" s="4"/>
      <c r="R823" s="4"/>
      <c r="S823" s="4"/>
      <c r="T823" s="4"/>
      <c r="U823" s="4"/>
      <c r="V823" s="4"/>
      <c r="W823" s="4" t="s">
        <v>154</v>
      </c>
      <c r="X823" s="4" t="e">
        <f t="shared" si="13"/>
        <v>#N/A</v>
      </c>
      <c r="Y823" s="4"/>
      <c r="Z823" s="4"/>
      <c r="AA823" s="4"/>
      <c r="AB823" s="4"/>
      <c r="AC823" s="210"/>
      <c r="AD823" s="4"/>
      <c r="AE823" s="4"/>
    </row>
    <row r="824" spans="1:31" x14ac:dyDescent="0.2">
      <c r="A824" s="201"/>
      <c r="B824" s="4" t="s">
        <v>34</v>
      </c>
      <c r="C824" s="4">
        <v>819</v>
      </c>
      <c r="D824" s="4" t="s">
        <v>17</v>
      </c>
      <c r="E824" s="4" t="s">
        <v>17</v>
      </c>
      <c r="F824" s="4" t="s">
        <v>35</v>
      </c>
      <c r="G824" s="4"/>
      <c r="H824" s="4"/>
      <c r="I824" s="4"/>
      <c r="J824" s="4">
        <v>40019</v>
      </c>
      <c r="K824" s="4"/>
      <c r="L824" s="4">
        <v>52</v>
      </c>
      <c r="M824" s="4">
        <f t="shared" si="14"/>
        <v>2</v>
      </c>
      <c r="N824" s="4" t="str">
        <f>_xlfn.CONCAT("DBX",((L824-1)*2),".2")</f>
        <v>DBX102.2</v>
      </c>
      <c r="O824" s="4" t="s">
        <v>179</v>
      </c>
      <c r="P824" s="4"/>
      <c r="Q824" s="4"/>
      <c r="R824" s="4"/>
      <c r="S824" s="4"/>
      <c r="T824" s="4"/>
      <c r="U824" s="4"/>
      <c r="V824" s="4"/>
      <c r="W824" s="4" t="s">
        <v>154</v>
      </c>
      <c r="X824" s="4" t="e">
        <f t="shared" si="13"/>
        <v>#N/A</v>
      </c>
      <c r="Y824" s="4"/>
      <c r="Z824" s="4"/>
      <c r="AA824" s="4"/>
      <c r="AB824" s="4"/>
      <c r="AC824" s="210"/>
      <c r="AD824" s="4"/>
      <c r="AE824" s="4"/>
    </row>
    <row r="825" spans="1:31" x14ac:dyDescent="0.2">
      <c r="A825" s="201"/>
      <c r="B825" s="4" t="s">
        <v>34</v>
      </c>
      <c r="C825" s="4">
        <v>820</v>
      </c>
      <c r="D825" s="4" t="s">
        <v>17</v>
      </c>
      <c r="E825" s="4" t="s">
        <v>17</v>
      </c>
      <c r="F825" s="4" t="s">
        <v>35</v>
      </c>
      <c r="G825" s="4"/>
      <c r="H825" s="4"/>
      <c r="I825" s="4"/>
      <c r="J825" s="4">
        <v>40020</v>
      </c>
      <c r="K825" s="4"/>
      <c r="L825" s="4">
        <v>52</v>
      </c>
      <c r="M825" s="4">
        <f t="shared" si="14"/>
        <v>3</v>
      </c>
      <c r="N825" s="4" t="str">
        <f>_xlfn.CONCAT("DBX",((L825-1)*2),".3")</f>
        <v>DBX102.3</v>
      </c>
      <c r="O825" s="4" t="s">
        <v>179</v>
      </c>
      <c r="P825" s="4"/>
      <c r="Q825" s="4"/>
      <c r="R825" s="4"/>
      <c r="S825" s="4"/>
      <c r="T825" s="4"/>
      <c r="U825" s="4"/>
      <c r="V825" s="4"/>
      <c r="W825" s="4" t="s">
        <v>154</v>
      </c>
      <c r="X825" s="4" t="e">
        <f t="shared" si="13"/>
        <v>#N/A</v>
      </c>
      <c r="Y825" s="4"/>
      <c r="Z825" s="4"/>
      <c r="AA825" s="4"/>
      <c r="AB825" s="4"/>
      <c r="AC825" s="210"/>
      <c r="AD825" s="4"/>
      <c r="AE825" s="4"/>
    </row>
    <row r="826" spans="1:31" x14ac:dyDescent="0.2">
      <c r="A826" s="201"/>
      <c r="B826" s="4" t="s">
        <v>34</v>
      </c>
      <c r="C826" s="4">
        <v>821</v>
      </c>
      <c r="D826" s="4" t="s">
        <v>17</v>
      </c>
      <c r="E826" s="4" t="s">
        <v>17</v>
      </c>
      <c r="F826" s="4" t="s">
        <v>35</v>
      </c>
      <c r="G826" s="4"/>
      <c r="H826" s="4"/>
      <c r="I826" s="4"/>
      <c r="J826" s="4">
        <v>40021</v>
      </c>
      <c r="K826" s="4"/>
      <c r="L826" s="4">
        <v>52</v>
      </c>
      <c r="M826" s="4">
        <f t="shared" si="14"/>
        <v>4</v>
      </c>
      <c r="N826" s="4" t="str">
        <f>_xlfn.CONCAT("DBX",((L826-1)*2),".4")</f>
        <v>DBX102.4</v>
      </c>
      <c r="O826" s="4" t="s">
        <v>179</v>
      </c>
      <c r="P826" s="4"/>
      <c r="Q826" s="4"/>
      <c r="R826" s="4"/>
      <c r="S826" s="4"/>
      <c r="T826" s="4"/>
      <c r="U826" s="4"/>
      <c r="V826" s="4"/>
      <c r="W826" s="4" t="s">
        <v>154</v>
      </c>
      <c r="X826" s="4" t="e">
        <f t="shared" si="13"/>
        <v>#N/A</v>
      </c>
      <c r="Y826" s="4"/>
      <c r="Z826" s="4"/>
      <c r="AA826" s="4"/>
      <c r="AB826" s="4"/>
      <c r="AC826" s="210"/>
      <c r="AD826" s="4"/>
      <c r="AE826" s="4"/>
    </row>
    <row r="827" spans="1:31" x14ac:dyDescent="0.2">
      <c r="A827" s="201"/>
      <c r="B827" s="4" t="s">
        <v>34</v>
      </c>
      <c r="C827" s="4">
        <v>822</v>
      </c>
      <c r="D827" s="4" t="s">
        <v>17</v>
      </c>
      <c r="E827" s="4" t="s">
        <v>17</v>
      </c>
      <c r="F827" s="4" t="s">
        <v>35</v>
      </c>
      <c r="G827" s="4"/>
      <c r="H827" s="4"/>
      <c r="I827" s="4"/>
      <c r="J827" s="4">
        <v>40022</v>
      </c>
      <c r="K827" s="4"/>
      <c r="L827" s="4">
        <v>52</v>
      </c>
      <c r="M827" s="4">
        <f t="shared" si="14"/>
        <v>5</v>
      </c>
      <c r="N827" s="4" t="str">
        <f>_xlfn.CONCAT("DBX",((L827-1)*2),".5")</f>
        <v>DBX102.5</v>
      </c>
      <c r="O827" s="4" t="s">
        <v>179</v>
      </c>
      <c r="P827" s="4"/>
      <c r="Q827" s="4"/>
      <c r="R827" s="4"/>
      <c r="S827" s="4"/>
      <c r="T827" s="4"/>
      <c r="U827" s="4"/>
      <c r="V827" s="4"/>
      <c r="W827" s="4" t="s">
        <v>154</v>
      </c>
      <c r="X827" s="4" t="e">
        <f t="shared" si="13"/>
        <v>#N/A</v>
      </c>
      <c r="Y827" s="4"/>
      <c r="Z827" s="4"/>
      <c r="AA827" s="4"/>
      <c r="AB827" s="4"/>
      <c r="AC827" s="210"/>
      <c r="AD827" s="4"/>
      <c r="AE827" s="4"/>
    </row>
    <row r="828" spans="1:31" x14ac:dyDescent="0.2">
      <c r="A828" s="201"/>
      <c r="B828" s="4" t="s">
        <v>34</v>
      </c>
      <c r="C828" s="4">
        <v>823</v>
      </c>
      <c r="D828" s="4" t="s">
        <v>17</v>
      </c>
      <c r="E828" s="4" t="s">
        <v>17</v>
      </c>
      <c r="F828" s="4" t="s">
        <v>35</v>
      </c>
      <c r="G828" s="4"/>
      <c r="H828" s="4"/>
      <c r="I828" s="4"/>
      <c r="J828" s="4">
        <v>40023</v>
      </c>
      <c r="K828" s="4"/>
      <c r="L828" s="4">
        <v>52</v>
      </c>
      <c r="M828" s="4">
        <f t="shared" si="14"/>
        <v>6</v>
      </c>
      <c r="N828" s="4" t="str">
        <f>_xlfn.CONCAT("DBX",((L828-1)*2),".6")</f>
        <v>DBX102.6</v>
      </c>
      <c r="O828" s="4" t="s">
        <v>179</v>
      </c>
      <c r="P828" s="4"/>
      <c r="Q828" s="4"/>
      <c r="R828" s="4"/>
      <c r="S828" s="4"/>
      <c r="T828" s="4"/>
      <c r="U828" s="4"/>
      <c r="V828" s="4"/>
      <c r="W828" s="4" t="s">
        <v>154</v>
      </c>
      <c r="X828" s="4" t="e">
        <f t="shared" si="13"/>
        <v>#N/A</v>
      </c>
      <c r="Y828" s="4"/>
      <c r="Z828" s="4"/>
      <c r="AA828" s="4"/>
      <c r="AB828" s="4"/>
      <c r="AC828" s="210"/>
      <c r="AD828" s="4"/>
      <c r="AE828" s="4"/>
    </row>
    <row r="829" spans="1:31" x14ac:dyDescent="0.2">
      <c r="A829" s="201"/>
      <c r="B829" s="4" t="s">
        <v>34</v>
      </c>
      <c r="C829" s="4">
        <v>824</v>
      </c>
      <c r="D829" s="4" t="s">
        <v>17</v>
      </c>
      <c r="E829" s="4" t="s">
        <v>17</v>
      </c>
      <c r="F829" s="4" t="s">
        <v>35</v>
      </c>
      <c r="G829" s="4"/>
      <c r="H829" s="4"/>
      <c r="I829" s="4"/>
      <c r="J829" s="4">
        <v>40024</v>
      </c>
      <c r="K829" s="4"/>
      <c r="L829" s="4">
        <v>52</v>
      </c>
      <c r="M829" s="4">
        <f t="shared" si="14"/>
        <v>7</v>
      </c>
      <c r="N829" s="4" t="str">
        <f>_xlfn.CONCAT("DBX",((L829-1)*2),".7")</f>
        <v>DBX102.7</v>
      </c>
      <c r="O829" s="4" t="s">
        <v>179</v>
      </c>
      <c r="P829" s="4"/>
      <c r="Q829" s="4"/>
      <c r="T829" s="4"/>
      <c r="U829" s="4"/>
      <c r="V829" s="4"/>
      <c r="W829" s="4" t="s">
        <v>154</v>
      </c>
      <c r="X829" s="4" t="e">
        <f t="shared" si="13"/>
        <v>#N/A</v>
      </c>
      <c r="Y829" s="4"/>
      <c r="Z829" s="4"/>
      <c r="AA829" s="4"/>
      <c r="AB829" s="4"/>
      <c r="AC829" s="210"/>
      <c r="AD829" s="4"/>
      <c r="AE829" s="4"/>
    </row>
    <row r="830" spans="1:31" x14ac:dyDescent="0.2">
      <c r="A830" s="201"/>
      <c r="B830" s="4" t="s">
        <v>104</v>
      </c>
      <c r="C830" s="4">
        <v>825</v>
      </c>
      <c r="D830" s="4" t="s">
        <v>158</v>
      </c>
      <c r="E830" s="4" t="s">
        <v>2223</v>
      </c>
      <c r="F830" s="4" t="s">
        <v>160</v>
      </c>
      <c r="G830" s="4"/>
      <c r="H830" s="4"/>
      <c r="I830" s="4"/>
      <c r="J830" s="4">
        <v>40025</v>
      </c>
      <c r="K830" s="4" t="s">
        <v>11</v>
      </c>
      <c r="L830" s="4">
        <v>52</v>
      </c>
      <c r="M830" s="4">
        <f t="shared" si="14"/>
        <v>8</v>
      </c>
      <c r="N830" s="4" t="str">
        <f>_xlfn.CONCAT("DBX",((L830-1)*2)+1,".0")</f>
        <v>DBX103.0</v>
      </c>
      <c r="O830" s="4" t="s">
        <v>179</v>
      </c>
      <c r="P830" s="4" t="s">
        <v>11</v>
      </c>
      <c r="Q830" s="4" t="s">
        <v>33</v>
      </c>
      <c r="R830" s="4"/>
      <c r="S830" s="4">
        <v>3923</v>
      </c>
      <c r="T830" s="4" t="s">
        <v>2550</v>
      </c>
      <c r="U830" s="4"/>
      <c r="V830" s="4"/>
      <c r="W830" s="4" t="s">
        <v>129</v>
      </c>
      <c r="X830" s="4">
        <f t="shared" si="13"/>
        <v>13</v>
      </c>
      <c r="Y830" s="4"/>
      <c r="Z830" s="4"/>
      <c r="AA830" s="4"/>
      <c r="AB830" s="4"/>
      <c r="AC830" s="210">
        <v>0</v>
      </c>
      <c r="AD830" s="4"/>
      <c r="AE830" s="4"/>
    </row>
    <row r="831" spans="1:31" x14ac:dyDescent="0.2">
      <c r="A831" s="201"/>
      <c r="B831" s="4" t="s">
        <v>104</v>
      </c>
      <c r="C831" s="4">
        <v>826</v>
      </c>
      <c r="D831" s="4" t="s">
        <v>157</v>
      </c>
      <c r="E831" s="4" t="s">
        <v>2224</v>
      </c>
      <c r="F831" s="4" t="s">
        <v>159</v>
      </c>
      <c r="G831" s="4"/>
      <c r="H831" s="4"/>
      <c r="I831" s="4"/>
      <c r="J831" s="4">
        <v>40026</v>
      </c>
      <c r="K831" s="4" t="s">
        <v>11</v>
      </c>
      <c r="L831" s="4">
        <v>52</v>
      </c>
      <c r="M831" s="4">
        <f t="shared" si="14"/>
        <v>9</v>
      </c>
      <c r="N831" s="4" t="str">
        <f>_xlfn.CONCAT("DBX",((L831-1)*2)+1,".1")</f>
        <v>DBX103.1</v>
      </c>
      <c r="O831" s="4" t="s">
        <v>179</v>
      </c>
      <c r="P831" s="4" t="s">
        <v>11</v>
      </c>
      <c r="Q831" s="4" t="s">
        <v>33</v>
      </c>
      <c r="R831" s="4"/>
      <c r="S831" s="4">
        <v>3923</v>
      </c>
      <c r="T831" s="4" t="s">
        <v>2550</v>
      </c>
      <c r="U831" s="4"/>
      <c r="V831" s="4"/>
      <c r="W831" s="4" t="s">
        <v>129</v>
      </c>
      <c r="X831" s="4">
        <f t="shared" si="13"/>
        <v>13</v>
      </c>
      <c r="Y831" s="4"/>
      <c r="Z831" s="4"/>
      <c r="AA831" s="4"/>
      <c r="AB831" s="4"/>
      <c r="AC831" s="210">
        <v>0</v>
      </c>
      <c r="AD831" s="4"/>
      <c r="AE831" s="4"/>
    </row>
    <row r="832" spans="1:31" x14ac:dyDescent="0.2">
      <c r="A832" s="201"/>
      <c r="B832" s="4" t="s">
        <v>34</v>
      </c>
      <c r="C832" s="4">
        <v>827</v>
      </c>
      <c r="D832" s="4" t="s">
        <v>17</v>
      </c>
      <c r="E832" s="4" t="s">
        <v>168</v>
      </c>
      <c r="F832" s="4" t="s">
        <v>168</v>
      </c>
      <c r="G832" s="4"/>
      <c r="H832" s="4"/>
      <c r="I832" s="4"/>
      <c r="J832" s="4">
        <v>40027</v>
      </c>
      <c r="K832" s="4" t="s">
        <v>11</v>
      </c>
      <c r="L832" s="4">
        <v>52</v>
      </c>
      <c r="M832" s="4">
        <f t="shared" si="14"/>
        <v>10</v>
      </c>
      <c r="N832" s="4" t="str">
        <f>_xlfn.CONCAT("DBX",((L832-1)*2)+1,".2")</f>
        <v>DBX103.2</v>
      </c>
      <c r="O832" s="4" t="s">
        <v>179</v>
      </c>
      <c r="P832" s="4" t="s">
        <v>11</v>
      </c>
      <c r="Q832" s="4"/>
      <c r="R832" s="4"/>
      <c r="S832" s="4"/>
      <c r="T832" s="4"/>
      <c r="U832" s="4"/>
      <c r="V832" s="4"/>
      <c r="W832" s="4" t="s">
        <v>129</v>
      </c>
      <c r="X832" s="4">
        <f t="shared" si="13"/>
        <v>13</v>
      </c>
      <c r="Y832" s="4"/>
      <c r="Z832" s="4"/>
      <c r="AA832" s="4"/>
      <c r="AB832" s="4"/>
      <c r="AC832" s="210"/>
      <c r="AD832" s="4"/>
      <c r="AE832" s="4"/>
    </row>
    <row r="833" spans="1:31" x14ac:dyDescent="0.2">
      <c r="A833" s="201"/>
      <c r="B833" s="4" t="s">
        <v>34</v>
      </c>
      <c r="C833" s="4">
        <v>828</v>
      </c>
      <c r="D833" s="4" t="s">
        <v>17</v>
      </c>
      <c r="E833" s="4" t="s">
        <v>169</v>
      </c>
      <c r="F833" s="4" t="s">
        <v>169</v>
      </c>
      <c r="G833" s="4"/>
      <c r="H833" s="4"/>
      <c r="I833" s="4"/>
      <c r="J833" s="4">
        <v>40028</v>
      </c>
      <c r="K833" s="4" t="s">
        <v>11</v>
      </c>
      <c r="L833" s="4">
        <v>52</v>
      </c>
      <c r="M833" s="4">
        <f t="shared" si="14"/>
        <v>11</v>
      </c>
      <c r="N833" s="4" t="str">
        <f>_xlfn.CONCAT("DBX",((L833-1)*2)+1,".3")</f>
        <v>DBX103.3</v>
      </c>
      <c r="O833" s="4" t="s">
        <v>179</v>
      </c>
      <c r="P833" s="4" t="s">
        <v>11</v>
      </c>
      <c r="Q833" s="4"/>
      <c r="R833" s="4"/>
      <c r="S833" s="4"/>
      <c r="T833" s="4"/>
      <c r="U833" s="4"/>
      <c r="V833" s="4"/>
      <c r="W833" s="4" t="s">
        <v>129</v>
      </c>
      <c r="X833" s="4">
        <f t="shared" si="13"/>
        <v>13</v>
      </c>
      <c r="Y833" s="4"/>
      <c r="Z833" s="4"/>
      <c r="AA833" s="4"/>
      <c r="AB833" s="4"/>
      <c r="AC833" s="210"/>
      <c r="AD833" s="4"/>
      <c r="AE833" s="4"/>
    </row>
    <row r="834" spans="1:31" x14ac:dyDescent="0.2">
      <c r="A834" s="201"/>
      <c r="B834" s="4" t="s">
        <v>34</v>
      </c>
      <c r="C834" s="4">
        <v>829</v>
      </c>
      <c r="D834" s="4" t="s">
        <v>17</v>
      </c>
      <c r="E834" s="4" t="s">
        <v>170</v>
      </c>
      <c r="F834" s="4" t="s">
        <v>170</v>
      </c>
      <c r="G834" s="4"/>
      <c r="H834" s="4"/>
      <c r="I834" s="4"/>
      <c r="J834" s="4">
        <v>40029</v>
      </c>
      <c r="K834" s="4" t="s">
        <v>11</v>
      </c>
      <c r="L834" s="4">
        <v>52</v>
      </c>
      <c r="M834" s="4">
        <f t="shared" si="14"/>
        <v>12</v>
      </c>
      <c r="N834" s="4" t="str">
        <f>_xlfn.CONCAT("DBX",((L834-1)*2)+1,".4")</f>
        <v>DBX103.4</v>
      </c>
      <c r="O834" s="4" t="s">
        <v>179</v>
      </c>
      <c r="P834" s="4" t="s">
        <v>11</v>
      </c>
      <c r="Q834" s="4"/>
      <c r="R834" s="4"/>
      <c r="S834" s="4"/>
      <c r="T834" s="4"/>
      <c r="U834" s="4"/>
      <c r="V834" s="4"/>
      <c r="W834" s="4" t="s">
        <v>129</v>
      </c>
      <c r="X834" s="4">
        <f t="shared" si="13"/>
        <v>13</v>
      </c>
      <c r="Y834" s="4"/>
      <c r="Z834" s="4"/>
      <c r="AA834" s="4"/>
      <c r="AB834" s="4"/>
      <c r="AC834" s="210"/>
      <c r="AD834" s="4"/>
      <c r="AE834" s="4"/>
    </row>
    <row r="835" spans="1:31" x14ac:dyDescent="0.2">
      <c r="A835" s="201"/>
      <c r="B835" s="4" t="s">
        <v>34</v>
      </c>
      <c r="C835" s="4">
        <v>830</v>
      </c>
      <c r="D835" s="4" t="s">
        <v>17</v>
      </c>
      <c r="E835" s="4" t="s">
        <v>171</v>
      </c>
      <c r="F835" s="4" t="s">
        <v>171</v>
      </c>
      <c r="G835" s="4"/>
      <c r="H835" s="4"/>
      <c r="I835" s="4"/>
      <c r="J835" s="4">
        <v>40030</v>
      </c>
      <c r="K835" s="4" t="s">
        <v>11</v>
      </c>
      <c r="L835" s="4">
        <v>52</v>
      </c>
      <c r="M835" s="4">
        <f t="shared" si="14"/>
        <v>13</v>
      </c>
      <c r="N835" s="4" t="str">
        <f>_xlfn.CONCAT("DBX",((L835-1)*2)+1,".5")</f>
        <v>DBX103.5</v>
      </c>
      <c r="O835" s="4" t="s">
        <v>179</v>
      </c>
      <c r="P835" s="4" t="s">
        <v>11</v>
      </c>
      <c r="Q835" s="4"/>
      <c r="R835" s="4"/>
      <c r="S835" s="4"/>
      <c r="T835" s="4"/>
      <c r="U835" s="4"/>
      <c r="V835" s="4"/>
      <c r="W835" s="4" t="s">
        <v>129</v>
      </c>
      <c r="X835" s="4">
        <f t="shared" si="13"/>
        <v>13</v>
      </c>
      <c r="Y835" s="4"/>
      <c r="Z835" s="4"/>
      <c r="AA835" s="4"/>
      <c r="AB835" s="4"/>
      <c r="AC835" s="210"/>
      <c r="AD835" s="4"/>
      <c r="AE835" s="4"/>
    </row>
    <row r="836" spans="1:31" x14ac:dyDescent="0.2">
      <c r="A836" s="201"/>
      <c r="B836" s="4" t="s">
        <v>34</v>
      </c>
      <c r="C836" s="4">
        <v>831</v>
      </c>
      <c r="D836" s="4" t="s">
        <v>17</v>
      </c>
      <c r="E836" s="4" t="s">
        <v>172</v>
      </c>
      <c r="F836" s="4" t="s">
        <v>172</v>
      </c>
      <c r="G836" s="4"/>
      <c r="H836" s="4"/>
      <c r="I836" s="4"/>
      <c r="J836" s="4">
        <v>40031</v>
      </c>
      <c r="K836" s="4" t="s">
        <v>11</v>
      </c>
      <c r="L836" s="4">
        <v>52</v>
      </c>
      <c r="M836" s="4">
        <f t="shared" si="14"/>
        <v>14</v>
      </c>
      <c r="N836" s="4" t="str">
        <f>_xlfn.CONCAT("DBX",((L836-1)*2)+1,".6")</f>
        <v>DBX103.6</v>
      </c>
      <c r="O836" s="4" t="s">
        <v>179</v>
      </c>
      <c r="P836" s="4" t="s">
        <v>11</v>
      </c>
      <c r="Q836" s="4"/>
      <c r="R836" s="4"/>
      <c r="S836" s="4"/>
      <c r="T836" s="4"/>
      <c r="U836" s="4"/>
      <c r="V836" s="4"/>
      <c r="W836" s="4" t="s">
        <v>129</v>
      </c>
      <c r="X836" s="4">
        <f t="shared" si="13"/>
        <v>13</v>
      </c>
      <c r="Y836" s="4"/>
      <c r="Z836" s="4"/>
      <c r="AA836" s="4"/>
      <c r="AB836" s="4"/>
      <c r="AC836" s="210"/>
      <c r="AD836" s="4"/>
      <c r="AE836" s="4"/>
    </row>
    <row r="837" spans="1:31" x14ac:dyDescent="0.2">
      <c r="A837" s="201"/>
      <c r="B837" s="4" t="s">
        <v>34</v>
      </c>
      <c r="C837" s="4">
        <v>832</v>
      </c>
      <c r="D837" s="4" t="s">
        <v>17</v>
      </c>
      <c r="E837" s="4" t="s">
        <v>173</v>
      </c>
      <c r="F837" s="4" t="s">
        <v>173</v>
      </c>
      <c r="G837" s="4"/>
      <c r="H837" s="4"/>
      <c r="I837" s="4"/>
      <c r="J837" s="4">
        <v>40032</v>
      </c>
      <c r="K837" s="4" t="s">
        <v>11</v>
      </c>
      <c r="L837" s="4">
        <v>52</v>
      </c>
      <c r="M837" s="4">
        <f t="shared" si="14"/>
        <v>15</v>
      </c>
      <c r="N837" s="4" t="str">
        <f>_xlfn.CONCAT("DBX",((L837-1)*2)+1,".7")</f>
        <v>DBX103.7</v>
      </c>
      <c r="O837" s="4" t="s">
        <v>179</v>
      </c>
      <c r="P837" s="4" t="s">
        <v>11</v>
      </c>
      <c r="Q837" s="4"/>
      <c r="R837" s="4"/>
      <c r="S837" s="4"/>
      <c r="T837" s="4"/>
      <c r="U837" s="4"/>
      <c r="V837" s="4"/>
      <c r="W837" s="4" t="s">
        <v>129</v>
      </c>
      <c r="X837" s="4">
        <f t="shared" si="13"/>
        <v>13</v>
      </c>
      <c r="Y837" s="4"/>
      <c r="Z837" s="4"/>
      <c r="AA837" s="4"/>
      <c r="AB837" s="4"/>
      <c r="AC837" s="210"/>
      <c r="AD837" s="4"/>
      <c r="AE837" s="4"/>
    </row>
    <row r="838" spans="1:31" x14ac:dyDescent="0.2">
      <c r="A838" s="201"/>
      <c r="B838" s="4" t="s">
        <v>104</v>
      </c>
      <c r="C838" s="4">
        <v>833</v>
      </c>
      <c r="D838" s="4" t="s">
        <v>133</v>
      </c>
      <c r="E838" s="4" t="s">
        <v>133</v>
      </c>
      <c r="F838" s="4" t="s">
        <v>134</v>
      </c>
      <c r="G838" s="4"/>
      <c r="H838" s="4"/>
      <c r="I838" s="4"/>
      <c r="J838" s="4">
        <v>40033</v>
      </c>
      <c r="K838" s="4" t="s">
        <v>11</v>
      </c>
      <c r="L838" s="4">
        <v>53</v>
      </c>
      <c r="M838" s="4">
        <f t="shared" si="14"/>
        <v>0</v>
      </c>
      <c r="N838" s="4" t="str">
        <f>_xlfn.CONCAT("DBX",((L838-1)*2),".0")</f>
        <v>DBX104.0</v>
      </c>
      <c r="O838" s="4" t="s">
        <v>179</v>
      </c>
      <c r="P838" s="4" t="s">
        <v>11</v>
      </c>
      <c r="Q838" s="4" t="s">
        <v>93</v>
      </c>
      <c r="R838" s="4"/>
      <c r="S838" s="4">
        <v>3923</v>
      </c>
      <c r="T838" s="4" t="s">
        <v>2550</v>
      </c>
      <c r="U838" s="4"/>
      <c r="V838" s="4"/>
      <c r="W838" s="4" t="s">
        <v>129</v>
      </c>
      <c r="X838" s="4">
        <f t="shared" si="13"/>
        <v>13</v>
      </c>
      <c r="Y838" s="4"/>
      <c r="Z838" s="4"/>
      <c r="AA838" s="4"/>
      <c r="AB838" s="4"/>
      <c r="AC838" s="210">
        <v>1</v>
      </c>
      <c r="AD838" s="4"/>
      <c r="AE838" s="4"/>
    </row>
    <row r="839" spans="1:31" x14ac:dyDescent="0.2">
      <c r="A839" s="201"/>
      <c r="B839" s="4" t="s">
        <v>104</v>
      </c>
      <c r="C839" s="4">
        <v>834</v>
      </c>
      <c r="D839" s="4" t="s">
        <v>135</v>
      </c>
      <c r="E839" s="4" t="s">
        <v>135</v>
      </c>
      <c r="F839" s="4" t="s">
        <v>144</v>
      </c>
      <c r="G839" s="4"/>
      <c r="H839" s="4"/>
      <c r="I839" s="4"/>
      <c r="J839" s="4">
        <v>40034</v>
      </c>
      <c r="K839" s="4" t="s">
        <v>11</v>
      </c>
      <c r="L839" s="4">
        <v>53</v>
      </c>
      <c r="M839" s="4">
        <f t="shared" si="14"/>
        <v>1</v>
      </c>
      <c r="N839" s="4" t="str">
        <f>_xlfn.CONCAT("DBX",((L839-1)*2),".1")</f>
        <v>DBX104.1</v>
      </c>
      <c r="O839" s="4" t="s">
        <v>179</v>
      </c>
      <c r="P839" s="4" t="s">
        <v>11</v>
      </c>
      <c r="Q839" s="4" t="s">
        <v>12</v>
      </c>
      <c r="R839" s="4"/>
      <c r="S839" s="4">
        <v>3923</v>
      </c>
      <c r="T839" s="4" t="s">
        <v>2550</v>
      </c>
      <c r="U839" s="4"/>
      <c r="V839" s="4"/>
      <c r="W839" s="4" t="s">
        <v>129</v>
      </c>
      <c r="X839" s="4">
        <f t="shared" si="13"/>
        <v>13</v>
      </c>
      <c r="Y839" s="4"/>
      <c r="Z839" s="4"/>
      <c r="AA839" s="4"/>
      <c r="AB839" s="4"/>
      <c r="AC839" s="210">
        <v>1</v>
      </c>
      <c r="AD839" s="4"/>
      <c r="AE839" s="4"/>
    </row>
    <row r="840" spans="1:31" x14ac:dyDescent="0.2">
      <c r="A840" s="201"/>
      <c r="B840" s="4" t="s">
        <v>104</v>
      </c>
      <c r="C840" s="4">
        <v>835</v>
      </c>
      <c r="D840" s="4" t="s">
        <v>136</v>
      </c>
      <c r="E840" s="4" t="s">
        <v>136</v>
      </c>
      <c r="F840" s="4" t="s">
        <v>145</v>
      </c>
      <c r="G840" s="4"/>
      <c r="H840" s="4"/>
      <c r="I840" s="4"/>
      <c r="J840" s="4">
        <v>40035</v>
      </c>
      <c r="K840" s="4" t="s">
        <v>11</v>
      </c>
      <c r="L840" s="4">
        <v>53</v>
      </c>
      <c r="M840" s="4">
        <f t="shared" si="14"/>
        <v>2</v>
      </c>
      <c r="N840" s="4" t="str">
        <f>_xlfn.CONCAT("DBX",((L840-1)*2),".2")</f>
        <v>DBX104.2</v>
      </c>
      <c r="O840" s="4" t="s">
        <v>179</v>
      </c>
      <c r="P840" s="4" t="s">
        <v>11</v>
      </c>
      <c r="Q840" s="4" t="s">
        <v>94</v>
      </c>
      <c r="R840" s="4"/>
      <c r="S840" s="4">
        <v>3923</v>
      </c>
      <c r="T840" s="4" t="s">
        <v>2550</v>
      </c>
      <c r="U840" s="4"/>
      <c r="V840" s="4"/>
      <c r="W840" s="4" t="s">
        <v>129</v>
      </c>
      <c r="X840" s="4">
        <f t="shared" si="13"/>
        <v>13</v>
      </c>
      <c r="Y840" s="4"/>
      <c r="Z840" s="4"/>
      <c r="AA840" s="4"/>
      <c r="AB840" s="4"/>
      <c r="AC840" s="210">
        <v>1</v>
      </c>
      <c r="AD840" s="4"/>
      <c r="AE840" s="4"/>
    </row>
    <row r="841" spans="1:31" x14ac:dyDescent="0.2">
      <c r="A841" s="201"/>
      <c r="B841" s="4" t="s">
        <v>104</v>
      </c>
      <c r="C841" s="4">
        <v>836</v>
      </c>
      <c r="D841" s="4" t="s">
        <v>137</v>
      </c>
      <c r="E841" s="4" t="s">
        <v>137</v>
      </c>
      <c r="F841" s="4" t="s">
        <v>146</v>
      </c>
      <c r="G841" s="4"/>
      <c r="H841" s="4"/>
      <c r="I841" s="4"/>
      <c r="J841" s="4">
        <v>40036</v>
      </c>
      <c r="K841" s="4" t="s">
        <v>11</v>
      </c>
      <c r="L841" s="4">
        <v>53</v>
      </c>
      <c r="M841" s="4">
        <f t="shared" si="14"/>
        <v>3</v>
      </c>
      <c r="N841" s="4" t="str">
        <f>_xlfn.CONCAT("DBX",((L841-1)*2),".3")</f>
        <v>DBX104.3</v>
      </c>
      <c r="O841" s="4" t="s">
        <v>179</v>
      </c>
      <c r="P841" s="4" t="s">
        <v>11</v>
      </c>
      <c r="Q841" s="4" t="s">
        <v>90</v>
      </c>
      <c r="R841" s="4"/>
      <c r="S841" s="4">
        <v>3923</v>
      </c>
      <c r="T841" s="4" t="s">
        <v>2550</v>
      </c>
      <c r="U841" s="4"/>
      <c r="V841" s="4"/>
      <c r="W841" s="4" t="s">
        <v>129</v>
      </c>
      <c r="X841" s="4">
        <f t="shared" si="13"/>
        <v>13</v>
      </c>
      <c r="Y841" s="4"/>
      <c r="Z841" s="4"/>
      <c r="AA841" s="4"/>
      <c r="AB841" s="4"/>
      <c r="AC841" s="210">
        <v>0</v>
      </c>
      <c r="AD841" s="4"/>
      <c r="AE841" s="4"/>
    </row>
    <row r="842" spans="1:31" x14ac:dyDescent="0.2">
      <c r="A842" s="201"/>
      <c r="B842" s="4" t="s">
        <v>104</v>
      </c>
      <c r="C842" s="4">
        <v>837</v>
      </c>
      <c r="D842" s="4" t="s">
        <v>138</v>
      </c>
      <c r="E842" s="4" t="s">
        <v>138</v>
      </c>
      <c r="F842" s="4" t="s">
        <v>147</v>
      </c>
      <c r="G842" s="4"/>
      <c r="H842" s="4"/>
      <c r="I842" s="4"/>
      <c r="J842" s="4">
        <v>40037</v>
      </c>
      <c r="K842" s="4" t="s">
        <v>11</v>
      </c>
      <c r="L842" s="4">
        <v>53</v>
      </c>
      <c r="M842" s="4">
        <f t="shared" si="14"/>
        <v>4</v>
      </c>
      <c r="N842" s="4" t="str">
        <f>_xlfn.CONCAT("DBX",((L842-1)*2),".4")</f>
        <v>DBX104.4</v>
      </c>
      <c r="O842" s="4" t="s">
        <v>179</v>
      </c>
      <c r="P842" s="4" t="s">
        <v>11</v>
      </c>
      <c r="Q842" s="4" t="s">
        <v>91</v>
      </c>
      <c r="R842" s="4"/>
      <c r="S842" s="4">
        <v>3923</v>
      </c>
      <c r="T842" s="4" t="s">
        <v>2550</v>
      </c>
      <c r="U842" s="4"/>
      <c r="V842" s="4"/>
      <c r="W842" s="4" t="s">
        <v>129</v>
      </c>
      <c r="X842" s="4">
        <f t="shared" si="13"/>
        <v>13</v>
      </c>
      <c r="Y842" s="4"/>
      <c r="Z842" s="4"/>
      <c r="AA842" s="4"/>
      <c r="AB842" s="4"/>
      <c r="AC842" s="210">
        <v>1</v>
      </c>
      <c r="AD842" s="4"/>
      <c r="AE842" s="4"/>
    </row>
    <row r="843" spans="1:31" x14ac:dyDescent="0.2">
      <c r="A843" s="201"/>
      <c r="B843" s="4" t="s">
        <v>104</v>
      </c>
      <c r="C843" s="4">
        <v>838</v>
      </c>
      <c r="D843" s="4" t="s">
        <v>139</v>
      </c>
      <c r="E843" s="4" t="s">
        <v>139</v>
      </c>
      <c r="F843" s="4" t="s">
        <v>148</v>
      </c>
      <c r="G843" s="4"/>
      <c r="H843" s="4"/>
      <c r="I843" s="4"/>
      <c r="J843" s="4">
        <v>40038</v>
      </c>
      <c r="K843" s="4" t="s">
        <v>11</v>
      </c>
      <c r="L843" s="4">
        <v>53</v>
      </c>
      <c r="M843" s="4">
        <f t="shared" si="14"/>
        <v>5</v>
      </c>
      <c r="N843" s="4" t="str">
        <f>_xlfn.CONCAT("DBX",((L843-1)*2),".5")</f>
        <v>DBX104.5</v>
      </c>
      <c r="O843" s="4" t="s">
        <v>179</v>
      </c>
      <c r="P843" s="4" t="s">
        <v>11</v>
      </c>
      <c r="Q843" s="4" t="s">
        <v>92</v>
      </c>
      <c r="R843" s="4"/>
      <c r="S843" s="4">
        <v>3923</v>
      </c>
      <c r="T843" s="4" t="s">
        <v>2550</v>
      </c>
      <c r="U843" s="4"/>
      <c r="V843" s="4"/>
      <c r="W843" s="4" t="s">
        <v>129</v>
      </c>
      <c r="X843" s="4">
        <f t="shared" si="13"/>
        <v>13</v>
      </c>
      <c r="Y843" s="4"/>
      <c r="Z843" s="4"/>
      <c r="AA843" s="4"/>
      <c r="AB843" s="4"/>
      <c r="AC843" s="210">
        <v>1</v>
      </c>
      <c r="AD843" s="4"/>
      <c r="AE843" s="4"/>
    </row>
    <row r="844" spans="1:31" x14ac:dyDescent="0.2">
      <c r="A844" s="201"/>
      <c r="B844" s="4" t="s">
        <v>104</v>
      </c>
      <c r="C844" s="4">
        <v>839</v>
      </c>
      <c r="D844" s="4" t="s">
        <v>140</v>
      </c>
      <c r="E844" s="4" t="s">
        <v>140</v>
      </c>
      <c r="F844" s="4" t="s">
        <v>149</v>
      </c>
      <c r="G844" s="4"/>
      <c r="H844" s="4"/>
      <c r="I844" s="4"/>
      <c r="J844" s="4">
        <v>40039</v>
      </c>
      <c r="K844" s="4" t="s">
        <v>11</v>
      </c>
      <c r="L844" s="4">
        <v>53</v>
      </c>
      <c r="M844" s="4">
        <f t="shared" si="14"/>
        <v>6</v>
      </c>
      <c r="N844" s="4" t="str">
        <f>_xlfn.CONCAT("DBX",((L844-1)*2),".6")</f>
        <v>DBX104.6</v>
      </c>
      <c r="O844" s="4" t="s">
        <v>179</v>
      </c>
      <c r="P844" s="4" t="s">
        <v>11</v>
      </c>
      <c r="Q844" s="4" t="s">
        <v>89</v>
      </c>
      <c r="R844" s="4"/>
      <c r="S844" s="4">
        <v>3923</v>
      </c>
      <c r="T844" s="4" t="s">
        <v>2550</v>
      </c>
      <c r="U844" s="4"/>
      <c r="V844" s="4"/>
      <c r="W844" s="4" t="s">
        <v>129</v>
      </c>
      <c r="X844" s="4">
        <f t="shared" si="13"/>
        <v>13</v>
      </c>
      <c r="Y844" s="4"/>
      <c r="Z844" s="4"/>
      <c r="AA844" s="4"/>
      <c r="AB844" s="4"/>
      <c r="AC844" s="210">
        <v>1</v>
      </c>
      <c r="AD844" s="4"/>
      <c r="AE844" s="4"/>
    </row>
    <row r="845" spans="1:31" x14ac:dyDescent="0.2">
      <c r="A845" s="201"/>
      <c r="B845" s="4" t="s">
        <v>104</v>
      </c>
      <c r="C845" s="4">
        <v>840</v>
      </c>
      <c r="D845" s="4" t="s">
        <v>141</v>
      </c>
      <c r="E845" s="4" t="s">
        <v>141</v>
      </c>
      <c r="F845" s="4" t="s">
        <v>150</v>
      </c>
      <c r="G845" s="4"/>
      <c r="H845" s="4"/>
      <c r="I845" s="4"/>
      <c r="J845" s="4">
        <v>40040</v>
      </c>
      <c r="K845" s="4" t="s">
        <v>11</v>
      </c>
      <c r="L845" s="4">
        <v>53</v>
      </c>
      <c r="M845" s="4">
        <f t="shared" si="14"/>
        <v>7</v>
      </c>
      <c r="N845" s="4" t="str">
        <f>_xlfn.CONCAT("DBX",((L845-1)*2),".7")</f>
        <v>DBX104.7</v>
      </c>
      <c r="O845" s="4" t="s">
        <v>179</v>
      </c>
      <c r="P845" s="4" t="s">
        <v>11</v>
      </c>
      <c r="Q845" s="4" t="s">
        <v>33</v>
      </c>
      <c r="R845" s="4"/>
      <c r="S845" s="4">
        <v>3923</v>
      </c>
      <c r="T845" s="4" t="s">
        <v>2550</v>
      </c>
      <c r="U845" s="4"/>
      <c r="V845" s="4"/>
      <c r="W845" s="4" t="s">
        <v>129</v>
      </c>
      <c r="X845" s="4">
        <f t="shared" si="13"/>
        <v>13</v>
      </c>
      <c r="Y845" s="4"/>
      <c r="Z845" s="4"/>
      <c r="AA845" s="4"/>
      <c r="AB845" s="4"/>
      <c r="AC845" s="210">
        <v>0</v>
      </c>
      <c r="AD845" s="4"/>
      <c r="AE845" s="4"/>
    </row>
    <row r="846" spans="1:31" x14ac:dyDescent="0.2">
      <c r="A846" s="201"/>
      <c r="B846" s="4" t="s">
        <v>104</v>
      </c>
      <c r="C846" s="4">
        <v>841</v>
      </c>
      <c r="D846" s="4" t="s">
        <v>142</v>
      </c>
      <c r="E846" s="4" t="s">
        <v>142</v>
      </c>
      <c r="F846" s="4" t="s">
        <v>151</v>
      </c>
      <c r="G846" s="4"/>
      <c r="H846" s="4"/>
      <c r="I846" s="4"/>
      <c r="J846" s="4">
        <v>40041</v>
      </c>
      <c r="K846" s="4" t="s">
        <v>11</v>
      </c>
      <c r="L846" s="4">
        <v>53</v>
      </c>
      <c r="M846" s="4">
        <f t="shared" si="14"/>
        <v>8</v>
      </c>
      <c r="N846" s="4" t="str">
        <f>_xlfn.CONCAT("DBX",((L846-1)*2)+1,".0")</f>
        <v>DBX105.0</v>
      </c>
      <c r="O846" s="4" t="s">
        <v>179</v>
      </c>
      <c r="P846" s="4" t="s">
        <v>11</v>
      </c>
      <c r="Q846" s="4" t="s">
        <v>87</v>
      </c>
      <c r="R846" s="4"/>
      <c r="S846" s="4">
        <v>3923</v>
      </c>
      <c r="T846" s="4" t="s">
        <v>2550</v>
      </c>
      <c r="U846" s="4"/>
      <c r="V846" s="4"/>
      <c r="W846" s="4" t="s">
        <v>129</v>
      </c>
      <c r="X846" s="4">
        <f t="shared" si="13"/>
        <v>13</v>
      </c>
      <c r="Y846" s="4"/>
      <c r="Z846" s="4"/>
      <c r="AA846" s="4"/>
      <c r="AB846" s="4"/>
      <c r="AC846" s="210">
        <v>0</v>
      </c>
      <c r="AD846" s="4"/>
      <c r="AE846" s="4"/>
    </row>
    <row r="847" spans="1:31" x14ac:dyDescent="0.2">
      <c r="A847" s="201"/>
      <c r="B847" s="4" t="s">
        <v>104</v>
      </c>
      <c r="C847" s="4">
        <v>842</v>
      </c>
      <c r="D847" s="4" t="s">
        <v>143</v>
      </c>
      <c r="E847" s="4" t="s">
        <v>143</v>
      </c>
      <c r="F847" s="4" t="s">
        <v>152</v>
      </c>
      <c r="G847" s="4"/>
      <c r="H847" s="4"/>
      <c r="I847" s="4"/>
      <c r="J847" s="4">
        <v>40042</v>
      </c>
      <c r="K847" s="4" t="s">
        <v>11</v>
      </c>
      <c r="L847" s="4">
        <v>53</v>
      </c>
      <c r="M847" s="4">
        <f t="shared" si="14"/>
        <v>9</v>
      </c>
      <c r="N847" s="4" t="str">
        <f>_xlfn.CONCAT("DBX",((L847-1)*2)+1,".1")</f>
        <v>DBX105.1</v>
      </c>
      <c r="O847" s="4" t="s">
        <v>179</v>
      </c>
      <c r="P847" s="4" t="s">
        <v>11</v>
      </c>
      <c r="Q847" s="4" t="s">
        <v>88</v>
      </c>
      <c r="R847" s="4"/>
      <c r="S847" s="4">
        <v>3923</v>
      </c>
      <c r="T847" s="4" t="s">
        <v>2550</v>
      </c>
      <c r="U847" s="4"/>
      <c r="V847" s="4"/>
      <c r="W847" s="4" t="s">
        <v>129</v>
      </c>
      <c r="X847" s="4">
        <f t="shared" si="13"/>
        <v>13</v>
      </c>
      <c r="Y847" s="4"/>
      <c r="Z847" s="4"/>
      <c r="AA847" s="4"/>
      <c r="AB847" s="4"/>
      <c r="AC847" s="210">
        <v>1</v>
      </c>
      <c r="AD847" s="4"/>
      <c r="AE847" s="4"/>
    </row>
    <row r="848" spans="1:31" x14ac:dyDescent="0.2">
      <c r="A848" s="201"/>
      <c r="B848" s="4" t="s">
        <v>34</v>
      </c>
      <c r="C848" s="4">
        <v>843</v>
      </c>
      <c r="D848" s="4" t="s">
        <v>17</v>
      </c>
      <c r="E848" s="4" t="s">
        <v>17</v>
      </c>
      <c r="F848" s="4" t="s">
        <v>156</v>
      </c>
      <c r="G848" s="4"/>
      <c r="H848" s="4"/>
      <c r="I848" s="4"/>
      <c r="J848" s="4">
        <v>40043</v>
      </c>
      <c r="K848" s="4"/>
      <c r="L848" s="4">
        <v>53</v>
      </c>
      <c r="M848" s="4">
        <f t="shared" si="14"/>
        <v>10</v>
      </c>
      <c r="N848" s="4" t="str">
        <f>_xlfn.CONCAT("DBX",((L848-1)*2)+1,".2")</f>
        <v>DBX105.2</v>
      </c>
      <c r="O848" s="4" t="s">
        <v>179</v>
      </c>
      <c r="P848" s="4"/>
      <c r="Q848" s="4"/>
      <c r="R848" s="4"/>
      <c r="S848" s="4"/>
      <c r="T848" s="4"/>
      <c r="U848" s="4"/>
      <c r="V848" s="4"/>
      <c r="W848" s="4" t="s">
        <v>154</v>
      </c>
      <c r="X848" s="4" t="e">
        <f t="shared" si="13"/>
        <v>#N/A</v>
      </c>
      <c r="Y848" s="4"/>
      <c r="Z848" s="4"/>
      <c r="AA848" s="4"/>
      <c r="AB848" s="4"/>
      <c r="AC848" s="210"/>
      <c r="AD848" s="4"/>
      <c r="AE848" s="4"/>
    </row>
    <row r="849" spans="1:31" x14ac:dyDescent="0.2">
      <c r="A849" s="201"/>
      <c r="B849" s="4" t="s">
        <v>34</v>
      </c>
      <c r="C849" s="4">
        <v>844</v>
      </c>
      <c r="D849" s="4" t="s">
        <v>17</v>
      </c>
      <c r="E849" s="4" t="s">
        <v>17</v>
      </c>
      <c r="F849" s="4" t="s">
        <v>156</v>
      </c>
      <c r="G849" s="4"/>
      <c r="H849" s="4"/>
      <c r="I849" s="4"/>
      <c r="J849" s="4">
        <v>40044</v>
      </c>
      <c r="K849" s="4"/>
      <c r="L849" s="4">
        <v>53</v>
      </c>
      <c r="M849" s="4">
        <f t="shared" si="14"/>
        <v>11</v>
      </c>
      <c r="N849" s="4" t="str">
        <f>_xlfn.CONCAT("DBX",((L849-1)*2)+1,".3")</f>
        <v>DBX105.3</v>
      </c>
      <c r="O849" s="4" t="s">
        <v>179</v>
      </c>
      <c r="P849" s="4"/>
      <c r="Q849" s="4"/>
      <c r="R849" s="4"/>
      <c r="S849" s="4"/>
      <c r="T849" s="4"/>
      <c r="U849" s="4"/>
      <c r="V849" s="4"/>
      <c r="W849" s="4" t="s">
        <v>154</v>
      </c>
      <c r="X849" s="4" t="e">
        <f t="shared" si="13"/>
        <v>#N/A</v>
      </c>
      <c r="Y849" s="4"/>
      <c r="Z849" s="4"/>
      <c r="AA849" s="4"/>
      <c r="AB849" s="4"/>
      <c r="AC849" s="210"/>
      <c r="AD849" s="4"/>
      <c r="AE849" s="4"/>
    </row>
    <row r="850" spans="1:31" x14ac:dyDescent="0.2">
      <c r="A850" s="201"/>
      <c r="B850" s="4" t="s">
        <v>34</v>
      </c>
      <c r="C850" s="4">
        <v>845</v>
      </c>
      <c r="D850" s="4" t="s">
        <v>17</v>
      </c>
      <c r="E850" s="4" t="s">
        <v>17</v>
      </c>
      <c r="F850" s="4" t="s">
        <v>156</v>
      </c>
      <c r="G850" s="4"/>
      <c r="H850" s="4"/>
      <c r="I850" s="4"/>
      <c r="J850" s="4">
        <v>40045</v>
      </c>
      <c r="K850" s="4"/>
      <c r="L850" s="4">
        <v>53</v>
      </c>
      <c r="M850" s="4">
        <f t="shared" si="14"/>
        <v>12</v>
      </c>
      <c r="N850" s="4" t="str">
        <f>_xlfn.CONCAT("DBX",((L850-1)*2)+1,".4")</f>
        <v>DBX105.4</v>
      </c>
      <c r="O850" s="4" t="s">
        <v>179</v>
      </c>
      <c r="P850" s="4"/>
      <c r="Q850" s="4"/>
      <c r="R850" s="4"/>
      <c r="S850" s="4"/>
      <c r="T850" s="4"/>
      <c r="U850" s="4"/>
      <c r="V850" s="4"/>
      <c r="W850" s="4" t="s">
        <v>154</v>
      </c>
      <c r="X850" s="4" t="e">
        <f t="shared" si="13"/>
        <v>#N/A</v>
      </c>
      <c r="Y850" s="4"/>
      <c r="Z850" s="4"/>
      <c r="AA850" s="4"/>
      <c r="AB850" s="4"/>
      <c r="AC850" s="210"/>
      <c r="AD850" s="4"/>
      <c r="AE850" s="4"/>
    </row>
    <row r="851" spans="1:31" x14ac:dyDescent="0.2">
      <c r="A851" s="201"/>
      <c r="B851" s="4" t="s">
        <v>34</v>
      </c>
      <c r="C851" s="4">
        <v>846</v>
      </c>
      <c r="D851" s="4" t="s">
        <v>17</v>
      </c>
      <c r="E851" s="4" t="s">
        <v>17</v>
      </c>
      <c r="F851" s="4" t="s">
        <v>156</v>
      </c>
      <c r="G851" s="4"/>
      <c r="H851" s="4"/>
      <c r="I851" s="4"/>
      <c r="J851" s="4">
        <v>40046</v>
      </c>
      <c r="K851" s="4"/>
      <c r="L851" s="4">
        <v>53</v>
      </c>
      <c r="M851" s="4">
        <f t="shared" si="14"/>
        <v>13</v>
      </c>
      <c r="N851" s="4" t="str">
        <f>_xlfn.CONCAT("DBX",((L851-1)*2)+1,".5")</f>
        <v>DBX105.5</v>
      </c>
      <c r="O851" s="4" t="s">
        <v>179</v>
      </c>
      <c r="P851" s="4"/>
      <c r="Q851" s="4"/>
      <c r="R851" s="4"/>
      <c r="S851" s="4"/>
      <c r="T851" s="4"/>
      <c r="U851" s="4"/>
      <c r="V851" s="4"/>
      <c r="W851" s="4" t="s">
        <v>154</v>
      </c>
      <c r="X851" s="4" t="e">
        <f t="shared" si="13"/>
        <v>#N/A</v>
      </c>
      <c r="Y851" s="4"/>
      <c r="Z851" s="4"/>
      <c r="AA851" s="4"/>
      <c r="AB851" s="4"/>
      <c r="AC851" s="210"/>
      <c r="AD851" s="4"/>
      <c r="AE851" s="4"/>
    </row>
    <row r="852" spans="1:31" x14ac:dyDescent="0.2">
      <c r="A852" s="201"/>
      <c r="B852" s="4" t="s">
        <v>34</v>
      </c>
      <c r="C852" s="4">
        <v>847</v>
      </c>
      <c r="D852" s="4" t="s">
        <v>17</v>
      </c>
      <c r="E852" s="4" t="s">
        <v>17</v>
      </c>
      <c r="F852" s="4" t="s">
        <v>156</v>
      </c>
      <c r="G852" s="4"/>
      <c r="H852" s="4"/>
      <c r="I852" s="4"/>
      <c r="J852" s="4">
        <v>40047</v>
      </c>
      <c r="K852" s="4"/>
      <c r="L852" s="4">
        <v>53</v>
      </c>
      <c r="M852" s="4">
        <f t="shared" si="14"/>
        <v>14</v>
      </c>
      <c r="N852" s="4" t="str">
        <f>_xlfn.CONCAT("DBX",((L852-1)*2)+1,".6")</f>
        <v>DBX105.6</v>
      </c>
      <c r="O852" s="4" t="s">
        <v>179</v>
      </c>
      <c r="P852" s="4"/>
      <c r="Q852" s="4"/>
      <c r="R852" s="4"/>
      <c r="S852" s="4"/>
      <c r="T852" s="4"/>
      <c r="U852" s="4"/>
      <c r="V852" s="4"/>
      <c r="W852" s="4" t="s">
        <v>154</v>
      </c>
      <c r="X852" s="4" t="e">
        <f t="shared" si="13"/>
        <v>#N/A</v>
      </c>
      <c r="Y852" s="4"/>
      <c r="Z852" s="4"/>
      <c r="AA852" s="4"/>
      <c r="AB852" s="4"/>
      <c r="AC852" s="210"/>
      <c r="AD852" s="4"/>
      <c r="AE852" s="4"/>
    </row>
    <row r="853" spans="1:31" x14ac:dyDescent="0.2">
      <c r="A853" s="201"/>
      <c r="B853" s="4" t="s">
        <v>34</v>
      </c>
      <c r="C853" s="4">
        <v>848</v>
      </c>
      <c r="D853" s="4" t="s">
        <v>17</v>
      </c>
      <c r="E853" s="4" t="s">
        <v>17</v>
      </c>
      <c r="F853" s="4" t="s">
        <v>156</v>
      </c>
      <c r="G853" s="4"/>
      <c r="H853" s="4"/>
      <c r="I853" s="4"/>
      <c r="J853" s="4">
        <v>40048</v>
      </c>
      <c r="K853" s="4"/>
      <c r="L853" s="4">
        <v>53</v>
      </c>
      <c r="M853" s="4">
        <f>M837</f>
        <v>15</v>
      </c>
      <c r="N853" s="4" t="str">
        <f>_xlfn.CONCAT("DBX",((L853-1)*2)+1,".7")</f>
        <v>DBX105.7</v>
      </c>
      <c r="O853" s="4" t="s">
        <v>179</v>
      </c>
      <c r="P853" s="4"/>
      <c r="Q853" s="4"/>
      <c r="R853" s="4"/>
      <c r="S853" s="4"/>
      <c r="T853" s="4"/>
      <c r="U853" s="4"/>
      <c r="V853" s="4"/>
      <c r="W853" s="4" t="s">
        <v>154</v>
      </c>
      <c r="X853" s="4" t="e">
        <f t="shared" si="13"/>
        <v>#N/A</v>
      </c>
      <c r="Y853" s="4"/>
      <c r="Z853" s="4"/>
      <c r="AA853" s="4"/>
      <c r="AB853" s="4"/>
      <c r="AC853" s="210"/>
      <c r="AD853" s="4"/>
      <c r="AE853" s="4"/>
    </row>
    <row r="854" spans="1:31" x14ac:dyDescent="0.2">
      <c r="A854" s="209"/>
      <c r="B854" s="4" t="s">
        <v>34</v>
      </c>
      <c r="C854" s="4">
        <v>849</v>
      </c>
      <c r="D854" s="4"/>
      <c r="E854" s="4"/>
      <c r="F854" s="4"/>
      <c r="G854" s="4"/>
      <c r="H854" s="4"/>
      <c r="I854" s="4"/>
      <c r="J854" s="4">
        <v>40049</v>
      </c>
      <c r="K854" s="210"/>
      <c r="L854" s="210">
        <v>54</v>
      </c>
      <c r="M854" s="4">
        <v>0</v>
      </c>
      <c r="N854" s="4" t="str">
        <f>_xlfn.CONCAT("DBX",((L854-1)*2),".0")</f>
        <v>DBX106.0</v>
      </c>
      <c r="O854" s="210" t="s">
        <v>782</v>
      </c>
      <c r="P854" s="210"/>
      <c r="Q854" s="210"/>
      <c r="R854" s="210"/>
      <c r="S854" s="210"/>
      <c r="T854" s="210"/>
      <c r="U854" s="210"/>
      <c r="V854" s="210"/>
      <c r="W854" s="210"/>
      <c r="X854" s="4" t="e">
        <f t="shared" si="13"/>
        <v>#N/A</v>
      </c>
      <c r="Y854" s="210"/>
      <c r="Z854" s="210"/>
      <c r="AA854" s="210"/>
      <c r="AB854" s="210"/>
      <c r="AC854" s="210"/>
      <c r="AD854" s="210"/>
      <c r="AE854" s="210"/>
    </row>
    <row r="855" spans="1:31" x14ac:dyDescent="0.2">
      <c r="A855" s="209"/>
      <c r="B855" s="4" t="s">
        <v>88</v>
      </c>
      <c r="C855" s="4">
        <v>850</v>
      </c>
      <c r="D855" s="4" t="s">
        <v>1943</v>
      </c>
      <c r="E855" s="4" t="s">
        <v>1944</v>
      </c>
      <c r="F855" s="4" t="s">
        <v>2324</v>
      </c>
      <c r="G855" s="4" t="s">
        <v>329</v>
      </c>
      <c r="H855" s="4" t="s">
        <v>41</v>
      </c>
      <c r="I855" s="4" t="s">
        <v>85</v>
      </c>
      <c r="J855" s="4">
        <v>40050</v>
      </c>
      <c r="K855" s="210" t="s">
        <v>11</v>
      </c>
      <c r="L855" s="210">
        <v>54</v>
      </c>
      <c r="M855" s="4">
        <v>1</v>
      </c>
      <c r="N855" s="4" t="str">
        <f>_xlfn.CONCAT("DBX",((L855-1)*2),".1")</f>
        <v>DBX106.1</v>
      </c>
      <c r="O855" s="210" t="s">
        <v>782</v>
      </c>
      <c r="P855" s="210" t="s">
        <v>11</v>
      </c>
      <c r="Q855" s="210" t="s">
        <v>90</v>
      </c>
      <c r="R855" s="210"/>
      <c r="S855" s="210">
        <v>3923</v>
      </c>
      <c r="T855" s="4" t="s">
        <v>2550</v>
      </c>
      <c r="U855" s="210"/>
      <c r="V855" s="210"/>
      <c r="W855" s="210" t="s">
        <v>129</v>
      </c>
      <c r="X855" s="4">
        <f t="shared" si="13"/>
        <v>13</v>
      </c>
      <c r="Y855" s="210"/>
      <c r="Z855" s="210"/>
      <c r="AA855" s="210"/>
      <c r="AB855" s="210"/>
      <c r="AC855" s="210">
        <v>0</v>
      </c>
      <c r="AD855" s="210"/>
      <c r="AE855" s="210"/>
    </row>
    <row r="856" spans="1:31" x14ac:dyDescent="0.2">
      <c r="A856" s="209"/>
      <c r="B856" s="4" t="s">
        <v>3208</v>
      </c>
      <c r="C856" s="4">
        <v>851</v>
      </c>
      <c r="D856" s="4" t="s">
        <v>3210</v>
      </c>
      <c r="E856" s="4" t="s">
        <v>3209</v>
      </c>
      <c r="F856" s="4" t="s">
        <v>3223</v>
      </c>
      <c r="G856" s="4" t="s">
        <v>329</v>
      </c>
      <c r="H856" s="4" t="s">
        <v>3211</v>
      </c>
      <c r="I856" s="4" t="s">
        <v>85</v>
      </c>
      <c r="J856" s="4">
        <v>40051</v>
      </c>
      <c r="K856" s="210" t="s">
        <v>99</v>
      </c>
      <c r="L856" s="210">
        <v>54</v>
      </c>
      <c r="M856" s="4">
        <v>2</v>
      </c>
      <c r="N856" s="4" t="str">
        <f>_xlfn.CONCAT("DBX",((L856-1)*2),".2")</f>
        <v>DBX106.2</v>
      </c>
      <c r="O856" s="210" t="s">
        <v>782</v>
      </c>
      <c r="P856" s="210" t="s">
        <v>99</v>
      </c>
      <c r="Q856" s="210" t="s">
        <v>90</v>
      </c>
      <c r="R856" s="210"/>
      <c r="S856" s="210">
        <v>3923</v>
      </c>
      <c r="T856" s="4" t="s">
        <v>2550</v>
      </c>
      <c r="U856" s="210"/>
      <c r="V856" s="210"/>
      <c r="W856" s="210" t="s">
        <v>129</v>
      </c>
      <c r="X856" s="4">
        <f t="shared" si="13"/>
        <v>13</v>
      </c>
      <c r="Y856" s="210"/>
      <c r="Z856" s="210"/>
      <c r="AA856" s="210"/>
      <c r="AB856" s="210"/>
      <c r="AC856" s="210">
        <v>0</v>
      </c>
      <c r="AD856" s="210"/>
      <c r="AE856" s="210"/>
    </row>
    <row r="857" spans="1:31" x14ac:dyDescent="0.2">
      <c r="A857" s="209"/>
      <c r="B857" s="4" t="s">
        <v>33</v>
      </c>
      <c r="C857" s="4">
        <v>852</v>
      </c>
      <c r="D857" s="4" t="s">
        <v>2460</v>
      </c>
      <c r="E857" s="4" t="s">
        <v>2461</v>
      </c>
      <c r="F857" s="4" t="s">
        <v>2472</v>
      </c>
      <c r="G857" s="4" t="s">
        <v>329</v>
      </c>
      <c r="H857" s="4" t="s">
        <v>359</v>
      </c>
      <c r="I857" s="4" t="s">
        <v>84</v>
      </c>
      <c r="J857" s="4">
        <v>40052</v>
      </c>
      <c r="K857" s="210" t="s">
        <v>99</v>
      </c>
      <c r="L857" s="210">
        <v>54</v>
      </c>
      <c r="M857" s="4">
        <v>3</v>
      </c>
      <c r="N857" s="4" t="str">
        <f>_xlfn.CONCAT("DBX",((L857-1)*2),".3")</f>
        <v>DBX106.3</v>
      </c>
      <c r="O857" s="210" t="s">
        <v>782</v>
      </c>
      <c r="P857" s="210" t="s">
        <v>99</v>
      </c>
      <c r="Q857" s="210" t="s">
        <v>12</v>
      </c>
      <c r="R857" s="210"/>
      <c r="S857" s="210">
        <v>3923</v>
      </c>
      <c r="T857" s="4" t="s">
        <v>2550</v>
      </c>
      <c r="U857" s="210"/>
      <c r="V857" s="210"/>
      <c r="W857" s="210" t="s">
        <v>129</v>
      </c>
      <c r="X857" s="4">
        <f t="shared" si="13"/>
        <v>13</v>
      </c>
      <c r="Y857" s="210"/>
      <c r="Z857" s="210"/>
      <c r="AA857" s="210"/>
      <c r="AB857" s="210"/>
      <c r="AC857" s="210">
        <v>1</v>
      </c>
      <c r="AD857" s="210"/>
      <c r="AE857" s="210"/>
    </row>
    <row r="858" spans="1:31" x14ac:dyDescent="0.2">
      <c r="A858" s="209"/>
      <c r="B858" s="4" t="s">
        <v>2857</v>
      </c>
      <c r="C858" s="4">
        <v>853</v>
      </c>
      <c r="D858" s="4" t="s">
        <v>2462</v>
      </c>
      <c r="E858" s="4" t="s">
        <v>2463</v>
      </c>
      <c r="F858" s="4" t="s">
        <v>2473</v>
      </c>
      <c r="G858" s="4" t="s">
        <v>329</v>
      </c>
      <c r="H858" s="4" t="s">
        <v>359</v>
      </c>
      <c r="I858" s="208" t="s">
        <v>1791</v>
      </c>
      <c r="J858" s="4">
        <v>40053</v>
      </c>
      <c r="K858" s="210" t="s">
        <v>99</v>
      </c>
      <c r="L858" s="210">
        <v>54</v>
      </c>
      <c r="M858" s="4">
        <v>4</v>
      </c>
      <c r="N858" s="4" t="str">
        <f>_xlfn.CONCAT("DBX",((L858-1)*2),".4")</f>
        <v>DBX106.4</v>
      </c>
      <c r="O858" s="210" t="s">
        <v>782</v>
      </c>
      <c r="P858" s="210" t="s">
        <v>99</v>
      </c>
      <c r="Q858" s="210" t="s">
        <v>90</v>
      </c>
      <c r="R858" s="210"/>
      <c r="S858" s="210">
        <v>3923</v>
      </c>
      <c r="T858" s="4" t="s">
        <v>2550</v>
      </c>
      <c r="U858" s="210"/>
      <c r="V858" s="210"/>
      <c r="W858" s="210" t="s">
        <v>129</v>
      </c>
      <c r="X858" s="4">
        <f t="shared" si="13"/>
        <v>13</v>
      </c>
      <c r="Y858" s="210"/>
      <c r="Z858" s="210"/>
      <c r="AA858" s="210"/>
      <c r="AB858" s="210"/>
      <c r="AC858" s="210">
        <v>0</v>
      </c>
      <c r="AD858" s="210"/>
      <c r="AE858" s="210"/>
    </row>
    <row r="859" spans="1:31" x14ac:dyDescent="0.2">
      <c r="A859" s="209"/>
      <c r="B859" s="4" t="s">
        <v>33</v>
      </c>
      <c r="C859" s="4">
        <v>854</v>
      </c>
      <c r="D859" s="210" t="s">
        <v>2464</v>
      </c>
      <c r="E859" s="210" t="s">
        <v>2465</v>
      </c>
      <c r="F859" s="210" t="s">
        <v>2474</v>
      </c>
      <c r="G859" s="210" t="s">
        <v>40</v>
      </c>
      <c r="H859" s="210" t="s">
        <v>41</v>
      </c>
      <c r="I859" s="210" t="s">
        <v>40</v>
      </c>
      <c r="J859" s="4">
        <v>40054</v>
      </c>
      <c r="K859" s="210" t="s">
        <v>99</v>
      </c>
      <c r="L859" s="210">
        <v>54</v>
      </c>
      <c r="M859" s="4">
        <v>5</v>
      </c>
      <c r="N859" s="4" t="str">
        <f>_xlfn.CONCAT("DBX",((L859-1)*2),".5")</f>
        <v>DBX106.5</v>
      </c>
      <c r="O859" s="210" t="s">
        <v>782</v>
      </c>
      <c r="P859" s="210" t="s">
        <v>99</v>
      </c>
      <c r="Q859" s="210" t="s">
        <v>91</v>
      </c>
      <c r="R859" s="210"/>
      <c r="S859" s="210">
        <v>3923</v>
      </c>
      <c r="T859" s="4" t="s">
        <v>2550</v>
      </c>
      <c r="U859" s="210"/>
      <c r="V859" s="210"/>
      <c r="W859" s="210" t="s">
        <v>129</v>
      </c>
      <c r="X859" s="4">
        <f t="shared" si="13"/>
        <v>13</v>
      </c>
      <c r="Y859" s="210"/>
      <c r="Z859" s="210"/>
      <c r="AA859" s="210"/>
      <c r="AB859" s="210"/>
      <c r="AC859" s="210">
        <v>1</v>
      </c>
      <c r="AD859" s="210"/>
      <c r="AE859" s="210"/>
    </row>
    <row r="860" spans="1:31" x14ac:dyDescent="0.2">
      <c r="A860" s="209"/>
      <c r="B860" s="4" t="s">
        <v>88</v>
      </c>
      <c r="C860" s="4">
        <v>855</v>
      </c>
      <c r="D860" s="4" t="s">
        <v>339</v>
      </c>
      <c r="E860" s="4" t="s">
        <v>340</v>
      </c>
      <c r="F860" s="4" t="s">
        <v>341</v>
      </c>
      <c r="G860" s="4" t="s">
        <v>40</v>
      </c>
      <c r="H860" s="4" t="s">
        <v>41</v>
      </c>
      <c r="I860" s="4" t="s">
        <v>40</v>
      </c>
      <c r="J860" s="4">
        <v>40055</v>
      </c>
      <c r="K860" s="202" t="s">
        <v>11</v>
      </c>
      <c r="L860" s="210">
        <v>54</v>
      </c>
      <c r="M860" s="4">
        <v>6</v>
      </c>
      <c r="N860" s="4" t="str">
        <f>_xlfn.CONCAT("DBX",((L860-1)*2),".6")</f>
        <v>DBX106.6</v>
      </c>
      <c r="O860" s="210" t="s">
        <v>782</v>
      </c>
      <c r="P860" s="4" t="s">
        <v>11</v>
      </c>
      <c r="Q860" s="4" t="s">
        <v>90</v>
      </c>
      <c r="R860" s="210"/>
      <c r="S860" s="210">
        <v>3923</v>
      </c>
      <c r="T860" s="4" t="s">
        <v>2550</v>
      </c>
      <c r="U860" s="210"/>
      <c r="V860" s="210"/>
      <c r="W860" s="4" t="s">
        <v>129</v>
      </c>
      <c r="X860" s="4">
        <f t="shared" si="13"/>
        <v>13</v>
      </c>
      <c r="Y860" s="210"/>
      <c r="Z860" s="210"/>
      <c r="AA860" s="210"/>
      <c r="AB860" s="210"/>
      <c r="AC860" s="210">
        <v>0</v>
      </c>
      <c r="AD860" s="210"/>
      <c r="AE860" s="210"/>
    </row>
    <row r="861" spans="1:31" x14ac:dyDescent="0.2">
      <c r="A861" s="209"/>
      <c r="B861" s="4" t="s">
        <v>34</v>
      </c>
      <c r="C861" s="4">
        <v>856</v>
      </c>
      <c r="D861" s="210"/>
      <c r="E861" s="210"/>
      <c r="F861" s="210"/>
      <c r="G861" s="210"/>
      <c r="H861" s="210"/>
      <c r="I861" s="210"/>
      <c r="J861" s="4">
        <v>40056</v>
      </c>
      <c r="K861" s="210"/>
      <c r="L861" s="210">
        <v>54</v>
      </c>
      <c r="M861" s="4">
        <v>7</v>
      </c>
      <c r="N861" s="4" t="str">
        <f>_xlfn.CONCAT("DBX",((L861-1)*2),".7")</f>
        <v>DBX106.7</v>
      </c>
      <c r="O861" s="210" t="s">
        <v>782</v>
      </c>
      <c r="P861" s="210"/>
      <c r="Q861" s="210"/>
      <c r="R861" s="210"/>
      <c r="S861" s="210"/>
      <c r="T861" s="210"/>
      <c r="U861" s="210"/>
      <c r="V861" s="210"/>
      <c r="W861" s="210"/>
      <c r="X861" s="4" t="e">
        <f t="shared" si="13"/>
        <v>#N/A</v>
      </c>
      <c r="Y861" s="210"/>
      <c r="Z861" s="210"/>
      <c r="AA861" s="210"/>
      <c r="AB861" s="210"/>
      <c r="AC861" s="210"/>
      <c r="AD861" s="210"/>
      <c r="AE861" s="210"/>
    </row>
    <row r="862" spans="1:31" x14ac:dyDescent="0.2">
      <c r="A862" s="209"/>
      <c r="B862" s="4" t="s">
        <v>34</v>
      </c>
      <c r="C862" s="4">
        <v>857</v>
      </c>
      <c r="D862" s="210"/>
      <c r="E862" s="210"/>
      <c r="F862" s="210"/>
      <c r="G862" s="210"/>
      <c r="H862" s="210"/>
      <c r="I862" s="210"/>
      <c r="J862" s="4">
        <v>40057</v>
      </c>
      <c r="K862" s="210"/>
      <c r="L862" s="210">
        <v>54</v>
      </c>
      <c r="M862" s="4">
        <v>8</v>
      </c>
      <c r="N862" s="4" t="str">
        <f>_xlfn.CONCAT("DBX",((L862-1)*2)+1,".0")</f>
        <v>DBX107.0</v>
      </c>
      <c r="O862" s="210" t="s">
        <v>782</v>
      </c>
      <c r="P862" s="210"/>
      <c r="Q862" s="210"/>
      <c r="R862" s="210"/>
      <c r="S862" s="210"/>
      <c r="T862" s="210"/>
      <c r="U862" s="210"/>
      <c r="V862" s="210"/>
      <c r="W862" s="210"/>
      <c r="X862" s="4" t="e">
        <f t="shared" si="13"/>
        <v>#N/A</v>
      </c>
      <c r="Y862" s="210"/>
      <c r="Z862" s="210"/>
      <c r="AA862" s="210"/>
      <c r="AB862" s="210"/>
      <c r="AC862" s="210"/>
      <c r="AD862" s="210"/>
      <c r="AE862" s="210"/>
    </row>
    <row r="863" spans="1:31" x14ac:dyDescent="0.2">
      <c r="A863" s="209"/>
      <c r="B863" s="4" t="s">
        <v>3170</v>
      </c>
      <c r="C863" s="4">
        <v>858</v>
      </c>
      <c r="D863" s="210" t="s">
        <v>1949</v>
      </c>
      <c r="E863" s="210" t="s">
        <v>1945</v>
      </c>
      <c r="F863" s="210" t="s">
        <v>1946</v>
      </c>
      <c r="G863" s="210" t="s">
        <v>40</v>
      </c>
      <c r="H863" s="210" t="s">
        <v>41</v>
      </c>
      <c r="I863" s="210" t="s">
        <v>40</v>
      </c>
      <c r="J863" s="4">
        <v>40058</v>
      </c>
      <c r="K863" s="210" t="s">
        <v>11</v>
      </c>
      <c r="L863" s="210">
        <v>54</v>
      </c>
      <c r="M863" s="4">
        <v>9</v>
      </c>
      <c r="N863" s="4" t="str">
        <f>_xlfn.CONCAT("DBX",((L863-1)*2)+1,".1")</f>
        <v>DBX107.1</v>
      </c>
      <c r="O863" s="210" t="s">
        <v>782</v>
      </c>
      <c r="P863" s="210" t="s">
        <v>11</v>
      </c>
      <c r="Q863" s="210" t="s">
        <v>33</v>
      </c>
      <c r="R863" s="210"/>
      <c r="S863" s="210">
        <v>3923</v>
      </c>
      <c r="T863" s="4" t="s">
        <v>2550</v>
      </c>
      <c r="U863" s="210"/>
      <c r="V863" s="210" t="s">
        <v>3168</v>
      </c>
      <c r="W863" s="210" t="s">
        <v>129</v>
      </c>
      <c r="X863" s="4">
        <f t="shared" si="13"/>
        <v>13</v>
      </c>
      <c r="Y863" s="210"/>
      <c r="Z863" s="210"/>
      <c r="AA863" s="210"/>
      <c r="AB863" s="210"/>
      <c r="AC863" s="210">
        <v>0</v>
      </c>
      <c r="AD863" s="210"/>
      <c r="AE863" s="210"/>
    </row>
    <row r="864" spans="1:31" x14ac:dyDescent="0.2">
      <c r="A864" s="209"/>
      <c r="B864" s="4" t="s">
        <v>104</v>
      </c>
      <c r="C864" s="4">
        <v>859</v>
      </c>
      <c r="D864" s="210" t="s">
        <v>1950</v>
      </c>
      <c r="E864" s="210" t="s">
        <v>1947</v>
      </c>
      <c r="F864" s="210" t="s">
        <v>1948</v>
      </c>
      <c r="G864" s="210" t="s">
        <v>40</v>
      </c>
      <c r="H864" s="210" t="s">
        <v>41</v>
      </c>
      <c r="I864" s="210" t="s">
        <v>40</v>
      </c>
      <c r="J864" s="4">
        <v>40059</v>
      </c>
      <c r="K864" s="210" t="s">
        <v>11</v>
      </c>
      <c r="L864" s="210">
        <v>54</v>
      </c>
      <c r="M864" s="4">
        <v>10</v>
      </c>
      <c r="N864" s="4" t="str">
        <f>_xlfn.CONCAT("DBX",((L864-1)*2)+1,".2")</f>
        <v>DBX107.2</v>
      </c>
      <c r="O864" s="210" t="s">
        <v>782</v>
      </c>
      <c r="P864" s="210" t="s">
        <v>11</v>
      </c>
      <c r="Q864" s="210" t="s">
        <v>33</v>
      </c>
      <c r="R864" s="210"/>
      <c r="S864" s="210">
        <v>3923</v>
      </c>
      <c r="T864" s="4" t="s">
        <v>2550</v>
      </c>
      <c r="U864" s="210"/>
      <c r="V864" s="210"/>
      <c r="W864" s="210" t="s">
        <v>129</v>
      </c>
      <c r="X864" s="4">
        <f t="shared" si="13"/>
        <v>13</v>
      </c>
      <c r="Y864" s="210"/>
      <c r="Z864" s="210"/>
      <c r="AA864" s="210"/>
      <c r="AB864" s="210"/>
      <c r="AC864" s="210">
        <v>0</v>
      </c>
      <c r="AD864" s="210"/>
      <c r="AE864" s="210"/>
    </row>
    <row r="865" spans="1:31" x14ac:dyDescent="0.2">
      <c r="A865" s="209"/>
      <c r="B865" s="4" t="s">
        <v>2706</v>
      </c>
      <c r="C865" s="4">
        <v>860</v>
      </c>
      <c r="D865" s="210" t="s">
        <v>2210</v>
      </c>
      <c r="E865" s="210" t="s">
        <v>2209</v>
      </c>
      <c r="F865" s="210" t="s">
        <v>2707</v>
      </c>
      <c r="G865" s="210" t="s">
        <v>40</v>
      </c>
      <c r="H865" s="210" t="s">
        <v>41</v>
      </c>
      <c r="I865" s="210" t="s">
        <v>40</v>
      </c>
      <c r="J865" s="4">
        <v>40060</v>
      </c>
      <c r="K865" s="210" t="s">
        <v>11</v>
      </c>
      <c r="L865" s="210">
        <v>54</v>
      </c>
      <c r="M865" s="4">
        <v>11</v>
      </c>
      <c r="N865" s="4" t="str">
        <f>_xlfn.CONCAT("DBX",((L865-1)*2)+1,".3")</f>
        <v>DBX107.3</v>
      </c>
      <c r="O865" s="210" t="s">
        <v>782</v>
      </c>
      <c r="P865" s="210" t="s">
        <v>11</v>
      </c>
      <c r="Q865" s="210" t="s">
        <v>33</v>
      </c>
      <c r="R865" s="210"/>
      <c r="S865" s="210">
        <v>3923</v>
      </c>
      <c r="T865" s="4" t="s">
        <v>2550</v>
      </c>
      <c r="U865" s="210"/>
      <c r="V865" s="210"/>
      <c r="W865" s="210" t="s">
        <v>129</v>
      </c>
      <c r="X865" s="4">
        <f t="shared" si="13"/>
        <v>13</v>
      </c>
      <c r="Y865" s="210"/>
      <c r="Z865" s="210"/>
      <c r="AA865" s="210"/>
      <c r="AB865" s="210"/>
      <c r="AC865" s="210">
        <v>0</v>
      </c>
      <c r="AD865" s="210"/>
      <c r="AE865" s="210"/>
    </row>
    <row r="866" spans="1:31" s="207" customFormat="1" x14ac:dyDescent="0.2">
      <c r="A866" s="217"/>
      <c r="B866" s="205" t="s">
        <v>33</v>
      </c>
      <c r="C866" s="205">
        <v>861</v>
      </c>
      <c r="D866" s="218" t="s">
        <v>431</v>
      </c>
      <c r="E866" s="218" t="s">
        <v>432</v>
      </c>
      <c r="F866" s="205" t="s">
        <v>2314</v>
      </c>
      <c r="G866" s="218" t="s">
        <v>40</v>
      </c>
      <c r="H866" s="218" t="s">
        <v>41</v>
      </c>
      <c r="I866" s="218" t="s">
        <v>40</v>
      </c>
      <c r="J866" s="4">
        <v>40061</v>
      </c>
      <c r="K866" s="218" t="s">
        <v>11</v>
      </c>
      <c r="L866" s="218">
        <v>54</v>
      </c>
      <c r="M866" s="205">
        <v>12</v>
      </c>
      <c r="N866" s="4" t="str">
        <f>_xlfn.CONCAT("DBX",((L866-1)*2)+1,".4")</f>
        <v>DBX107.4</v>
      </c>
      <c r="O866" s="218" t="s">
        <v>782</v>
      </c>
      <c r="P866" s="218" t="s">
        <v>11</v>
      </c>
      <c r="Q866" s="218" t="s">
        <v>33</v>
      </c>
      <c r="R866" s="218"/>
      <c r="S866" s="218">
        <v>3923</v>
      </c>
      <c r="T866" s="205" t="s">
        <v>2550</v>
      </c>
      <c r="U866" s="218"/>
      <c r="V866" s="218"/>
      <c r="W866" s="218" t="s">
        <v>129</v>
      </c>
      <c r="X866" s="205">
        <f t="shared" si="13"/>
        <v>13</v>
      </c>
      <c r="Y866" s="218"/>
      <c r="Z866" s="218"/>
      <c r="AA866" s="218"/>
      <c r="AB866" s="218"/>
      <c r="AC866" s="210">
        <v>0</v>
      </c>
      <c r="AD866" s="218"/>
      <c r="AE866" s="218"/>
    </row>
    <row r="867" spans="1:31" x14ac:dyDescent="0.2">
      <c r="A867" s="209"/>
      <c r="B867" s="4" t="s">
        <v>33</v>
      </c>
      <c r="C867" s="4">
        <v>862</v>
      </c>
      <c r="D867" s="210" t="s">
        <v>2466</v>
      </c>
      <c r="E867" s="210" t="s">
        <v>2467</v>
      </c>
      <c r="F867" s="210" t="s">
        <v>2475</v>
      </c>
      <c r="G867" s="210" t="s">
        <v>40</v>
      </c>
      <c r="H867" s="210" t="s">
        <v>41</v>
      </c>
      <c r="I867" s="210" t="s">
        <v>40</v>
      </c>
      <c r="J867" s="4">
        <v>40062</v>
      </c>
      <c r="K867" s="210" t="s">
        <v>11</v>
      </c>
      <c r="L867" s="210">
        <v>54</v>
      </c>
      <c r="M867" s="4">
        <v>13</v>
      </c>
      <c r="N867" s="4" t="str">
        <f>_xlfn.CONCAT("DBX",((L867-1)*2)+1,".5")</f>
        <v>DBX107.5</v>
      </c>
      <c r="O867" s="210" t="s">
        <v>782</v>
      </c>
      <c r="P867" s="210" t="s">
        <v>11</v>
      </c>
      <c r="Q867" s="210" t="s">
        <v>33</v>
      </c>
      <c r="R867" s="210"/>
      <c r="S867" s="210">
        <v>3923</v>
      </c>
      <c r="T867" s="4" t="s">
        <v>2550</v>
      </c>
      <c r="U867" s="210"/>
      <c r="V867" s="210"/>
      <c r="W867" s="210" t="s">
        <v>129</v>
      </c>
      <c r="X867" s="4">
        <f t="shared" si="13"/>
        <v>13</v>
      </c>
      <c r="Y867" s="210"/>
      <c r="Z867" s="210"/>
      <c r="AA867" s="210"/>
      <c r="AB867" s="210"/>
      <c r="AC867" s="210">
        <v>0</v>
      </c>
      <c r="AD867" s="210"/>
      <c r="AE867" s="210"/>
    </row>
    <row r="868" spans="1:31" x14ac:dyDescent="0.2">
      <c r="A868" s="209"/>
      <c r="B868" s="4" t="s">
        <v>34</v>
      </c>
      <c r="C868" s="4">
        <v>863</v>
      </c>
      <c r="D868" s="210"/>
      <c r="E868" s="210"/>
      <c r="F868" s="210"/>
      <c r="G868" s="210"/>
      <c r="H868" s="210"/>
      <c r="I868" s="210"/>
      <c r="J868" s="4">
        <v>40063</v>
      </c>
      <c r="K868" s="210"/>
      <c r="L868" s="210">
        <v>54</v>
      </c>
      <c r="M868" s="4">
        <v>14</v>
      </c>
      <c r="N868" s="4" t="str">
        <f>_xlfn.CONCAT("DBX",((L868-1)*2)+1,".6")</f>
        <v>DBX107.6</v>
      </c>
      <c r="O868" s="210" t="s">
        <v>782</v>
      </c>
      <c r="P868" s="210"/>
      <c r="Q868" s="210"/>
      <c r="R868" s="210"/>
      <c r="S868" s="210"/>
      <c r="T868" s="210"/>
      <c r="U868" s="210"/>
      <c r="V868" s="210"/>
      <c r="W868" s="210"/>
      <c r="X868" s="4" t="e">
        <f t="shared" si="13"/>
        <v>#N/A</v>
      </c>
      <c r="Y868" s="210"/>
      <c r="Z868" s="210"/>
      <c r="AA868" s="210"/>
      <c r="AB868" s="210"/>
      <c r="AC868" s="210"/>
      <c r="AD868" s="210"/>
      <c r="AE868" s="210"/>
    </row>
    <row r="869" spans="1:31" x14ac:dyDescent="0.2">
      <c r="A869" s="209"/>
      <c r="B869" s="4" t="s">
        <v>34</v>
      </c>
      <c r="C869" s="4">
        <v>864</v>
      </c>
      <c r="D869" s="210"/>
      <c r="E869" s="210"/>
      <c r="F869" s="210"/>
      <c r="G869" s="210"/>
      <c r="H869" s="210"/>
      <c r="I869" s="210"/>
      <c r="J869" s="4">
        <v>40064</v>
      </c>
      <c r="K869" s="210"/>
      <c r="L869" s="210">
        <v>54</v>
      </c>
      <c r="M869" s="4">
        <v>15</v>
      </c>
      <c r="N869" s="4" t="str">
        <f>_xlfn.CONCAT("DBX",((L869-1)*2)+1,".7")</f>
        <v>DBX107.7</v>
      </c>
      <c r="O869" s="210" t="s">
        <v>782</v>
      </c>
      <c r="P869" s="210"/>
      <c r="Q869" s="210"/>
      <c r="R869" s="210"/>
      <c r="S869" s="210"/>
      <c r="T869" s="210"/>
      <c r="U869" s="210"/>
      <c r="V869" s="210"/>
      <c r="W869" s="210"/>
      <c r="X869" s="4" t="e">
        <f t="shared" si="13"/>
        <v>#N/A</v>
      </c>
      <c r="Y869" s="210"/>
      <c r="Z869" s="210"/>
      <c r="AA869" s="210"/>
      <c r="AB869" s="210"/>
      <c r="AC869" s="210"/>
      <c r="AD869" s="210"/>
      <c r="AE869" s="210"/>
    </row>
    <row r="870" spans="1:31" x14ac:dyDescent="0.2">
      <c r="A870" s="209"/>
      <c r="B870" s="4" t="s">
        <v>104</v>
      </c>
      <c r="C870" s="4">
        <v>865</v>
      </c>
      <c r="D870" s="210" t="s">
        <v>2008</v>
      </c>
      <c r="E870" s="210" t="s">
        <v>1951</v>
      </c>
      <c r="F870" s="210" t="s">
        <v>1952</v>
      </c>
      <c r="G870" s="210" t="s">
        <v>40</v>
      </c>
      <c r="H870" s="210" t="s">
        <v>41</v>
      </c>
      <c r="I870" s="210" t="s">
        <v>40</v>
      </c>
      <c r="J870" s="4">
        <v>40065</v>
      </c>
      <c r="K870" s="210" t="s">
        <v>11</v>
      </c>
      <c r="L870" s="210">
        <v>55</v>
      </c>
      <c r="M870" s="4">
        <f t="shared" ref="M870:M933" si="15">M854</f>
        <v>0</v>
      </c>
      <c r="N870" s="4" t="str">
        <f>_xlfn.CONCAT("DBX",((L870-1)*2),".0")</f>
        <v>DBX108.0</v>
      </c>
      <c r="O870" s="210" t="s">
        <v>782</v>
      </c>
      <c r="P870" s="210" t="s">
        <v>11</v>
      </c>
      <c r="Q870" s="210" t="s">
        <v>33</v>
      </c>
      <c r="R870" s="210"/>
      <c r="S870" s="210">
        <v>3923</v>
      </c>
      <c r="T870" s="4" t="s">
        <v>2550</v>
      </c>
      <c r="U870" s="210"/>
      <c r="V870" s="210"/>
      <c r="W870" s="210" t="s">
        <v>129</v>
      </c>
      <c r="X870" s="4">
        <f t="shared" ref="X870:X933" si="16">VLOOKUP(W870,$W$1609:$X$1639,2,FALSE)</f>
        <v>13</v>
      </c>
      <c r="Y870" s="210"/>
      <c r="Z870" s="210"/>
      <c r="AA870" s="210"/>
      <c r="AB870" s="210"/>
      <c r="AC870" s="210">
        <v>0</v>
      </c>
      <c r="AD870" s="210"/>
      <c r="AE870" s="210"/>
    </row>
    <row r="871" spans="1:31" x14ac:dyDescent="0.2">
      <c r="A871" s="209"/>
      <c r="B871" s="4" t="s">
        <v>104</v>
      </c>
      <c r="C871" s="4">
        <v>866</v>
      </c>
      <c r="D871" s="210" t="s">
        <v>2007</v>
      </c>
      <c r="E871" s="210" t="s">
        <v>1953</v>
      </c>
      <c r="F871" s="210" t="s">
        <v>1954</v>
      </c>
      <c r="G871" s="210" t="s">
        <v>40</v>
      </c>
      <c r="H871" s="210" t="s">
        <v>41</v>
      </c>
      <c r="I871" s="210" t="s">
        <v>40</v>
      </c>
      <c r="J871" s="4">
        <v>40066</v>
      </c>
      <c r="K871" s="210" t="s">
        <v>11</v>
      </c>
      <c r="L871" s="210">
        <v>55</v>
      </c>
      <c r="M871" s="4">
        <f t="shared" si="15"/>
        <v>1</v>
      </c>
      <c r="N871" s="4" t="str">
        <f>_xlfn.CONCAT("DBX",((L871-1)*2),".1")</f>
        <v>DBX108.1</v>
      </c>
      <c r="O871" s="210" t="s">
        <v>782</v>
      </c>
      <c r="P871" s="210" t="s">
        <v>11</v>
      </c>
      <c r="Q871" s="210" t="s">
        <v>33</v>
      </c>
      <c r="R871" s="210"/>
      <c r="S871" s="210">
        <v>3923</v>
      </c>
      <c r="T871" s="4" t="s">
        <v>2550</v>
      </c>
      <c r="U871" s="210"/>
      <c r="V871" s="210"/>
      <c r="W871" s="210" t="s">
        <v>129</v>
      </c>
      <c r="X871" s="4">
        <f t="shared" si="16"/>
        <v>13</v>
      </c>
      <c r="Y871" s="210"/>
      <c r="Z871" s="210"/>
      <c r="AA871" s="210"/>
      <c r="AB871" s="210"/>
      <c r="AC871" s="210">
        <v>0</v>
      </c>
      <c r="AD871" s="210"/>
      <c r="AE871" s="210"/>
    </row>
    <row r="872" spans="1:31" x14ac:dyDescent="0.2">
      <c r="A872" s="209"/>
      <c r="B872" s="4" t="s">
        <v>104</v>
      </c>
      <c r="C872" s="4">
        <v>867</v>
      </c>
      <c r="D872" s="210" t="s">
        <v>2229</v>
      </c>
      <c r="E872" s="210" t="s">
        <v>1955</v>
      </c>
      <c r="F872" s="210" t="s">
        <v>1956</v>
      </c>
      <c r="G872" s="210" t="s">
        <v>40</v>
      </c>
      <c r="H872" s="210" t="s">
        <v>41</v>
      </c>
      <c r="I872" s="210" t="s">
        <v>40</v>
      </c>
      <c r="J872" s="4">
        <v>40067</v>
      </c>
      <c r="K872" s="210" t="s">
        <v>11</v>
      </c>
      <c r="L872" s="210">
        <v>55</v>
      </c>
      <c r="M872" s="4">
        <f t="shared" si="15"/>
        <v>2</v>
      </c>
      <c r="N872" s="4" t="str">
        <f>_xlfn.CONCAT("DBX",((L872-1)*2),".2")</f>
        <v>DBX108.2</v>
      </c>
      <c r="O872" s="210" t="s">
        <v>782</v>
      </c>
      <c r="P872" s="210" t="s">
        <v>11</v>
      </c>
      <c r="Q872" s="210" t="s">
        <v>33</v>
      </c>
      <c r="R872" s="210"/>
      <c r="S872" s="210">
        <v>3923</v>
      </c>
      <c r="T872" s="4" t="s">
        <v>2550</v>
      </c>
      <c r="U872" s="210"/>
      <c r="V872" s="210"/>
      <c r="W872" s="210" t="s">
        <v>129</v>
      </c>
      <c r="X872" s="4">
        <f t="shared" si="16"/>
        <v>13</v>
      </c>
      <c r="Y872" s="210"/>
      <c r="Z872" s="210"/>
      <c r="AA872" s="210"/>
      <c r="AB872" s="210"/>
      <c r="AC872" s="210">
        <v>0</v>
      </c>
      <c r="AD872" s="210"/>
      <c r="AE872" s="210"/>
    </row>
    <row r="873" spans="1:31" x14ac:dyDescent="0.2">
      <c r="A873" s="209"/>
      <c r="B873" s="4" t="s">
        <v>104</v>
      </c>
      <c r="C873" s="4">
        <v>868</v>
      </c>
      <c r="D873" s="210" t="s">
        <v>2230</v>
      </c>
      <c r="E873" s="210" t="s">
        <v>1957</v>
      </c>
      <c r="F873" s="210" t="s">
        <v>1958</v>
      </c>
      <c r="G873" s="210" t="s">
        <v>40</v>
      </c>
      <c r="H873" s="210" t="s">
        <v>41</v>
      </c>
      <c r="I873" s="210" t="s">
        <v>40</v>
      </c>
      <c r="J873" s="4">
        <v>40068</v>
      </c>
      <c r="K873" s="210" t="s">
        <v>11</v>
      </c>
      <c r="L873" s="210">
        <v>55</v>
      </c>
      <c r="M873" s="4">
        <f t="shared" si="15"/>
        <v>3</v>
      </c>
      <c r="N873" s="4" t="str">
        <f>_xlfn.CONCAT("DBX",((L873-1)*2),".3")</f>
        <v>DBX108.3</v>
      </c>
      <c r="O873" s="210" t="s">
        <v>782</v>
      </c>
      <c r="P873" s="210" t="s">
        <v>11</v>
      </c>
      <c r="Q873" s="210" t="s">
        <v>33</v>
      </c>
      <c r="R873" s="210"/>
      <c r="S873" s="210">
        <v>3923</v>
      </c>
      <c r="T873" s="4" t="s">
        <v>2550</v>
      </c>
      <c r="U873" s="210"/>
      <c r="V873" s="210"/>
      <c r="W873" s="210" t="s">
        <v>129</v>
      </c>
      <c r="X873" s="4">
        <f t="shared" si="16"/>
        <v>13</v>
      </c>
      <c r="Y873" s="210"/>
      <c r="Z873" s="210"/>
      <c r="AA873" s="210"/>
      <c r="AB873" s="210"/>
      <c r="AC873" s="210">
        <v>0</v>
      </c>
      <c r="AD873" s="210"/>
      <c r="AE873" s="210"/>
    </row>
    <row r="874" spans="1:31" x14ac:dyDescent="0.2">
      <c r="A874" s="209"/>
      <c r="B874" s="4" t="s">
        <v>104</v>
      </c>
      <c r="C874" s="4">
        <v>869</v>
      </c>
      <c r="D874" s="210" t="s">
        <v>2231</v>
      </c>
      <c r="E874" s="210" t="s">
        <v>1959</v>
      </c>
      <c r="F874" s="210" t="s">
        <v>1960</v>
      </c>
      <c r="G874" s="210" t="s">
        <v>40</v>
      </c>
      <c r="H874" s="210" t="s">
        <v>41</v>
      </c>
      <c r="I874" s="210" t="s">
        <v>40</v>
      </c>
      <c r="J874" s="4">
        <v>40069</v>
      </c>
      <c r="K874" s="210" t="s">
        <v>11</v>
      </c>
      <c r="L874" s="210">
        <v>55</v>
      </c>
      <c r="M874" s="4">
        <f t="shared" si="15"/>
        <v>4</v>
      </c>
      <c r="N874" s="4" t="str">
        <f>_xlfn.CONCAT("DBX",((L874-1)*2),".4")</f>
        <v>DBX108.4</v>
      </c>
      <c r="O874" s="210" t="s">
        <v>782</v>
      </c>
      <c r="P874" s="210" t="s">
        <v>11</v>
      </c>
      <c r="Q874" s="210" t="s">
        <v>33</v>
      </c>
      <c r="R874" s="210"/>
      <c r="S874" s="210">
        <v>3923</v>
      </c>
      <c r="T874" s="4" t="s">
        <v>2550</v>
      </c>
      <c r="U874" s="210"/>
      <c r="V874" s="210"/>
      <c r="W874" s="210" t="s">
        <v>129</v>
      </c>
      <c r="X874" s="4">
        <f t="shared" si="16"/>
        <v>13</v>
      </c>
      <c r="Y874" s="210"/>
      <c r="Z874" s="210"/>
      <c r="AA874" s="210"/>
      <c r="AB874" s="210"/>
      <c r="AC874" s="210">
        <v>0</v>
      </c>
      <c r="AD874" s="210"/>
      <c r="AE874" s="210"/>
    </row>
    <row r="875" spans="1:31" x14ac:dyDescent="0.2">
      <c r="A875" s="209"/>
      <c r="B875" s="4" t="s">
        <v>104</v>
      </c>
      <c r="C875" s="4">
        <v>870</v>
      </c>
      <c r="D875" s="210" t="s">
        <v>2232</v>
      </c>
      <c r="E875" s="210" t="s">
        <v>1961</v>
      </c>
      <c r="F875" s="210" t="s">
        <v>1962</v>
      </c>
      <c r="G875" s="210" t="s">
        <v>40</v>
      </c>
      <c r="H875" s="210" t="s">
        <v>41</v>
      </c>
      <c r="I875" s="210" t="s">
        <v>40</v>
      </c>
      <c r="J875" s="4">
        <v>40070</v>
      </c>
      <c r="K875" s="210" t="s">
        <v>11</v>
      </c>
      <c r="L875" s="210">
        <v>55</v>
      </c>
      <c r="M875" s="4">
        <f t="shared" si="15"/>
        <v>5</v>
      </c>
      <c r="N875" s="4" t="str">
        <f>_xlfn.CONCAT("DBX",((L875-1)*2),".5")</f>
        <v>DBX108.5</v>
      </c>
      <c r="O875" s="210" t="s">
        <v>782</v>
      </c>
      <c r="P875" s="210" t="s">
        <v>11</v>
      </c>
      <c r="Q875" s="210" t="s">
        <v>33</v>
      </c>
      <c r="R875" s="210"/>
      <c r="S875" s="210">
        <v>3923</v>
      </c>
      <c r="T875" s="4" t="s">
        <v>2550</v>
      </c>
      <c r="U875" s="210"/>
      <c r="V875" s="210"/>
      <c r="W875" s="210" t="s">
        <v>129</v>
      </c>
      <c r="X875" s="4">
        <f t="shared" si="16"/>
        <v>13</v>
      </c>
      <c r="Y875" s="210"/>
      <c r="Z875" s="210"/>
      <c r="AA875" s="210"/>
      <c r="AB875" s="210"/>
      <c r="AC875" s="210">
        <v>0</v>
      </c>
      <c r="AD875" s="210"/>
      <c r="AE875" s="210"/>
    </row>
    <row r="876" spans="1:31" x14ac:dyDescent="0.2">
      <c r="A876" s="209"/>
      <c r="B876" s="4" t="s">
        <v>104</v>
      </c>
      <c r="C876" s="4">
        <v>871</v>
      </c>
      <c r="D876" s="210" t="s">
        <v>2233</v>
      </c>
      <c r="E876" s="210" t="s">
        <v>1963</v>
      </c>
      <c r="F876" s="210" t="s">
        <v>1964</v>
      </c>
      <c r="G876" s="210" t="s">
        <v>40</v>
      </c>
      <c r="H876" s="210" t="s">
        <v>41</v>
      </c>
      <c r="I876" s="210" t="s">
        <v>40</v>
      </c>
      <c r="J876" s="4">
        <v>40071</v>
      </c>
      <c r="K876" s="210" t="s">
        <v>11</v>
      </c>
      <c r="L876" s="210">
        <v>55</v>
      </c>
      <c r="M876" s="4">
        <f t="shared" si="15"/>
        <v>6</v>
      </c>
      <c r="N876" s="4" t="str">
        <f>_xlfn.CONCAT("DBX",((L876-1)*2),".6")</f>
        <v>DBX108.6</v>
      </c>
      <c r="O876" s="210" t="s">
        <v>782</v>
      </c>
      <c r="P876" s="210" t="s">
        <v>11</v>
      </c>
      <c r="Q876" s="210" t="s">
        <v>33</v>
      </c>
      <c r="R876" s="210"/>
      <c r="S876" s="210">
        <v>3923</v>
      </c>
      <c r="T876" s="4" t="s">
        <v>2550</v>
      </c>
      <c r="U876" s="210"/>
      <c r="V876" s="210"/>
      <c r="W876" s="210" t="s">
        <v>129</v>
      </c>
      <c r="X876" s="4">
        <f t="shared" si="16"/>
        <v>13</v>
      </c>
      <c r="Y876" s="210"/>
      <c r="Z876" s="210"/>
      <c r="AA876" s="210"/>
      <c r="AB876" s="210"/>
      <c r="AC876" s="210">
        <v>0</v>
      </c>
      <c r="AD876" s="210"/>
      <c r="AE876" s="210"/>
    </row>
    <row r="877" spans="1:31" x14ac:dyDescent="0.2">
      <c r="A877" s="209"/>
      <c r="B877" s="4" t="s">
        <v>34</v>
      </c>
      <c r="C877" s="4">
        <v>872</v>
      </c>
      <c r="D877" s="210"/>
      <c r="E877" s="210"/>
      <c r="F877" s="210"/>
      <c r="G877" s="210"/>
      <c r="H877" s="210"/>
      <c r="I877" s="210"/>
      <c r="J877" s="4">
        <v>40072</v>
      </c>
      <c r="K877" s="210"/>
      <c r="L877" s="210">
        <v>55</v>
      </c>
      <c r="M877" s="4">
        <f t="shared" si="15"/>
        <v>7</v>
      </c>
      <c r="N877" s="4" t="str">
        <f>_xlfn.CONCAT("DBX",((L877-1)*2),".7")</f>
        <v>DBX108.7</v>
      </c>
      <c r="O877" s="210" t="s">
        <v>782</v>
      </c>
      <c r="P877" s="210"/>
      <c r="Q877" s="210"/>
      <c r="R877" s="210"/>
      <c r="S877" s="210"/>
      <c r="T877" s="210"/>
      <c r="U877" s="210"/>
      <c r="V877" s="210"/>
      <c r="W877" s="210"/>
      <c r="X877" s="4" t="e">
        <f t="shared" si="16"/>
        <v>#N/A</v>
      </c>
      <c r="Y877" s="210"/>
      <c r="Z877" s="210"/>
      <c r="AA877" s="210"/>
      <c r="AB877" s="210"/>
      <c r="AC877" s="210"/>
      <c r="AD877" s="210"/>
      <c r="AE877" s="210"/>
    </row>
    <row r="878" spans="1:31" x14ac:dyDescent="0.2">
      <c r="A878" s="209"/>
      <c r="B878" s="4" t="s">
        <v>34</v>
      </c>
      <c r="C878" s="4">
        <v>873</v>
      </c>
      <c r="D878" s="210"/>
      <c r="E878" s="210"/>
      <c r="F878" s="210"/>
      <c r="G878" s="210"/>
      <c r="H878" s="210"/>
      <c r="I878" s="210"/>
      <c r="J878" s="4">
        <v>40073</v>
      </c>
      <c r="K878" s="210"/>
      <c r="L878" s="210">
        <v>55</v>
      </c>
      <c r="M878" s="4">
        <f t="shared" si="15"/>
        <v>8</v>
      </c>
      <c r="N878" s="4" t="str">
        <f>_xlfn.CONCAT("DBX",((L878-1)*2)+1,".0")</f>
        <v>DBX109.0</v>
      </c>
      <c r="O878" s="210" t="s">
        <v>782</v>
      </c>
      <c r="P878" s="210"/>
      <c r="Q878" s="210"/>
      <c r="R878" s="210"/>
      <c r="S878" s="210"/>
      <c r="T878" s="210"/>
      <c r="U878" s="210"/>
      <c r="V878" s="210"/>
      <c r="W878" s="210"/>
      <c r="X878" s="4" t="e">
        <f t="shared" si="16"/>
        <v>#N/A</v>
      </c>
      <c r="Y878" s="210"/>
      <c r="Z878" s="210"/>
      <c r="AA878" s="210"/>
      <c r="AB878" s="210"/>
      <c r="AC878" s="210"/>
      <c r="AD878" s="210"/>
      <c r="AE878" s="210"/>
    </row>
    <row r="879" spans="1:31" x14ac:dyDescent="0.2">
      <c r="A879" s="209"/>
      <c r="B879" s="4" t="s">
        <v>34</v>
      </c>
      <c r="C879" s="4">
        <v>874</v>
      </c>
      <c r="D879" s="210"/>
      <c r="E879" s="210"/>
      <c r="F879" s="210"/>
      <c r="G879" s="210"/>
      <c r="H879" s="210"/>
      <c r="I879" s="210"/>
      <c r="J879" s="4">
        <v>40074</v>
      </c>
      <c r="K879" s="210"/>
      <c r="L879" s="210">
        <v>55</v>
      </c>
      <c r="M879" s="4">
        <f t="shared" si="15"/>
        <v>9</v>
      </c>
      <c r="N879" s="4" t="str">
        <f>_xlfn.CONCAT("DBX",((L879-1)*2)+1,".1")</f>
        <v>DBX109.1</v>
      </c>
      <c r="O879" s="210" t="s">
        <v>782</v>
      </c>
      <c r="P879" s="210"/>
      <c r="Q879" s="210"/>
      <c r="R879" s="210"/>
      <c r="S879" s="210"/>
      <c r="T879" s="210"/>
      <c r="U879" s="210"/>
      <c r="V879" s="210"/>
      <c r="W879" s="210"/>
      <c r="X879" s="4" t="e">
        <f t="shared" si="16"/>
        <v>#N/A</v>
      </c>
      <c r="Y879" s="210"/>
      <c r="Z879" s="210"/>
      <c r="AA879" s="210"/>
      <c r="AB879" s="210"/>
      <c r="AC879" s="210"/>
      <c r="AD879" s="210"/>
      <c r="AE879" s="210"/>
    </row>
    <row r="880" spans="1:31" x14ac:dyDescent="0.2">
      <c r="A880" s="209"/>
      <c r="B880" s="4" t="s">
        <v>34</v>
      </c>
      <c r="C880" s="4">
        <v>875</v>
      </c>
      <c r="D880" s="210"/>
      <c r="E880" s="210"/>
      <c r="F880" s="210"/>
      <c r="G880" s="210"/>
      <c r="H880" s="210"/>
      <c r="I880" s="210"/>
      <c r="J880" s="4">
        <v>40075</v>
      </c>
      <c r="K880" s="210"/>
      <c r="L880" s="210">
        <v>55</v>
      </c>
      <c r="M880" s="4">
        <f t="shared" si="15"/>
        <v>10</v>
      </c>
      <c r="N880" s="4" t="str">
        <f>_xlfn.CONCAT("DBX",((L880-1)*2)+1,".2")</f>
        <v>DBX109.2</v>
      </c>
      <c r="O880" s="210" t="s">
        <v>782</v>
      </c>
      <c r="P880" s="210"/>
      <c r="Q880" s="210"/>
      <c r="R880" s="210"/>
      <c r="S880" s="210"/>
      <c r="T880" s="210"/>
      <c r="U880" s="210"/>
      <c r="V880" s="210"/>
      <c r="W880" s="210"/>
      <c r="X880" s="4" t="e">
        <f t="shared" si="16"/>
        <v>#N/A</v>
      </c>
      <c r="Y880" s="210"/>
      <c r="Z880" s="210"/>
      <c r="AA880" s="210"/>
      <c r="AB880" s="210"/>
      <c r="AC880" s="210"/>
      <c r="AD880" s="210"/>
      <c r="AE880" s="210"/>
    </row>
    <row r="881" spans="1:31" x14ac:dyDescent="0.2">
      <c r="A881" s="209"/>
      <c r="B881" s="4" t="s">
        <v>34</v>
      </c>
      <c r="C881" s="4">
        <v>876</v>
      </c>
      <c r="D881" s="210"/>
      <c r="E881" s="210"/>
      <c r="F881" s="210"/>
      <c r="G881" s="210"/>
      <c r="H881" s="210"/>
      <c r="I881" s="210"/>
      <c r="J881" s="4">
        <v>40076</v>
      </c>
      <c r="K881" s="210"/>
      <c r="L881" s="210">
        <v>55</v>
      </c>
      <c r="M881" s="4">
        <f t="shared" si="15"/>
        <v>11</v>
      </c>
      <c r="N881" s="4" t="str">
        <f>_xlfn.CONCAT("DBX",((L881-1)*2)+1,".3")</f>
        <v>DBX109.3</v>
      </c>
      <c r="O881" s="210" t="s">
        <v>782</v>
      </c>
      <c r="P881" s="210"/>
      <c r="Q881" s="210"/>
      <c r="R881" s="210"/>
      <c r="S881" s="210"/>
      <c r="T881" s="210"/>
      <c r="U881" s="210"/>
      <c r="V881" s="210"/>
      <c r="W881" s="210"/>
      <c r="X881" s="4" t="e">
        <f t="shared" si="16"/>
        <v>#N/A</v>
      </c>
      <c r="Y881" s="210"/>
      <c r="Z881" s="210"/>
      <c r="AA881" s="210"/>
      <c r="AB881" s="210"/>
      <c r="AC881" s="210"/>
      <c r="AD881" s="210"/>
      <c r="AE881" s="210"/>
    </row>
    <row r="882" spans="1:31" x14ac:dyDescent="0.2">
      <c r="A882" s="209"/>
      <c r="B882" s="4" t="s">
        <v>34</v>
      </c>
      <c r="C882" s="4">
        <v>877</v>
      </c>
      <c r="D882" s="210"/>
      <c r="E882" s="210"/>
      <c r="F882" s="210"/>
      <c r="G882" s="210"/>
      <c r="H882" s="210"/>
      <c r="I882" s="210"/>
      <c r="J882" s="4">
        <v>40077</v>
      </c>
      <c r="K882" s="210"/>
      <c r="L882" s="210">
        <v>55</v>
      </c>
      <c r="M882" s="4">
        <f t="shared" si="15"/>
        <v>12</v>
      </c>
      <c r="N882" s="4" t="str">
        <f>_xlfn.CONCAT("DBX",((L882-1)*2)+1,".4")</f>
        <v>DBX109.4</v>
      </c>
      <c r="O882" s="210" t="s">
        <v>782</v>
      </c>
      <c r="P882" s="210"/>
      <c r="Q882" s="210"/>
      <c r="R882" s="210"/>
      <c r="S882" s="210"/>
      <c r="T882" s="210"/>
      <c r="U882" s="210"/>
      <c r="V882" s="210"/>
      <c r="W882" s="210"/>
      <c r="X882" s="4" t="e">
        <f t="shared" si="16"/>
        <v>#N/A</v>
      </c>
      <c r="Y882" s="210"/>
      <c r="Z882" s="210"/>
      <c r="AA882" s="210"/>
      <c r="AB882" s="210"/>
      <c r="AC882" s="210"/>
      <c r="AD882" s="210"/>
      <c r="AE882" s="210"/>
    </row>
    <row r="883" spans="1:31" x14ac:dyDescent="0.2">
      <c r="A883" s="209"/>
      <c r="B883" s="4" t="s">
        <v>2706</v>
      </c>
      <c r="C883" s="4">
        <v>878</v>
      </c>
      <c r="D883" s="210" t="s">
        <v>2632</v>
      </c>
      <c r="E883" s="210" t="s">
        <v>2633</v>
      </c>
      <c r="F883" s="4" t="s">
        <v>2708</v>
      </c>
      <c r="G883" s="210" t="s">
        <v>72</v>
      </c>
      <c r="H883" s="210" t="s">
        <v>41</v>
      </c>
      <c r="I883" s="210" t="s">
        <v>84</v>
      </c>
      <c r="J883" s="4">
        <v>40078</v>
      </c>
      <c r="K883" s="210" t="s">
        <v>2634</v>
      </c>
      <c r="L883" s="210">
        <v>55</v>
      </c>
      <c r="M883" s="4">
        <f t="shared" si="15"/>
        <v>13</v>
      </c>
      <c r="N883" s="4" t="str">
        <f>_xlfn.CONCAT("DBX",((L883-1)*2)+1,".5")</f>
        <v>DBX109.5</v>
      </c>
      <c r="O883" s="210" t="s">
        <v>782</v>
      </c>
      <c r="P883" s="210" t="s">
        <v>2635</v>
      </c>
      <c r="Q883" s="210" t="s">
        <v>12</v>
      </c>
      <c r="R883" s="210"/>
      <c r="S883" s="210">
        <v>3923</v>
      </c>
      <c r="T883" s="4" t="s">
        <v>2550</v>
      </c>
      <c r="U883" s="210"/>
      <c r="V883" s="210"/>
      <c r="W883" s="210" t="s">
        <v>125</v>
      </c>
      <c r="X883" s="4">
        <f t="shared" si="16"/>
        <v>9</v>
      </c>
      <c r="Y883" s="210"/>
      <c r="Z883" s="210"/>
      <c r="AA883" s="210"/>
      <c r="AB883" s="210"/>
      <c r="AC883" s="210">
        <v>1</v>
      </c>
      <c r="AD883" s="210"/>
      <c r="AE883" s="210"/>
    </row>
    <row r="884" spans="1:31" x14ac:dyDescent="0.2">
      <c r="A884" s="209"/>
      <c r="B884" s="4" t="s">
        <v>2706</v>
      </c>
      <c r="C884" s="4">
        <v>879</v>
      </c>
      <c r="D884" s="210" t="s">
        <v>2636</v>
      </c>
      <c r="E884" s="210" t="s">
        <v>2637</v>
      </c>
      <c r="F884" s="4" t="s">
        <v>2709</v>
      </c>
      <c r="G884" s="210" t="s">
        <v>40</v>
      </c>
      <c r="H884" s="210" t="s">
        <v>41</v>
      </c>
      <c r="I884" s="210" t="s">
        <v>40</v>
      </c>
      <c r="J884" s="4">
        <v>40079</v>
      </c>
      <c r="K884" s="210" t="s">
        <v>2638</v>
      </c>
      <c r="L884" s="210">
        <v>55</v>
      </c>
      <c r="M884" s="4">
        <f t="shared" si="15"/>
        <v>14</v>
      </c>
      <c r="N884" s="4" t="str">
        <f>_xlfn.CONCAT("DBX",((L884-1)*2)+1,".6")</f>
        <v>DBX109.6</v>
      </c>
      <c r="O884" s="210" t="s">
        <v>782</v>
      </c>
      <c r="P884" s="210" t="s">
        <v>2639</v>
      </c>
      <c r="Q884" s="210" t="s">
        <v>12</v>
      </c>
      <c r="R884" s="210"/>
      <c r="S884" s="210">
        <v>3923</v>
      </c>
      <c r="T884" s="4" t="s">
        <v>2550</v>
      </c>
      <c r="U884" s="210"/>
      <c r="V884" s="210"/>
      <c r="W884" s="210" t="s">
        <v>125</v>
      </c>
      <c r="X884" s="4">
        <f t="shared" si="16"/>
        <v>9</v>
      </c>
      <c r="Y884" s="210"/>
      <c r="Z884" s="210"/>
      <c r="AA884" s="210"/>
      <c r="AB884" s="210"/>
      <c r="AC884" s="210">
        <v>1</v>
      </c>
      <c r="AD884" s="210"/>
      <c r="AE884" s="210"/>
    </row>
    <row r="885" spans="1:31" x14ac:dyDescent="0.2">
      <c r="A885" s="209"/>
      <c r="B885" s="4" t="s">
        <v>34</v>
      </c>
      <c r="C885" s="4">
        <v>880</v>
      </c>
      <c r="D885" s="210"/>
      <c r="E885" s="210"/>
      <c r="F885" s="210"/>
      <c r="G885" s="210"/>
      <c r="H885" s="210"/>
      <c r="I885" s="210"/>
      <c r="J885" s="4">
        <v>40080</v>
      </c>
      <c r="K885" s="210"/>
      <c r="L885" s="210">
        <v>55</v>
      </c>
      <c r="M885" s="4">
        <f t="shared" si="15"/>
        <v>15</v>
      </c>
      <c r="N885" s="4" t="str">
        <f>_xlfn.CONCAT("DBX",((L885-1)*2)+1,".7")</f>
        <v>DBX109.7</v>
      </c>
      <c r="O885" s="210" t="s">
        <v>782</v>
      </c>
      <c r="P885" s="210"/>
      <c r="Q885" s="210"/>
      <c r="R885" s="210"/>
      <c r="S885" s="210"/>
      <c r="T885" s="210"/>
      <c r="U885" s="210"/>
      <c r="V885" s="210"/>
      <c r="W885" s="210"/>
      <c r="X885" s="4" t="e">
        <f t="shared" si="16"/>
        <v>#N/A</v>
      </c>
      <c r="Y885" s="210"/>
      <c r="Z885" s="210"/>
      <c r="AA885" s="210"/>
      <c r="AB885" s="210"/>
      <c r="AC885" s="210"/>
      <c r="AD885" s="210"/>
      <c r="AE885" s="210"/>
    </row>
    <row r="886" spans="1:31" x14ac:dyDescent="0.2">
      <c r="A886" s="209"/>
      <c r="B886" s="4" t="s">
        <v>33</v>
      </c>
      <c r="C886" s="4">
        <v>881</v>
      </c>
      <c r="D886" s="210" t="s">
        <v>451</v>
      </c>
      <c r="E886" s="210" t="s">
        <v>452</v>
      </c>
      <c r="F886" s="4" t="s">
        <v>2366</v>
      </c>
      <c r="G886" s="210" t="s">
        <v>40</v>
      </c>
      <c r="H886" s="210" t="s">
        <v>41</v>
      </c>
      <c r="I886" s="210" t="s">
        <v>40</v>
      </c>
      <c r="J886" s="4">
        <v>40081</v>
      </c>
      <c r="K886" s="210" t="s">
        <v>1620</v>
      </c>
      <c r="L886" s="210">
        <v>56</v>
      </c>
      <c r="M886" s="4">
        <f t="shared" si="15"/>
        <v>0</v>
      </c>
      <c r="N886" s="4" t="str">
        <f>_xlfn.CONCAT("DBX",((L886-1)*2),".0")</f>
        <v>DBX110.0</v>
      </c>
      <c r="O886" s="210" t="s">
        <v>782</v>
      </c>
      <c r="P886" s="210" t="s">
        <v>1657</v>
      </c>
      <c r="Q886" s="210" t="s">
        <v>12</v>
      </c>
      <c r="R886" s="210"/>
      <c r="S886" s="210">
        <v>3923</v>
      </c>
      <c r="T886" s="4" t="s">
        <v>2550</v>
      </c>
      <c r="U886" s="210"/>
      <c r="V886" s="210"/>
      <c r="W886" s="210" t="s">
        <v>125</v>
      </c>
      <c r="X886" s="4">
        <f t="shared" si="16"/>
        <v>9</v>
      </c>
      <c r="Y886" s="210"/>
      <c r="Z886" s="210"/>
      <c r="AA886" s="210"/>
      <c r="AB886" s="210"/>
      <c r="AC886" s="210">
        <v>1</v>
      </c>
      <c r="AD886" s="210"/>
      <c r="AE886" s="210"/>
    </row>
    <row r="887" spans="1:31" x14ac:dyDescent="0.2">
      <c r="A887" s="209"/>
      <c r="B887" s="4" t="s">
        <v>33</v>
      </c>
      <c r="C887" s="4">
        <v>882</v>
      </c>
      <c r="D887" s="210" t="s">
        <v>464</v>
      </c>
      <c r="E887" s="210" t="s">
        <v>470</v>
      </c>
      <c r="F887" s="210" t="s">
        <v>2367</v>
      </c>
      <c r="G887" s="210" t="s">
        <v>40</v>
      </c>
      <c r="H887" s="210" t="s">
        <v>41</v>
      </c>
      <c r="I887" s="210" t="s">
        <v>40</v>
      </c>
      <c r="J887" s="4">
        <v>40082</v>
      </c>
      <c r="K887" s="210" t="s">
        <v>1621</v>
      </c>
      <c r="L887" s="210">
        <v>56</v>
      </c>
      <c r="M887" s="4">
        <f t="shared" si="15"/>
        <v>1</v>
      </c>
      <c r="N887" s="4" t="str">
        <f>_xlfn.CONCAT("DBX",((L887-1)*2),".1")</f>
        <v>DBX110.1</v>
      </c>
      <c r="O887" s="210" t="s">
        <v>782</v>
      </c>
      <c r="P887" s="210" t="s">
        <v>1658</v>
      </c>
      <c r="Q887" s="210" t="s">
        <v>12</v>
      </c>
      <c r="R887" s="210"/>
      <c r="S887" s="210">
        <v>3923</v>
      </c>
      <c r="T887" s="4" t="s">
        <v>2550</v>
      </c>
      <c r="U887" s="210"/>
      <c r="V887" s="210"/>
      <c r="W887" s="210" t="s">
        <v>125</v>
      </c>
      <c r="X887" s="4">
        <f t="shared" si="16"/>
        <v>9</v>
      </c>
      <c r="Y887" s="210"/>
      <c r="Z887" s="210"/>
      <c r="AA887" s="210"/>
      <c r="AB887" s="210"/>
      <c r="AC887" s="210">
        <v>1</v>
      </c>
      <c r="AD887" s="210"/>
      <c r="AE887" s="210"/>
    </row>
    <row r="888" spans="1:31" x14ac:dyDescent="0.2">
      <c r="A888" s="209"/>
      <c r="B888" s="4" t="s">
        <v>34</v>
      </c>
      <c r="C888" s="4">
        <v>883</v>
      </c>
      <c r="D888" s="210"/>
      <c r="E888" s="210"/>
      <c r="F888" s="210"/>
      <c r="G888" s="210"/>
      <c r="H888" s="210"/>
      <c r="I888" s="210"/>
      <c r="J888" s="4">
        <v>40083</v>
      </c>
      <c r="K888" s="210"/>
      <c r="L888" s="210">
        <v>56</v>
      </c>
      <c r="M888" s="4">
        <f t="shared" si="15"/>
        <v>2</v>
      </c>
      <c r="N888" s="4" t="str">
        <f>_xlfn.CONCAT("DBX",((L888-1)*2),".2")</f>
        <v>DBX110.2</v>
      </c>
      <c r="O888" s="210" t="s">
        <v>782</v>
      </c>
      <c r="P888" s="210"/>
      <c r="Q888" s="210"/>
      <c r="R888" s="210"/>
      <c r="S888" s="210"/>
      <c r="T888" s="210"/>
      <c r="U888" s="210"/>
      <c r="V888" s="210"/>
      <c r="W888" s="210"/>
      <c r="X888" s="4" t="e">
        <f t="shared" si="16"/>
        <v>#N/A</v>
      </c>
      <c r="Y888" s="210"/>
      <c r="Z888" s="210"/>
      <c r="AA888" s="210"/>
      <c r="AB888" s="210"/>
      <c r="AC888" s="210"/>
      <c r="AD888" s="210"/>
      <c r="AE888" s="210"/>
    </row>
    <row r="889" spans="1:31" x14ac:dyDescent="0.2">
      <c r="A889" s="209"/>
      <c r="B889" s="4" t="s">
        <v>34</v>
      </c>
      <c r="C889" s="4">
        <v>884</v>
      </c>
      <c r="D889" s="210"/>
      <c r="E889" s="210"/>
      <c r="F889" s="210"/>
      <c r="G889" s="210"/>
      <c r="H889" s="210"/>
      <c r="I889" s="210"/>
      <c r="J889" s="4">
        <v>40084</v>
      </c>
      <c r="K889" s="210"/>
      <c r="L889" s="210">
        <v>56</v>
      </c>
      <c r="M889" s="4">
        <f t="shared" si="15"/>
        <v>3</v>
      </c>
      <c r="N889" s="4" t="str">
        <f>_xlfn.CONCAT("DBX",((L889-1)*2),".3")</f>
        <v>DBX110.3</v>
      </c>
      <c r="O889" s="210" t="s">
        <v>782</v>
      </c>
      <c r="P889" s="210"/>
      <c r="Q889" s="210"/>
      <c r="R889" s="210"/>
      <c r="S889" s="210"/>
      <c r="T889" s="210"/>
      <c r="U889" s="210"/>
      <c r="V889" s="210"/>
      <c r="W889" s="210"/>
      <c r="X889" s="4" t="e">
        <f t="shared" si="16"/>
        <v>#N/A</v>
      </c>
      <c r="Y889" s="210"/>
      <c r="Z889" s="210"/>
      <c r="AA889" s="210"/>
      <c r="AB889" s="210"/>
      <c r="AC889" s="210"/>
      <c r="AD889" s="210"/>
      <c r="AE889" s="210"/>
    </row>
    <row r="890" spans="1:31" x14ac:dyDescent="0.2">
      <c r="A890" s="209"/>
      <c r="B890" s="4" t="s">
        <v>33</v>
      </c>
      <c r="C890" s="4">
        <v>885</v>
      </c>
      <c r="D890" s="210" t="s">
        <v>453</v>
      </c>
      <c r="E890" s="210" t="s">
        <v>779</v>
      </c>
      <c r="F890" s="210" t="s">
        <v>2368</v>
      </c>
      <c r="G890" s="210" t="s">
        <v>40</v>
      </c>
      <c r="H890" s="210" t="s">
        <v>41</v>
      </c>
      <c r="I890" s="210" t="s">
        <v>40</v>
      </c>
      <c r="J890" s="4">
        <v>40085</v>
      </c>
      <c r="K890" s="210" t="s">
        <v>1622</v>
      </c>
      <c r="L890" s="210">
        <v>56</v>
      </c>
      <c r="M890" s="4">
        <f t="shared" si="15"/>
        <v>4</v>
      </c>
      <c r="N890" s="4" t="str">
        <f>_xlfn.CONCAT("DBX",((L890-1)*2),".4")</f>
        <v>DBX110.4</v>
      </c>
      <c r="O890" s="210" t="s">
        <v>782</v>
      </c>
      <c r="P890" s="210" t="s">
        <v>1659</v>
      </c>
      <c r="Q890" s="210" t="s">
        <v>12</v>
      </c>
      <c r="R890" s="210"/>
      <c r="S890" s="210">
        <v>3923</v>
      </c>
      <c r="T890" s="4" t="s">
        <v>2550</v>
      </c>
      <c r="U890" s="210"/>
      <c r="V890" s="210"/>
      <c r="W890" s="210" t="s">
        <v>125</v>
      </c>
      <c r="X890" s="4">
        <f t="shared" si="16"/>
        <v>9</v>
      </c>
      <c r="Y890" s="210"/>
      <c r="Z890" s="210"/>
      <c r="AA890" s="210"/>
      <c r="AB890" s="210"/>
      <c r="AC890" s="210">
        <v>1</v>
      </c>
      <c r="AD890" s="210"/>
      <c r="AE890" s="210"/>
    </row>
    <row r="891" spans="1:31" ht="22.5" x14ac:dyDescent="0.2">
      <c r="A891" s="209"/>
      <c r="B891" s="4" t="s">
        <v>33</v>
      </c>
      <c r="C891" s="4">
        <v>886</v>
      </c>
      <c r="D891" s="210" t="s">
        <v>778</v>
      </c>
      <c r="E891" s="212" t="s">
        <v>780</v>
      </c>
      <c r="F891" s="210" t="s">
        <v>2369</v>
      </c>
      <c r="G891" s="210" t="s">
        <v>40</v>
      </c>
      <c r="H891" s="210" t="s">
        <v>41</v>
      </c>
      <c r="I891" s="210" t="s">
        <v>40</v>
      </c>
      <c r="J891" s="4">
        <v>40086</v>
      </c>
      <c r="K891" s="210" t="s">
        <v>1623</v>
      </c>
      <c r="L891" s="210">
        <v>56</v>
      </c>
      <c r="M891" s="4">
        <f t="shared" si="15"/>
        <v>5</v>
      </c>
      <c r="N891" s="4" t="str">
        <f>_xlfn.CONCAT("DBX",((L891-1)*2),".5")</f>
        <v>DBX110.5</v>
      </c>
      <c r="O891" s="210" t="s">
        <v>782</v>
      </c>
      <c r="P891" s="210" t="s">
        <v>1660</v>
      </c>
      <c r="Q891" s="210" t="s">
        <v>12</v>
      </c>
      <c r="R891" s="210"/>
      <c r="S891" s="210">
        <v>3923</v>
      </c>
      <c r="T891" s="4" t="s">
        <v>2550</v>
      </c>
      <c r="U891" s="210"/>
      <c r="V891" s="210"/>
      <c r="W891" s="210" t="s">
        <v>125</v>
      </c>
      <c r="X891" s="4">
        <f t="shared" si="16"/>
        <v>9</v>
      </c>
      <c r="Y891" s="210"/>
      <c r="Z891" s="210"/>
      <c r="AA891" s="210"/>
      <c r="AB891" s="210"/>
      <c r="AC891" s="210">
        <v>1</v>
      </c>
      <c r="AD891" s="210"/>
      <c r="AE891" s="210"/>
    </row>
    <row r="892" spans="1:31" x14ac:dyDescent="0.2">
      <c r="A892" s="209"/>
      <c r="B892" s="4" t="s">
        <v>34</v>
      </c>
      <c r="C892" s="4">
        <v>887</v>
      </c>
      <c r="D892" s="210"/>
      <c r="E892" s="212"/>
      <c r="F892" s="210"/>
      <c r="G892" s="210"/>
      <c r="H892" s="210"/>
      <c r="I892" s="210"/>
      <c r="J892" s="4">
        <v>40087</v>
      </c>
      <c r="K892" s="210"/>
      <c r="L892" s="210">
        <v>56</v>
      </c>
      <c r="M892" s="4">
        <f t="shared" si="15"/>
        <v>6</v>
      </c>
      <c r="N892" s="4" t="str">
        <f>_xlfn.CONCAT("DBX",((L892-1)*2),".6")</f>
        <v>DBX110.6</v>
      </c>
      <c r="O892" s="210" t="s">
        <v>782</v>
      </c>
      <c r="P892" s="210"/>
      <c r="Q892" s="210"/>
      <c r="R892" s="210"/>
      <c r="S892" s="210"/>
      <c r="T892" s="210"/>
      <c r="U892" s="210"/>
      <c r="V892" s="210"/>
      <c r="W892" s="210"/>
      <c r="X892" s="4" t="e">
        <f t="shared" si="16"/>
        <v>#N/A</v>
      </c>
      <c r="Y892" s="210"/>
      <c r="Z892" s="210"/>
      <c r="AA892" s="210"/>
      <c r="AB892" s="210"/>
      <c r="AC892" s="210"/>
      <c r="AD892" s="210"/>
      <c r="AE892" s="210"/>
    </row>
    <row r="893" spans="1:31" x14ac:dyDescent="0.2">
      <c r="A893" s="209"/>
      <c r="B893" s="4" t="s">
        <v>104</v>
      </c>
      <c r="C893" s="4">
        <v>888</v>
      </c>
      <c r="D893" s="210" t="s">
        <v>471</v>
      </c>
      <c r="E893" s="210" t="s">
        <v>472</v>
      </c>
      <c r="F893" s="210" t="s">
        <v>473</v>
      </c>
      <c r="G893" s="210" t="s">
        <v>72</v>
      </c>
      <c r="H893" s="210" t="s">
        <v>41</v>
      </c>
      <c r="I893" s="210" t="s">
        <v>84</v>
      </c>
      <c r="J893" s="4">
        <v>40088</v>
      </c>
      <c r="K893" s="210" t="s">
        <v>1624</v>
      </c>
      <c r="L893" s="210">
        <v>56</v>
      </c>
      <c r="M893" s="4">
        <f t="shared" si="15"/>
        <v>7</v>
      </c>
      <c r="N893" s="4" t="str">
        <f>_xlfn.CONCAT("DBX",((L893-1)*2),".7")</f>
        <v>DBX110.7</v>
      </c>
      <c r="O893" s="210" t="s">
        <v>782</v>
      </c>
      <c r="P893" s="210" t="s">
        <v>1661</v>
      </c>
      <c r="Q893" s="210" t="s">
        <v>12</v>
      </c>
      <c r="R893" s="210"/>
      <c r="S893" s="210">
        <v>3923</v>
      </c>
      <c r="T893" s="4" t="s">
        <v>2550</v>
      </c>
      <c r="U893" s="210"/>
      <c r="V893" s="210"/>
      <c r="W893" s="210" t="s">
        <v>125</v>
      </c>
      <c r="X893" s="4">
        <f t="shared" si="16"/>
        <v>9</v>
      </c>
      <c r="Y893" s="210"/>
      <c r="Z893" s="210"/>
      <c r="AA893" s="210"/>
      <c r="AB893" s="210"/>
      <c r="AC893" s="210">
        <v>1</v>
      </c>
      <c r="AD893" s="210"/>
      <c r="AE893" s="210"/>
    </row>
    <row r="894" spans="1:31" x14ac:dyDescent="0.2">
      <c r="A894" s="209"/>
      <c r="B894" s="4" t="s">
        <v>104</v>
      </c>
      <c r="C894" s="4">
        <v>889</v>
      </c>
      <c r="D894" s="210" t="s">
        <v>474</v>
      </c>
      <c r="E894" s="210" t="s">
        <v>475</v>
      </c>
      <c r="F894" s="210" t="s">
        <v>476</v>
      </c>
      <c r="G894" s="210" t="s">
        <v>72</v>
      </c>
      <c r="H894" s="210" t="s">
        <v>41</v>
      </c>
      <c r="I894" s="210" t="s">
        <v>84</v>
      </c>
      <c r="J894" s="4">
        <v>40089</v>
      </c>
      <c r="K894" s="210" t="s">
        <v>1625</v>
      </c>
      <c r="L894" s="210">
        <v>56</v>
      </c>
      <c r="M894" s="4">
        <f t="shared" si="15"/>
        <v>8</v>
      </c>
      <c r="N894" s="4" t="str">
        <f>_xlfn.CONCAT("DBX",((L894-1)*2)+1,".0")</f>
        <v>DBX111.0</v>
      </c>
      <c r="O894" s="210" t="s">
        <v>782</v>
      </c>
      <c r="P894" s="210" t="s">
        <v>1662</v>
      </c>
      <c r="Q894" s="210" t="s">
        <v>12</v>
      </c>
      <c r="R894" s="210"/>
      <c r="S894" s="210">
        <v>3923</v>
      </c>
      <c r="T894" s="4" t="s">
        <v>2550</v>
      </c>
      <c r="U894" s="210"/>
      <c r="V894" s="210"/>
      <c r="W894" s="210" t="s">
        <v>125</v>
      </c>
      <c r="X894" s="4">
        <f t="shared" si="16"/>
        <v>9</v>
      </c>
      <c r="Y894" s="210"/>
      <c r="Z894" s="210"/>
      <c r="AA894" s="210"/>
      <c r="AB894" s="210"/>
      <c r="AC894" s="210">
        <v>1</v>
      </c>
      <c r="AD894" s="210"/>
      <c r="AE894" s="210"/>
    </row>
    <row r="895" spans="1:31" x14ac:dyDescent="0.2">
      <c r="A895" s="209"/>
      <c r="B895" s="4" t="s">
        <v>104</v>
      </c>
      <c r="C895" s="4">
        <v>890</v>
      </c>
      <c r="D895" s="210" t="s">
        <v>474</v>
      </c>
      <c r="E895" s="210" t="s">
        <v>475</v>
      </c>
      <c r="F895" s="210" t="s">
        <v>476</v>
      </c>
      <c r="G895" s="210" t="s">
        <v>72</v>
      </c>
      <c r="H895" s="210" t="s">
        <v>41</v>
      </c>
      <c r="I895" s="210" t="s">
        <v>84</v>
      </c>
      <c r="J895" s="4">
        <v>40090</v>
      </c>
      <c r="K895" s="210" t="s">
        <v>1626</v>
      </c>
      <c r="L895" s="210">
        <v>56</v>
      </c>
      <c r="M895" s="4">
        <f t="shared" si="15"/>
        <v>9</v>
      </c>
      <c r="N895" s="4" t="str">
        <f>_xlfn.CONCAT("DBX",((L895-1)*2)+1,".1")</f>
        <v>DBX111.1</v>
      </c>
      <c r="O895" s="210" t="s">
        <v>782</v>
      </c>
      <c r="P895" s="210" t="s">
        <v>1663</v>
      </c>
      <c r="Q895" s="210" t="s">
        <v>12</v>
      </c>
      <c r="R895" s="210"/>
      <c r="S895" s="210">
        <v>3923</v>
      </c>
      <c r="T895" s="4" t="s">
        <v>2550</v>
      </c>
      <c r="U895" s="210"/>
      <c r="V895" s="210"/>
      <c r="W895" s="210" t="s">
        <v>125</v>
      </c>
      <c r="X895" s="4">
        <f t="shared" si="16"/>
        <v>9</v>
      </c>
      <c r="Y895" s="210"/>
      <c r="Z895" s="210"/>
      <c r="AA895" s="210"/>
      <c r="AB895" s="210"/>
      <c r="AC895" s="210">
        <v>1</v>
      </c>
      <c r="AD895" s="210"/>
      <c r="AE895" s="210"/>
    </row>
    <row r="896" spans="1:31" x14ac:dyDescent="0.2">
      <c r="A896" s="209"/>
      <c r="B896" s="4" t="s">
        <v>104</v>
      </c>
      <c r="C896" s="4">
        <v>891</v>
      </c>
      <c r="D896" s="210" t="s">
        <v>474</v>
      </c>
      <c r="E896" s="210" t="s">
        <v>475</v>
      </c>
      <c r="F896" s="210" t="s">
        <v>476</v>
      </c>
      <c r="G896" s="210" t="s">
        <v>72</v>
      </c>
      <c r="H896" s="210" t="s">
        <v>41</v>
      </c>
      <c r="I896" s="210" t="s">
        <v>84</v>
      </c>
      <c r="J896" s="4">
        <v>40091</v>
      </c>
      <c r="K896" s="210" t="s">
        <v>1627</v>
      </c>
      <c r="L896" s="210">
        <v>56</v>
      </c>
      <c r="M896" s="4">
        <f t="shared" si="15"/>
        <v>10</v>
      </c>
      <c r="N896" s="4" t="str">
        <f>_xlfn.CONCAT("DBX",((L896-1)*2)+1,".2")</f>
        <v>DBX111.2</v>
      </c>
      <c r="O896" s="210" t="s">
        <v>782</v>
      </c>
      <c r="P896" s="210" t="s">
        <v>1664</v>
      </c>
      <c r="Q896" s="210" t="s">
        <v>12</v>
      </c>
      <c r="R896" s="210"/>
      <c r="S896" s="210">
        <v>3923</v>
      </c>
      <c r="T896" s="4" t="s">
        <v>2550</v>
      </c>
      <c r="U896" s="210"/>
      <c r="V896" s="210"/>
      <c r="W896" s="210" t="s">
        <v>125</v>
      </c>
      <c r="X896" s="4">
        <f t="shared" si="16"/>
        <v>9</v>
      </c>
      <c r="Y896" s="210"/>
      <c r="Z896" s="210"/>
      <c r="AA896" s="210"/>
      <c r="AB896" s="210"/>
      <c r="AC896" s="210">
        <v>1</v>
      </c>
      <c r="AD896" s="210"/>
      <c r="AE896" s="210"/>
    </row>
    <row r="897" spans="1:31" x14ac:dyDescent="0.2">
      <c r="A897" s="209"/>
      <c r="B897" s="4" t="s">
        <v>104</v>
      </c>
      <c r="C897" s="4">
        <v>892</v>
      </c>
      <c r="D897" s="210" t="s">
        <v>474</v>
      </c>
      <c r="E897" s="210" t="s">
        <v>475</v>
      </c>
      <c r="F897" s="210" t="s">
        <v>476</v>
      </c>
      <c r="G897" s="210" t="s">
        <v>72</v>
      </c>
      <c r="H897" s="210" t="s">
        <v>41</v>
      </c>
      <c r="I897" s="210" t="s">
        <v>84</v>
      </c>
      <c r="J897" s="4">
        <v>40092</v>
      </c>
      <c r="K897" s="210" t="s">
        <v>1628</v>
      </c>
      <c r="L897" s="210">
        <v>56</v>
      </c>
      <c r="M897" s="4">
        <f t="shared" si="15"/>
        <v>11</v>
      </c>
      <c r="N897" s="4" t="str">
        <f>_xlfn.CONCAT("DBX",((L897-1)*2)+1,".3")</f>
        <v>DBX111.3</v>
      </c>
      <c r="O897" s="210" t="s">
        <v>782</v>
      </c>
      <c r="P897" s="210" t="s">
        <v>1665</v>
      </c>
      <c r="Q897" s="210" t="s">
        <v>12</v>
      </c>
      <c r="R897" s="210"/>
      <c r="S897" s="210">
        <v>3923</v>
      </c>
      <c r="T897" s="4" t="s">
        <v>2550</v>
      </c>
      <c r="U897" s="210"/>
      <c r="V897" s="210"/>
      <c r="W897" s="210" t="s">
        <v>125</v>
      </c>
      <c r="X897" s="4">
        <f t="shared" si="16"/>
        <v>9</v>
      </c>
      <c r="Y897" s="210"/>
      <c r="Z897" s="210"/>
      <c r="AA897" s="210"/>
      <c r="AB897" s="210"/>
      <c r="AC897" s="210">
        <v>1</v>
      </c>
      <c r="AD897" s="210"/>
      <c r="AE897" s="210"/>
    </row>
    <row r="898" spans="1:31" x14ac:dyDescent="0.2">
      <c r="A898" s="209"/>
      <c r="B898" s="4" t="s">
        <v>104</v>
      </c>
      <c r="C898" s="4">
        <v>893</v>
      </c>
      <c r="D898" s="210" t="s">
        <v>474</v>
      </c>
      <c r="E898" s="210" t="s">
        <v>475</v>
      </c>
      <c r="F898" s="210" t="s">
        <v>476</v>
      </c>
      <c r="G898" s="210" t="s">
        <v>72</v>
      </c>
      <c r="H898" s="210" t="s">
        <v>41</v>
      </c>
      <c r="I898" s="210" t="s">
        <v>84</v>
      </c>
      <c r="J898" s="4">
        <v>40093</v>
      </c>
      <c r="K898" s="210" t="s">
        <v>1629</v>
      </c>
      <c r="L898" s="210">
        <v>56</v>
      </c>
      <c r="M898" s="4">
        <f t="shared" si="15"/>
        <v>12</v>
      </c>
      <c r="N898" s="4" t="str">
        <f>_xlfn.CONCAT("DBX",((L898-1)*2)+1,".4")</f>
        <v>DBX111.4</v>
      </c>
      <c r="O898" s="210" t="s">
        <v>782</v>
      </c>
      <c r="P898" s="210" t="s">
        <v>1666</v>
      </c>
      <c r="Q898" s="210" t="s">
        <v>12</v>
      </c>
      <c r="R898" s="210"/>
      <c r="S898" s="210">
        <v>3923</v>
      </c>
      <c r="T898" s="4" t="s">
        <v>2550</v>
      </c>
      <c r="U898" s="210"/>
      <c r="V898" s="210"/>
      <c r="W898" s="210" t="s">
        <v>125</v>
      </c>
      <c r="X898" s="4">
        <f t="shared" si="16"/>
        <v>9</v>
      </c>
      <c r="Y898" s="210"/>
      <c r="Z898" s="210"/>
      <c r="AA898" s="210"/>
      <c r="AB898" s="210"/>
      <c r="AC898" s="210">
        <v>1</v>
      </c>
      <c r="AD898" s="210"/>
      <c r="AE898" s="210"/>
    </row>
    <row r="899" spans="1:31" x14ac:dyDescent="0.2">
      <c r="A899" s="209"/>
      <c r="B899" s="4" t="s">
        <v>104</v>
      </c>
      <c r="C899" s="4">
        <v>894</v>
      </c>
      <c r="D899" s="210" t="s">
        <v>474</v>
      </c>
      <c r="E899" s="210" t="s">
        <v>475</v>
      </c>
      <c r="F899" s="210" t="s">
        <v>476</v>
      </c>
      <c r="G899" s="210" t="s">
        <v>72</v>
      </c>
      <c r="H899" s="210" t="s">
        <v>41</v>
      </c>
      <c r="I899" s="210" t="s">
        <v>84</v>
      </c>
      <c r="J899" s="4">
        <v>40094</v>
      </c>
      <c r="K899" s="210" t="s">
        <v>1630</v>
      </c>
      <c r="L899" s="210">
        <v>56</v>
      </c>
      <c r="M899" s="4">
        <f t="shared" si="15"/>
        <v>13</v>
      </c>
      <c r="N899" s="4" t="str">
        <f>_xlfn.CONCAT("DBX",((L899-1)*2)+1,".5")</f>
        <v>DBX111.5</v>
      </c>
      <c r="O899" s="210" t="s">
        <v>782</v>
      </c>
      <c r="P899" s="210" t="s">
        <v>1667</v>
      </c>
      <c r="Q899" s="210" t="s">
        <v>12</v>
      </c>
      <c r="R899" s="210"/>
      <c r="S899" s="210">
        <v>3923</v>
      </c>
      <c r="T899" s="4" t="s">
        <v>2550</v>
      </c>
      <c r="U899" s="210"/>
      <c r="V899" s="210"/>
      <c r="W899" s="210" t="s">
        <v>125</v>
      </c>
      <c r="X899" s="4">
        <f t="shared" si="16"/>
        <v>9</v>
      </c>
      <c r="Y899" s="210"/>
      <c r="Z899" s="210"/>
      <c r="AA899" s="210"/>
      <c r="AB899" s="210"/>
      <c r="AC899" s="210">
        <v>1</v>
      </c>
      <c r="AD899" s="210"/>
      <c r="AE899" s="210"/>
    </row>
    <row r="900" spans="1:31" x14ac:dyDescent="0.2">
      <c r="A900" s="209"/>
      <c r="B900" s="4" t="s">
        <v>104</v>
      </c>
      <c r="C900" s="4">
        <v>895</v>
      </c>
      <c r="D900" s="210" t="s">
        <v>474</v>
      </c>
      <c r="E900" s="210" t="s">
        <v>475</v>
      </c>
      <c r="F900" s="210" t="s">
        <v>476</v>
      </c>
      <c r="G900" s="210" t="s">
        <v>72</v>
      </c>
      <c r="H900" s="210" t="s">
        <v>41</v>
      </c>
      <c r="I900" s="210" t="s">
        <v>84</v>
      </c>
      <c r="J900" s="4">
        <v>40095</v>
      </c>
      <c r="K900" s="210" t="s">
        <v>1631</v>
      </c>
      <c r="L900" s="210">
        <v>56</v>
      </c>
      <c r="M900" s="4">
        <f t="shared" si="15"/>
        <v>14</v>
      </c>
      <c r="N900" s="4" t="str">
        <f>_xlfn.CONCAT("DBX",((L900-1)*2)+1,".6")</f>
        <v>DBX111.6</v>
      </c>
      <c r="O900" s="210" t="s">
        <v>782</v>
      </c>
      <c r="P900" s="210" t="s">
        <v>1668</v>
      </c>
      <c r="Q900" s="210" t="s">
        <v>12</v>
      </c>
      <c r="R900" s="210"/>
      <c r="S900" s="210">
        <v>3923</v>
      </c>
      <c r="T900" s="4" t="s">
        <v>2550</v>
      </c>
      <c r="U900" s="210"/>
      <c r="V900" s="210"/>
      <c r="W900" s="210" t="s">
        <v>125</v>
      </c>
      <c r="X900" s="4">
        <f t="shared" si="16"/>
        <v>9</v>
      </c>
      <c r="Y900" s="210"/>
      <c r="Z900" s="210"/>
      <c r="AA900" s="210"/>
      <c r="AB900" s="210"/>
      <c r="AC900" s="210">
        <v>1</v>
      </c>
      <c r="AD900" s="210"/>
      <c r="AE900" s="210"/>
    </row>
    <row r="901" spans="1:31" x14ac:dyDescent="0.2">
      <c r="A901" s="209"/>
      <c r="B901" s="4" t="s">
        <v>104</v>
      </c>
      <c r="C901" s="4">
        <v>896</v>
      </c>
      <c r="D901" s="210" t="s">
        <v>471</v>
      </c>
      <c r="E901" s="210" t="s">
        <v>472</v>
      </c>
      <c r="F901" s="210" t="s">
        <v>473</v>
      </c>
      <c r="G901" s="210" t="s">
        <v>72</v>
      </c>
      <c r="H901" s="210" t="s">
        <v>41</v>
      </c>
      <c r="I901" s="210" t="s">
        <v>84</v>
      </c>
      <c r="J901" s="4">
        <v>40096</v>
      </c>
      <c r="K901" s="210" t="s">
        <v>1632</v>
      </c>
      <c r="L901" s="210">
        <v>56</v>
      </c>
      <c r="M901" s="4">
        <f t="shared" si="15"/>
        <v>15</v>
      </c>
      <c r="N901" s="4" t="str">
        <f>_xlfn.CONCAT("DBX",((L901-1)*2)+1,".7")</f>
        <v>DBX111.7</v>
      </c>
      <c r="O901" s="210" t="s">
        <v>782</v>
      </c>
      <c r="P901" s="210" t="s">
        <v>1669</v>
      </c>
      <c r="Q901" s="210" t="s">
        <v>12</v>
      </c>
      <c r="R901" s="210"/>
      <c r="S901" s="210">
        <v>3923</v>
      </c>
      <c r="T901" s="4" t="s">
        <v>2550</v>
      </c>
      <c r="U901" s="210"/>
      <c r="V901" s="210"/>
      <c r="W901" s="210" t="s">
        <v>125</v>
      </c>
      <c r="X901" s="4">
        <f t="shared" si="16"/>
        <v>9</v>
      </c>
      <c r="Y901" s="210"/>
      <c r="Z901" s="210"/>
      <c r="AA901" s="210"/>
      <c r="AB901" s="210"/>
      <c r="AC901" s="210">
        <v>1</v>
      </c>
      <c r="AD901" s="210"/>
      <c r="AE901" s="210"/>
    </row>
    <row r="902" spans="1:31" x14ac:dyDescent="0.2">
      <c r="A902" s="209"/>
      <c r="B902" s="4" t="s">
        <v>104</v>
      </c>
      <c r="C902" s="4">
        <v>897</v>
      </c>
      <c r="D902" s="210" t="s">
        <v>474</v>
      </c>
      <c r="E902" s="210" t="s">
        <v>475</v>
      </c>
      <c r="F902" s="210" t="s">
        <v>476</v>
      </c>
      <c r="G902" s="210" t="s">
        <v>72</v>
      </c>
      <c r="H902" s="210" t="s">
        <v>41</v>
      </c>
      <c r="I902" s="210" t="s">
        <v>84</v>
      </c>
      <c r="J902" s="4">
        <v>40097</v>
      </c>
      <c r="K902" s="210" t="s">
        <v>1633</v>
      </c>
      <c r="L902" s="210">
        <v>57</v>
      </c>
      <c r="M902" s="4">
        <v>0</v>
      </c>
      <c r="N902" s="4" t="str">
        <f>_xlfn.CONCAT("DBX",((L902-1)*2),".0")</f>
        <v>DBX112.0</v>
      </c>
      <c r="O902" s="210" t="s">
        <v>782</v>
      </c>
      <c r="P902" s="210" t="s">
        <v>1670</v>
      </c>
      <c r="Q902" s="210" t="s">
        <v>12</v>
      </c>
      <c r="R902" s="210"/>
      <c r="S902" s="210">
        <v>3923</v>
      </c>
      <c r="T902" s="4" t="s">
        <v>2550</v>
      </c>
      <c r="U902" s="210"/>
      <c r="V902" s="210"/>
      <c r="W902" s="210" t="s">
        <v>125</v>
      </c>
      <c r="X902" s="4">
        <f t="shared" si="16"/>
        <v>9</v>
      </c>
      <c r="Y902" s="210"/>
      <c r="Z902" s="210"/>
      <c r="AA902" s="210"/>
      <c r="AB902" s="210"/>
      <c r="AC902" s="210">
        <v>1</v>
      </c>
      <c r="AD902" s="210"/>
      <c r="AE902" s="210"/>
    </row>
    <row r="903" spans="1:31" x14ac:dyDescent="0.2">
      <c r="A903" s="209"/>
      <c r="B903" s="4" t="s">
        <v>34</v>
      </c>
      <c r="C903" s="4">
        <v>898</v>
      </c>
      <c r="D903" s="210"/>
      <c r="E903" s="210"/>
      <c r="F903" s="210"/>
      <c r="G903" s="210"/>
      <c r="H903" s="210"/>
      <c r="I903" s="210"/>
      <c r="J903" s="4">
        <v>40098</v>
      </c>
      <c r="K903" s="210"/>
      <c r="L903" s="210">
        <v>57</v>
      </c>
      <c r="M903" s="4">
        <v>1</v>
      </c>
      <c r="N903" s="4" t="str">
        <f>_xlfn.CONCAT("DBX",((L903-1)*2),".1")</f>
        <v>DBX112.1</v>
      </c>
      <c r="O903" s="210" t="s">
        <v>782</v>
      </c>
      <c r="P903" s="210"/>
      <c r="Q903" s="210"/>
      <c r="R903" s="210"/>
      <c r="S903" s="210"/>
      <c r="T903" s="210"/>
      <c r="U903" s="210"/>
      <c r="V903" s="210"/>
      <c r="W903" s="210"/>
      <c r="X903" s="4" t="e">
        <f t="shared" si="16"/>
        <v>#N/A</v>
      </c>
      <c r="Y903" s="210"/>
      <c r="Z903" s="210"/>
      <c r="AA903" s="210"/>
      <c r="AB903" s="210"/>
      <c r="AC903" s="210"/>
      <c r="AD903" s="210"/>
      <c r="AE903" s="210"/>
    </row>
    <row r="904" spans="1:31" x14ac:dyDescent="0.2">
      <c r="A904" s="209"/>
      <c r="B904" s="4" t="s">
        <v>104</v>
      </c>
      <c r="C904" s="4">
        <v>899</v>
      </c>
      <c r="D904" s="210" t="s">
        <v>524</v>
      </c>
      <c r="E904" s="210" t="s">
        <v>525</v>
      </c>
      <c r="F904" s="210" t="s">
        <v>526</v>
      </c>
      <c r="G904" s="210" t="s">
        <v>72</v>
      </c>
      <c r="H904" s="210" t="s">
        <v>41</v>
      </c>
      <c r="I904" s="210" t="s">
        <v>84</v>
      </c>
      <c r="J904" s="4">
        <v>40099</v>
      </c>
      <c r="K904" s="210" t="s">
        <v>1634</v>
      </c>
      <c r="L904" s="210">
        <v>57</v>
      </c>
      <c r="M904" s="4">
        <v>2</v>
      </c>
      <c r="N904" s="4" t="str">
        <f>_xlfn.CONCAT("DBX",((L904-1)*2),".2")</f>
        <v>DBX112.2</v>
      </c>
      <c r="O904" s="210" t="s">
        <v>782</v>
      </c>
      <c r="P904" s="210" t="s">
        <v>1671</v>
      </c>
      <c r="Q904" s="210" t="s">
        <v>12</v>
      </c>
      <c r="R904" s="210"/>
      <c r="S904" s="210">
        <v>3923</v>
      </c>
      <c r="T904" s="4" t="s">
        <v>2550</v>
      </c>
      <c r="U904" s="210"/>
      <c r="V904" s="210"/>
      <c r="W904" s="210" t="s">
        <v>125</v>
      </c>
      <c r="X904" s="4">
        <f t="shared" si="16"/>
        <v>9</v>
      </c>
      <c r="Y904" s="210"/>
      <c r="Z904" s="210"/>
      <c r="AA904" s="210"/>
      <c r="AB904" s="210"/>
      <c r="AC904" s="210">
        <v>1</v>
      </c>
      <c r="AD904" s="210"/>
      <c r="AE904" s="210"/>
    </row>
    <row r="905" spans="1:31" x14ac:dyDescent="0.2">
      <c r="A905" s="209"/>
      <c r="B905" s="4" t="s">
        <v>34</v>
      </c>
      <c r="C905" s="4">
        <v>900</v>
      </c>
      <c r="D905" s="210"/>
      <c r="E905" s="210"/>
      <c r="F905" s="210"/>
      <c r="G905" s="210"/>
      <c r="H905" s="210"/>
      <c r="I905" s="210"/>
      <c r="J905" s="4">
        <v>40100</v>
      </c>
      <c r="K905" s="210"/>
      <c r="L905" s="210">
        <v>57</v>
      </c>
      <c r="M905" s="4">
        <v>3</v>
      </c>
      <c r="N905" s="4" t="str">
        <f>_xlfn.CONCAT("DBX",((L905-1)*2),".3")</f>
        <v>DBX112.3</v>
      </c>
      <c r="O905" s="210" t="s">
        <v>782</v>
      </c>
      <c r="P905" s="210"/>
      <c r="Q905" s="210"/>
      <c r="R905" s="210"/>
      <c r="S905" s="210"/>
      <c r="T905" s="210"/>
      <c r="U905" s="210"/>
      <c r="V905" s="210"/>
      <c r="W905" s="210"/>
      <c r="X905" s="4" t="e">
        <f t="shared" si="16"/>
        <v>#N/A</v>
      </c>
      <c r="Y905" s="210"/>
      <c r="Z905" s="210"/>
      <c r="AA905" s="210"/>
      <c r="AB905" s="210"/>
      <c r="AC905" s="210"/>
      <c r="AD905" s="210"/>
      <c r="AE905" s="210"/>
    </row>
    <row r="906" spans="1:31" x14ac:dyDescent="0.2">
      <c r="A906" s="209"/>
      <c r="B906" s="4" t="s">
        <v>104</v>
      </c>
      <c r="C906" s="4">
        <v>901</v>
      </c>
      <c r="D906" s="210" t="s">
        <v>474</v>
      </c>
      <c r="E906" s="210" t="s">
        <v>475</v>
      </c>
      <c r="F906" s="210" t="s">
        <v>476</v>
      </c>
      <c r="G906" s="210" t="s">
        <v>72</v>
      </c>
      <c r="H906" s="210" t="s">
        <v>41</v>
      </c>
      <c r="I906" s="210" t="s">
        <v>84</v>
      </c>
      <c r="J906" s="4">
        <v>40101</v>
      </c>
      <c r="K906" s="210" t="s">
        <v>1635</v>
      </c>
      <c r="L906" s="210">
        <v>57</v>
      </c>
      <c r="M906" s="4">
        <v>4</v>
      </c>
      <c r="N906" s="4" t="str">
        <f>_xlfn.CONCAT("DBX",((L906-1)*2),".4")</f>
        <v>DBX112.4</v>
      </c>
      <c r="O906" s="210" t="s">
        <v>782</v>
      </c>
      <c r="P906" s="210" t="s">
        <v>1672</v>
      </c>
      <c r="Q906" s="210" t="s">
        <v>12</v>
      </c>
      <c r="R906" s="210"/>
      <c r="S906" s="210">
        <v>3923</v>
      </c>
      <c r="T906" s="4" t="s">
        <v>2550</v>
      </c>
      <c r="U906" s="210"/>
      <c r="V906" s="210"/>
      <c r="W906" s="210" t="s">
        <v>125</v>
      </c>
      <c r="X906" s="4">
        <f t="shared" si="16"/>
        <v>9</v>
      </c>
      <c r="Y906" s="210"/>
      <c r="Z906" s="210"/>
      <c r="AA906" s="210"/>
      <c r="AB906" s="210"/>
      <c r="AC906" s="210">
        <v>1</v>
      </c>
      <c r="AD906" s="210"/>
      <c r="AE906" s="210"/>
    </row>
    <row r="907" spans="1:31" x14ac:dyDescent="0.2">
      <c r="A907" s="209"/>
      <c r="B907" s="4" t="s">
        <v>34</v>
      </c>
      <c r="C907" s="4">
        <v>902</v>
      </c>
      <c r="D907" s="210"/>
      <c r="E907" s="210"/>
      <c r="F907" s="210"/>
      <c r="G907" s="210"/>
      <c r="H907" s="210"/>
      <c r="I907" s="210"/>
      <c r="J907" s="4">
        <v>40102</v>
      </c>
      <c r="K907" s="210"/>
      <c r="L907" s="210">
        <v>57</v>
      </c>
      <c r="M907" s="4">
        <v>5</v>
      </c>
      <c r="N907" s="4" t="str">
        <f>_xlfn.CONCAT("DBX",((L907-1)*2),".5")</f>
        <v>DBX112.5</v>
      </c>
      <c r="O907" s="210" t="s">
        <v>782</v>
      </c>
      <c r="P907" s="210"/>
      <c r="Q907" s="210"/>
      <c r="R907" s="210"/>
      <c r="S907" s="210"/>
      <c r="T907" s="210"/>
      <c r="U907" s="210"/>
      <c r="V907" s="210"/>
      <c r="W907" s="210"/>
      <c r="X907" s="4" t="e">
        <f t="shared" si="16"/>
        <v>#N/A</v>
      </c>
      <c r="Y907" s="210"/>
      <c r="Z907" s="210"/>
      <c r="AA907" s="210"/>
      <c r="AB907" s="210"/>
      <c r="AC907" s="210"/>
      <c r="AD907" s="210"/>
      <c r="AE907" s="210"/>
    </row>
    <row r="908" spans="1:31" x14ac:dyDescent="0.2">
      <c r="A908" s="209"/>
      <c r="B908" s="4" t="s">
        <v>104</v>
      </c>
      <c r="C908" s="4">
        <v>903</v>
      </c>
      <c r="D908" s="210" t="s">
        <v>546</v>
      </c>
      <c r="E908" s="210" t="s">
        <v>547</v>
      </c>
      <c r="F908" s="210" t="s">
        <v>548</v>
      </c>
      <c r="G908" s="210" t="s">
        <v>72</v>
      </c>
      <c r="H908" s="210" t="s">
        <v>41</v>
      </c>
      <c r="I908" s="210" t="s">
        <v>84</v>
      </c>
      <c r="J908" s="4">
        <v>40103</v>
      </c>
      <c r="K908" s="210" t="s">
        <v>1636</v>
      </c>
      <c r="L908" s="210">
        <v>57</v>
      </c>
      <c r="M908" s="4">
        <v>6</v>
      </c>
      <c r="N908" s="4" t="str">
        <f>_xlfn.CONCAT("DBX",((L908-1)*2),".6")</f>
        <v>DBX112.6</v>
      </c>
      <c r="O908" s="210" t="s">
        <v>782</v>
      </c>
      <c r="P908" s="4" t="s">
        <v>1673</v>
      </c>
      <c r="Q908" s="4" t="s">
        <v>12</v>
      </c>
      <c r="R908" s="210"/>
      <c r="S908" s="210">
        <v>3923</v>
      </c>
      <c r="T908" s="4" t="s">
        <v>2550</v>
      </c>
      <c r="U908" s="210"/>
      <c r="V908" s="210"/>
      <c r="W908" s="210" t="s">
        <v>125</v>
      </c>
      <c r="X908" s="4">
        <f t="shared" si="16"/>
        <v>9</v>
      </c>
      <c r="Y908" s="210"/>
      <c r="Z908" s="210"/>
      <c r="AA908" s="210"/>
      <c r="AB908" s="210"/>
      <c r="AC908" s="210">
        <v>1</v>
      </c>
      <c r="AD908" s="210"/>
      <c r="AE908" s="210"/>
    </row>
    <row r="909" spans="1:31" x14ac:dyDescent="0.2">
      <c r="A909" s="209"/>
      <c r="B909" s="4" t="s">
        <v>104</v>
      </c>
      <c r="C909" s="4">
        <v>904</v>
      </c>
      <c r="D909" s="210" t="s">
        <v>546</v>
      </c>
      <c r="E909" s="210" t="s">
        <v>547</v>
      </c>
      <c r="F909" s="210" t="s">
        <v>548</v>
      </c>
      <c r="G909" s="210" t="s">
        <v>72</v>
      </c>
      <c r="H909" s="210" t="s">
        <v>41</v>
      </c>
      <c r="I909" s="210" t="s">
        <v>84</v>
      </c>
      <c r="J909" s="4">
        <v>40104</v>
      </c>
      <c r="K909" s="210" t="s">
        <v>1637</v>
      </c>
      <c r="L909" s="210">
        <v>57</v>
      </c>
      <c r="M909" s="4">
        <v>7</v>
      </c>
      <c r="N909" s="4" t="str">
        <f>_xlfn.CONCAT("DBX",((L909-1)*2),".7")</f>
        <v>DBX112.7</v>
      </c>
      <c r="O909" s="210" t="s">
        <v>782</v>
      </c>
      <c r="P909" s="4" t="s">
        <v>1674</v>
      </c>
      <c r="Q909" s="4" t="s">
        <v>12</v>
      </c>
      <c r="R909" s="210"/>
      <c r="S909" s="210">
        <v>3923</v>
      </c>
      <c r="T909" s="4" t="s">
        <v>2550</v>
      </c>
      <c r="U909" s="210"/>
      <c r="V909" s="210"/>
      <c r="W909" s="210" t="s">
        <v>125</v>
      </c>
      <c r="X909" s="4">
        <f t="shared" si="16"/>
        <v>9</v>
      </c>
      <c r="Y909" s="210"/>
      <c r="Z909" s="210"/>
      <c r="AA909" s="210"/>
      <c r="AB909" s="210"/>
      <c r="AC909" s="210">
        <v>1</v>
      </c>
      <c r="AD909" s="210"/>
      <c r="AE909" s="210"/>
    </row>
    <row r="910" spans="1:31" x14ac:dyDescent="0.2">
      <c r="A910" s="209"/>
      <c r="B910" s="4" t="s">
        <v>104</v>
      </c>
      <c r="C910" s="4">
        <v>905</v>
      </c>
      <c r="D910" s="210" t="s">
        <v>546</v>
      </c>
      <c r="E910" s="210" t="s">
        <v>547</v>
      </c>
      <c r="F910" s="210" t="s">
        <v>548</v>
      </c>
      <c r="G910" s="210" t="s">
        <v>72</v>
      </c>
      <c r="H910" s="210" t="s">
        <v>41</v>
      </c>
      <c r="I910" s="210" t="s">
        <v>84</v>
      </c>
      <c r="J910" s="4">
        <v>40105</v>
      </c>
      <c r="K910" s="210" t="s">
        <v>1638</v>
      </c>
      <c r="L910" s="210">
        <v>57</v>
      </c>
      <c r="M910" s="4">
        <v>8</v>
      </c>
      <c r="N910" s="4" t="str">
        <f>_xlfn.CONCAT("DBX",((L910-1)*2)+1,".0")</f>
        <v>DBX113.0</v>
      </c>
      <c r="O910" s="210" t="s">
        <v>782</v>
      </c>
      <c r="P910" s="4" t="s">
        <v>1675</v>
      </c>
      <c r="Q910" s="4" t="s">
        <v>12</v>
      </c>
      <c r="R910" s="210"/>
      <c r="S910" s="210">
        <v>3923</v>
      </c>
      <c r="T910" s="4" t="s">
        <v>2550</v>
      </c>
      <c r="U910" s="210"/>
      <c r="V910" s="210"/>
      <c r="W910" s="210" t="s">
        <v>125</v>
      </c>
      <c r="X910" s="4">
        <f t="shared" si="16"/>
        <v>9</v>
      </c>
      <c r="Y910" s="210"/>
      <c r="Z910" s="210"/>
      <c r="AA910" s="210"/>
      <c r="AB910" s="210"/>
      <c r="AC910" s="210">
        <v>1</v>
      </c>
      <c r="AD910" s="210"/>
      <c r="AE910" s="210"/>
    </row>
    <row r="911" spans="1:31" x14ac:dyDescent="0.2">
      <c r="A911" s="209"/>
      <c r="B911" s="4" t="s">
        <v>34</v>
      </c>
      <c r="C911" s="4">
        <v>906</v>
      </c>
      <c r="D911" s="210"/>
      <c r="E911" s="210"/>
      <c r="F911" s="210"/>
      <c r="G911" s="210"/>
      <c r="H911" s="210"/>
      <c r="I911" s="210"/>
      <c r="J911" s="4">
        <v>40106</v>
      </c>
      <c r="K911" s="210"/>
      <c r="L911" s="210">
        <v>57</v>
      </c>
      <c r="M911" s="4">
        <v>9</v>
      </c>
      <c r="N911" s="4" t="str">
        <f>_xlfn.CONCAT("DBX",((L911-1)*2)+1,".1")</f>
        <v>DBX113.1</v>
      </c>
      <c r="O911" s="210" t="s">
        <v>782</v>
      </c>
      <c r="P911" s="4"/>
      <c r="Q911" s="4"/>
      <c r="R911" s="210"/>
      <c r="S911" s="210"/>
      <c r="T911" s="210"/>
      <c r="U911" s="210"/>
      <c r="V911" s="210"/>
      <c r="W911" s="210"/>
      <c r="X911" s="4" t="e">
        <f t="shared" si="16"/>
        <v>#N/A</v>
      </c>
      <c r="Y911" s="210"/>
      <c r="Z911" s="210"/>
      <c r="AA911" s="210"/>
      <c r="AB911" s="210"/>
      <c r="AC911" s="210"/>
      <c r="AD911" s="210"/>
      <c r="AE911" s="210"/>
    </row>
    <row r="912" spans="1:31" x14ac:dyDescent="0.2">
      <c r="A912" s="209"/>
      <c r="B912" s="4" t="s">
        <v>104</v>
      </c>
      <c r="C912" s="4">
        <v>907</v>
      </c>
      <c r="D912" s="210" t="s">
        <v>474</v>
      </c>
      <c r="E912" s="210" t="s">
        <v>475</v>
      </c>
      <c r="F912" s="210" t="s">
        <v>476</v>
      </c>
      <c r="G912" s="210" t="s">
        <v>72</v>
      </c>
      <c r="H912" s="210" t="s">
        <v>41</v>
      </c>
      <c r="I912" s="210" t="s">
        <v>84</v>
      </c>
      <c r="J912" s="4">
        <v>40107</v>
      </c>
      <c r="K912" s="210" t="s">
        <v>1639</v>
      </c>
      <c r="L912" s="210">
        <v>57</v>
      </c>
      <c r="M912" s="4">
        <v>10</v>
      </c>
      <c r="N912" s="4" t="str">
        <f>_xlfn.CONCAT("DBX",((L912-1)*2)+1,".2")</f>
        <v>DBX113.2</v>
      </c>
      <c r="O912" s="210" t="s">
        <v>782</v>
      </c>
      <c r="P912" s="210" t="s">
        <v>1676</v>
      </c>
      <c r="Q912" s="210" t="s">
        <v>12</v>
      </c>
      <c r="R912" s="210"/>
      <c r="S912" s="210">
        <v>3923</v>
      </c>
      <c r="T912" s="4" t="s">
        <v>2550</v>
      </c>
      <c r="U912" s="210"/>
      <c r="V912" s="210"/>
      <c r="W912" s="210" t="s">
        <v>125</v>
      </c>
      <c r="X912" s="4">
        <f t="shared" si="16"/>
        <v>9</v>
      </c>
      <c r="Y912" s="210"/>
      <c r="Z912" s="210"/>
      <c r="AA912" s="210"/>
      <c r="AB912" s="210"/>
      <c r="AC912" s="210">
        <v>1</v>
      </c>
      <c r="AD912" s="210"/>
      <c r="AE912" s="210"/>
    </row>
    <row r="913" spans="1:31" x14ac:dyDescent="0.2">
      <c r="A913" s="209"/>
      <c r="B913" s="4" t="s">
        <v>34</v>
      </c>
      <c r="C913" s="4">
        <v>908</v>
      </c>
      <c r="D913" s="210"/>
      <c r="E913" s="210"/>
      <c r="F913" s="210"/>
      <c r="G913" s="210"/>
      <c r="H913" s="210"/>
      <c r="I913" s="210"/>
      <c r="J913" s="4">
        <v>40108</v>
      </c>
      <c r="K913" s="210"/>
      <c r="L913" s="210">
        <v>57</v>
      </c>
      <c r="M913" s="4">
        <v>11</v>
      </c>
      <c r="N913" s="4" t="str">
        <f>_xlfn.CONCAT("DBX",((L913-1)*2)+1,".3")</f>
        <v>DBX113.3</v>
      </c>
      <c r="O913" s="210" t="s">
        <v>782</v>
      </c>
      <c r="P913" s="210"/>
      <c r="Q913" s="210"/>
      <c r="R913" s="210"/>
      <c r="S913" s="210"/>
      <c r="T913" s="210"/>
      <c r="U913" s="210"/>
      <c r="V913" s="210"/>
      <c r="W913" s="210"/>
      <c r="X913" s="4" t="e">
        <f t="shared" si="16"/>
        <v>#N/A</v>
      </c>
      <c r="Y913" s="210"/>
      <c r="Z913" s="210"/>
      <c r="AA913" s="210"/>
      <c r="AB913" s="210"/>
      <c r="AC913" s="210"/>
      <c r="AD913" s="210"/>
      <c r="AE913" s="210"/>
    </row>
    <row r="914" spans="1:31" x14ac:dyDescent="0.2">
      <c r="A914" s="209"/>
      <c r="B914" s="4" t="s">
        <v>3170</v>
      </c>
      <c r="C914" s="216">
        <v>909</v>
      </c>
      <c r="D914" s="219" t="s">
        <v>1588</v>
      </c>
      <c r="E914" s="219" t="s">
        <v>2695</v>
      </c>
      <c r="F914" s="210" t="s">
        <v>2700</v>
      </c>
      <c r="G914" s="210" t="s">
        <v>72</v>
      </c>
      <c r="H914" s="210" t="s">
        <v>41</v>
      </c>
      <c r="I914" s="210" t="s">
        <v>84</v>
      </c>
      <c r="J914" s="4">
        <v>40109</v>
      </c>
      <c r="K914" s="210" t="s">
        <v>1640</v>
      </c>
      <c r="L914" s="210">
        <v>57</v>
      </c>
      <c r="M914" s="4">
        <v>12</v>
      </c>
      <c r="N914" s="4" t="str">
        <f>_xlfn.CONCAT("DBX",((L914-1)*2)+1,".4")</f>
        <v>DBX113.4</v>
      </c>
      <c r="O914" s="210" t="s">
        <v>782</v>
      </c>
      <c r="P914" s="210" t="s">
        <v>1677</v>
      </c>
      <c r="Q914" s="210" t="s">
        <v>12</v>
      </c>
      <c r="R914" s="210"/>
      <c r="S914" s="210">
        <v>3923</v>
      </c>
      <c r="T914" s="4" t="s">
        <v>2550</v>
      </c>
      <c r="U914" s="210"/>
      <c r="V914" s="210" t="s">
        <v>3168</v>
      </c>
      <c r="W914" s="210" t="s">
        <v>125</v>
      </c>
      <c r="X914" s="4">
        <f t="shared" si="16"/>
        <v>9</v>
      </c>
      <c r="Y914" s="210"/>
      <c r="Z914" s="210"/>
      <c r="AA914" s="210"/>
      <c r="AB914" s="210"/>
      <c r="AC914" s="210">
        <v>1</v>
      </c>
      <c r="AD914" s="210"/>
      <c r="AE914" s="210"/>
    </row>
    <row r="915" spans="1:31" x14ac:dyDescent="0.2">
      <c r="A915" s="209"/>
      <c r="B915" s="4" t="s">
        <v>3170</v>
      </c>
      <c r="C915" s="216">
        <v>910</v>
      </c>
      <c r="D915" s="219" t="s">
        <v>1589</v>
      </c>
      <c r="E915" s="219" t="s">
        <v>2696</v>
      </c>
      <c r="F915" s="210" t="s">
        <v>2701</v>
      </c>
      <c r="G915" s="210" t="s">
        <v>72</v>
      </c>
      <c r="H915" s="210" t="s">
        <v>41</v>
      </c>
      <c r="I915" s="210" t="s">
        <v>84</v>
      </c>
      <c r="J915" s="4">
        <v>40110</v>
      </c>
      <c r="K915" s="210" t="s">
        <v>1641</v>
      </c>
      <c r="L915" s="210">
        <v>57</v>
      </c>
      <c r="M915" s="4">
        <v>13</v>
      </c>
      <c r="N915" s="4" t="str">
        <f>_xlfn.CONCAT("DBX",((L915-1)*2)+1,".5")</f>
        <v>DBX113.5</v>
      </c>
      <c r="O915" s="210" t="s">
        <v>782</v>
      </c>
      <c r="P915" s="210" t="s">
        <v>1678</v>
      </c>
      <c r="Q915" s="210" t="s">
        <v>12</v>
      </c>
      <c r="R915" s="210"/>
      <c r="S915" s="210">
        <v>3923</v>
      </c>
      <c r="T915" s="4" t="s">
        <v>2550</v>
      </c>
      <c r="U915" s="210"/>
      <c r="V915" s="210" t="s">
        <v>3168</v>
      </c>
      <c r="W915" s="210" t="s">
        <v>125</v>
      </c>
      <c r="X915" s="4">
        <f t="shared" si="16"/>
        <v>9</v>
      </c>
      <c r="Y915" s="210"/>
      <c r="Z915" s="210"/>
      <c r="AA915" s="210"/>
      <c r="AB915" s="210"/>
      <c r="AC915" s="210">
        <v>1</v>
      </c>
      <c r="AD915" s="210"/>
      <c r="AE915" s="210"/>
    </row>
    <row r="916" spans="1:31" x14ac:dyDescent="0.2">
      <c r="A916" s="209"/>
      <c r="B916" s="4" t="s">
        <v>3170</v>
      </c>
      <c r="C916" s="216">
        <v>911</v>
      </c>
      <c r="D916" s="219" t="s">
        <v>1590</v>
      </c>
      <c r="E916" s="219" t="s">
        <v>2697</v>
      </c>
      <c r="F916" s="210" t="s">
        <v>2702</v>
      </c>
      <c r="G916" s="210" t="s">
        <v>72</v>
      </c>
      <c r="H916" s="210" t="s">
        <v>41</v>
      </c>
      <c r="I916" s="210" t="s">
        <v>84</v>
      </c>
      <c r="J916" s="4">
        <v>40111</v>
      </c>
      <c r="K916" s="210" t="s">
        <v>1642</v>
      </c>
      <c r="L916" s="210">
        <v>57</v>
      </c>
      <c r="M916" s="4">
        <v>14</v>
      </c>
      <c r="N916" s="4" t="str">
        <f>_xlfn.CONCAT("DBX",((L916-1)*2)+1,".6")</f>
        <v>DBX113.6</v>
      </c>
      <c r="O916" s="210" t="s">
        <v>782</v>
      </c>
      <c r="P916" s="210" t="s">
        <v>1679</v>
      </c>
      <c r="Q916" s="210" t="s">
        <v>12</v>
      </c>
      <c r="R916" s="210"/>
      <c r="S916" s="210">
        <v>3923</v>
      </c>
      <c r="T916" s="4" t="s">
        <v>2550</v>
      </c>
      <c r="U916" s="210"/>
      <c r="V916" s="210" t="s">
        <v>3168</v>
      </c>
      <c r="W916" s="210" t="s">
        <v>125</v>
      </c>
      <c r="X916" s="4">
        <f t="shared" si="16"/>
        <v>9</v>
      </c>
      <c r="Y916" s="210"/>
      <c r="Z916" s="210"/>
      <c r="AA916" s="210"/>
      <c r="AB916" s="210"/>
      <c r="AC916" s="210">
        <v>1</v>
      </c>
      <c r="AD916" s="210"/>
      <c r="AE916" s="210"/>
    </row>
    <row r="917" spans="1:31" ht="56.25" x14ac:dyDescent="0.2">
      <c r="A917" s="209"/>
      <c r="B917" s="4" t="s">
        <v>3170</v>
      </c>
      <c r="C917" s="4">
        <v>912</v>
      </c>
      <c r="D917" s="210" t="s">
        <v>603</v>
      </c>
      <c r="E917" s="210" t="s">
        <v>604</v>
      </c>
      <c r="F917" s="210" t="s">
        <v>605</v>
      </c>
      <c r="G917" s="210" t="s">
        <v>72</v>
      </c>
      <c r="H917" s="210" t="s">
        <v>41</v>
      </c>
      <c r="I917" s="210" t="s">
        <v>84</v>
      </c>
      <c r="J917" s="4">
        <v>40112</v>
      </c>
      <c r="K917" s="210" t="s">
        <v>1643</v>
      </c>
      <c r="L917" s="210">
        <v>57</v>
      </c>
      <c r="M917" s="4">
        <v>15</v>
      </c>
      <c r="N917" s="4" t="str">
        <f>_xlfn.CONCAT("DBX",((L917-1)*2)+1,".7")</f>
        <v>DBX113.7</v>
      </c>
      <c r="O917" s="210" t="s">
        <v>782</v>
      </c>
      <c r="P917" s="210" t="s">
        <v>1680</v>
      </c>
      <c r="Q917" s="210" t="s">
        <v>12</v>
      </c>
      <c r="R917" s="210"/>
      <c r="S917" s="210">
        <v>3923</v>
      </c>
      <c r="T917" s="4" t="s">
        <v>2550</v>
      </c>
      <c r="U917" s="210"/>
      <c r="V917" s="212" t="s">
        <v>3166</v>
      </c>
      <c r="W917" s="210" t="s">
        <v>125</v>
      </c>
      <c r="X917" s="4">
        <f t="shared" si="16"/>
        <v>9</v>
      </c>
      <c r="Y917" s="210"/>
      <c r="Z917" s="210"/>
      <c r="AA917" s="210"/>
      <c r="AB917" s="210"/>
      <c r="AC917" s="210">
        <v>1</v>
      </c>
      <c r="AD917" s="210"/>
      <c r="AE917" s="210"/>
    </row>
    <row r="918" spans="1:31" x14ac:dyDescent="0.2">
      <c r="A918" s="209"/>
      <c r="B918" s="4" t="s">
        <v>3170</v>
      </c>
      <c r="C918" s="4">
        <v>913</v>
      </c>
      <c r="D918" s="210" t="s">
        <v>1591</v>
      </c>
      <c r="E918" s="210" t="s">
        <v>1592</v>
      </c>
      <c r="F918" s="210" t="s">
        <v>1593</v>
      </c>
      <c r="G918" s="210" t="s">
        <v>72</v>
      </c>
      <c r="H918" s="210" t="s">
        <v>41</v>
      </c>
      <c r="I918" s="210" t="s">
        <v>84</v>
      </c>
      <c r="J918" s="4">
        <v>40113</v>
      </c>
      <c r="K918" s="210" t="s">
        <v>1644</v>
      </c>
      <c r="L918" s="210">
        <v>58</v>
      </c>
      <c r="M918" s="4">
        <f>M902</f>
        <v>0</v>
      </c>
      <c r="N918" s="4" t="str">
        <f>_xlfn.CONCAT("DBX",((L918-1)*2),".0")</f>
        <v>DBX114.0</v>
      </c>
      <c r="O918" s="210" t="s">
        <v>782</v>
      </c>
      <c r="P918" s="210" t="s">
        <v>1681</v>
      </c>
      <c r="Q918" s="210" t="s">
        <v>12</v>
      </c>
      <c r="R918" s="210"/>
      <c r="S918" s="210">
        <v>3923</v>
      </c>
      <c r="T918" s="4" t="s">
        <v>2550</v>
      </c>
      <c r="U918" s="210"/>
      <c r="V918" s="210" t="s">
        <v>3149</v>
      </c>
      <c r="W918" s="210" t="s">
        <v>125</v>
      </c>
      <c r="X918" s="4">
        <f t="shared" si="16"/>
        <v>9</v>
      </c>
      <c r="Y918" s="210"/>
      <c r="Z918" s="210"/>
      <c r="AA918" s="210"/>
      <c r="AB918" s="210"/>
      <c r="AC918" s="210">
        <v>1</v>
      </c>
      <c r="AD918" s="210"/>
      <c r="AE918" s="210"/>
    </row>
    <row r="919" spans="1:31" x14ac:dyDescent="0.2">
      <c r="A919" s="209"/>
      <c r="B919" s="4" t="s">
        <v>3170</v>
      </c>
      <c r="C919" s="4">
        <v>914</v>
      </c>
      <c r="D919" s="210" t="s">
        <v>1594</v>
      </c>
      <c r="E919" s="210" t="s">
        <v>1595</v>
      </c>
      <c r="F919" s="210" t="s">
        <v>1596</v>
      </c>
      <c r="G919" s="210" t="s">
        <v>72</v>
      </c>
      <c r="H919" s="210" t="s">
        <v>41</v>
      </c>
      <c r="I919" s="210" t="s">
        <v>84</v>
      </c>
      <c r="J919" s="4">
        <v>40114</v>
      </c>
      <c r="K919" s="210" t="s">
        <v>1645</v>
      </c>
      <c r="L919" s="210">
        <v>58</v>
      </c>
      <c r="M919" s="4">
        <f t="shared" si="15"/>
        <v>1</v>
      </c>
      <c r="N919" s="4" t="str">
        <f>_xlfn.CONCAT("DBX",((L919-1)*2),".1")</f>
        <v>DBX114.1</v>
      </c>
      <c r="O919" s="210" t="s">
        <v>782</v>
      </c>
      <c r="P919" s="210" t="s">
        <v>1682</v>
      </c>
      <c r="Q919" s="210" t="s">
        <v>12</v>
      </c>
      <c r="R919" s="210"/>
      <c r="S919" s="210">
        <v>3923</v>
      </c>
      <c r="T919" s="4" t="s">
        <v>2550</v>
      </c>
      <c r="U919" s="210"/>
      <c r="V919" s="210" t="s">
        <v>3143</v>
      </c>
      <c r="W919" s="210" t="s">
        <v>125</v>
      </c>
      <c r="X919" s="4">
        <f t="shared" si="16"/>
        <v>9</v>
      </c>
      <c r="Y919" s="210"/>
      <c r="Z919" s="210"/>
      <c r="AA919" s="210"/>
      <c r="AB919" s="210"/>
      <c r="AC919" s="210">
        <v>1</v>
      </c>
      <c r="AD919" s="210"/>
      <c r="AE919" s="210"/>
    </row>
    <row r="920" spans="1:31" x14ac:dyDescent="0.2">
      <c r="A920" s="209"/>
      <c r="B920" s="4" t="s">
        <v>34</v>
      </c>
      <c r="C920" s="4">
        <v>915</v>
      </c>
      <c r="D920" s="210"/>
      <c r="E920" s="210"/>
      <c r="F920" s="210"/>
      <c r="G920" s="210"/>
      <c r="H920" s="210"/>
      <c r="I920" s="210"/>
      <c r="J920" s="4">
        <v>40115</v>
      </c>
      <c r="K920" s="210"/>
      <c r="L920" s="210">
        <v>58</v>
      </c>
      <c r="M920" s="4">
        <f t="shared" si="15"/>
        <v>2</v>
      </c>
      <c r="N920" s="4" t="str">
        <f>_xlfn.CONCAT("DBX",((L920-1)*2),".2")</f>
        <v>DBX114.2</v>
      </c>
      <c r="O920" s="210" t="s">
        <v>782</v>
      </c>
      <c r="P920" s="210"/>
      <c r="Q920" s="210"/>
      <c r="R920" s="210"/>
      <c r="S920" s="210"/>
      <c r="T920" s="210"/>
      <c r="U920" s="210"/>
      <c r="V920" s="210"/>
      <c r="W920" s="210"/>
      <c r="X920" s="4" t="e">
        <f t="shared" si="16"/>
        <v>#N/A</v>
      </c>
      <c r="Y920" s="210"/>
      <c r="Z920" s="210"/>
      <c r="AA920" s="210"/>
      <c r="AB920" s="210"/>
      <c r="AC920" s="210"/>
      <c r="AD920" s="210"/>
      <c r="AE920" s="210"/>
    </row>
    <row r="921" spans="1:31" x14ac:dyDescent="0.2">
      <c r="A921" s="209"/>
      <c r="B921" s="4" t="s">
        <v>3170</v>
      </c>
      <c r="C921" s="4">
        <v>916</v>
      </c>
      <c r="D921" s="210" t="s">
        <v>1597</v>
      </c>
      <c r="E921" s="210" t="s">
        <v>1598</v>
      </c>
      <c r="F921" s="210" t="s">
        <v>1599</v>
      </c>
      <c r="G921" s="210" t="s">
        <v>72</v>
      </c>
      <c r="H921" s="210" t="s">
        <v>41</v>
      </c>
      <c r="I921" s="210" t="s">
        <v>84</v>
      </c>
      <c r="J921" s="4">
        <v>40116</v>
      </c>
      <c r="K921" s="210" t="s">
        <v>1646</v>
      </c>
      <c r="L921" s="210">
        <v>58</v>
      </c>
      <c r="M921" s="4">
        <f t="shared" si="15"/>
        <v>3</v>
      </c>
      <c r="N921" s="4" t="str">
        <f>_xlfn.CONCAT("DBX",((L921-1)*2),".3")</f>
        <v>DBX114.3</v>
      </c>
      <c r="O921" s="210" t="s">
        <v>782</v>
      </c>
      <c r="P921" s="210" t="s">
        <v>1683</v>
      </c>
      <c r="Q921" s="210" t="s">
        <v>12</v>
      </c>
      <c r="R921" s="210"/>
      <c r="S921" s="210">
        <v>3923</v>
      </c>
      <c r="T921" s="4" t="s">
        <v>2550</v>
      </c>
      <c r="U921" s="210"/>
      <c r="V921" s="210" t="s">
        <v>3143</v>
      </c>
      <c r="W921" s="210" t="s">
        <v>125</v>
      </c>
      <c r="X921" s="4">
        <f t="shared" si="16"/>
        <v>9</v>
      </c>
      <c r="Y921" s="210"/>
      <c r="Z921" s="210"/>
      <c r="AA921" s="210"/>
      <c r="AB921" s="210"/>
      <c r="AC921" s="210">
        <v>1</v>
      </c>
      <c r="AD921" s="210"/>
      <c r="AE921" s="210"/>
    </row>
    <row r="922" spans="1:31" x14ac:dyDescent="0.2">
      <c r="A922" s="209"/>
      <c r="B922" s="4" t="s">
        <v>3170</v>
      </c>
      <c r="C922" s="4">
        <v>917</v>
      </c>
      <c r="D922" s="210" t="s">
        <v>1600</v>
      </c>
      <c r="E922" s="210" t="s">
        <v>1601</v>
      </c>
      <c r="F922" s="210" t="s">
        <v>1602</v>
      </c>
      <c r="G922" s="210" t="s">
        <v>72</v>
      </c>
      <c r="H922" s="210" t="s">
        <v>41</v>
      </c>
      <c r="I922" s="210" t="s">
        <v>84</v>
      </c>
      <c r="J922" s="4">
        <v>40117</v>
      </c>
      <c r="K922" s="210" t="s">
        <v>1647</v>
      </c>
      <c r="L922" s="210">
        <v>58</v>
      </c>
      <c r="M922" s="4">
        <f t="shared" si="15"/>
        <v>4</v>
      </c>
      <c r="N922" s="4" t="str">
        <f>_xlfn.CONCAT("DBX",((L922-1)*2),".4")</f>
        <v>DBX114.4</v>
      </c>
      <c r="O922" s="210" t="s">
        <v>782</v>
      </c>
      <c r="P922" s="210" t="s">
        <v>1684</v>
      </c>
      <c r="Q922" s="210" t="s">
        <v>12</v>
      </c>
      <c r="R922" s="210"/>
      <c r="S922" s="210">
        <v>3923</v>
      </c>
      <c r="T922" s="4" t="s">
        <v>2550</v>
      </c>
      <c r="U922" s="210"/>
      <c r="V922" s="210" t="s">
        <v>3142</v>
      </c>
      <c r="W922" s="210" t="s">
        <v>125</v>
      </c>
      <c r="X922" s="4">
        <f t="shared" si="16"/>
        <v>9</v>
      </c>
      <c r="Y922" s="210"/>
      <c r="Z922" s="210"/>
      <c r="AA922" s="210"/>
      <c r="AB922" s="210"/>
      <c r="AC922" s="210">
        <v>1</v>
      </c>
      <c r="AD922" s="210"/>
      <c r="AE922" s="210"/>
    </row>
    <row r="923" spans="1:31" x14ac:dyDescent="0.2">
      <c r="A923" s="209"/>
      <c r="B923" s="4" t="s">
        <v>3170</v>
      </c>
      <c r="C923" s="4">
        <v>918</v>
      </c>
      <c r="D923" s="210" t="s">
        <v>2677</v>
      </c>
      <c r="E923" s="210" t="s">
        <v>2678</v>
      </c>
      <c r="F923" s="210" t="s">
        <v>2690</v>
      </c>
      <c r="G923" s="210" t="s">
        <v>72</v>
      </c>
      <c r="H923" s="210" t="s">
        <v>41</v>
      </c>
      <c r="I923" s="210" t="s">
        <v>84</v>
      </c>
      <c r="J923" s="4">
        <v>40118</v>
      </c>
      <c r="K923" s="210" t="s">
        <v>1648</v>
      </c>
      <c r="L923" s="210">
        <v>58</v>
      </c>
      <c r="M923" s="4">
        <f t="shared" si="15"/>
        <v>5</v>
      </c>
      <c r="N923" s="4" t="str">
        <f>_xlfn.CONCAT("DBX",((L923-1)*2),".5")</f>
        <v>DBX114.5</v>
      </c>
      <c r="O923" s="210" t="s">
        <v>782</v>
      </c>
      <c r="P923" s="210" t="s">
        <v>1685</v>
      </c>
      <c r="Q923" s="210" t="s">
        <v>12</v>
      </c>
      <c r="R923" s="210"/>
      <c r="S923" s="210">
        <v>3923</v>
      </c>
      <c r="T923" s="4" t="s">
        <v>2550</v>
      </c>
      <c r="U923" s="210"/>
      <c r="V923" s="210" t="s">
        <v>3141</v>
      </c>
      <c r="W923" s="210" t="s">
        <v>125</v>
      </c>
      <c r="X923" s="4">
        <f t="shared" si="16"/>
        <v>9</v>
      </c>
      <c r="Y923" s="210"/>
      <c r="Z923" s="210"/>
      <c r="AA923" s="210"/>
      <c r="AB923" s="210"/>
      <c r="AC923" s="210">
        <v>1</v>
      </c>
      <c r="AD923" s="210"/>
      <c r="AE923" s="210"/>
    </row>
    <row r="924" spans="1:31" x14ac:dyDescent="0.2">
      <c r="A924" s="209"/>
      <c r="B924" s="201" t="s">
        <v>87</v>
      </c>
      <c r="C924" s="4">
        <v>919</v>
      </c>
      <c r="D924" s="210" t="s">
        <v>663</v>
      </c>
      <c r="E924" s="210" t="s">
        <v>1603</v>
      </c>
      <c r="F924" s="210" t="s">
        <v>2555</v>
      </c>
      <c r="G924" s="210" t="s">
        <v>40</v>
      </c>
      <c r="H924" s="210" t="s">
        <v>41</v>
      </c>
      <c r="I924" s="210" t="s">
        <v>40</v>
      </c>
      <c r="J924" s="4">
        <v>40119</v>
      </c>
      <c r="K924" s="210" t="s">
        <v>1649</v>
      </c>
      <c r="L924" s="210">
        <v>58</v>
      </c>
      <c r="M924" s="4">
        <f t="shared" si="15"/>
        <v>6</v>
      </c>
      <c r="N924" s="4" t="str">
        <f>_xlfn.CONCAT("DBX",((L924-1)*2),".6")</f>
        <v>DBX114.6</v>
      </c>
      <c r="O924" s="210" t="s">
        <v>782</v>
      </c>
      <c r="P924" s="210" t="s">
        <v>1686</v>
      </c>
      <c r="Q924" s="210" t="s">
        <v>12</v>
      </c>
      <c r="R924" s="210"/>
      <c r="S924" s="210">
        <v>3923</v>
      </c>
      <c r="T924" s="4" t="s">
        <v>2550</v>
      </c>
      <c r="U924" s="210"/>
      <c r="V924" s="210"/>
      <c r="W924" s="210" t="s">
        <v>125</v>
      </c>
      <c r="X924" s="4">
        <f t="shared" si="16"/>
        <v>9</v>
      </c>
      <c r="Y924" s="210"/>
      <c r="Z924" s="210"/>
      <c r="AA924" s="210"/>
      <c r="AB924" s="210"/>
      <c r="AC924" s="210">
        <v>1</v>
      </c>
      <c r="AD924" s="210"/>
      <c r="AE924" s="210"/>
    </row>
    <row r="925" spans="1:31" x14ac:dyDescent="0.2">
      <c r="A925" s="209"/>
      <c r="B925" s="4" t="s">
        <v>3170</v>
      </c>
      <c r="C925" s="4">
        <v>920</v>
      </c>
      <c r="D925" s="210" t="s">
        <v>1604</v>
      </c>
      <c r="E925" s="210" t="s">
        <v>1605</v>
      </c>
      <c r="F925" s="210" t="s">
        <v>1606</v>
      </c>
      <c r="G925" s="210" t="s">
        <v>72</v>
      </c>
      <c r="H925" s="210" t="s">
        <v>41</v>
      </c>
      <c r="I925" s="210" t="s">
        <v>84</v>
      </c>
      <c r="J925" s="4">
        <v>40120</v>
      </c>
      <c r="K925" s="210" t="s">
        <v>1650</v>
      </c>
      <c r="L925" s="210">
        <v>58</v>
      </c>
      <c r="M925" s="4">
        <f t="shared" si="15"/>
        <v>7</v>
      </c>
      <c r="N925" s="4" t="str">
        <f>_xlfn.CONCAT("DBX",((L925-1)*2),".7")</f>
        <v>DBX114.7</v>
      </c>
      <c r="O925" s="210" t="s">
        <v>782</v>
      </c>
      <c r="P925" s="210" t="s">
        <v>1687</v>
      </c>
      <c r="Q925" s="210" t="s">
        <v>12</v>
      </c>
      <c r="R925" s="210"/>
      <c r="S925" s="210">
        <v>3923</v>
      </c>
      <c r="T925" s="4" t="s">
        <v>2550</v>
      </c>
      <c r="U925" s="210"/>
      <c r="V925" s="210" t="s">
        <v>3140</v>
      </c>
      <c r="W925" s="210" t="s">
        <v>125</v>
      </c>
      <c r="X925" s="4">
        <f t="shared" si="16"/>
        <v>9</v>
      </c>
      <c r="Y925" s="210"/>
      <c r="Z925" s="210"/>
      <c r="AA925" s="210"/>
      <c r="AB925" s="210"/>
      <c r="AC925" s="210">
        <v>1</v>
      </c>
      <c r="AD925" s="210"/>
      <c r="AE925" s="210"/>
    </row>
    <row r="926" spans="1:31" x14ac:dyDescent="0.2">
      <c r="A926" s="209"/>
      <c r="B926" s="4" t="s">
        <v>3170</v>
      </c>
      <c r="C926" s="4">
        <v>921</v>
      </c>
      <c r="D926" s="210" t="s">
        <v>2679</v>
      </c>
      <c r="E926" s="210" t="s">
        <v>2680</v>
      </c>
      <c r="F926" s="210" t="s">
        <v>2691</v>
      </c>
      <c r="G926" s="210" t="s">
        <v>72</v>
      </c>
      <c r="H926" s="210" t="s">
        <v>41</v>
      </c>
      <c r="I926" s="210" t="s">
        <v>84</v>
      </c>
      <c r="J926" s="4">
        <v>40121</v>
      </c>
      <c r="K926" s="210" t="s">
        <v>1651</v>
      </c>
      <c r="L926" s="210">
        <v>58</v>
      </c>
      <c r="M926" s="4">
        <f t="shared" si="15"/>
        <v>8</v>
      </c>
      <c r="N926" s="4" t="str">
        <f>_xlfn.CONCAT("DBX",((L926-1)*2)+1,".0")</f>
        <v>DBX115.0</v>
      </c>
      <c r="O926" s="210" t="s">
        <v>782</v>
      </c>
      <c r="P926" s="210" t="s">
        <v>1688</v>
      </c>
      <c r="Q926" s="210" t="s">
        <v>12</v>
      </c>
      <c r="R926" s="210"/>
      <c r="S926" s="210">
        <v>3923</v>
      </c>
      <c r="T926" s="4" t="s">
        <v>2550</v>
      </c>
      <c r="U926" s="210"/>
      <c r="V926" s="210" t="s">
        <v>3149</v>
      </c>
      <c r="W926" s="210" t="s">
        <v>125</v>
      </c>
      <c r="X926" s="4">
        <f t="shared" si="16"/>
        <v>9</v>
      </c>
      <c r="Y926" s="210"/>
      <c r="Z926" s="210"/>
      <c r="AA926" s="210"/>
      <c r="AB926" s="210"/>
      <c r="AC926" s="210">
        <v>1</v>
      </c>
      <c r="AD926" s="210"/>
      <c r="AE926" s="210"/>
    </row>
    <row r="927" spans="1:31" x14ac:dyDescent="0.2">
      <c r="A927" s="209"/>
      <c r="B927" s="4" t="s">
        <v>34</v>
      </c>
      <c r="C927" s="4">
        <v>922</v>
      </c>
      <c r="D927" s="210"/>
      <c r="E927" s="210"/>
      <c r="F927" s="210"/>
      <c r="G927" s="210"/>
      <c r="H927" s="210"/>
      <c r="I927" s="210"/>
      <c r="J927" s="4">
        <v>40122</v>
      </c>
      <c r="K927" s="210"/>
      <c r="L927" s="210">
        <v>58</v>
      </c>
      <c r="M927" s="4">
        <f t="shared" si="15"/>
        <v>9</v>
      </c>
      <c r="N927" s="4" t="str">
        <f>_xlfn.CONCAT("DBX",((L927-1)*2)+1,".1")</f>
        <v>DBX115.1</v>
      </c>
      <c r="O927" s="210" t="s">
        <v>782</v>
      </c>
      <c r="P927" s="210"/>
      <c r="Q927" s="210"/>
      <c r="R927" s="210"/>
      <c r="S927" s="210"/>
      <c r="T927" s="210"/>
      <c r="U927" s="210"/>
      <c r="V927" s="210"/>
      <c r="W927" s="210"/>
      <c r="X927" s="4" t="e">
        <f t="shared" si="16"/>
        <v>#N/A</v>
      </c>
      <c r="Y927" s="210"/>
      <c r="Z927" s="210"/>
      <c r="AA927" s="210"/>
      <c r="AB927" s="210"/>
      <c r="AC927" s="210"/>
      <c r="AD927" s="210"/>
      <c r="AE927" s="210"/>
    </row>
    <row r="928" spans="1:31" x14ac:dyDescent="0.2">
      <c r="A928" s="209"/>
      <c r="B928" s="4" t="s">
        <v>3170</v>
      </c>
      <c r="C928" s="4">
        <v>923</v>
      </c>
      <c r="D928" s="210" t="s">
        <v>1607</v>
      </c>
      <c r="E928" s="210" t="s">
        <v>1608</v>
      </c>
      <c r="F928" s="210" t="s">
        <v>1609</v>
      </c>
      <c r="G928" s="210" t="s">
        <v>72</v>
      </c>
      <c r="H928" s="210" t="s">
        <v>41</v>
      </c>
      <c r="I928" s="210" t="s">
        <v>84</v>
      </c>
      <c r="J928" s="4">
        <v>40123</v>
      </c>
      <c r="K928" s="210" t="s">
        <v>1652</v>
      </c>
      <c r="L928" s="210">
        <v>58</v>
      </c>
      <c r="M928" s="4">
        <f t="shared" si="15"/>
        <v>10</v>
      </c>
      <c r="N928" s="4" t="str">
        <f>_xlfn.CONCAT("DBX",((L928-1)*2)+1,".2")</f>
        <v>DBX115.2</v>
      </c>
      <c r="O928" s="210" t="s">
        <v>782</v>
      </c>
      <c r="P928" s="210" t="s">
        <v>1689</v>
      </c>
      <c r="Q928" s="210" t="s">
        <v>12</v>
      </c>
      <c r="R928" s="210"/>
      <c r="S928" s="210">
        <v>3923</v>
      </c>
      <c r="T928" s="4" t="s">
        <v>2550</v>
      </c>
      <c r="U928" s="210"/>
      <c r="V928" s="210" t="s">
        <v>3122</v>
      </c>
      <c r="W928" s="210" t="s">
        <v>125</v>
      </c>
      <c r="X928" s="4">
        <f t="shared" si="16"/>
        <v>9</v>
      </c>
      <c r="Y928" s="210"/>
      <c r="Z928" s="210"/>
      <c r="AA928" s="210"/>
      <c r="AB928" s="210"/>
      <c r="AC928" s="210">
        <v>1</v>
      </c>
      <c r="AD928" s="210"/>
      <c r="AE928" s="210"/>
    </row>
    <row r="929" spans="1:31" x14ac:dyDescent="0.2">
      <c r="A929" s="209"/>
      <c r="B929" s="4" t="s">
        <v>3170</v>
      </c>
      <c r="C929" s="4">
        <v>924</v>
      </c>
      <c r="D929" s="210" t="s">
        <v>1610</v>
      </c>
      <c r="E929" s="210" t="s">
        <v>1611</v>
      </c>
      <c r="F929" s="210" t="s">
        <v>1612</v>
      </c>
      <c r="G929" s="210" t="s">
        <v>72</v>
      </c>
      <c r="H929" s="210" t="s">
        <v>41</v>
      </c>
      <c r="I929" s="210" t="s">
        <v>84</v>
      </c>
      <c r="J929" s="4">
        <v>40124</v>
      </c>
      <c r="K929" s="210" t="s">
        <v>1653</v>
      </c>
      <c r="L929" s="210">
        <v>58</v>
      </c>
      <c r="M929" s="4">
        <f t="shared" si="15"/>
        <v>11</v>
      </c>
      <c r="N929" s="4" t="str">
        <f>_xlfn.CONCAT("DBX",((L929-1)*2)+1,".3")</f>
        <v>DBX115.3</v>
      </c>
      <c r="O929" s="210" t="s">
        <v>782</v>
      </c>
      <c r="P929" s="210" t="s">
        <v>1690</v>
      </c>
      <c r="Q929" s="210" t="s">
        <v>12</v>
      </c>
      <c r="R929" s="210"/>
      <c r="S929" s="210">
        <v>3923</v>
      </c>
      <c r="T929" s="4" t="s">
        <v>2550</v>
      </c>
      <c r="U929" s="210"/>
      <c r="V929" s="210" t="s">
        <v>3123</v>
      </c>
      <c r="W929" s="210" t="s">
        <v>125</v>
      </c>
      <c r="X929" s="4">
        <f t="shared" si="16"/>
        <v>9</v>
      </c>
      <c r="Y929" s="210"/>
      <c r="Z929" s="210"/>
      <c r="AA929" s="210"/>
      <c r="AB929" s="210"/>
      <c r="AC929" s="210">
        <v>1</v>
      </c>
      <c r="AD929" s="210"/>
      <c r="AE929" s="210"/>
    </row>
    <row r="930" spans="1:31" x14ac:dyDescent="0.2">
      <c r="A930" s="209"/>
      <c r="B930" s="4" t="s">
        <v>3170</v>
      </c>
      <c r="C930" s="4">
        <v>925</v>
      </c>
      <c r="D930" s="210" t="s">
        <v>1613</v>
      </c>
      <c r="E930" s="210" t="s">
        <v>1614</v>
      </c>
      <c r="F930" s="210" t="s">
        <v>1615</v>
      </c>
      <c r="G930" s="210" t="s">
        <v>72</v>
      </c>
      <c r="H930" s="210" t="s">
        <v>41</v>
      </c>
      <c r="I930" s="210" t="s">
        <v>84</v>
      </c>
      <c r="J930" s="4">
        <v>40125</v>
      </c>
      <c r="K930" s="210" t="s">
        <v>1654</v>
      </c>
      <c r="L930" s="210">
        <v>58</v>
      </c>
      <c r="M930" s="4">
        <f t="shared" si="15"/>
        <v>12</v>
      </c>
      <c r="N930" s="4" t="str">
        <f>_xlfn.CONCAT("DBX",((L930-1)*2)+1,".4")</f>
        <v>DBX115.4</v>
      </c>
      <c r="O930" s="210" t="s">
        <v>782</v>
      </c>
      <c r="P930" s="210" t="s">
        <v>1691</v>
      </c>
      <c r="Q930" s="210" t="s">
        <v>12</v>
      </c>
      <c r="R930" s="210"/>
      <c r="S930" s="210">
        <v>3923</v>
      </c>
      <c r="T930" s="4" t="s">
        <v>2550</v>
      </c>
      <c r="U930" s="210"/>
      <c r="V930" s="210" t="s">
        <v>3124</v>
      </c>
      <c r="W930" s="210" t="s">
        <v>125</v>
      </c>
      <c r="X930" s="4">
        <f t="shared" si="16"/>
        <v>9</v>
      </c>
      <c r="Y930" s="210"/>
      <c r="Z930" s="210"/>
      <c r="AA930" s="210"/>
      <c r="AB930" s="210"/>
      <c r="AC930" s="210">
        <v>1</v>
      </c>
      <c r="AD930" s="210"/>
      <c r="AE930" s="210"/>
    </row>
    <row r="931" spans="1:31" x14ac:dyDescent="0.2">
      <c r="A931" s="209"/>
      <c r="B931" s="4" t="s">
        <v>3170</v>
      </c>
      <c r="C931" s="4">
        <v>926</v>
      </c>
      <c r="D931" s="210" t="s">
        <v>1616</v>
      </c>
      <c r="E931" s="210" t="s">
        <v>1617</v>
      </c>
      <c r="F931" s="210" t="s">
        <v>1618</v>
      </c>
      <c r="G931" s="210" t="s">
        <v>72</v>
      </c>
      <c r="H931" s="210" t="s">
        <v>41</v>
      </c>
      <c r="I931" s="210" t="s">
        <v>84</v>
      </c>
      <c r="J931" s="4">
        <v>40126</v>
      </c>
      <c r="K931" s="210" t="s">
        <v>1655</v>
      </c>
      <c r="L931" s="210">
        <v>58</v>
      </c>
      <c r="M931" s="4">
        <f t="shared" si="15"/>
        <v>13</v>
      </c>
      <c r="N931" s="4" t="str">
        <f>_xlfn.CONCAT("DBX",((L931-1)*2)+1,".5")</f>
        <v>DBX115.5</v>
      </c>
      <c r="O931" s="210" t="s">
        <v>782</v>
      </c>
      <c r="P931" s="210" t="s">
        <v>1692</v>
      </c>
      <c r="Q931" s="210" t="s">
        <v>12</v>
      </c>
      <c r="R931" s="210"/>
      <c r="S931" s="210">
        <v>3923</v>
      </c>
      <c r="T931" s="4" t="s">
        <v>2550</v>
      </c>
      <c r="U931" s="210"/>
      <c r="V931" s="210" t="s">
        <v>3125</v>
      </c>
      <c r="W931" s="210" t="s">
        <v>125</v>
      </c>
      <c r="X931" s="4">
        <f t="shared" si="16"/>
        <v>9</v>
      </c>
      <c r="Y931" s="210"/>
      <c r="Z931" s="210"/>
      <c r="AA931" s="210"/>
      <c r="AB931" s="210"/>
      <c r="AC931" s="210">
        <v>1</v>
      </c>
      <c r="AD931" s="210"/>
      <c r="AE931" s="210"/>
    </row>
    <row r="932" spans="1:31" x14ac:dyDescent="0.2">
      <c r="A932" s="209"/>
      <c r="B932" s="4" t="s">
        <v>3170</v>
      </c>
      <c r="C932" s="4">
        <v>927</v>
      </c>
      <c r="D932" s="210" t="s">
        <v>1619</v>
      </c>
      <c r="E932" s="210" t="s">
        <v>2532</v>
      </c>
      <c r="F932" s="210" t="s">
        <v>2533</v>
      </c>
      <c r="G932" s="210" t="s">
        <v>72</v>
      </c>
      <c r="H932" s="210" t="s">
        <v>41</v>
      </c>
      <c r="I932" s="210" t="s">
        <v>84</v>
      </c>
      <c r="J932" s="4">
        <v>40127</v>
      </c>
      <c r="K932" s="210" t="s">
        <v>1656</v>
      </c>
      <c r="L932" s="210">
        <v>58</v>
      </c>
      <c r="M932" s="4">
        <f t="shared" si="15"/>
        <v>14</v>
      </c>
      <c r="N932" s="4" t="str">
        <f>_xlfn.CONCAT("DBX",((L932-1)*2)+1,".6")</f>
        <v>DBX115.6</v>
      </c>
      <c r="O932" s="210" t="s">
        <v>782</v>
      </c>
      <c r="P932" s="210" t="s">
        <v>1693</v>
      </c>
      <c r="Q932" s="210" t="s">
        <v>12</v>
      </c>
      <c r="R932" s="210"/>
      <c r="S932" s="210">
        <v>3923</v>
      </c>
      <c r="T932" s="4" t="s">
        <v>2550</v>
      </c>
      <c r="U932" s="210"/>
      <c r="V932" s="210" t="s">
        <v>3126</v>
      </c>
      <c r="W932" s="210" t="s">
        <v>125</v>
      </c>
      <c r="X932" s="4">
        <f t="shared" si="16"/>
        <v>9</v>
      </c>
      <c r="Y932" s="210"/>
      <c r="Z932" s="210"/>
      <c r="AA932" s="210"/>
      <c r="AB932" s="210"/>
      <c r="AC932" s="210">
        <v>1</v>
      </c>
      <c r="AD932" s="210"/>
      <c r="AE932" s="210"/>
    </row>
    <row r="933" spans="1:31" x14ac:dyDescent="0.2">
      <c r="A933" s="209"/>
      <c r="B933" s="4" t="s">
        <v>34</v>
      </c>
      <c r="C933" s="4">
        <v>928</v>
      </c>
      <c r="D933" s="210"/>
      <c r="E933" s="210"/>
      <c r="F933" s="210"/>
      <c r="G933" s="210"/>
      <c r="H933" s="210"/>
      <c r="I933" s="210"/>
      <c r="J933" s="4">
        <v>40128</v>
      </c>
      <c r="K933" s="210"/>
      <c r="L933" s="210">
        <v>58</v>
      </c>
      <c r="M933" s="4">
        <f t="shared" si="15"/>
        <v>15</v>
      </c>
      <c r="N933" s="4" t="str">
        <f>_xlfn.CONCAT("DBX",((L933-1)*2)+1,".7")</f>
        <v>DBX115.7</v>
      </c>
      <c r="O933" s="210" t="s">
        <v>782</v>
      </c>
      <c r="P933" s="210"/>
      <c r="Q933" s="210"/>
      <c r="R933" s="210"/>
      <c r="S933" s="210"/>
      <c r="T933" s="210"/>
      <c r="U933" s="210"/>
      <c r="V933" s="210"/>
      <c r="W933" s="210"/>
      <c r="X933" s="4" t="e">
        <f t="shared" si="16"/>
        <v>#N/A</v>
      </c>
      <c r="Y933" s="210"/>
      <c r="Z933" s="210"/>
      <c r="AA933" s="210"/>
      <c r="AB933" s="210"/>
      <c r="AC933" s="210"/>
      <c r="AD933" s="210"/>
      <c r="AE933" s="210"/>
    </row>
    <row r="934" spans="1:31" x14ac:dyDescent="0.2">
      <c r="A934" s="209"/>
      <c r="B934" s="4" t="s">
        <v>34</v>
      </c>
      <c r="C934" s="4">
        <v>929</v>
      </c>
      <c r="D934" s="210"/>
      <c r="E934" s="210"/>
      <c r="F934" s="210"/>
      <c r="G934" s="210"/>
      <c r="H934" s="210"/>
      <c r="I934" s="210"/>
      <c r="J934" s="4">
        <v>40129</v>
      </c>
      <c r="K934" s="210"/>
      <c r="L934" s="210">
        <v>59</v>
      </c>
      <c r="M934" s="4">
        <f t="shared" ref="M934:M997" si="17">M918</f>
        <v>0</v>
      </c>
      <c r="N934" s="4" t="str">
        <f>_xlfn.CONCAT("DBX",((L934-1)*2),".0")</f>
        <v>DBX116.0</v>
      </c>
      <c r="O934" s="210" t="s">
        <v>782</v>
      </c>
      <c r="P934" s="210"/>
      <c r="Q934" s="210"/>
      <c r="R934" s="210"/>
      <c r="S934" s="210"/>
      <c r="T934" s="210"/>
      <c r="U934" s="210"/>
      <c r="V934" s="210"/>
      <c r="W934" s="210"/>
      <c r="X934" s="4" t="e">
        <f t="shared" ref="X934:X997" si="18">VLOOKUP(W934,$W$1609:$X$1639,2,FALSE)</f>
        <v>#N/A</v>
      </c>
      <c r="Y934" s="210"/>
      <c r="Z934" s="210"/>
      <c r="AA934" s="210"/>
      <c r="AB934" s="210"/>
      <c r="AC934" s="210"/>
      <c r="AD934" s="210"/>
      <c r="AE934" s="210"/>
    </row>
    <row r="935" spans="1:31" x14ac:dyDescent="0.2">
      <c r="A935" s="209"/>
      <c r="B935" s="4" t="s">
        <v>34</v>
      </c>
      <c r="C935" s="4">
        <v>930</v>
      </c>
      <c r="D935" s="210"/>
      <c r="E935" s="210"/>
      <c r="F935" s="210"/>
      <c r="G935" s="210"/>
      <c r="H935" s="210"/>
      <c r="I935" s="210"/>
      <c r="J935" s="4">
        <v>40130</v>
      </c>
      <c r="K935" s="210"/>
      <c r="L935" s="210">
        <v>59</v>
      </c>
      <c r="M935" s="4">
        <f t="shared" si="17"/>
        <v>1</v>
      </c>
      <c r="N935" s="4" t="str">
        <f>_xlfn.CONCAT("DBX",((L935-1)*2),".1")</f>
        <v>DBX116.1</v>
      </c>
      <c r="O935" s="210" t="s">
        <v>782</v>
      </c>
      <c r="P935" s="210"/>
      <c r="Q935" s="210"/>
      <c r="R935" s="210"/>
      <c r="S935" s="210"/>
      <c r="T935" s="210"/>
      <c r="U935" s="210"/>
      <c r="V935" s="210"/>
      <c r="W935" s="210"/>
      <c r="X935" s="4" t="e">
        <f t="shared" si="18"/>
        <v>#N/A</v>
      </c>
      <c r="Y935" s="210"/>
      <c r="Z935" s="210"/>
      <c r="AA935" s="210"/>
      <c r="AB935" s="210"/>
      <c r="AC935" s="210"/>
      <c r="AD935" s="210"/>
      <c r="AE935" s="210"/>
    </row>
    <row r="936" spans="1:31" x14ac:dyDescent="0.2">
      <c r="A936" s="209"/>
      <c r="B936" s="4" t="s">
        <v>3170</v>
      </c>
      <c r="C936" s="4">
        <v>931</v>
      </c>
      <c r="D936" s="210" t="s">
        <v>829</v>
      </c>
      <c r="E936" s="210" t="s">
        <v>820</v>
      </c>
      <c r="F936" s="210" t="s">
        <v>821</v>
      </c>
      <c r="G936" s="210" t="s">
        <v>72</v>
      </c>
      <c r="H936" s="210" t="s">
        <v>41</v>
      </c>
      <c r="I936" s="210" t="s">
        <v>84</v>
      </c>
      <c r="J936" s="4">
        <v>40131</v>
      </c>
      <c r="K936" s="210" t="s">
        <v>826</v>
      </c>
      <c r="L936" s="210">
        <v>59</v>
      </c>
      <c r="M936" s="4">
        <f t="shared" si="17"/>
        <v>2</v>
      </c>
      <c r="N936" s="4" t="str">
        <f>_xlfn.CONCAT("DBX",((L936-1)*2),".2")</f>
        <v>DBX116.2</v>
      </c>
      <c r="O936" s="210" t="s">
        <v>782</v>
      </c>
      <c r="P936" s="210" t="s">
        <v>11</v>
      </c>
      <c r="Q936" s="210" t="s">
        <v>12</v>
      </c>
      <c r="R936" s="210"/>
      <c r="S936" s="210">
        <v>3923</v>
      </c>
      <c r="T936" s="4" t="s">
        <v>2550</v>
      </c>
      <c r="U936" s="210"/>
      <c r="V936" s="210" t="s">
        <v>3143</v>
      </c>
      <c r="W936" s="210" t="s">
        <v>129</v>
      </c>
      <c r="X936" s="4">
        <f t="shared" si="18"/>
        <v>13</v>
      </c>
      <c r="Y936" s="210"/>
      <c r="Z936" s="210"/>
      <c r="AA936" s="210"/>
      <c r="AB936" s="210"/>
      <c r="AC936" s="210">
        <v>1</v>
      </c>
      <c r="AD936" s="210"/>
      <c r="AE936" s="210"/>
    </row>
    <row r="937" spans="1:31" x14ac:dyDescent="0.2">
      <c r="A937" s="209"/>
      <c r="B937" s="4" t="s">
        <v>3170</v>
      </c>
      <c r="C937" s="4">
        <v>932</v>
      </c>
      <c r="D937" s="210" t="s">
        <v>830</v>
      </c>
      <c r="E937" s="210" t="s">
        <v>824</v>
      </c>
      <c r="F937" s="210" t="s">
        <v>822</v>
      </c>
      <c r="G937" s="210" t="s">
        <v>72</v>
      </c>
      <c r="H937" s="210" t="s">
        <v>41</v>
      </c>
      <c r="I937" s="210" t="s">
        <v>84</v>
      </c>
      <c r="J937" s="4">
        <v>40132</v>
      </c>
      <c r="K937" s="210" t="s">
        <v>827</v>
      </c>
      <c r="L937" s="210">
        <v>59</v>
      </c>
      <c r="M937" s="4">
        <f t="shared" si="17"/>
        <v>3</v>
      </c>
      <c r="N937" s="4" t="str">
        <f>_xlfn.CONCAT("DBX",((L937-1)*2),".3")</f>
        <v>DBX116.3</v>
      </c>
      <c r="O937" s="210" t="s">
        <v>782</v>
      </c>
      <c r="P937" s="210" t="s">
        <v>11</v>
      </c>
      <c r="Q937" s="210" t="s">
        <v>12</v>
      </c>
      <c r="R937" s="210"/>
      <c r="S937" s="210">
        <v>3923</v>
      </c>
      <c r="T937" s="4" t="s">
        <v>2550</v>
      </c>
      <c r="U937" s="210"/>
      <c r="V937" s="210" t="s">
        <v>3142</v>
      </c>
      <c r="W937" s="210" t="s">
        <v>129</v>
      </c>
      <c r="X937" s="4">
        <f t="shared" si="18"/>
        <v>13</v>
      </c>
      <c r="Y937" s="210"/>
      <c r="Z937" s="210"/>
      <c r="AA937" s="210"/>
      <c r="AB937" s="210"/>
      <c r="AC937" s="210">
        <v>1</v>
      </c>
      <c r="AD937" s="210"/>
      <c r="AE937" s="210"/>
    </row>
    <row r="938" spans="1:31" x14ac:dyDescent="0.2">
      <c r="A938" s="209"/>
      <c r="B938" s="4" t="s">
        <v>3170</v>
      </c>
      <c r="C938" s="4">
        <v>933</v>
      </c>
      <c r="D938" s="210" t="s">
        <v>831</v>
      </c>
      <c r="E938" s="210" t="s">
        <v>825</v>
      </c>
      <c r="F938" s="210" t="s">
        <v>823</v>
      </c>
      <c r="G938" s="210" t="s">
        <v>72</v>
      </c>
      <c r="H938" s="210" t="s">
        <v>41</v>
      </c>
      <c r="I938" s="210" t="s">
        <v>84</v>
      </c>
      <c r="J938" s="4">
        <v>40133</v>
      </c>
      <c r="K938" s="210" t="s">
        <v>828</v>
      </c>
      <c r="L938" s="210">
        <v>59</v>
      </c>
      <c r="M938" s="4">
        <f t="shared" si="17"/>
        <v>4</v>
      </c>
      <c r="N938" s="4" t="str">
        <f>_xlfn.CONCAT("DBX",((L938-1)*2),".4")</f>
        <v>DBX116.4</v>
      </c>
      <c r="O938" s="210" t="s">
        <v>782</v>
      </c>
      <c r="P938" s="210" t="s">
        <v>11</v>
      </c>
      <c r="Q938" s="210" t="s">
        <v>12</v>
      </c>
      <c r="R938" s="210"/>
      <c r="S938" s="210">
        <v>3923</v>
      </c>
      <c r="T938" s="4" t="s">
        <v>2550</v>
      </c>
      <c r="U938" s="210"/>
      <c r="V938" s="210" t="s">
        <v>3140</v>
      </c>
      <c r="W938" s="210" t="s">
        <v>129</v>
      </c>
      <c r="X938" s="4">
        <f t="shared" si="18"/>
        <v>13</v>
      </c>
      <c r="Y938" s="210"/>
      <c r="Z938" s="210"/>
      <c r="AA938" s="210"/>
      <c r="AB938" s="210"/>
      <c r="AC938" s="210">
        <v>1</v>
      </c>
      <c r="AD938" s="210"/>
      <c r="AE938" s="210"/>
    </row>
    <row r="939" spans="1:31" x14ac:dyDescent="0.2">
      <c r="A939" s="209"/>
      <c r="B939" s="4" t="s">
        <v>33</v>
      </c>
      <c r="C939" s="4">
        <v>934</v>
      </c>
      <c r="D939" s="210" t="s">
        <v>1974</v>
      </c>
      <c r="E939" s="210" t="s">
        <v>1975</v>
      </c>
      <c r="F939" s="210" t="s">
        <v>2394</v>
      </c>
      <c r="G939" s="210" t="s">
        <v>72</v>
      </c>
      <c r="H939" s="210" t="s">
        <v>41</v>
      </c>
      <c r="I939" s="210" t="s">
        <v>84</v>
      </c>
      <c r="J939" s="4">
        <v>40134</v>
      </c>
      <c r="K939" s="210" t="s">
        <v>881</v>
      </c>
      <c r="L939" s="210">
        <v>59</v>
      </c>
      <c r="M939" s="4">
        <f t="shared" si="17"/>
        <v>5</v>
      </c>
      <c r="N939" s="4" t="str">
        <f>_xlfn.CONCAT("DBX",((L939-1)*2),".5")</f>
        <v>DBX116.5</v>
      </c>
      <c r="O939" s="210" t="s">
        <v>782</v>
      </c>
      <c r="P939" s="210" t="s">
        <v>11</v>
      </c>
      <c r="Q939" s="210" t="s">
        <v>12</v>
      </c>
      <c r="R939" s="210"/>
      <c r="S939" s="210">
        <v>3923</v>
      </c>
      <c r="T939" s="4" t="s">
        <v>2550</v>
      </c>
      <c r="U939" s="210"/>
      <c r="V939" s="210"/>
      <c r="W939" s="210" t="s">
        <v>129</v>
      </c>
      <c r="X939" s="4">
        <f t="shared" si="18"/>
        <v>13</v>
      </c>
      <c r="Y939" s="210"/>
      <c r="Z939" s="210"/>
      <c r="AA939" s="210"/>
      <c r="AB939" s="210"/>
      <c r="AC939" s="210">
        <v>1</v>
      </c>
      <c r="AD939" s="210"/>
      <c r="AE939" s="210"/>
    </row>
    <row r="940" spans="1:31" x14ac:dyDescent="0.2">
      <c r="A940" s="209"/>
      <c r="B940" s="4" t="s">
        <v>34</v>
      </c>
      <c r="C940" s="4">
        <v>935</v>
      </c>
      <c r="D940" s="210"/>
      <c r="E940" s="210"/>
      <c r="F940" s="210"/>
      <c r="G940" s="210"/>
      <c r="H940" s="210"/>
      <c r="I940" s="210"/>
      <c r="J940" s="4">
        <v>40135</v>
      </c>
      <c r="K940" s="210"/>
      <c r="L940" s="210">
        <v>59</v>
      </c>
      <c r="M940" s="4">
        <f t="shared" si="17"/>
        <v>6</v>
      </c>
      <c r="N940" s="4" t="str">
        <f>_xlfn.CONCAT("DBX",((L940-1)*2),".6")</f>
        <v>DBX116.6</v>
      </c>
      <c r="O940" s="210" t="s">
        <v>782</v>
      </c>
      <c r="P940" s="210"/>
      <c r="Q940" s="210"/>
      <c r="R940" s="210"/>
      <c r="S940" s="210"/>
      <c r="T940" s="210"/>
      <c r="U940" s="210"/>
      <c r="V940" s="210"/>
      <c r="W940" s="210"/>
      <c r="X940" s="4" t="e">
        <f t="shared" si="18"/>
        <v>#N/A</v>
      </c>
      <c r="Y940" s="210"/>
      <c r="Z940" s="210"/>
      <c r="AA940" s="210"/>
      <c r="AB940" s="210"/>
      <c r="AC940" s="210"/>
      <c r="AD940" s="210"/>
      <c r="AE940" s="210"/>
    </row>
    <row r="941" spans="1:31" x14ac:dyDescent="0.2">
      <c r="A941" s="209"/>
      <c r="B941" s="4" t="s">
        <v>34</v>
      </c>
      <c r="C941" s="4">
        <v>936</v>
      </c>
      <c r="D941" s="210"/>
      <c r="E941" s="210"/>
      <c r="F941" s="210"/>
      <c r="G941" s="210"/>
      <c r="H941" s="210"/>
      <c r="I941" s="210"/>
      <c r="J941" s="4">
        <v>40136</v>
      </c>
      <c r="K941" s="210"/>
      <c r="L941" s="210">
        <v>59</v>
      </c>
      <c r="M941" s="4">
        <f t="shared" si="17"/>
        <v>7</v>
      </c>
      <c r="N941" s="4" t="str">
        <f>_xlfn.CONCAT("DBX",((L941-1)*2),".7")</f>
        <v>DBX116.7</v>
      </c>
      <c r="O941" s="210" t="s">
        <v>782</v>
      </c>
      <c r="P941" s="210"/>
      <c r="Q941" s="210"/>
      <c r="R941" s="210"/>
      <c r="S941" s="210"/>
      <c r="T941" s="210"/>
      <c r="U941" s="210"/>
      <c r="V941" s="210"/>
      <c r="W941" s="210"/>
      <c r="X941" s="4" t="e">
        <f t="shared" si="18"/>
        <v>#N/A</v>
      </c>
      <c r="Y941" s="210"/>
      <c r="Z941" s="210"/>
      <c r="AA941" s="210"/>
      <c r="AB941" s="210"/>
      <c r="AC941" s="210"/>
      <c r="AD941" s="210"/>
      <c r="AE941" s="210"/>
    </row>
    <row r="942" spans="1:31" x14ac:dyDescent="0.2">
      <c r="A942" s="209"/>
      <c r="B942" s="4" t="s">
        <v>104</v>
      </c>
      <c r="C942" s="4">
        <v>937</v>
      </c>
      <c r="D942" s="210" t="s">
        <v>860</v>
      </c>
      <c r="E942" s="210" t="s">
        <v>861</v>
      </c>
      <c r="F942" s="210" t="s">
        <v>862</v>
      </c>
      <c r="G942" s="210" t="s">
        <v>72</v>
      </c>
      <c r="H942" s="210" t="s">
        <v>41</v>
      </c>
      <c r="I942" s="210" t="s">
        <v>84</v>
      </c>
      <c r="J942" s="4">
        <v>40137</v>
      </c>
      <c r="K942" s="210" t="s">
        <v>863</v>
      </c>
      <c r="L942" s="210">
        <v>59</v>
      </c>
      <c r="M942" s="4">
        <f t="shared" si="17"/>
        <v>8</v>
      </c>
      <c r="N942" s="4" t="str">
        <f>_xlfn.CONCAT("DBX",((L942-1)*2)+1,".0")</f>
        <v>DBX117.0</v>
      </c>
      <c r="O942" s="210" t="s">
        <v>782</v>
      </c>
      <c r="P942" s="210" t="s">
        <v>11</v>
      </c>
      <c r="Q942" s="210" t="s">
        <v>12</v>
      </c>
      <c r="R942" s="210"/>
      <c r="S942" s="210">
        <v>3923</v>
      </c>
      <c r="T942" s="4" t="s">
        <v>2550</v>
      </c>
      <c r="U942" s="210"/>
      <c r="V942" s="210"/>
      <c r="W942" s="210" t="s">
        <v>129</v>
      </c>
      <c r="X942" s="4">
        <f t="shared" si="18"/>
        <v>13</v>
      </c>
      <c r="Y942" s="210"/>
      <c r="Z942" s="210"/>
      <c r="AA942" s="210"/>
      <c r="AB942" s="210"/>
      <c r="AC942" s="210">
        <v>1</v>
      </c>
      <c r="AD942" s="210"/>
      <c r="AE942" s="210"/>
    </row>
    <row r="943" spans="1:31" x14ac:dyDescent="0.2">
      <c r="A943" s="209"/>
      <c r="B943" s="4" t="s">
        <v>3170</v>
      </c>
      <c r="C943" s="4">
        <v>938</v>
      </c>
      <c r="D943" s="210" t="s">
        <v>872</v>
      </c>
      <c r="E943" s="210" t="s">
        <v>864</v>
      </c>
      <c r="F943" s="210" t="s">
        <v>867</v>
      </c>
      <c r="G943" s="210" t="s">
        <v>72</v>
      </c>
      <c r="H943" s="210" t="s">
        <v>41</v>
      </c>
      <c r="I943" s="210" t="s">
        <v>84</v>
      </c>
      <c r="J943" s="4">
        <v>40138</v>
      </c>
      <c r="K943" s="210" t="s">
        <v>2681</v>
      </c>
      <c r="L943" s="210">
        <v>59</v>
      </c>
      <c r="M943" s="4">
        <f t="shared" si="17"/>
        <v>9</v>
      </c>
      <c r="N943" s="4" t="str">
        <f>_xlfn.CONCAT("DBX",((L943-1)*2)+1,".1")</f>
        <v>DBX117.1</v>
      </c>
      <c r="O943" s="210" t="s">
        <v>782</v>
      </c>
      <c r="P943" s="210" t="s">
        <v>11</v>
      </c>
      <c r="Q943" s="210" t="s">
        <v>12</v>
      </c>
      <c r="R943" s="210"/>
      <c r="S943" s="210">
        <v>3923</v>
      </c>
      <c r="T943" s="4" t="s">
        <v>2550</v>
      </c>
      <c r="U943" s="210"/>
      <c r="V943" s="210" t="s">
        <v>3149</v>
      </c>
      <c r="W943" s="210" t="s">
        <v>129</v>
      </c>
      <c r="X943" s="4">
        <f t="shared" si="18"/>
        <v>13</v>
      </c>
      <c r="Y943" s="210"/>
      <c r="Z943" s="210"/>
      <c r="AA943" s="210"/>
      <c r="AB943" s="210"/>
      <c r="AC943" s="210">
        <v>1</v>
      </c>
      <c r="AD943" s="210"/>
      <c r="AE943" s="210"/>
    </row>
    <row r="944" spans="1:31" x14ac:dyDescent="0.2">
      <c r="A944" s="209"/>
      <c r="B944" s="4" t="s">
        <v>3170</v>
      </c>
      <c r="C944" s="4">
        <v>939</v>
      </c>
      <c r="D944" s="210" t="s">
        <v>873</v>
      </c>
      <c r="E944" s="210" t="s">
        <v>865</v>
      </c>
      <c r="F944" s="210" t="s">
        <v>868</v>
      </c>
      <c r="G944" s="210" t="s">
        <v>72</v>
      </c>
      <c r="H944" s="210" t="s">
        <v>41</v>
      </c>
      <c r="I944" s="210" t="s">
        <v>84</v>
      </c>
      <c r="J944" s="4">
        <v>40139</v>
      </c>
      <c r="K944" s="210" t="s">
        <v>870</v>
      </c>
      <c r="L944" s="210">
        <v>59</v>
      </c>
      <c r="M944" s="4">
        <f t="shared" si="17"/>
        <v>10</v>
      </c>
      <c r="N944" s="4" t="str">
        <f>_xlfn.CONCAT("DBX",((L944-1)*2)+1,".2")</f>
        <v>DBX117.2</v>
      </c>
      <c r="O944" s="210" t="s">
        <v>782</v>
      </c>
      <c r="P944" s="210" t="s">
        <v>11</v>
      </c>
      <c r="Q944" s="210" t="s">
        <v>12</v>
      </c>
      <c r="R944" s="210"/>
      <c r="S944" s="210">
        <v>3923</v>
      </c>
      <c r="T944" s="4" t="s">
        <v>2550</v>
      </c>
      <c r="U944" s="210"/>
      <c r="V944" s="210" t="s">
        <v>3141</v>
      </c>
      <c r="W944" s="210" t="s">
        <v>129</v>
      </c>
      <c r="X944" s="4">
        <f t="shared" si="18"/>
        <v>13</v>
      </c>
      <c r="Y944" s="210"/>
      <c r="Z944" s="210"/>
      <c r="AA944" s="210"/>
      <c r="AB944" s="210"/>
      <c r="AC944" s="210">
        <v>1</v>
      </c>
      <c r="AD944" s="210"/>
      <c r="AE944" s="210"/>
    </row>
    <row r="945" spans="1:31" x14ac:dyDescent="0.2">
      <c r="A945" s="209"/>
      <c r="B945" s="4" t="s">
        <v>3170</v>
      </c>
      <c r="C945" s="4">
        <v>940</v>
      </c>
      <c r="D945" s="210" t="s">
        <v>874</v>
      </c>
      <c r="E945" s="210" t="s">
        <v>866</v>
      </c>
      <c r="F945" s="210" t="s">
        <v>869</v>
      </c>
      <c r="G945" s="210" t="s">
        <v>72</v>
      </c>
      <c r="H945" s="210" t="s">
        <v>41</v>
      </c>
      <c r="I945" s="210" t="s">
        <v>84</v>
      </c>
      <c r="J945" s="4">
        <v>40140</v>
      </c>
      <c r="K945" s="210" t="s">
        <v>871</v>
      </c>
      <c r="L945" s="210">
        <v>59</v>
      </c>
      <c r="M945" s="4">
        <f t="shared" si="17"/>
        <v>11</v>
      </c>
      <c r="N945" s="4" t="str">
        <f>_xlfn.CONCAT("DBX",((L945-1)*2)+1,".3")</f>
        <v>DBX117.3</v>
      </c>
      <c r="O945" s="210" t="s">
        <v>782</v>
      </c>
      <c r="P945" s="210" t="s">
        <v>11</v>
      </c>
      <c r="Q945" s="210" t="s">
        <v>12</v>
      </c>
      <c r="R945" s="210"/>
      <c r="S945" s="210">
        <v>3923</v>
      </c>
      <c r="T945" s="4" t="s">
        <v>2550</v>
      </c>
      <c r="U945" s="210"/>
      <c r="V945" s="210" t="s">
        <v>3168</v>
      </c>
      <c r="W945" s="210" t="s">
        <v>129</v>
      </c>
      <c r="X945" s="4">
        <f t="shared" si="18"/>
        <v>13</v>
      </c>
      <c r="Y945" s="210"/>
      <c r="Z945" s="210"/>
      <c r="AA945" s="210"/>
      <c r="AB945" s="210"/>
      <c r="AC945" s="210">
        <v>1</v>
      </c>
      <c r="AD945" s="210"/>
      <c r="AE945" s="210"/>
    </row>
    <row r="946" spans="1:31" x14ac:dyDescent="0.2">
      <c r="A946" s="209"/>
      <c r="B946" s="4" t="s">
        <v>34</v>
      </c>
      <c r="C946" s="4">
        <v>941</v>
      </c>
      <c r="D946" s="210"/>
      <c r="E946" s="210"/>
      <c r="F946" s="210"/>
      <c r="G946" s="210"/>
      <c r="H946" s="210"/>
      <c r="I946" s="210"/>
      <c r="J946" s="4">
        <v>40141</v>
      </c>
      <c r="K946" s="210"/>
      <c r="L946" s="210">
        <v>59</v>
      </c>
      <c r="M946" s="4">
        <f t="shared" si="17"/>
        <v>12</v>
      </c>
      <c r="N946" s="4" t="str">
        <f>_xlfn.CONCAT("DBX",((L946-1)*2)+1,".4")</f>
        <v>DBX117.4</v>
      </c>
      <c r="O946" s="210" t="s">
        <v>782</v>
      </c>
      <c r="P946" s="210"/>
      <c r="Q946" s="210"/>
      <c r="R946" s="210"/>
      <c r="S946" s="210"/>
      <c r="T946" s="210"/>
      <c r="U946" s="210"/>
      <c r="V946" s="210"/>
      <c r="W946" s="210"/>
      <c r="X946" s="4" t="e">
        <f t="shared" si="18"/>
        <v>#N/A</v>
      </c>
      <c r="Y946" s="210"/>
      <c r="Z946" s="210"/>
      <c r="AA946" s="210"/>
      <c r="AB946" s="210"/>
      <c r="AC946" s="210"/>
      <c r="AD946" s="210"/>
      <c r="AE946" s="210"/>
    </row>
    <row r="947" spans="1:31" x14ac:dyDescent="0.2">
      <c r="A947" s="209"/>
      <c r="B947" s="4" t="s">
        <v>34</v>
      </c>
      <c r="C947" s="4">
        <v>942</v>
      </c>
      <c r="D947" s="210"/>
      <c r="E947" s="210"/>
      <c r="F947" s="210"/>
      <c r="G947" s="210"/>
      <c r="H947" s="210"/>
      <c r="I947" s="210"/>
      <c r="J947" s="4">
        <v>40142</v>
      </c>
      <c r="K947" s="210"/>
      <c r="L947" s="210">
        <v>59</v>
      </c>
      <c r="M947" s="4">
        <f t="shared" si="17"/>
        <v>13</v>
      </c>
      <c r="N947" s="4" t="str">
        <f>_xlfn.CONCAT("DBX",((L947-1)*2)+1,".5")</f>
        <v>DBX117.5</v>
      </c>
      <c r="O947" s="210" t="s">
        <v>782</v>
      </c>
      <c r="P947" s="210"/>
      <c r="Q947" s="210"/>
      <c r="R947" s="210"/>
      <c r="S947" s="210"/>
      <c r="T947" s="210"/>
      <c r="U947" s="210"/>
      <c r="V947" s="210"/>
      <c r="W947" s="210"/>
      <c r="X947" s="4" t="e">
        <f t="shared" si="18"/>
        <v>#N/A</v>
      </c>
      <c r="Y947" s="210"/>
      <c r="Z947" s="210"/>
      <c r="AA947" s="210"/>
      <c r="AB947" s="210"/>
      <c r="AC947" s="210"/>
      <c r="AD947" s="210"/>
      <c r="AE947" s="210"/>
    </row>
    <row r="948" spans="1:31" x14ac:dyDescent="0.2">
      <c r="A948" s="209"/>
      <c r="B948" s="4" t="s">
        <v>3170</v>
      </c>
      <c r="C948" s="4">
        <v>943</v>
      </c>
      <c r="D948" s="210" t="s">
        <v>877</v>
      </c>
      <c r="E948" s="210" t="s">
        <v>816</v>
      </c>
      <c r="F948" s="210" t="s">
        <v>817</v>
      </c>
      <c r="G948" s="210" t="s">
        <v>72</v>
      </c>
      <c r="H948" s="210" t="s">
        <v>41</v>
      </c>
      <c r="I948" s="210" t="s">
        <v>84</v>
      </c>
      <c r="J948" s="4">
        <v>40143</v>
      </c>
      <c r="K948" s="210" t="s">
        <v>875</v>
      </c>
      <c r="L948" s="210">
        <v>59</v>
      </c>
      <c r="M948" s="4">
        <f t="shared" si="17"/>
        <v>14</v>
      </c>
      <c r="N948" s="4" t="str">
        <f>_xlfn.CONCAT("DBX",((L948-1)*2)+1,".6")</f>
        <v>DBX117.6</v>
      </c>
      <c r="O948" s="210" t="s">
        <v>782</v>
      </c>
      <c r="P948" s="210" t="s">
        <v>11</v>
      </c>
      <c r="Q948" s="210" t="s">
        <v>12</v>
      </c>
      <c r="R948" s="210"/>
      <c r="S948" s="210">
        <v>3923</v>
      </c>
      <c r="T948" s="4" t="s">
        <v>2550</v>
      </c>
      <c r="U948" s="210"/>
      <c r="V948" s="210" t="s">
        <v>3127</v>
      </c>
      <c r="W948" s="210" t="s">
        <v>129</v>
      </c>
      <c r="X948" s="4">
        <f t="shared" si="18"/>
        <v>13</v>
      </c>
      <c r="Y948" s="210"/>
      <c r="Z948" s="210"/>
      <c r="AA948" s="210"/>
      <c r="AB948" s="210"/>
      <c r="AC948" s="210">
        <v>1</v>
      </c>
      <c r="AD948" s="210"/>
      <c r="AE948" s="210"/>
    </row>
    <row r="949" spans="1:31" x14ac:dyDescent="0.2">
      <c r="A949" s="209"/>
      <c r="B949" s="4" t="s">
        <v>3170</v>
      </c>
      <c r="C949" s="4">
        <v>944</v>
      </c>
      <c r="D949" s="210" t="s">
        <v>878</v>
      </c>
      <c r="E949" s="210" t="s">
        <v>818</v>
      </c>
      <c r="F949" s="210" t="s">
        <v>819</v>
      </c>
      <c r="G949" s="210" t="s">
        <v>72</v>
      </c>
      <c r="H949" s="210" t="s">
        <v>41</v>
      </c>
      <c r="I949" s="210" t="s">
        <v>84</v>
      </c>
      <c r="J949" s="4">
        <v>40144</v>
      </c>
      <c r="K949" s="210" t="s">
        <v>876</v>
      </c>
      <c r="L949" s="210">
        <v>59</v>
      </c>
      <c r="M949" s="4">
        <f t="shared" si="17"/>
        <v>15</v>
      </c>
      <c r="N949" s="4" t="str">
        <f>_xlfn.CONCAT("DBX",((L949-1)*2)+1,".7")</f>
        <v>DBX117.7</v>
      </c>
      <c r="O949" s="210" t="s">
        <v>782</v>
      </c>
      <c r="P949" s="210" t="s">
        <v>11</v>
      </c>
      <c r="Q949" s="210" t="s">
        <v>12</v>
      </c>
      <c r="R949" s="210"/>
      <c r="S949" s="210">
        <v>3923</v>
      </c>
      <c r="T949" s="4" t="s">
        <v>2550</v>
      </c>
      <c r="U949" s="210"/>
      <c r="V949" s="210" t="s">
        <v>3128</v>
      </c>
      <c r="W949" s="210" t="s">
        <v>129</v>
      </c>
      <c r="X949" s="4">
        <f t="shared" si="18"/>
        <v>13</v>
      </c>
      <c r="Y949" s="210"/>
      <c r="Z949" s="210"/>
      <c r="AA949" s="210"/>
      <c r="AB949" s="210"/>
      <c r="AC949" s="210">
        <v>1</v>
      </c>
      <c r="AD949" s="210"/>
      <c r="AE949" s="210"/>
    </row>
    <row r="950" spans="1:31" x14ac:dyDescent="0.2">
      <c r="A950" s="209"/>
      <c r="B950" s="4" t="s">
        <v>34</v>
      </c>
      <c r="C950" s="4">
        <v>945</v>
      </c>
      <c r="D950" s="210"/>
      <c r="E950" s="210"/>
      <c r="F950" s="210"/>
      <c r="G950" s="210"/>
      <c r="H950" s="210"/>
      <c r="I950" s="210"/>
      <c r="J950" s="4">
        <v>40145</v>
      </c>
      <c r="K950" s="210"/>
      <c r="L950" s="210">
        <v>60</v>
      </c>
      <c r="M950" s="4">
        <v>0</v>
      </c>
      <c r="N950" s="4" t="str">
        <f>_xlfn.CONCAT("DBX",((L950-1)*2),".0")</f>
        <v>DBX118.0</v>
      </c>
      <c r="O950" s="210" t="s">
        <v>782</v>
      </c>
      <c r="P950" s="210"/>
      <c r="Q950" s="210"/>
      <c r="R950" s="210"/>
      <c r="S950" s="210"/>
      <c r="T950" s="210"/>
      <c r="U950" s="210"/>
      <c r="V950" s="210"/>
      <c r="W950" s="210"/>
      <c r="X950" s="4" t="e">
        <f t="shared" si="18"/>
        <v>#N/A</v>
      </c>
      <c r="Y950" s="210"/>
      <c r="Z950" s="210"/>
      <c r="AA950" s="210"/>
      <c r="AB950" s="210"/>
      <c r="AC950" s="210"/>
      <c r="AD950" s="210"/>
      <c r="AE950" s="210"/>
    </row>
    <row r="951" spans="1:31" x14ac:dyDescent="0.2">
      <c r="A951" s="209"/>
      <c r="B951" s="4" t="s">
        <v>34</v>
      </c>
      <c r="C951" s="4">
        <v>946</v>
      </c>
      <c r="D951" s="210"/>
      <c r="E951" s="210"/>
      <c r="F951" s="210"/>
      <c r="G951" s="210"/>
      <c r="H951" s="210"/>
      <c r="I951" s="210"/>
      <c r="J951" s="4">
        <v>40146</v>
      </c>
      <c r="K951" s="210"/>
      <c r="L951" s="210">
        <v>60</v>
      </c>
      <c r="M951" s="4">
        <v>1</v>
      </c>
      <c r="N951" s="4" t="str">
        <f>_xlfn.CONCAT("DBX",((L951-1)*2),".1")</f>
        <v>DBX118.1</v>
      </c>
      <c r="O951" s="210" t="s">
        <v>782</v>
      </c>
      <c r="P951" s="210"/>
      <c r="Q951" s="210"/>
      <c r="R951" s="210"/>
      <c r="S951" s="210"/>
      <c r="T951" s="210"/>
      <c r="U951" s="210"/>
      <c r="V951" s="210"/>
      <c r="W951" s="210"/>
      <c r="X951" s="4" t="e">
        <f t="shared" si="18"/>
        <v>#N/A</v>
      </c>
      <c r="Y951" s="210"/>
      <c r="Z951" s="210"/>
      <c r="AA951" s="210"/>
      <c r="AB951" s="210"/>
      <c r="AC951" s="210"/>
      <c r="AD951" s="210"/>
      <c r="AE951" s="210"/>
    </row>
    <row r="952" spans="1:31" x14ac:dyDescent="0.2">
      <c r="A952" s="209"/>
      <c r="B952" s="4" t="s">
        <v>34</v>
      </c>
      <c r="C952" s="4">
        <v>947</v>
      </c>
      <c r="D952" s="210"/>
      <c r="E952" s="210"/>
      <c r="F952" s="210"/>
      <c r="G952" s="210"/>
      <c r="H952" s="210"/>
      <c r="I952" s="210"/>
      <c r="J952" s="4">
        <v>40147</v>
      </c>
      <c r="K952" s="210"/>
      <c r="L952" s="210">
        <v>60</v>
      </c>
      <c r="M952" s="4">
        <v>2</v>
      </c>
      <c r="N952" s="4" t="str">
        <f>_xlfn.CONCAT("DBX",((L952-1)*2),".2")</f>
        <v>DBX118.2</v>
      </c>
      <c r="O952" s="210" t="s">
        <v>782</v>
      </c>
      <c r="P952" s="210"/>
      <c r="Q952" s="210"/>
      <c r="R952" s="210"/>
      <c r="S952" s="210"/>
      <c r="T952" s="210"/>
      <c r="U952" s="210"/>
      <c r="V952" s="210"/>
      <c r="W952" s="210"/>
      <c r="X952" s="4" t="e">
        <f t="shared" si="18"/>
        <v>#N/A</v>
      </c>
      <c r="Y952" s="210"/>
      <c r="Z952" s="210"/>
      <c r="AA952" s="210"/>
      <c r="AB952" s="210"/>
      <c r="AC952" s="210"/>
      <c r="AD952" s="210"/>
      <c r="AE952" s="210"/>
    </row>
    <row r="953" spans="1:31" x14ac:dyDescent="0.2">
      <c r="A953" s="209"/>
      <c r="B953" s="4" t="s">
        <v>34</v>
      </c>
      <c r="C953" s="4">
        <v>948</v>
      </c>
      <c r="D953" s="210"/>
      <c r="E953" s="210"/>
      <c r="F953" s="210"/>
      <c r="G953" s="210"/>
      <c r="H953" s="210"/>
      <c r="I953" s="210"/>
      <c r="J953" s="4">
        <v>40148</v>
      </c>
      <c r="K953" s="210"/>
      <c r="L953" s="210">
        <v>60</v>
      </c>
      <c r="M953" s="4">
        <v>3</v>
      </c>
      <c r="N953" s="4" t="str">
        <f>_xlfn.CONCAT("DBX",((L953-1)*2),".3")</f>
        <v>DBX118.3</v>
      </c>
      <c r="O953" s="210" t="s">
        <v>782</v>
      </c>
      <c r="P953" s="210"/>
      <c r="Q953" s="210"/>
      <c r="R953" s="210"/>
      <c r="S953" s="210"/>
      <c r="T953" s="210"/>
      <c r="U953" s="210"/>
      <c r="V953" s="210"/>
      <c r="W953" s="210"/>
      <c r="X953" s="4" t="e">
        <f t="shared" si="18"/>
        <v>#N/A</v>
      </c>
      <c r="Y953" s="210"/>
      <c r="Z953" s="210"/>
      <c r="AA953" s="210"/>
      <c r="AB953" s="210"/>
      <c r="AC953" s="210"/>
      <c r="AD953" s="210"/>
      <c r="AE953" s="210"/>
    </row>
    <row r="954" spans="1:31" x14ac:dyDescent="0.2">
      <c r="A954" s="209"/>
      <c r="B954" s="4" t="s">
        <v>34</v>
      </c>
      <c r="C954" s="4">
        <v>949</v>
      </c>
      <c r="D954" s="210"/>
      <c r="E954" s="210"/>
      <c r="F954" s="210"/>
      <c r="G954" s="210"/>
      <c r="H954" s="210"/>
      <c r="I954" s="210"/>
      <c r="J954" s="4">
        <v>40149</v>
      </c>
      <c r="K954" s="210"/>
      <c r="L954" s="210">
        <v>60</v>
      </c>
      <c r="M954" s="4">
        <v>4</v>
      </c>
      <c r="N954" s="4" t="str">
        <f>_xlfn.CONCAT("DBX",((L954-1)*2),".4")</f>
        <v>DBX118.4</v>
      </c>
      <c r="O954" s="210" t="s">
        <v>782</v>
      </c>
      <c r="P954" s="210"/>
      <c r="Q954" s="210"/>
      <c r="R954" s="210"/>
      <c r="S954" s="210"/>
      <c r="T954" s="210"/>
      <c r="U954" s="210"/>
      <c r="V954" s="210"/>
      <c r="W954" s="210"/>
      <c r="X954" s="4" t="e">
        <f t="shared" si="18"/>
        <v>#N/A</v>
      </c>
      <c r="Y954" s="210"/>
      <c r="Z954" s="210"/>
      <c r="AA954" s="210"/>
      <c r="AB954" s="210"/>
      <c r="AC954" s="210"/>
      <c r="AD954" s="210"/>
      <c r="AE954" s="210"/>
    </row>
    <row r="955" spans="1:31" x14ac:dyDescent="0.2">
      <c r="A955" s="209"/>
      <c r="B955" s="4" t="s">
        <v>34</v>
      </c>
      <c r="C955" s="4">
        <v>950</v>
      </c>
      <c r="D955" s="210"/>
      <c r="E955" s="210"/>
      <c r="F955" s="210"/>
      <c r="G955" s="210"/>
      <c r="H955" s="210"/>
      <c r="I955" s="210"/>
      <c r="J955" s="4">
        <v>40150</v>
      </c>
      <c r="K955" s="210"/>
      <c r="L955" s="210">
        <v>60</v>
      </c>
      <c r="M955" s="4">
        <v>5</v>
      </c>
      <c r="N955" s="4" t="str">
        <f>_xlfn.CONCAT("DBX",((L955-1)*2),".5")</f>
        <v>DBX118.5</v>
      </c>
      <c r="O955" s="210" t="s">
        <v>782</v>
      </c>
      <c r="P955" s="210"/>
      <c r="Q955" s="210"/>
      <c r="R955" s="210"/>
      <c r="S955" s="210"/>
      <c r="T955" s="210"/>
      <c r="U955" s="210"/>
      <c r="V955" s="210"/>
      <c r="W955" s="210"/>
      <c r="X955" s="4" t="e">
        <f t="shared" si="18"/>
        <v>#N/A</v>
      </c>
      <c r="Y955" s="210"/>
      <c r="Z955" s="210"/>
      <c r="AA955" s="210"/>
      <c r="AB955" s="210"/>
      <c r="AC955" s="210"/>
      <c r="AD955" s="210"/>
      <c r="AE955" s="210"/>
    </row>
    <row r="956" spans="1:31" x14ac:dyDescent="0.2">
      <c r="A956" s="209"/>
      <c r="B956" s="4" t="s">
        <v>34</v>
      </c>
      <c r="C956" s="4">
        <v>951</v>
      </c>
      <c r="D956" s="210"/>
      <c r="E956" s="210"/>
      <c r="F956" s="210"/>
      <c r="G956" s="210"/>
      <c r="H956" s="210"/>
      <c r="I956" s="210"/>
      <c r="J956" s="4">
        <v>40151</v>
      </c>
      <c r="K956" s="210"/>
      <c r="L956" s="210">
        <v>60</v>
      </c>
      <c r="M956" s="4">
        <v>6</v>
      </c>
      <c r="N956" s="4" t="str">
        <f>_xlfn.CONCAT("DBX",((L956-1)*2),".6")</f>
        <v>DBX118.6</v>
      </c>
      <c r="O956" s="210" t="s">
        <v>782</v>
      </c>
      <c r="P956" s="210"/>
      <c r="Q956" s="210"/>
      <c r="R956" s="210"/>
      <c r="S956" s="210"/>
      <c r="T956" s="210"/>
      <c r="U956" s="210"/>
      <c r="V956" s="210"/>
      <c r="W956" s="210"/>
      <c r="X956" s="4" t="e">
        <f t="shared" si="18"/>
        <v>#N/A</v>
      </c>
      <c r="Y956" s="210"/>
      <c r="Z956" s="210"/>
      <c r="AA956" s="210"/>
      <c r="AB956" s="210"/>
      <c r="AC956" s="210"/>
      <c r="AD956" s="210"/>
      <c r="AE956" s="210"/>
    </row>
    <row r="957" spans="1:31" x14ac:dyDescent="0.2">
      <c r="A957" s="209"/>
      <c r="B957" s="4" t="s">
        <v>34</v>
      </c>
      <c r="C957" s="4">
        <v>952</v>
      </c>
      <c r="D957" s="210"/>
      <c r="E957" s="210"/>
      <c r="F957" s="210"/>
      <c r="G957" s="210"/>
      <c r="H957" s="210"/>
      <c r="I957" s="210"/>
      <c r="J957" s="4">
        <v>40152</v>
      </c>
      <c r="K957" s="210"/>
      <c r="L957" s="210">
        <v>60</v>
      </c>
      <c r="M957" s="4">
        <v>7</v>
      </c>
      <c r="N957" s="4" t="str">
        <f>_xlfn.CONCAT("DBX",((L957-1)*2),".7")</f>
        <v>DBX118.7</v>
      </c>
      <c r="O957" s="210" t="s">
        <v>782</v>
      </c>
      <c r="P957" s="210"/>
      <c r="Q957" s="210"/>
      <c r="R957" s="210"/>
      <c r="S957" s="210"/>
      <c r="T957" s="210"/>
      <c r="U957" s="210"/>
      <c r="V957" s="210"/>
      <c r="W957" s="210"/>
      <c r="X957" s="4" t="e">
        <f t="shared" si="18"/>
        <v>#N/A</v>
      </c>
      <c r="Y957" s="210"/>
      <c r="Z957" s="210"/>
      <c r="AA957" s="210"/>
      <c r="AB957" s="210"/>
      <c r="AC957" s="210"/>
      <c r="AD957" s="210"/>
      <c r="AE957" s="210"/>
    </row>
    <row r="958" spans="1:31" x14ac:dyDescent="0.2">
      <c r="A958" s="209"/>
      <c r="B958" s="4" t="s">
        <v>34</v>
      </c>
      <c r="C958" s="4">
        <v>953</v>
      </c>
      <c r="D958" s="210"/>
      <c r="E958" s="210"/>
      <c r="F958" s="210"/>
      <c r="G958" s="210"/>
      <c r="H958" s="210"/>
      <c r="I958" s="210"/>
      <c r="J958" s="4">
        <v>40153</v>
      </c>
      <c r="K958" s="210"/>
      <c r="L958" s="210">
        <v>60</v>
      </c>
      <c r="M958" s="4">
        <v>8</v>
      </c>
      <c r="N958" s="4" t="str">
        <f>_xlfn.CONCAT("DBX",((L958-1)*2)+1,".0")</f>
        <v>DBX119.0</v>
      </c>
      <c r="O958" s="210" t="s">
        <v>782</v>
      </c>
      <c r="P958" s="210"/>
      <c r="Q958" s="210"/>
      <c r="R958" s="210"/>
      <c r="S958" s="210"/>
      <c r="T958" s="210"/>
      <c r="U958" s="210"/>
      <c r="V958" s="210"/>
      <c r="W958" s="210"/>
      <c r="X958" s="4" t="e">
        <f t="shared" si="18"/>
        <v>#N/A</v>
      </c>
      <c r="Y958" s="210"/>
      <c r="Z958" s="210"/>
      <c r="AA958" s="210"/>
      <c r="AB958" s="210"/>
      <c r="AC958" s="210"/>
      <c r="AD958" s="210"/>
      <c r="AE958" s="210"/>
    </row>
    <row r="959" spans="1:31" x14ac:dyDescent="0.2">
      <c r="A959" s="209"/>
      <c r="B959" s="4" t="s">
        <v>34</v>
      </c>
      <c r="C959" s="4">
        <v>954</v>
      </c>
      <c r="D959" s="210"/>
      <c r="E959" s="210"/>
      <c r="F959" s="210"/>
      <c r="G959" s="210"/>
      <c r="H959" s="210"/>
      <c r="I959" s="210"/>
      <c r="J959" s="4">
        <v>40154</v>
      </c>
      <c r="K959" s="210"/>
      <c r="L959" s="210">
        <v>60</v>
      </c>
      <c r="M959" s="4">
        <v>9</v>
      </c>
      <c r="N959" s="4" t="str">
        <f>_xlfn.CONCAT("DBX",((L959-1)*2)+1,".1")</f>
        <v>DBX119.1</v>
      </c>
      <c r="O959" s="210" t="s">
        <v>782</v>
      </c>
      <c r="P959" s="210"/>
      <c r="Q959" s="210"/>
      <c r="R959" s="210"/>
      <c r="S959" s="210"/>
      <c r="T959" s="210"/>
      <c r="U959" s="210"/>
      <c r="V959" s="210"/>
      <c r="W959" s="210"/>
      <c r="X959" s="4" t="e">
        <f t="shared" si="18"/>
        <v>#N/A</v>
      </c>
      <c r="Y959" s="210"/>
      <c r="Z959" s="210"/>
      <c r="AA959" s="210"/>
      <c r="AB959" s="210"/>
      <c r="AC959" s="210"/>
      <c r="AD959" s="210"/>
      <c r="AE959" s="210"/>
    </row>
    <row r="960" spans="1:31" x14ac:dyDescent="0.2">
      <c r="A960" s="209"/>
      <c r="B960" s="4" t="s">
        <v>34</v>
      </c>
      <c r="C960" s="4">
        <v>955</v>
      </c>
      <c r="D960" s="210"/>
      <c r="E960" s="210"/>
      <c r="F960" s="210"/>
      <c r="G960" s="210"/>
      <c r="H960" s="210"/>
      <c r="I960" s="210"/>
      <c r="J960" s="4">
        <v>40155</v>
      </c>
      <c r="K960" s="210"/>
      <c r="L960" s="210">
        <v>60</v>
      </c>
      <c r="M960" s="4">
        <v>10</v>
      </c>
      <c r="N960" s="4" t="str">
        <f>_xlfn.CONCAT("DBX",((L960-1)*2)+1,".2")</f>
        <v>DBX119.2</v>
      </c>
      <c r="O960" s="210" t="s">
        <v>782</v>
      </c>
      <c r="P960" s="210"/>
      <c r="Q960" s="210"/>
      <c r="R960" s="210"/>
      <c r="S960" s="210"/>
      <c r="T960" s="210"/>
      <c r="U960" s="210"/>
      <c r="V960" s="210"/>
      <c r="W960" s="210"/>
      <c r="X960" s="4" t="e">
        <f t="shared" si="18"/>
        <v>#N/A</v>
      </c>
      <c r="Y960" s="210"/>
      <c r="Z960" s="210"/>
      <c r="AA960" s="210"/>
      <c r="AB960" s="210"/>
      <c r="AC960" s="210"/>
      <c r="AD960" s="210"/>
      <c r="AE960" s="210"/>
    </row>
    <row r="961" spans="1:31" x14ac:dyDescent="0.2">
      <c r="A961" s="209"/>
      <c r="B961" s="4" t="s">
        <v>34</v>
      </c>
      <c r="C961" s="4">
        <v>956</v>
      </c>
      <c r="D961" s="210"/>
      <c r="E961" s="210"/>
      <c r="F961" s="210"/>
      <c r="G961" s="210"/>
      <c r="H961" s="210"/>
      <c r="I961" s="210"/>
      <c r="J961" s="4">
        <v>40156</v>
      </c>
      <c r="K961" s="210"/>
      <c r="L961" s="210">
        <v>60</v>
      </c>
      <c r="M961" s="4">
        <v>11</v>
      </c>
      <c r="N961" s="4" t="str">
        <f>_xlfn.CONCAT("DBX",((L961-1)*2)+1,".3")</f>
        <v>DBX119.3</v>
      </c>
      <c r="O961" s="210" t="s">
        <v>782</v>
      </c>
      <c r="P961" s="210"/>
      <c r="Q961" s="210"/>
      <c r="R961" s="210"/>
      <c r="S961" s="210"/>
      <c r="T961" s="210"/>
      <c r="U961" s="210"/>
      <c r="V961" s="210"/>
      <c r="W961" s="210"/>
      <c r="X961" s="4" t="e">
        <f t="shared" si="18"/>
        <v>#N/A</v>
      </c>
      <c r="Y961" s="210"/>
      <c r="Z961" s="210"/>
      <c r="AA961" s="210"/>
      <c r="AB961" s="210"/>
      <c r="AC961" s="210"/>
      <c r="AD961" s="210"/>
      <c r="AE961" s="210"/>
    </row>
    <row r="962" spans="1:31" x14ac:dyDescent="0.2">
      <c r="A962" s="209"/>
      <c r="B962" s="4" t="s">
        <v>34</v>
      </c>
      <c r="C962" s="4">
        <v>957</v>
      </c>
      <c r="D962" s="210"/>
      <c r="E962" s="210"/>
      <c r="F962" s="210"/>
      <c r="G962" s="210"/>
      <c r="H962" s="210"/>
      <c r="I962" s="210"/>
      <c r="J962" s="4">
        <v>40157</v>
      </c>
      <c r="K962" s="210"/>
      <c r="L962" s="210">
        <v>60</v>
      </c>
      <c r="M962" s="4">
        <v>12</v>
      </c>
      <c r="N962" s="4" t="str">
        <f>_xlfn.CONCAT("DBX",((L962-1)*2)+1,".4")</f>
        <v>DBX119.4</v>
      </c>
      <c r="O962" s="210" t="s">
        <v>782</v>
      </c>
      <c r="P962" s="210"/>
      <c r="Q962" s="210"/>
      <c r="R962" s="210"/>
      <c r="S962" s="210"/>
      <c r="T962" s="210"/>
      <c r="U962" s="210"/>
      <c r="V962" s="210"/>
      <c r="W962" s="210"/>
      <c r="X962" s="4" t="e">
        <f t="shared" si="18"/>
        <v>#N/A</v>
      </c>
      <c r="Y962" s="210"/>
      <c r="Z962" s="210"/>
      <c r="AA962" s="210"/>
      <c r="AB962" s="210"/>
      <c r="AC962" s="210"/>
      <c r="AD962" s="210"/>
      <c r="AE962" s="210"/>
    </row>
    <row r="963" spans="1:31" x14ac:dyDescent="0.2">
      <c r="A963" s="209"/>
      <c r="B963" s="4" t="s">
        <v>34</v>
      </c>
      <c r="C963" s="4">
        <v>958</v>
      </c>
      <c r="D963" s="210"/>
      <c r="E963" s="210"/>
      <c r="F963" s="210"/>
      <c r="G963" s="210"/>
      <c r="H963" s="210"/>
      <c r="I963" s="210"/>
      <c r="J963" s="4">
        <v>40158</v>
      </c>
      <c r="K963" s="210"/>
      <c r="L963" s="210">
        <v>60</v>
      </c>
      <c r="M963" s="4">
        <v>13</v>
      </c>
      <c r="N963" s="4" t="str">
        <f>_xlfn.CONCAT("DBX",((L963-1)*2)+1,".5")</f>
        <v>DBX119.5</v>
      </c>
      <c r="O963" s="210" t="s">
        <v>782</v>
      </c>
      <c r="P963" s="210"/>
      <c r="Q963" s="210"/>
      <c r="R963" s="210"/>
      <c r="S963" s="210"/>
      <c r="T963" s="210"/>
      <c r="U963" s="210"/>
      <c r="V963" s="210"/>
      <c r="W963" s="210"/>
      <c r="X963" s="4" t="e">
        <f t="shared" si="18"/>
        <v>#N/A</v>
      </c>
      <c r="Y963" s="210"/>
      <c r="Z963" s="210"/>
      <c r="AA963" s="210"/>
      <c r="AB963" s="210"/>
      <c r="AC963" s="210"/>
      <c r="AD963" s="210"/>
      <c r="AE963" s="210"/>
    </row>
    <row r="964" spans="1:31" x14ac:dyDescent="0.2">
      <c r="A964" s="209"/>
      <c r="B964" s="4" t="s">
        <v>34</v>
      </c>
      <c r="C964" s="4">
        <v>959</v>
      </c>
      <c r="D964" s="210"/>
      <c r="E964" s="210"/>
      <c r="F964" s="210"/>
      <c r="G964" s="210"/>
      <c r="H964" s="210"/>
      <c r="I964" s="210"/>
      <c r="J964" s="4">
        <v>40159</v>
      </c>
      <c r="K964" s="210"/>
      <c r="L964" s="210">
        <v>60</v>
      </c>
      <c r="M964" s="4">
        <v>14</v>
      </c>
      <c r="N964" s="4" t="str">
        <f>_xlfn.CONCAT("DBX",((L964-1)*2)+1,".6")</f>
        <v>DBX119.6</v>
      </c>
      <c r="O964" s="210" t="s">
        <v>782</v>
      </c>
      <c r="P964" s="210"/>
      <c r="Q964" s="210"/>
      <c r="R964" s="210"/>
      <c r="S964" s="210"/>
      <c r="T964" s="210"/>
      <c r="U964" s="210"/>
      <c r="V964" s="210"/>
      <c r="W964" s="210"/>
      <c r="X964" s="4" t="e">
        <f t="shared" si="18"/>
        <v>#N/A</v>
      </c>
      <c r="Y964" s="210"/>
      <c r="Z964" s="210"/>
      <c r="AA964" s="210"/>
      <c r="AB964" s="210"/>
      <c r="AC964" s="210"/>
      <c r="AD964" s="210"/>
      <c r="AE964" s="210"/>
    </row>
    <row r="965" spans="1:31" x14ac:dyDescent="0.2">
      <c r="A965" s="209"/>
      <c r="B965" s="4" t="s">
        <v>34</v>
      </c>
      <c r="C965" s="4">
        <v>960</v>
      </c>
      <c r="D965" s="210"/>
      <c r="E965" s="210"/>
      <c r="F965" s="210"/>
      <c r="G965" s="210"/>
      <c r="H965" s="210"/>
      <c r="I965" s="210"/>
      <c r="J965" s="4">
        <v>40160</v>
      </c>
      <c r="K965" s="210"/>
      <c r="L965" s="210">
        <v>60</v>
      </c>
      <c r="M965" s="4">
        <v>15</v>
      </c>
      <c r="N965" s="4" t="str">
        <f>_xlfn.CONCAT("DBX",((L965-1)*2)+1,".7")</f>
        <v>DBX119.7</v>
      </c>
      <c r="O965" s="210" t="s">
        <v>782</v>
      </c>
      <c r="P965" s="210"/>
      <c r="Q965" s="210"/>
      <c r="R965" s="210"/>
      <c r="S965" s="210"/>
      <c r="T965" s="210"/>
      <c r="U965" s="210"/>
      <c r="V965" s="210"/>
      <c r="W965" s="210"/>
      <c r="X965" s="4" t="e">
        <f t="shared" si="18"/>
        <v>#N/A</v>
      </c>
      <c r="Y965" s="210"/>
      <c r="Z965" s="210"/>
      <c r="AA965" s="210"/>
      <c r="AB965" s="210"/>
      <c r="AC965" s="210"/>
      <c r="AD965" s="210"/>
      <c r="AE965" s="210"/>
    </row>
    <row r="966" spans="1:31" s="244" customFormat="1" x14ac:dyDescent="0.2">
      <c r="A966" s="268"/>
      <c r="B966" s="266" t="s">
        <v>3349</v>
      </c>
      <c r="C966" s="242">
        <v>961</v>
      </c>
      <c r="D966" s="269" t="s">
        <v>944</v>
      </c>
      <c r="E966" s="269" t="s">
        <v>945</v>
      </c>
      <c r="F966" s="269" t="s">
        <v>956</v>
      </c>
      <c r="G966" s="210" t="s">
        <v>72</v>
      </c>
      <c r="H966" s="210" t="s">
        <v>41</v>
      </c>
      <c r="I966" s="210" t="s">
        <v>84</v>
      </c>
      <c r="J966" s="4">
        <v>40161</v>
      </c>
      <c r="K966" s="210" t="s">
        <v>962</v>
      </c>
      <c r="L966" s="210">
        <v>61</v>
      </c>
      <c r="M966" s="4">
        <f>M950</f>
        <v>0</v>
      </c>
      <c r="N966" s="4" t="str">
        <f>_xlfn.CONCAT("DBX",((L966-1)*2),".0")</f>
        <v>DBX120.0</v>
      </c>
      <c r="O966" s="210" t="s">
        <v>782</v>
      </c>
      <c r="P966" s="210" t="s">
        <v>99</v>
      </c>
      <c r="Q966" s="269" t="s">
        <v>89</v>
      </c>
      <c r="R966" s="269"/>
      <c r="S966" s="269">
        <v>3923</v>
      </c>
      <c r="T966" s="242" t="s">
        <v>2550</v>
      </c>
      <c r="U966" s="269"/>
      <c r="V966" s="269" t="s">
        <v>3131</v>
      </c>
      <c r="W966" s="269" t="s">
        <v>118</v>
      </c>
      <c r="X966" s="242">
        <f t="shared" si="18"/>
        <v>2</v>
      </c>
      <c r="Y966" s="269"/>
      <c r="Z966" s="269"/>
      <c r="AA966" s="269"/>
      <c r="AB966" s="269"/>
      <c r="AC966" s="266">
        <v>0</v>
      </c>
      <c r="AD966" s="269"/>
      <c r="AE966" s="269"/>
    </row>
    <row r="967" spans="1:31" s="244" customFormat="1" x14ac:dyDescent="0.2">
      <c r="A967" s="268"/>
      <c r="B967" s="266" t="s">
        <v>3349</v>
      </c>
      <c r="C967" s="242">
        <v>962</v>
      </c>
      <c r="D967" s="269" t="s">
        <v>946</v>
      </c>
      <c r="E967" s="269" t="s">
        <v>947</v>
      </c>
      <c r="F967" s="269" t="s">
        <v>957</v>
      </c>
      <c r="G967" s="210" t="s">
        <v>72</v>
      </c>
      <c r="H967" s="210" t="s">
        <v>41</v>
      </c>
      <c r="I967" s="210" t="s">
        <v>84</v>
      </c>
      <c r="J967" s="4">
        <v>40162</v>
      </c>
      <c r="K967" s="210" t="s">
        <v>963</v>
      </c>
      <c r="L967" s="210">
        <v>61</v>
      </c>
      <c r="M967" s="4">
        <f t="shared" si="17"/>
        <v>1</v>
      </c>
      <c r="N967" s="4" t="str">
        <f>_xlfn.CONCAT("DBX",((L967-1)*2),".1")</f>
        <v>DBX120.1</v>
      </c>
      <c r="O967" s="210" t="s">
        <v>782</v>
      </c>
      <c r="P967" s="210" t="s">
        <v>99</v>
      </c>
      <c r="Q967" s="269" t="s">
        <v>89</v>
      </c>
      <c r="R967" s="269"/>
      <c r="S967" s="269">
        <v>3923</v>
      </c>
      <c r="T967" s="242" t="s">
        <v>2550</v>
      </c>
      <c r="U967" s="269"/>
      <c r="V967" s="269" t="s">
        <v>3132</v>
      </c>
      <c r="W967" s="269" t="s">
        <v>118</v>
      </c>
      <c r="X967" s="242">
        <f t="shared" si="18"/>
        <v>2</v>
      </c>
      <c r="Y967" s="269"/>
      <c r="Z967" s="269"/>
      <c r="AA967" s="269"/>
      <c r="AB967" s="269"/>
      <c r="AC967" s="266">
        <v>0</v>
      </c>
      <c r="AD967" s="269"/>
      <c r="AE967" s="269"/>
    </row>
    <row r="968" spans="1:31" s="244" customFormat="1" x14ac:dyDescent="0.2">
      <c r="A968" s="268"/>
      <c r="B968" s="266" t="s">
        <v>3349</v>
      </c>
      <c r="C968" s="242">
        <v>963</v>
      </c>
      <c r="D968" s="269" t="s">
        <v>948</v>
      </c>
      <c r="E968" s="269" t="s">
        <v>949</v>
      </c>
      <c r="F968" s="269" t="s">
        <v>958</v>
      </c>
      <c r="G968" s="210" t="s">
        <v>72</v>
      </c>
      <c r="H968" s="210" t="s">
        <v>41</v>
      </c>
      <c r="I968" s="210" t="s">
        <v>84</v>
      </c>
      <c r="J968" s="4">
        <v>40163</v>
      </c>
      <c r="K968" s="210" t="s">
        <v>964</v>
      </c>
      <c r="L968" s="210">
        <v>61</v>
      </c>
      <c r="M968" s="4">
        <f t="shared" si="17"/>
        <v>2</v>
      </c>
      <c r="N968" s="4" t="str">
        <f>_xlfn.CONCAT("DBX",((L968-1)*2),".2")</f>
        <v>DBX120.2</v>
      </c>
      <c r="O968" s="210" t="s">
        <v>782</v>
      </c>
      <c r="P968" s="210" t="s">
        <v>99</v>
      </c>
      <c r="Q968" s="269" t="s">
        <v>89</v>
      </c>
      <c r="R968" s="269"/>
      <c r="S968" s="269">
        <v>3923</v>
      </c>
      <c r="T968" s="242" t="s">
        <v>2550</v>
      </c>
      <c r="U968" s="269"/>
      <c r="V968" s="269" t="s">
        <v>3133</v>
      </c>
      <c r="W968" s="269" t="s">
        <v>118</v>
      </c>
      <c r="X968" s="242">
        <f t="shared" si="18"/>
        <v>2</v>
      </c>
      <c r="Y968" s="269"/>
      <c r="Z968" s="269"/>
      <c r="AA968" s="269"/>
      <c r="AB968" s="269"/>
      <c r="AC968" s="266">
        <v>0</v>
      </c>
      <c r="AD968" s="269"/>
      <c r="AE968" s="269"/>
    </row>
    <row r="969" spans="1:31" s="244" customFormat="1" x14ac:dyDescent="0.2">
      <c r="A969" s="268"/>
      <c r="B969" s="266" t="s">
        <v>3349</v>
      </c>
      <c r="C969" s="242">
        <v>964</v>
      </c>
      <c r="D969" s="269" t="s">
        <v>950</v>
      </c>
      <c r="E969" s="269" t="s">
        <v>951</v>
      </c>
      <c r="F969" s="269" t="s">
        <v>959</v>
      </c>
      <c r="G969" s="210" t="s">
        <v>72</v>
      </c>
      <c r="H969" s="210" t="s">
        <v>41</v>
      </c>
      <c r="I969" s="210" t="s">
        <v>84</v>
      </c>
      <c r="J969" s="4">
        <v>40164</v>
      </c>
      <c r="K969" s="210" t="s">
        <v>965</v>
      </c>
      <c r="L969" s="210">
        <v>61</v>
      </c>
      <c r="M969" s="4">
        <f t="shared" si="17"/>
        <v>3</v>
      </c>
      <c r="N969" s="4" t="str">
        <f>_xlfn.CONCAT("DBX",((L969-1)*2),".3")</f>
        <v>DBX120.3</v>
      </c>
      <c r="O969" s="210" t="s">
        <v>782</v>
      </c>
      <c r="P969" s="210" t="s">
        <v>99</v>
      </c>
      <c r="Q969" s="269" t="s">
        <v>89</v>
      </c>
      <c r="R969" s="269"/>
      <c r="S969" s="269">
        <v>3923</v>
      </c>
      <c r="T969" s="242" t="s">
        <v>2550</v>
      </c>
      <c r="U969" s="269"/>
      <c r="V969" s="269" t="s">
        <v>3134</v>
      </c>
      <c r="W969" s="269" t="s">
        <v>118</v>
      </c>
      <c r="X969" s="242">
        <f t="shared" si="18"/>
        <v>2</v>
      </c>
      <c r="Y969" s="269"/>
      <c r="Z969" s="269"/>
      <c r="AA969" s="269"/>
      <c r="AB969" s="269"/>
      <c r="AC969" s="266">
        <v>0</v>
      </c>
      <c r="AD969" s="269"/>
      <c r="AE969" s="269"/>
    </row>
    <row r="970" spans="1:31" s="244" customFormat="1" x14ac:dyDescent="0.2">
      <c r="A970" s="268"/>
      <c r="B970" s="266" t="s">
        <v>3349</v>
      </c>
      <c r="C970" s="242">
        <v>965</v>
      </c>
      <c r="D970" s="269" t="s">
        <v>952</v>
      </c>
      <c r="E970" s="269" t="s">
        <v>953</v>
      </c>
      <c r="F970" s="269" t="s">
        <v>960</v>
      </c>
      <c r="G970" s="210" t="s">
        <v>72</v>
      </c>
      <c r="H970" s="210" t="s">
        <v>41</v>
      </c>
      <c r="I970" s="210" t="s">
        <v>84</v>
      </c>
      <c r="J970" s="4">
        <v>40165</v>
      </c>
      <c r="K970" s="210" t="s">
        <v>966</v>
      </c>
      <c r="L970" s="210">
        <v>61</v>
      </c>
      <c r="M970" s="4">
        <f t="shared" si="17"/>
        <v>4</v>
      </c>
      <c r="N970" s="4" t="str">
        <f>_xlfn.CONCAT("DBX",((L970-1)*2),".4")</f>
        <v>DBX120.4</v>
      </c>
      <c r="O970" s="210" t="s">
        <v>782</v>
      </c>
      <c r="P970" s="210" t="s">
        <v>99</v>
      </c>
      <c r="Q970" s="269" t="s">
        <v>89</v>
      </c>
      <c r="R970" s="269"/>
      <c r="S970" s="269">
        <v>3923</v>
      </c>
      <c r="T970" s="242" t="s">
        <v>2550</v>
      </c>
      <c r="U970" s="269"/>
      <c r="V970" s="269" t="s">
        <v>3135</v>
      </c>
      <c r="W970" s="269" t="s">
        <v>118</v>
      </c>
      <c r="X970" s="242">
        <f t="shared" si="18"/>
        <v>2</v>
      </c>
      <c r="Y970" s="269"/>
      <c r="Z970" s="269"/>
      <c r="AA970" s="269"/>
      <c r="AB970" s="269"/>
      <c r="AC970" s="266">
        <v>0</v>
      </c>
      <c r="AD970" s="269"/>
      <c r="AE970" s="269"/>
    </row>
    <row r="971" spans="1:31" s="244" customFormat="1" x14ac:dyDescent="0.2">
      <c r="A971" s="268"/>
      <c r="B971" s="266" t="s">
        <v>3349</v>
      </c>
      <c r="C971" s="242">
        <v>966</v>
      </c>
      <c r="D971" s="269" t="s">
        <v>954</v>
      </c>
      <c r="E971" s="269" t="s">
        <v>955</v>
      </c>
      <c r="F971" s="269" t="s">
        <v>961</v>
      </c>
      <c r="G971" s="210" t="s">
        <v>72</v>
      </c>
      <c r="H971" s="210" t="s">
        <v>41</v>
      </c>
      <c r="I971" s="210" t="s">
        <v>84</v>
      </c>
      <c r="J971" s="4">
        <v>40166</v>
      </c>
      <c r="K971" s="210" t="s">
        <v>967</v>
      </c>
      <c r="L971" s="210">
        <v>61</v>
      </c>
      <c r="M971" s="4">
        <f t="shared" si="17"/>
        <v>5</v>
      </c>
      <c r="N971" s="4" t="str">
        <f>_xlfn.CONCAT("DBX",((L971-1)*2),".5")</f>
        <v>DBX120.5</v>
      </c>
      <c r="O971" s="210" t="s">
        <v>782</v>
      </c>
      <c r="P971" s="210" t="s">
        <v>99</v>
      </c>
      <c r="Q971" s="269" t="s">
        <v>89</v>
      </c>
      <c r="R971" s="269"/>
      <c r="S971" s="269">
        <v>3923</v>
      </c>
      <c r="T971" s="242" t="s">
        <v>2550</v>
      </c>
      <c r="U971" s="269"/>
      <c r="V971" s="269" t="s">
        <v>3136</v>
      </c>
      <c r="W971" s="269" t="s">
        <v>118</v>
      </c>
      <c r="X971" s="242">
        <f t="shared" si="18"/>
        <v>2</v>
      </c>
      <c r="Y971" s="269"/>
      <c r="Z971" s="269"/>
      <c r="AA971" s="269"/>
      <c r="AB971" s="269"/>
      <c r="AC971" s="266">
        <v>0</v>
      </c>
      <c r="AD971" s="269"/>
      <c r="AE971" s="269"/>
    </row>
    <row r="972" spans="1:31" s="244" customFormat="1" x14ac:dyDescent="0.2">
      <c r="A972" s="268"/>
      <c r="B972" s="266" t="s">
        <v>3349</v>
      </c>
      <c r="C972" s="242">
        <v>967</v>
      </c>
      <c r="D972" s="269" t="s">
        <v>968</v>
      </c>
      <c r="E972" s="269" t="s">
        <v>970</v>
      </c>
      <c r="F972" s="269" t="s">
        <v>2325</v>
      </c>
      <c r="G972" s="210" t="s">
        <v>72</v>
      </c>
      <c r="H972" s="210" t="s">
        <v>41</v>
      </c>
      <c r="I972" s="210" t="s">
        <v>84</v>
      </c>
      <c r="J972" s="4">
        <v>40167</v>
      </c>
      <c r="K972" s="210" t="s">
        <v>972</v>
      </c>
      <c r="L972" s="210">
        <v>61</v>
      </c>
      <c r="M972" s="4">
        <f t="shared" si="17"/>
        <v>6</v>
      </c>
      <c r="N972" s="4" t="str">
        <f>_xlfn.CONCAT("DBX",((L972-1)*2),".6")</f>
        <v>DBX120.6</v>
      </c>
      <c r="O972" s="210" t="s">
        <v>782</v>
      </c>
      <c r="P972" s="210" t="s">
        <v>99</v>
      </c>
      <c r="Q972" s="269" t="s">
        <v>89</v>
      </c>
      <c r="R972" s="269"/>
      <c r="S972" s="269">
        <v>3923</v>
      </c>
      <c r="T972" s="242" t="s">
        <v>2550</v>
      </c>
      <c r="U972" s="269"/>
      <c r="V972" s="269" t="s">
        <v>3137</v>
      </c>
      <c r="W972" s="269" t="s">
        <v>118</v>
      </c>
      <c r="X972" s="242">
        <f t="shared" si="18"/>
        <v>2</v>
      </c>
      <c r="Y972" s="269"/>
      <c r="Z972" s="269"/>
      <c r="AA972" s="269"/>
      <c r="AB972" s="269"/>
      <c r="AC972" s="266">
        <v>0</v>
      </c>
      <c r="AD972" s="269"/>
      <c r="AE972" s="269"/>
    </row>
    <row r="973" spans="1:31" s="244" customFormat="1" x14ac:dyDescent="0.2">
      <c r="A973" s="268"/>
      <c r="B973" s="266" t="s">
        <v>3349</v>
      </c>
      <c r="C973" s="242">
        <v>968</v>
      </c>
      <c r="D973" s="269" t="s">
        <v>969</v>
      </c>
      <c r="E973" s="269" t="s">
        <v>971</v>
      </c>
      <c r="F973" s="269" t="s">
        <v>2326</v>
      </c>
      <c r="G973" s="210" t="s">
        <v>72</v>
      </c>
      <c r="H973" s="210" t="s">
        <v>41</v>
      </c>
      <c r="I973" s="210" t="s">
        <v>84</v>
      </c>
      <c r="J973" s="4">
        <v>40168</v>
      </c>
      <c r="K973" s="210" t="s">
        <v>973</v>
      </c>
      <c r="L973" s="210">
        <v>61</v>
      </c>
      <c r="M973" s="4">
        <f t="shared" si="17"/>
        <v>7</v>
      </c>
      <c r="N973" s="4" t="str">
        <f>_xlfn.CONCAT("DBX",((L973-1)*2),".7")</f>
        <v>DBX120.7</v>
      </c>
      <c r="O973" s="210" t="s">
        <v>782</v>
      </c>
      <c r="P973" s="210" t="s">
        <v>99</v>
      </c>
      <c r="Q973" s="269" t="s">
        <v>89</v>
      </c>
      <c r="R973" s="269"/>
      <c r="S973" s="269">
        <v>3923</v>
      </c>
      <c r="T973" s="242" t="s">
        <v>2550</v>
      </c>
      <c r="U973" s="269"/>
      <c r="V973" s="269" t="s">
        <v>3138</v>
      </c>
      <c r="W973" s="269" t="s">
        <v>118</v>
      </c>
      <c r="X973" s="242">
        <f t="shared" si="18"/>
        <v>2</v>
      </c>
      <c r="Y973" s="269"/>
      <c r="Z973" s="269"/>
      <c r="AA973" s="269"/>
      <c r="AB973" s="269"/>
      <c r="AC973" s="266">
        <v>0</v>
      </c>
      <c r="AD973" s="269"/>
      <c r="AE973" s="269"/>
    </row>
    <row r="974" spans="1:31" x14ac:dyDescent="0.2">
      <c r="A974" s="209"/>
      <c r="B974" s="4" t="s">
        <v>34</v>
      </c>
      <c r="C974" s="4">
        <v>969</v>
      </c>
      <c r="D974" s="210"/>
      <c r="E974" s="210"/>
      <c r="F974" s="210"/>
      <c r="G974" s="210"/>
      <c r="H974" s="210"/>
      <c r="I974" s="210"/>
      <c r="J974" s="4">
        <v>40169</v>
      </c>
      <c r="K974" s="210"/>
      <c r="L974" s="210">
        <v>61</v>
      </c>
      <c r="M974" s="4">
        <f t="shared" si="17"/>
        <v>8</v>
      </c>
      <c r="N974" s="4" t="str">
        <f>_xlfn.CONCAT("DBX",((L974-1)*2)+1,".0")</f>
        <v>DBX121.0</v>
      </c>
      <c r="O974" s="210" t="s">
        <v>782</v>
      </c>
      <c r="P974" s="210"/>
      <c r="Q974" s="210"/>
      <c r="R974" s="210"/>
      <c r="S974" s="210"/>
      <c r="T974" s="210"/>
      <c r="U974" s="210"/>
      <c r="V974" s="210"/>
      <c r="W974" s="210"/>
      <c r="X974" s="4" t="e">
        <f t="shared" si="18"/>
        <v>#N/A</v>
      </c>
      <c r="Y974" s="210"/>
      <c r="Z974" s="210"/>
      <c r="AA974" s="210"/>
      <c r="AB974" s="210"/>
      <c r="AC974" s="210"/>
      <c r="AD974" s="210"/>
      <c r="AE974" s="210"/>
    </row>
    <row r="975" spans="1:31" x14ac:dyDescent="0.2">
      <c r="A975" s="209"/>
      <c r="B975" s="4" t="s">
        <v>34</v>
      </c>
      <c r="C975" s="4">
        <v>970</v>
      </c>
      <c r="D975" s="210"/>
      <c r="E975" s="210"/>
      <c r="F975" s="210"/>
      <c r="G975" s="210"/>
      <c r="H975" s="210"/>
      <c r="I975" s="210"/>
      <c r="J975" s="4">
        <v>40170</v>
      </c>
      <c r="K975" s="210"/>
      <c r="L975" s="210">
        <v>61</v>
      </c>
      <c r="M975" s="4">
        <f t="shared" si="17"/>
        <v>9</v>
      </c>
      <c r="N975" s="4" t="str">
        <f>_xlfn.CONCAT("DBX",((L975-1)*2)+1,".1")</f>
        <v>DBX121.1</v>
      </c>
      <c r="O975" s="210" t="s">
        <v>782</v>
      </c>
      <c r="P975" s="210"/>
      <c r="Q975" s="210"/>
      <c r="R975" s="210"/>
      <c r="S975" s="210"/>
      <c r="T975" s="210"/>
      <c r="U975" s="210"/>
      <c r="V975" s="210"/>
      <c r="W975" s="210"/>
      <c r="X975" s="4" t="e">
        <f t="shared" si="18"/>
        <v>#N/A</v>
      </c>
      <c r="Y975" s="210"/>
      <c r="Z975" s="210"/>
      <c r="AA975" s="210"/>
      <c r="AB975" s="210"/>
      <c r="AC975" s="210"/>
      <c r="AD975" s="210"/>
      <c r="AE975" s="210"/>
    </row>
    <row r="976" spans="1:31" x14ac:dyDescent="0.2">
      <c r="A976" s="209"/>
      <c r="B976" s="4" t="s">
        <v>34</v>
      </c>
      <c r="C976" s="4">
        <v>971</v>
      </c>
      <c r="D976" s="210"/>
      <c r="E976" s="210"/>
      <c r="F976" s="210"/>
      <c r="G976" s="210"/>
      <c r="H976" s="210"/>
      <c r="I976" s="210"/>
      <c r="J976" s="4">
        <v>40171</v>
      </c>
      <c r="K976" s="210"/>
      <c r="L976" s="210">
        <v>61</v>
      </c>
      <c r="M976" s="4">
        <f t="shared" si="17"/>
        <v>10</v>
      </c>
      <c r="N976" s="4" t="str">
        <f>_xlfn.CONCAT("DBX",((L976-1)*2)+1,".2")</f>
        <v>DBX121.2</v>
      </c>
      <c r="O976" s="210" t="s">
        <v>782</v>
      </c>
      <c r="P976" s="210"/>
      <c r="Q976" s="210"/>
      <c r="R976" s="210"/>
      <c r="S976" s="210"/>
      <c r="T976" s="210"/>
      <c r="U976" s="210"/>
      <c r="V976" s="210"/>
      <c r="W976" s="210"/>
      <c r="X976" s="4" t="e">
        <f t="shared" si="18"/>
        <v>#N/A</v>
      </c>
      <c r="Y976" s="210"/>
      <c r="Z976" s="210"/>
      <c r="AA976" s="210"/>
      <c r="AB976" s="210"/>
      <c r="AC976" s="210"/>
      <c r="AD976" s="210"/>
      <c r="AE976" s="210"/>
    </row>
    <row r="977" spans="1:31" s="244" customFormat="1" x14ac:dyDescent="0.2">
      <c r="A977" s="268"/>
      <c r="B977" s="266" t="s">
        <v>3349</v>
      </c>
      <c r="C977" s="242">
        <v>972</v>
      </c>
      <c r="D977" s="269" t="s">
        <v>1156</v>
      </c>
      <c r="E977" s="269" t="s">
        <v>1132</v>
      </c>
      <c r="F977" s="269" t="s">
        <v>1133</v>
      </c>
      <c r="G977" s="210" t="s">
        <v>329</v>
      </c>
      <c r="H977" s="210" t="s">
        <v>41</v>
      </c>
      <c r="I977" s="210" t="s">
        <v>84</v>
      </c>
      <c r="J977" s="4">
        <v>40172</v>
      </c>
      <c r="K977" s="210" t="s">
        <v>1144</v>
      </c>
      <c r="L977" s="210">
        <v>61</v>
      </c>
      <c r="M977" s="4">
        <f t="shared" si="17"/>
        <v>11</v>
      </c>
      <c r="N977" s="4" t="str">
        <f>_xlfn.CONCAT("DBX",((L977-1)*2)+1,".3")</f>
        <v>DBX121.3</v>
      </c>
      <c r="O977" s="210" t="s">
        <v>782</v>
      </c>
      <c r="P977" s="210" t="s">
        <v>1145</v>
      </c>
      <c r="Q977" s="269" t="s">
        <v>12</v>
      </c>
      <c r="R977" s="269"/>
      <c r="S977" s="269">
        <v>3923</v>
      </c>
      <c r="T977" s="242" t="s">
        <v>2550</v>
      </c>
      <c r="U977" s="269"/>
      <c r="V977" s="269" t="s">
        <v>3131</v>
      </c>
      <c r="W977" s="269" t="s">
        <v>118</v>
      </c>
      <c r="X977" s="242">
        <f t="shared" si="18"/>
        <v>2</v>
      </c>
      <c r="Y977" s="269"/>
      <c r="Z977" s="269"/>
      <c r="AA977" s="269"/>
      <c r="AB977" s="269"/>
      <c r="AC977" s="270">
        <v>0</v>
      </c>
      <c r="AD977" s="269"/>
      <c r="AE977" s="269"/>
    </row>
    <row r="978" spans="1:31" s="244" customFormat="1" x14ac:dyDescent="0.2">
      <c r="A978" s="268"/>
      <c r="B978" s="266" t="s">
        <v>3349</v>
      </c>
      <c r="C978" s="242">
        <v>973</v>
      </c>
      <c r="D978" s="269" t="s">
        <v>1157</v>
      </c>
      <c r="E978" s="269" t="s">
        <v>1134</v>
      </c>
      <c r="F978" s="269" t="s">
        <v>1135</v>
      </c>
      <c r="G978" s="210" t="s">
        <v>329</v>
      </c>
      <c r="H978" s="210" t="s">
        <v>41</v>
      </c>
      <c r="I978" s="210" t="s">
        <v>84</v>
      </c>
      <c r="J978" s="4">
        <v>40173</v>
      </c>
      <c r="K978" s="210" t="s">
        <v>1146</v>
      </c>
      <c r="L978" s="210">
        <v>61</v>
      </c>
      <c r="M978" s="4">
        <f t="shared" si="17"/>
        <v>12</v>
      </c>
      <c r="N978" s="4" t="str">
        <f>_xlfn.CONCAT("DBX",((L978-1)*2)+1,".4")</f>
        <v>DBX121.4</v>
      </c>
      <c r="O978" s="210" t="s">
        <v>782</v>
      </c>
      <c r="P978" s="210" t="s">
        <v>1147</v>
      </c>
      <c r="Q978" s="269" t="s">
        <v>12</v>
      </c>
      <c r="R978" s="269"/>
      <c r="S978" s="269">
        <v>3923</v>
      </c>
      <c r="T978" s="242" t="s">
        <v>2550</v>
      </c>
      <c r="U978" s="269"/>
      <c r="V978" s="269" t="s">
        <v>3132</v>
      </c>
      <c r="W978" s="269" t="s">
        <v>118</v>
      </c>
      <c r="X978" s="242">
        <f t="shared" si="18"/>
        <v>2</v>
      </c>
      <c r="Y978" s="269"/>
      <c r="Z978" s="269"/>
      <c r="AA978" s="269"/>
      <c r="AB978" s="269"/>
      <c r="AC978" s="270">
        <v>0</v>
      </c>
      <c r="AD978" s="269"/>
      <c r="AE978" s="269"/>
    </row>
    <row r="979" spans="1:31" s="244" customFormat="1" x14ac:dyDescent="0.2">
      <c r="A979" s="268"/>
      <c r="B979" s="266" t="s">
        <v>3349</v>
      </c>
      <c r="C979" s="242">
        <v>974</v>
      </c>
      <c r="D979" s="269" t="s">
        <v>1158</v>
      </c>
      <c r="E979" s="269" t="s">
        <v>1136</v>
      </c>
      <c r="F979" s="269" t="s">
        <v>1137</v>
      </c>
      <c r="G979" s="210" t="s">
        <v>329</v>
      </c>
      <c r="H979" s="210" t="s">
        <v>41</v>
      </c>
      <c r="I979" s="210" t="s">
        <v>84</v>
      </c>
      <c r="J979" s="4">
        <v>40174</v>
      </c>
      <c r="K979" s="210" t="s">
        <v>1148</v>
      </c>
      <c r="L979" s="210">
        <v>61</v>
      </c>
      <c r="M979" s="4">
        <f t="shared" si="17"/>
        <v>13</v>
      </c>
      <c r="N979" s="4" t="str">
        <f>_xlfn.CONCAT("DBX",((L979-1)*2)+1,".5")</f>
        <v>DBX121.5</v>
      </c>
      <c r="O979" s="210" t="s">
        <v>782</v>
      </c>
      <c r="P979" s="210" t="s">
        <v>1149</v>
      </c>
      <c r="Q979" s="269" t="s">
        <v>12</v>
      </c>
      <c r="R979" s="269"/>
      <c r="S979" s="269">
        <v>3923</v>
      </c>
      <c r="T979" s="242" t="s">
        <v>2550</v>
      </c>
      <c r="U979" s="269"/>
      <c r="V979" s="269" t="s">
        <v>3133</v>
      </c>
      <c r="W979" s="269" t="s">
        <v>118</v>
      </c>
      <c r="X979" s="242">
        <f t="shared" si="18"/>
        <v>2</v>
      </c>
      <c r="Y979" s="269"/>
      <c r="Z979" s="269"/>
      <c r="AA979" s="269"/>
      <c r="AB979" s="269"/>
      <c r="AC979" s="270">
        <v>0</v>
      </c>
      <c r="AD979" s="269"/>
      <c r="AE979" s="269"/>
    </row>
    <row r="980" spans="1:31" s="244" customFormat="1" x14ac:dyDescent="0.2">
      <c r="A980" s="268"/>
      <c r="B980" s="266" t="s">
        <v>3349</v>
      </c>
      <c r="C980" s="242">
        <v>975</v>
      </c>
      <c r="D980" s="269" t="s">
        <v>1159</v>
      </c>
      <c r="E980" s="269" t="s">
        <v>1138</v>
      </c>
      <c r="F980" s="269" t="s">
        <v>1139</v>
      </c>
      <c r="G980" s="210" t="s">
        <v>329</v>
      </c>
      <c r="H980" s="210" t="s">
        <v>41</v>
      </c>
      <c r="I980" s="210" t="s">
        <v>84</v>
      </c>
      <c r="J980" s="4">
        <v>40175</v>
      </c>
      <c r="K980" s="210" t="s">
        <v>1150</v>
      </c>
      <c r="L980" s="210">
        <v>61</v>
      </c>
      <c r="M980" s="4">
        <f t="shared" si="17"/>
        <v>14</v>
      </c>
      <c r="N980" s="4" t="str">
        <f>_xlfn.CONCAT("DBX",((L980-1)*2)+1,".6")</f>
        <v>DBX121.6</v>
      </c>
      <c r="O980" s="210" t="s">
        <v>782</v>
      </c>
      <c r="P980" s="210" t="s">
        <v>1151</v>
      </c>
      <c r="Q980" s="269" t="s">
        <v>12</v>
      </c>
      <c r="R980" s="269"/>
      <c r="S980" s="269">
        <v>3923</v>
      </c>
      <c r="T980" s="242" t="s">
        <v>2550</v>
      </c>
      <c r="U980" s="269"/>
      <c r="V980" s="269" t="s">
        <v>3134</v>
      </c>
      <c r="W980" s="269" t="s">
        <v>118</v>
      </c>
      <c r="X980" s="242">
        <f t="shared" si="18"/>
        <v>2</v>
      </c>
      <c r="Y980" s="269"/>
      <c r="Z980" s="269"/>
      <c r="AA980" s="269"/>
      <c r="AB980" s="269"/>
      <c r="AC980" s="270">
        <v>0</v>
      </c>
      <c r="AD980" s="269"/>
      <c r="AE980" s="269"/>
    </row>
    <row r="981" spans="1:31" s="244" customFormat="1" x14ac:dyDescent="0.2">
      <c r="A981" s="268"/>
      <c r="B981" s="266" t="s">
        <v>3349</v>
      </c>
      <c r="C981" s="242">
        <v>976</v>
      </c>
      <c r="D981" s="269" t="s">
        <v>1160</v>
      </c>
      <c r="E981" s="269" t="s">
        <v>1140</v>
      </c>
      <c r="F981" s="269" t="s">
        <v>1141</v>
      </c>
      <c r="G981" s="210" t="s">
        <v>329</v>
      </c>
      <c r="H981" s="210" t="s">
        <v>41</v>
      </c>
      <c r="I981" s="210" t="s">
        <v>84</v>
      </c>
      <c r="J981" s="4">
        <v>40176</v>
      </c>
      <c r="K981" s="210" t="s">
        <v>1152</v>
      </c>
      <c r="L981" s="210">
        <v>61</v>
      </c>
      <c r="M981" s="4">
        <f t="shared" si="17"/>
        <v>15</v>
      </c>
      <c r="N981" s="4" t="str">
        <f>_xlfn.CONCAT("DBX",((L981-1)*2)+1,".7")</f>
        <v>DBX121.7</v>
      </c>
      <c r="O981" s="210" t="s">
        <v>782</v>
      </c>
      <c r="P981" s="210" t="s">
        <v>1153</v>
      </c>
      <c r="Q981" s="269" t="s">
        <v>12</v>
      </c>
      <c r="R981" s="269"/>
      <c r="S981" s="269">
        <v>3923</v>
      </c>
      <c r="T981" s="242" t="s">
        <v>2550</v>
      </c>
      <c r="U981" s="269"/>
      <c r="V981" s="269" t="s">
        <v>3135</v>
      </c>
      <c r="W981" s="269" t="s">
        <v>118</v>
      </c>
      <c r="X981" s="242">
        <f t="shared" si="18"/>
        <v>2</v>
      </c>
      <c r="Y981" s="269"/>
      <c r="Z981" s="269"/>
      <c r="AA981" s="269"/>
      <c r="AB981" s="269"/>
      <c r="AC981" s="270">
        <v>0</v>
      </c>
      <c r="AD981" s="269"/>
      <c r="AE981" s="269"/>
    </row>
    <row r="982" spans="1:31" s="244" customFormat="1" x14ac:dyDescent="0.2">
      <c r="A982" s="268"/>
      <c r="B982" s="266" t="s">
        <v>3349</v>
      </c>
      <c r="C982" s="242">
        <v>977</v>
      </c>
      <c r="D982" s="269" t="s">
        <v>1161</v>
      </c>
      <c r="E982" s="269" t="s">
        <v>1142</v>
      </c>
      <c r="F982" s="269" t="s">
        <v>1143</v>
      </c>
      <c r="G982" s="210" t="s">
        <v>329</v>
      </c>
      <c r="H982" s="210" t="s">
        <v>41</v>
      </c>
      <c r="I982" s="210" t="s">
        <v>84</v>
      </c>
      <c r="J982" s="4">
        <v>40177</v>
      </c>
      <c r="K982" s="210" t="s">
        <v>1154</v>
      </c>
      <c r="L982" s="210">
        <v>62</v>
      </c>
      <c r="M982" s="4">
        <f t="shared" si="17"/>
        <v>0</v>
      </c>
      <c r="N982" s="4" t="str">
        <f>_xlfn.CONCAT("DBX",((L982-1)*2),".0")</f>
        <v>DBX122.0</v>
      </c>
      <c r="O982" s="210" t="s">
        <v>782</v>
      </c>
      <c r="P982" s="210" t="s">
        <v>1155</v>
      </c>
      <c r="Q982" s="269" t="s">
        <v>12</v>
      </c>
      <c r="R982" s="269"/>
      <c r="S982" s="269">
        <v>3923</v>
      </c>
      <c r="T982" s="242" t="s">
        <v>2550</v>
      </c>
      <c r="U982" s="269"/>
      <c r="V982" s="269" t="s">
        <v>3136</v>
      </c>
      <c r="W982" s="269" t="s">
        <v>118</v>
      </c>
      <c r="X982" s="242">
        <f t="shared" si="18"/>
        <v>2</v>
      </c>
      <c r="Y982" s="269"/>
      <c r="Z982" s="269"/>
      <c r="AA982" s="269"/>
      <c r="AB982" s="269"/>
      <c r="AC982" s="270">
        <v>0</v>
      </c>
      <c r="AD982" s="269"/>
      <c r="AE982" s="269"/>
    </row>
    <row r="983" spans="1:31" x14ac:dyDescent="0.2">
      <c r="A983" s="209"/>
      <c r="B983" s="4" t="s">
        <v>34</v>
      </c>
      <c r="C983" s="4">
        <v>978</v>
      </c>
      <c r="D983" s="210"/>
      <c r="E983" s="210"/>
      <c r="F983" s="210"/>
      <c r="G983" s="210"/>
      <c r="H983" s="210"/>
      <c r="I983" s="210"/>
      <c r="J983" s="4">
        <v>40178</v>
      </c>
      <c r="K983" s="210"/>
      <c r="L983" s="210">
        <v>62</v>
      </c>
      <c r="M983" s="4">
        <f t="shared" si="17"/>
        <v>1</v>
      </c>
      <c r="N983" s="4" t="str">
        <f>_xlfn.CONCAT("DBX",((L983-1)*2),".1")</f>
        <v>DBX122.1</v>
      </c>
      <c r="O983" s="210" t="s">
        <v>782</v>
      </c>
      <c r="P983" s="210"/>
      <c r="Q983" s="210"/>
      <c r="R983" s="210"/>
      <c r="S983" s="210"/>
      <c r="T983" s="210"/>
      <c r="U983" s="210"/>
      <c r="V983" s="210"/>
      <c r="W983" s="210"/>
      <c r="X983" s="4" t="e">
        <f t="shared" si="18"/>
        <v>#N/A</v>
      </c>
      <c r="Y983" s="210"/>
      <c r="Z983" s="210"/>
      <c r="AA983" s="210"/>
      <c r="AB983" s="210"/>
      <c r="AC983" s="210"/>
      <c r="AD983" s="210"/>
      <c r="AE983" s="210"/>
    </row>
    <row r="984" spans="1:31" x14ac:dyDescent="0.2">
      <c r="A984" s="209"/>
      <c r="B984" s="4" t="s">
        <v>3170</v>
      </c>
      <c r="C984" s="4">
        <v>979</v>
      </c>
      <c r="D984" s="210" t="s">
        <v>893</v>
      </c>
      <c r="E984" s="210" t="s">
        <v>904</v>
      </c>
      <c r="F984" s="210" t="s">
        <v>1789</v>
      </c>
      <c r="G984" s="210" t="s">
        <v>72</v>
      </c>
      <c r="H984" s="210" t="s">
        <v>41</v>
      </c>
      <c r="I984" s="210" t="s">
        <v>84</v>
      </c>
      <c r="J984" s="4">
        <v>40179</v>
      </c>
      <c r="K984" s="210" t="s">
        <v>906</v>
      </c>
      <c r="L984" s="210">
        <v>62</v>
      </c>
      <c r="M984" s="4">
        <f t="shared" si="17"/>
        <v>2</v>
      </c>
      <c r="N984" s="4" t="str">
        <f>_xlfn.CONCAT("DBX",((L984-1)*2),".2")</f>
        <v>DBX122.2</v>
      </c>
      <c r="O984" s="210" t="s">
        <v>782</v>
      </c>
      <c r="P984" s="210" t="s">
        <v>99</v>
      </c>
      <c r="Q984" s="210" t="s">
        <v>89</v>
      </c>
      <c r="R984" s="210"/>
      <c r="S984" s="210">
        <v>3923</v>
      </c>
      <c r="T984" s="4" t="s">
        <v>2550</v>
      </c>
      <c r="U984" s="210"/>
      <c r="V984" s="210" t="s">
        <v>3145</v>
      </c>
      <c r="W984" s="210" t="s">
        <v>117</v>
      </c>
      <c r="X984" s="4">
        <f t="shared" si="18"/>
        <v>1</v>
      </c>
      <c r="Y984" s="210"/>
      <c r="Z984" s="210"/>
      <c r="AA984" s="210"/>
      <c r="AB984" s="210"/>
      <c r="AC984" s="210">
        <v>1</v>
      </c>
      <c r="AD984" s="210"/>
      <c r="AE984" s="210"/>
    </row>
    <row r="985" spans="1:31" x14ac:dyDescent="0.2">
      <c r="A985" s="209"/>
      <c r="B985" s="4" t="s">
        <v>104</v>
      </c>
      <c r="C985" s="4">
        <v>980</v>
      </c>
      <c r="D985" s="210" t="s">
        <v>894</v>
      </c>
      <c r="E985" s="210" t="s">
        <v>905</v>
      </c>
      <c r="F985" s="210" t="s">
        <v>1790</v>
      </c>
      <c r="G985" s="210" t="s">
        <v>72</v>
      </c>
      <c r="H985" s="210" t="s">
        <v>41</v>
      </c>
      <c r="I985" s="210" t="s">
        <v>84</v>
      </c>
      <c r="J985" s="4">
        <v>40180</v>
      </c>
      <c r="K985" s="210" t="s">
        <v>907</v>
      </c>
      <c r="L985" s="210">
        <v>62</v>
      </c>
      <c r="M985" s="4">
        <f t="shared" si="17"/>
        <v>3</v>
      </c>
      <c r="N985" s="4" t="str">
        <f>_xlfn.CONCAT("DBX",((L985-1)*2),".3")</f>
        <v>DBX122.3</v>
      </c>
      <c r="O985" s="210" t="s">
        <v>782</v>
      </c>
      <c r="P985" s="210" t="s">
        <v>99</v>
      </c>
      <c r="Q985" s="210" t="s">
        <v>89</v>
      </c>
      <c r="R985" s="210"/>
      <c r="S985" s="210">
        <v>3923</v>
      </c>
      <c r="T985" s="4" t="s">
        <v>2550</v>
      </c>
      <c r="U985" s="210"/>
      <c r="V985" s="210"/>
      <c r="W985" s="210" t="s">
        <v>117</v>
      </c>
      <c r="X985" s="4">
        <f t="shared" si="18"/>
        <v>1</v>
      </c>
      <c r="Y985" s="210"/>
      <c r="Z985" s="210"/>
      <c r="AA985" s="210"/>
      <c r="AB985" s="210"/>
      <c r="AC985" s="210">
        <v>1</v>
      </c>
      <c r="AD985" s="210"/>
      <c r="AE985" s="210"/>
    </row>
    <row r="986" spans="1:31" s="244" customFormat="1" x14ac:dyDescent="0.2">
      <c r="A986" s="268"/>
      <c r="B986" s="266" t="s">
        <v>3349</v>
      </c>
      <c r="C986" s="242">
        <v>981</v>
      </c>
      <c r="D986" s="269" t="s">
        <v>895</v>
      </c>
      <c r="E986" s="269" t="s">
        <v>896</v>
      </c>
      <c r="F986" s="269" t="s">
        <v>897</v>
      </c>
      <c r="G986" s="210" t="s">
        <v>72</v>
      </c>
      <c r="H986" s="210" t="s">
        <v>41</v>
      </c>
      <c r="I986" s="210" t="s">
        <v>84</v>
      </c>
      <c r="J986" s="4">
        <v>40181</v>
      </c>
      <c r="K986" s="210" t="s">
        <v>99</v>
      </c>
      <c r="L986" s="210">
        <v>62</v>
      </c>
      <c r="M986" s="4">
        <v>4</v>
      </c>
      <c r="N986" s="4" t="str">
        <f>_xlfn.CONCAT("DBX",((L986-1)*2),".4")</f>
        <v>DBX122.4</v>
      </c>
      <c r="O986" s="210" t="s">
        <v>782</v>
      </c>
      <c r="P986" s="210" t="s">
        <v>99</v>
      </c>
      <c r="Q986" s="269" t="s">
        <v>89</v>
      </c>
      <c r="R986" s="269"/>
      <c r="S986" s="269">
        <v>3923</v>
      </c>
      <c r="T986" s="269" t="s">
        <v>2550</v>
      </c>
      <c r="U986" s="269"/>
      <c r="V986" s="269"/>
      <c r="W986" s="269" t="s">
        <v>117</v>
      </c>
      <c r="X986" s="242">
        <f t="shared" si="18"/>
        <v>1</v>
      </c>
      <c r="Y986" s="269"/>
      <c r="Z986" s="269"/>
      <c r="AA986" s="269"/>
      <c r="AB986" s="269"/>
      <c r="AC986" s="266">
        <v>0</v>
      </c>
      <c r="AD986" s="269"/>
      <c r="AE986" s="269"/>
    </row>
    <row r="987" spans="1:31" x14ac:dyDescent="0.2">
      <c r="A987" s="209"/>
      <c r="B987" s="4" t="s">
        <v>34</v>
      </c>
      <c r="C987" s="4">
        <v>982</v>
      </c>
      <c r="D987" s="210"/>
      <c r="E987" s="210"/>
      <c r="F987" s="210"/>
      <c r="G987" s="210"/>
      <c r="H987" s="210"/>
      <c r="I987" s="210"/>
      <c r="J987" s="4">
        <v>40182</v>
      </c>
      <c r="K987" s="210"/>
      <c r="L987" s="210">
        <v>62</v>
      </c>
      <c r="M987" s="4">
        <f t="shared" si="17"/>
        <v>5</v>
      </c>
      <c r="N987" s="4" t="str">
        <f>_xlfn.CONCAT("DBX",((L987-1)*2),".5")</f>
        <v>DBX122.5</v>
      </c>
      <c r="O987" s="210" t="s">
        <v>782</v>
      </c>
      <c r="P987" s="210"/>
      <c r="Q987" s="210"/>
      <c r="R987" s="210"/>
      <c r="S987" s="210"/>
      <c r="T987" s="210"/>
      <c r="U987" s="210"/>
      <c r="V987" s="210"/>
      <c r="W987" s="210"/>
      <c r="X987" s="4" t="e">
        <f t="shared" si="18"/>
        <v>#N/A</v>
      </c>
      <c r="Y987" s="210"/>
      <c r="Z987" s="210"/>
      <c r="AA987" s="210"/>
      <c r="AB987" s="210"/>
      <c r="AC987" s="210"/>
      <c r="AD987" s="210"/>
      <c r="AE987" s="210"/>
    </row>
    <row r="988" spans="1:31" x14ac:dyDescent="0.2">
      <c r="A988" s="209"/>
      <c r="B988" s="4" t="s">
        <v>3170</v>
      </c>
      <c r="C988" s="4">
        <v>983</v>
      </c>
      <c r="D988" s="210" t="s">
        <v>1967</v>
      </c>
      <c r="E988" s="210" t="s">
        <v>1968</v>
      </c>
      <c r="F988" s="210" t="s">
        <v>2327</v>
      </c>
      <c r="G988" s="210" t="s">
        <v>329</v>
      </c>
      <c r="H988" s="210" t="s">
        <v>41</v>
      </c>
      <c r="I988" s="210" t="s">
        <v>84</v>
      </c>
      <c r="J988" s="4">
        <v>40183</v>
      </c>
      <c r="K988" s="210" t="s">
        <v>2682</v>
      </c>
      <c r="L988" s="210">
        <v>62</v>
      </c>
      <c r="M988" s="4">
        <f t="shared" si="17"/>
        <v>6</v>
      </c>
      <c r="N988" s="4" t="str">
        <f>_xlfn.CONCAT("DBX",((L988-1)*2),".6")</f>
        <v>DBX122.6</v>
      </c>
      <c r="O988" s="210" t="s">
        <v>782</v>
      </c>
      <c r="P988" s="210" t="s">
        <v>99</v>
      </c>
      <c r="Q988" s="210" t="s">
        <v>92</v>
      </c>
      <c r="R988" s="210"/>
      <c r="S988" s="210">
        <v>3923</v>
      </c>
      <c r="T988" s="4" t="s">
        <v>2550</v>
      </c>
      <c r="U988" s="210"/>
      <c r="V988" s="210" t="s">
        <v>3146</v>
      </c>
      <c r="W988" s="210" t="s">
        <v>127</v>
      </c>
      <c r="X988" s="4">
        <f t="shared" si="18"/>
        <v>11</v>
      </c>
      <c r="Y988" s="210"/>
      <c r="Z988" s="210"/>
      <c r="AA988" s="210"/>
      <c r="AB988" s="210"/>
      <c r="AC988" s="210">
        <v>1</v>
      </c>
      <c r="AD988" s="210"/>
      <c r="AE988" s="210"/>
    </row>
    <row r="989" spans="1:31" x14ac:dyDescent="0.2">
      <c r="A989" s="209"/>
      <c r="B989" s="4" t="s">
        <v>34</v>
      </c>
      <c r="C989" s="4">
        <v>984</v>
      </c>
      <c r="D989" s="210"/>
      <c r="E989" s="210"/>
      <c r="F989" s="210"/>
      <c r="G989" s="210"/>
      <c r="H989" s="210"/>
      <c r="I989" s="210"/>
      <c r="J989" s="4">
        <v>40184</v>
      </c>
      <c r="K989" s="210"/>
      <c r="L989" s="210">
        <v>62</v>
      </c>
      <c r="M989" s="4">
        <f t="shared" si="17"/>
        <v>7</v>
      </c>
      <c r="N989" s="4" t="str">
        <f>_xlfn.CONCAT("DBX",((L989-1)*2),".7")</f>
        <v>DBX122.7</v>
      </c>
      <c r="O989" s="210" t="s">
        <v>782</v>
      </c>
      <c r="P989" s="210"/>
      <c r="Q989" s="210"/>
      <c r="R989" s="210"/>
      <c r="S989" s="210"/>
      <c r="T989" s="210"/>
      <c r="U989" s="210"/>
      <c r="V989" s="210"/>
      <c r="W989" s="210"/>
      <c r="X989" s="4" t="e">
        <f t="shared" si="18"/>
        <v>#N/A</v>
      </c>
      <c r="Y989" s="210"/>
      <c r="Z989" s="210"/>
      <c r="AA989" s="210"/>
      <c r="AB989" s="210"/>
      <c r="AC989" s="210"/>
      <c r="AD989" s="210"/>
      <c r="AE989" s="210"/>
    </row>
    <row r="990" spans="1:31" x14ac:dyDescent="0.2">
      <c r="A990" s="209"/>
      <c r="B990" s="4" t="s">
        <v>88</v>
      </c>
      <c r="C990" s="4">
        <v>985</v>
      </c>
      <c r="D990" s="4" t="s">
        <v>2589</v>
      </c>
      <c r="E990" s="4" t="s">
        <v>2510</v>
      </c>
      <c r="F990" s="4" t="s">
        <v>2508</v>
      </c>
      <c r="G990" s="4" t="s">
        <v>72</v>
      </c>
      <c r="H990" s="4" t="s">
        <v>41</v>
      </c>
      <c r="I990" s="4" t="s">
        <v>84</v>
      </c>
      <c r="J990" s="4">
        <v>40185</v>
      </c>
      <c r="K990" s="202" t="s">
        <v>2513</v>
      </c>
      <c r="L990" s="210">
        <v>62</v>
      </c>
      <c r="M990" s="4">
        <f t="shared" si="17"/>
        <v>8</v>
      </c>
      <c r="N990" s="4" t="str">
        <f>_xlfn.CONCAT("DBX",((L990-1)*2)+1,".0")</f>
        <v>DBX123.0</v>
      </c>
      <c r="O990" s="210" t="s">
        <v>782</v>
      </c>
      <c r="P990" s="4" t="s">
        <v>2182</v>
      </c>
      <c r="Q990" s="4" t="s">
        <v>92</v>
      </c>
      <c r="R990" s="4"/>
      <c r="S990" s="4">
        <v>3922</v>
      </c>
      <c r="T990" s="4" t="s">
        <v>2550</v>
      </c>
      <c r="U990" s="4"/>
      <c r="V990" s="4"/>
      <c r="W990" s="4" t="s">
        <v>129</v>
      </c>
      <c r="X990" s="4">
        <f t="shared" si="18"/>
        <v>13</v>
      </c>
      <c r="Y990" s="210"/>
      <c r="Z990" s="210"/>
      <c r="AA990" s="210"/>
      <c r="AB990" s="210"/>
      <c r="AC990" s="210">
        <v>1</v>
      </c>
      <c r="AD990" s="210"/>
      <c r="AE990" s="210"/>
    </row>
    <row r="991" spans="1:31" x14ac:dyDescent="0.2">
      <c r="A991" s="209"/>
      <c r="B991" s="4" t="s">
        <v>88</v>
      </c>
      <c r="C991" s="4">
        <v>986</v>
      </c>
      <c r="D991" s="4" t="s">
        <v>2590</v>
      </c>
      <c r="E991" s="4" t="s">
        <v>2511</v>
      </c>
      <c r="F991" s="4" t="s">
        <v>2509</v>
      </c>
      <c r="G991" s="4" t="s">
        <v>72</v>
      </c>
      <c r="H991" s="4" t="s">
        <v>41</v>
      </c>
      <c r="I991" s="4" t="s">
        <v>84</v>
      </c>
      <c r="J991" s="4">
        <v>40186</v>
      </c>
      <c r="K991" s="202" t="s">
        <v>2512</v>
      </c>
      <c r="L991" s="210">
        <v>62</v>
      </c>
      <c r="M991" s="4">
        <f t="shared" si="17"/>
        <v>9</v>
      </c>
      <c r="N991" s="4" t="str">
        <f>_xlfn.CONCAT("DBX",((L991-1)*2)+1,".1")</f>
        <v>DBX123.1</v>
      </c>
      <c r="O991" s="210" t="s">
        <v>782</v>
      </c>
      <c r="P991" s="4" t="s">
        <v>2190</v>
      </c>
      <c r="Q991" s="4" t="s">
        <v>92</v>
      </c>
      <c r="R991" s="4"/>
      <c r="S991" s="4">
        <v>3922</v>
      </c>
      <c r="T991" s="4" t="s">
        <v>2550</v>
      </c>
      <c r="U991" s="4"/>
      <c r="V991" s="4"/>
      <c r="W991" s="4" t="s">
        <v>129</v>
      </c>
      <c r="X991" s="4">
        <f t="shared" si="18"/>
        <v>13</v>
      </c>
      <c r="Y991" s="210"/>
      <c r="Z991" s="210"/>
      <c r="AA991" s="210"/>
      <c r="AB991" s="210"/>
      <c r="AC991" s="210">
        <v>1</v>
      </c>
      <c r="AD991" s="210"/>
      <c r="AE991" s="210"/>
    </row>
    <row r="992" spans="1:31" x14ac:dyDescent="0.2">
      <c r="A992" s="209"/>
      <c r="B992" s="4" t="s">
        <v>34</v>
      </c>
      <c r="C992" s="4">
        <v>987</v>
      </c>
      <c r="D992" s="210"/>
      <c r="E992" s="210"/>
      <c r="F992" s="210"/>
      <c r="G992" s="210"/>
      <c r="H992" s="210"/>
      <c r="I992" s="210"/>
      <c r="J992" s="4">
        <v>40187</v>
      </c>
      <c r="K992" s="210"/>
      <c r="L992" s="210">
        <v>62</v>
      </c>
      <c r="M992" s="4">
        <f t="shared" si="17"/>
        <v>10</v>
      </c>
      <c r="N992" s="4" t="str">
        <f>_xlfn.CONCAT("DBX",((L992-1)*2)+1,".2")</f>
        <v>DBX123.2</v>
      </c>
      <c r="O992" s="210" t="s">
        <v>782</v>
      </c>
      <c r="P992" s="210"/>
      <c r="Q992" s="210"/>
      <c r="R992" s="210"/>
      <c r="S992" s="210"/>
      <c r="T992" s="210"/>
      <c r="U992" s="210"/>
      <c r="V992" s="210"/>
      <c r="W992" s="210"/>
      <c r="X992" s="4" t="e">
        <f t="shared" si="18"/>
        <v>#N/A</v>
      </c>
      <c r="Y992" s="210"/>
      <c r="Z992" s="210"/>
      <c r="AA992" s="210"/>
      <c r="AB992" s="210"/>
      <c r="AC992" s="210"/>
      <c r="AD992" s="210"/>
      <c r="AE992" s="210"/>
    </row>
    <row r="993" spans="1:31" x14ac:dyDescent="0.2">
      <c r="A993" s="209"/>
      <c r="B993" s="4" t="s">
        <v>34</v>
      </c>
      <c r="C993" s="4">
        <v>988</v>
      </c>
      <c r="D993" s="210"/>
      <c r="E993" s="210"/>
      <c r="F993" s="210"/>
      <c r="G993" s="210"/>
      <c r="H993" s="210"/>
      <c r="I993" s="210"/>
      <c r="J993" s="4">
        <v>40188</v>
      </c>
      <c r="K993" s="210"/>
      <c r="L993" s="210">
        <v>62</v>
      </c>
      <c r="M993" s="4">
        <f t="shared" si="17"/>
        <v>11</v>
      </c>
      <c r="N993" s="4" t="str">
        <f>_xlfn.CONCAT("DBX",((L993-1)*2)+1,".3")</f>
        <v>DBX123.3</v>
      </c>
      <c r="O993" s="210" t="s">
        <v>782</v>
      </c>
      <c r="P993" s="210"/>
      <c r="Q993" s="210"/>
      <c r="R993" s="210"/>
      <c r="S993" s="210"/>
      <c r="T993" s="210"/>
      <c r="U993" s="210"/>
      <c r="V993" s="210"/>
      <c r="W993" s="210"/>
      <c r="X993" s="4" t="e">
        <f t="shared" si="18"/>
        <v>#N/A</v>
      </c>
      <c r="Y993" s="210"/>
      <c r="Z993" s="210"/>
      <c r="AA993" s="210"/>
      <c r="AB993" s="210"/>
      <c r="AC993" s="210"/>
      <c r="AD993" s="210"/>
      <c r="AE993" s="210"/>
    </row>
    <row r="994" spans="1:31" x14ac:dyDescent="0.2">
      <c r="A994" s="209"/>
      <c r="B994" s="4" t="s">
        <v>34</v>
      </c>
      <c r="C994" s="4">
        <v>989</v>
      </c>
      <c r="D994" s="210"/>
      <c r="E994" s="210"/>
      <c r="F994" s="210"/>
      <c r="G994" s="210"/>
      <c r="H994" s="210"/>
      <c r="I994" s="210"/>
      <c r="J994" s="4">
        <v>40189</v>
      </c>
      <c r="K994" s="210"/>
      <c r="L994" s="210">
        <v>62</v>
      </c>
      <c r="M994" s="4">
        <f t="shared" si="17"/>
        <v>12</v>
      </c>
      <c r="N994" s="4" t="str">
        <f>_xlfn.CONCAT("DBX",((L994-1)*2)+1,".4")</f>
        <v>DBX123.4</v>
      </c>
      <c r="O994" s="210" t="s">
        <v>782</v>
      </c>
      <c r="P994" s="210"/>
      <c r="Q994" s="210"/>
      <c r="R994" s="210"/>
      <c r="S994" s="210"/>
      <c r="T994" s="210"/>
      <c r="U994" s="210"/>
      <c r="V994" s="210"/>
      <c r="W994" s="210"/>
      <c r="X994" s="4" t="e">
        <f t="shared" si="18"/>
        <v>#N/A</v>
      </c>
      <c r="Y994" s="210"/>
      <c r="Z994" s="210"/>
      <c r="AA994" s="210"/>
      <c r="AB994" s="210"/>
      <c r="AC994" s="210"/>
      <c r="AD994" s="210"/>
      <c r="AE994" s="210"/>
    </row>
    <row r="995" spans="1:31" x14ac:dyDescent="0.2">
      <c r="A995" s="209"/>
      <c r="B995" s="4" t="s">
        <v>34</v>
      </c>
      <c r="C995" s="4">
        <v>990</v>
      </c>
      <c r="D995" s="210"/>
      <c r="E995" s="210"/>
      <c r="F995" s="210"/>
      <c r="G995" s="210"/>
      <c r="H995" s="210"/>
      <c r="I995" s="210"/>
      <c r="J995" s="4">
        <v>40190</v>
      </c>
      <c r="K995" s="210"/>
      <c r="L995" s="210">
        <v>62</v>
      </c>
      <c r="M995" s="4">
        <f t="shared" si="17"/>
        <v>13</v>
      </c>
      <c r="N995" s="4" t="str">
        <f>_xlfn.CONCAT("DBX",((L995-1)*2)+1,".5")</f>
        <v>DBX123.5</v>
      </c>
      <c r="O995" s="210" t="s">
        <v>782</v>
      </c>
      <c r="P995" s="210"/>
      <c r="Q995" s="210"/>
      <c r="R995" s="210"/>
      <c r="S995" s="210"/>
      <c r="T995" s="210"/>
      <c r="U995" s="210"/>
      <c r="V995" s="210"/>
      <c r="W995" s="210"/>
      <c r="X995" s="4" t="e">
        <f t="shared" si="18"/>
        <v>#N/A</v>
      </c>
      <c r="Y995" s="210"/>
      <c r="Z995" s="210"/>
      <c r="AA995" s="210"/>
      <c r="AB995" s="210"/>
      <c r="AC995" s="210"/>
      <c r="AD995" s="210"/>
      <c r="AE995" s="210"/>
    </row>
    <row r="996" spans="1:31" x14ac:dyDescent="0.2">
      <c r="A996" s="209"/>
      <c r="B996" s="4" t="s">
        <v>34</v>
      </c>
      <c r="C996" s="4">
        <v>991</v>
      </c>
      <c r="D996" s="210"/>
      <c r="E996" s="210"/>
      <c r="F996" s="210"/>
      <c r="G996" s="210"/>
      <c r="H996" s="210"/>
      <c r="I996" s="210"/>
      <c r="J996" s="4">
        <v>40191</v>
      </c>
      <c r="K996" s="210"/>
      <c r="L996" s="210">
        <v>62</v>
      </c>
      <c r="M996" s="4">
        <f t="shared" si="17"/>
        <v>14</v>
      </c>
      <c r="N996" s="4" t="str">
        <f>_xlfn.CONCAT("DBX",((L996-1)*2)+1,".6")</f>
        <v>DBX123.6</v>
      </c>
      <c r="O996" s="210" t="s">
        <v>782</v>
      </c>
      <c r="P996" s="210"/>
      <c r="Q996" s="210"/>
      <c r="R996" s="210"/>
      <c r="S996" s="210"/>
      <c r="T996" s="210"/>
      <c r="U996" s="210"/>
      <c r="V996" s="210"/>
      <c r="W996" s="210"/>
      <c r="X996" s="4" t="e">
        <f t="shared" si="18"/>
        <v>#N/A</v>
      </c>
      <c r="Y996" s="210"/>
      <c r="Z996" s="210"/>
      <c r="AA996" s="210"/>
      <c r="AB996" s="210"/>
      <c r="AC996" s="210"/>
      <c r="AD996" s="210"/>
      <c r="AE996" s="210"/>
    </row>
    <row r="997" spans="1:31" x14ac:dyDescent="0.2">
      <c r="A997" s="209"/>
      <c r="B997" s="4" t="s">
        <v>34</v>
      </c>
      <c r="C997" s="4">
        <v>992</v>
      </c>
      <c r="D997" s="210"/>
      <c r="E997" s="210"/>
      <c r="F997" s="210"/>
      <c r="G997" s="210"/>
      <c r="H997" s="210"/>
      <c r="I997" s="210"/>
      <c r="J997" s="4">
        <v>40192</v>
      </c>
      <c r="K997" s="210"/>
      <c r="L997" s="210">
        <v>62</v>
      </c>
      <c r="M997" s="4">
        <f t="shared" si="17"/>
        <v>15</v>
      </c>
      <c r="N997" s="4" t="str">
        <f>_xlfn.CONCAT("DBX",((L997-1)*2)+1,".7")</f>
        <v>DBX123.7</v>
      </c>
      <c r="O997" s="210" t="s">
        <v>782</v>
      </c>
      <c r="P997" s="210"/>
      <c r="Q997" s="210"/>
      <c r="R997" s="210"/>
      <c r="S997" s="210"/>
      <c r="T997" s="210"/>
      <c r="U997" s="210"/>
      <c r="V997" s="210"/>
      <c r="W997" s="210"/>
      <c r="X997" s="4" t="e">
        <f t="shared" si="18"/>
        <v>#N/A</v>
      </c>
      <c r="Y997" s="210"/>
      <c r="Z997" s="210"/>
      <c r="AA997" s="210"/>
      <c r="AB997" s="210"/>
      <c r="AC997" s="210"/>
      <c r="AD997" s="210"/>
      <c r="AE997" s="210"/>
    </row>
    <row r="998" spans="1:31" x14ac:dyDescent="0.2">
      <c r="A998" s="209"/>
      <c r="B998" s="4" t="s">
        <v>34</v>
      </c>
      <c r="C998" s="4">
        <v>993</v>
      </c>
      <c r="D998" s="210"/>
      <c r="E998" s="210"/>
      <c r="F998" s="210"/>
      <c r="G998" s="210"/>
      <c r="H998" s="210"/>
      <c r="I998" s="210"/>
      <c r="J998" s="4">
        <v>40193</v>
      </c>
      <c r="K998" s="210"/>
      <c r="L998" s="210">
        <v>63</v>
      </c>
      <c r="M998" s="4">
        <v>0</v>
      </c>
      <c r="N998" s="4" t="str">
        <f>_xlfn.CONCAT("DBX",((L998-1)*2),".0")</f>
        <v>DBX124.0</v>
      </c>
      <c r="O998" s="210" t="s">
        <v>782</v>
      </c>
      <c r="P998" s="210"/>
      <c r="Q998" s="210"/>
      <c r="R998" s="210"/>
      <c r="S998" s="210"/>
      <c r="T998" s="210"/>
      <c r="U998" s="210"/>
      <c r="V998" s="210"/>
      <c r="W998" s="210"/>
      <c r="X998" s="4" t="e">
        <f t="shared" ref="X998:X1061" si="19">VLOOKUP(W998,$W$1609:$X$1639,2,FALSE)</f>
        <v>#N/A</v>
      </c>
      <c r="Y998" s="210"/>
      <c r="Z998" s="210"/>
      <c r="AA998" s="210"/>
      <c r="AB998" s="210"/>
      <c r="AC998" s="210"/>
      <c r="AD998" s="210"/>
      <c r="AE998" s="210"/>
    </row>
    <row r="999" spans="1:31" x14ac:dyDescent="0.2">
      <c r="A999" s="209"/>
      <c r="B999" s="4" t="s">
        <v>3170</v>
      </c>
      <c r="C999" s="4">
        <v>994</v>
      </c>
      <c r="D999" s="210" t="s">
        <v>1065</v>
      </c>
      <c r="E999" s="210" t="s">
        <v>1066</v>
      </c>
      <c r="F999" s="210" t="s">
        <v>1162</v>
      </c>
      <c r="G999" s="210" t="s">
        <v>329</v>
      </c>
      <c r="H999" s="210" t="s">
        <v>41</v>
      </c>
      <c r="I999" s="210" t="s">
        <v>84</v>
      </c>
      <c r="J999" s="4">
        <v>40194</v>
      </c>
      <c r="K999" s="210" t="s">
        <v>1173</v>
      </c>
      <c r="L999" s="210">
        <v>63</v>
      </c>
      <c r="M999" s="4">
        <v>1</v>
      </c>
      <c r="N999" s="4" t="str">
        <f>_xlfn.CONCAT("DBX",((L999-1)*2),".1")</f>
        <v>DBX124.1</v>
      </c>
      <c r="O999" s="210" t="s">
        <v>782</v>
      </c>
      <c r="P999" s="210" t="s">
        <v>99</v>
      </c>
      <c r="Q999" s="210" t="s">
        <v>12</v>
      </c>
      <c r="R999" s="210"/>
      <c r="S999" s="210">
        <v>3923</v>
      </c>
      <c r="T999" s="4" t="s">
        <v>2550</v>
      </c>
      <c r="U999" s="210" t="s">
        <v>2539</v>
      </c>
      <c r="V999" s="210" t="s">
        <v>3167</v>
      </c>
      <c r="W999" s="210" t="s">
        <v>129</v>
      </c>
      <c r="X999" s="4">
        <f t="shared" si="19"/>
        <v>13</v>
      </c>
      <c r="Y999" s="210"/>
      <c r="Z999" s="210"/>
      <c r="AA999" s="210"/>
      <c r="AB999" s="210"/>
      <c r="AC999" s="210">
        <v>1</v>
      </c>
      <c r="AD999" s="210"/>
      <c r="AE999" s="210"/>
    </row>
    <row r="1000" spans="1:31" x14ac:dyDescent="0.2">
      <c r="A1000" s="209"/>
      <c r="B1000" s="4" t="s">
        <v>3170</v>
      </c>
      <c r="C1000" s="4">
        <v>995</v>
      </c>
      <c r="D1000" s="210" t="s">
        <v>1171</v>
      </c>
      <c r="E1000" s="210" t="s">
        <v>1163</v>
      </c>
      <c r="F1000" s="210" t="s">
        <v>1164</v>
      </c>
      <c r="G1000" s="210" t="s">
        <v>329</v>
      </c>
      <c r="H1000" s="210" t="s">
        <v>41</v>
      </c>
      <c r="I1000" s="210" t="s">
        <v>84</v>
      </c>
      <c r="J1000" s="4">
        <v>40195</v>
      </c>
      <c r="K1000" s="210" t="s">
        <v>1172</v>
      </c>
      <c r="L1000" s="210">
        <v>63</v>
      </c>
      <c r="M1000" s="4">
        <v>2</v>
      </c>
      <c r="N1000" s="4" t="str">
        <f>_xlfn.CONCAT("DBX",((L1000-1)*2),".2")</f>
        <v>DBX124.2</v>
      </c>
      <c r="O1000" s="210" t="s">
        <v>782</v>
      </c>
      <c r="P1000" s="210" t="s">
        <v>99</v>
      </c>
      <c r="Q1000" s="210" t="s">
        <v>12</v>
      </c>
      <c r="R1000" s="210"/>
      <c r="S1000" s="210">
        <v>3923</v>
      </c>
      <c r="T1000" s="4" t="s">
        <v>2550</v>
      </c>
      <c r="U1000" s="210" t="s">
        <v>2301</v>
      </c>
      <c r="V1000" s="210" t="s">
        <v>3149</v>
      </c>
      <c r="W1000" s="210" t="s">
        <v>129</v>
      </c>
      <c r="X1000" s="4">
        <f t="shared" si="19"/>
        <v>13</v>
      </c>
      <c r="Y1000" s="210"/>
      <c r="Z1000" s="210"/>
      <c r="AA1000" s="210"/>
      <c r="AB1000" s="210"/>
      <c r="AC1000" s="210">
        <v>1</v>
      </c>
      <c r="AD1000" s="210"/>
      <c r="AE1000" s="210"/>
    </row>
    <row r="1001" spans="1:31" x14ac:dyDescent="0.2">
      <c r="A1001" s="209"/>
      <c r="B1001" s="4" t="s">
        <v>3170</v>
      </c>
      <c r="C1001" s="4">
        <v>996</v>
      </c>
      <c r="D1001" s="210" t="s">
        <v>1169</v>
      </c>
      <c r="E1001" s="210" t="s">
        <v>1165</v>
      </c>
      <c r="F1001" s="210" t="s">
        <v>1166</v>
      </c>
      <c r="G1001" s="210" t="s">
        <v>329</v>
      </c>
      <c r="H1001" s="210" t="s">
        <v>41</v>
      </c>
      <c r="I1001" s="210" t="s">
        <v>84</v>
      </c>
      <c r="J1001" s="4">
        <v>40196</v>
      </c>
      <c r="K1001" s="210" t="s">
        <v>1174</v>
      </c>
      <c r="L1001" s="210">
        <v>63</v>
      </c>
      <c r="M1001" s="4">
        <v>3</v>
      </c>
      <c r="N1001" s="4" t="str">
        <f>_xlfn.CONCAT("DBX",((L1001-1)*2),".3")</f>
        <v>DBX124.3</v>
      </c>
      <c r="O1001" s="210" t="s">
        <v>782</v>
      </c>
      <c r="P1001" s="210" t="s">
        <v>99</v>
      </c>
      <c r="Q1001" s="210" t="s">
        <v>12</v>
      </c>
      <c r="R1001" s="210"/>
      <c r="S1001" s="210">
        <v>3923</v>
      </c>
      <c r="T1001" s="4" t="s">
        <v>2550</v>
      </c>
      <c r="U1001" s="210" t="s">
        <v>2302</v>
      </c>
      <c r="V1001" s="210" t="s">
        <v>3168</v>
      </c>
      <c r="W1001" s="210" t="s">
        <v>129</v>
      </c>
      <c r="X1001" s="4">
        <f t="shared" si="19"/>
        <v>13</v>
      </c>
      <c r="Y1001" s="210"/>
      <c r="Z1001" s="210"/>
      <c r="AA1001" s="210"/>
      <c r="AB1001" s="210"/>
      <c r="AC1001" s="210">
        <v>1</v>
      </c>
      <c r="AD1001" s="210"/>
      <c r="AE1001" s="210"/>
    </row>
    <row r="1002" spans="1:31" x14ac:dyDescent="0.2">
      <c r="A1002" s="209"/>
      <c r="B1002" s="4" t="s">
        <v>3170</v>
      </c>
      <c r="C1002" s="4">
        <v>997</v>
      </c>
      <c r="D1002" s="210" t="s">
        <v>1170</v>
      </c>
      <c r="E1002" s="210" t="s">
        <v>1167</v>
      </c>
      <c r="F1002" s="210" t="s">
        <v>1168</v>
      </c>
      <c r="G1002" s="210" t="s">
        <v>329</v>
      </c>
      <c r="H1002" s="210" t="s">
        <v>41</v>
      </c>
      <c r="I1002" s="210" t="s">
        <v>84</v>
      </c>
      <c r="J1002" s="4">
        <v>40197</v>
      </c>
      <c r="K1002" s="210" t="s">
        <v>1175</v>
      </c>
      <c r="L1002" s="210">
        <v>63</v>
      </c>
      <c r="M1002" s="4">
        <v>4</v>
      </c>
      <c r="N1002" s="4" t="str">
        <f>_xlfn.CONCAT("DBX",((L1002-1)*2),".4")</f>
        <v>DBX124.4</v>
      </c>
      <c r="O1002" s="210" t="s">
        <v>782</v>
      </c>
      <c r="P1002" s="210" t="s">
        <v>99</v>
      </c>
      <c r="Q1002" s="210" t="s">
        <v>12</v>
      </c>
      <c r="R1002" s="210"/>
      <c r="S1002" s="210">
        <v>3923</v>
      </c>
      <c r="T1002" s="4" t="s">
        <v>2550</v>
      </c>
      <c r="U1002" s="210" t="s">
        <v>2303</v>
      </c>
      <c r="V1002" s="210" t="s">
        <v>3168</v>
      </c>
      <c r="W1002" s="210" t="s">
        <v>129</v>
      </c>
      <c r="X1002" s="4">
        <f t="shared" si="19"/>
        <v>13</v>
      </c>
      <c r="Y1002" s="210"/>
      <c r="Z1002" s="210"/>
      <c r="AA1002" s="210"/>
      <c r="AB1002" s="210"/>
      <c r="AC1002" s="210">
        <v>1</v>
      </c>
      <c r="AD1002" s="210"/>
      <c r="AE1002" s="210"/>
    </row>
    <row r="1003" spans="1:31" x14ac:dyDescent="0.2">
      <c r="A1003" s="209"/>
      <c r="B1003" s="4" t="s">
        <v>34</v>
      </c>
      <c r="C1003" s="4">
        <v>998</v>
      </c>
      <c r="D1003" s="210"/>
      <c r="E1003" s="210"/>
      <c r="F1003" s="210"/>
      <c r="G1003" s="210"/>
      <c r="H1003" s="210"/>
      <c r="I1003" s="210"/>
      <c r="J1003" s="4">
        <v>40198</v>
      </c>
      <c r="K1003" s="210"/>
      <c r="L1003" s="210">
        <v>63</v>
      </c>
      <c r="M1003" s="4">
        <v>5</v>
      </c>
      <c r="N1003" s="4" t="str">
        <f>_xlfn.CONCAT("DBX",((L1003-1)*2),".5")</f>
        <v>DBX124.5</v>
      </c>
      <c r="O1003" s="210" t="s">
        <v>782</v>
      </c>
      <c r="P1003" s="210"/>
      <c r="Q1003" s="210"/>
      <c r="R1003" s="210"/>
      <c r="S1003" s="210"/>
      <c r="T1003" s="210"/>
      <c r="U1003" s="210"/>
      <c r="V1003" s="210"/>
      <c r="W1003" s="210"/>
      <c r="X1003" s="4" t="e">
        <f t="shared" si="19"/>
        <v>#N/A</v>
      </c>
      <c r="Y1003" s="210"/>
      <c r="Z1003" s="210"/>
      <c r="AA1003" s="210"/>
      <c r="AB1003" s="210"/>
      <c r="AC1003" s="210"/>
      <c r="AD1003" s="210"/>
      <c r="AE1003" s="210"/>
    </row>
    <row r="1004" spans="1:31" x14ac:dyDescent="0.2">
      <c r="A1004" s="209"/>
      <c r="B1004" s="4" t="s">
        <v>34</v>
      </c>
      <c r="C1004" s="4">
        <v>999</v>
      </c>
      <c r="D1004" s="210"/>
      <c r="E1004" s="210"/>
      <c r="F1004" s="210"/>
      <c r="G1004" s="210"/>
      <c r="H1004" s="210"/>
      <c r="I1004" s="210"/>
      <c r="J1004" s="4">
        <v>40199</v>
      </c>
      <c r="K1004" s="210"/>
      <c r="L1004" s="210">
        <v>63</v>
      </c>
      <c r="M1004" s="4">
        <v>6</v>
      </c>
      <c r="N1004" s="4" t="str">
        <f>_xlfn.CONCAT("DBX",((L1004-1)*2),".6")</f>
        <v>DBX124.6</v>
      </c>
      <c r="O1004" s="210" t="s">
        <v>782</v>
      </c>
      <c r="P1004" s="210"/>
      <c r="Q1004" s="210"/>
      <c r="R1004" s="210"/>
      <c r="S1004" s="210"/>
      <c r="T1004" s="210"/>
      <c r="U1004" s="210"/>
      <c r="V1004" s="210"/>
      <c r="W1004" s="210"/>
      <c r="X1004" s="4" t="e">
        <f t="shared" si="19"/>
        <v>#N/A</v>
      </c>
      <c r="Y1004" s="210"/>
      <c r="Z1004" s="210"/>
      <c r="AA1004" s="210"/>
      <c r="AB1004" s="210"/>
      <c r="AC1004" s="210"/>
      <c r="AD1004" s="210"/>
      <c r="AE1004" s="210"/>
    </row>
    <row r="1005" spans="1:31" x14ac:dyDescent="0.2">
      <c r="A1005" s="209"/>
      <c r="B1005" s="4" t="s">
        <v>34</v>
      </c>
      <c r="C1005" s="4">
        <v>1000</v>
      </c>
      <c r="D1005" s="210"/>
      <c r="E1005" s="210"/>
      <c r="F1005" s="210"/>
      <c r="G1005" s="210"/>
      <c r="H1005" s="210"/>
      <c r="I1005" s="210"/>
      <c r="J1005" s="4">
        <v>40200</v>
      </c>
      <c r="K1005" s="210"/>
      <c r="L1005" s="210">
        <v>63</v>
      </c>
      <c r="M1005" s="4">
        <v>7</v>
      </c>
      <c r="N1005" s="4" t="str">
        <f>_xlfn.CONCAT("DBX",((L1005-1)*2),".7")</f>
        <v>DBX124.7</v>
      </c>
      <c r="O1005" s="210" t="s">
        <v>782</v>
      </c>
      <c r="P1005" s="210"/>
      <c r="Q1005" s="210"/>
      <c r="R1005" s="210"/>
      <c r="S1005" s="210"/>
      <c r="T1005" s="210"/>
      <c r="U1005" s="210"/>
      <c r="V1005" s="210"/>
      <c r="W1005" s="210"/>
      <c r="X1005" s="4" t="e">
        <f t="shared" si="19"/>
        <v>#N/A</v>
      </c>
      <c r="Y1005" s="210"/>
      <c r="Z1005" s="210"/>
      <c r="AA1005" s="210"/>
      <c r="AB1005" s="210"/>
      <c r="AC1005" s="210"/>
      <c r="AD1005" s="210"/>
      <c r="AE1005" s="210"/>
    </row>
    <row r="1006" spans="1:31" x14ac:dyDescent="0.2">
      <c r="A1006" s="209"/>
      <c r="B1006" s="4" t="s">
        <v>34</v>
      </c>
      <c r="C1006" s="4">
        <v>1001</v>
      </c>
      <c r="D1006" s="210"/>
      <c r="E1006" s="210"/>
      <c r="F1006" s="210"/>
      <c r="G1006" s="210"/>
      <c r="H1006" s="210"/>
      <c r="I1006" s="210"/>
      <c r="J1006" s="4">
        <v>40201</v>
      </c>
      <c r="K1006" s="210"/>
      <c r="L1006" s="210">
        <v>63</v>
      </c>
      <c r="M1006" s="4">
        <v>8</v>
      </c>
      <c r="N1006" s="4" t="str">
        <f>_xlfn.CONCAT("DBX",((L1006-1)*2)+1,".0")</f>
        <v>DBX125.0</v>
      </c>
      <c r="O1006" s="210" t="s">
        <v>782</v>
      </c>
      <c r="P1006" s="210"/>
      <c r="Q1006" s="210"/>
      <c r="R1006" s="210"/>
      <c r="S1006" s="210"/>
      <c r="T1006" s="210"/>
      <c r="U1006" s="210"/>
      <c r="V1006" s="210"/>
      <c r="W1006" s="210"/>
      <c r="X1006" s="4" t="e">
        <f t="shared" si="19"/>
        <v>#N/A</v>
      </c>
      <c r="Y1006" s="210"/>
      <c r="Z1006" s="210"/>
      <c r="AA1006" s="210"/>
      <c r="AB1006" s="210"/>
      <c r="AC1006" s="210"/>
      <c r="AD1006" s="210"/>
      <c r="AE1006" s="210"/>
    </row>
    <row r="1007" spans="1:31" x14ac:dyDescent="0.2">
      <c r="A1007" s="209"/>
      <c r="B1007" s="4" t="s">
        <v>34</v>
      </c>
      <c r="C1007" s="4">
        <v>1002</v>
      </c>
      <c r="D1007" s="210"/>
      <c r="E1007" s="210"/>
      <c r="F1007" s="210"/>
      <c r="G1007" s="210"/>
      <c r="H1007" s="210"/>
      <c r="I1007" s="210"/>
      <c r="J1007" s="4">
        <v>40202</v>
      </c>
      <c r="K1007" s="210"/>
      <c r="L1007" s="210">
        <v>63</v>
      </c>
      <c r="M1007" s="4">
        <v>9</v>
      </c>
      <c r="N1007" s="4" t="str">
        <f>_xlfn.CONCAT("DBX",((L1007-1)*2)+1,".1")</f>
        <v>DBX125.1</v>
      </c>
      <c r="O1007" s="210" t="s">
        <v>782</v>
      </c>
      <c r="P1007" s="210"/>
      <c r="Q1007" s="210"/>
      <c r="R1007" s="210"/>
      <c r="S1007" s="210"/>
      <c r="T1007" s="210"/>
      <c r="U1007" s="210"/>
      <c r="V1007" s="210"/>
      <c r="W1007" s="210"/>
      <c r="X1007" s="4" t="e">
        <f t="shared" si="19"/>
        <v>#N/A</v>
      </c>
      <c r="Y1007" s="210"/>
      <c r="Z1007" s="210"/>
      <c r="AA1007" s="210"/>
      <c r="AB1007" s="210"/>
      <c r="AC1007" s="210"/>
      <c r="AD1007" s="210"/>
      <c r="AE1007" s="210"/>
    </row>
    <row r="1008" spans="1:31" x14ac:dyDescent="0.2">
      <c r="A1008" s="209"/>
      <c r="B1008" s="4" t="s">
        <v>34</v>
      </c>
      <c r="C1008" s="4">
        <v>1003</v>
      </c>
      <c r="D1008" s="210"/>
      <c r="E1008" s="210"/>
      <c r="F1008" s="210"/>
      <c r="G1008" s="210"/>
      <c r="H1008" s="210"/>
      <c r="I1008" s="210"/>
      <c r="J1008" s="4">
        <v>40203</v>
      </c>
      <c r="K1008" s="210"/>
      <c r="L1008" s="210">
        <v>63</v>
      </c>
      <c r="M1008" s="4">
        <v>10</v>
      </c>
      <c r="N1008" s="4" t="str">
        <f>_xlfn.CONCAT("DBX",((L1008-1)*2)+1,".2")</f>
        <v>DBX125.2</v>
      </c>
      <c r="O1008" s="210" t="s">
        <v>782</v>
      </c>
      <c r="P1008" s="210"/>
      <c r="Q1008" s="210"/>
      <c r="R1008" s="210"/>
      <c r="S1008" s="210"/>
      <c r="T1008" s="210"/>
      <c r="U1008" s="210"/>
      <c r="V1008" s="210"/>
      <c r="W1008" s="210"/>
      <c r="X1008" s="4" t="e">
        <f t="shared" si="19"/>
        <v>#N/A</v>
      </c>
      <c r="Y1008" s="210"/>
      <c r="Z1008" s="210"/>
      <c r="AA1008" s="210"/>
      <c r="AB1008" s="210"/>
      <c r="AC1008" s="210"/>
      <c r="AD1008" s="210"/>
      <c r="AE1008" s="210"/>
    </row>
    <row r="1009" spans="1:31" x14ac:dyDescent="0.2">
      <c r="A1009" s="209"/>
      <c r="B1009" s="4" t="s">
        <v>34</v>
      </c>
      <c r="C1009" s="4">
        <v>1004</v>
      </c>
      <c r="D1009" s="210"/>
      <c r="E1009" s="210"/>
      <c r="F1009" s="210"/>
      <c r="G1009" s="210"/>
      <c r="H1009" s="210"/>
      <c r="I1009" s="210"/>
      <c r="J1009" s="4">
        <v>40204</v>
      </c>
      <c r="K1009" s="210"/>
      <c r="L1009" s="210">
        <v>63</v>
      </c>
      <c r="M1009" s="4">
        <v>11</v>
      </c>
      <c r="N1009" s="4" t="str">
        <f>_xlfn.CONCAT("DBX",((L1009-1)*2)+1,".3")</f>
        <v>DBX125.3</v>
      </c>
      <c r="O1009" s="210" t="s">
        <v>782</v>
      </c>
      <c r="P1009" s="210"/>
      <c r="Q1009" s="210"/>
      <c r="R1009" s="210"/>
      <c r="S1009" s="210"/>
      <c r="T1009" s="210"/>
      <c r="U1009" s="210"/>
      <c r="V1009" s="210"/>
      <c r="W1009" s="210"/>
      <c r="X1009" s="4" t="e">
        <f t="shared" si="19"/>
        <v>#N/A</v>
      </c>
      <c r="Y1009" s="210"/>
      <c r="Z1009" s="210"/>
      <c r="AA1009" s="210"/>
      <c r="AB1009" s="210"/>
      <c r="AC1009" s="210"/>
      <c r="AD1009" s="210"/>
      <c r="AE1009" s="210"/>
    </row>
    <row r="1010" spans="1:31" x14ac:dyDescent="0.2">
      <c r="A1010" s="209"/>
      <c r="B1010" s="4" t="s">
        <v>34</v>
      </c>
      <c r="C1010" s="4">
        <v>1005</v>
      </c>
      <c r="D1010" s="210"/>
      <c r="E1010" s="210"/>
      <c r="F1010" s="210"/>
      <c r="G1010" s="210"/>
      <c r="H1010" s="210"/>
      <c r="I1010" s="210"/>
      <c r="J1010" s="4">
        <v>40205</v>
      </c>
      <c r="K1010" s="210"/>
      <c r="L1010" s="210">
        <v>63</v>
      </c>
      <c r="M1010" s="4">
        <v>12</v>
      </c>
      <c r="N1010" s="4" t="str">
        <f>_xlfn.CONCAT("DBX",((L1010-1)*2)+1,".4")</f>
        <v>DBX125.4</v>
      </c>
      <c r="O1010" s="210" t="s">
        <v>782</v>
      </c>
      <c r="P1010" s="210"/>
      <c r="Q1010" s="210"/>
      <c r="R1010" s="210"/>
      <c r="S1010" s="210"/>
      <c r="T1010" s="210"/>
      <c r="U1010" s="210"/>
      <c r="V1010" s="210"/>
      <c r="W1010" s="210"/>
      <c r="X1010" s="4" t="e">
        <f t="shared" si="19"/>
        <v>#N/A</v>
      </c>
      <c r="Y1010" s="210"/>
      <c r="Z1010" s="210"/>
      <c r="AA1010" s="210"/>
      <c r="AB1010" s="210"/>
      <c r="AC1010" s="210"/>
      <c r="AD1010" s="210"/>
      <c r="AE1010" s="210"/>
    </row>
    <row r="1011" spans="1:31" x14ac:dyDescent="0.2">
      <c r="A1011" s="209"/>
      <c r="B1011" s="4" t="s">
        <v>34</v>
      </c>
      <c r="C1011" s="4">
        <v>1006</v>
      </c>
      <c r="D1011" s="210"/>
      <c r="E1011" s="210"/>
      <c r="F1011" s="210"/>
      <c r="G1011" s="210"/>
      <c r="H1011" s="210"/>
      <c r="I1011" s="210"/>
      <c r="J1011" s="4">
        <v>40206</v>
      </c>
      <c r="K1011" s="210"/>
      <c r="L1011" s="210">
        <v>63</v>
      </c>
      <c r="M1011" s="4">
        <v>13</v>
      </c>
      <c r="N1011" s="4" t="str">
        <f>_xlfn.CONCAT("DBX",((L1011-1)*2)+1,".5")</f>
        <v>DBX125.5</v>
      </c>
      <c r="O1011" s="210" t="s">
        <v>782</v>
      </c>
      <c r="P1011" s="210"/>
      <c r="Q1011" s="210"/>
      <c r="R1011" s="210"/>
      <c r="S1011" s="210"/>
      <c r="T1011" s="210"/>
      <c r="U1011" s="210"/>
      <c r="V1011" s="210"/>
      <c r="W1011" s="210"/>
      <c r="X1011" s="4" t="e">
        <f t="shared" si="19"/>
        <v>#N/A</v>
      </c>
      <c r="Y1011" s="210"/>
      <c r="Z1011" s="210"/>
      <c r="AA1011" s="210"/>
      <c r="AB1011" s="210"/>
      <c r="AC1011" s="210"/>
      <c r="AD1011" s="210"/>
      <c r="AE1011" s="210"/>
    </row>
    <row r="1012" spans="1:31" x14ac:dyDescent="0.2">
      <c r="A1012" s="209"/>
      <c r="B1012" s="4" t="s">
        <v>34</v>
      </c>
      <c r="C1012" s="4">
        <v>1007</v>
      </c>
      <c r="D1012" s="210"/>
      <c r="E1012" s="210"/>
      <c r="F1012" s="210"/>
      <c r="G1012" s="210"/>
      <c r="H1012" s="210"/>
      <c r="I1012" s="210"/>
      <c r="J1012" s="4">
        <v>40207</v>
      </c>
      <c r="K1012" s="210"/>
      <c r="L1012" s="210">
        <v>63</v>
      </c>
      <c r="M1012" s="4">
        <v>14</v>
      </c>
      <c r="N1012" s="4" t="str">
        <f>_xlfn.CONCAT("DBX",((L1012-1)*2)+1,".6")</f>
        <v>DBX125.6</v>
      </c>
      <c r="O1012" s="210" t="s">
        <v>782</v>
      </c>
      <c r="P1012" s="210"/>
      <c r="Q1012" s="210"/>
      <c r="R1012" s="210"/>
      <c r="S1012" s="210"/>
      <c r="T1012" s="210"/>
      <c r="U1012" s="210"/>
      <c r="V1012" s="210"/>
      <c r="W1012" s="210"/>
      <c r="X1012" s="4" t="e">
        <f t="shared" si="19"/>
        <v>#N/A</v>
      </c>
      <c r="Y1012" s="210"/>
      <c r="Z1012" s="210"/>
      <c r="AA1012" s="210"/>
      <c r="AB1012" s="210"/>
      <c r="AC1012" s="210"/>
      <c r="AD1012" s="210"/>
      <c r="AE1012" s="210"/>
    </row>
    <row r="1013" spans="1:31" x14ac:dyDescent="0.2">
      <c r="A1013" s="209"/>
      <c r="B1013" s="4" t="s">
        <v>34</v>
      </c>
      <c r="C1013" s="4">
        <v>1008</v>
      </c>
      <c r="D1013" s="210"/>
      <c r="E1013" s="210"/>
      <c r="F1013" s="210"/>
      <c r="G1013" s="210"/>
      <c r="H1013" s="210"/>
      <c r="I1013" s="210"/>
      <c r="J1013" s="4">
        <v>40208</v>
      </c>
      <c r="K1013" s="210"/>
      <c r="L1013" s="210">
        <v>63</v>
      </c>
      <c r="M1013" s="4">
        <v>15</v>
      </c>
      <c r="N1013" s="4" t="str">
        <f>_xlfn.CONCAT("DBX",((L1013-1)*2)+1,".7")</f>
        <v>DBX125.7</v>
      </c>
      <c r="O1013" s="210" t="s">
        <v>782</v>
      </c>
      <c r="P1013" s="210"/>
      <c r="Q1013" s="210"/>
      <c r="R1013" s="210"/>
      <c r="S1013" s="210"/>
      <c r="T1013" s="210"/>
      <c r="U1013" s="210"/>
      <c r="V1013" s="210"/>
      <c r="W1013" s="210"/>
      <c r="X1013" s="4" t="e">
        <f t="shared" si="19"/>
        <v>#N/A</v>
      </c>
      <c r="Y1013" s="210"/>
      <c r="Z1013" s="210"/>
      <c r="AA1013" s="210"/>
      <c r="AB1013" s="210"/>
      <c r="AC1013" s="210"/>
      <c r="AD1013" s="210"/>
      <c r="AE1013" s="210"/>
    </row>
    <row r="1014" spans="1:31" x14ac:dyDescent="0.2">
      <c r="A1014" s="209"/>
      <c r="B1014" s="4" t="s">
        <v>34</v>
      </c>
      <c r="C1014" s="4">
        <v>1009</v>
      </c>
      <c r="D1014" s="210"/>
      <c r="E1014" s="210"/>
      <c r="F1014" s="210"/>
      <c r="G1014" s="210"/>
      <c r="H1014" s="210"/>
      <c r="I1014" s="210"/>
      <c r="J1014" s="4">
        <v>40209</v>
      </c>
      <c r="K1014" s="210"/>
      <c r="L1014" s="210">
        <v>64</v>
      </c>
      <c r="M1014" s="4">
        <f t="shared" ref="M1014:M1077" si="20">M998</f>
        <v>0</v>
      </c>
      <c r="N1014" s="4" t="str">
        <f>_xlfn.CONCAT("DBX",((L1014-1)*2),".0")</f>
        <v>DBX126.0</v>
      </c>
      <c r="O1014" s="210" t="s">
        <v>782</v>
      </c>
      <c r="P1014" s="210"/>
      <c r="Q1014" s="210"/>
      <c r="R1014" s="210"/>
      <c r="S1014" s="210"/>
      <c r="T1014" s="210"/>
      <c r="U1014" s="210"/>
      <c r="V1014" s="210"/>
      <c r="W1014" s="210"/>
      <c r="X1014" s="4" t="e">
        <f t="shared" si="19"/>
        <v>#N/A</v>
      </c>
      <c r="Y1014" s="210"/>
      <c r="Z1014" s="210"/>
      <c r="AA1014" s="210"/>
      <c r="AB1014" s="210"/>
      <c r="AC1014" s="210"/>
      <c r="AD1014" s="210"/>
      <c r="AE1014" s="210"/>
    </row>
    <row r="1015" spans="1:31" x14ac:dyDescent="0.2">
      <c r="A1015" s="209"/>
      <c r="B1015" s="4" t="s">
        <v>34</v>
      </c>
      <c r="C1015" s="4">
        <v>1010</v>
      </c>
      <c r="D1015" s="210"/>
      <c r="E1015" s="210"/>
      <c r="F1015" s="210"/>
      <c r="G1015" s="210"/>
      <c r="H1015" s="210"/>
      <c r="I1015" s="210"/>
      <c r="J1015" s="4">
        <v>40210</v>
      </c>
      <c r="K1015" s="210"/>
      <c r="L1015" s="210">
        <v>64</v>
      </c>
      <c r="M1015" s="4">
        <f t="shared" si="20"/>
        <v>1</v>
      </c>
      <c r="N1015" s="4" t="str">
        <f>_xlfn.CONCAT("DBX",((L1015-1)*2),".1")</f>
        <v>DBX126.1</v>
      </c>
      <c r="O1015" s="210" t="s">
        <v>782</v>
      </c>
      <c r="P1015" s="210"/>
      <c r="Q1015" s="210"/>
      <c r="R1015" s="210"/>
      <c r="S1015" s="210"/>
      <c r="T1015" s="210"/>
      <c r="U1015" s="210"/>
      <c r="V1015" s="210"/>
      <c r="W1015" s="210"/>
      <c r="X1015" s="4" t="e">
        <f t="shared" si="19"/>
        <v>#N/A</v>
      </c>
      <c r="Y1015" s="210"/>
      <c r="Z1015" s="210"/>
      <c r="AA1015" s="210"/>
      <c r="AB1015" s="210"/>
      <c r="AC1015" s="210"/>
      <c r="AD1015" s="210"/>
      <c r="AE1015" s="210"/>
    </row>
    <row r="1016" spans="1:31" x14ac:dyDescent="0.2">
      <c r="A1016" s="209"/>
      <c r="B1016" s="4" t="s">
        <v>34</v>
      </c>
      <c r="C1016" s="4">
        <v>1011</v>
      </c>
      <c r="D1016" s="210"/>
      <c r="E1016" s="210"/>
      <c r="F1016" s="210"/>
      <c r="G1016" s="210"/>
      <c r="H1016" s="210"/>
      <c r="I1016" s="210"/>
      <c r="J1016" s="4">
        <v>40211</v>
      </c>
      <c r="K1016" s="210"/>
      <c r="L1016" s="210">
        <v>64</v>
      </c>
      <c r="M1016" s="4">
        <f t="shared" si="20"/>
        <v>2</v>
      </c>
      <c r="N1016" s="4" t="str">
        <f>_xlfn.CONCAT("DBX",((L1016-1)*2),".2")</f>
        <v>DBX126.2</v>
      </c>
      <c r="O1016" s="210" t="s">
        <v>782</v>
      </c>
      <c r="P1016" s="210"/>
      <c r="Q1016" s="210"/>
      <c r="R1016" s="210"/>
      <c r="S1016" s="210"/>
      <c r="T1016" s="210"/>
      <c r="U1016" s="210"/>
      <c r="V1016" s="210"/>
      <c r="W1016" s="210"/>
      <c r="X1016" s="4" t="e">
        <f t="shared" si="19"/>
        <v>#N/A</v>
      </c>
      <c r="Y1016" s="210"/>
      <c r="Z1016" s="210"/>
      <c r="AA1016" s="210"/>
      <c r="AB1016" s="210"/>
      <c r="AC1016" s="210"/>
      <c r="AD1016" s="210"/>
      <c r="AE1016" s="210"/>
    </row>
    <row r="1017" spans="1:31" x14ac:dyDescent="0.2">
      <c r="A1017" s="209"/>
      <c r="B1017" s="4" t="s">
        <v>34</v>
      </c>
      <c r="C1017" s="4">
        <v>1012</v>
      </c>
      <c r="D1017" s="210"/>
      <c r="E1017" s="210"/>
      <c r="F1017" s="210"/>
      <c r="G1017" s="210"/>
      <c r="H1017" s="210"/>
      <c r="I1017" s="210"/>
      <c r="J1017" s="4">
        <v>40212</v>
      </c>
      <c r="K1017" s="210"/>
      <c r="L1017" s="210">
        <v>64</v>
      </c>
      <c r="M1017" s="4">
        <f t="shared" si="20"/>
        <v>3</v>
      </c>
      <c r="N1017" s="4" t="str">
        <f>_xlfn.CONCAT("DBX",((L1017-1)*2),".3")</f>
        <v>DBX126.3</v>
      </c>
      <c r="O1017" s="210" t="s">
        <v>782</v>
      </c>
      <c r="P1017" s="210"/>
      <c r="Q1017" s="210"/>
      <c r="R1017" s="210"/>
      <c r="S1017" s="210"/>
      <c r="T1017" s="210"/>
      <c r="U1017" s="210"/>
      <c r="V1017" s="210"/>
      <c r="W1017" s="210"/>
      <c r="X1017" s="4" t="e">
        <f t="shared" si="19"/>
        <v>#N/A</v>
      </c>
      <c r="Y1017" s="210"/>
      <c r="Z1017" s="210"/>
      <c r="AA1017" s="210"/>
      <c r="AB1017" s="210"/>
      <c r="AC1017" s="210"/>
      <c r="AD1017" s="210"/>
      <c r="AE1017" s="210"/>
    </row>
    <row r="1018" spans="1:31" x14ac:dyDescent="0.2">
      <c r="A1018" s="209"/>
      <c r="B1018" s="4" t="s">
        <v>34</v>
      </c>
      <c r="C1018" s="4">
        <v>1013</v>
      </c>
      <c r="D1018" s="210"/>
      <c r="E1018" s="210"/>
      <c r="F1018" s="210"/>
      <c r="G1018" s="210"/>
      <c r="H1018" s="210"/>
      <c r="I1018" s="210"/>
      <c r="J1018" s="4">
        <v>40213</v>
      </c>
      <c r="K1018" s="210"/>
      <c r="L1018" s="210">
        <v>64</v>
      </c>
      <c r="M1018" s="4">
        <f t="shared" si="20"/>
        <v>4</v>
      </c>
      <c r="N1018" s="4" t="str">
        <f>_xlfn.CONCAT("DBX",((L1018-1)*2),".4")</f>
        <v>DBX126.4</v>
      </c>
      <c r="O1018" s="210" t="s">
        <v>782</v>
      </c>
      <c r="P1018" s="210"/>
      <c r="Q1018" s="210"/>
      <c r="R1018" s="210"/>
      <c r="S1018" s="210"/>
      <c r="T1018" s="210"/>
      <c r="U1018" s="210"/>
      <c r="V1018" s="210"/>
      <c r="W1018" s="210"/>
      <c r="X1018" s="4" t="e">
        <f t="shared" si="19"/>
        <v>#N/A</v>
      </c>
      <c r="Y1018" s="210"/>
      <c r="Z1018" s="210"/>
      <c r="AA1018" s="210"/>
      <c r="AB1018" s="210"/>
      <c r="AC1018" s="210"/>
      <c r="AD1018" s="210"/>
      <c r="AE1018" s="210"/>
    </row>
    <row r="1019" spans="1:31" x14ac:dyDescent="0.2">
      <c r="A1019" s="209"/>
      <c r="B1019" s="4" t="s">
        <v>34</v>
      </c>
      <c r="C1019" s="4">
        <v>1014</v>
      </c>
      <c r="D1019" s="210"/>
      <c r="E1019" s="210"/>
      <c r="F1019" s="210"/>
      <c r="G1019" s="210"/>
      <c r="H1019" s="210"/>
      <c r="I1019" s="210"/>
      <c r="J1019" s="4">
        <v>40214</v>
      </c>
      <c r="K1019" s="210"/>
      <c r="L1019" s="210">
        <v>64</v>
      </c>
      <c r="M1019" s="4">
        <f t="shared" si="20"/>
        <v>5</v>
      </c>
      <c r="N1019" s="4" t="str">
        <f>_xlfn.CONCAT("DBX",((L1019-1)*2),".5")</f>
        <v>DBX126.5</v>
      </c>
      <c r="O1019" s="210" t="s">
        <v>782</v>
      </c>
      <c r="P1019" s="210"/>
      <c r="Q1019" s="210"/>
      <c r="R1019" s="210"/>
      <c r="S1019" s="210"/>
      <c r="T1019" s="210"/>
      <c r="U1019" s="210"/>
      <c r="V1019" s="210"/>
      <c r="W1019" s="210"/>
      <c r="X1019" s="4" t="e">
        <f t="shared" si="19"/>
        <v>#N/A</v>
      </c>
      <c r="Y1019" s="210"/>
      <c r="Z1019" s="210"/>
      <c r="AA1019" s="210"/>
      <c r="AB1019" s="210"/>
      <c r="AC1019" s="210"/>
      <c r="AD1019" s="210"/>
      <c r="AE1019" s="210"/>
    </row>
    <row r="1020" spans="1:31" x14ac:dyDescent="0.2">
      <c r="A1020" s="209"/>
      <c r="B1020" s="4" t="s">
        <v>34</v>
      </c>
      <c r="C1020" s="4">
        <v>1015</v>
      </c>
      <c r="D1020" s="210"/>
      <c r="E1020" s="210"/>
      <c r="F1020" s="210"/>
      <c r="G1020" s="210"/>
      <c r="H1020" s="210"/>
      <c r="I1020" s="210"/>
      <c r="J1020" s="4">
        <v>40215</v>
      </c>
      <c r="K1020" s="210"/>
      <c r="L1020" s="210">
        <v>64</v>
      </c>
      <c r="M1020" s="4">
        <f t="shared" si="20"/>
        <v>6</v>
      </c>
      <c r="N1020" s="4" t="str">
        <f>_xlfn.CONCAT("DBX",((L1020-1)*2),".6")</f>
        <v>DBX126.6</v>
      </c>
      <c r="O1020" s="210" t="s">
        <v>782</v>
      </c>
      <c r="P1020" s="210"/>
      <c r="Q1020" s="210"/>
      <c r="R1020" s="210"/>
      <c r="S1020" s="210"/>
      <c r="T1020" s="210"/>
      <c r="U1020" s="210"/>
      <c r="V1020" s="210"/>
      <c r="W1020" s="210"/>
      <c r="X1020" s="4" t="e">
        <f t="shared" si="19"/>
        <v>#N/A</v>
      </c>
      <c r="Y1020" s="210"/>
      <c r="Z1020" s="210"/>
      <c r="AA1020" s="210"/>
      <c r="AB1020" s="210"/>
      <c r="AC1020" s="210"/>
      <c r="AD1020" s="210"/>
      <c r="AE1020" s="210"/>
    </row>
    <row r="1021" spans="1:31" x14ac:dyDescent="0.2">
      <c r="A1021" s="209"/>
      <c r="B1021" s="4" t="s">
        <v>34</v>
      </c>
      <c r="C1021" s="4">
        <v>1016</v>
      </c>
      <c r="D1021" s="210"/>
      <c r="E1021" s="210"/>
      <c r="F1021" s="210"/>
      <c r="G1021" s="210"/>
      <c r="H1021" s="210"/>
      <c r="I1021" s="210"/>
      <c r="J1021" s="4">
        <v>40216</v>
      </c>
      <c r="K1021" s="210"/>
      <c r="L1021" s="210">
        <v>64</v>
      </c>
      <c r="M1021" s="4">
        <f t="shared" si="20"/>
        <v>7</v>
      </c>
      <c r="N1021" s="4" t="str">
        <f>_xlfn.CONCAT("DBX",((L1021-1)*2),".7")</f>
        <v>DBX126.7</v>
      </c>
      <c r="O1021" s="210" t="s">
        <v>782</v>
      </c>
      <c r="P1021" s="210"/>
      <c r="Q1021" s="210"/>
      <c r="R1021" s="210"/>
      <c r="S1021" s="210"/>
      <c r="T1021" s="210"/>
      <c r="U1021" s="210"/>
      <c r="V1021" s="210"/>
      <c r="W1021" s="210"/>
      <c r="X1021" s="4" t="e">
        <f t="shared" si="19"/>
        <v>#N/A</v>
      </c>
      <c r="Y1021" s="210"/>
      <c r="Z1021" s="210"/>
      <c r="AA1021" s="210"/>
      <c r="AB1021" s="210"/>
      <c r="AC1021" s="210"/>
      <c r="AD1021" s="210"/>
      <c r="AE1021" s="210"/>
    </row>
    <row r="1022" spans="1:31" x14ac:dyDescent="0.2">
      <c r="A1022" s="209"/>
      <c r="B1022" s="4" t="s">
        <v>34</v>
      </c>
      <c r="C1022" s="4">
        <v>1017</v>
      </c>
      <c r="D1022" s="210"/>
      <c r="E1022" s="210"/>
      <c r="F1022" s="210"/>
      <c r="G1022" s="210"/>
      <c r="H1022" s="210"/>
      <c r="I1022" s="210"/>
      <c r="J1022" s="4">
        <v>40217</v>
      </c>
      <c r="K1022" s="210"/>
      <c r="L1022" s="210">
        <v>64</v>
      </c>
      <c r="M1022" s="4">
        <f t="shared" si="20"/>
        <v>8</v>
      </c>
      <c r="N1022" s="4" t="str">
        <f>_xlfn.CONCAT("DBX",((L1022-1)*2)+1,".0")</f>
        <v>DBX127.0</v>
      </c>
      <c r="O1022" s="210" t="s">
        <v>782</v>
      </c>
      <c r="P1022" s="210"/>
      <c r="Q1022" s="210"/>
      <c r="R1022" s="210"/>
      <c r="S1022" s="210"/>
      <c r="T1022" s="210"/>
      <c r="U1022" s="210"/>
      <c r="V1022" s="210"/>
      <c r="W1022" s="210"/>
      <c r="X1022" s="4" t="e">
        <f t="shared" si="19"/>
        <v>#N/A</v>
      </c>
      <c r="Y1022" s="210"/>
      <c r="Z1022" s="210"/>
      <c r="AA1022" s="210"/>
      <c r="AB1022" s="210"/>
      <c r="AC1022" s="210"/>
      <c r="AD1022" s="210"/>
      <c r="AE1022" s="210"/>
    </row>
    <row r="1023" spans="1:31" x14ac:dyDescent="0.2">
      <c r="A1023" s="209"/>
      <c r="B1023" s="4" t="s">
        <v>34</v>
      </c>
      <c r="C1023" s="4">
        <v>1018</v>
      </c>
      <c r="D1023" s="210"/>
      <c r="E1023" s="210"/>
      <c r="F1023" s="210"/>
      <c r="G1023" s="210"/>
      <c r="H1023" s="210"/>
      <c r="I1023" s="210"/>
      <c r="J1023" s="4">
        <v>40218</v>
      </c>
      <c r="K1023" s="210"/>
      <c r="L1023" s="210">
        <v>64</v>
      </c>
      <c r="M1023" s="4">
        <f t="shared" si="20"/>
        <v>9</v>
      </c>
      <c r="N1023" s="4" t="str">
        <f>_xlfn.CONCAT("DBX",((L1023-1)*2)+1,".1")</f>
        <v>DBX127.1</v>
      </c>
      <c r="O1023" s="210" t="s">
        <v>782</v>
      </c>
      <c r="P1023" s="210"/>
      <c r="Q1023" s="210"/>
      <c r="R1023" s="210"/>
      <c r="S1023" s="210"/>
      <c r="T1023" s="210"/>
      <c r="U1023" s="210"/>
      <c r="V1023" s="210"/>
      <c r="W1023" s="210"/>
      <c r="X1023" s="4" t="e">
        <f t="shared" si="19"/>
        <v>#N/A</v>
      </c>
      <c r="Y1023" s="210"/>
      <c r="Z1023" s="210"/>
      <c r="AA1023" s="210"/>
      <c r="AB1023" s="210"/>
      <c r="AC1023" s="210"/>
      <c r="AD1023" s="210"/>
      <c r="AE1023" s="210"/>
    </row>
    <row r="1024" spans="1:31" x14ac:dyDescent="0.2">
      <c r="A1024" s="209"/>
      <c r="B1024" s="4" t="s">
        <v>34</v>
      </c>
      <c r="C1024" s="4">
        <v>1019</v>
      </c>
      <c r="D1024" s="210"/>
      <c r="E1024" s="210"/>
      <c r="F1024" s="210"/>
      <c r="G1024" s="210"/>
      <c r="H1024" s="210"/>
      <c r="I1024" s="210"/>
      <c r="J1024" s="4">
        <v>40219</v>
      </c>
      <c r="K1024" s="210"/>
      <c r="L1024" s="210">
        <v>64</v>
      </c>
      <c r="M1024" s="4">
        <f t="shared" si="20"/>
        <v>10</v>
      </c>
      <c r="N1024" s="4" t="str">
        <f>_xlfn.CONCAT("DBX",((L1024-1)*2)+1,".2")</f>
        <v>DBX127.2</v>
      </c>
      <c r="O1024" s="210" t="s">
        <v>782</v>
      </c>
      <c r="P1024" s="210"/>
      <c r="Q1024" s="210"/>
      <c r="R1024" s="210"/>
      <c r="S1024" s="210"/>
      <c r="T1024" s="210"/>
      <c r="U1024" s="210"/>
      <c r="V1024" s="210"/>
      <c r="W1024" s="210"/>
      <c r="X1024" s="4" t="e">
        <f t="shared" si="19"/>
        <v>#N/A</v>
      </c>
      <c r="Y1024" s="210"/>
      <c r="Z1024" s="210"/>
      <c r="AA1024" s="210"/>
      <c r="AB1024" s="210"/>
      <c r="AC1024" s="210"/>
      <c r="AD1024" s="210"/>
      <c r="AE1024" s="210"/>
    </row>
    <row r="1025" spans="1:31" x14ac:dyDescent="0.2">
      <c r="A1025" s="209"/>
      <c r="B1025" s="4" t="s">
        <v>34</v>
      </c>
      <c r="C1025" s="4">
        <v>1020</v>
      </c>
      <c r="D1025" s="210"/>
      <c r="E1025" s="210"/>
      <c r="F1025" s="210"/>
      <c r="G1025" s="210"/>
      <c r="H1025" s="210"/>
      <c r="I1025" s="210"/>
      <c r="J1025" s="4">
        <v>40220</v>
      </c>
      <c r="K1025" s="210"/>
      <c r="L1025" s="210">
        <v>64</v>
      </c>
      <c r="M1025" s="4">
        <f t="shared" si="20"/>
        <v>11</v>
      </c>
      <c r="N1025" s="4" t="str">
        <f>_xlfn.CONCAT("DBX",((L1025-1)*2)+1,".3")</f>
        <v>DBX127.3</v>
      </c>
      <c r="O1025" s="210" t="s">
        <v>782</v>
      </c>
      <c r="P1025" s="210"/>
      <c r="Q1025" s="210"/>
      <c r="R1025" s="210"/>
      <c r="S1025" s="210"/>
      <c r="T1025" s="210"/>
      <c r="U1025" s="210"/>
      <c r="V1025" s="210"/>
      <c r="W1025" s="210"/>
      <c r="X1025" s="4" t="e">
        <f t="shared" si="19"/>
        <v>#N/A</v>
      </c>
      <c r="Y1025" s="210"/>
      <c r="Z1025" s="210"/>
      <c r="AA1025" s="210"/>
      <c r="AB1025" s="210"/>
      <c r="AC1025" s="210"/>
      <c r="AD1025" s="210"/>
      <c r="AE1025" s="210"/>
    </row>
    <row r="1026" spans="1:31" x14ac:dyDescent="0.2">
      <c r="A1026" s="209"/>
      <c r="B1026" s="4" t="s">
        <v>34</v>
      </c>
      <c r="C1026" s="4">
        <v>1021</v>
      </c>
      <c r="D1026" s="210"/>
      <c r="E1026" s="210"/>
      <c r="F1026" s="210"/>
      <c r="G1026" s="210"/>
      <c r="H1026" s="210"/>
      <c r="I1026" s="210"/>
      <c r="J1026" s="4">
        <v>40221</v>
      </c>
      <c r="K1026" s="210"/>
      <c r="L1026" s="210">
        <v>64</v>
      </c>
      <c r="M1026" s="4">
        <f t="shared" si="20"/>
        <v>12</v>
      </c>
      <c r="N1026" s="4" t="str">
        <f>_xlfn.CONCAT("DBX",((L1026-1)*2)+1,".4")</f>
        <v>DBX127.4</v>
      </c>
      <c r="O1026" s="210" t="s">
        <v>782</v>
      </c>
      <c r="P1026" s="210"/>
      <c r="Q1026" s="210"/>
      <c r="R1026" s="210"/>
      <c r="S1026" s="210"/>
      <c r="T1026" s="210"/>
      <c r="U1026" s="210"/>
      <c r="V1026" s="210"/>
      <c r="W1026" s="210"/>
      <c r="X1026" s="4" t="e">
        <f t="shared" si="19"/>
        <v>#N/A</v>
      </c>
      <c r="Y1026" s="210"/>
      <c r="Z1026" s="210"/>
      <c r="AA1026" s="210"/>
      <c r="AB1026" s="210"/>
      <c r="AC1026" s="210"/>
      <c r="AD1026" s="210"/>
      <c r="AE1026" s="210"/>
    </row>
    <row r="1027" spans="1:31" x14ac:dyDescent="0.2">
      <c r="A1027" s="209"/>
      <c r="B1027" s="4" t="s">
        <v>34</v>
      </c>
      <c r="C1027" s="4">
        <v>1022</v>
      </c>
      <c r="D1027" s="210"/>
      <c r="E1027" s="210"/>
      <c r="F1027" s="210"/>
      <c r="G1027" s="210"/>
      <c r="H1027" s="210"/>
      <c r="I1027" s="210"/>
      <c r="J1027" s="4">
        <v>40222</v>
      </c>
      <c r="K1027" s="210"/>
      <c r="L1027" s="210">
        <v>64</v>
      </c>
      <c r="M1027" s="4">
        <f t="shared" si="20"/>
        <v>13</v>
      </c>
      <c r="N1027" s="4" t="str">
        <f>_xlfn.CONCAT("DBX",((L1027-1)*2)+1,".5")</f>
        <v>DBX127.5</v>
      </c>
      <c r="O1027" s="210" t="s">
        <v>782</v>
      </c>
      <c r="P1027" s="210"/>
      <c r="Q1027" s="210"/>
      <c r="R1027" s="210"/>
      <c r="S1027" s="210"/>
      <c r="T1027" s="210"/>
      <c r="U1027" s="210"/>
      <c r="V1027" s="210"/>
      <c r="W1027" s="210"/>
      <c r="X1027" s="4" t="e">
        <f t="shared" si="19"/>
        <v>#N/A</v>
      </c>
      <c r="Y1027" s="210"/>
      <c r="Z1027" s="210"/>
      <c r="AA1027" s="210"/>
      <c r="AB1027" s="210"/>
      <c r="AC1027" s="210"/>
      <c r="AD1027" s="210"/>
      <c r="AE1027" s="210"/>
    </row>
    <row r="1028" spans="1:31" x14ac:dyDescent="0.2">
      <c r="A1028" s="209"/>
      <c r="B1028" s="4" t="s">
        <v>34</v>
      </c>
      <c r="C1028" s="4">
        <v>1023</v>
      </c>
      <c r="D1028" s="210"/>
      <c r="E1028" s="210"/>
      <c r="F1028" s="210"/>
      <c r="G1028" s="210"/>
      <c r="H1028" s="210"/>
      <c r="I1028" s="210"/>
      <c r="J1028" s="4">
        <v>40223</v>
      </c>
      <c r="K1028" s="210"/>
      <c r="L1028" s="210">
        <v>64</v>
      </c>
      <c r="M1028" s="4">
        <f t="shared" si="20"/>
        <v>14</v>
      </c>
      <c r="N1028" s="4" t="str">
        <f>_xlfn.CONCAT("DBX",((L1028-1)*2)+1,".6")</f>
        <v>DBX127.6</v>
      </c>
      <c r="O1028" s="210" t="s">
        <v>782</v>
      </c>
      <c r="P1028" s="210"/>
      <c r="Q1028" s="210"/>
      <c r="R1028" s="210"/>
      <c r="S1028" s="210"/>
      <c r="T1028" s="210"/>
      <c r="U1028" s="210"/>
      <c r="V1028" s="210"/>
      <c r="W1028" s="210"/>
      <c r="X1028" s="4" t="e">
        <f t="shared" si="19"/>
        <v>#N/A</v>
      </c>
      <c r="Y1028" s="210"/>
      <c r="Z1028" s="210"/>
      <c r="AA1028" s="210"/>
      <c r="AB1028" s="210"/>
      <c r="AC1028" s="210"/>
      <c r="AD1028" s="210"/>
      <c r="AE1028" s="210"/>
    </row>
    <row r="1029" spans="1:31" x14ac:dyDescent="0.2">
      <c r="A1029" s="209"/>
      <c r="B1029" s="4" t="s">
        <v>34</v>
      </c>
      <c r="C1029" s="4">
        <v>1024</v>
      </c>
      <c r="D1029" s="210"/>
      <c r="E1029" s="210"/>
      <c r="F1029" s="210"/>
      <c r="G1029" s="210"/>
      <c r="H1029" s="210"/>
      <c r="I1029" s="210"/>
      <c r="J1029" s="4">
        <v>40224</v>
      </c>
      <c r="K1029" s="210"/>
      <c r="L1029" s="210">
        <v>64</v>
      </c>
      <c r="M1029" s="4">
        <f t="shared" si="20"/>
        <v>15</v>
      </c>
      <c r="N1029" s="4" t="str">
        <f>_xlfn.CONCAT("DBX",((L1029-1)*2)+1,".7")</f>
        <v>DBX127.7</v>
      </c>
      <c r="O1029" s="210" t="s">
        <v>782</v>
      </c>
      <c r="P1029" s="210"/>
      <c r="Q1029" s="210"/>
      <c r="R1029" s="210"/>
      <c r="S1029" s="210"/>
      <c r="T1029" s="210"/>
      <c r="U1029" s="210"/>
      <c r="V1029" s="210"/>
      <c r="W1029" s="210"/>
      <c r="X1029" s="4" t="e">
        <f t="shared" si="19"/>
        <v>#N/A</v>
      </c>
      <c r="Y1029" s="210"/>
      <c r="Z1029" s="210"/>
      <c r="AA1029" s="210"/>
      <c r="AB1029" s="210"/>
      <c r="AC1029" s="210"/>
      <c r="AD1029" s="210"/>
      <c r="AE1029" s="210"/>
    </row>
    <row r="1030" spans="1:31" x14ac:dyDescent="0.2">
      <c r="A1030" s="209"/>
      <c r="B1030" s="4" t="s">
        <v>250</v>
      </c>
      <c r="C1030" s="4">
        <v>1025</v>
      </c>
      <c r="D1030" s="210" t="s">
        <v>1243</v>
      </c>
      <c r="E1030" s="210" t="s">
        <v>1244</v>
      </c>
      <c r="F1030" s="210" t="s">
        <v>2645</v>
      </c>
      <c r="G1030" s="210" t="s">
        <v>329</v>
      </c>
      <c r="H1030" s="210" t="s">
        <v>41</v>
      </c>
      <c r="I1030" s="210" t="s">
        <v>84</v>
      </c>
      <c r="J1030" s="4">
        <v>40225</v>
      </c>
      <c r="K1030" s="210" t="s">
        <v>1970</v>
      </c>
      <c r="L1030" s="210">
        <v>65</v>
      </c>
      <c r="M1030" s="4">
        <f t="shared" si="20"/>
        <v>0</v>
      </c>
      <c r="N1030" s="4" t="str">
        <f>_xlfn.CONCAT("DBX",((L1030-1)*2),".0")</f>
        <v>DBX128.0</v>
      </c>
      <c r="O1030" s="210" t="s">
        <v>782</v>
      </c>
      <c r="P1030" s="210" t="s">
        <v>1971</v>
      </c>
      <c r="Q1030" s="210" t="s">
        <v>12</v>
      </c>
      <c r="R1030" s="210"/>
      <c r="S1030" s="210">
        <v>3923</v>
      </c>
      <c r="T1030" s="4" t="s">
        <v>2550</v>
      </c>
      <c r="U1030" s="210" t="s">
        <v>2539</v>
      </c>
      <c r="V1030" s="210"/>
      <c r="W1030" s="210" t="s">
        <v>120</v>
      </c>
      <c r="X1030" s="4">
        <f t="shared" si="19"/>
        <v>4</v>
      </c>
      <c r="Y1030" s="210"/>
      <c r="Z1030" s="210"/>
      <c r="AA1030" s="210"/>
      <c r="AB1030" s="210"/>
      <c r="AC1030" s="210">
        <v>1</v>
      </c>
      <c r="AD1030" s="210"/>
      <c r="AE1030" s="210"/>
    </row>
    <row r="1031" spans="1:31" x14ac:dyDescent="0.2">
      <c r="A1031" s="209"/>
      <c r="B1031" s="4" t="s">
        <v>104</v>
      </c>
      <c r="C1031" s="4">
        <v>1026</v>
      </c>
      <c r="D1031" s="210" t="s">
        <v>2234</v>
      </c>
      <c r="E1031" s="210" t="s">
        <v>1969</v>
      </c>
      <c r="F1031" s="210" t="s">
        <v>55</v>
      </c>
      <c r="G1031" s="210" t="s">
        <v>329</v>
      </c>
      <c r="H1031" s="210" t="s">
        <v>41</v>
      </c>
      <c r="I1031" s="210" t="s">
        <v>84</v>
      </c>
      <c r="J1031" s="4">
        <v>40226</v>
      </c>
      <c r="K1031" s="210" t="s">
        <v>1972</v>
      </c>
      <c r="L1031" s="210">
        <v>65</v>
      </c>
      <c r="M1031" s="4">
        <f t="shared" si="20"/>
        <v>1</v>
      </c>
      <c r="N1031" s="4" t="str">
        <f>_xlfn.CONCAT("DBX",((L1031-1)*2),".1")</f>
        <v>DBX128.1</v>
      </c>
      <c r="O1031" s="210" t="s">
        <v>782</v>
      </c>
      <c r="P1031" s="210" t="s">
        <v>1973</v>
      </c>
      <c r="Q1031" s="210" t="s">
        <v>12</v>
      </c>
      <c r="R1031" s="210"/>
      <c r="S1031" s="210">
        <v>3923</v>
      </c>
      <c r="T1031" s="4" t="s">
        <v>2550</v>
      </c>
      <c r="U1031" s="210"/>
      <c r="V1031" s="210"/>
      <c r="W1031" s="210" t="s">
        <v>120</v>
      </c>
      <c r="X1031" s="4">
        <f t="shared" si="19"/>
        <v>4</v>
      </c>
      <c r="Y1031" s="210"/>
      <c r="Z1031" s="210"/>
      <c r="AA1031" s="210"/>
      <c r="AB1031" s="210"/>
      <c r="AC1031" s="210">
        <v>1</v>
      </c>
      <c r="AD1031" s="210"/>
      <c r="AE1031" s="210"/>
    </row>
    <row r="1032" spans="1:31" x14ac:dyDescent="0.2">
      <c r="A1032" s="209"/>
      <c r="B1032" s="4" t="s">
        <v>34</v>
      </c>
      <c r="C1032" s="4">
        <v>1027</v>
      </c>
      <c r="D1032" s="210"/>
      <c r="E1032" s="210"/>
      <c r="F1032" s="210"/>
      <c r="G1032" s="210"/>
      <c r="H1032" s="210"/>
      <c r="I1032" s="210"/>
      <c r="J1032" s="4">
        <v>40227</v>
      </c>
      <c r="K1032" s="210"/>
      <c r="L1032" s="210">
        <v>65</v>
      </c>
      <c r="M1032" s="4">
        <f t="shared" si="20"/>
        <v>2</v>
      </c>
      <c r="N1032" s="4" t="str">
        <f>_xlfn.CONCAT("DBX",((L1032-1)*2),".2")</f>
        <v>DBX128.2</v>
      </c>
      <c r="O1032" s="210" t="s">
        <v>782</v>
      </c>
      <c r="P1032" s="210"/>
      <c r="Q1032" s="210"/>
      <c r="R1032" s="210"/>
      <c r="S1032" s="210"/>
      <c r="T1032" s="210"/>
      <c r="U1032" s="210"/>
      <c r="V1032" s="210"/>
      <c r="W1032" s="210"/>
      <c r="X1032" s="4" t="e">
        <f t="shared" si="19"/>
        <v>#N/A</v>
      </c>
      <c r="Y1032" s="210"/>
      <c r="Z1032" s="210"/>
      <c r="AA1032" s="210"/>
      <c r="AB1032" s="210"/>
      <c r="AC1032" s="210"/>
      <c r="AD1032" s="210"/>
      <c r="AE1032" s="210"/>
    </row>
    <row r="1033" spans="1:31" x14ac:dyDescent="0.2">
      <c r="A1033" s="209"/>
      <c r="B1033" s="4" t="s">
        <v>34</v>
      </c>
      <c r="C1033" s="4">
        <v>1028</v>
      </c>
      <c r="D1033" s="210"/>
      <c r="E1033" s="210"/>
      <c r="F1033" s="210"/>
      <c r="G1033" s="210"/>
      <c r="H1033" s="210"/>
      <c r="I1033" s="210"/>
      <c r="J1033" s="4">
        <v>40228</v>
      </c>
      <c r="K1033" s="210"/>
      <c r="L1033" s="210">
        <v>65</v>
      </c>
      <c r="M1033" s="4">
        <f t="shared" si="20"/>
        <v>3</v>
      </c>
      <c r="N1033" s="4" t="str">
        <f>_xlfn.CONCAT("DBX",((L1033-1)*2),".3")</f>
        <v>DBX128.3</v>
      </c>
      <c r="O1033" s="210" t="s">
        <v>782</v>
      </c>
      <c r="P1033" s="210"/>
      <c r="Q1033" s="210"/>
      <c r="R1033" s="210"/>
      <c r="S1033" s="210"/>
      <c r="T1033" s="210"/>
      <c r="U1033" s="210"/>
      <c r="V1033" s="210"/>
      <c r="W1033" s="210"/>
      <c r="X1033" s="4" t="e">
        <f t="shared" si="19"/>
        <v>#N/A</v>
      </c>
      <c r="Y1033" s="210"/>
      <c r="Z1033" s="210"/>
      <c r="AA1033" s="210"/>
      <c r="AB1033" s="210"/>
      <c r="AC1033" s="210"/>
      <c r="AD1033" s="210"/>
      <c r="AE1033" s="210"/>
    </row>
    <row r="1034" spans="1:31" x14ac:dyDescent="0.2">
      <c r="A1034" s="209"/>
      <c r="B1034" s="4" t="s">
        <v>104</v>
      </c>
      <c r="C1034" s="4">
        <v>1029</v>
      </c>
      <c r="D1034" s="210" t="s">
        <v>2029</v>
      </c>
      <c r="E1034" s="210" t="s">
        <v>2032</v>
      </c>
      <c r="F1034" s="210" t="s">
        <v>2035</v>
      </c>
      <c r="G1034" s="210" t="s">
        <v>329</v>
      </c>
      <c r="H1034" s="210" t="s">
        <v>41</v>
      </c>
      <c r="I1034" s="210" t="s">
        <v>84</v>
      </c>
      <c r="J1034" s="4">
        <v>40229</v>
      </c>
      <c r="K1034" s="210" t="s">
        <v>1976</v>
      </c>
      <c r="L1034" s="210">
        <v>65</v>
      </c>
      <c r="M1034" s="4">
        <f t="shared" si="20"/>
        <v>4</v>
      </c>
      <c r="N1034" s="4" t="str">
        <f>_xlfn.CONCAT("DBX",((L1034-1)*2),".4")</f>
        <v>DBX128.4</v>
      </c>
      <c r="O1034" s="210" t="s">
        <v>782</v>
      </c>
      <c r="P1034" s="210" t="s">
        <v>1977</v>
      </c>
      <c r="Q1034" s="210" t="s">
        <v>12</v>
      </c>
      <c r="R1034" s="210"/>
      <c r="S1034" s="210">
        <v>3923</v>
      </c>
      <c r="T1034" s="4" t="s">
        <v>2550</v>
      </c>
      <c r="U1034" s="210"/>
      <c r="V1034" s="210"/>
      <c r="W1034" s="210" t="s">
        <v>121</v>
      </c>
      <c r="X1034" s="4">
        <f t="shared" si="19"/>
        <v>5</v>
      </c>
      <c r="Y1034" s="210"/>
      <c r="Z1034" s="210"/>
      <c r="AA1034" s="210"/>
      <c r="AB1034" s="210"/>
      <c r="AC1034" s="210">
        <v>1</v>
      </c>
      <c r="AD1034" s="210"/>
      <c r="AE1034" s="210"/>
    </row>
    <row r="1035" spans="1:31" x14ac:dyDescent="0.2">
      <c r="A1035" s="209"/>
      <c r="B1035" s="4" t="s">
        <v>104</v>
      </c>
      <c r="C1035" s="4">
        <v>1030</v>
      </c>
      <c r="D1035" s="210" t="s">
        <v>2030</v>
      </c>
      <c r="E1035" s="210" t="s">
        <v>2033</v>
      </c>
      <c r="F1035" s="210" t="s">
        <v>2036</v>
      </c>
      <c r="G1035" s="210" t="s">
        <v>329</v>
      </c>
      <c r="H1035" s="210" t="s">
        <v>41</v>
      </c>
      <c r="I1035" s="210" t="s">
        <v>84</v>
      </c>
      <c r="J1035" s="4">
        <v>40230</v>
      </c>
      <c r="K1035" s="210" t="s">
        <v>1976</v>
      </c>
      <c r="L1035" s="210">
        <v>65</v>
      </c>
      <c r="M1035" s="4">
        <f t="shared" si="20"/>
        <v>5</v>
      </c>
      <c r="N1035" s="4" t="str">
        <f>_xlfn.CONCAT("DBX",((L1035-1)*2),".5")</f>
        <v>DBX128.5</v>
      </c>
      <c r="O1035" s="210" t="s">
        <v>782</v>
      </c>
      <c r="P1035" s="210" t="s">
        <v>1977</v>
      </c>
      <c r="Q1035" s="210" t="s">
        <v>12</v>
      </c>
      <c r="R1035" s="210"/>
      <c r="S1035" s="210">
        <v>3923</v>
      </c>
      <c r="T1035" s="4" t="s">
        <v>2550</v>
      </c>
      <c r="U1035" s="210"/>
      <c r="V1035" s="210"/>
      <c r="W1035" s="210" t="s">
        <v>121</v>
      </c>
      <c r="X1035" s="4">
        <f t="shared" si="19"/>
        <v>5</v>
      </c>
      <c r="Y1035" s="210"/>
      <c r="Z1035" s="210"/>
      <c r="AA1035" s="210"/>
      <c r="AB1035" s="210"/>
      <c r="AC1035" s="210">
        <v>1</v>
      </c>
      <c r="AD1035" s="210"/>
      <c r="AE1035" s="210"/>
    </row>
    <row r="1036" spans="1:31" x14ac:dyDescent="0.2">
      <c r="A1036" s="209"/>
      <c r="B1036" s="4" t="s">
        <v>33</v>
      </c>
      <c r="C1036" s="4">
        <v>1031</v>
      </c>
      <c r="D1036" s="210" t="s">
        <v>2031</v>
      </c>
      <c r="E1036" s="210" t="s">
        <v>2034</v>
      </c>
      <c r="F1036" s="210" t="s">
        <v>2493</v>
      </c>
      <c r="G1036" s="210" t="s">
        <v>329</v>
      </c>
      <c r="H1036" s="210" t="s">
        <v>41</v>
      </c>
      <c r="I1036" s="210" t="s">
        <v>84</v>
      </c>
      <c r="J1036" s="4">
        <v>40231</v>
      </c>
      <c r="K1036" s="210" t="s">
        <v>1976</v>
      </c>
      <c r="L1036" s="210">
        <v>65</v>
      </c>
      <c r="M1036" s="4">
        <f t="shared" si="20"/>
        <v>6</v>
      </c>
      <c r="N1036" s="4" t="str">
        <f>_xlfn.CONCAT("DBX",((L1036-1)*2),".6")</f>
        <v>DBX128.6</v>
      </c>
      <c r="O1036" s="210" t="s">
        <v>782</v>
      </c>
      <c r="P1036" s="210" t="s">
        <v>1977</v>
      </c>
      <c r="Q1036" s="210" t="s">
        <v>12</v>
      </c>
      <c r="R1036" s="210"/>
      <c r="S1036" s="210">
        <v>3923</v>
      </c>
      <c r="T1036" s="4" t="s">
        <v>2550</v>
      </c>
      <c r="U1036" s="210"/>
      <c r="V1036" s="210"/>
      <c r="W1036" s="210" t="s">
        <v>129</v>
      </c>
      <c r="X1036" s="4">
        <f t="shared" si="19"/>
        <v>13</v>
      </c>
      <c r="Y1036" s="210"/>
      <c r="Z1036" s="210"/>
      <c r="AA1036" s="210"/>
      <c r="AB1036" s="210"/>
      <c r="AC1036" s="210">
        <v>1</v>
      </c>
      <c r="AD1036" s="210"/>
      <c r="AE1036" s="210"/>
    </row>
    <row r="1037" spans="1:31" x14ac:dyDescent="0.2">
      <c r="A1037" s="209"/>
      <c r="B1037" s="4" t="s">
        <v>34</v>
      </c>
      <c r="C1037" s="4">
        <v>1032</v>
      </c>
      <c r="D1037" s="210"/>
      <c r="E1037" s="210"/>
      <c r="F1037" s="210"/>
      <c r="G1037" s="210"/>
      <c r="H1037" s="210"/>
      <c r="I1037" s="210"/>
      <c r="J1037" s="4">
        <v>40232</v>
      </c>
      <c r="K1037" s="210"/>
      <c r="L1037" s="210">
        <v>65</v>
      </c>
      <c r="M1037" s="4">
        <f t="shared" si="20"/>
        <v>7</v>
      </c>
      <c r="N1037" s="4" t="str">
        <f>_xlfn.CONCAT("DBX",((L1037-1)*2),".7")</f>
        <v>DBX128.7</v>
      </c>
      <c r="O1037" s="210" t="s">
        <v>782</v>
      </c>
      <c r="P1037" s="210"/>
      <c r="Q1037" s="210"/>
      <c r="R1037" s="210"/>
      <c r="S1037" s="210"/>
      <c r="T1037" s="210"/>
      <c r="U1037" s="210"/>
      <c r="V1037" s="210"/>
      <c r="W1037" s="210"/>
      <c r="X1037" s="4" t="e">
        <f t="shared" si="19"/>
        <v>#N/A</v>
      </c>
      <c r="Y1037" s="210"/>
      <c r="Z1037" s="210"/>
      <c r="AA1037" s="210"/>
      <c r="AB1037" s="210"/>
      <c r="AC1037" s="210"/>
      <c r="AD1037" s="210"/>
      <c r="AE1037" s="210"/>
    </row>
    <row r="1038" spans="1:31" x14ac:dyDescent="0.2">
      <c r="A1038" s="209"/>
      <c r="B1038" s="4" t="s">
        <v>3170</v>
      </c>
      <c r="C1038" s="4">
        <v>1033</v>
      </c>
      <c r="D1038" s="210" t="s">
        <v>2039</v>
      </c>
      <c r="E1038" s="210" t="s">
        <v>2157</v>
      </c>
      <c r="F1038" s="210" t="s">
        <v>2370</v>
      </c>
      <c r="G1038" s="210" t="s">
        <v>329</v>
      </c>
      <c r="H1038" s="210" t="s">
        <v>41</v>
      </c>
      <c r="I1038" s="210" t="s">
        <v>85</v>
      </c>
      <c r="J1038" s="4">
        <v>40233</v>
      </c>
      <c r="K1038" s="210" t="s">
        <v>2040</v>
      </c>
      <c r="L1038" s="210">
        <v>65</v>
      </c>
      <c r="M1038" s="4">
        <f t="shared" si="20"/>
        <v>8</v>
      </c>
      <c r="N1038" s="4" t="str">
        <f>_xlfn.CONCAT("DBX",((L1038-1)*2)+1,".0")</f>
        <v>DBX129.0</v>
      </c>
      <c r="O1038" s="210" t="s">
        <v>782</v>
      </c>
      <c r="P1038" s="210" t="s">
        <v>2041</v>
      </c>
      <c r="Q1038" s="210" t="s">
        <v>92</v>
      </c>
      <c r="R1038" s="210"/>
      <c r="S1038" s="210">
        <v>3923</v>
      </c>
      <c r="T1038" s="4" t="s">
        <v>2550</v>
      </c>
      <c r="U1038" s="210"/>
      <c r="V1038" s="210" t="s">
        <v>3129</v>
      </c>
      <c r="W1038" s="210" t="s">
        <v>127</v>
      </c>
      <c r="X1038" s="4">
        <f t="shared" si="19"/>
        <v>11</v>
      </c>
      <c r="Y1038" s="210"/>
      <c r="Z1038" s="210"/>
      <c r="AA1038" s="210"/>
      <c r="AB1038" s="210"/>
      <c r="AC1038" s="210">
        <v>1</v>
      </c>
      <c r="AD1038" s="210"/>
      <c r="AE1038" s="210"/>
    </row>
    <row r="1039" spans="1:31" x14ac:dyDescent="0.2">
      <c r="A1039" s="209"/>
      <c r="B1039" s="4" t="s">
        <v>3170</v>
      </c>
      <c r="C1039" s="4">
        <v>1034</v>
      </c>
      <c r="D1039" s="210" t="s">
        <v>2037</v>
      </c>
      <c r="E1039" s="210" t="s">
        <v>2162</v>
      </c>
      <c r="F1039" s="210" t="s">
        <v>2371</v>
      </c>
      <c r="G1039" s="210" t="s">
        <v>40</v>
      </c>
      <c r="H1039" s="210" t="s">
        <v>41</v>
      </c>
      <c r="I1039" s="210" t="s">
        <v>40</v>
      </c>
      <c r="J1039" s="4">
        <v>40234</v>
      </c>
      <c r="K1039" s="210" t="s">
        <v>11</v>
      </c>
      <c r="L1039" s="210">
        <v>65</v>
      </c>
      <c r="M1039" s="4">
        <f t="shared" si="20"/>
        <v>9</v>
      </c>
      <c r="N1039" s="4" t="str">
        <f>_xlfn.CONCAT("DBX",((L1039-1)*2)+1,".1")</f>
        <v>DBX129.1</v>
      </c>
      <c r="O1039" s="210" t="s">
        <v>782</v>
      </c>
      <c r="P1039" s="210" t="s">
        <v>11</v>
      </c>
      <c r="Q1039" s="210" t="s">
        <v>88</v>
      </c>
      <c r="R1039" s="210"/>
      <c r="S1039" s="210">
        <v>3923</v>
      </c>
      <c r="T1039" s="4" t="s">
        <v>2550</v>
      </c>
      <c r="U1039" s="210"/>
      <c r="V1039" s="210" t="s">
        <v>3129</v>
      </c>
      <c r="W1039" s="210" t="s">
        <v>121</v>
      </c>
      <c r="X1039" s="4">
        <f t="shared" si="19"/>
        <v>5</v>
      </c>
      <c r="Y1039" s="4" t="s">
        <v>2683</v>
      </c>
      <c r="Z1039" s="210"/>
      <c r="AA1039" s="210"/>
      <c r="AB1039" s="210"/>
      <c r="AC1039" s="210">
        <v>1</v>
      </c>
      <c r="AD1039" s="210"/>
      <c r="AE1039" s="210"/>
    </row>
    <row r="1040" spans="1:31" x14ac:dyDescent="0.2">
      <c r="A1040" s="209"/>
      <c r="B1040" s="4" t="s">
        <v>3170</v>
      </c>
      <c r="C1040" s="4">
        <v>1035</v>
      </c>
      <c r="D1040" s="210" t="s">
        <v>2038</v>
      </c>
      <c r="E1040" s="210" t="s">
        <v>2163</v>
      </c>
      <c r="F1040" s="210" t="s">
        <v>2372</v>
      </c>
      <c r="G1040" s="210" t="s">
        <v>329</v>
      </c>
      <c r="H1040" s="210" t="s">
        <v>41</v>
      </c>
      <c r="I1040" s="210" t="s">
        <v>85</v>
      </c>
      <c r="J1040" s="4">
        <v>40235</v>
      </c>
      <c r="K1040" s="210" t="s">
        <v>11</v>
      </c>
      <c r="L1040" s="210">
        <v>65</v>
      </c>
      <c r="M1040" s="4">
        <f t="shared" si="20"/>
        <v>10</v>
      </c>
      <c r="N1040" s="4" t="str">
        <f>_xlfn.CONCAT("DBX",((L1040-1)*2)+1,".2")</f>
        <v>DBX129.2</v>
      </c>
      <c r="O1040" s="210" t="s">
        <v>782</v>
      </c>
      <c r="P1040" s="210" t="s">
        <v>11</v>
      </c>
      <c r="Q1040" s="210" t="s">
        <v>92</v>
      </c>
      <c r="R1040" s="210"/>
      <c r="S1040" s="210">
        <v>3923</v>
      </c>
      <c r="T1040" s="4" t="s">
        <v>2550</v>
      </c>
      <c r="U1040" s="210"/>
      <c r="V1040" s="210" t="s">
        <v>3129</v>
      </c>
      <c r="W1040" s="210" t="s">
        <v>121</v>
      </c>
      <c r="X1040" s="4">
        <f t="shared" si="19"/>
        <v>5</v>
      </c>
      <c r="Y1040" s="210"/>
      <c r="Z1040" s="210"/>
      <c r="AA1040" s="210"/>
      <c r="AB1040" s="210"/>
      <c r="AC1040" s="210">
        <v>1</v>
      </c>
      <c r="AD1040" s="210"/>
      <c r="AE1040" s="210"/>
    </row>
    <row r="1041" spans="1:31" x14ac:dyDescent="0.2">
      <c r="A1041" s="209"/>
      <c r="B1041" s="4" t="s">
        <v>34</v>
      </c>
      <c r="C1041" s="4">
        <v>1036</v>
      </c>
      <c r="D1041" s="210"/>
      <c r="E1041" s="210"/>
      <c r="F1041" s="210"/>
      <c r="G1041" s="210"/>
      <c r="H1041" s="210"/>
      <c r="I1041" s="210"/>
      <c r="J1041" s="4">
        <v>40236</v>
      </c>
      <c r="K1041" s="210"/>
      <c r="L1041" s="210">
        <v>65</v>
      </c>
      <c r="M1041" s="4">
        <f t="shared" si="20"/>
        <v>11</v>
      </c>
      <c r="N1041" s="4" t="str">
        <f>_xlfn.CONCAT("DBX",((L1041-1)*2)+1,".3")</f>
        <v>DBX129.3</v>
      </c>
      <c r="O1041" s="210" t="s">
        <v>782</v>
      </c>
      <c r="P1041" s="210"/>
      <c r="Q1041" s="210"/>
      <c r="R1041" s="210"/>
      <c r="S1041" s="210"/>
      <c r="T1041" s="210"/>
      <c r="U1041" s="210"/>
      <c r="V1041" s="210"/>
      <c r="W1041" s="210"/>
      <c r="X1041" s="4" t="e">
        <f t="shared" si="19"/>
        <v>#N/A</v>
      </c>
      <c r="Y1041" s="210"/>
      <c r="Z1041" s="210"/>
      <c r="AA1041" s="210"/>
      <c r="AB1041" s="210"/>
      <c r="AC1041" s="210"/>
      <c r="AD1041" s="210"/>
      <c r="AE1041" s="210"/>
    </row>
    <row r="1042" spans="1:31" x14ac:dyDescent="0.2">
      <c r="A1042" s="209"/>
      <c r="B1042" s="4" t="s">
        <v>3170</v>
      </c>
      <c r="C1042" s="4">
        <v>1037</v>
      </c>
      <c r="D1042" s="210" t="s">
        <v>2013</v>
      </c>
      <c r="E1042" s="210" t="s">
        <v>1978</v>
      </c>
      <c r="F1042" s="210" t="s">
        <v>1979</v>
      </c>
      <c r="G1042" s="210" t="s">
        <v>329</v>
      </c>
      <c r="H1042" s="210" t="s">
        <v>1179</v>
      </c>
      <c r="I1042" s="210" t="s">
        <v>85</v>
      </c>
      <c r="J1042" s="4">
        <v>40237</v>
      </c>
      <c r="K1042" s="210" t="s">
        <v>2024</v>
      </c>
      <c r="L1042" s="210">
        <v>65</v>
      </c>
      <c r="M1042" s="4">
        <f t="shared" si="20"/>
        <v>12</v>
      </c>
      <c r="N1042" s="4" t="str">
        <f>_xlfn.CONCAT("DBX",((L1042-1)*2)+1,".4")</f>
        <v>DBX129.4</v>
      </c>
      <c r="O1042" s="210" t="s">
        <v>782</v>
      </c>
      <c r="P1042" s="210" t="s">
        <v>2027</v>
      </c>
      <c r="Q1042" s="210" t="s">
        <v>12</v>
      </c>
      <c r="R1042" s="210"/>
      <c r="S1042" s="210">
        <v>3923</v>
      </c>
      <c r="T1042" s="4" t="s">
        <v>2550</v>
      </c>
      <c r="U1042" s="210"/>
      <c r="V1042" s="210" t="s">
        <v>3127</v>
      </c>
      <c r="W1042" s="210" t="s">
        <v>129</v>
      </c>
      <c r="X1042" s="4">
        <f t="shared" si="19"/>
        <v>13</v>
      </c>
      <c r="Y1042" s="210"/>
      <c r="Z1042" s="210"/>
      <c r="AA1042" s="210"/>
      <c r="AB1042" s="210"/>
      <c r="AC1042" s="210">
        <v>1</v>
      </c>
      <c r="AD1042" s="210"/>
      <c r="AE1042" s="210"/>
    </row>
    <row r="1043" spans="1:31" x14ac:dyDescent="0.2">
      <c r="A1043" s="209"/>
      <c r="B1043" s="4" t="s">
        <v>3170</v>
      </c>
      <c r="C1043" s="4">
        <v>1038</v>
      </c>
      <c r="D1043" s="210" t="s">
        <v>2014</v>
      </c>
      <c r="E1043" s="210" t="s">
        <v>1980</v>
      </c>
      <c r="F1043" s="210" t="s">
        <v>1981</v>
      </c>
      <c r="G1043" s="210" t="s">
        <v>329</v>
      </c>
      <c r="H1043" s="210" t="s">
        <v>1179</v>
      </c>
      <c r="I1043" s="210" t="s">
        <v>85</v>
      </c>
      <c r="J1043" s="4">
        <v>40238</v>
      </c>
      <c r="K1043" s="210" t="s">
        <v>2025</v>
      </c>
      <c r="L1043" s="210">
        <v>65</v>
      </c>
      <c r="M1043" s="4">
        <f t="shared" si="20"/>
        <v>13</v>
      </c>
      <c r="N1043" s="4" t="str">
        <f>_xlfn.CONCAT("DBX",((L1043-1)*2)+1,".5")</f>
        <v>DBX129.5</v>
      </c>
      <c r="O1043" s="210" t="s">
        <v>782</v>
      </c>
      <c r="P1043" s="210" t="s">
        <v>2028</v>
      </c>
      <c r="Q1043" s="210" t="s">
        <v>12</v>
      </c>
      <c r="R1043" s="210"/>
      <c r="S1043" s="210">
        <v>3923</v>
      </c>
      <c r="T1043" s="4" t="s">
        <v>2550</v>
      </c>
      <c r="U1043" s="210"/>
      <c r="V1043" s="210" t="s">
        <v>3128</v>
      </c>
      <c r="W1043" s="210" t="s">
        <v>129</v>
      </c>
      <c r="X1043" s="4">
        <f t="shared" si="19"/>
        <v>13</v>
      </c>
      <c r="Y1043" s="210"/>
      <c r="Z1043" s="210"/>
      <c r="AA1043" s="210"/>
      <c r="AB1043" s="210"/>
      <c r="AC1043" s="210">
        <v>1</v>
      </c>
      <c r="AD1043" s="210"/>
      <c r="AE1043" s="210"/>
    </row>
    <row r="1044" spans="1:31" x14ac:dyDescent="0.2">
      <c r="A1044" s="209"/>
      <c r="B1044" s="4" t="s">
        <v>3170</v>
      </c>
      <c r="C1044" s="4">
        <v>1039</v>
      </c>
      <c r="D1044" s="210" t="s">
        <v>2015</v>
      </c>
      <c r="E1044" s="210" t="s">
        <v>1982</v>
      </c>
      <c r="F1044" s="210" t="s">
        <v>1983</v>
      </c>
      <c r="G1044" s="210" t="s">
        <v>329</v>
      </c>
      <c r="H1044" s="210" t="s">
        <v>1179</v>
      </c>
      <c r="I1044" s="210" t="s">
        <v>84</v>
      </c>
      <c r="J1044" s="4">
        <v>40239</v>
      </c>
      <c r="K1044" s="210" t="s">
        <v>2024</v>
      </c>
      <c r="L1044" s="210">
        <v>65</v>
      </c>
      <c r="M1044" s="4">
        <f t="shared" si="20"/>
        <v>14</v>
      </c>
      <c r="N1044" s="4" t="str">
        <f>_xlfn.CONCAT("DBX",((L1044-1)*2)+1,".6")</f>
        <v>DBX129.6</v>
      </c>
      <c r="O1044" s="210" t="s">
        <v>782</v>
      </c>
      <c r="P1044" s="210" t="s">
        <v>11</v>
      </c>
      <c r="Q1044" s="210" t="s">
        <v>12</v>
      </c>
      <c r="R1044" s="210"/>
      <c r="S1044" s="210">
        <v>3923</v>
      </c>
      <c r="T1044" s="4" t="s">
        <v>2550</v>
      </c>
      <c r="U1044" s="210"/>
      <c r="V1044" s="210" t="s">
        <v>3127</v>
      </c>
      <c r="W1044" s="210" t="s">
        <v>129</v>
      </c>
      <c r="X1044" s="4">
        <f t="shared" si="19"/>
        <v>13</v>
      </c>
      <c r="Y1044" s="210"/>
      <c r="Z1044" s="210"/>
      <c r="AA1044" s="210"/>
      <c r="AB1044" s="210"/>
      <c r="AC1044" s="210">
        <v>1</v>
      </c>
      <c r="AD1044" s="210"/>
      <c r="AE1044" s="210"/>
    </row>
    <row r="1045" spans="1:31" x14ac:dyDescent="0.2">
      <c r="A1045" s="209"/>
      <c r="B1045" s="4" t="s">
        <v>3170</v>
      </c>
      <c r="C1045" s="4">
        <v>1040</v>
      </c>
      <c r="D1045" s="210" t="s">
        <v>2016</v>
      </c>
      <c r="E1045" s="210" t="s">
        <v>1984</v>
      </c>
      <c r="F1045" s="210" t="s">
        <v>1985</v>
      </c>
      <c r="G1045" s="210" t="s">
        <v>329</v>
      </c>
      <c r="H1045" s="210" t="s">
        <v>1179</v>
      </c>
      <c r="I1045" s="210" t="s">
        <v>84</v>
      </c>
      <c r="J1045" s="4">
        <v>40240</v>
      </c>
      <c r="K1045" s="210" t="s">
        <v>2025</v>
      </c>
      <c r="L1045" s="210">
        <v>65</v>
      </c>
      <c r="M1045" s="4">
        <f t="shared" si="20"/>
        <v>15</v>
      </c>
      <c r="N1045" s="4" t="str">
        <f>_xlfn.CONCAT("DBX",((L1045-1)*2)+1,".7")</f>
        <v>DBX129.7</v>
      </c>
      <c r="O1045" s="210" t="s">
        <v>782</v>
      </c>
      <c r="P1045" s="210" t="s">
        <v>11</v>
      </c>
      <c r="Q1045" s="210" t="s">
        <v>12</v>
      </c>
      <c r="R1045" s="210"/>
      <c r="S1045" s="210">
        <v>3923</v>
      </c>
      <c r="T1045" s="4" t="s">
        <v>2550</v>
      </c>
      <c r="U1045" s="210"/>
      <c r="V1045" s="210" t="s">
        <v>3128</v>
      </c>
      <c r="W1045" s="210" t="s">
        <v>129</v>
      </c>
      <c r="X1045" s="4">
        <f t="shared" si="19"/>
        <v>13</v>
      </c>
      <c r="Y1045" s="210"/>
      <c r="Z1045" s="210"/>
      <c r="AA1045" s="210"/>
      <c r="AB1045" s="210"/>
      <c r="AC1045" s="210">
        <v>1</v>
      </c>
      <c r="AD1045" s="210"/>
      <c r="AE1045" s="210"/>
    </row>
    <row r="1046" spans="1:31" x14ac:dyDescent="0.2">
      <c r="A1046" s="209"/>
      <c r="B1046" s="4" t="s">
        <v>3170</v>
      </c>
      <c r="C1046" s="4">
        <v>1041</v>
      </c>
      <c r="D1046" s="210" t="s">
        <v>2017</v>
      </c>
      <c r="E1046" s="210" t="s">
        <v>1986</v>
      </c>
      <c r="F1046" s="210" t="s">
        <v>1987</v>
      </c>
      <c r="G1046" s="210" t="s">
        <v>329</v>
      </c>
      <c r="H1046" s="210" t="s">
        <v>1179</v>
      </c>
      <c r="I1046" s="210" t="s">
        <v>84</v>
      </c>
      <c r="J1046" s="4">
        <v>40241</v>
      </c>
      <c r="K1046" s="210" t="s">
        <v>2024</v>
      </c>
      <c r="L1046" s="210">
        <v>66</v>
      </c>
      <c r="M1046" s="4">
        <v>0</v>
      </c>
      <c r="N1046" s="4" t="str">
        <f>_xlfn.CONCAT("DBX",((L1046-1)*2),".0")</f>
        <v>DBX130.0</v>
      </c>
      <c r="O1046" s="210" t="s">
        <v>782</v>
      </c>
      <c r="P1046" s="210" t="s">
        <v>11</v>
      </c>
      <c r="Q1046" s="210" t="s">
        <v>12</v>
      </c>
      <c r="R1046" s="210"/>
      <c r="S1046" s="210">
        <v>3923</v>
      </c>
      <c r="T1046" s="4" t="s">
        <v>2550</v>
      </c>
      <c r="U1046" s="210"/>
      <c r="V1046" s="210" t="s">
        <v>3127</v>
      </c>
      <c r="W1046" s="210" t="s">
        <v>129</v>
      </c>
      <c r="X1046" s="4">
        <f t="shared" si="19"/>
        <v>13</v>
      </c>
      <c r="Y1046" s="210"/>
      <c r="Z1046" s="210"/>
      <c r="AA1046" s="210"/>
      <c r="AB1046" s="210"/>
      <c r="AC1046" s="210">
        <v>1</v>
      </c>
      <c r="AD1046" s="210"/>
      <c r="AE1046" s="210"/>
    </row>
    <row r="1047" spans="1:31" x14ac:dyDescent="0.2">
      <c r="A1047" s="209"/>
      <c r="B1047" s="4" t="s">
        <v>3170</v>
      </c>
      <c r="C1047" s="4">
        <v>1042</v>
      </c>
      <c r="D1047" s="210" t="s">
        <v>2018</v>
      </c>
      <c r="E1047" s="210" t="s">
        <v>1988</v>
      </c>
      <c r="F1047" s="210" t="s">
        <v>1989</v>
      </c>
      <c r="G1047" s="210" t="s">
        <v>329</v>
      </c>
      <c r="H1047" s="210" t="s">
        <v>1179</v>
      </c>
      <c r="I1047" s="210" t="s">
        <v>84</v>
      </c>
      <c r="J1047" s="4">
        <v>40242</v>
      </c>
      <c r="K1047" s="210" t="s">
        <v>2025</v>
      </c>
      <c r="L1047" s="210">
        <v>66</v>
      </c>
      <c r="M1047" s="4">
        <v>1</v>
      </c>
      <c r="N1047" s="4" t="str">
        <f>_xlfn.CONCAT("DBX",((L1047-1)*2),".1")</f>
        <v>DBX130.1</v>
      </c>
      <c r="O1047" s="210" t="s">
        <v>782</v>
      </c>
      <c r="P1047" s="210" t="s">
        <v>11</v>
      </c>
      <c r="Q1047" s="210" t="s">
        <v>12</v>
      </c>
      <c r="R1047" s="210"/>
      <c r="S1047" s="210">
        <v>3923</v>
      </c>
      <c r="T1047" s="4" t="s">
        <v>2550</v>
      </c>
      <c r="U1047" s="210"/>
      <c r="V1047" s="210" t="s">
        <v>3128</v>
      </c>
      <c r="W1047" s="210" t="s">
        <v>129</v>
      </c>
      <c r="X1047" s="4">
        <f t="shared" si="19"/>
        <v>13</v>
      </c>
      <c r="Y1047" s="210"/>
      <c r="Z1047" s="210"/>
      <c r="AA1047" s="210"/>
      <c r="AB1047" s="210"/>
      <c r="AC1047" s="210">
        <v>1</v>
      </c>
      <c r="AD1047" s="210"/>
      <c r="AE1047" s="210"/>
    </row>
    <row r="1048" spans="1:31" x14ac:dyDescent="0.2">
      <c r="A1048" s="209"/>
      <c r="B1048" s="4" t="s">
        <v>3170</v>
      </c>
      <c r="C1048" s="4">
        <v>1043</v>
      </c>
      <c r="D1048" s="210" t="s">
        <v>2019</v>
      </c>
      <c r="E1048" s="210" t="s">
        <v>1990</v>
      </c>
      <c r="F1048" s="210" t="s">
        <v>1991</v>
      </c>
      <c r="G1048" s="210" t="s">
        <v>329</v>
      </c>
      <c r="H1048" s="210" t="s">
        <v>1179</v>
      </c>
      <c r="I1048" s="210" t="s">
        <v>85</v>
      </c>
      <c r="J1048" s="4">
        <v>40243</v>
      </c>
      <c r="K1048" s="210" t="s">
        <v>11</v>
      </c>
      <c r="L1048" s="210">
        <v>66</v>
      </c>
      <c r="M1048" s="4">
        <v>2</v>
      </c>
      <c r="N1048" s="4" t="str">
        <f>_xlfn.CONCAT("DBX",((L1048-1)*2),".2")</f>
        <v>DBX130.2</v>
      </c>
      <c r="O1048" s="210" t="s">
        <v>782</v>
      </c>
      <c r="P1048" s="210" t="s">
        <v>11</v>
      </c>
      <c r="Q1048" s="210" t="s">
        <v>12</v>
      </c>
      <c r="R1048" s="210"/>
      <c r="S1048" s="210">
        <v>3923</v>
      </c>
      <c r="T1048" s="4" t="s">
        <v>2550</v>
      </c>
      <c r="U1048" s="210"/>
      <c r="V1048" s="210" t="s">
        <v>3168</v>
      </c>
      <c r="W1048" s="210" t="s">
        <v>128</v>
      </c>
      <c r="X1048" s="4">
        <f t="shared" si="19"/>
        <v>12</v>
      </c>
      <c r="Y1048" s="210"/>
      <c r="Z1048" s="210"/>
      <c r="AA1048" s="210"/>
      <c r="AB1048" s="210"/>
      <c r="AC1048" s="210">
        <v>1</v>
      </c>
      <c r="AD1048" s="210"/>
      <c r="AE1048" s="210"/>
    </row>
    <row r="1049" spans="1:31" x14ac:dyDescent="0.2">
      <c r="A1049" s="209"/>
      <c r="B1049" s="4" t="s">
        <v>3170</v>
      </c>
      <c r="C1049" s="4">
        <v>1044</v>
      </c>
      <c r="D1049" s="210" t="s">
        <v>2020</v>
      </c>
      <c r="E1049" s="210" t="s">
        <v>1992</v>
      </c>
      <c r="F1049" s="210" t="s">
        <v>1993</v>
      </c>
      <c r="G1049" s="210" t="s">
        <v>329</v>
      </c>
      <c r="H1049" s="210" t="s">
        <v>1179</v>
      </c>
      <c r="I1049" s="210" t="s">
        <v>85</v>
      </c>
      <c r="J1049" s="4">
        <v>40244</v>
      </c>
      <c r="K1049" s="210" t="s">
        <v>11</v>
      </c>
      <c r="L1049" s="210">
        <v>66</v>
      </c>
      <c r="M1049" s="4">
        <v>3</v>
      </c>
      <c r="N1049" s="4" t="str">
        <f>_xlfn.CONCAT("DBX",((L1049-1)*2),".3")</f>
        <v>DBX130.3</v>
      </c>
      <c r="O1049" s="210" t="s">
        <v>782</v>
      </c>
      <c r="P1049" s="210" t="s">
        <v>11</v>
      </c>
      <c r="Q1049" s="210" t="s">
        <v>12</v>
      </c>
      <c r="R1049" s="210"/>
      <c r="S1049" s="210">
        <v>3923</v>
      </c>
      <c r="T1049" s="4" t="s">
        <v>2550</v>
      </c>
      <c r="U1049" s="210"/>
      <c r="V1049" s="210" t="s">
        <v>3168</v>
      </c>
      <c r="W1049" s="210" t="s">
        <v>128</v>
      </c>
      <c r="X1049" s="4">
        <f t="shared" si="19"/>
        <v>12</v>
      </c>
      <c r="Y1049" s="210"/>
      <c r="Z1049" s="210"/>
      <c r="AA1049" s="210"/>
      <c r="AB1049" s="210"/>
      <c r="AC1049" s="210">
        <v>1</v>
      </c>
      <c r="AD1049" s="210"/>
      <c r="AE1049" s="210"/>
    </row>
    <row r="1050" spans="1:31" x14ac:dyDescent="0.2">
      <c r="A1050" s="209"/>
      <c r="B1050" s="4" t="s">
        <v>3170</v>
      </c>
      <c r="C1050" s="4">
        <v>1045</v>
      </c>
      <c r="D1050" s="210" t="s">
        <v>2021</v>
      </c>
      <c r="E1050" s="210" t="s">
        <v>1994</v>
      </c>
      <c r="F1050" s="210" t="s">
        <v>1995</v>
      </c>
      <c r="G1050" s="210" t="s">
        <v>329</v>
      </c>
      <c r="H1050" s="210" t="s">
        <v>1179</v>
      </c>
      <c r="I1050" s="210" t="s">
        <v>85</v>
      </c>
      <c r="J1050" s="4">
        <v>40245</v>
      </c>
      <c r="K1050" s="210" t="s">
        <v>11</v>
      </c>
      <c r="L1050" s="210">
        <v>66</v>
      </c>
      <c r="M1050" s="4">
        <v>4</v>
      </c>
      <c r="N1050" s="4" t="str">
        <f>_xlfn.CONCAT("DBX",((L1050-1)*2),".4")</f>
        <v>DBX130.4</v>
      </c>
      <c r="O1050" s="210" t="s">
        <v>782</v>
      </c>
      <c r="P1050" s="210" t="s">
        <v>11</v>
      </c>
      <c r="Q1050" s="210" t="s">
        <v>12</v>
      </c>
      <c r="R1050" s="210"/>
      <c r="S1050" s="210">
        <v>3923</v>
      </c>
      <c r="T1050" s="4" t="s">
        <v>2550</v>
      </c>
      <c r="U1050" s="210"/>
      <c r="V1050" s="210" t="s">
        <v>3168</v>
      </c>
      <c r="W1050" s="210" t="s">
        <v>128</v>
      </c>
      <c r="X1050" s="4">
        <f t="shared" si="19"/>
        <v>12</v>
      </c>
      <c r="Y1050" s="210"/>
      <c r="Z1050" s="210"/>
      <c r="AA1050" s="210"/>
      <c r="AB1050" s="210"/>
      <c r="AC1050" s="210">
        <v>1</v>
      </c>
      <c r="AD1050" s="210"/>
      <c r="AE1050" s="210"/>
    </row>
    <row r="1051" spans="1:31" x14ac:dyDescent="0.2">
      <c r="A1051" s="209"/>
      <c r="B1051" s="4" t="s">
        <v>3170</v>
      </c>
      <c r="C1051" s="4">
        <v>1046</v>
      </c>
      <c r="D1051" s="210" t="s">
        <v>2022</v>
      </c>
      <c r="E1051" s="210" t="s">
        <v>1996</v>
      </c>
      <c r="F1051" s="210" t="s">
        <v>1997</v>
      </c>
      <c r="G1051" s="210" t="s">
        <v>329</v>
      </c>
      <c r="H1051" s="210" t="s">
        <v>41</v>
      </c>
      <c r="I1051" s="210" t="s">
        <v>85</v>
      </c>
      <c r="J1051" s="4">
        <v>40246</v>
      </c>
      <c r="K1051" s="210" t="s">
        <v>99</v>
      </c>
      <c r="L1051" s="210">
        <v>66</v>
      </c>
      <c r="M1051" s="4">
        <v>5</v>
      </c>
      <c r="N1051" s="4" t="str">
        <f>_xlfn.CONCAT("DBX",((L1051-1)*2),".5")</f>
        <v>DBX130.5</v>
      </c>
      <c r="O1051" s="210" t="s">
        <v>782</v>
      </c>
      <c r="P1051" s="210" t="s">
        <v>11</v>
      </c>
      <c r="Q1051" s="4" t="s">
        <v>12</v>
      </c>
      <c r="R1051" s="210"/>
      <c r="S1051" s="210">
        <v>3923</v>
      </c>
      <c r="T1051" s="4" t="s">
        <v>2550</v>
      </c>
      <c r="U1051" s="210"/>
      <c r="V1051" s="210" t="s">
        <v>3127</v>
      </c>
      <c r="W1051" s="210" t="s">
        <v>129</v>
      </c>
      <c r="X1051" s="4">
        <f t="shared" si="19"/>
        <v>13</v>
      </c>
      <c r="Y1051" s="4"/>
      <c r="Z1051" s="210"/>
      <c r="AA1051" s="210"/>
      <c r="AB1051" s="210"/>
      <c r="AC1051" s="210">
        <v>1</v>
      </c>
      <c r="AD1051" s="210"/>
      <c r="AE1051" s="210"/>
    </row>
    <row r="1052" spans="1:31" x14ac:dyDescent="0.2">
      <c r="A1052" s="209"/>
      <c r="B1052" s="4" t="s">
        <v>3170</v>
      </c>
      <c r="C1052" s="4">
        <v>1047</v>
      </c>
      <c r="D1052" s="210" t="s">
        <v>2023</v>
      </c>
      <c r="E1052" s="210" t="s">
        <v>1998</v>
      </c>
      <c r="F1052" s="210" t="s">
        <v>1999</v>
      </c>
      <c r="G1052" s="210" t="s">
        <v>329</v>
      </c>
      <c r="H1052" s="210" t="s">
        <v>41</v>
      </c>
      <c r="I1052" s="210" t="s">
        <v>85</v>
      </c>
      <c r="J1052" s="4">
        <v>40247</v>
      </c>
      <c r="K1052" s="210" t="s">
        <v>99</v>
      </c>
      <c r="L1052" s="210">
        <v>66</v>
      </c>
      <c r="M1052" s="4">
        <v>6</v>
      </c>
      <c r="N1052" s="4" t="str">
        <f>_xlfn.CONCAT("DBX",((L1052-1)*2),".6")</f>
        <v>DBX130.6</v>
      </c>
      <c r="O1052" s="210" t="s">
        <v>782</v>
      </c>
      <c r="P1052" s="210" t="s">
        <v>11</v>
      </c>
      <c r="Q1052" s="4" t="s">
        <v>12</v>
      </c>
      <c r="R1052" s="210"/>
      <c r="S1052" s="210">
        <v>3923</v>
      </c>
      <c r="T1052" s="4" t="s">
        <v>2550</v>
      </c>
      <c r="U1052" s="210"/>
      <c r="V1052" s="210" t="s">
        <v>3128</v>
      </c>
      <c r="W1052" s="210" t="s">
        <v>129</v>
      </c>
      <c r="X1052" s="4">
        <f t="shared" si="19"/>
        <v>13</v>
      </c>
      <c r="Y1052" s="210"/>
      <c r="Z1052" s="210"/>
      <c r="AA1052" s="210"/>
      <c r="AB1052" s="210"/>
      <c r="AC1052" s="210">
        <v>1</v>
      </c>
      <c r="AD1052" s="210"/>
      <c r="AE1052" s="210"/>
    </row>
    <row r="1053" spans="1:31" s="207" customFormat="1" x14ac:dyDescent="0.2">
      <c r="A1053" s="217"/>
      <c r="B1053" s="4" t="s">
        <v>33</v>
      </c>
      <c r="C1053" s="205">
        <v>1048</v>
      </c>
      <c r="D1053" s="218" t="s">
        <v>2012</v>
      </c>
      <c r="E1053" s="218" t="s">
        <v>2000</v>
      </c>
      <c r="F1053" s="218" t="s">
        <v>2001</v>
      </c>
      <c r="G1053" s="218" t="s">
        <v>356</v>
      </c>
      <c r="H1053" s="218" t="s">
        <v>1179</v>
      </c>
      <c r="I1053" s="218" t="s">
        <v>40</v>
      </c>
      <c r="J1053" s="4">
        <v>40248</v>
      </c>
      <c r="K1053" s="218" t="s">
        <v>2026</v>
      </c>
      <c r="L1053" s="218">
        <v>66</v>
      </c>
      <c r="M1053" s="205">
        <v>7</v>
      </c>
      <c r="N1053" s="4" t="str">
        <f>_xlfn.CONCAT("DBX",((L1053-1)*2),".7")</f>
        <v>DBX130.7</v>
      </c>
      <c r="O1053" s="218" t="s">
        <v>782</v>
      </c>
      <c r="P1053" s="218" t="s">
        <v>11</v>
      </c>
      <c r="Q1053" s="218" t="s">
        <v>88</v>
      </c>
      <c r="R1053" s="218"/>
      <c r="S1053" s="218">
        <v>3923</v>
      </c>
      <c r="T1053" s="205" t="s">
        <v>2550</v>
      </c>
      <c r="U1053" s="218"/>
      <c r="V1053" s="218"/>
      <c r="W1053" s="218" t="s">
        <v>129</v>
      </c>
      <c r="X1053" s="205">
        <f t="shared" si="19"/>
        <v>13</v>
      </c>
      <c r="Y1053" s="205" t="s">
        <v>2310</v>
      </c>
      <c r="Z1053" s="218"/>
      <c r="AA1053" s="218"/>
      <c r="AB1053" s="218"/>
      <c r="AC1053" s="210">
        <v>1</v>
      </c>
      <c r="AD1053" s="218"/>
      <c r="AE1053" s="218"/>
    </row>
    <row r="1054" spans="1:31" x14ac:dyDescent="0.2">
      <c r="A1054" s="209"/>
      <c r="B1054" s="4" t="s">
        <v>3170</v>
      </c>
      <c r="C1054" s="4">
        <v>1049</v>
      </c>
      <c r="D1054" s="210" t="s">
        <v>2009</v>
      </c>
      <c r="E1054" s="210" t="s">
        <v>2002</v>
      </c>
      <c r="F1054" s="210" t="s">
        <v>2003</v>
      </c>
      <c r="G1054" s="210" t="s">
        <v>1697</v>
      </c>
      <c r="H1054" s="210" t="s">
        <v>41</v>
      </c>
      <c r="I1054" s="210" t="s">
        <v>84</v>
      </c>
      <c r="J1054" s="4">
        <v>40249</v>
      </c>
      <c r="K1054" s="210" t="s">
        <v>871</v>
      </c>
      <c r="L1054" s="210">
        <v>66</v>
      </c>
      <c r="M1054" s="4">
        <v>8</v>
      </c>
      <c r="N1054" s="4" t="str">
        <f>_xlfn.CONCAT("DBX",((L1054-1)*2)+1,".0")</f>
        <v>DBX131.0</v>
      </c>
      <c r="O1054" s="210" t="s">
        <v>782</v>
      </c>
      <c r="P1054" s="210" t="s">
        <v>11</v>
      </c>
      <c r="Q1054" s="210" t="s">
        <v>12</v>
      </c>
      <c r="R1054" s="210"/>
      <c r="S1054" s="210">
        <v>3923</v>
      </c>
      <c r="T1054" s="4" t="s">
        <v>2550</v>
      </c>
      <c r="U1054" s="210" t="s">
        <v>871</v>
      </c>
      <c r="V1054" s="210" t="s">
        <v>3168</v>
      </c>
      <c r="W1054" s="210" t="s">
        <v>129</v>
      </c>
      <c r="X1054" s="4">
        <f t="shared" si="19"/>
        <v>13</v>
      </c>
      <c r="Y1054" s="210"/>
      <c r="Z1054" s="210"/>
      <c r="AA1054" s="210"/>
      <c r="AB1054" s="210"/>
      <c r="AC1054" s="210">
        <v>1</v>
      </c>
      <c r="AD1054" s="210"/>
      <c r="AE1054" s="210"/>
    </row>
    <row r="1055" spans="1:31" x14ac:dyDescent="0.2">
      <c r="A1055" s="209"/>
      <c r="B1055" s="4" t="s">
        <v>3170</v>
      </c>
      <c r="C1055" s="4">
        <v>1050</v>
      </c>
      <c r="D1055" s="210" t="s">
        <v>2011</v>
      </c>
      <c r="E1055" s="210" t="s">
        <v>2004</v>
      </c>
      <c r="F1055" s="210" t="s">
        <v>2005</v>
      </c>
      <c r="G1055" s="210" t="s">
        <v>1697</v>
      </c>
      <c r="H1055" s="210" t="s">
        <v>41</v>
      </c>
      <c r="I1055" s="210" t="s">
        <v>84</v>
      </c>
      <c r="J1055" s="4">
        <v>40250</v>
      </c>
      <c r="K1055" s="210" t="s">
        <v>871</v>
      </c>
      <c r="L1055" s="210">
        <v>66</v>
      </c>
      <c r="M1055" s="4">
        <v>9</v>
      </c>
      <c r="N1055" s="4" t="str">
        <f>_xlfn.CONCAT("DBX",((L1055-1)*2)+1,".1")</f>
        <v>DBX131.1</v>
      </c>
      <c r="O1055" s="210" t="s">
        <v>782</v>
      </c>
      <c r="P1055" s="210" t="s">
        <v>11</v>
      </c>
      <c r="Q1055" s="210" t="s">
        <v>12</v>
      </c>
      <c r="R1055" s="210"/>
      <c r="S1055" s="210">
        <v>3923</v>
      </c>
      <c r="T1055" s="4" t="s">
        <v>2550</v>
      </c>
      <c r="U1055" s="210" t="s">
        <v>871</v>
      </c>
      <c r="V1055" s="210" t="s">
        <v>3168</v>
      </c>
      <c r="W1055" s="210" t="s">
        <v>127</v>
      </c>
      <c r="X1055" s="4">
        <f t="shared" si="19"/>
        <v>11</v>
      </c>
      <c r="Y1055" s="210"/>
      <c r="Z1055" s="210"/>
      <c r="AA1055" s="210"/>
      <c r="AB1055" s="210"/>
      <c r="AC1055" s="210">
        <v>1</v>
      </c>
      <c r="AD1055" s="210"/>
      <c r="AE1055" s="210"/>
    </row>
    <row r="1056" spans="1:31" x14ac:dyDescent="0.2">
      <c r="A1056" s="209"/>
      <c r="B1056" s="4" t="s">
        <v>3170</v>
      </c>
      <c r="C1056" s="4">
        <v>1051</v>
      </c>
      <c r="D1056" s="210" t="s">
        <v>2010</v>
      </c>
      <c r="E1056" s="210" t="s">
        <v>2006</v>
      </c>
      <c r="F1056" s="210" t="s">
        <v>2523</v>
      </c>
      <c r="G1056" s="210" t="s">
        <v>1697</v>
      </c>
      <c r="H1056" s="210" t="s">
        <v>41</v>
      </c>
      <c r="I1056" s="210" t="s">
        <v>84</v>
      </c>
      <c r="J1056" s="4">
        <v>40251</v>
      </c>
      <c r="K1056" s="210" t="s">
        <v>871</v>
      </c>
      <c r="L1056" s="210">
        <v>66</v>
      </c>
      <c r="M1056" s="4">
        <v>10</v>
      </c>
      <c r="N1056" s="4" t="str">
        <f>_xlfn.CONCAT("DBX",((L1056-1)*2)+1,".2")</f>
        <v>DBX131.2</v>
      </c>
      <c r="O1056" s="210" t="s">
        <v>782</v>
      </c>
      <c r="P1056" s="210" t="s">
        <v>11</v>
      </c>
      <c r="Q1056" s="210" t="s">
        <v>12</v>
      </c>
      <c r="R1056" s="210"/>
      <c r="S1056" s="210">
        <v>3923</v>
      </c>
      <c r="T1056" s="4" t="s">
        <v>2550</v>
      </c>
      <c r="U1056" s="210" t="s">
        <v>871</v>
      </c>
      <c r="V1056" s="210" t="s">
        <v>3168</v>
      </c>
      <c r="W1056" s="210" t="s">
        <v>129</v>
      </c>
      <c r="X1056" s="4">
        <f t="shared" si="19"/>
        <v>13</v>
      </c>
      <c r="Y1056" s="210"/>
      <c r="Z1056" s="210"/>
      <c r="AA1056" s="210"/>
      <c r="AB1056" s="210"/>
      <c r="AC1056" s="210">
        <v>1</v>
      </c>
      <c r="AD1056" s="210"/>
      <c r="AE1056" s="210"/>
    </row>
    <row r="1057" spans="1:31" x14ac:dyDescent="0.2">
      <c r="A1057" s="209"/>
      <c r="B1057" s="4" t="s">
        <v>34</v>
      </c>
      <c r="C1057" s="4">
        <v>1052</v>
      </c>
      <c r="D1057" s="210"/>
      <c r="E1057" s="210"/>
      <c r="F1057" s="210"/>
      <c r="G1057" s="210"/>
      <c r="H1057" s="210"/>
      <c r="I1057" s="210"/>
      <c r="J1057" s="4">
        <v>40252</v>
      </c>
      <c r="K1057" s="210"/>
      <c r="L1057" s="210">
        <v>66</v>
      </c>
      <c r="M1057" s="4">
        <v>11</v>
      </c>
      <c r="N1057" s="4" t="str">
        <f>_xlfn.CONCAT("DBX",((L1057-1)*2)+1,".3")</f>
        <v>DBX131.3</v>
      </c>
      <c r="O1057" s="210" t="s">
        <v>782</v>
      </c>
      <c r="P1057" s="210"/>
      <c r="Q1057" s="210"/>
      <c r="R1057" s="210"/>
      <c r="S1057" s="210"/>
      <c r="T1057" s="210"/>
      <c r="U1057" s="210"/>
      <c r="V1057" s="210"/>
      <c r="W1057" s="210"/>
      <c r="X1057" s="4" t="e">
        <f t="shared" si="19"/>
        <v>#N/A</v>
      </c>
      <c r="Y1057" s="210"/>
      <c r="Z1057" s="210"/>
      <c r="AA1057" s="210"/>
      <c r="AB1057" s="210"/>
      <c r="AC1057" s="210"/>
      <c r="AD1057" s="210"/>
      <c r="AE1057" s="210"/>
    </row>
    <row r="1058" spans="1:31" x14ac:dyDescent="0.2">
      <c r="A1058" s="209"/>
      <c r="B1058" s="4" t="s">
        <v>34</v>
      </c>
      <c r="C1058" s="4">
        <v>1053</v>
      </c>
      <c r="D1058" s="210"/>
      <c r="E1058" s="210"/>
      <c r="F1058" s="210"/>
      <c r="G1058" s="210"/>
      <c r="H1058" s="210"/>
      <c r="I1058" s="210"/>
      <c r="J1058" s="4">
        <v>40253</v>
      </c>
      <c r="K1058" s="210"/>
      <c r="L1058" s="210">
        <v>66</v>
      </c>
      <c r="M1058" s="4">
        <v>12</v>
      </c>
      <c r="N1058" s="4" t="str">
        <f>_xlfn.CONCAT("DBX",((L1058-1)*2)+1,".4")</f>
        <v>DBX131.4</v>
      </c>
      <c r="O1058" s="210" t="s">
        <v>782</v>
      </c>
      <c r="P1058" s="210"/>
      <c r="Q1058" s="210"/>
      <c r="R1058" s="210"/>
      <c r="S1058" s="210"/>
      <c r="T1058" s="210"/>
      <c r="U1058" s="210"/>
      <c r="V1058" s="210"/>
      <c r="W1058" s="210"/>
      <c r="X1058" s="4" t="e">
        <f t="shared" si="19"/>
        <v>#N/A</v>
      </c>
      <c r="Y1058" s="210"/>
      <c r="Z1058" s="210"/>
      <c r="AA1058" s="210"/>
      <c r="AB1058" s="210"/>
      <c r="AC1058" s="210"/>
      <c r="AD1058" s="210"/>
      <c r="AE1058" s="210"/>
    </row>
    <row r="1059" spans="1:31" ht="56.25" x14ac:dyDescent="0.2">
      <c r="A1059" s="209"/>
      <c r="B1059" s="4" t="s">
        <v>3170</v>
      </c>
      <c r="C1059" s="4">
        <v>1054</v>
      </c>
      <c r="D1059" s="210" t="s">
        <v>1271</v>
      </c>
      <c r="E1059" s="210" t="s">
        <v>1272</v>
      </c>
      <c r="F1059" s="210" t="s">
        <v>1273</v>
      </c>
      <c r="G1059" s="210" t="s">
        <v>329</v>
      </c>
      <c r="H1059" s="210" t="s">
        <v>41</v>
      </c>
      <c r="I1059" s="210" t="s">
        <v>84</v>
      </c>
      <c r="J1059" s="4">
        <v>40254</v>
      </c>
      <c r="K1059" s="210" t="s">
        <v>881</v>
      </c>
      <c r="L1059" s="210">
        <v>66</v>
      </c>
      <c r="M1059" s="4">
        <v>13</v>
      </c>
      <c r="N1059" s="4" t="str">
        <f>_xlfn.CONCAT("DBX",((L1059-1)*2)+1,".5")</f>
        <v>DBX131.5</v>
      </c>
      <c r="O1059" s="210" t="s">
        <v>782</v>
      </c>
      <c r="P1059" s="210" t="s">
        <v>11</v>
      </c>
      <c r="Q1059" s="210" t="s">
        <v>12</v>
      </c>
      <c r="R1059" s="210"/>
      <c r="S1059" s="210">
        <v>3923</v>
      </c>
      <c r="T1059" s="4" t="s">
        <v>2550</v>
      </c>
      <c r="U1059" s="210" t="s">
        <v>2539</v>
      </c>
      <c r="V1059" s="212" t="s">
        <v>3166</v>
      </c>
      <c r="W1059" s="210" t="s">
        <v>129</v>
      </c>
      <c r="X1059" s="4">
        <f t="shared" si="19"/>
        <v>13</v>
      </c>
      <c r="Y1059" s="210"/>
      <c r="Z1059" s="210"/>
      <c r="AA1059" s="210"/>
      <c r="AB1059" s="210"/>
      <c r="AC1059" s="210">
        <v>1</v>
      </c>
      <c r="AD1059" s="210"/>
      <c r="AE1059" s="210"/>
    </row>
    <row r="1060" spans="1:31" ht="56.25" x14ac:dyDescent="0.2">
      <c r="A1060" s="209"/>
      <c r="B1060" s="4" t="s">
        <v>3170</v>
      </c>
      <c r="C1060" s="4">
        <v>1055</v>
      </c>
      <c r="D1060" s="210" t="s">
        <v>1274</v>
      </c>
      <c r="E1060" s="210" t="s">
        <v>1275</v>
      </c>
      <c r="F1060" s="210" t="s">
        <v>1276</v>
      </c>
      <c r="G1060" s="210" t="s">
        <v>329</v>
      </c>
      <c r="H1060" s="210" t="s">
        <v>41</v>
      </c>
      <c r="I1060" s="210" t="s">
        <v>84</v>
      </c>
      <c r="J1060" s="4">
        <v>40255</v>
      </c>
      <c r="K1060" s="210" t="s">
        <v>881</v>
      </c>
      <c r="L1060" s="210">
        <v>66</v>
      </c>
      <c r="M1060" s="4">
        <v>14</v>
      </c>
      <c r="N1060" s="4" t="str">
        <f>_xlfn.CONCAT("DBX",((L1060-1)*2)+1,".6")</f>
        <v>DBX131.6</v>
      </c>
      <c r="O1060" s="210" t="s">
        <v>782</v>
      </c>
      <c r="P1060" s="210" t="s">
        <v>11</v>
      </c>
      <c r="Q1060" s="210" t="s">
        <v>12</v>
      </c>
      <c r="R1060" s="210"/>
      <c r="S1060" s="210">
        <v>3923</v>
      </c>
      <c r="T1060" s="4" t="s">
        <v>2550</v>
      </c>
      <c r="U1060" s="210" t="s">
        <v>2539</v>
      </c>
      <c r="V1060" s="212" t="s">
        <v>3166</v>
      </c>
      <c r="W1060" s="210" t="s">
        <v>129</v>
      </c>
      <c r="X1060" s="4">
        <f t="shared" si="19"/>
        <v>13</v>
      </c>
      <c r="Y1060" s="210"/>
      <c r="Z1060" s="210"/>
      <c r="AA1060" s="210"/>
      <c r="AB1060" s="210"/>
      <c r="AC1060" s="210">
        <v>1</v>
      </c>
      <c r="AD1060" s="210"/>
      <c r="AE1060" s="210"/>
    </row>
    <row r="1061" spans="1:31" s="244" customFormat="1" x14ac:dyDescent="0.2">
      <c r="A1061" s="268"/>
      <c r="B1061" s="266" t="s">
        <v>3349</v>
      </c>
      <c r="C1061" s="242">
        <v>1056</v>
      </c>
      <c r="D1061" s="269" t="s">
        <v>1966</v>
      </c>
      <c r="E1061" s="269" t="s">
        <v>2222</v>
      </c>
      <c r="F1061" s="242" t="s">
        <v>2342</v>
      </c>
      <c r="G1061" s="210" t="s">
        <v>329</v>
      </c>
      <c r="H1061" s="210" t="s">
        <v>41</v>
      </c>
      <c r="I1061" s="210" t="s">
        <v>84</v>
      </c>
      <c r="J1061" s="4">
        <v>40256</v>
      </c>
      <c r="K1061" s="210" t="s">
        <v>881</v>
      </c>
      <c r="L1061" s="210">
        <v>66</v>
      </c>
      <c r="M1061" s="4">
        <v>15</v>
      </c>
      <c r="N1061" s="4" t="str">
        <f>_xlfn.CONCAT("DBX",((L1061-1)*2)+1,".7")</f>
        <v>DBX131.7</v>
      </c>
      <c r="O1061" s="210" t="s">
        <v>782</v>
      </c>
      <c r="P1061" s="210" t="s">
        <v>11</v>
      </c>
      <c r="Q1061" s="269" t="s">
        <v>12</v>
      </c>
      <c r="R1061" s="269"/>
      <c r="S1061" s="269">
        <v>3923</v>
      </c>
      <c r="T1061" s="242" t="s">
        <v>2550</v>
      </c>
      <c r="U1061" s="269" t="s">
        <v>2539</v>
      </c>
      <c r="V1061" s="269"/>
      <c r="W1061" s="269" t="s">
        <v>129</v>
      </c>
      <c r="X1061" s="242">
        <f t="shared" si="19"/>
        <v>13</v>
      </c>
      <c r="Y1061" s="269"/>
      <c r="Z1061" s="269"/>
      <c r="AA1061" s="269"/>
      <c r="AB1061" s="269"/>
      <c r="AC1061" s="270">
        <v>0</v>
      </c>
      <c r="AD1061" s="269"/>
      <c r="AE1061" s="269"/>
    </row>
    <row r="1062" spans="1:31" x14ac:dyDescent="0.2">
      <c r="A1062" s="209"/>
      <c r="B1062" s="4" t="s">
        <v>34</v>
      </c>
      <c r="C1062" s="4">
        <v>1057</v>
      </c>
      <c r="D1062" s="212"/>
      <c r="E1062" s="210"/>
      <c r="F1062" s="210"/>
      <c r="G1062" s="210"/>
      <c r="H1062" s="210"/>
      <c r="I1062" s="210"/>
      <c r="J1062" s="4">
        <v>40257</v>
      </c>
      <c r="K1062" s="210"/>
      <c r="L1062" s="210">
        <v>67</v>
      </c>
      <c r="M1062" s="4">
        <f>M1046</f>
        <v>0</v>
      </c>
      <c r="N1062" s="4" t="str">
        <f>_xlfn.CONCAT("DBX",((L1062-1)*2),".0")</f>
        <v>DBX132.0</v>
      </c>
      <c r="O1062" s="210" t="s">
        <v>782</v>
      </c>
      <c r="P1062" s="210"/>
      <c r="Q1062" s="210"/>
      <c r="R1062" s="210"/>
      <c r="S1062" s="210"/>
      <c r="T1062" s="210"/>
      <c r="U1062" s="210"/>
      <c r="V1062" s="210"/>
      <c r="W1062" s="210"/>
      <c r="X1062" s="4" t="e">
        <f t="shared" ref="X1062:X1125" si="21">VLOOKUP(W1062,$W$1609:$X$1639,2,FALSE)</f>
        <v>#N/A</v>
      </c>
      <c r="Y1062" s="210"/>
      <c r="Z1062" s="210"/>
      <c r="AA1062" s="210"/>
      <c r="AB1062" s="210"/>
      <c r="AC1062" s="210"/>
      <c r="AD1062" s="210"/>
      <c r="AE1062" s="210"/>
    </row>
    <row r="1063" spans="1:31" x14ac:dyDescent="0.2">
      <c r="A1063" s="209"/>
      <c r="B1063" s="4" t="s">
        <v>34</v>
      </c>
      <c r="C1063" s="4">
        <v>1058</v>
      </c>
      <c r="D1063" s="212"/>
      <c r="E1063" s="210"/>
      <c r="F1063" s="210"/>
      <c r="G1063" s="210"/>
      <c r="H1063" s="210"/>
      <c r="I1063" s="210"/>
      <c r="J1063" s="4">
        <v>40258</v>
      </c>
      <c r="K1063" s="210"/>
      <c r="L1063" s="210">
        <v>67</v>
      </c>
      <c r="M1063" s="4">
        <f t="shared" si="20"/>
        <v>1</v>
      </c>
      <c r="N1063" s="4" t="str">
        <f>_xlfn.CONCAT("DBX",((L1063-1)*2),".1")</f>
        <v>DBX132.1</v>
      </c>
      <c r="O1063" s="210" t="s">
        <v>782</v>
      </c>
      <c r="P1063" s="210"/>
      <c r="Q1063" s="210"/>
      <c r="R1063" s="210"/>
      <c r="S1063" s="210"/>
      <c r="T1063" s="210"/>
      <c r="U1063" s="210"/>
      <c r="V1063" s="210"/>
      <c r="W1063" s="210"/>
      <c r="X1063" s="4" t="e">
        <f t="shared" si="21"/>
        <v>#N/A</v>
      </c>
      <c r="Y1063" s="210"/>
      <c r="Z1063" s="210"/>
      <c r="AA1063" s="210"/>
      <c r="AB1063" s="210"/>
      <c r="AC1063" s="210"/>
      <c r="AD1063" s="210"/>
      <c r="AE1063" s="210"/>
    </row>
    <row r="1064" spans="1:31" x14ac:dyDescent="0.2">
      <c r="A1064" s="209"/>
      <c r="B1064" s="4" t="s">
        <v>34</v>
      </c>
      <c r="C1064" s="4">
        <v>1059</v>
      </c>
      <c r="D1064" s="210"/>
      <c r="E1064" s="210"/>
      <c r="F1064" s="210"/>
      <c r="G1064" s="210"/>
      <c r="H1064" s="210"/>
      <c r="I1064" s="210"/>
      <c r="J1064" s="4">
        <v>40259</v>
      </c>
      <c r="K1064" s="210"/>
      <c r="L1064" s="210">
        <v>67</v>
      </c>
      <c r="M1064" s="4">
        <f t="shared" si="20"/>
        <v>2</v>
      </c>
      <c r="N1064" s="4" t="str">
        <f>_xlfn.CONCAT("DBX",((L1064-1)*2),".2")</f>
        <v>DBX132.2</v>
      </c>
      <c r="O1064" s="210" t="s">
        <v>782</v>
      </c>
      <c r="P1064" s="210"/>
      <c r="Q1064" s="210"/>
      <c r="R1064" s="210"/>
      <c r="S1064" s="210"/>
      <c r="T1064" s="210"/>
      <c r="U1064" s="210"/>
      <c r="V1064" s="210"/>
      <c r="W1064" s="210"/>
      <c r="X1064" s="4" t="e">
        <f t="shared" si="21"/>
        <v>#N/A</v>
      </c>
      <c r="Y1064" s="210"/>
      <c r="Z1064" s="210"/>
      <c r="AA1064" s="210"/>
      <c r="AB1064" s="210"/>
      <c r="AC1064" s="210"/>
      <c r="AD1064" s="210"/>
      <c r="AE1064" s="210"/>
    </row>
    <row r="1065" spans="1:31" x14ac:dyDescent="0.2">
      <c r="A1065" s="209"/>
      <c r="B1065" s="4" t="s">
        <v>3170</v>
      </c>
      <c r="C1065" s="4">
        <v>1060</v>
      </c>
      <c r="D1065" s="210" t="s">
        <v>2061</v>
      </c>
      <c r="E1065" s="210" t="s">
        <v>2042</v>
      </c>
      <c r="F1065" s="210" t="s">
        <v>2524</v>
      </c>
      <c r="G1065" s="210" t="s">
        <v>329</v>
      </c>
      <c r="H1065" s="210" t="s">
        <v>41</v>
      </c>
      <c r="I1065" s="210" t="s">
        <v>85</v>
      </c>
      <c r="J1065" s="4">
        <v>40260</v>
      </c>
      <c r="K1065" s="210" t="s">
        <v>2053</v>
      </c>
      <c r="L1065" s="210">
        <v>67</v>
      </c>
      <c r="M1065" s="4">
        <f t="shared" si="20"/>
        <v>3</v>
      </c>
      <c r="N1065" s="4" t="str">
        <f>_xlfn.CONCAT("DBX",((L1065-1)*2),".3")</f>
        <v>DBX132.3</v>
      </c>
      <c r="O1065" s="210" t="s">
        <v>782</v>
      </c>
      <c r="P1065" s="210" t="s">
        <v>2054</v>
      </c>
      <c r="Q1065" s="210" t="s">
        <v>12</v>
      </c>
      <c r="R1065" s="210"/>
      <c r="S1065" s="210">
        <v>3923</v>
      </c>
      <c r="T1065" s="4" t="s">
        <v>2550</v>
      </c>
      <c r="U1065" s="210" t="s">
        <v>2053</v>
      </c>
      <c r="V1065" s="210" t="s">
        <v>3143</v>
      </c>
      <c r="W1065" s="210" t="s">
        <v>121</v>
      </c>
      <c r="X1065" s="4">
        <f t="shared" si="21"/>
        <v>5</v>
      </c>
      <c r="Y1065" s="210"/>
      <c r="Z1065" s="210"/>
      <c r="AA1065" s="210"/>
      <c r="AB1065" s="210"/>
      <c r="AC1065" s="210">
        <v>1</v>
      </c>
      <c r="AD1065" s="210"/>
      <c r="AE1065" s="210"/>
    </row>
    <row r="1066" spans="1:31" x14ac:dyDescent="0.2">
      <c r="A1066" s="209"/>
      <c r="B1066" s="4" t="s">
        <v>3170</v>
      </c>
      <c r="C1066" s="4">
        <v>1061</v>
      </c>
      <c r="D1066" s="210" t="s">
        <v>2062</v>
      </c>
      <c r="E1066" s="210" t="s">
        <v>2043</v>
      </c>
      <c r="F1066" s="210" t="s">
        <v>2044</v>
      </c>
      <c r="G1066" s="210" t="s">
        <v>40</v>
      </c>
      <c r="H1066" s="210" t="s">
        <v>41</v>
      </c>
      <c r="I1066" s="210" t="s">
        <v>40</v>
      </c>
      <c r="J1066" s="4">
        <v>40261</v>
      </c>
      <c r="K1066" s="210" t="s">
        <v>2056</v>
      </c>
      <c r="L1066" s="210">
        <v>67</v>
      </c>
      <c r="M1066" s="4">
        <f t="shared" si="20"/>
        <v>4</v>
      </c>
      <c r="N1066" s="4" t="str">
        <f>_xlfn.CONCAT("DBX",((L1066-1)*2),".4")</f>
        <v>DBX132.4</v>
      </c>
      <c r="O1066" s="210" t="s">
        <v>782</v>
      </c>
      <c r="P1066" s="210" t="s">
        <v>2055</v>
      </c>
      <c r="Q1066" s="210" t="s">
        <v>12</v>
      </c>
      <c r="R1066" s="210"/>
      <c r="S1066" s="210">
        <v>3923</v>
      </c>
      <c r="T1066" s="4" t="s">
        <v>2550</v>
      </c>
      <c r="U1066" s="210" t="s">
        <v>2304</v>
      </c>
      <c r="V1066" s="210" t="s">
        <v>3143</v>
      </c>
      <c r="W1066" s="210" t="s">
        <v>129</v>
      </c>
      <c r="X1066" s="4">
        <f t="shared" si="21"/>
        <v>13</v>
      </c>
      <c r="Y1066" s="210"/>
      <c r="Z1066" s="210"/>
      <c r="AA1066" s="210"/>
      <c r="AB1066" s="210"/>
      <c r="AC1066" s="210">
        <v>1</v>
      </c>
      <c r="AD1066" s="210"/>
      <c r="AE1066" s="210"/>
    </row>
    <row r="1067" spans="1:31" x14ac:dyDescent="0.2">
      <c r="A1067" s="209"/>
      <c r="B1067" s="4" t="s">
        <v>3170</v>
      </c>
      <c r="C1067" s="4">
        <v>1062</v>
      </c>
      <c r="D1067" s="210" t="s">
        <v>2063</v>
      </c>
      <c r="E1067" s="210" t="s">
        <v>2045</v>
      </c>
      <c r="F1067" s="210" t="s">
        <v>2046</v>
      </c>
      <c r="G1067" s="210" t="s">
        <v>40</v>
      </c>
      <c r="H1067" s="210" t="s">
        <v>41</v>
      </c>
      <c r="I1067" s="210" t="s">
        <v>40</v>
      </c>
      <c r="J1067" s="4">
        <v>40262</v>
      </c>
      <c r="K1067" s="210" t="s">
        <v>2057</v>
      </c>
      <c r="L1067" s="210">
        <v>67</v>
      </c>
      <c r="M1067" s="4">
        <f t="shared" si="20"/>
        <v>5</v>
      </c>
      <c r="N1067" s="4" t="str">
        <f>_xlfn.CONCAT("DBX",((L1067-1)*2),".5")</f>
        <v>DBX132.5</v>
      </c>
      <c r="O1067" s="210" t="s">
        <v>782</v>
      </c>
      <c r="P1067" s="210" t="s">
        <v>2058</v>
      </c>
      <c r="Q1067" s="210" t="s">
        <v>91</v>
      </c>
      <c r="R1067" s="210"/>
      <c r="S1067" s="210">
        <v>3923</v>
      </c>
      <c r="T1067" s="4" t="s">
        <v>2550</v>
      </c>
      <c r="U1067" s="210"/>
      <c r="V1067" s="210" t="s">
        <v>3143</v>
      </c>
      <c r="W1067" s="210" t="s">
        <v>127</v>
      </c>
      <c r="X1067" s="4">
        <f t="shared" si="21"/>
        <v>11</v>
      </c>
      <c r="Y1067" s="210"/>
      <c r="Z1067" s="210"/>
      <c r="AA1067" s="210"/>
      <c r="AB1067" s="210"/>
      <c r="AC1067" s="210">
        <v>1</v>
      </c>
      <c r="AD1067" s="210"/>
      <c r="AE1067" s="210"/>
    </row>
    <row r="1068" spans="1:31" x14ac:dyDescent="0.2">
      <c r="A1068" s="209"/>
      <c r="B1068" s="4" t="s">
        <v>3170</v>
      </c>
      <c r="C1068" s="4">
        <v>1063</v>
      </c>
      <c r="D1068" s="210" t="s">
        <v>2075</v>
      </c>
      <c r="E1068" s="210" t="s">
        <v>2047</v>
      </c>
      <c r="F1068" s="210" t="s">
        <v>2048</v>
      </c>
      <c r="G1068" s="210" t="s">
        <v>40</v>
      </c>
      <c r="H1068" s="210" t="s">
        <v>41</v>
      </c>
      <c r="I1068" s="210" t="s">
        <v>40</v>
      </c>
      <c r="J1068" s="4">
        <v>40263</v>
      </c>
      <c r="K1068" s="210" t="s">
        <v>2053</v>
      </c>
      <c r="L1068" s="210">
        <v>67</v>
      </c>
      <c r="M1068" s="4">
        <f t="shared" si="20"/>
        <v>6</v>
      </c>
      <c r="N1068" s="4" t="str">
        <f>_xlfn.CONCAT("DBX",((L1068-1)*2),".6")</f>
        <v>DBX132.6</v>
      </c>
      <c r="O1068" s="210" t="s">
        <v>782</v>
      </c>
      <c r="P1068" s="210" t="s">
        <v>2054</v>
      </c>
      <c r="Q1068" s="210" t="s">
        <v>91</v>
      </c>
      <c r="R1068" s="210"/>
      <c r="S1068" s="210">
        <v>3923</v>
      </c>
      <c r="T1068" s="4" t="s">
        <v>2550</v>
      </c>
      <c r="U1068" s="210" t="s">
        <v>2053</v>
      </c>
      <c r="V1068" s="210" t="s">
        <v>3143</v>
      </c>
      <c r="W1068" s="210" t="s">
        <v>122</v>
      </c>
      <c r="X1068" s="4">
        <f t="shared" si="21"/>
        <v>6</v>
      </c>
      <c r="Y1068" s="210"/>
      <c r="Z1068" s="210"/>
      <c r="AA1068" s="210"/>
      <c r="AB1068" s="210"/>
      <c r="AC1068" s="210">
        <v>1</v>
      </c>
      <c r="AD1068" s="210"/>
      <c r="AE1068" s="210"/>
    </row>
    <row r="1069" spans="1:31" x14ac:dyDescent="0.2">
      <c r="A1069" s="209"/>
      <c r="B1069" s="4" t="s">
        <v>3170</v>
      </c>
      <c r="C1069" s="4">
        <v>1064</v>
      </c>
      <c r="D1069" s="210" t="s">
        <v>2072</v>
      </c>
      <c r="E1069" s="210" t="s">
        <v>2049</v>
      </c>
      <c r="F1069" s="210" t="s">
        <v>2050</v>
      </c>
      <c r="G1069" s="210" t="s">
        <v>329</v>
      </c>
      <c r="H1069" s="210" t="s">
        <v>41</v>
      </c>
      <c r="I1069" s="210" t="s">
        <v>85</v>
      </c>
      <c r="J1069" s="4">
        <v>40264</v>
      </c>
      <c r="K1069" s="210" t="s">
        <v>826</v>
      </c>
      <c r="L1069" s="210">
        <v>67</v>
      </c>
      <c r="M1069" s="4">
        <f t="shared" si="20"/>
        <v>7</v>
      </c>
      <c r="N1069" s="4" t="str">
        <f>_xlfn.CONCAT("DBX",((L1069-1)*2),".7")</f>
        <v>DBX132.7</v>
      </c>
      <c r="O1069" s="210" t="s">
        <v>782</v>
      </c>
      <c r="P1069" s="210" t="s">
        <v>11</v>
      </c>
      <c r="Q1069" s="210" t="s">
        <v>12</v>
      </c>
      <c r="R1069" s="210"/>
      <c r="S1069" s="210">
        <v>3923</v>
      </c>
      <c r="T1069" s="4" t="s">
        <v>2550</v>
      </c>
      <c r="U1069" s="210" t="s">
        <v>2305</v>
      </c>
      <c r="V1069" s="210" t="s">
        <v>3143</v>
      </c>
      <c r="W1069" s="210" t="s">
        <v>129</v>
      </c>
      <c r="X1069" s="4">
        <f t="shared" si="21"/>
        <v>13</v>
      </c>
      <c r="Y1069" s="210"/>
      <c r="Z1069" s="210"/>
      <c r="AA1069" s="210"/>
      <c r="AB1069" s="210"/>
      <c r="AC1069" s="210">
        <v>1</v>
      </c>
      <c r="AD1069" s="210"/>
      <c r="AE1069" s="210"/>
    </row>
    <row r="1070" spans="1:31" x14ac:dyDescent="0.2">
      <c r="A1070" s="209"/>
      <c r="B1070" s="4" t="s">
        <v>104</v>
      </c>
      <c r="C1070" s="4">
        <v>1065</v>
      </c>
      <c r="D1070" s="210" t="s">
        <v>2064</v>
      </c>
      <c r="E1070" s="210" t="s">
        <v>2051</v>
      </c>
      <c r="F1070" s="210" t="s">
        <v>2052</v>
      </c>
      <c r="G1070" s="210" t="s">
        <v>40</v>
      </c>
      <c r="H1070" s="210" t="s">
        <v>41</v>
      </c>
      <c r="I1070" s="210" t="s">
        <v>40</v>
      </c>
      <c r="J1070" s="4">
        <v>40265</v>
      </c>
      <c r="K1070" s="210" t="s">
        <v>2059</v>
      </c>
      <c r="L1070" s="210">
        <v>67</v>
      </c>
      <c r="M1070" s="4">
        <f t="shared" si="20"/>
        <v>8</v>
      </c>
      <c r="N1070" s="4" t="str">
        <f>_xlfn.CONCAT("DBX",((L1070-1)*2)+1,".0")</f>
        <v>DBX133.0</v>
      </c>
      <c r="O1070" s="210" t="s">
        <v>782</v>
      </c>
      <c r="P1070" s="210" t="s">
        <v>2060</v>
      </c>
      <c r="Q1070" s="210" t="s">
        <v>91</v>
      </c>
      <c r="R1070" s="210"/>
      <c r="S1070" s="210">
        <v>3923</v>
      </c>
      <c r="T1070" s="4" t="s">
        <v>2550</v>
      </c>
      <c r="U1070" s="210"/>
      <c r="V1070" s="210"/>
      <c r="W1070" s="210" t="s">
        <v>127</v>
      </c>
      <c r="X1070" s="4">
        <f t="shared" si="21"/>
        <v>11</v>
      </c>
      <c r="Y1070" s="210"/>
      <c r="Z1070" s="210"/>
      <c r="AA1070" s="210"/>
      <c r="AB1070" s="210"/>
      <c r="AC1070" s="210">
        <v>1</v>
      </c>
      <c r="AD1070" s="210"/>
      <c r="AE1070" s="210"/>
    </row>
    <row r="1071" spans="1:31" x14ac:dyDescent="0.2">
      <c r="A1071" s="209"/>
      <c r="B1071" s="4" t="s">
        <v>34</v>
      </c>
      <c r="C1071" s="4">
        <v>1066</v>
      </c>
      <c r="D1071" s="210"/>
      <c r="E1071" s="210"/>
      <c r="F1071" s="210"/>
      <c r="G1071" s="210"/>
      <c r="H1071" s="210"/>
      <c r="I1071" s="210"/>
      <c r="J1071" s="4">
        <v>40266</v>
      </c>
      <c r="K1071" s="210"/>
      <c r="L1071" s="210">
        <v>67</v>
      </c>
      <c r="M1071" s="4">
        <f t="shared" si="20"/>
        <v>9</v>
      </c>
      <c r="N1071" s="4" t="str">
        <f>_xlfn.CONCAT("DBX",((L1071-1)*2)+1,".1")</f>
        <v>DBX133.1</v>
      </c>
      <c r="O1071" s="210" t="s">
        <v>782</v>
      </c>
      <c r="P1071" s="210"/>
      <c r="Q1071" s="210"/>
      <c r="R1071" s="210"/>
      <c r="S1071" s="210"/>
      <c r="T1071" s="210"/>
      <c r="U1071" s="210"/>
      <c r="V1071" s="210"/>
      <c r="W1071" s="210"/>
      <c r="X1071" s="4" t="e">
        <f t="shared" si="21"/>
        <v>#N/A</v>
      </c>
      <c r="Y1071" s="210"/>
      <c r="Z1071" s="210"/>
      <c r="AA1071" s="210"/>
      <c r="AB1071" s="210"/>
      <c r="AC1071" s="210"/>
      <c r="AD1071" s="210"/>
      <c r="AE1071" s="210"/>
    </row>
    <row r="1072" spans="1:31" x14ac:dyDescent="0.2">
      <c r="A1072" s="209"/>
      <c r="B1072" s="4" t="s">
        <v>3170</v>
      </c>
      <c r="C1072" s="4">
        <v>1067</v>
      </c>
      <c r="D1072" s="210" t="s">
        <v>2074</v>
      </c>
      <c r="E1072" s="210" t="s">
        <v>2065</v>
      </c>
      <c r="F1072" s="210" t="s">
        <v>2066</v>
      </c>
      <c r="G1072" s="210" t="s">
        <v>40</v>
      </c>
      <c r="H1072" s="210" t="s">
        <v>41</v>
      </c>
      <c r="I1072" s="210" t="s">
        <v>40</v>
      </c>
      <c r="J1072" s="4">
        <v>40267</v>
      </c>
      <c r="K1072" s="210" t="s">
        <v>2070</v>
      </c>
      <c r="L1072" s="210">
        <v>67</v>
      </c>
      <c r="M1072" s="4">
        <f t="shared" si="20"/>
        <v>10</v>
      </c>
      <c r="N1072" s="4" t="str">
        <f>_xlfn.CONCAT("DBX",((L1072-1)*2)+1,".2")</f>
        <v>DBX133.2</v>
      </c>
      <c r="O1072" s="210" t="s">
        <v>782</v>
      </c>
      <c r="P1072" s="210" t="s">
        <v>2071</v>
      </c>
      <c r="Q1072" s="210" t="s">
        <v>91</v>
      </c>
      <c r="R1072" s="210"/>
      <c r="S1072" s="210">
        <v>3923</v>
      </c>
      <c r="T1072" s="4" t="s">
        <v>2550</v>
      </c>
      <c r="U1072" s="210" t="s">
        <v>2070</v>
      </c>
      <c r="V1072" s="210" t="s">
        <v>3142</v>
      </c>
      <c r="W1072" s="210" t="s">
        <v>122</v>
      </c>
      <c r="X1072" s="4">
        <f t="shared" si="21"/>
        <v>6</v>
      </c>
      <c r="Y1072" s="210"/>
      <c r="Z1072" s="210"/>
      <c r="AA1072" s="210"/>
      <c r="AB1072" s="210"/>
      <c r="AC1072" s="210">
        <v>1</v>
      </c>
      <c r="AD1072" s="210"/>
      <c r="AE1072" s="210"/>
    </row>
    <row r="1073" spans="1:31" x14ac:dyDescent="0.2">
      <c r="A1073" s="209"/>
      <c r="B1073" s="4" t="s">
        <v>3170</v>
      </c>
      <c r="C1073" s="4">
        <v>1068</v>
      </c>
      <c r="D1073" s="210" t="s">
        <v>2076</v>
      </c>
      <c r="E1073" s="210" t="s">
        <v>2067</v>
      </c>
      <c r="F1073" s="210" t="s">
        <v>2525</v>
      </c>
      <c r="G1073" s="210" t="s">
        <v>329</v>
      </c>
      <c r="H1073" s="210" t="s">
        <v>41</v>
      </c>
      <c r="I1073" s="210" t="s">
        <v>85</v>
      </c>
      <c r="J1073" s="4">
        <v>40268</v>
      </c>
      <c r="K1073" s="210" t="s">
        <v>2070</v>
      </c>
      <c r="L1073" s="210">
        <v>67</v>
      </c>
      <c r="M1073" s="4">
        <f t="shared" si="20"/>
        <v>11</v>
      </c>
      <c r="N1073" s="4" t="str">
        <f>_xlfn.CONCAT("DBX",((L1073-1)*2)+1,".3")</f>
        <v>DBX133.3</v>
      </c>
      <c r="O1073" s="210" t="s">
        <v>782</v>
      </c>
      <c r="P1073" s="210" t="s">
        <v>2071</v>
      </c>
      <c r="Q1073" s="210" t="s">
        <v>12</v>
      </c>
      <c r="R1073" s="210"/>
      <c r="S1073" s="210">
        <v>3923</v>
      </c>
      <c r="T1073" s="4" t="s">
        <v>2550</v>
      </c>
      <c r="U1073" s="210" t="s">
        <v>2070</v>
      </c>
      <c r="V1073" s="210" t="s">
        <v>3142</v>
      </c>
      <c r="W1073" s="210" t="s">
        <v>122</v>
      </c>
      <c r="X1073" s="4">
        <f t="shared" si="21"/>
        <v>6</v>
      </c>
      <c r="Y1073" s="210"/>
      <c r="Z1073" s="210"/>
      <c r="AA1073" s="210"/>
      <c r="AB1073" s="210"/>
      <c r="AC1073" s="210">
        <v>1</v>
      </c>
      <c r="AD1073" s="210"/>
      <c r="AE1073" s="210"/>
    </row>
    <row r="1074" spans="1:31" x14ac:dyDescent="0.2">
      <c r="A1074" s="209"/>
      <c r="B1074" s="4" t="s">
        <v>3170</v>
      </c>
      <c r="C1074" s="4">
        <v>1069</v>
      </c>
      <c r="D1074" s="210" t="s">
        <v>2073</v>
      </c>
      <c r="E1074" s="210" t="s">
        <v>2068</v>
      </c>
      <c r="F1074" s="210" t="s">
        <v>2069</v>
      </c>
      <c r="G1074" s="210" t="s">
        <v>329</v>
      </c>
      <c r="H1074" s="210" t="s">
        <v>41</v>
      </c>
      <c r="I1074" s="210" t="s">
        <v>85</v>
      </c>
      <c r="J1074" s="4">
        <v>40269</v>
      </c>
      <c r="K1074" s="210" t="s">
        <v>827</v>
      </c>
      <c r="L1074" s="210">
        <v>67</v>
      </c>
      <c r="M1074" s="4">
        <f t="shared" si="20"/>
        <v>12</v>
      </c>
      <c r="N1074" s="4" t="str">
        <f>_xlfn.CONCAT("DBX",((L1074-1)*2)+1,".4")</f>
        <v>DBX133.4</v>
      </c>
      <c r="O1074" s="210" t="s">
        <v>782</v>
      </c>
      <c r="P1074" s="210" t="s">
        <v>11</v>
      </c>
      <c r="Q1074" s="210" t="s">
        <v>12</v>
      </c>
      <c r="R1074" s="210"/>
      <c r="S1074" s="210">
        <v>3923</v>
      </c>
      <c r="T1074" s="4" t="s">
        <v>2550</v>
      </c>
      <c r="U1074" s="210" t="s">
        <v>2305</v>
      </c>
      <c r="V1074" s="210" t="s">
        <v>3169</v>
      </c>
      <c r="W1074" s="210" t="s">
        <v>129</v>
      </c>
      <c r="X1074" s="4">
        <f t="shared" si="21"/>
        <v>13</v>
      </c>
      <c r="Y1074" s="210"/>
      <c r="Z1074" s="210"/>
      <c r="AA1074" s="210"/>
      <c r="AB1074" s="210"/>
      <c r="AC1074" s="210">
        <v>1</v>
      </c>
      <c r="AD1074" s="210"/>
      <c r="AE1074" s="210"/>
    </row>
    <row r="1075" spans="1:31" x14ac:dyDescent="0.2">
      <c r="A1075" s="209"/>
      <c r="B1075" s="4" t="s">
        <v>34</v>
      </c>
      <c r="C1075" s="4">
        <v>1070</v>
      </c>
      <c r="D1075" s="210"/>
      <c r="E1075" s="210"/>
      <c r="F1075" s="210"/>
      <c r="G1075" s="210"/>
      <c r="H1075" s="210"/>
      <c r="I1075" s="210"/>
      <c r="J1075" s="4">
        <v>40270</v>
      </c>
      <c r="K1075" s="210"/>
      <c r="L1075" s="210">
        <v>67</v>
      </c>
      <c r="M1075" s="4">
        <f t="shared" si="20"/>
        <v>13</v>
      </c>
      <c r="N1075" s="4" t="str">
        <f>_xlfn.CONCAT("DBX",((L1075-1)*2)+1,".5")</f>
        <v>DBX133.5</v>
      </c>
      <c r="O1075" s="210" t="s">
        <v>782</v>
      </c>
      <c r="P1075" s="210"/>
      <c r="Q1075" s="210"/>
      <c r="R1075" s="210"/>
      <c r="S1075" s="210"/>
      <c r="T1075" s="210"/>
      <c r="U1075" s="210"/>
      <c r="V1075" s="210"/>
      <c r="W1075" s="210"/>
      <c r="X1075" s="4" t="e">
        <f t="shared" si="21"/>
        <v>#N/A</v>
      </c>
      <c r="Y1075" s="210"/>
      <c r="Z1075" s="210"/>
      <c r="AA1075" s="210"/>
      <c r="AB1075" s="210"/>
      <c r="AC1075" s="210"/>
      <c r="AD1075" s="210"/>
      <c r="AE1075" s="210"/>
    </row>
    <row r="1076" spans="1:31" x14ac:dyDescent="0.2">
      <c r="A1076" s="209"/>
      <c r="B1076" s="4" t="s">
        <v>3170</v>
      </c>
      <c r="C1076" s="4">
        <v>1071</v>
      </c>
      <c r="D1076" s="210" t="s">
        <v>2082</v>
      </c>
      <c r="E1076" s="210" t="s">
        <v>2077</v>
      </c>
      <c r="F1076" s="210" t="s">
        <v>2078</v>
      </c>
      <c r="G1076" s="210" t="s">
        <v>1697</v>
      </c>
      <c r="H1076" s="210" t="s">
        <v>41</v>
      </c>
      <c r="I1076" s="210" t="s">
        <v>84</v>
      </c>
      <c r="J1076" s="4">
        <v>40271</v>
      </c>
      <c r="K1076" s="210" t="s">
        <v>870</v>
      </c>
      <c r="L1076" s="210">
        <v>67</v>
      </c>
      <c r="M1076" s="4">
        <f t="shared" si="20"/>
        <v>14</v>
      </c>
      <c r="N1076" s="4" t="str">
        <f>_xlfn.CONCAT("DBX",((L1076-1)*2)+1,".6")</f>
        <v>DBX133.6</v>
      </c>
      <c r="O1076" s="210" t="s">
        <v>782</v>
      </c>
      <c r="P1076" s="210" t="s">
        <v>11</v>
      </c>
      <c r="Q1076" s="210" t="s">
        <v>12</v>
      </c>
      <c r="R1076" s="210"/>
      <c r="S1076" s="210">
        <v>3923</v>
      </c>
      <c r="T1076" s="4" t="s">
        <v>2550</v>
      </c>
      <c r="U1076" s="210" t="s">
        <v>870</v>
      </c>
      <c r="V1076" s="210" t="s">
        <v>3141</v>
      </c>
      <c r="W1076" s="210" t="s">
        <v>129</v>
      </c>
      <c r="X1076" s="4">
        <f t="shared" si="21"/>
        <v>13</v>
      </c>
      <c r="Y1076" s="210"/>
      <c r="Z1076" s="210"/>
      <c r="AA1076" s="210"/>
      <c r="AB1076" s="210"/>
      <c r="AC1076" s="210">
        <v>1</v>
      </c>
      <c r="AD1076" s="210"/>
      <c r="AE1076" s="210"/>
    </row>
    <row r="1077" spans="1:31" x14ac:dyDescent="0.2">
      <c r="A1077" s="209"/>
      <c r="B1077" s="4" t="s">
        <v>3170</v>
      </c>
      <c r="C1077" s="4">
        <v>1072</v>
      </c>
      <c r="D1077" s="210" t="s">
        <v>2083</v>
      </c>
      <c r="E1077" s="210" t="s">
        <v>2079</v>
      </c>
      <c r="F1077" s="210" t="s">
        <v>2080</v>
      </c>
      <c r="G1077" s="210" t="s">
        <v>1697</v>
      </c>
      <c r="H1077" s="210" t="s">
        <v>41</v>
      </c>
      <c r="I1077" s="210" t="s">
        <v>84</v>
      </c>
      <c r="J1077" s="4">
        <v>40272</v>
      </c>
      <c r="K1077" s="210" t="s">
        <v>870</v>
      </c>
      <c r="L1077" s="210">
        <v>67</v>
      </c>
      <c r="M1077" s="4">
        <f t="shared" si="20"/>
        <v>15</v>
      </c>
      <c r="N1077" s="4" t="str">
        <f>_xlfn.CONCAT("DBX",((L1077-1)*2)+1,".7")</f>
        <v>DBX133.7</v>
      </c>
      <c r="O1077" s="210" t="s">
        <v>782</v>
      </c>
      <c r="P1077" s="210" t="s">
        <v>11</v>
      </c>
      <c r="Q1077" s="210" t="s">
        <v>12</v>
      </c>
      <c r="R1077" s="210"/>
      <c r="S1077" s="210">
        <v>3923</v>
      </c>
      <c r="T1077" s="4" t="s">
        <v>2550</v>
      </c>
      <c r="U1077" s="210" t="s">
        <v>870</v>
      </c>
      <c r="V1077" s="210" t="s">
        <v>3141</v>
      </c>
      <c r="W1077" s="210" t="s">
        <v>127</v>
      </c>
      <c r="X1077" s="4">
        <f t="shared" si="21"/>
        <v>11</v>
      </c>
      <c r="Y1077" s="210"/>
      <c r="Z1077" s="210"/>
      <c r="AA1077" s="210"/>
      <c r="AB1077" s="210"/>
      <c r="AC1077" s="210">
        <v>1</v>
      </c>
      <c r="AD1077" s="210"/>
      <c r="AE1077" s="210"/>
    </row>
    <row r="1078" spans="1:31" x14ac:dyDescent="0.2">
      <c r="A1078" s="209"/>
      <c r="B1078" s="4" t="s">
        <v>3170</v>
      </c>
      <c r="C1078" s="4">
        <v>1073</v>
      </c>
      <c r="D1078" s="210" t="s">
        <v>2084</v>
      </c>
      <c r="E1078" s="210" t="s">
        <v>2081</v>
      </c>
      <c r="F1078" s="210" t="s">
        <v>2530</v>
      </c>
      <c r="G1078" s="210" t="s">
        <v>1697</v>
      </c>
      <c r="H1078" s="210" t="s">
        <v>41</v>
      </c>
      <c r="I1078" s="210" t="s">
        <v>84</v>
      </c>
      <c r="J1078" s="4">
        <v>40273</v>
      </c>
      <c r="K1078" s="210" t="s">
        <v>870</v>
      </c>
      <c r="L1078" s="210">
        <v>68</v>
      </c>
      <c r="M1078" s="4">
        <f t="shared" ref="M1078:M1141" si="22">M1062</f>
        <v>0</v>
      </c>
      <c r="N1078" s="4" t="str">
        <f>_xlfn.CONCAT("DBX",((L1078-1)*2),".0")</f>
        <v>DBX134.0</v>
      </c>
      <c r="O1078" s="210" t="s">
        <v>782</v>
      </c>
      <c r="P1078" s="210" t="s">
        <v>11</v>
      </c>
      <c r="Q1078" s="210" t="s">
        <v>12</v>
      </c>
      <c r="R1078" s="210"/>
      <c r="S1078" s="210">
        <v>3923</v>
      </c>
      <c r="T1078" s="4" t="s">
        <v>2550</v>
      </c>
      <c r="U1078" s="210" t="s">
        <v>870</v>
      </c>
      <c r="V1078" s="210" t="s">
        <v>3141</v>
      </c>
      <c r="W1078" s="210" t="s">
        <v>129</v>
      </c>
      <c r="X1078" s="4">
        <f t="shared" si="21"/>
        <v>13</v>
      </c>
      <c r="Y1078" s="210"/>
      <c r="Z1078" s="210"/>
      <c r="AA1078" s="210"/>
      <c r="AB1078" s="210"/>
      <c r="AC1078" s="210">
        <v>1</v>
      </c>
      <c r="AD1078" s="210"/>
      <c r="AE1078" s="210"/>
    </row>
    <row r="1079" spans="1:31" x14ac:dyDescent="0.2">
      <c r="A1079" s="209"/>
      <c r="B1079" s="4" t="s">
        <v>34</v>
      </c>
      <c r="C1079" s="4">
        <v>1074</v>
      </c>
      <c r="D1079" s="210"/>
      <c r="E1079" s="210"/>
      <c r="F1079" s="210"/>
      <c r="G1079" s="210"/>
      <c r="H1079" s="210"/>
      <c r="I1079" s="210"/>
      <c r="J1079" s="4">
        <v>40274</v>
      </c>
      <c r="K1079" s="210"/>
      <c r="L1079" s="210">
        <v>68</v>
      </c>
      <c r="M1079" s="4">
        <f t="shared" si="22"/>
        <v>1</v>
      </c>
      <c r="N1079" s="4" t="str">
        <f>_xlfn.CONCAT("DBX",((L1079-1)*2),".1")</f>
        <v>DBX134.1</v>
      </c>
      <c r="O1079" s="210" t="s">
        <v>782</v>
      </c>
      <c r="P1079" s="210"/>
      <c r="Q1079" s="210"/>
      <c r="R1079" s="210"/>
      <c r="S1079" s="210"/>
      <c r="T1079" s="210"/>
      <c r="U1079" s="210"/>
      <c r="V1079" s="210"/>
      <c r="W1079" s="210"/>
      <c r="X1079" s="4" t="e">
        <f t="shared" si="21"/>
        <v>#N/A</v>
      </c>
      <c r="Y1079" s="210"/>
      <c r="Z1079" s="210"/>
      <c r="AA1079" s="210"/>
      <c r="AB1079" s="210"/>
      <c r="AC1079" s="210"/>
      <c r="AD1079" s="210"/>
      <c r="AE1079" s="210"/>
    </row>
    <row r="1080" spans="1:31" x14ac:dyDescent="0.2">
      <c r="A1080" s="209"/>
      <c r="B1080" s="4" t="s">
        <v>3170</v>
      </c>
      <c r="C1080" s="4">
        <v>1075</v>
      </c>
      <c r="D1080" s="210" t="s">
        <v>2094</v>
      </c>
      <c r="E1080" s="210" t="s">
        <v>2085</v>
      </c>
      <c r="F1080" s="210" t="s">
        <v>2086</v>
      </c>
      <c r="G1080" s="210" t="s">
        <v>40</v>
      </c>
      <c r="H1080" s="210" t="s">
        <v>41</v>
      </c>
      <c r="I1080" s="210" t="s">
        <v>40</v>
      </c>
      <c r="J1080" s="4">
        <v>40275</v>
      </c>
      <c r="K1080" s="210" t="s">
        <v>2090</v>
      </c>
      <c r="L1080" s="210">
        <v>68</v>
      </c>
      <c r="M1080" s="4">
        <f t="shared" si="22"/>
        <v>2</v>
      </c>
      <c r="N1080" s="4" t="str">
        <f>_xlfn.CONCAT("DBX",((L1080-1)*2),".2")</f>
        <v>DBX134.2</v>
      </c>
      <c r="O1080" s="210" t="s">
        <v>782</v>
      </c>
      <c r="P1080" s="210" t="s">
        <v>2091</v>
      </c>
      <c r="Q1080" s="210" t="s">
        <v>91</v>
      </c>
      <c r="R1080" s="210"/>
      <c r="S1080" s="210">
        <v>3923</v>
      </c>
      <c r="T1080" s="4" t="s">
        <v>2550</v>
      </c>
      <c r="U1080" s="210" t="s">
        <v>2090</v>
      </c>
      <c r="V1080" s="210" t="s">
        <v>3140</v>
      </c>
      <c r="W1080" s="210" t="s">
        <v>122</v>
      </c>
      <c r="X1080" s="4">
        <f t="shared" si="21"/>
        <v>6</v>
      </c>
      <c r="Y1080" s="210"/>
      <c r="Z1080" s="210"/>
      <c r="AA1080" s="210"/>
      <c r="AB1080" s="210"/>
      <c r="AC1080" s="210">
        <v>1</v>
      </c>
      <c r="AD1080" s="210"/>
      <c r="AE1080" s="210"/>
    </row>
    <row r="1081" spans="1:31" x14ac:dyDescent="0.2">
      <c r="A1081" s="209"/>
      <c r="B1081" s="4" t="s">
        <v>3170</v>
      </c>
      <c r="C1081" s="4">
        <v>1076</v>
      </c>
      <c r="D1081" s="210" t="s">
        <v>2093</v>
      </c>
      <c r="E1081" s="210" t="s">
        <v>2087</v>
      </c>
      <c r="F1081" s="210" t="s">
        <v>2531</v>
      </c>
      <c r="G1081" s="210" t="s">
        <v>329</v>
      </c>
      <c r="H1081" s="210" t="s">
        <v>41</v>
      </c>
      <c r="I1081" s="210" t="s">
        <v>85</v>
      </c>
      <c r="J1081" s="4">
        <v>40276</v>
      </c>
      <c r="K1081" s="210" t="s">
        <v>2090</v>
      </c>
      <c r="L1081" s="210">
        <v>68</v>
      </c>
      <c r="M1081" s="4">
        <f t="shared" si="22"/>
        <v>3</v>
      </c>
      <c r="N1081" s="4" t="str">
        <f>_xlfn.CONCAT("DBX",((L1081-1)*2),".3")</f>
        <v>DBX134.3</v>
      </c>
      <c r="O1081" s="210" t="s">
        <v>782</v>
      </c>
      <c r="P1081" s="210" t="s">
        <v>2091</v>
      </c>
      <c r="Q1081" s="210" t="s">
        <v>12</v>
      </c>
      <c r="R1081" s="210"/>
      <c r="S1081" s="210">
        <v>3923</v>
      </c>
      <c r="T1081" s="4" t="s">
        <v>2550</v>
      </c>
      <c r="U1081" s="210" t="s">
        <v>2090</v>
      </c>
      <c r="V1081" s="210" t="s">
        <v>3140</v>
      </c>
      <c r="W1081" s="210" t="s">
        <v>122</v>
      </c>
      <c r="X1081" s="4">
        <f t="shared" si="21"/>
        <v>6</v>
      </c>
      <c r="Y1081" s="210"/>
      <c r="Z1081" s="210"/>
      <c r="AA1081" s="210"/>
      <c r="AB1081" s="210"/>
      <c r="AC1081" s="210">
        <v>1</v>
      </c>
      <c r="AD1081" s="210"/>
      <c r="AE1081" s="210"/>
    </row>
    <row r="1082" spans="1:31" x14ac:dyDescent="0.2">
      <c r="A1082" s="209"/>
      <c r="B1082" s="4" t="s">
        <v>104</v>
      </c>
      <c r="C1082" s="4">
        <v>1077</v>
      </c>
      <c r="D1082" s="210" t="s">
        <v>2092</v>
      </c>
      <c r="E1082" s="210" t="s">
        <v>2088</v>
      </c>
      <c r="F1082" s="210" t="s">
        <v>2089</v>
      </c>
      <c r="G1082" s="210" t="s">
        <v>329</v>
      </c>
      <c r="H1082" s="210" t="s">
        <v>41</v>
      </c>
      <c r="I1082" s="210" t="s">
        <v>85</v>
      </c>
      <c r="J1082" s="4">
        <v>40277</v>
      </c>
      <c r="K1082" s="210" t="s">
        <v>828</v>
      </c>
      <c r="L1082" s="210">
        <v>68</v>
      </c>
      <c r="M1082" s="4">
        <f t="shared" si="22"/>
        <v>4</v>
      </c>
      <c r="N1082" s="4" t="str">
        <f>_xlfn.CONCAT("DBX",((L1082-1)*2),".4")</f>
        <v>DBX134.4</v>
      </c>
      <c r="O1082" s="210" t="s">
        <v>782</v>
      </c>
      <c r="P1082" s="210" t="s">
        <v>11</v>
      </c>
      <c r="Q1082" s="210" t="s">
        <v>12</v>
      </c>
      <c r="R1082" s="210"/>
      <c r="S1082" s="210">
        <v>3923</v>
      </c>
      <c r="T1082" s="4" t="s">
        <v>2550</v>
      </c>
      <c r="U1082" s="210" t="s">
        <v>2306</v>
      </c>
      <c r="V1082" s="210"/>
      <c r="W1082" s="210" t="s">
        <v>129</v>
      </c>
      <c r="X1082" s="4">
        <f t="shared" si="21"/>
        <v>13</v>
      </c>
      <c r="Y1082" s="210"/>
      <c r="Z1082" s="210"/>
      <c r="AA1082" s="210"/>
      <c r="AB1082" s="210"/>
      <c r="AC1082" s="210">
        <v>1</v>
      </c>
      <c r="AD1082" s="210"/>
      <c r="AE1082" s="210"/>
    </row>
    <row r="1083" spans="1:31" x14ac:dyDescent="0.2">
      <c r="A1083" s="209"/>
      <c r="B1083" s="4" t="s">
        <v>34</v>
      </c>
      <c r="C1083" s="4">
        <v>1078</v>
      </c>
      <c r="D1083" s="210"/>
      <c r="E1083" s="210"/>
      <c r="F1083" s="210"/>
      <c r="G1083" s="210"/>
      <c r="H1083" s="210"/>
      <c r="I1083" s="210"/>
      <c r="J1083" s="4">
        <v>40278</v>
      </c>
      <c r="K1083" s="210"/>
      <c r="L1083" s="210">
        <v>68</v>
      </c>
      <c r="M1083" s="4">
        <f t="shared" si="22"/>
        <v>5</v>
      </c>
      <c r="N1083" s="4" t="str">
        <f>_xlfn.CONCAT("DBX",((L1083-1)*2),".5")</f>
        <v>DBX134.5</v>
      </c>
      <c r="O1083" s="210" t="s">
        <v>782</v>
      </c>
      <c r="P1083" s="210"/>
      <c r="Q1083" s="210"/>
      <c r="R1083" s="210"/>
      <c r="S1083" s="210"/>
      <c r="T1083" s="210"/>
      <c r="U1083" s="210"/>
      <c r="V1083" s="210"/>
      <c r="W1083" s="210"/>
      <c r="X1083" s="4" t="e">
        <f t="shared" si="21"/>
        <v>#N/A</v>
      </c>
      <c r="Y1083" s="210"/>
      <c r="Z1083" s="210"/>
      <c r="AA1083" s="210"/>
      <c r="AB1083" s="210"/>
      <c r="AC1083" s="210"/>
      <c r="AD1083" s="210"/>
      <c r="AE1083" s="210"/>
    </row>
    <row r="1084" spans="1:31" x14ac:dyDescent="0.2">
      <c r="A1084" s="209"/>
      <c r="B1084" s="4" t="s">
        <v>3170</v>
      </c>
      <c r="C1084" s="4">
        <v>1079</v>
      </c>
      <c r="D1084" s="210" t="s">
        <v>2111</v>
      </c>
      <c r="E1084" s="210" t="s">
        <v>2095</v>
      </c>
      <c r="F1084" s="210" t="s">
        <v>2096</v>
      </c>
      <c r="G1084" s="210" t="s">
        <v>329</v>
      </c>
      <c r="H1084" s="210" t="s">
        <v>1179</v>
      </c>
      <c r="I1084" s="210" t="s">
        <v>1791</v>
      </c>
      <c r="J1084" s="4">
        <v>40279</v>
      </c>
      <c r="K1084" s="210" t="s">
        <v>2103</v>
      </c>
      <c r="L1084" s="210">
        <v>68</v>
      </c>
      <c r="M1084" s="4">
        <f t="shared" si="22"/>
        <v>6</v>
      </c>
      <c r="N1084" s="4" t="str">
        <f>_xlfn.CONCAT("DBX",((L1084-1)*2),".6")</f>
        <v>DBX134.6</v>
      </c>
      <c r="O1084" s="210" t="s">
        <v>782</v>
      </c>
      <c r="P1084" s="210" t="s">
        <v>2104</v>
      </c>
      <c r="Q1084" s="210" t="s">
        <v>90</v>
      </c>
      <c r="R1084" s="210"/>
      <c r="S1084" s="210">
        <v>3923</v>
      </c>
      <c r="T1084" s="4" t="s">
        <v>2550</v>
      </c>
      <c r="U1084" s="210"/>
      <c r="V1084" s="210" t="s">
        <v>3141</v>
      </c>
      <c r="W1084" s="210" t="s">
        <v>121</v>
      </c>
      <c r="X1084" s="4">
        <f t="shared" si="21"/>
        <v>5</v>
      </c>
      <c r="Y1084" s="210"/>
      <c r="Z1084" s="210"/>
      <c r="AA1084" s="210"/>
      <c r="AB1084" s="210"/>
      <c r="AC1084" s="210">
        <v>0</v>
      </c>
      <c r="AD1084" s="210"/>
      <c r="AE1084" s="210"/>
    </row>
    <row r="1085" spans="1:31" x14ac:dyDescent="0.2">
      <c r="A1085" s="209"/>
      <c r="B1085" s="4" t="s">
        <v>3170</v>
      </c>
      <c r="C1085" s="4">
        <v>1080</v>
      </c>
      <c r="D1085" s="210" t="s">
        <v>2112</v>
      </c>
      <c r="E1085" s="210" t="s">
        <v>2097</v>
      </c>
      <c r="F1085" s="210" t="s">
        <v>2098</v>
      </c>
      <c r="G1085" s="210" t="s">
        <v>329</v>
      </c>
      <c r="H1085" s="210" t="s">
        <v>1179</v>
      </c>
      <c r="I1085" s="210" t="s">
        <v>85</v>
      </c>
      <c r="J1085" s="4">
        <v>40280</v>
      </c>
      <c r="K1085" s="210" t="s">
        <v>2105</v>
      </c>
      <c r="L1085" s="210">
        <v>68</v>
      </c>
      <c r="M1085" s="4">
        <f t="shared" si="22"/>
        <v>7</v>
      </c>
      <c r="N1085" s="4" t="str">
        <f>_xlfn.CONCAT("DBX",((L1085-1)*2),".7")</f>
        <v>DBX134.7</v>
      </c>
      <c r="O1085" s="210" t="s">
        <v>782</v>
      </c>
      <c r="P1085" s="210" t="s">
        <v>2106</v>
      </c>
      <c r="Q1085" s="210" t="s">
        <v>92</v>
      </c>
      <c r="R1085" s="210"/>
      <c r="S1085" s="210">
        <v>3923</v>
      </c>
      <c r="T1085" s="4" t="s">
        <v>2550</v>
      </c>
      <c r="U1085" s="210"/>
      <c r="V1085" s="210" t="s">
        <v>3141</v>
      </c>
      <c r="W1085" s="210" t="s">
        <v>121</v>
      </c>
      <c r="X1085" s="4">
        <f t="shared" si="21"/>
        <v>5</v>
      </c>
      <c r="Y1085" s="210"/>
      <c r="Z1085" s="210"/>
      <c r="AA1085" s="210"/>
      <c r="AB1085" s="210"/>
      <c r="AC1085" s="210">
        <v>1</v>
      </c>
      <c r="AD1085" s="210"/>
      <c r="AE1085" s="210"/>
    </row>
    <row r="1086" spans="1:31" x14ac:dyDescent="0.2">
      <c r="A1086" s="209"/>
      <c r="B1086" s="4" t="s">
        <v>3170</v>
      </c>
      <c r="C1086" s="4">
        <v>1081</v>
      </c>
      <c r="D1086" s="210" t="s">
        <v>2113</v>
      </c>
      <c r="E1086" s="210" t="s">
        <v>2099</v>
      </c>
      <c r="F1086" s="210" t="s">
        <v>2100</v>
      </c>
      <c r="G1086" s="210" t="s">
        <v>329</v>
      </c>
      <c r="H1086" s="210" t="s">
        <v>1179</v>
      </c>
      <c r="I1086" s="210" t="s">
        <v>84</v>
      </c>
      <c r="J1086" s="4">
        <v>40281</v>
      </c>
      <c r="K1086" s="210" t="s">
        <v>2107</v>
      </c>
      <c r="L1086" s="210">
        <v>68</v>
      </c>
      <c r="M1086" s="4">
        <f t="shared" si="22"/>
        <v>8</v>
      </c>
      <c r="N1086" s="4" t="str">
        <f>_xlfn.CONCAT("DBX",((L1086-1)*2)+1,".0")</f>
        <v>DBX135.0</v>
      </c>
      <c r="O1086" s="210" t="s">
        <v>782</v>
      </c>
      <c r="P1086" s="210" t="s">
        <v>2108</v>
      </c>
      <c r="Q1086" s="210" t="s">
        <v>92</v>
      </c>
      <c r="R1086" s="210"/>
      <c r="S1086" s="210">
        <v>3923</v>
      </c>
      <c r="T1086" s="4" t="s">
        <v>2550</v>
      </c>
      <c r="U1086" s="210"/>
      <c r="V1086" s="210" t="s">
        <v>3141</v>
      </c>
      <c r="W1086" s="210" t="s">
        <v>127</v>
      </c>
      <c r="X1086" s="4">
        <f t="shared" si="21"/>
        <v>11</v>
      </c>
      <c r="Y1086" s="210"/>
      <c r="Z1086" s="210"/>
      <c r="AA1086" s="210"/>
      <c r="AB1086" s="210"/>
      <c r="AC1086" s="210">
        <v>1</v>
      </c>
      <c r="AD1086" s="210"/>
      <c r="AE1086" s="210"/>
    </row>
    <row r="1087" spans="1:31" x14ac:dyDescent="0.2">
      <c r="A1087" s="209"/>
      <c r="B1087" s="4" t="s">
        <v>3170</v>
      </c>
      <c r="C1087" s="4">
        <v>1082</v>
      </c>
      <c r="D1087" s="210" t="s">
        <v>2114</v>
      </c>
      <c r="E1087" s="210" t="s">
        <v>2101</v>
      </c>
      <c r="F1087" s="210" t="s">
        <v>2102</v>
      </c>
      <c r="G1087" s="210" t="s">
        <v>329</v>
      </c>
      <c r="H1087" s="210" t="s">
        <v>1179</v>
      </c>
      <c r="I1087" s="210" t="s">
        <v>84</v>
      </c>
      <c r="J1087" s="4">
        <v>40282</v>
      </c>
      <c r="K1087" s="210" t="s">
        <v>2109</v>
      </c>
      <c r="L1087" s="210">
        <v>68</v>
      </c>
      <c r="M1087" s="4">
        <f t="shared" si="22"/>
        <v>9</v>
      </c>
      <c r="N1087" s="4" t="str">
        <f>_xlfn.CONCAT("DBX",((L1087-1)*2)+1,".1")</f>
        <v>DBX135.1</v>
      </c>
      <c r="O1087" s="210" t="s">
        <v>782</v>
      </c>
      <c r="P1087" s="210" t="s">
        <v>2110</v>
      </c>
      <c r="Q1087" s="210" t="s">
        <v>92</v>
      </c>
      <c r="R1087" s="210"/>
      <c r="S1087" s="210">
        <v>3923</v>
      </c>
      <c r="T1087" s="4" t="s">
        <v>2550</v>
      </c>
      <c r="U1087" s="210"/>
      <c r="V1087" s="210" t="s">
        <v>3141</v>
      </c>
      <c r="W1087" s="210" t="s">
        <v>127</v>
      </c>
      <c r="X1087" s="4">
        <f t="shared" si="21"/>
        <v>11</v>
      </c>
      <c r="Y1087" s="210"/>
      <c r="Z1087" s="210"/>
      <c r="AA1087" s="210"/>
      <c r="AB1087" s="210"/>
      <c r="AC1087" s="210">
        <v>1</v>
      </c>
      <c r="AD1087" s="210"/>
      <c r="AE1087" s="210"/>
    </row>
    <row r="1088" spans="1:31" x14ac:dyDescent="0.2">
      <c r="A1088" s="209"/>
      <c r="B1088" s="4" t="s">
        <v>34</v>
      </c>
      <c r="C1088" s="4">
        <v>1083</v>
      </c>
      <c r="D1088" s="210"/>
      <c r="E1088" s="210"/>
      <c r="F1088" s="210"/>
      <c r="G1088" s="210"/>
      <c r="H1088" s="210"/>
      <c r="I1088" s="210"/>
      <c r="J1088" s="4">
        <v>40283</v>
      </c>
      <c r="K1088" s="210"/>
      <c r="L1088" s="210">
        <v>68</v>
      </c>
      <c r="M1088" s="4">
        <f t="shared" si="22"/>
        <v>10</v>
      </c>
      <c r="N1088" s="4" t="str">
        <f>_xlfn.CONCAT("DBX",((L1088-1)*2)+1,".2")</f>
        <v>DBX135.2</v>
      </c>
      <c r="O1088" s="210" t="s">
        <v>782</v>
      </c>
      <c r="P1088" s="210"/>
      <c r="Q1088" s="210"/>
      <c r="R1088" s="210"/>
      <c r="S1088" s="210"/>
      <c r="T1088" s="210"/>
      <c r="U1088" s="210"/>
      <c r="V1088" s="210"/>
      <c r="W1088" s="210"/>
      <c r="X1088" s="4" t="e">
        <f t="shared" si="21"/>
        <v>#N/A</v>
      </c>
      <c r="Y1088" s="210"/>
      <c r="Z1088" s="210"/>
      <c r="AA1088" s="210"/>
      <c r="AB1088" s="210"/>
      <c r="AC1088" s="210"/>
      <c r="AD1088" s="210"/>
      <c r="AE1088" s="210"/>
    </row>
    <row r="1089" spans="1:31" x14ac:dyDescent="0.2">
      <c r="A1089" s="209"/>
      <c r="B1089" s="4" t="s">
        <v>3170</v>
      </c>
      <c r="C1089" s="4">
        <v>1084</v>
      </c>
      <c r="D1089" s="210" t="s">
        <v>2124</v>
      </c>
      <c r="E1089" s="210" t="s">
        <v>2115</v>
      </c>
      <c r="F1089" s="210" t="s">
        <v>2116</v>
      </c>
      <c r="G1089" s="210" t="s">
        <v>1697</v>
      </c>
      <c r="H1089" s="210" t="s">
        <v>41</v>
      </c>
      <c r="I1089" s="210" t="s">
        <v>84</v>
      </c>
      <c r="J1089" s="4">
        <v>40284</v>
      </c>
      <c r="K1089" s="210" t="s">
        <v>2123</v>
      </c>
      <c r="L1089" s="210">
        <v>68</v>
      </c>
      <c r="M1089" s="4">
        <f t="shared" si="22"/>
        <v>11</v>
      </c>
      <c r="N1089" s="4" t="str">
        <f>_xlfn.CONCAT("DBX",((L1089-1)*2)+1,".3")</f>
        <v>DBX135.3</v>
      </c>
      <c r="O1089" s="210" t="s">
        <v>782</v>
      </c>
      <c r="P1089" s="210" t="s">
        <v>2122</v>
      </c>
      <c r="Q1089" s="210" t="s">
        <v>12</v>
      </c>
      <c r="R1089" s="210"/>
      <c r="S1089" s="210">
        <v>3923</v>
      </c>
      <c r="T1089" s="4" t="s">
        <v>2550</v>
      </c>
      <c r="U1089" s="210" t="s">
        <v>2123</v>
      </c>
      <c r="V1089" s="210" t="s">
        <v>3149</v>
      </c>
      <c r="W1089" s="210" t="s">
        <v>129</v>
      </c>
      <c r="X1089" s="4">
        <f t="shared" si="21"/>
        <v>13</v>
      </c>
      <c r="Y1089" s="210"/>
      <c r="Z1089" s="210"/>
      <c r="AA1089" s="210"/>
      <c r="AB1089" s="210"/>
      <c r="AC1089" s="210">
        <v>1</v>
      </c>
      <c r="AD1089" s="210"/>
      <c r="AE1089" s="210"/>
    </row>
    <row r="1090" spans="1:31" x14ac:dyDescent="0.2">
      <c r="A1090" s="209"/>
      <c r="B1090" s="4" t="s">
        <v>3170</v>
      </c>
      <c r="C1090" s="4">
        <v>1085</v>
      </c>
      <c r="D1090" s="210" t="s">
        <v>2125</v>
      </c>
      <c r="E1090" s="210" t="s">
        <v>2117</v>
      </c>
      <c r="F1090" s="210" t="s">
        <v>2118</v>
      </c>
      <c r="G1090" s="210" t="s">
        <v>1697</v>
      </c>
      <c r="H1090" s="210" t="s">
        <v>41</v>
      </c>
      <c r="I1090" s="210" t="s">
        <v>84</v>
      </c>
      <c r="J1090" s="4">
        <v>40285</v>
      </c>
      <c r="K1090" s="210" t="s">
        <v>2681</v>
      </c>
      <c r="L1090" s="210">
        <v>68</v>
      </c>
      <c r="M1090" s="4">
        <f t="shared" si="22"/>
        <v>12</v>
      </c>
      <c r="N1090" s="4" t="str">
        <f>_xlfn.CONCAT("DBX",((L1090-1)*2)+1,".4")</f>
        <v>DBX135.4</v>
      </c>
      <c r="O1090" s="210" t="s">
        <v>782</v>
      </c>
      <c r="P1090" s="210" t="s">
        <v>11</v>
      </c>
      <c r="Q1090" s="210" t="s">
        <v>12</v>
      </c>
      <c r="R1090" s="210"/>
      <c r="S1090" s="210">
        <v>3923</v>
      </c>
      <c r="T1090" s="4" t="s">
        <v>2550</v>
      </c>
      <c r="U1090" s="210" t="s">
        <v>2123</v>
      </c>
      <c r="V1090" s="210" t="s">
        <v>3149</v>
      </c>
      <c r="W1090" s="210" t="s">
        <v>127</v>
      </c>
      <c r="X1090" s="4">
        <f t="shared" si="21"/>
        <v>11</v>
      </c>
      <c r="Y1090" s="210"/>
      <c r="Z1090" s="210"/>
      <c r="AA1090" s="210"/>
      <c r="AB1090" s="210"/>
      <c r="AC1090" s="210">
        <v>1</v>
      </c>
      <c r="AD1090" s="210"/>
      <c r="AE1090" s="210"/>
    </row>
    <row r="1091" spans="1:31" x14ac:dyDescent="0.2">
      <c r="A1091" s="209"/>
      <c r="B1091" s="4" t="s">
        <v>3170</v>
      </c>
      <c r="C1091" s="4">
        <v>1086</v>
      </c>
      <c r="D1091" s="210" t="s">
        <v>2126</v>
      </c>
      <c r="E1091" s="210" t="s">
        <v>2119</v>
      </c>
      <c r="F1091" s="210" t="s">
        <v>2526</v>
      </c>
      <c r="G1091" s="210" t="s">
        <v>1697</v>
      </c>
      <c r="H1091" s="210" t="s">
        <v>41</v>
      </c>
      <c r="I1091" s="210" t="s">
        <v>84</v>
      </c>
      <c r="J1091" s="4">
        <v>40286</v>
      </c>
      <c r="K1091" s="210" t="s">
        <v>2681</v>
      </c>
      <c r="L1091" s="210">
        <v>68</v>
      </c>
      <c r="M1091" s="4">
        <f t="shared" si="22"/>
        <v>13</v>
      </c>
      <c r="N1091" s="4" t="str">
        <f>_xlfn.CONCAT("DBX",((L1091-1)*2)+1,".5")</f>
        <v>DBX135.5</v>
      </c>
      <c r="O1091" s="210" t="s">
        <v>782</v>
      </c>
      <c r="P1091" s="210" t="s">
        <v>11</v>
      </c>
      <c r="Q1091" s="210" t="s">
        <v>12</v>
      </c>
      <c r="R1091" s="210"/>
      <c r="S1091" s="210">
        <v>3923</v>
      </c>
      <c r="T1091" s="4" t="s">
        <v>2550</v>
      </c>
      <c r="U1091" s="210" t="s">
        <v>2123</v>
      </c>
      <c r="V1091" s="210" t="s">
        <v>3149</v>
      </c>
      <c r="W1091" s="210" t="s">
        <v>129</v>
      </c>
      <c r="X1091" s="4">
        <f t="shared" si="21"/>
        <v>13</v>
      </c>
      <c r="Y1091" s="210"/>
      <c r="Z1091" s="210"/>
      <c r="AA1091" s="210"/>
      <c r="AB1091" s="210"/>
      <c r="AC1091" s="210">
        <v>1</v>
      </c>
      <c r="AD1091" s="210"/>
      <c r="AE1091" s="210"/>
    </row>
    <row r="1092" spans="1:31" x14ac:dyDescent="0.2">
      <c r="A1092" s="209"/>
      <c r="B1092" s="4" t="s">
        <v>3170</v>
      </c>
      <c r="C1092" s="4">
        <v>1087</v>
      </c>
      <c r="D1092" s="210" t="s">
        <v>2127</v>
      </c>
      <c r="E1092" s="210" t="s">
        <v>2120</v>
      </c>
      <c r="F1092" s="210" t="s">
        <v>2121</v>
      </c>
      <c r="G1092" s="210" t="s">
        <v>1697</v>
      </c>
      <c r="H1092" s="210" t="s">
        <v>41</v>
      </c>
      <c r="I1092" s="210" t="s">
        <v>84</v>
      </c>
      <c r="J1092" s="4">
        <v>40287</v>
      </c>
      <c r="K1092" s="210" t="s">
        <v>2681</v>
      </c>
      <c r="L1092" s="210">
        <v>68</v>
      </c>
      <c r="M1092" s="4">
        <f t="shared" si="22"/>
        <v>14</v>
      </c>
      <c r="N1092" s="4" t="str">
        <f>_xlfn.CONCAT("DBX",((L1092-1)*2)+1,".6")</f>
        <v>DBX135.6</v>
      </c>
      <c r="O1092" s="210" t="s">
        <v>782</v>
      </c>
      <c r="P1092" s="210" t="s">
        <v>11</v>
      </c>
      <c r="Q1092" s="210" t="s">
        <v>12</v>
      </c>
      <c r="R1092" s="210"/>
      <c r="S1092" s="210">
        <v>3923</v>
      </c>
      <c r="T1092" s="4" t="s">
        <v>2550</v>
      </c>
      <c r="U1092" s="210" t="s">
        <v>2123</v>
      </c>
      <c r="V1092" s="210" t="s">
        <v>3149</v>
      </c>
      <c r="W1092" s="210" t="s">
        <v>127</v>
      </c>
      <c r="X1092" s="4">
        <f t="shared" si="21"/>
        <v>11</v>
      </c>
      <c r="Y1092" s="210"/>
      <c r="Z1092" s="210"/>
      <c r="AA1092" s="210"/>
      <c r="AB1092" s="210"/>
      <c r="AC1092" s="210">
        <v>1</v>
      </c>
      <c r="AD1092" s="210"/>
      <c r="AE1092" s="210"/>
    </row>
    <row r="1093" spans="1:31" x14ac:dyDescent="0.2">
      <c r="A1093" s="209"/>
      <c r="B1093" s="4" t="s">
        <v>34</v>
      </c>
      <c r="C1093" s="4">
        <v>1088</v>
      </c>
      <c r="D1093" s="210"/>
      <c r="E1093" s="210"/>
      <c r="F1093" s="210"/>
      <c r="G1093" s="210"/>
      <c r="H1093" s="210"/>
      <c r="I1093" s="210"/>
      <c r="J1093" s="4">
        <v>40288</v>
      </c>
      <c r="K1093" s="210"/>
      <c r="L1093" s="210">
        <v>68</v>
      </c>
      <c r="M1093" s="4">
        <f t="shared" si="22"/>
        <v>15</v>
      </c>
      <c r="N1093" s="4" t="str">
        <f>_xlfn.CONCAT("DBX",((L1093-1)*2)+1,".7")</f>
        <v>DBX135.7</v>
      </c>
      <c r="O1093" s="210" t="s">
        <v>782</v>
      </c>
      <c r="P1093" s="210"/>
      <c r="Q1093" s="210"/>
      <c r="R1093" s="210"/>
      <c r="S1093" s="210"/>
      <c r="T1093" s="210"/>
      <c r="U1093" s="210"/>
      <c r="V1093" s="210"/>
      <c r="W1093" s="210"/>
      <c r="X1093" s="4" t="e">
        <f t="shared" si="21"/>
        <v>#N/A</v>
      </c>
      <c r="Y1093" s="210"/>
      <c r="Z1093" s="210"/>
      <c r="AA1093" s="210"/>
      <c r="AB1093" s="210"/>
      <c r="AC1093" s="210"/>
      <c r="AD1093" s="210"/>
      <c r="AE1093" s="210"/>
    </row>
    <row r="1094" spans="1:31" x14ac:dyDescent="0.2">
      <c r="A1094" s="209"/>
      <c r="B1094" s="4" t="s">
        <v>3170</v>
      </c>
      <c r="C1094" s="4">
        <v>1089</v>
      </c>
      <c r="D1094" s="210" t="s">
        <v>2138</v>
      </c>
      <c r="E1094" s="210" t="s">
        <v>2128</v>
      </c>
      <c r="F1094" s="210" t="s">
        <v>2129</v>
      </c>
      <c r="G1094" s="210" t="s">
        <v>329</v>
      </c>
      <c r="H1094" s="210" t="s">
        <v>1179</v>
      </c>
      <c r="I1094" s="210" t="s">
        <v>85</v>
      </c>
      <c r="J1094" s="4">
        <v>40289</v>
      </c>
      <c r="K1094" s="210" t="s">
        <v>2134</v>
      </c>
      <c r="L1094" s="210">
        <v>69</v>
      </c>
      <c r="M1094" s="4">
        <v>0</v>
      </c>
      <c r="N1094" s="4" t="str">
        <f>_xlfn.CONCAT("DBX",((L1094-1)*2),".0")</f>
        <v>DBX136.0</v>
      </c>
      <c r="O1094" s="210" t="s">
        <v>782</v>
      </c>
      <c r="P1094" s="210" t="s">
        <v>2135</v>
      </c>
      <c r="Q1094" s="210" t="s">
        <v>12</v>
      </c>
      <c r="R1094" s="210"/>
      <c r="S1094" s="210">
        <v>3923</v>
      </c>
      <c r="T1094" s="4" t="s">
        <v>2550</v>
      </c>
      <c r="U1094" s="210"/>
      <c r="V1094" s="210" t="s">
        <v>3148</v>
      </c>
      <c r="W1094" s="210" t="s">
        <v>128</v>
      </c>
      <c r="X1094" s="4">
        <f t="shared" si="21"/>
        <v>12</v>
      </c>
      <c r="Y1094" s="210"/>
      <c r="Z1094" s="210"/>
      <c r="AA1094" s="210"/>
      <c r="AB1094" s="210"/>
      <c r="AC1094" s="210">
        <v>1</v>
      </c>
      <c r="AD1094" s="210"/>
      <c r="AE1094" s="210"/>
    </row>
    <row r="1095" spans="1:31" x14ac:dyDescent="0.2">
      <c r="A1095" s="209"/>
      <c r="B1095" s="4" t="s">
        <v>3170</v>
      </c>
      <c r="C1095" s="4">
        <v>1090</v>
      </c>
      <c r="D1095" s="210" t="s">
        <v>2139</v>
      </c>
      <c r="E1095" s="210" t="s">
        <v>2130</v>
      </c>
      <c r="F1095" s="210" t="s">
        <v>2527</v>
      </c>
      <c r="G1095" s="210" t="s">
        <v>329</v>
      </c>
      <c r="H1095" s="210" t="s">
        <v>1179</v>
      </c>
      <c r="I1095" s="210" t="s">
        <v>85</v>
      </c>
      <c r="J1095" s="4">
        <v>40290</v>
      </c>
      <c r="K1095" s="210" t="s">
        <v>2134</v>
      </c>
      <c r="L1095" s="210">
        <v>69</v>
      </c>
      <c r="M1095" s="4">
        <v>1</v>
      </c>
      <c r="N1095" s="4" t="str">
        <f>_xlfn.CONCAT("DBX",((L1095-1)*2),".1")</f>
        <v>DBX136.1</v>
      </c>
      <c r="O1095" s="210" t="s">
        <v>782</v>
      </c>
      <c r="P1095" s="210" t="s">
        <v>2135</v>
      </c>
      <c r="Q1095" s="210" t="s">
        <v>12</v>
      </c>
      <c r="R1095" s="210"/>
      <c r="S1095" s="210">
        <v>3923</v>
      </c>
      <c r="T1095" s="4" t="s">
        <v>2550</v>
      </c>
      <c r="U1095" s="210"/>
      <c r="V1095" s="210" t="s">
        <v>3148</v>
      </c>
      <c r="W1095" s="210" t="s">
        <v>129</v>
      </c>
      <c r="X1095" s="4">
        <f t="shared" si="21"/>
        <v>13</v>
      </c>
      <c r="Y1095" s="210"/>
      <c r="Z1095" s="210"/>
      <c r="AA1095" s="210"/>
      <c r="AB1095" s="210"/>
      <c r="AC1095" s="210">
        <v>1</v>
      </c>
      <c r="AD1095" s="210"/>
      <c r="AE1095" s="210"/>
    </row>
    <row r="1096" spans="1:31" x14ac:dyDescent="0.2">
      <c r="A1096" s="209"/>
      <c r="B1096" s="4" t="s">
        <v>3170</v>
      </c>
      <c r="C1096" s="4">
        <v>1091</v>
      </c>
      <c r="D1096" s="210" t="s">
        <v>2140</v>
      </c>
      <c r="E1096" s="210" t="s">
        <v>2131</v>
      </c>
      <c r="F1096" s="210" t="s">
        <v>2132</v>
      </c>
      <c r="G1096" s="210" t="s">
        <v>329</v>
      </c>
      <c r="H1096" s="210" t="s">
        <v>1179</v>
      </c>
      <c r="I1096" s="210" t="s">
        <v>85</v>
      </c>
      <c r="J1096" s="4">
        <v>40291</v>
      </c>
      <c r="K1096" s="210" t="s">
        <v>2136</v>
      </c>
      <c r="L1096" s="210">
        <v>69</v>
      </c>
      <c r="M1096" s="4">
        <v>2</v>
      </c>
      <c r="N1096" s="4" t="str">
        <f>_xlfn.CONCAT("DBX",((L1096-1)*2),".2")</f>
        <v>DBX136.2</v>
      </c>
      <c r="O1096" s="210" t="s">
        <v>782</v>
      </c>
      <c r="P1096" s="210" t="s">
        <v>2137</v>
      </c>
      <c r="Q1096" s="210" t="s">
        <v>12</v>
      </c>
      <c r="R1096" s="210"/>
      <c r="S1096" s="210">
        <v>3923</v>
      </c>
      <c r="T1096" s="4" t="s">
        <v>2550</v>
      </c>
      <c r="U1096" s="210"/>
      <c r="V1096" s="210" t="s">
        <v>3150</v>
      </c>
      <c r="W1096" s="210" t="s">
        <v>128</v>
      </c>
      <c r="X1096" s="4">
        <f t="shared" si="21"/>
        <v>12</v>
      </c>
      <c r="Y1096" s="210"/>
      <c r="Z1096" s="210"/>
      <c r="AA1096" s="210"/>
      <c r="AB1096" s="210"/>
      <c r="AC1096" s="210">
        <v>1</v>
      </c>
      <c r="AD1096" s="210"/>
      <c r="AE1096" s="210"/>
    </row>
    <row r="1097" spans="1:31" x14ac:dyDescent="0.2">
      <c r="A1097" s="209"/>
      <c r="B1097" s="4" t="s">
        <v>3170</v>
      </c>
      <c r="C1097" s="4">
        <v>1092</v>
      </c>
      <c r="D1097" s="210" t="s">
        <v>2141</v>
      </c>
      <c r="E1097" s="210" t="s">
        <v>2133</v>
      </c>
      <c r="F1097" s="210" t="s">
        <v>2528</v>
      </c>
      <c r="G1097" s="210" t="s">
        <v>329</v>
      </c>
      <c r="H1097" s="210" t="s">
        <v>1179</v>
      </c>
      <c r="I1097" s="210" t="s">
        <v>85</v>
      </c>
      <c r="J1097" s="4">
        <v>40292</v>
      </c>
      <c r="K1097" s="210" t="s">
        <v>2136</v>
      </c>
      <c r="L1097" s="210">
        <v>69</v>
      </c>
      <c r="M1097" s="4">
        <v>3</v>
      </c>
      <c r="N1097" s="4" t="str">
        <f>_xlfn.CONCAT("DBX",((L1097-1)*2),".3")</f>
        <v>DBX136.3</v>
      </c>
      <c r="O1097" s="210" t="s">
        <v>782</v>
      </c>
      <c r="P1097" s="210" t="s">
        <v>2137</v>
      </c>
      <c r="Q1097" s="210" t="s">
        <v>12</v>
      </c>
      <c r="R1097" s="210"/>
      <c r="S1097" s="210">
        <v>3923</v>
      </c>
      <c r="T1097" s="4" t="s">
        <v>2550</v>
      </c>
      <c r="U1097" s="210"/>
      <c r="V1097" s="210" t="s">
        <v>3150</v>
      </c>
      <c r="W1097" s="210" t="s">
        <v>129</v>
      </c>
      <c r="X1097" s="4">
        <f t="shared" si="21"/>
        <v>13</v>
      </c>
      <c r="Y1097" s="210"/>
      <c r="Z1097" s="210"/>
      <c r="AA1097" s="210"/>
      <c r="AB1097" s="210"/>
      <c r="AC1097" s="210">
        <v>1</v>
      </c>
      <c r="AD1097" s="210"/>
      <c r="AE1097" s="210"/>
    </row>
    <row r="1098" spans="1:31" x14ac:dyDescent="0.2">
      <c r="A1098" s="209"/>
      <c r="B1098" s="4" t="s">
        <v>34</v>
      </c>
      <c r="C1098" s="4">
        <v>1093</v>
      </c>
      <c r="D1098" s="210"/>
      <c r="E1098" s="210"/>
      <c r="F1098" s="210"/>
      <c r="G1098" s="210"/>
      <c r="H1098" s="210"/>
      <c r="I1098" s="210"/>
      <c r="J1098" s="4">
        <v>40293</v>
      </c>
      <c r="K1098" s="210"/>
      <c r="L1098" s="210">
        <v>69</v>
      </c>
      <c r="M1098" s="4">
        <v>4</v>
      </c>
      <c r="N1098" s="4" t="str">
        <f>_xlfn.CONCAT("DBX",((L1098-1)*2),".4")</f>
        <v>DBX136.4</v>
      </c>
      <c r="O1098" s="210" t="s">
        <v>782</v>
      </c>
      <c r="P1098" s="210"/>
      <c r="Q1098" s="210"/>
      <c r="R1098" s="210"/>
      <c r="S1098" s="210"/>
      <c r="T1098" s="210"/>
      <c r="U1098" s="210"/>
      <c r="V1098" s="210"/>
      <c r="W1098" s="210"/>
      <c r="X1098" s="4" t="e">
        <f t="shared" si="21"/>
        <v>#N/A</v>
      </c>
      <c r="Y1098" s="210"/>
      <c r="Z1098" s="210"/>
      <c r="AA1098" s="210"/>
      <c r="AB1098" s="210"/>
      <c r="AC1098" s="210"/>
      <c r="AD1098" s="210"/>
      <c r="AE1098" s="210"/>
    </row>
    <row r="1099" spans="1:31" x14ac:dyDescent="0.2">
      <c r="A1099" s="209"/>
      <c r="B1099" s="4" t="s">
        <v>2857</v>
      </c>
      <c r="C1099" s="4">
        <v>1094</v>
      </c>
      <c r="D1099" s="210" t="s">
        <v>2147</v>
      </c>
      <c r="E1099" s="210" t="s">
        <v>2144</v>
      </c>
      <c r="F1099" s="210" t="s">
        <v>2145</v>
      </c>
      <c r="G1099" s="210" t="s">
        <v>329</v>
      </c>
      <c r="H1099" s="210" t="s">
        <v>41</v>
      </c>
      <c r="I1099" s="210" t="s">
        <v>84</v>
      </c>
      <c r="J1099" s="4">
        <v>40294</v>
      </c>
      <c r="K1099" s="210" t="s">
        <v>2150</v>
      </c>
      <c r="L1099" s="210">
        <v>69</v>
      </c>
      <c r="M1099" s="4">
        <v>5</v>
      </c>
      <c r="N1099" s="4" t="str">
        <f>_xlfn.CONCAT("DBX",((L1099-1)*2),".5")</f>
        <v>DBX136.5</v>
      </c>
      <c r="O1099" s="210" t="s">
        <v>782</v>
      </c>
      <c r="P1099" s="210" t="s">
        <v>2151</v>
      </c>
      <c r="Q1099" s="210" t="s">
        <v>12</v>
      </c>
      <c r="R1099" s="210"/>
      <c r="S1099" s="210">
        <v>3923</v>
      </c>
      <c r="T1099" s="4" t="s">
        <v>2550</v>
      </c>
      <c r="U1099" s="210" t="s">
        <v>2150</v>
      </c>
      <c r="V1099" s="210" t="s">
        <v>3149</v>
      </c>
      <c r="W1099" s="210" t="s">
        <v>120</v>
      </c>
      <c r="X1099" s="4">
        <f t="shared" si="21"/>
        <v>4</v>
      </c>
      <c r="Y1099" s="210"/>
      <c r="Z1099" s="210"/>
      <c r="AA1099" s="210"/>
      <c r="AB1099" s="210"/>
      <c r="AC1099" s="210">
        <v>1</v>
      </c>
      <c r="AD1099" s="210"/>
      <c r="AE1099" s="210"/>
    </row>
    <row r="1100" spans="1:31" x14ac:dyDescent="0.2">
      <c r="A1100" s="209"/>
      <c r="B1100" s="4" t="s">
        <v>2857</v>
      </c>
      <c r="C1100" s="4">
        <v>1095</v>
      </c>
      <c r="D1100" s="210" t="s">
        <v>2148</v>
      </c>
      <c r="E1100" s="210" t="s">
        <v>2142</v>
      </c>
      <c r="F1100" s="210" t="s">
        <v>2143</v>
      </c>
      <c r="G1100" s="210" t="s">
        <v>329</v>
      </c>
      <c r="H1100" s="210" t="s">
        <v>41</v>
      </c>
      <c r="I1100" s="210" t="s">
        <v>84</v>
      </c>
      <c r="J1100" s="4">
        <v>40295</v>
      </c>
      <c r="K1100" s="210" t="s">
        <v>2150</v>
      </c>
      <c r="L1100" s="210">
        <v>69</v>
      </c>
      <c r="M1100" s="4">
        <v>6</v>
      </c>
      <c r="N1100" s="4" t="str">
        <f>_xlfn.CONCAT("DBX",((L1100-1)*2),".6")</f>
        <v>DBX136.6</v>
      </c>
      <c r="O1100" s="210" t="s">
        <v>782</v>
      </c>
      <c r="P1100" s="210" t="s">
        <v>2151</v>
      </c>
      <c r="Q1100" s="210" t="s">
        <v>12</v>
      </c>
      <c r="R1100" s="210"/>
      <c r="S1100" s="210">
        <v>3923</v>
      </c>
      <c r="T1100" s="4" t="s">
        <v>2550</v>
      </c>
      <c r="U1100" s="210" t="s">
        <v>2150</v>
      </c>
      <c r="V1100" s="210" t="s">
        <v>3149</v>
      </c>
      <c r="W1100" s="210" t="s">
        <v>120</v>
      </c>
      <c r="X1100" s="4">
        <f t="shared" si="21"/>
        <v>4</v>
      </c>
      <c r="Y1100" s="210"/>
      <c r="Z1100" s="210"/>
      <c r="AA1100" s="210"/>
      <c r="AB1100" s="210"/>
      <c r="AC1100" s="210">
        <v>1</v>
      </c>
      <c r="AD1100" s="210"/>
      <c r="AE1100" s="210"/>
    </row>
    <row r="1101" spans="1:31" x14ac:dyDescent="0.2">
      <c r="A1101" s="209"/>
      <c r="B1101" s="4" t="s">
        <v>3170</v>
      </c>
      <c r="C1101" s="4">
        <v>1096</v>
      </c>
      <c r="D1101" s="210" t="s">
        <v>2149</v>
      </c>
      <c r="E1101" s="210" t="s">
        <v>2146</v>
      </c>
      <c r="F1101" s="210" t="s">
        <v>2529</v>
      </c>
      <c r="G1101" s="210" t="s">
        <v>329</v>
      </c>
      <c r="H1101" s="210" t="s">
        <v>41</v>
      </c>
      <c r="I1101" s="210" t="s">
        <v>84</v>
      </c>
      <c r="J1101" s="4">
        <v>40296</v>
      </c>
      <c r="K1101" s="210" t="s">
        <v>2150</v>
      </c>
      <c r="L1101" s="210">
        <v>69</v>
      </c>
      <c r="M1101" s="4">
        <v>7</v>
      </c>
      <c r="N1101" s="4" t="str">
        <f>_xlfn.CONCAT("DBX",((L1101-1)*2),".7")</f>
        <v>DBX136.7</v>
      </c>
      <c r="O1101" s="210" t="s">
        <v>782</v>
      </c>
      <c r="P1101" s="210" t="s">
        <v>2151</v>
      </c>
      <c r="Q1101" s="210" t="s">
        <v>12</v>
      </c>
      <c r="R1101" s="210"/>
      <c r="S1101" s="210">
        <v>3923</v>
      </c>
      <c r="T1101" s="4" t="s">
        <v>2550</v>
      </c>
      <c r="U1101" s="210" t="s">
        <v>2150</v>
      </c>
      <c r="V1101" s="210" t="s">
        <v>3149</v>
      </c>
      <c r="W1101" s="210" t="s">
        <v>120</v>
      </c>
      <c r="X1101" s="4">
        <f t="shared" si="21"/>
        <v>4</v>
      </c>
      <c r="Y1101" s="210"/>
      <c r="Z1101" s="210"/>
      <c r="AA1101" s="210"/>
      <c r="AB1101" s="210"/>
      <c r="AC1101" s="210">
        <v>1</v>
      </c>
      <c r="AD1101" s="210"/>
      <c r="AE1101" s="210"/>
    </row>
    <row r="1102" spans="1:31" x14ac:dyDescent="0.2">
      <c r="A1102" s="209"/>
      <c r="B1102" s="4" t="s">
        <v>34</v>
      </c>
      <c r="C1102" s="4">
        <v>1097</v>
      </c>
      <c r="D1102" s="210"/>
      <c r="E1102" s="210"/>
      <c r="F1102" s="210"/>
      <c r="G1102" s="210"/>
      <c r="H1102" s="210"/>
      <c r="I1102" s="210"/>
      <c r="J1102" s="4">
        <v>40297</v>
      </c>
      <c r="K1102" s="210"/>
      <c r="L1102" s="210">
        <v>69</v>
      </c>
      <c r="M1102" s="4">
        <v>8</v>
      </c>
      <c r="N1102" s="4" t="str">
        <f>_xlfn.CONCAT("DBX",((L1102-1)*2)+1,".0")</f>
        <v>DBX137.0</v>
      </c>
      <c r="O1102" s="210" t="s">
        <v>782</v>
      </c>
      <c r="P1102" s="210"/>
      <c r="Q1102" s="210"/>
      <c r="R1102" s="210"/>
      <c r="S1102" s="210"/>
      <c r="T1102" s="210"/>
      <c r="U1102" s="210"/>
      <c r="V1102" s="210"/>
      <c r="W1102" s="210"/>
      <c r="X1102" s="4" t="e">
        <f t="shared" si="21"/>
        <v>#N/A</v>
      </c>
      <c r="Y1102" s="210"/>
      <c r="Z1102" s="210"/>
      <c r="AA1102" s="210"/>
      <c r="AB1102" s="210"/>
      <c r="AC1102" s="210"/>
      <c r="AD1102" s="210"/>
      <c r="AE1102" s="210"/>
    </row>
    <row r="1103" spans="1:31" x14ac:dyDescent="0.2">
      <c r="A1103" s="209"/>
      <c r="B1103" s="4" t="s">
        <v>34</v>
      </c>
      <c r="C1103" s="4">
        <v>1098</v>
      </c>
      <c r="D1103" s="210"/>
      <c r="E1103" s="210"/>
      <c r="F1103" s="210"/>
      <c r="G1103" s="210"/>
      <c r="H1103" s="210"/>
      <c r="I1103" s="210"/>
      <c r="J1103" s="4">
        <v>40298</v>
      </c>
      <c r="K1103" s="210"/>
      <c r="L1103" s="210">
        <v>69</v>
      </c>
      <c r="M1103" s="4">
        <v>9</v>
      </c>
      <c r="N1103" s="4" t="str">
        <f>_xlfn.CONCAT("DBX",((L1103-1)*2)+1,".1")</f>
        <v>DBX137.1</v>
      </c>
      <c r="O1103" s="210" t="s">
        <v>782</v>
      </c>
      <c r="P1103" s="210"/>
      <c r="Q1103" s="210"/>
      <c r="R1103" s="210"/>
      <c r="S1103" s="210"/>
      <c r="T1103" s="210"/>
      <c r="U1103" s="210"/>
      <c r="V1103" s="210"/>
      <c r="W1103" s="210"/>
      <c r="X1103" s="4" t="e">
        <f t="shared" si="21"/>
        <v>#N/A</v>
      </c>
      <c r="Y1103" s="210"/>
      <c r="Z1103" s="210"/>
      <c r="AA1103" s="210"/>
      <c r="AB1103" s="210"/>
      <c r="AC1103" s="210"/>
      <c r="AD1103" s="210"/>
      <c r="AE1103" s="210"/>
    </row>
    <row r="1104" spans="1:31" x14ac:dyDescent="0.2">
      <c r="A1104" s="209"/>
      <c r="B1104" s="4" t="s">
        <v>3170</v>
      </c>
      <c r="C1104" s="4">
        <v>1099</v>
      </c>
      <c r="D1104" s="210" t="s">
        <v>2158</v>
      </c>
      <c r="E1104" s="210" t="s">
        <v>2159</v>
      </c>
      <c r="F1104" s="210" t="s">
        <v>2328</v>
      </c>
      <c r="G1104" s="210" t="s">
        <v>329</v>
      </c>
      <c r="H1104" s="210" t="s">
        <v>41</v>
      </c>
      <c r="I1104" s="210" t="s">
        <v>85</v>
      </c>
      <c r="J1104" s="4">
        <v>40299</v>
      </c>
      <c r="K1104" s="210" t="s">
        <v>2152</v>
      </c>
      <c r="L1104" s="210">
        <v>69</v>
      </c>
      <c r="M1104" s="4">
        <v>10</v>
      </c>
      <c r="N1104" s="4" t="str">
        <f>_xlfn.CONCAT("DBX",((L1104-1)*2)+1,".2")</f>
        <v>DBX137.2</v>
      </c>
      <c r="O1104" s="210" t="s">
        <v>782</v>
      </c>
      <c r="P1104" s="210" t="s">
        <v>2153</v>
      </c>
      <c r="Q1104" s="210" t="s">
        <v>92</v>
      </c>
      <c r="R1104" s="210"/>
      <c r="S1104" s="210">
        <v>3923</v>
      </c>
      <c r="T1104" s="4" t="s">
        <v>2550</v>
      </c>
      <c r="U1104" s="210"/>
      <c r="V1104" s="210" t="s">
        <v>3130</v>
      </c>
      <c r="W1104" s="210" t="s">
        <v>127</v>
      </c>
      <c r="X1104" s="4">
        <f t="shared" si="21"/>
        <v>11</v>
      </c>
      <c r="Y1104" s="210"/>
      <c r="Z1104" s="210"/>
      <c r="AA1104" s="210"/>
      <c r="AB1104" s="210"/>
      <c r="AC1104" s="210">
        <v>1</v>
      </c>
      <c r="AD1104" s="210"/>
      <c r="AE1104" s="210"/>
    </row>
    <row r="1105" spans="1:31" x14ac:dyDescent="0.2">
      <c r="A1105" s="209"/>
      <c r="B1105" s="4" t="s">
        <v>3170</v>
      </c>
      <c r="C1105" s="4">
        <v>1100</v>
      </c>
      <c r="D1105" s="210" t="s">
        <v>2155</v>
      </c>
      <c r="E1105" s="210" t="s">
        <v>2160</v>
      </c>
      <c r="F1105" s="210" t="s">
        <v>2395</v>
      </c>
      <c r="G1105" s="210" t="s">
        <v>40</v>
      </c>
      <c r="H1105" s="210" t="s">
        <v>41</v>
      </c>
      <c r="I1105" s="210" t="s">
        <v>40</v>
      </c>
      <c r="J1105" s="4">
        <v>40300</v>
      </c>
      <c r="K1105" s="210" t="s">
        <v>11</v>
      </c>
      <c r="L1105" s="210">
        <v>69</v>
      </c>
      <c r="M1105" s="4">
        <v>11</v>
      </c>
      <c r="N1105" s="4" t="str">
        <f>_xlfn.CONCAT("DBX",((L1105-1)*2)+1,".3")</f>
        <v>DBX137.3</v>
      </c>
      <c r="O1105" s="210" t="s">
        <v>782</v>
      </c>
      <c r="P1105" s="210" t="s">
        <v>11</v>
      </c>
      <c r="Q1105" s="210" t="s">
        <v>88</v>
      </c>
      <c r="R1105" s="210"/>
      <c r="S1105" s="210">
        <v>3923</v>
      </c>
      <c r="T1105" s="4" t="s">
        <v>2550</v>
      </c>
      <c r="U1105" s="210"/>
      <c r="V1105" s="210" t="s">
        <v>3130</v>
      </c>
      <c r="W1105" s="210" t="s">
        <v>121</v>
      </c>
      <c r="X1105" s="4">
        <f t="shared" si="21"/>
        <v>5</v>
      </c>
      <c r="Y1105" s="4" t="s">
        <v>2684</v>
      </c>
      <c r="Z1105" s="210"/>
      <c r="AA1105" s="210"/>
      <c r="AB1105" s="210"/>
      <c r="AC1105" s="210">
        <v>1</v>
      </c>
      <c r="AD1105" s="210"/>
      <c r="AE1105" s="210"/>
    </row>
    <row r="1106" spans="1:31" x14ac:dyDescent="0.2">
      <c r="A1106" s="209"/>
      <c r="B1106" s="4" t="s">
        <v>3170</v>
      </c>
      <c r="C1106" s="4">
        <v>1101</v>
      </c>
      <c r="D1106" s="210" t="s">
        <v>2156</v>
      </c>
      <c r="E1106" s="210" t="s">
        <v>2161</v>
      </c>
      <c r="F1106" s="210" t="s">
        <v>2396</v>
      </c>
      <c r="G1106" s="210" t="s">
        <v>329</v>
      </c>
      <c r="H1106" s="210" t="s">
        <v>41</v>
      </c>
      <c r="I1106" s="210" t="s">
        <v>85</v>
      </c>
      <c r="J1106" s="4">
        <v>40301</v>
      </c>
      <c r="K1106" s="210" t="s">
        <v>11</v>
      </c>
      <c r="L1106" s="210">
        <v>69</v>
      </c>
      <c r="M1106" s="4">
        <v>12</v>
      </c>
      <c r="N1106" s="4" t="str">
        <f>_xlfn.CONCAT("DBX",((L1106-1)*2)+1,".4")</f>
        <v>DBX137.4</v>
      </c>
      <c r="O1106" s="210" t="s">
        <v>782</v>
      </c>
      <c r="P1106" s="210" t="s">
        <v>11</v>
      </c>
      <c r="Q1106" s="210" t="s">
        <v>92</v>
      </c>
      <c r="R1106" s="210"/>
      <c r="S1106" s="210">
        <v>3923</v>
      </c>
      <c r="T1106" s="4" t="s">
        <v>2550</v>
      </c>
      <c r="U1106" s="210"/>
      <c r="V1106" s="210" t="s">
        <v>3130</v>
      </c>
      <c r="W1106" s="210" t="s">
        <v>121</v>
      </c>
      <c r="X1106" s="4">
        <f t="shared" si="21"/>
        <v>5</v>
      </c>
      <c r="Y1106" s="210"/>
      <c r="Z1106" s="210"/>
      <c r="AA1106" s="210"/>
      <c r="AB1106" s="210"/>
      <c r="AC1106" s="210">
        <v>1</v>
      </c>
      <c r="AD1106" s="210"/>
      <c r="AE1106" s="210"/>
    </row>
    <row r="1107" spans="1:31" x14ac:dyDescent="0.2">
      <c r="A1107" s="209"/>
      <c r="B1107" s="4" t="s">
        <v>34</v>
      </c>
      <c r="C1107" s="4">
        <v>1102</v>
      </c>
      <c r="D1107" s="210"/>
      <c r="E1107" s="210"/>
      <c r="F1107" s="210"/>
      <c r="G1107" s="210"/>
      <c r="H1107" s="210"/>
      <c r="I1107" s="210"/>
      <c r="J1107" s="4">
        <v>40302</v>
      </c>
      <c r="K1107" s="210"/>
      <c r="L1107" s="210">
        <v>69</v>
      </c>
      <c r="M1107" s="4">
        <v>13</v>
      </c>
      <c r="N1107" s="4" t="str">
        <f>_xlfn.CONCAT("DBX",((L1107-1)*2)+1,".5")</f>
        <v>DBX137.5</v>
      </c>
      <c r="O1107" s="210" t="s">
        <v>782</v>
      </c>
      <c r="P1107" s="210"/>
      <c r="Q1107" s="210"/>
      <c r="R1107" s="210"/>
      <c r="S1107" s="210"/>
      <c r="T1107" s="210"/>
      <c r="U1107" s="210"/>
      <c r="V1107" s="210"/>
      <c r="W1107" s="210"/>
      <c r="X1107" s="4" t="e">
        <f t="shared" si="21"/>
        <v>#N/A</v>
      </c>
      <c r="Y1107" s="210"/>
      <c r="Z1107" s="210"/>
      <c r="AA1107" s="210"/>
      <c r="AB1107" s="210"/>
      <c r="AC1107" s="210"/>
      <c r="AD1107" s="210"/>
      <c r="AE1107" s="210"/>
    </row>
    <row r="1108" spans="1:31" x14ac:dyDescent="0.2">
      <c r="A1108" s="209"/>
      <c r="B1108" s="4" t="s">
        <v>34</v>
      </c>
      <c r="C1108" s="4">
        <v>1103</v>
      </c>
      <c r="D1108" s="210"/>
      <c r="E1108" s="210"/>
      <c r="F1108" s="210"/>
      <c r="G1108" s="210"/>
      <c r="H1108" s="210"/>
      <c r="I1108" s="210"/>
      <c r="J1108" s="4">
        <v>40303</v>
      </c>
      <c r="K1108" s="210"/>
      <c r="L1108" s="210">
        <v>69</v>
      </c>
      <c r="M1108" s="4">
        <v>14</v>
      </c>
      <c r="N1108" s="4" t="str">
        <f>_xlfn.CONCAT("DBX",((L1108-1)*2)+1,".6")</f>
        <v>DBX137.6</v>
      </c>
      <c r="O1108" s="210" t="s">
        <v>782</v>
      </c>
      <c r="P1108" s="210"/>
      <c r="Q1108" s="210"/>
      <c r="R1108" s="210"/>
      <c r="S1108" s="210"/>
      <c r="T1108" s="210"/>
      <c r="U1108" s="210"/>
      <c r="V1108" s="210"/>
      <c r="W1108" s="210"/>
      <c r="X1108" s="4" t="e">
        <f t="shared" si="21"/>
        <v>#N/A</v>
      </c>
      <c r="Y1108" s="210"/>
      <c r="Z1108" s="210"/>
      <c r="AA1108" s="210"/>
      <c r="AB1108" s="210"/>
      <c r="AC1108" s="210"/>
      <c r="AD1108" s="210"/>
      <c r="AE1108" s="210"/>
    </row>
    <row r="1109" spans="1:31" x14ac:dyDescent="0.2">
      <c r="A1109" s="209"/>
      <c r="B1109" s="4" t="s">
        <v>104</v>
      </c>
      <c r="C1109" s="4">
        <v>1104</v>
      </c>
      <c r="D1109" s="210" t="s">
        <v>2165</v>
      </c>
      <c r="E1109" s="210" t="s">
        <v>2168</v>
      </c>
      <c r="F1109" s="210" t="s">
        <v>2171</v>
      </c>
      <c r="G1109" s="210" t="s">
        <v>329</v>
      </c>
      <c r="H1109" s="210" t="s">
        <v>41</v>
      </c>
      <c r="I1109" s="210" t="s">
        <v>84</v>
      </c>
      <c r="J1109" s="4">
        <v>40304</v>
      </c>
      <c r="K1109" s="210" t="s">
        <v>2164</v>
      </c>
      <c r="L1109" s="210">
        <v>69</v>
      </c>
      <c r="M1109" s="4">
        <v>15</v>
      </c>
      <c r="N1109" s="4" t="str">
        <f>_xlfn.CONCAT("DBX",((L1109-1)*2)+1,".7")</f>
        <v>DBX137.7</v>
      </c>
      <c r="O1109" s="210" t="s">
        <v>782</v>
      </c>
      <c r="P1109" s="210" t="s">
        <v>2154</v>
      </c>
      <c r="Q1109" s="210" t="s">
        <v>12</v>
      </c>
      <c r="R1109" s="210"/>
      <c r="S1109" s="210">
        <v>3923</v>
      </c>
      <c r="T1109" s="4" t="s">
        <v>2550</v>
      </c>
      <c r="U1109" s="210"/>
      <c r="V1109" s="210"/>
      <c r="W1109" s="210" t="s">
        <v>121</v>
      </c>
      <c r="X1109" s="4">
        <f t="shared" si="21"/>
        <v>5</v>
      </c>
      <c r="Y1109" s="210"/>
      <c r="Z1109" s="210"/>
      <c r="AA1109" s="210"/>
      <c r="AB1109" s="210"/>
      <c r="AC1109" s="210">
        <v>1</v>
      </c>
      <c r="AD1109" s="210"/>
      <c r="AE1109" s="210"/>
    </row>
    <row r="1110" spans="1:31" x14ac:dyDescent="0.2">
      <c r="A1110" s="209"/>
      <c r="B1110" s="4" t="s">
        <v>104</v>
      </c>
      <c r="C1110" s="4">
        <v>1105</v>
      </c>
      <c r="D1110" s="210" t="s">
        <v>2166</v>
      </c>
      <c r="E1110" s="210" t="s">
        <v>2169</v>
      </c>
      <c r="F1110" s="210" t="s">
        <v>2172</v>
      </c>
      <c r="G1110" s="210" t="s">
        <v>329</v>
      </c>
      <c r="H1110" s="210" t="s">
        <v>41</v>
      </c>
      <c r="I1110" s="210" t="s">
        <v>84</v>
      </c>
      <c r="J1110" s="4">
        <v>40305</v>
      </c>
      <c r="K1110" s="210" t="s">
        <v>2164</v>
      </c>
      <c r="L1110" s="210">
        <v>70</v>
      </c>
      <c r="M1110" s="4">
        <f>M1094</f>
        <v>0</v>
      </c>
      <c r="N1110" s="4" t="str">
        <f>_xlfn.CONCAT("DBX",((L1110-1)*2),".0")</f>
        <v>DBX138.0</v>
      </c>
      <c r="O1110" s="210" t="s">
        <v>782</v>
      </c>
      <c r="P1110" s="210" t="s">
        <v>2154</v>
      </c>
      <c r="Q1110" s="210" t="s">
        <v>12</v>
      </c>
      <c r="R1110" s="210"/>
      <c r="S1110" s="210">
        <v>3923</v>
      </c>
      <c r="T1110" s="4" t="s">
        <v>2550</v>
      </c>
      <c r="U1110" s="210"/>
      <c r="V1110" s="210"/>
      <c r="W1110" s="210" t="s">
        <v>121</v>
      </c>
      <c r="X1110" s="4">
        <f t="shared" si="21"/>
        <v>5</v>
      </c>
      <c r="Y1110" s="210"/>
      <c r="Z1110" s="210"/>
      <c r="AA1110" s="210"/>
      <c r="AB1110" s="210"/>
      <c r="AC1110" s="210">
        <v>1</v>
      </c>
      <c r="AD1110" s="210"/>
      <c r="AE1110" s="210"/>
    </row>
    <row r="1111" spans="1:31" x14ac:dyDescent="0.2">
      <c r="A1111" s="209"/>
      <c r="B1111" s="4" t="s">
        <v>33</v>
      </c>
      <c r="C1111" s="4">
        <v>1106</v>
      </c>
      <c r="D1111" s="210" t="s">
        <v>2167</v>
      </c>
      <c r="E1111" s="210" t="s">
        <v>2170</v>
      </c>
      <c r="F1111" s="210" t="s">
        <v>2500</v>
      </c>
      <c r="G1111" s="210" t="s">
        <v>329</v>
      </c>
      <c r="H1111" s="210" t="s">
        <v>41</v>
      </c>
      <c r="I1111" s="210" t="s">
        <v>84</v>
      </c>
      <c r="J1111" s="4">
        <v>40306</v>
      </c>
      <c r="K1111" s="210" t="s">
        <v>2164</v>
      </c>
      <c r="L1111" s="210">
        <v>70</v>
      </c>
      <c r="M1111" s="4">
        <f t="shared" si="22"/>
        <v>1</v>
      </c>
      <c r="N1111" s="4" t="str">
        <f>_xlfn.CONCAT("DBX",((L1111-1)*2),".1")</f>
        <v>DBX138.1</v>
      </c>
      <c r="O1111" s="210" t="s">
        <v>782</v>
      </c>
      <c r="P1111" s="210" t="s">
        <v>2154</v>
      </c>
      <c r="Q1111" s="210" t="s">
        <v>12</v>
      </c>
      <c r="R1111" s="210"/>
      <c r="S1111" s="210">
        <v>3923</v>
      </c>
      <c r="T1111" s="4" t="s">
        <v>2550</v>
      </c>
      <c r="U1111" s="210"/>
      <c r="V1111" s="210"/>
      <c r="W1111" s="210" t="s">
        <v>129</v>
      </c>
      <c r="X1111" s="4">
        <f t="shared" si="21"/>
        <v>13</v>
      </c>
      <c r="Y1111" s="210"/>
      <c r="Z1111" s="210"/>
      <c r="AA1111" s="210"/>
      <c r="AB1111" s="210"/>
      <c r="AC1111" s="210">
        <v>1</v>
      </c>
      <c r="AD1111" s="210"/>
      <c r="AE1111" s="210"/>
    </row>
    <row r="1112" spans="1:31" x14ac:dyDescent="0.2">
      <c r="A1112" s="209"/>
      <c r="B1112" s="4" t="s">
        <v>34</v>
      </c>
      <c r="C1112" s="4">
        <v>1107</v>
      </c>
      <c r="D1112" s="210"/>
      <c r="E1112" s="210"/>
      <c r="F1112" s="210"/>
      <c r="G1112" s="210"/>
      <c r="H1112" s="210"/>
      <c r="I1112" s="210"/>
      <c r="J1112" s="4">
        <v>40307</v>
      </c>
      <c r="K1112" s="210"/>
      <c r="L1112" s="210">
        <v>70</v>
      </c>
      <c r="M1112" s="4">
        <f t="shared" si="22"/>
        <v>2</v>
      </c>
      <c r="N1112" s="4" t="str">
        <f>_xlfn.CONCAT("DBX",((L1112-1)*2),".2")</f>
        <v>DBX138.2</v>
      </c>
      <c r="O1112" s="210" t="s">
        <v>782</v>
      </c>
      <c r="P1112" s="210"/>
      <c r="Q1112" s="210"/>
      <c r="R1112" s="210"/>
      <c r="S1112" s="210"/>
      <c r="T1112" s="210"/>
      <c r="U1112" s="210"/>
      <c r="V1112" s="210"/>
      <c r="W1112" s="210"/>
      <c r="X1112" s="4" t="e">
        <f t="shared" si="21"/>
        <v>#N/A</v>
      </c>
      <c r="Y1112" s="210"/>
      <c r="Z1112" s="210"/>
      <c r="AA1112" s="210"/>
      <c r="AB1112" s="210"/>
      <c r="AC1112" s="210"/>
      <c r="AD1112" s="210"/>
      <c r="AE1112" s="210"/>
    </row>
    <row r="1113" spans="1:31" x14ac:dyDescent="0.2">
      <c r="A1113" s="209"/>
      <c r="B1113" s="4" t="s">
        <v>88</v>
      </c>
      <c r="C1113" s="4">
        <v>1108</v>
      </c>
      <c r="D1113" s="210" t="s">
        <v>2173</v>
      </c>
      <c r="E1113" s="210" t="s">
        <v>2176</v>
      </c>
      <c r="F1113" s="210" t="s">
        <v>2397</v>
      </c>
      <c r="G1113" s="210" t="s">
        <v>329</v>
      </c>
      <c r="H1113" s="210" t="s">
        <v>41</v>
      </c>
      <c r="I1113" s="210" t="s">
        <v>84</v>
      </c>
      <c r="J1113" s="4">
        <v>40308</v>
      </c>
      <c r="K1113" s="210" t="s">
        <v>2181</v>
      </c>
      <c r="L1113" s="210">
        <v>70</v>
      </c>
      <c r="M1113" s="4">
        <f t="shared" si="22"/>
        <v>3</v>
      </c>
      <c r="N1113" s="4" t="str">
        <f>_xlfn.CONCAT("DBX",((L1113-1)*2),".3")</f>
        <v>DBX138.3</v>
      </c>
      <c r="O1113" s="210" t="s">
        <v>782</v>
      </c>
      <c r="P1113" s="210" t="s">
        <v>2182</v>
      </c>
      <c r="Q1113" s="210" t="s">
        <v>12</v>
      </c>
      <c r="R1113" s="210"/>
      <c r="S1113" s="210">
        <v>3923</v>
      </c>
      <c r="T1113" s="4" t="s">
        <v>2550</v>
      </c>
      <c r="U1113" s="210"/>
      <c r="V1113" s="210"/>
      <c r="W1113" s="210" t="s">
        <v>121</v>
      </c>
      <c r="X1113" s="4">
        <f t="shared" si="21"/>
        <v>5</v>
      </c>
      <c r="Y1113" s="210"/>
      <c r="Z1113" s="210"/>
      <c r="AA1113" s="210"/>
      <c r="AB1113" s="210"/>
      <c r="AC1113" s="210">
        <v>1</v>
      </c>
      <c r="AD1113" s="210"/>
      <c r="AE1113" s="210"/>
    </row>
    <row r="1114" spans="1:31" x14ac:dyDescent="0.2">
      <c r="A1114" s="209"/>
      <c r="B1114" s="4" t="s">
        <v>88</v>
      </c>
      <c r="C1114" s="4">
        <v>1109</v>
      </c>
      <c r="D1114" s="210" t="s">
        <v>2174</v>
      </c>
      <c r="E1114" s="210" t="s">
        <v>2177</v>
      </c>
      <c r="F1114" s="210" t="s">
        <v>2398</v>
      </c>
      <c r="G1114" s="210" t="s">
        <v>329</v>
      </c>
      <c r="H1114" s="210" t="s">
        <v>41</v>
      </c>
      <c r="I1114" s="210" t="s">
        <v>84</v>
      </c>
      <c r="J1114" s="4">
        <v>40309</v>
      </c>
      <c r="K1114" s="210" t="s">
        <v>2181</v>
      </c>
      <c r="L1114" s="210">
        <v>70</v>
      </c>
      <c r="M1114" s="4">
        <f t="shared" si="22"/>
        <v>4</v>
      </c>
      <c r="N1114" s="4" t="str">
        <f>_xlfn.CONCAT("DBX",((L1114-1)*2),".4")</f>
        <v>DBX138.4</v>
      </c>
      <c r="O1114" s="210" t="s">
        <v>782</v>
      </c>
      <c r="P1114" s="210" t="s">
        <v>2182</v>
      </c>
      <c r="Q1114" s="210" t="s">
        <v>93</v>
      </c>
      <c r="R1114" s="210"/>
      <c r="S1114" s="210">
        <v>3923</v>
      </c>
      <c r="T1114" s="4" t="s">
        <v>2550</v>
      </c>
      <c r="U1114" s="210"/>
      <c r="V1114" s="210"/>
      <c r="W1114" s="210" t="s">
        <v>121</v>
      </c>
      <c r="X1114" s="4">
        <f t="shared" si="21"/>
        <v>5</v>
      </c>
      <c r="Y1114" s="210"/>
      <c r="Z1114" s="210"/>
      <c r="AA1114" s="210"/>
      <c r="AB1114" s="210"/>
      <c r="AC1114" s="210">
        <v>1</v>
      </c>
      <c r="AD1114" s="210"/>
      <c r="AE1114" s="210"/>
    </row>
    <row r="1115" spans="1:31" x14ac:dyDescent="0.2">
      <c r="A1115" s="209"/>
      <c r="B1115" s="4" t="s">
        <v>88</v>
      </c>
      <c r="C1115" s="4">
        <v>1110</v>
      </c>
      <c r="D1115" s="210" t="s">
        <v>2175</v>
      </c>
      <c r="E1115" s="210" t="s">
        <v>2178</v>
      </c>
      <c r="F1115" s="210" t="s">
        <v>2501</v>
      </c>
      <c r="G1115" s="210" t="s">
        <v>329</v>
      </c>
      <c r="H1115" s="210" t="s">
        <v>41</v>
      </c>
      <c r="I1115" s="210" t="s">
        <v>84</v>
      </c>
      <c r="J1115" s="4">
        <v>40310</v>
      </c>
      <c r="K1115" s="210" t="s">
        <v>2181</v>
      </c>
      <c r="L1115" s="210">
        <v>70</v>
      </c>
      <c r="M1115" s="4">
        <f t="shared" si="22"/>
        <v>5</v>
      </c>
      <c r="N1115" s="4" t="str">
        <f>_xlfn.CONCAT("DBX",((L1115-1)*2),".5")</f>
        <v>DBX138.5</v>
      </c>
      <c r="O1115" s="210" t="s">
        <v>782</v>
      </c>
      <c r="P1115" s="210" t="s">
        <v>2182</v>
      </c>
      <c r="Q1115" s="210" t="s">
        <v>12</v>
      </c>
      <c r="R1115" s="210"/>
      <c r="S1115" s="210">
        <v>3923</v>
      </c>
      <c r="T1115" s="4" t="s">
        <v>2550</v>
      </c>
      <c r="U1115" s="210"/>
      <c r="V1115" s="210"/>
      <c r="W1115" s="210" t="s">
        <v>129</v>
      </c>
      <c r="X1115" s="4">
        <f t="shared" si="21"/>
        <v>13</v>
      </c>
      <c r="Y1115" s="210"/>
      <c r="Z1115" s="210"/>
      <c r="AA1115" s="210"/>
      <c r="AB1115" s="210"/>
      <c r="AC1115" s="210">
        <v>1</v>
      </c>
      <c r="AD1115" s="210"/>
      <c r="AE1115" s="210"/>
    </row>
    <row r="1116" spans="1:31" x14ac:dyDescent="0.2">
      <c r="A1116" s="209"/>
      <c r="B1116" s="4" t="s">
        <v>88</v>
      </c>
      <c r="C1116" s="4">
        <v>1111</v>
      </c>
      <c r="D1116" s="210" t="s">
        <v>2265</v>
      </c>
      <c r="E1116" s="210" t="s">
        <v>2268</v>
      </c>
      <c r="F1116" s="210" t="s">
        <v>2399</v>
      </c>
      <c r="G1116" s="210" t="s">
        <v>329</v>
      </c>
      <c r="H1116" s="210" t="s">
        <v>41</v>
      </c>
      <c r="I1116" s="210" t="s">
        <v>84</v>
      </c>
      <c r="J1116" s="4">
        <v>40311</v>
      </c>
      <c r="K1116" s="210" t="s">
        <v>2179</v>
      </c>
      <c r="L1116" s="210">
        <v>70</v>
      </c>
      <c r="M1116" s="4">
        <f t="shared" si="22"/>
        <v>6</v>
      </c>
      <c r="N1116" s="4" t="str">
        <f>_xlfn.CONCAT("DBX",((L1116-1)*2),".6")</f>
        <v>DBX138.6</v>
      </c>
      <c r="O1116" s="210" t="s">
        <v>782</v>
      </c>
      <c r="P1116" s="210" t="s">
        <v>2180</v>
      </c>
      <c r="Q1116" s="210" t="s">
        <v>12</v>
      </c>
      <c r="R1116" s="210"/>
      <c r="S1116" s="210">
        <v>3923</v>
      </c>
      <c r="T1116" s="4" t="s">
        <v>2550</v>
      </c>
      <c r="U1116" s="210"/>
      <c r="V1116" s="210"/>
      <c r="W1116" s="210" t="s">
        <v>121</v>
      </c>
      <c r="X1116" s="4">
        <f t="shared" si="21"/>
        <v>5</v>
      </c>
      <c r="Y1116" s="210"/>
      <c r="Z1116" s="210"/>
      <c r="AA1116" s="210"/>
      <c r="AB1116" s="210"/>
      <c r="AC1116" s="210">
        <v>1</v>
      </c>
      <c r="AD1116" s="210"/>
      <c r="AE1116" s="210"/>
    </row>
    <row r="1117" spans="1:31" x14ac:dyDescent="0.2">
      <c r="A1117" s="209"/>
      <c r="B1117" s="4" t="s">
        <v>88</v>
      </c>
      <c r="C1117" s="4">
        <v>1112</v>
      </c>
      <c r="D1117" s="210" t="s">
        <v>2266</v>
      </c>
      <c r="E1117" s="210" t="s">
        <v>2269</v>
      </c>
      <c r="F1117" s="210" t="s">
        <v>2400</v>
      </c>
      <c r="G1117" s="210" t="s">
        <v>329</v>
      </c>
      <c r="H1117" s="210" t="s">
        <v>41</v>
      </c>
      <c r="I1117" s="210" t="s">
        <v>84</v>
      </c>
      <c r="J1117" s="4">
        <v>40312</v>
      </c>
      <c r="K1117" s="210" t="s">
        <v>2179</v>
      </c>
      <c r="L1117" s="210">
        <v>70</v>
      </c>
      <c r="M1117" s="4">
        <f t="shared" si="22"/>
        <v>7</v>
      </c>
      <c r="N1117" s="4" t="str">
        <f>_xlfn.CONCAT("DBX",((L1117-1)*2),".7")</f>
        <v>DBX138.7</v>
      </c>
      <c r="O1117" s="210" t="s">
        <v>782</v>
      </c>
      <c r="P1117" s="210" t="s">
        <v>2180</v>
      </c>
      <c r="Q1117" s="210" t="s">
        <v>93</v>
      </c>
      <c r="R1117" s="210"/>
      <c r="S1117" s="210">
        <v>3923</v>
      </c>
      <c r="T1117" s="4" t="s">
        <v>2550</v>
      </c>
      <c r="U1117" s="210"/>
      <c r="V1117" s="210"/>
      <c r="W1117" s="210" t="s">
        <v>121</v>
      </c>
      <c r="X1117" s="4">
        <f t="shared" si="21"/>
        <v>5</v>
      </c>
      <c r="Y1117" s="210"/>
      <c r="Z1117" s="210"/>
      <c r="AA1117" s="210"/>
      <c r="AB1117" s="210"/>
      <c r="AC1117" s="210">
        <v>1</v>
      </c>
      <c r="AD1117" s="210"/>
      <c r="AE1117" s="210"/>
    </row>
    <row r="1118" spans="1:31" x14ac:dyDescent="0.2">
      <c r="A1118" s="209"/>
      <c r="B1118" s="4" t="s">
        <v>88</v>
      </c>
      <c r="C1118" s="4">
        <v>1113</v>
      </c>
      <c r="D1118" s="210" t="s">
        <v>2267</v>
      </c>
      <c r="E1118" s="210" t="s">
        <v>2270</v>
      </c>
      <c r="F1118" s="210" t="s">
        <v>2502</v>
      </c>
      <c r="G1118" s="210" t="s">
        <v>329</v>
      </c>
      <c r="H1118" s="210" t="s">
        <v>41</v>
      </c>
      <c r="I1118" s="210" t="s">
        <v>84</v>
      </c>
      <c r="J1118" s="4">
        <v>40313</v>
      </c>
      <c r="K1118" s="210" t="s">
        <v>2179</v>
      </c>
      <c r="L1118" s="210">
        <v>70</v>
      </c>
      <c r="M1118" s="4">
        <f t="shared" si="22"/>
        <v>8</v>
      </c>
      <c r="N1118" s="4" t="str">
        <f>_xlfn.CONCAT("DBX",((L1118-1)*2)+1,".0")</f>
        <v>DBX139.0</v>
      </c>
      <c r="O1118" s="210" t="s">
        <v>782</v>
      </c>
      <c r="P1118" s="210" t="s">
        <v>2180</v>
      </c>
      <c r="Q1118" s="210" t="s">
        <v>12</v>
      </c>
      <c r="R1118" s="210"/>
      <c r="S1118" s="210">
        <v>3923</v>
      </c>
      <c r="T1118" s="4" t="s">
        <v>2550</v>
      </c>
      <c r="U1118" s="210"/>
      <c r="V1118" s="210"/>
      <c r="W1118" s="210" t="s">
        <v>129</v>
      </c>
      <c r="X1118" s="4">
        <f t="shared" si="21"/>
        <v>13</v>
      </c>
      <c r="Y1118" s="210"/>
      <c r="Z1118" s="210"/>
      <c r="AA1118" s="210"/>
      <c r="AB1118" s="210"/>
      <c r="AC1118" s="210">
        <v>1</v>
      </c>
      <c r="AD1118" s="210"/>
      <c r="AE1118" s="210"/>
    </row>
    <row r="1119" spans="1:31" x14ac:dyDescent="0.2">
      <c r="A1119" s="209"/>
      <c r="B1119" s="4" t="s">
        <v>34</v>
      </c>
      <c r="C1119" s="4">
        <v>1114</v>
      </c>
      <c r="D1119" s="210"/>
      <c r="E1119" s="210"/>
      <c r="F1119" s="210"/>
      <c r="G1119" s="210"/>
      <c r="H1119" s="210"/>
      <c r="I1119" s="210"/>
      <c r="J1119" s="4">
        <v>40314</v>
      </c>
      <c r="K1119" s="210"/>
      <c r="L1119" s="210">
        <v>70</v>
      </c>
      <c r="M1119" s="4">
        <f t="shared" si="22"/>
        <v>9</v>
      </c>
      <c r="N1119" s="4" t="str">
        <f>_xlfn.CONCAT("DBX",((L1119-1)*2)+1,".1")</f>
        <v>DBX139.1</v>
      </c>
      <c r="O1119" s="210" t="s">
        <v>782</v>
      </c>
      <c r="P1119" s="210"/>
      <c r="Q1119" s="210"/>
      <c r="R1119" s="210"/>
      <c r="S1119" s="210"/>
      <c r="T1119" s="210"/>
      <c r="U1119" s="210"/>
      <c r="V1119" s="210"/>
      <c r="W1119" s="210"/>
      <c r="X1119" s="4" t="e">
        <f t="shared" si="21"/>
        <v>#N/A</v>
      </c>
      <c r="Y1119" s="210"/>
      <c r="Z1119" s="210"/>
      <c r="AA1119" s="210"/>
      <c r="AB1119" s="210"/>
      <c r="AC1119" s="210"/>
      <c r="AD1119" s="210"/>
      <c r="AE1119" s="210"/>
    </row>
    <row r="1120" spans="1:31" x14ac:dyDescent="0.2">
      <c r="A1120" s="209"/>
      <c r="B1120" s="4" t="s">
        <v>34</v>
      </c>
      <c r="C1120" s="4">
        <v>1115</v>
      </c>
      <c r="D1120" s="210"/>
      <c r="E1120" s="210"/>
      <c r="F1120" s="210"/>
      <c r="G1120" s="210"/>
      <c r="H1120" s="210"/>
      <c r="I1120" s="210"/>
      <c r="J1120" s="4">
        <v>40315</v>
      </c>
      <c r="K1120" s="210"/>
      <c r="L1120" s="210">
        <v>70</v>
      </c>
      <c r="M1120" s="4">
        <f t="shared" si="22"/>
        <v>10</v>
      </c>
      <c r="N1120" s="4" t="str">
        <f>_xlfn.CONCAT("DBX",((L1120-1)*2)+1,".2")</f>
        <v>DBX139.2</v>
      </c>
      <c r="O1120" s="210" t="s">
        <v>782</v>
      </c>
      <c r="P1120" s="210"/>
      <c r="Q1120" s="210"/>
      <c r="R1120" s="210"/>
      <c r="S1120" s="210"/>
      <c r="T1120" s="210"/>
      <c r="U1120" s="210"/>
      <c r="V1120" s="210"/>
      <c r="W1120" s="210"/>
      <c r="X1120" s="4" t="e">
        <f t="shared" si="21"/>
        <v>#N/A</v>
      </c>
      <c r="Y1120" s="210"/>
      <c r="Z1120" s="210"/>
      <c r="AA1120" s="210"/>
      <c r="AB1120" s="210"/>
      <c r="AC1120" s="210"/>
      <c r="AD1120" s="210"/>
      <c r="AE1120" s="210"/>
    </row>
    <row r="1121" spans="1:31" x14ac:dyDescent="0.2">
      <c r="A1121" s="209"/>
      <c r="B1121" s="4" t="s">
        <v>34</v>
      </c>
      <c r="C1121" s="4">
        <v>1116</v>
      </c>
      <c r="D1121" s="210"/>
      <c r="E1121" s="210"/>
      <c r="F1121" s="210"/>
      <c r="G1121" s="210"/>
      <c r="H1121" s="210"/>
      <c r="I1121" s="210"/>
      <c r="J1121" s="4">
        <v>40316</v>
      </c>
      <c r="K1121" s="210"/>
      <c r="L1121" s="210">
        <v>70</v>
      </c>
      <c r="M1121" s="4">
        <f t="shared" si="22"/>
        <v>11</v>
      </c>
      <c r="N1121" s="4" t="str">
        <f>_xlfn.CONCAT("DBX",((L1121-1)*2)+1,".3")</f>
        <v>DBX139.3</v>
      </c>
      <c r="O1121" s="210" t="s">
        <v>782</v>
      </c>
      <c r="P1121" s="210"/>
      <c r="Q1121" s="210"/>
      <c r="R1121" s="210"/>
      <c r="S1121" s="210"/>
      <c r="T1121" s="210"/>
      <c r="U1121" s="210"/>
      <c r="V1121" s="210"/>
      <c r="W1121" s="210"/>
      <c r="X1121" s="4" t="e">
        <f t="shared" si="21"/>
        <v>#N/A</v>
      </c>
      <c r="Y1121" s="210"/>
      <c r="Z1121" s="210"/>
      <c r="AA1121" s="210"/>
      <c r="AB1121" s="210"/>
      <c r="AC1121" s="210"/>
      <c r="AD1121" s="210"/>
      <c r="AE1121" s="210"/>
    </row>
    <row r="1122" spans="1:31" x14ac:dyDescent="0.2">
      <c r="A1122" s="209"/>
      <c r="B1122" s="4" t="s">
        <v>3170</v>
      </c>
      <c r="C1122" s="4">
        <v>1117</v>
      </c>
      <c r="D1122" s="210" t="s">
        <v>2183</v>
      </c>
      <c r="E1122" s="210" t="s">
        <v>2184</v>
      </c>
      <c r="F1122" s="210" t="s">
        <v>2185</v>
      </c>
      <c r="G1122" s="210" t="s">
        <v>1299</v>
      </c>
      <c r="H1122" s="210" t="s">
        <v>41</v>
      </c>
      <c r="I1122" s="210" t="s">
        <v>85</v>
      </c>
      <c r="J1122" s="4">
        <v>40317</v>
      </c>
      <c r="K1122" s="210" t="s">
        <v>2189</v>
      </c>
      <c r="L1122" s="210">
        <v>70</v>
      </c>
      <c r="M1122" s="4">
        <f t="shared" si="22"/>
        <v>12</v>
      </c>
      <c r="N1122" s="4" t="str">
        <f>_xlfn.CONCAT("DBX",((L1122-1)*2)+1,".4")</f>
        <v>DBX139.4</v>
      </c>
      <c r="O1122" s="210" t="s">
        <v>782</v>
      </c>
      <c r="P1122" s="210" t="s">
        <v>2190</v>
      </c>
      <c r="Q1122" s="210" t="s">
        <v>12</v>
      </c>
      <c r="R1122" s="210"/>
      <c r="S1122" s="210">
        <v>3923</v>
      </c>
      <c r="T1122" s="4" t="s">
        <v>2550</v>
      </c>
      <c r="U1122" s="210" t="s">
        <v>2189</v>
      </c>
      <c r="V1122" s="210" t="s">
        <v>3122</v>
      </c>
      <c r="W1122" s="210" t="s">
        <v>129</v>
      </c>
      <c r="X1122" s="4">
        <f t="shared" si="21"/>
        <v>13</v>
      </c>
      <c r="Y1122" s="210"/>
      <c r="Z1122" s="210"/>
      <c r="AA1122" s="210"/>
      <c r="AB1122" s="210"/>
      <c r="AC1122" s="210">
        <v>1</v>
      </c>
      <c r="AD1122" s="210"/>
      <c r="AE1122" s="210"/>
    </row>
    <row r="1123" spans="1:31" x14ac:dyDescent="0.2">
      <c r="A1123" s="209"/>
      <c r="B1123" s="4" t="s">
        <v>3170</v>
      </c>
      <c r="C1123" s="4">
        <v>1118</v>
      </c>
      <c r="D1123" s="210" t="s">
        <v>2186</v>
      </c>
      <c r="E1123" s="210" t="s">
        <v>2187</v>
      </c>
      <c r="F1123" s="210" t="s">
        <v>2188</v>
      </c>
      <c r="G1123" s="210" t="s">
        <v>1299</v>
      </c>
      <c r="H1123" s="210" t="s">
        <v>41</v>
      </c>
      <c r="I1123" s="210" t="s">
        <v>85</v>
      </c>
      <c r="J1123" s="4">
        <v>40318</v>
      </c>
      <c r="K1123" s="210" t="s">
        <v>2191</v>
      </c>
      <c r="L1123" s="210">
        <v>70</v>
      </c>
      <c r="M1123" s="4">
        <f t="shared" si="22"/>
        <v>13</v>
      </c>
      <c r="N1123" s="4" t="str">
        <f>_xlfn.CONCAT("DBX",((L1123-1)*2)+1,".5")</f>
        <v>DBX139.5</v>
      </c>
      <c r="O1123" s="210" t="s">
        <v>782</v>
      </c>
      <c r="P1123" s="210" t="s">
        <v>2192</v>
      </c>
      <c r="Q1123" s="210" t="s">
        <v>12</v>
      </c>
      <c r="R1123" s="210"/>
      <c r="S1123" s="210">
        <v>3923</v>
      </c>
      <c r="T1123" s="4" t="s">
        <v>2550</v>
      </c>
      <c r="U1123" s="210" t="s">
        <v>2191</v>
      </c>
      <c r="V1123" s="210" t="s">
        <v>3123</v>
      </c>
      <c r="W1123" s="210" t="s">
        <v>129</v>
      </c>
      <c r="X1123" s="4">
        <f t="shared" si="21"/>
        <v>13</v>
      </c>
      <c r="Y1123" s="210"/>
      <c r="Z1123" s="210"/>
      <c r="AA1123" s="210"/>
      <c r="AB1123" s="210"/>
      <c r="AC1123" s="210">
        <v>1</v>
      </c>
      <c r="AD1123" s="210"/>
      <c r="AE1123" s="210"/>
    </row>
    <row r="1124" spans="1:31" x14ac:dyDescent="0.2">
      <c r="A1124" s="209"/>
      <c r="B1124" s="4" t="s">
        <v>3170</v>
      </c>
      <c r="C1124" s="4">
        <v>1119</v>
      </c>
      <c r="D1124" s="210" t="s">
        <v>2193</v>
      </c>
      <c r="E1124" s="210" t="s">
        <v>2194</v>
      </c>
      <c r="F1124" s="210" t="s">
        <v>2197</v>
      </c>
      <c r="G1124" s="210" t="s">
        <v>1299</v>
      </c>
      <c r="H1124" s="210" t="s">
        <v>41</v>
      </c>
      <c r="I1124" s="210" t="s">
        <v>85</v>
      </c>
      <c r="J1124" s="4">
        <v>40319</v>
      </c>
      <c r="K1124" s="210" t="s">
        <v>2199</v>
      </c>
      <c r="L1124" s="210">
        <v>70</v>
      </c>
      <c r="M1124" s="4">
        <f t="shared" si="22"/>
        <v>14</v>
      </c>
      <c r="N1124" s="4" t="str">
        <f>_xlfn.CONCAT("DBX",((L1124-1)*2)+1,".6")</f>
        <v>DBX139.6</v>
      </c>
      <c r="O1124" s="210" t="s">
        <v>782</v>
      </c>
      <c r="P1124" s="210" t="s">
        <v>2201</v>
      </c>
      <c r="Q1124" s="210" t="s">
        <v>12</v>
      </c>
      <c r="R1124" s="210"/>
      <c r="S1124" s="210">
        <v>3923</v>
      </c>
      <c r="T1124" s="4" t="s">
        <v>2550</v>
      </c>
      <c r="U1124" s="210" t="s">
        <v>2199</v>
      </c>
      <c r="V1124" s="210" t="s">
        <v>3124</v>
      </c>
      <c r="W1124" s="210" t="s">
        <v>129</v>
      </c>
      <c r="X1124" s="4">
        <f t="shared" si="21"/>
        <v>13</v>
      </c>
      <c r="Y1124" s="210"/>
      <c r="Z1124" s="210"/>
      <c r="AA1124" s="210"/>
      <c r="AB1124" s="210"/>
      <c r="AC1124" s="210">
        <v>1</v>
      </c>
      <c r="AD1124" s="210"/>
      <c r="AE1124" s="210"/>
    </row>
    <row r="1125" spans="1:31" x14ac:dyDescent="0.2">
      <c r="A1125" s="209"/>
      <c r="B1125" s="4" t="s">
        <v>3170</v>
      </c>
      <c r="C1125" s="4">
        <v>1120</v>
      </c>
      <c r="D1125" s="210" t="s">
        <v>2195</v>
      </c>
      <c r="E1125" s="210" t="s">
        <v>2196</v>
      </c>
      <c r="F1125" s="210" t="s">
        <v>2198</v>
      </c>
      <c r="G1125" s="210" t="s">
        <v>1299</v>
      </c>
      <c r="H1125" s="210" t="s">
        <v>41</v>
      </c>
      <c r="I1125" s="210" t="s">
        <v>85</v>
      </c>
      <c r="J1125" s="4">
        <v>40320</v>
      </c>
      <c r="K1125" s="210" t="s">
        <v>2200</v>
      </c>
      <c r="L1125" s="210">
        <v>70</v>
      </c>
      <c r="M1125" s="4">
        <f t="shared" si="22"/>
        <v>15</v>
      </c>
      <c r="N1125" s="4" t="str">
        <f>_xlfn.CONCAT("DBX",((L1125-1)*2)+1,".7")</f>
        <v>DBX139.7</v>
      </c>
      <c r="O1125" s="210" t="s">
        <v>782</v>
      </c>
      <c r="P1125" s="210" t="s">
        <v>2202</v>
      </c>
      <c r="Q1125" s="210" t="s">
        <v>12</v>
      </c>
      <c r="R1125" s="210"/>
      <c r="S1125" s="210">
        <v>3923</v>
      </c>
      <c r="T1125" s="4" t="s">
        <v>2550</v>
      </c>
      <c r="U1125" s="210" t="s">
        <v>2200</v>
      </c>
      <c r="V1125" s="210" t="s">
        <v>3125</v>
      </c>
      <c r="W1125" s="210" t="s">
        <v>129</v>
      </c>
      <c r="X1125" s="4">
        <f t="shared" si="21"/>
        <v>13</v>
      </c>
      <c r="Y1125" s="210"/>
      <c r="Z1125" s="210"/>
      <c r="AA1125" s="210"/>
      <c r="AB1125" s="210"/>
      <c r="AC1125" s="210">
        <v>1</v>
      </c>
      <c r="AD1125" s="210"/>
      <c r="AE1125" s="210"/>
    </row>
    <row r="1126" spans="1:31" x14ac:dyDescent="0.2">
      <c r="A1126" s="209"/>
      <c r="B1126" s="4" t="s">
        <v>3170</v>
      </c>
      <c r="C1126" s="4">
        <v>1121</v>
      </c>
      <c r="D1126" s="210" t="s">
        <v>2205</v>
      </c>
      <c r="E1126" s="210" t="s">
        <v>2206</v>
      </c>
      <c r="F1126" s="210" t="s">
        <v>2535</v>
      </c>
      <c r="G1126" s="210" t="s">
        <v>1299</v>
      </c>
      <c r="H1126" s="210" t="s">
        <v>41</v>
      </c>
      <c r="I1126" s="210" t="s">
        <v>85</v>
      </c>
      <c r="J1126" s="4">
        <v>40321</v>
      </c>
      <c r="K1126" s="210" t="s">
        <v>2204</v>
      </c>
      <c r="L1126" s="210">
        <v>71</v>
      </c>
      <c r="M1126" s="4">
        <f t="shared" si="22"/>
        <v>0</v>
      </c>
      <c r="N1126" s="4" t="str">
        <f>_xlfn.CONCAT("DBX",((L1126-1)*2),".0")</f>
        <v>DBX140.0</v>
      </c>
      <c r="O1126" s="210" t="s">
        <v>782</v>
      </c>
      <c r="P1126" s="210" t="s">
        <v>2203</v>
      </c>
      <c r="Q1126" s="210" t="s">
        <v>12</v>
      </c>
      <c r="R1126" s="210"/>
      <c r="S1126" s="210">
        <v>3923</v>
      </c>
      <c r="T1126" s="4" t="s">
        <v>2550</v>
      </c>
      <c r="U1126" s="210" t="s">
        <v>2204</v>
      </c>
      <c r="V1126" s="210" t="s">
        <v>3126</v>
      </c>
      <c r="W1126" s="210" t="s">
        <v>129</v>
      </c>
      <c r="X1126" s="4">
        <f t="shared" ref="X1126:X1137" si="23">VLOOKUP(W1126,$W$1609:$X$1639,2,FALSE)</f>
        <v>13</v>
      </c>
      <c r="Y1126" s="210"/>
      <c r="Z1126" s="210"/>
      <c r="AA1126" s="210"/>
      <c r="AB1126" s="210"/>
      <c r="AC1126" s="210">
        <v>1</v>
      </c>
      <c r="AD1126" s="210"/>
      <c r="AE1126" s="210"/>
    </row>
    <row r="1127" spans="1:31" x14ac:dyDescent="0.2">
      <c r="A1127" s="209"/>
      <c r="B1127" s="4" t="s">
        <v>3170</v>
      </c>
      <c r="C1127" s="4">
        <v>1122</v>
      </c>
      <c r="D1127" s="210" t="s">
        <v>2468</v>
      </c>
      <c r="E1127" s="210" t="s">
        <v>2499</v>
      </c>
      <c r="F1127" s="210" t="s">
        <v>2534</v>
      </c>
      <c r="G1127" s="210" t="s">
        <v>329</v>
      </c>
      <c r="H1127" s="210" t="s">
        <v>41</v>
      </c>
      <c r="I1127" s="210" t="s">
        <v>1791</v>
      </c>
      <c r="J1127" s="4">
        <v>40322</v>
      </c>
      <c r="K1127" s="210" t="s">
        <v>2207</v>
      </c>
      <c r="L1127" s="210">
        <v>71</v>
      </c>
      <c r="M1127" s="4">
        <f t="shared" si="22"/>
        <v>1</v>
      </c>
      <c r="N1127" s="4" t="str">
        <f>_xlfn.CONCAT("DBX",((L1127-1)*2),".1")</f>
        <v>DBX140.1</v>
      </c>
      <c r="O1127" s="210" t="s">
        <v>782</v>
      </c>
      <c r="P1127" s="210" t="s">
        <v>2208</v>
      </c>
      <c r="Q1127" s="210" t="s">
        <v>90</v>
      </c>
      <c r="R1127" s="210"/>
      <c r="S1127" s="210">
        <v>3923</v>
      </c>
      <c r="T1127" s="4" t="s">
        <v>2550</v>
      </c>
      <c r="U1127" s="210"/>
      <c r="V1127" s="210" t="s">
        <v>3139</v>
      </c>
      <c r="W1127" s="210" t="s">
        <v>129</v>
      </c>
      <c r="X1127" s="4">
        <f t="shared" si="23"/>
        <v>13</v>
      </c>
      <c r="Y1127" s="210"/>
      <c r="Z1127" s="210"/>
      <c r="AA1127" s="210"/>
      <c r="AB1127" s="210"/>
      <c r="AC1127" s="210">
        <v>0</v>
      </c>
      <c r="AD1127" s="210"/>
      <c r="AE1127" s="210"/>
    </row>
    <row r="1128" spans="1:31" x14ac:dyDescent="0.2">
      <c r="A1128" s="209"/>
      <c r="B1128" s="4" t="s">
        <v>34</v>
      </c>
      <c r="C1128" s="4">
        <v>1123</v>
      </c>
      <c r="D1128" s="210"/>
      <c r="E1128" s="210"/>
      <c r="F1128" s="210"/>
      <c r="G1128" s="210"/>
      <c r="H1128" s="210"/>
      <c r="I1128" s="210"/>
      <c r="J1128" s="4">
        <v>40323</v>
      </c>
      <c r="K1128" s="210"/>
      <c r="L1128" s="210">
        <v>71</v>
      </c>
      <c r="M1128" s="4">
        <f t="shared" si="22"/>
        <v>2</v>
      </c>
      <c r="N1128" s="4" t="str">
        <f>_xlfn.CONCAT("DBX",((L1128-1)*2),".2")</f>
        <v>DBX140.2</v>
      </c>
      <c r="O1128" s="210" t="s">
        <v>782</v>
      </c>
      <c r="P1128" s="210"/>
      <c r="Q1128" s="210"/>
      <c r="R1128" s="210"/>
      <c r="S1128" s="210"/>
      <c r="T1128" s="210"/>
      <c r="U1128" s="210"/>
      <c r="V1128" s="210"/>
      <c r="W1128" s="210"/>
      <c r="X1128" s="4" t="e">
        <f t="shared" si="23"/>
        <v>#N/A</v>
      </c>
      <c r="Y1128" s="210"/>
      <c r="Z1128" s="210"/>
      <c r="AA1128" s="210"/>
      <c r="AB1128" s="210"/>
      <c r="AC1128" s="210"/>
      <c r="AD1128" s="210"/>
      <c r="AE1128" s="210"/>
    </row>
    <row r="1129" spans="1:31" x14ac:dyDescent="0.2">
      <c r="A1129" s="209"/>
      <c r="B1129" s="4" t="s">
        <v>34</v>
      </c>
      <c r="C1129" s="4">
        <v>1124</v>
      </c>
      <c r="D1129" s="210"/>
      <c r="E1129" s="210"/>
      <c r="F1129" s="210"/>
      <c r="G1129" s="210"/>
      <c r="H1129" s="210"/>
      <c r="I1129" s="210"/>
      <c r="J1129" s="4">
        <v>40324</v>
      </c>
      <c r="K1129" s="210"/>
      <c r="L1129" s="210">
        <v>71</v>
      </c>
      <c r="M1129" s="4">
        <f t="shared" si="22"/>
        <v>3</v>
      </c>
      <c r="N1129" s="4" t="str">
        <f>_xlfn.CONCAT("DBX",((L1129-1)*2),".3")</f>
        <v>DBX140.3</v>
      </c>
      <c r="O1129" s="210" t="s">
        <v>782</v>
      </c>
      <c r="P1129" s="210"/>
      <c r="Q1129" s="210"/>
      <c r="R1129" s="210"/>
      <c r="S1129" s="210"/>
      <c r="T1129" s="210"/>
      <c r="U1129" s="210"/>
      <c r="V1129" s="210"/>
      <c r="W1129" s="210"/>
      <c r="X1129" s="4" t="e">
        <f t="shared" si="23"/>
        <v>#N/A</v>
      </c>
      <c r="Y1129" s="210"/>
      <c r="Z1129" s="210"/>
      <c r="AA1129" s="210"/>
      <c r="AB1129" s="210"/>
      <c r="AC1129" s="210"/>
      <c r="AD1129" s="210"/>
      <c r="AE1129" s="210"/>
    </row>
    <row r="1130" spans="1:31" x14ac:dyDescent="0.2">
      <c r="A1130" s="209"/>
      <c r="B1130" s="4" t="s">
        <v>34</v>
      </c>
      <c r="C1130" s="4">
        <v>1125</v>
      </c>
      <c r="D1130" s="210"/>
      <c r="E1130" s="210"/>
      <c r="F1130" s="210"/>
      <c r="G1130" s="210"/>
      <c r="H1130" s="210"/>
      <c r="I1130" s="210"/>
      <c r="J1130" s="4">
        <v>40325</v>
      </c>
      <c r="K1130" s="210"/>
      <c r="L1130" s="210">
        <v>71</v>
      </c>
      <c r="M1130" s="4">
        <f t="shared" si="22"/>
        <v>4</v>
      </c>
      <c r="N1130" s="4" t="str">
        <f>_xlfn.CONCAT("DBX",((L1130-1)*2),".4")</f>
        <v>DBX140.4</v>
      </c>
      <c r="O1130" s="210" t="s">
        <v>782</v>
      </c>
      <c r="P1130" s="210"/>
      <c r="Q1130" s="210"/>
      <c r="R1130" s="210"/>
      <c r="S1130" s="210"/>
      <c r="T1130" s="210"/>
      <c r="U1130" s="210"/>
      <c r="V1130" s="210"/>
      <c r="W1130" s="210"/>
      <c r="X1130" s="4" t="e">
        <f t="shared" si="23"/>
        <v>#N/A</v>
      </c>
      <c r="Y1130" s="210"/>
      <c r="Z1130" s="210"/>
      <c r="AA1130" s="210"/>
      <c r="AB1130" s="210"/>
      <c r="AC1130" s="210"/>
      <c r="AD1130" s="210"/>
      <c r="AE1130" s="210"/>
    </row>
    <row r="1131" spans="1:31" x14ac:dyDescent="0.2">
      <c r="A1131" s="209"/>
      <c r="B1131" s="4" t="s">
        <v>2706</v>
      </c>
      <c r="C1131" s="4">
        <v>1126</v>
      </c>
      <c r="D1131" s="210" t="s">
        <v>2212</v>
      </c>
      <c r="E1131" s="210" t="s">
        <v>2211</v>
      </c>
      <c r="F1131" s="210" t="s">
        <v>2710</v>
      </c>
      <c r="G1131" s="210" t="s">
        <v>329</v>
      </c>
      <c r="H1131" s="210" t="s">
        <v>359</v>
      </c>
      <c r="I1131" s="210" t="s">
        <v>85</v>
      </c>
      <c r="J1131" s="4">
        <v>40326</v>
      </c>
      <c r="K1131" s="210" t="s">
        <v>11</v>
      </c>
      <c r="L1131" s="210">
        <v>71</v>
      </c>
      <c r="M1131" s="4">
        <f t="shared" si="22"/>
        <v>5</v>
      </c>
      <c r="N1131" s="4" t="str">
        <f>_xlfn.CONCAT("DBX",((L1131-1)*2),".5")</f>
        <v>DBX140.5</v>
      </c>
      <c r="O1131" s="210" t="s">
        <v>782</v>
      </c>
      <c r="P1131" s="210" t="s">
        <v>2213</v>
      </c>
      <c r="Q1131" s="210" t="s">
        <v>12</v>
      </c>
      <c r="R1131" s="210"/>
      <c r="S1131" s="210">
        <v>3923</v>
      </c>
      <c r="T1131" s="4" t="s">
        <v>2550</v>
      </c>
      <c r="U1131" s="210"/>
      <c r="V1131" s="210"/>
      <c r="W1131" s="210" t="s">
        <v>129</v>
      </c>
      <c r="X1131" s="4">
        <f t="shared" si="23"/>
        <v>13</v>
      </c>
      <c r="Y1131" s="210"/>
      <c r="Z1131" s="210"/>
      <c r="AA1131" s="210"/>
      <c r="AB1131" s="210"/>
      <c r="AC1131" s="210">
        <v>1</v>
      </c>
      <c r="AD1131" s="210"/>
      <c r="AE1131" s="210"/>
    </row>
    <row r="1132" spans="1:31" x14ac:dyDescent="0.2">
      <c r="A1132" s="209"/>
      <c r="B1132" s="4" t="s">
        <v>2706</v>
      </c>
      <c r="C1132" s="4">
        <v>1127</v>
      </c>
      <c r="D1132" s="210" t="s">
        <v>2237</v>
      </c>
      <c r="E1132" s="210" t="s">
        <v>2218</v>
      </c>
      <c r="F1132" s="210" t="s">
        <v>2711</v>
      </c>
      <c r="G1132" s="210" t="s">
        <v>329</v>
      </c>
      <c r="H1132" s="210" t="s">
        <v>359</v>
      </c>
      <c r="I1132" s="210" t="s">
        <v>85</v>
      </c>
      <c r="J1132" s="4">
        <v>40327</v>
      </c>
      <c r="K1132" s="210" t="s">
        <v>99</v>
      </c>
      <c r="L1132" s="210">
        <v>71</v>
      </c>
      <c r="M1132" s="4">
        <f t="shared" si="22"/>
        <v>6</v>
      </c>
      <c r="N1132" s="4" t="str">
        <f>_xlfn.CONCAT("DBX",((L1132-1)*2),".6")</f>
        <v>DBX140.6</v>
      </c>
      <c r="O1132" s="210" t="s">
        <v>782</v>
      </c>
      <c r="P1132" s="210" t="s">
        <v>2216</v>
      </c>
      <c r="Q1132" s="210" t="s">
        <v>12</v>
      </c>
      <c r="R1132" s="210"/>
      <c r="S1132" s="210">
        <v>3923</v>
      </c>
      <c r="T1132" s="4" t="s">
        <v>2550</v>
      </c>
      <c r="U1132" s="210"/>
      <c r="V1132" s="210"/>
      <c r="W1132" s="210" t="s">
        <v>123</v>
      </c>
      <c r="X1132" s="4">
        <f t="shared" si="23"/>
        <v>7</v>
      </c>
      <c r="Y1132" s="210"/>
      <c r="Z1132" s="210"/>
      <c r="AA1132" s="210"/>
      <c r="AB1132" s="210"/>
      <c r="AC1132" s="210">
        <v>1</v>
      </c>
      <c r="AD1132" s="210"/>
      <c r="AE1132" s="210"/>
    </row>
    <row r="1133" spans="1:31" x14ac:dyDescent="0.2">
      <c r="A1133" s="209"/>
      <c r="B1133" s="4" t="s">
        <v>2857</v>
      </c>
      <c r="C1133" s="4">
        <v>1128</v>
      </c>
      <c r="D1133" s="210" t="s">
        <v>2236</v>
      </c>
      <c r="E1133" s="210" t="s">
        <v>2214</v>
      </c>
      <c r="F1133" s="210" t="s">
        <v>2712</v>
      </c>
      <c r="G1133" s="210" t="s">
        <v>329</v>
      </c>
      <c r="H1133" s="210" t="s">
        <v>359</v>
      </c>
      <c r="I1133" s="210" t="s">
        <v>85</v>
      </c>
      <c r="J1133" s="4">
        <v>40328</v>
      </c>
      <c r="K1133" s="210" t="s">
        <v>99</v>
      </c>
      <c r="L1133" s="210">
        <v>71</v>
      </c>
      <c r="M1133" s="4">
        <f t="shared" si="22"/>
        <v>7</v>
      </c>
      <c r="N1133" s="4" t="str">
        <f>_xlfn.CONCAT("DBX",((L1133-1)*2),".7")</f>
        <v>DBX140.7</v>
      </c>
      <c r="O1133" s="210" t="s">
        <v>782</v>
      </c>
      <c r="P1133" s="210" t="s">
        <v>2216</v>
      </c>
      <c r="Q1133" s="210" t="s">
        <v>12</v>
      </c>
      <c r="R1133" s="210"/>
      <c r="S1133" s="210">
        <v>3923</v>
      </c>
      <c r="T1133" s="4" t="s">
        <v>2550</v>
      </c>
      <c r="U1133" s="210"/>
      <c r="V1133" s="210"/>
      <c r="W1133" s="210" t="s">
        <v>123</v>
      </c>
      <c r="X1133" s="4">
        <f t="shared" si="23"/>
        <v>7</v>
      </c>
      <c r="Y1133" s="210"/>
      <c r="Z1133" s="210"/>
      <c r="AA1133" s="210"/>
      <c r="AB1133" s="210"/>
      <c r="AC1133" s="210">
        <v>1</v>
      </c>
      <c r="AD1133" s="210"/>
      <c r="AE1133" s="210"/>
    </row>
    <row r="1134" spans="1:31" x14ac:dyDescent="0.2">
      <c r="A1134" s="209"/>
      <c r="B1134" s="4" t="s">
        <v>2857</v>
      </c>
      <c r="C1134" s="4">
        <v>1129</v>
      </c>
      <c r="D1134" s="210" t="s">
        <v>2235</v>
      </c>
      <c r="E1134" s="210" t="s">
        <v>2215</v>
      </c>
      <c r="F1134" s="210" t="s">
        <v>2713</v>
      </c>
      <c r="G1134" s="210" t="s">
        <v>329</v>
      </c>
      <c r="H1134" s="210" t="s">
        <v>359</v>
      </c>
      <c r="I1134" s="210" t="s">
        <v>85</v>
      </c>
      <c r="J1134" s="4">
        <v>40329</v>
      </c>
      <c r="K1134" s="210" t="s">
        <v>99</v>
      </c>
      <c r="L1134" s="210">
        <v>71</v>
      </c>
      <c r="M1134" s="4">
        <f t="shared" si="22"/>
        <v>8</v>
      </c>
      <c r="N1134" s="4" t="str">
        <f>_xlfn.CONCAT("DBX",((L1134-1)*2)+1,".0")</f>
        <v>DBX141.0</v>
      </c>
      <c r="O1134" s="210" t="s">
        <v>782</v>
      </c>
      <c r="P1134" s="210" t="s">
        <v>2216</v>
      </c>
      <c r="Q1134" s="210" t="s">
        <v>12</v>
      </c>
      <c r="R1134" s="210"/>
      <c r="S1134" s="210">
        <v>3923</v>
      </c>
      <c r="T1134" s="4" t="s">
        <v>2550</v>
      </c>
      <c r="U1134" s="210"/>
      <c r="V1134" s="210"/>
      <c r="W1134" s="210" t="s">
        <v>123</v>
      </c>
      <c r="X1134" s="4">
        <f t="shared" si="23"/>
        <v>7</v>
      </c>
      <c r="Y1134" s="210"/>
      <c r="Z1134" s="210"/>
      <c r="AA1134" s="210"/>
      <c r="AB1134" s="210"/>
      <c r="AC1134" s="210">
        <v>1</v>
      </c>
      <c r="AD1134" s="210"/>
      <c r="AE1134" s="210"/>
    </row>
    <row r="1135" spans="1:31" x14ac:dyDescent="0.2">
      <c r="A1135" s="209"/>
      <c r="B1135" s="4" t="s">
        <v>2706</v>
      </c>
      <c r="C1135" s="4">
        <v>1130</v>
      </c>
      <c r="D1135" s="210" t="s">
        <v>2238</v>
      </c>
      <c r="E1135" s="210" t="s">
        <v>2219</v>
      </c>
      <c r="F1135" s="210" t="s">
        <v>2714</v>
      </c>
      <c r="G1135" s="210" t="s">
        <v>329</v>
      </c>
      <c r="H1135" s="210" t="s">
        <v>359</v>
      </c>
      <c r="I1135" s="210" t="s">
        <v>85</v>
      </c>
      <c r="J1135" s="4">
        <v>40330</v>
      </c>
      <c r="K1135" s="210" t="s">
        <v>99</v>
      </c>
      <c r="L1135" s="210">
        <v>71</v>
      </c>
      <c r="M1135" s="4">
        <f t="shared" si="22"/>
        <v>9</v>
      </c>
      <c r="N1135" s="4" t="str">
        <f>_xlfn.CONCAT("DBX",((L1135-1)*2)+1,".1")</f>
        <v>DBX141.1</v>
      </c>
      <c r="O1135" s="210" t="s">
        <v>782</v>
      </c>
      <c r="P1135" s="210" t="s">
        <v>2217</v>
      </c>
      <c r="Q1135" s="210" t="s">
        <v>93</v>
      </c>
      <c r="R1135" s="210"/>
      <c r="S1135" s="210">
        <v>3923</v>
      </c>
      <c r="T1135" s="4" t="s">
        <v>2550</v>
      </c>
      <c r="U1135" s="210"/>
      <c r="V1135" s="210"/>
      <c r="W1135" s="210" t="s">
        <v>120</v>
      </c>
      <c r="X1135" s="4">
        <f t="shared" si="23"/>
        <v>4</v>
      </c>
      <c r="Y1135" s="210"/>
      <c r="Z1135" s="210"/>
      <c r="AA1135" s="210"/>
      <c r="AB1135" s="210"/>
      <c r="AC1135" s="210">
        <v>1</v>
      </c>
      <c r="AD1135" s="210"/>
      <c r="AE1135" s="210"/>
    </row>
    <row r="1136" spans="1:31" x14ac:dyDescent="0.2">
      <c r="A1136" s="209"/>
      <c r="B1136" s="4" t="s">
        <v>2706</v>
      </c>
      <c r="C1136" s="4">
        <v>1131</v>
      </c>
      <c r="D1136" s="210" t="s">
        <v>2239</v>
      </c>
      <c r="E1136" s="210" t="s">
        <v>2220</v>
      </c>
      <c r="F1136" s="210" t="s">
        <v>2715</v>
      </c>
      <c r="G1136" s="210" t="s">
        <v>329</v>
      </c>
      <c r="H1136" s="210" t="s">
        <v>359</v>
      </c>
      <c r="I1136" s="210" t="s">
        <v>85</v>
      </c>
      <c r="J1136" s="4">
        <v>40331</v>
      </c>
      <c r="K1136" s="210" t="s">
        <v>99</v>
      </c>
      <c r="L1136" s="210">
        <v>71</v>
      </c>
      <c r="M1136" s="4">
        <f t="shared" si="22"/>
        <v>10</v>
      </c>
      <c r="N1136" s="4" t="str">
        <f>_xlfn.CONCAT("DBX",((L1136-1)*2)+1,".2")</f>
        <v>DBX141.2</v>
      </c>
      <c r="O1136" s="210" t="s">
        <v>782</v>
      </c>
      <c r="P1136" s="210" t="s">
        <v>2217</v>
      </c>
      <c r="Q1136" s="210" t="s">
        <v>93</v>
      </c>
      <c r="R1136" s="210"/>
      <c r="S1136" s="210">
        <v>3923</v>
      </c>
      <c r="T1136" s="4" t="s">
        <v>2550</v>
      </c>
      <c r="U1136" s="210"/>
      <c r="V1136" s="210"/>
      <c r="W1136" s="210" t="s">
        <v>120</v>
      </c>
      <c r="X1136" s="4">
        <f t="shared" si="23"/>
        <v>4</v>
      </c>
      <c r="Y1136" s="210"/>
      <c r="Z1136" s="210"/>
      <c r="AA1136" s="210"/>
      <c r="AB1136" s="210"/>
      <c r="AC1136" s="210">
        <v>1</v>
      </c>
      <c r="AD1136" s="210"/>
      <c r="AE1136" s="210"/>
    </row>
    <row r="1137" spans="1:31" x14ac:dyDescent="0.2">
      <c r="A1137" s="209"/>
      <c r="B1137" s="4" t="s">
        <v>2706</v>
      </c>
      <c r="C1137" s="4">
        <v>1132</v>
      </c>
      <c r="D1137" s="210" t="s">
        <v>2240</v>
      </c>
      <c r="E1137" s="210" t="s">
        <v>2221</v>
      </c>
      <c r="F1137" s="210" t="s">
        <v>2716</v>
      </c>
      <c r="G1137" s="210" t="s">
        <v>329</v>
      </c>
      <c r="H1137" s="210" t="s">
        <v>359</v>
      </c>
      <c r="I1137" s="210" t="s">
        <v>85</v>
      </c>
      <c r="J1137" s="4">
        <v>40332</v>
      </c>
      <c r="K1137" s="210" t="s">
        <v>99</v>
      </c>
      <c r="L1137" s="210">
        <v>71</v>
      </c>
      <c r="M1137" s="4">
        <f t="shared" si="22"/>
        <v>11</v>
      </c>
      <c r="N1137" s="4" t="str">
        <f>_xlfn.CONCAT("DBX",((L1137-1)*2)+1,".3")</f>
        <v>DBX141.3</v>
      </c>
      <c r="O1137" s="210" t="s">
        <v>782</v>
      </c>
      <c r="P1137" s="210" t="s">
        <v>2217</v>
      </c>
      <c r="Q1137" s="210" t="s">
        <v>12</v>
      </c>
      <c r="R1137" s="210"/>
      <c r="S1137" s="210">
        <v>3923</v>
      </c>
      <c r="T1137" s="4" t="s">
        <v>2550</v>
      </c>
      <c r="U1137" s="210"/>
      <c r="V1137" s="210"/>
      <c r="W1137" s="210" t="s">
        <v>120</v>
      </c>
      <c r="X1137" s="4">
        <f t="shared" si="23"/>
        <v>4</v>
      </c>
      <c r="Y1137" s="210"/>
      <c r="Z1137" s="210"/>
      <c r="AA1137" s="210"/>
      <c r="AB1137" s="210"/>
      <c r="AC1137" s="210">
        <v>1</v>
      </c>
      <c r="AD1137" s="210"/>
      <c r="AE1137" s="210"/>
    </row>
    <row r="1138" spans="1:31" x14ac:dyDescent="0.2">
      <c r="A1138" s="209"/>
      <c r="B1138" s="4" t="s">
        <v>34</v>
      </c>
      <c r="C1138" s="4">
        <v>1133</v>
      </c>
      <c r="D1138" s="210"/>
      <c r="E1138" s="210"/>
      <c r="F1138" s="210"/>
      <c r="G1138" s="210"/>
      <c r="H1138" s="210"/>
      <c r="I1138" s="210"/>
      <c r="J1138" s="4">
        <v>40333</v>
      </c>
      <c r="K1138" s="210"/>
      <c r="L1138" s="210">
        <v>71</v>
      </c>
      <c r="M1138" s="4">
        <f t="shared" si="22"/>
        <v>12</v>
      </c>
      <c r="N1138" s="4" t="str">
        <f>_xlfn.CONCAT("DBX",((L1138-1)*2)+1,".4")</f>
        <v>DBX141.4</v>
      </c>
      <c r="O1138" s="210" t="s">
        <v>782</v>
      </c>
      <c r="P1138" s="210"/>
      <c r="Q1138" s="210"/>
      <c r="R1138" s="210"/>
      <c r="S1138" s="210"/>
      <c r="T1138" s="210"/>
      <c r="U1138" s="210"/>
      <c r="V1138" s="210"/>
      <c r="W1138" s="210"/>
      <c r="X1138" s="210"/>
      <c r="Y1138" s="210"/>
      <c r="Z1138" s="210"/>
      <c r="AA1138" s="210"/>
      <c r="AB1138" s="210"/>
      <c r="AC1138" s="210"/>
      <c r="AD1138" s="210"/>
      <c r="AE1138" s="210"/>
    </row>
    <row r="1139" spans="1:31" x14ac:dyDescent="0.2">
      <c r="A1139" s="209"/>
      <c r="B1139" s="4" t="s">
        <v>34</v>
      </c>
      <c r="C1139" s="4">
        <v>1134</v>
      </c>
      <c r="D1139" s="210"/>
      <c r="E1139" s="210"/>
      <c r="F1139" s="210"/>
      <c r="G1139" s="210"/>
      <c r="H1139" s="210"/>
      <c r="I1139" s="210"/>
      <c r="J1139" s="4">
        <v>40334</v>
      </c>
      <c r="K1139" s="210"/>
      <c r="L1139" s="210">
        <v>71</v>
      </c>
      <c r="M1139" s="4">
        <f t="shared" si="22"/>
        <v>13</v>
      </c>
      <c r="N1139" s="4" t="str">
        <f>_xlfn.CONCAT("DBX",((L1139-1)*2)+1,".5")</f>
        <v>DBX141.5</v>
      </c>
      <c r="O1139" s="210" t="s">
        <v>782</v>
      </c>
      <c r="P1139" s="210"/>
      <c r="Q1139" s="210"/>
      <c r="R1139" s="210"/>
      <c r="S1139" s="210"/>
      <c r="T1139" s="210"/>
      <c r="U1139" s="210"/>
      <c r="V1139" s="210"/>
      <c r="W1139" s="210"/>
      <c r="X1139" s="210"/>
      <c r="Y1139" s="210"/>
      <c r="Z1139" s="210"/>
      <c r="AA1139" s="210"/>
      <c r="AB1139" s="210"/>
      <c r="AC1139" s="210"/>
      <c r="AD1139" s="210"/>
      <c r="AE1139" s="210"/>
    </row>
    <row r="1140" spans="1:31" x14ac:dyDescent="0.2">
      <c r="A1140" s="209"/>
      <c r="B1140" s="4" t="s">
        <v>34</v>
      </c>
      <c r="C1140" s="4">
        <v>1135</v>
      </c>
      <c r="D1140" s="210"/>
      <c r="E1140" s="210"/>
      <c r="F1140" s="210"/>
      <c r="G1140" s="210"/>
      <c r="H1140" s="210"/>
      <c r="I1140" s="210"/>
      <c r="J1140" s="4">
        <v>40335</v>
      </c>
      <c r="K1140" s="210"/>
      <c r="L1140" s="210">
        <v>71</v>
      </c>
      <c r="M1140" s="4">
        <f t="shared" si="22"/>
        <v>14</v>
      </c>
      <c r="N1140" s="4" t="str">
        <f>_xlfn.CONCAT("DBX",((L1140-1)*2)+1,".6")</f>
        <v>DBX141.6</v>
      </c>
      <c r="O1140" s="210" t="s">
        <v>782</v>
      </c>
      <c r="P1140" s="210"/>
      <c r="Q1140" s="210"/>
      <c r="R1140" s="210"/>
      <c r="S1140" s="210"/>
      <c r="T1140" s="210"/>
      <c r="U1140" s="210"/>
      <c r="V1140" s="210"/>
      <c r="W1140" s="210"/>
      <c r="X1140" s="210"/>
      <c r="Y1140" s="210"/>
      <c r="Z1140" s="210"/>
      <c r="AA1140" s="210"/>
      <c r="AB1140" s="210"/>
      <c r="AC1140" s="210"/>
      <c r="AD1140" s="210"/>
      <c r="AE1140" s="210"/>
    </row>
    <row r="1141" spans="1:31" x14ac:dyDescent="0.2">
      <c r="A1141" s="209"/>
      <c r="B1141" s="4" t="s">
        <v>34</v>
      </c>
      <c r="C1141" s="4">
        <v>1136</v>
      </c>
      <c r="D1141" s="210"/>
      <c r="E1141" s="210"/>
      <c r="F1141" s="210"/>
      <c r="G1141" s="210"/>
      <c r="H1141" s="210"/>
      <c r="I1141" s="210"/>
      <c r="J1141" s="4">
        <v>40336</v>
      </c>
      <c r="K1141" s="210"/>
      <c r="L1141" s="210">
        <v>71</v>
      </c>
      <c r="M1141" s="4">
        <f t="shared" si="22"/>
        <v>15</v>
      </c>
      <c r="N1141" s="4" t="str">
        <f>_xlfn.CONCAT("DBX",((L1141-1)*2)+1,".7")</f>
        <v>DBX141.7</v>
      </c>
      <c r="O1141" s="210" t="s">
        <v>782</v>
      </c>
      <c r="P1141" s="210"/>
      <c r="Q1141" s="210"/>
      <c r="R1141" s="210"/>
      <c r="S1141" s="210"/>
      <c r="T1141" s="210"/>
      <c r="U1141" s="210"/>
      <c r="V1141" s="210"/>
      <c r="W1141" s="210"/>
      <c r="X1141" s="210"/>
      <c r="Y1141" s="210"/>
      <c r="Z1141" s="210"/>
      <c r="AA1141" s="210"/>
      <c r="AB1141" s="210"/>
      <c r="AC1141" s="210"/>
      <c r="AD1141" s="210"/>
      <c r="AE1141" s="210"/>
    </row>
    <row r="1142" spans="1:31" s="244" customFormat="1" ht="90" x14ac:dyDescent="0.2">
      <c r="A1142" s="268"/>
      <c r="B1142" s="266" t="s">
        <v>3349</v>
      </c>
      <c r="C1142" s="242">
        <v>1137</v>
      </c>
      <c r="D1142" s="269" t="s">
        <v>2437</v>
      </c>
      <c r="E1142" s="269" t="s">
        <v>2438</v>
      </c>
      <c r="F1142" s="271" t="s">
        <v>2469</v>
      </c>
      <c r="G1142" s="210" t="s">
        <v>72</v>
      </c>
      <c r="H1142" s="210" t="s">
        <v>41</v>
      </c>
      <c r="I1142" s="210" t="s">
        <v>84</v>
      </c>
      <c r="J1142" s="4">
        <v>40337</v>
      </c>
      <c r="K1142" s="210" t="s">
        <v>11</v>
      </c>
      <c r="L1142" s="210">
        <v>72</v>
      </c>
      <c r="M1142" s="4">
        <v>0</v>
      </c>
      <c r="N1142" s="4" t="str">
        <f>_xlfn.CONCAT("DBX",((L1142-1)*2),".0")</f>
        <v>DBX142.0</v>
      </c>
      <c r="O1142" s="210" t="s">
        <v>782</v>
      </c>
      <c r="P1142" s="210" t="s">
        <v>11</v>
      </c>
      <c r="Q1142" s="269" t="s">
        <v>88</v>
      </c>
      <c r="R1142" s="269"/>
      <c r="S1142" s="269">
        <v>3923</v>
      </c>
      <c r="T1142" s="242" t="s">
        <v>2550</v>
      </c>
      <c r="U1142" s="269"/>
      <c r="V1142" s="269"/>
      <c r="W1142" s="269" t="s">
        <v>129</v>
      </c>
      <c r="X1142" s="242">
        <f>VLOOKUP(W1142,$W$1609:$X$1639,2,FALSE)</f>
        <v>13</v>
      </c>
      <c r="Y1142" s="271" t="s">
        <v>2685</v>
      </c>
      <c r="Z1142" s="269"/>
      <c r="AA1142" s="269"/>
      <c r="AB1142" s="269"/>
      <c r="AC1142" s="266">
        <v>0</v>
      </c>
      <c r="AD1142" s="269"/>
      <c r="AE1142" s="269"/>
    </row>
    <row r="1143" spans="1:31" x14ac:dyDescent="0.2">
      <c r="A1143" s="209"/>
      <c r="B1143" s="4" t="s">
        <v>33</v>
      </c>
      <c r="C1143" s="4">
        <v>1138</v>
      </c>
      <c r="D1143" s="210" t="s">
        <v>2439</v>
      </c>
      <c r="E1143" s="210" t="s">
        <v>2440</v>
      </c>
      <c r="F1143" s="210" t="s">
        <v>2441</v>
      </c>
      <c r="G1143" s="210" t="s">
        <v>40</v>
      </c>
      <c r="H1143" s="210" t="s">
        <v>41</v>
      </c>
      <c r="I1143" s="210" t="s">
        <v>40</v>
      </c>
      <c r="J1143" s="4">
        <v>40338</v>
      </c>
      <c r="K1143" s="210" t="s">
        <v>11</v>
      </c>
      <c r="L1143" s="210">
        <v>72</v>
      </c>
      <c r="M1143" s="4">
        <v>1</v>
      </c>
      <c r="N1143" s="4" t="str">
        <f>_xlfn.CONCAT("DBX",((L1143-1)*2),".1")</f>
        <v>DBX142.1</v>
      </c>
      <c r="O1143" s="210" t="s">
        <v>782</v>
      </c>
      <c r="P1143" s="210" t="s">
        <v>11</v>
      </c>
      <c r="Q1143" s="210" t="s">
        <v>87</v>
      </c>
      <c r="R1143" s="210"/>
      <c r="S1143" s="210">
        <v>3923</v>
      </c>
      <c r="T1143" s="4" t="s">
        <v>2550</v>
      </c>
      <c r="U1143" s="210"/>
      <c r="V1143" s="210"/>
      <c r="W1143" s="210" t="s">
        <v>127</v>
      </c>
      <c r="X1143" s="4">
        <f>VLOOKUP(W1143,$W$1609:$X$1639,2,FALSE)</f>
        <v>11</v>
      </c>
      <c r="Y1143" s="210"/>
      <c r="Z1143" s="210"/>
      <c r="AA1143" s="210"/>
      <c r="AB1143" s="210"/>
      <c r="AC1143" s="210">
        <v>0</v>
      </c>
      <c r="AD1143" s="210"/>
      <c r="AE1143" s="210"/>
    </row>
    <row r="1144" spans="1:31" s="244" customFormat="1" x14ac:dyDescent="0.2">
      <c r="A1144" s="268"/>
      <c r="B1144" s="266" t="s">
        <v>3349</v>
      </c>
      <c r="C1144" s="242">
        <v>1139</v>
      </c>
      <c r="D1144" s="269" t="s">
        <v>2470</v>
      </c>
      <c r="E1144" s="269" t="s">
        <v>2471</v>
      </c>
      <c r="F1144" s="269" t="s">
        <v>2444</v>
      </c>
      <c r="G1144" s="210" t="s">
        <v>40</v>
      </c>
      <c r="H1144" s="210" t="s">
        <v>41</v>
      </c>
      <c r="I1144" s="210" t="s">
        <v>40</v>
      </c>
      <c r="J1144" s="4">
        <v>40339</v>
      </c>
      <c r="K1144" s="210" t="s">
        <v>11</v>
      </c>
      <c r="L1144" s="210">
        <v>72</v>
      </c>
      <c r="M1144" s="4">
        <v>2</v>
      </c>
      <c r="N1144" s="4" t="str">
        <f>_xlfn.CONCAT("DBX",((L1144-1)*2),".2")</f>
        <v>DBX142.2</v>
      </c>
      <c r="O1144" s="210" t="s">
        <v>782</v>
      </c>
      <c r="P1144" s="210" t="s">
        <v>11</v>
      </c>
      <c r="Q1144" s="269" t="s">
        <v>88</v>
      </c>
      <c r="R1144" s="269"/>
      <c r="S1144" s="269">
        <v>3923</v>
      </c>
      <c r="T1144" s="242" t="s">
        <v>2550</v>
      </c>
      <c r="U1144" s="269"/>
      <c r="V1144" s="269"/>
      <c r="W1144" s="269" t="s">
        <v>129</v>
      </c>
      <c r="X1144" s="242">
        <f>VLOOKUP(W1144,$W$1609:$X$1639,2,FALSE)</f>
        <v>13</v>
      </c>
      <c r="Y1144" s="269" t="s">
        <v>2445</v>
      </c>
      <c r="Z1144" s="269"/>
      <c r="AA1144" s="269"/>
      <c r="AB1144" s="269"/>
      <c r="AC1144" s="266">
        <v>0</v>
      </c>
      <c r="AD1144" s="269"/>
      <c r="AE1144" s="269"/>
    </row>
    <row r="1145" spans="1:31" s="244" customFormat="1" x14ac:dyDescent="0.2">
      <c r="A1145" s="268"/>
      <c r="B1145" s="266" t="s">
        <v>3349</v>
      </c>
      <c r="C1145" s="242">
        <v>1140</v>
      </c>
      <c r="D1145" s="269" t="s">
        <v>2446</v>
      </c>
      <c r="E1145" s="269" t="s">
        <v>2447</v>
      </c>
      <c r="F1145" s="269" t="s">
        <v>2448</v>
      </c>
      <c r="G1145" s="210" t="s">
        <v>72</v>
      </c>
      <c r="H1145" s="210" t="s">
        <v>41</v>
      </c>
      <c r="I1145" s="210" t="s">
        <v>84</v>
      </c>
      <c r="J1145" s="4">
        <v>40340</v>
      </c>
      <c r="K1145" s="210" t="s">
        <v>11</v>
      </c>
      <c r="L1145" s="210">
        <v>72</v>
      </c>
      <c r="M1145" s="4">
        <v>3</v>
      </c>
      <c r="N1145" s="4" t="str">
        <f>_xlfn.CONCAT("DBX",((L1145-1)*2),".3")</f>
        <v>DBX142.3</v>
      </c>
      <c r="O1145" s="210" t="s">
        <v>782</v>
      </c>
      <c r="P1145" s="210" t="s">
        <v>11</v>
      </c>
      <c r="Q1145" s="269" t="s">
        <v>88</v>
      </c>
      <c r="R1145" s="269"/>
      <c r="S1145" s="269">
        <v>3923</v>
      </c>
      <c r="T1145" s="242" t="s">
        <v>2550</v>
      </c>
      <c r="U1145" s="269"/>
      <c r="V1145" s="269"/>
      <c r="W1145" s="269" t="s">
        <v>129</v>
      </c>
      <c r="X1145" s="242">
        <f>VLOOKUP(W1145,$W$1609:$X$1639,2,FALSE)</f>
        <v>13</v>
      </c>
      <c r="Y1145" s="269" t="s">
        <v>2449</v>
      </c>
      <c r="Z1145" s="269"/>
      <c r="AA1145" s="269"/>
      <c r="AB1145" s="269"/>
      <c r="AC1145" s="266">
        <v>0</v>
      </c>
      <c r="AD1145" s="269"/>
      <c r="AE1145" s="269"/>
    </row>
    <row r="1146" spans="1:31" x14ac:dyDescent="0.2">
      <c r="A1146" s="209"/>
      <c r="B1146" s="4" t="s">
        <v>34</v>
      </c>
      <c r="C1146" s="4">
        <v>1141</v>
      </c>
      <c r="D1146" s="210"/>
      <c r="E1146" s="210"/>
      <c r="F1146" s="210"/>
      <c r="G1146" s="210"/>
      <c r="H1146" s="210"/>
      <c r="I1146" s="210"/>
      <c r="J1146" s="4">
        <v>40341</v>
      </c>
      <c r="K1146" s="210"/>
      <c r="L1146" s="210">
        <v>72</v>
      </c>
      <c r="M1146" s="4">
        <v>4</v>
      </c>
      <c r="N1146" s="4" t="str">
        <f>_xlfn.CONCAT("DBX",((L1146-1)*2),".4")</f>
        <v>DBX142.4</v>
      </c>
      <c r="O1146" s="210" t="s">
        <v>782</v>
      </c>
      <c r="P1146" s="210"/>
      <c r="Q1146" s="210"/>
      <c r="R1146" s="210"/>
      <c r="S1146" s="210"/>
      <c r="T1146" s="210"/>
      <c r="U1146" s="210"/>
      <c r="V1146" s="210"/>
      <c r="W1146" s="210"/>
      <c r="X1146" s="210"/>
      <c r="Y1146" s="210"/>
      <c r="Z1146" s="210"/>
      <c r="AA1146" s="210"/>
      <c r="AB1146" s="210"/>
      <c r="AC1146" s="210"/>
      <c r="AD1146" s="210"/>
      <c r="AE1146" s="210"/>
    </row>
    <row r="1147" spans="1:31" x14ac:dyDescent="0.2">
      <c r="A1147" s="209"/>
      <c r="B1147" s="4" t="s">
        <v>34</v>
      </c>
      <c r="C1147" s="4">
        <v>1142</v>
      </c>
      <c r="D1147" s="210"/>
      <c r="E1147" s="210"/>
      <c r="F1147" s="210"/>
      <c r="G1147" s="210"/>
      <c r="H1147" s="210"/>
      <c r="I1147" s="210"/>
      <c r="J1147" s="4">
        <v>40342</v>
      </c>
      <c r="K1147" s="210"/>
      <c r="L1147" s="210">
        <v>72</v>
      </c>
      <c r="M1147" s="4">
        <v>5</v>
      </c>
      <c r="N1147" s="4" t="str">
        <f>_xlfn.CONCAT("DBX",((L1147-1)*2),".5")</f>
        <v>DBX142.5</v>
      </c>
      <c r="O1147" s="210" t="s">
        <v>782</v>
      </c>
      <c r="P1147" s="210"/>
      <c r="Q1147" s="210"/>
      <c r="R1147" s="210"/>
      <c r="S1147" s="210"/>
      <c r="T1147" s="210"/>
      <c r="U1147" s="210"/>
      <c r="V1147" s="210"/>
      <c r="W1147" s="210"/>
      <c r="X1147" s="210"/>
      <c r="Y1147" s="210"/>
      <c r="Z1147" s="210"/>
      <c r="AA1147" s="210"/>
      <c r="AB1147" s="210"/>
      <c r="AC1147" s="210"/>
      <c r="AD1147" s="210"/>
      <c r="AE1147" s="210"/>
    </row>
    <row r="1148" spans="1:31" x14ac:dyDescent="0.2">
      <c r="A1148" s="209"/>
      <c r="B1148" s="4" t="s">
        <v>34</v>
      </c>
      <c r="C1148" s="4">
        <v>1143</v>
      </c>
      <c r="D1148" s="210"/>
      <c r="E1148" s="210"/>
      <c r="F1148" s="210"/>
      <c r="G1148" s="210"/>
      <c r="H1148" s="210"/>
      <c r="I1148" s="210"/>
      <c r="J1148" s="4">
        <v>40343</v>
      </c>
      <c r="K1148" s="210"/>
      <c r="L1148" s="210">
        <v>72</v>
      </c>
      <c r="M1148" s="4">
        <v>6</v>
      </c>
      <c r="N1148" s="4" t="str">
        <f>_xlfn.CONCAT("DBX",((L1148-1)*2),".6")</f>
        <v>DBX142.6</v>
      </c>
      <c r="O1148" s="210" t="s">
        <v>782</v>
      </c>
      <c r="P1148" s="210"/>
      <c r="Q1148" s="210"/>
      <c r="R1148" s="210"/>
      <c r="S1148" s="210"/>
      <c r="T1148" s="210"/>
      <c r="U1148" s="210"/>
      <c r="V1148" s="210"/>
      <c r="W1148" s="210"/>
      <c r="X1148" s="210"/>
      <c r="Y1148" s="210"/>
      <c r="Z1148" s="210"/>
      <c r="AA1148" s="210"/>
      <c r="AB1148" s="210"/>
      <c r="AC1148" s="210"/>
      <c r="AD1148" s="210"/>
      <c r="AE1148" s="210"/>
    </row>
    <row r="1149" spans="1:31" x14ac:dyDescent="0.2">
      <c r="A1149" s="209"/>
      <c r="B1149" s="4" t="s">
        <v>34</v>
      </c>
      <c r="C1149" s="4">
        <v>1144</v>
      </c>
      <c r="D1149" s="210"/>
      <c r="E1149" s="210"/>
      <c r="F1149" s="210"/>
      <c r="G1149" s="210"/>
      <c r="H1149" s="210"/>
      <c r="I1149" s="210"/>
      <c r="J1149" s="4">
        <v>40344</v>
      </c>
      <c r="K1149" s="210"/>
      <c r="L1149" s="210">
        <v>72</v>
      </c>
      <c r="M1149" s="4">
        <v>7</v>
      </c>
      <c r="N1149" s="4" t="str">
        <f>_xlfn.CONCAT("DBX",((L1149-1)*2),".7")</f>
        <v>DBX142.7</v>
      </c>
      <c r="O1149" s="210" t="s">
        <v>782</v>
      </c>
      <c r="P1149" s="210"/>
      <c r="Q1149" s="210"/>
      <c r="R1149" s="210"/>
      <c r="S1149" s="210"/>
      <c r="T1149" s="210"/>
      <c r="U1149" s="210"/>
      <c r="V1149" s="210"/>
      <c r="W1149" s="210"/>
      <c r="X1149" s="210"/>
      <c r="Y1149" s="210"/>
      <c r="Z1149" s="210"/>
      <c r="AA1149" s="210"/>
      <c r="AB1149" s="210"/>
      <c r="AC1149" s="210"/>
      <c r="AD1149" s="210"/>
      <c r="AE1149" s="210"/>
    </row>
    <row r="1150" spans="1:31" x14ac:dyDescent="0.2">
      <c r="A1150" s="209"/>
      <c r="B1150" s="4" t="s">
        <v>34</v>
      </c>
      <c r="C1150" s="4">
        <v>1145</v>
      </c>
      <c r="D1150" s="210"/>
      <c r="E1150" s="210"/>
      <c r="F1150" s="210"/>
      <c r="G1150" s="210"/>
      <c r="H1150" s="210"/>
      <c r="I1150" s="210"/>
      <c r="J1150" s="4">
        <v>40345</v>
      </c>
      <c r="K1150" s="210"/>
      <c r="L1150" s="210">
        <v>72</v>
      </c>
      <c r="M1150" s="4">
        <v>8</v>
      </c>
      <c r="N1150" s="4" t="str">
        <f>_xlfn.CONCAT("DBX",((L1150-1)*2)+1,".0")</f>
        <v>DBX143.0</v>
      </c>
      <c r="O1150" s="210" t="s">
        <v>782</v>
      </c>
      <c r="P1150" s="210"/>
      <c r="Q1150" s="210"/>
      <c r="R1150" s="210"/>
      <c r="S1150" s="210"/>
      <c r="T1150" s="210"/>
      <c r="U1150" s="210"/>
      <c r="V1150" s="210"/>
      <c r="W1150" s="210"/>
      <c r="X1150" s="210"/>
      <c r="Y1150" s="210"/>
      <c r="Z1150" s="210"/>
      <c r="AA1150" s="210"/>
      <c r="AB1150" s="210"/>
      <c r="AC1150" s="210"/>
      <c r="AD1150" s="210"/>
      <c r="AE1150" s="210"/>
    </row>
    <row r="1151" spans="1:31" x14ac:dyDescent="0.2">
      <c r="A1151" s="209"/>
      <c r="B1151" s="4" t="s">
        <v>34</v>
      </c>
      <c r="C1151" s="4">
        <v>1146</v>
      </c>
      <c r="D1151" s="210"/>
      <c r="E1151" s="210"/>
      <c r="F1151" s="210"/>
      <c r="G1151" s="210"/>
      <c r="H1151" s="210"/>
      <c r="I1151" s="210"/>
      <c r="J1151" s="4">
        <v>40346</v>
      </c>
      <c r="K1151" s="210"/>
      <c r="L1151" s="210">
        <v>72</v>
      </c>
      <c r="M1151" s="4">
        <v>9</v>
      </c>
      <c r="N1151" s="4" t="str">
        <f>_xlfn.CONCAT("DBX",((L1151-1)*2)+1,".1")</f>
        <v>DBX143.1</v>
      </c>
      <c r="O1151" s="210" t="s">
        <v>782</v>
      </c>
      <c r="P1151" s="210"/>
      <c r="Q1151" s="210"/>
      <c r="R1151" s="210"/>
      <c r="S1151" s="210"/>
      <c r="T1151" s="210"/>
      <c r="U1151" s="210"/>
      <c r="V1151" s="210"/>
      <c r="W1151" s="210"/>
      <c r="X1151" s="210"/>
      <c r="Y1151" s="210"/>
      <c r="Z1151" s="210"/>
      <c r="AA1151" s="210"/>
      <c r="AB1151" s="210"/>
      <c r="AC1151" s="210"/>
      <c r="AD1151" s="210"/>
      <c r="AE1151" s="210"/>
    </row>
    <row r="1152" spans="1:31" x14ac:dyDescent="0.2">
      <c r="A1152" s="209"/>
      <c r="B1152" s="4" t="s">
        <v>34</v>
      </c>
      <c r="C1152" s="4">
        <v>1147</v>
      </c>
      <c r="D1152" s="210"/>
      <c r="E1152" s="210"/>
      <c r="F1152" s="210"/>
      <c r="G1152" s="210"/>
      <c r="H1152" s="210"/>
      <c r="I1152" s="210"/>
      <c r="J1152" s="4">
        <v>40347</v>
      </c>
      <c r="K1152" s="210"/>
      <c r="L1152" s="210">
        <v>72</v>
      </c>
      <c r="M1152" s="4">
        <v>10</v>
      </c>
      <c r="N1152" s="4" t="str">
        <f>_xlfn.CONCAT("DBX",((L1152-1)*2)+1,".2")</f>
        <v>DBX143.2</v>
      </c>
      <c r="O1152" s="210" t="s">
        <v>782</v>
      </c>
      <c r="P1152" s="210"/>
      <c r="Q1152" s="210"/>
      <c r="R1152" s="210"/>
      <c r="S1152" s="210"/>
      <c r="T1152" s="210"/>
      <c r="U1152" s="210"/>
      <c r="V1152" s="210"/>
      <c r="W1152" s="210"/>
      <c r="X1152" s="210"/>
      <c r="Y1152" s="210"/>
      <c r="Z1152" s="210"/>
      <c r="AA1152" s="210"/>
      <c r="AB1152" s="210"/>
      <c r="AC1152" s="210"/>
      <c r="AD1152" s="210"/>
      <c r="AE1152" s="210"/>
    </row>
    <row r="1153" spans="1:31" x14ac:dyDescent="0.2">
      <c r="A1153" s="209"/>
      <c r="B1153" s="4" t="s">
        <v>34</v>
      </c>
      <c r="C1153" s="4">
        <v>1148</v>
      </c>
      <c r="D1153" s="210"/>
      <c r="E1153" s="210"/>
      <c r="F1153" s="210"/>
      <c r="G1153" s="210"/>
      <c r="H1153" s="210"/>
      <c r="I1153" s="210"/>
      <c r="J1153" s="4">
        <v>40348</v>
      </c>
      <c r="K1153" s="210"/>
      <c r="L1153" s="210">
        <v>72</v>
      </c>
      <c r="M1153" s="4">
        <v>11</v>
      </c>
      <c r="N1153" s="4" t="str">
        <f>_xlfn.CONCAT("DBX",((L1153-1)*2)+1,".3")</f>
        <v>DBX143.3</v>
      </c>
      <c r="O1153" s="210" t="s">
        <v>782</v>
      </c>
      <c r="P1153" s="210"/>
      <c r="Q1153" s="210"/>
      <c r="R1153" s="210"/>
      <c r="S1153" s="210"/>
      <c r="T1153" s="210"/>
      <c r="U1153" s="210"/>
      <c r="V1153" s="210"/>
      <c r="W1153" s="210"/>
      <c r="X1153" s="210"/>
      <c r="Y1153" s="210"/>
      <c r="Z1153" s="210"/>
      <c r="AA1153" s="210"/>
      <c r="AB1153" s="210"/>
      <c r="AC1153" s="210"/>
      <c r="AD1153" s="210"/>
      <c r="AE1153" s="210"/>
    </row>
    <row r="1154" spans="1:31" x14ac:dyDescent="0.2">
      <c r="A1154" s="209"/>
      <c r="B1154" s="4" t="s">
        <v>34</v>
      </c>
      <c r="C1154" s="4">
        <v>1149</v>
      </c>
      <c r="D1154" s="210"/>
      <c r="E1154" s="210"/>
      <c r="F1154" s="210"/>
      <c r="G1154" s="210"/>
      <c r="H1154" s="210"/>
      <c r="I1154" s="210"/>
      <c r="J1154" s="4">
        <v>40349</v>
      </c>
      <c r="K1154" s="210"/>
      <c r="L1154" s="210">
        <v>72</v>
      </c>
      <c r="M1154" s="4">
        <v>12</v>
      </c>
      <c r="N1154" s="4" t="str">
        <f>_xlfn.CONCAT("DBX",((L1154-1)*2)+1,".4")</f>
        <v>DBX143.4</v>
      </c>
      <c r="O1154" s="210" t="s">
        <v>782</v>
      </c>
      <c r="P1154" s="210"/>
      <c r="Q1154" s="210"/>
      <c r="R1154" s="210"/>
      <c r="S1154" s="210"/>
      <c r="T1154" s="210"/>
      <c r="U1154" s="210"/>
      <c r="V1154" s="210"/>
      <c r="W1154" s="210"/>
      <c r="X1154" s="210"/>
      <c r="Y1154" s="210"/>
      <c r="Z1154" s="210"/>
      <c r="AA1154" s="210"/>
      <c r="AB1154" s="210"/>
      <c r="AC1154" s="210"/>
      <c r="AD1154" s="210"/>
      <c r="AE1154" s="210"/>
    </row>
    <row r="1155" spans="1:31" x14ac:dyDescent="0.2">
      <c r="A1155" s="209"/>
      <c r="B1155" s="4" t="s">
        <v>34</v>
      </c>
      <c r="C1155" s="4">
        <v>1150</v>
      </c>
      <c r="D1155" s="210"/>
      <c r="E1155" s="210"/>
      <c r="F1155" s="210"/>
      <c r="G1155" s="210"/>
      <c r="H1155" s="210"/>
      <c r="I1155" s="210"/>
      <c r="J1155" s="4">
        <v>40350</v>
      </c>
      <c r="K1155" s="210"/>
      <c r="L1155" s="210">
        <v>72</v>
      </c>
      <c r="M1155" s="4">
        <v>13</v>
      </c>
      <c r="N1155" s="4" t="str">
        <f>_xlfn.CONCAT("DBX",((L1155-1)*2)+1,".5")</f>
        <v>DBX143.5</v>
      </c>
      <c r="O1155" s="210" t="s">
        <v>782</v>
      </c>
      <c r="P1155" s="210"/>
      <c r="Q1155" s="210"/>
      <c r="R1155" s="210"/>
      <c r="S1155" s="210"/>
      <c r="T1155" s="210"/>
      <c r="U1155" s="210"/>
      <c r="V1155" s="210"/>
      <c r="W1155" s="210"/>
      <c r="X1155" s="210"/>
      <c r="Y1155" s="210"/>
      <c r="Z1155" s="210"/>
      <c r="AA1155" s="210"/>
      <c r="AB1155" s="210"/>
      <c r="AC1155" s="210"/>
      <c r="AD1155" s="210"/>
      <c r="AE1155" s="210"/>
    </row>
    <row r="1156" spans="1:31" x14ac:dyDescent="0.2">
      <c r="A1156" s="209"/>
      <c r="B1156" s="4" t="s">
        <v>34</v>
      </c>
      <c r="C1156" s="4">
        <v>1151</v>
      </c>
      <c r="D1156" s="210"/>
      <c r="E1156" s="210"/>
      <c r="F1156" s="210"/>
      <c r="G1156" s="210"/>
      <c r="H1156" s="210"/>
      <c r="I1156" s="210"/>
      <c r="J1156" s="4">
        <v>40351</v>
      </c>
      <c r="K1156" s="210"/>
      <c r="L1156" s="210">
        <v>72</v>
      </c>
      <c r="M1156" s="4">
        <v>14</v>
      </c>
      <c r="N1156" s="4" t="str">
        <f>_xlfn.CONCAT("DBX",((L1156-1)*2)+1,".6")</f>
        <v>DBX143.6</v>
      </c>
      <c r="O1156" s="210" t="s">
        <v>782</v>
      </c>
      <c r="P1156" s="210"/>
      <c r="Q1156" s="210"/>
      <c r="R1156" s="210"/>
      <c r="S1156" s="210"/>
      <c r="T1156" s="210"/>
      <c r="U1156" s="210"/>
      <c r="V1156" s="210"/>
      <c r="W1156" s="210"/>
      <c r="X1156" s="210"/>
      <c r="Y1156" s="210"/>
      <c r="Z1156" s="210"/>
      <c r="AA1156" s="210"/>
      <c r="AB1156" s="210"/>
      <c r="AC1156" s="210"/>
      <c r="AD1156" s="210"/>
      <c r="AE1156" s="210"/>
    </row>
    <row r="1157" spans="1:31" x14ac:dyDescent="0.2">
      <c r="A1157" s="209"/>
      <c r="B1157" s="4" t="s">
        <v>34</v>
      </c>
      <c r="C1157" s="4">
        <v>1152</v>
      </c>
      <c r="D1157" s="210"/>
      <c r="E1157" s="210"/>
      <c r="F1157" s="210"/>
      <c r="G1157" s="210"/>
      <c r="H1157" s="210"/>
      <c r="I1157" s="210"/>
      <c r="J1157" s="4">
        <v>40352</v>
      </c>
      <c r="K1157" s="210"/>
      <c r="L1157" s="210">
        <v>72</v>
      </c>
      <c r="M1157" s="4">
        <v>15</v>
      </c>
      <c r="N1157" s="4" t="str">
        <f>_xlfn.CONCAT("DBX",((L1157-1)*2)+1,".7")</f>
        <v>DBX143.7</v>
      </c>
      <c r="O1157" s="210" t="s">
        <v>782</v>
      </c>
      <c r="P1157" s="210"/>
      <c r="Q1157" s="210"/>
      <c r="R1157" s="210"/>
      <c r="S1157" s="210"/>
      <c r="T1157" s="210"/>
      <c r="U1157" s="210"/>
      <c r="V1157" s="210"/>
      <c r="W1157" s="210"/>
      <c r="X1157" s="210"/>
      <c r="Y1157" s="210"/>
      <c r="Z1157" s="210"/>
      <c r="AA1157" s="210"/>
      <c r="AB1157" s="210"/>
      <c r="AC1157" s="210"/>
      <c r="AD1157" s="210"/>
      <c r="AE1157" s="210"/>
    </row>
    <row r="1158" spans="1:31" x14ac:dyDescent="0.2">
      <c r="A1158" s="209"/>
      <c r="B1158" s="4" t="s">
        <v>34</v>
      </c>
      <c r="C1158" s="4">
        <v>1153</v>
      </c>
      <c r="D1158" s="210"/>
      <c r="E1158" s="210"/>
      <c r="F1158" s="210"/>
      <c r="G1158" s="210"/>
      <c r="H1158" s="210"/>
      <c r="I1158" s="210"/>
      <c r="J1158" s="4">
        <v>40353</v>
      </c>
      <c r="K1158" s="210"/>
      <c r="L1158" s="210">
        <v>73</v>
      </c>
      <c r="M1158" s="4">
        <f t="shared" ref="M1158:M1221" si="24">M1142</f>
        <v>0</v>
      </c>
      <c r="N1158" s="4" t="str">
        <f>_xlfn.CONCAT("DBX",((L1158-1)*2),".0")</f>
        <v>DBX144.0</v>
      </c>
      <c r="O1158" s="210" t="s">
        <v>782</v>
      </c>
      <c r="P1158" s="210"/>
      <c r="Q1158" s="210"/>
      <c r="R1158" s="210"/>
      <c r="S1158" s="210"/>
      <c r="T1158" s="210"/>
      <c r="U1158" s="210"/>
      <c r="V1158" s="210"/>
      <c r="W1158" s="210"/>
      <c r="X1158" s="210"/>
      <c r="Y1158" s="210"/>
      <c r="Z1158" s="210"/>
      <c r="AA1158" s="210"/>
      <c r="AB1158" s="210"/>
      <c r="AC1158" s="210"/>
      <c r="AD1158" s="210"/>
      <c r="AE1158" s="210"/>
    </row>
    <row r="1159" spans="1:31" x14ac:dyDescent="0.2">
      <c r="A1159" s="209"/>
      <c r="B1159" s="4" t="s">
        <v>34</v>
      </c>
      <c r="C1159" s="4">
        <v>1154</v>
      </c>
      <c r="D1159" s="210"/>
      <c r="E1159" s="210"/>
      <c r="F1159" s="210"/>
      <c r="G1159" s="210"/>
      <c r="H1159" s="210"/>
      <c r="I1159" s="210"/>
      <c r="J1159" s="4">
        <v>40354</v>
      </c>
      <c r="K1159" s="210"/>
      <c r="L1159" s="210">
        <v>73</v>
      </c>
      <c r="M1159" s="4">
        <f t="shared" si="24"/>
        <v>1</v>
      </c>
      <c r="N1159" s="4" t="str">
        <f>_xlfn.CONCAT("DBX",((L1159-1)*2),".1")</f>
        <v>DBX144.1</v>
      </c>
      <c r="O1159" s="210" t="s">
        <v>782</v>
      </c>
      <c r="P1159" s="210"/>
      <c r="Q1159" s="210"/>
      <c r="R1159" s="210"/>
      <c r="S1159" s="210"/>
      <c r="T1159" s="210"/>
      <c r="U1159" s="210"/>
      <c r="V1159" s="210"/>
      <c r="W1159" s="210"/>
      <c r="X1159" s="210"/>
      <c r="Y1159" s="210"/>
      <c r="Z1159" s="210"/>
      <c r="AA1159" s="210"/>
      <c r="AB1159" s="210"/>
      <c r="AC1159" s="210"/>
      <c r="AD1159" s="210"/>
      <c r="AE1159" s="210"/>
    </row>
    <row r="1160" spans="1:31" x14ac:dyDescent="0.2">
      <c r="A1160" s="209"/>
      <c r="B1160" s="4" t="s">
        <v>34</v>
      </c>
      <c r="C1160" s="4">
        <v>1155</v>
      </c>
      <c r="D1160" s="210"/>
      <c r="E1160" s="210"/>
      <c r="F1160" s="210"/>
      <c r="G1160" s="210"/>
      <c r="H1160" s="210"/>
      <c r="I1160" s="210"/>
      <c r="J1160" s="4">
        <v>40355</v>
      </c>
      <c r="K1160" s="210"/>
      <c r="L1160" s="210">
        <v>73</v>
      </c>
      <c r="M1160" s="4">
        <f t="shared" si="24"/>
        <v>2</v>
      </c>
      <c r="N1160" s="4" t="str">
        <f>_xlfn.CONCAT("DBX",((L1160-1)*2),".2")</f>
        <v>DBX144.2</v>
      </c>
      <c r="O1160" s="210" t="s">
        <v>782</v>
      </c>
      <c r="P1160" s="210"/>
      <c r="Q1160" s="210"/>
      <c r="R1160" s="210"/>
      <c r="S1160" s="210"/>
      <c r="T1160" s="210"/>
      <c r="U1160" s="210"/>
      <c r="V1160" s="210"/>
      <c r="W1160" s="210"/>
      <c r="X1160" s="210"/>
      <c r="Y1160" s="210"/>
      <c r="Z1160" s="210"/>
      <c r="AA1160" s="210"/>
      <c r="AB1160" s="210"/>
      <c r="AC1160" s="210"/>
      <c r="AD1160" s="210"/>
      <c r="AE1160" s="210"/>
    </row>
    <row r="1161" spans="1:31" x14ac:dyDescent="0.2">
      <c r="A1161" s="209"/>
      <c r="B1161" s="4" t="s">
        <v>34</v>
      </c>
      <c r="C1161" s="4">
        <v>1156</v>
      </c>
      <c r="D1161" s="210"/>
      <c r="E1161" s="210"/>
      <c r="F1161" s="210"/>
      <c r="G1161" s="210"/>
      <c r="H1161" s="210"/>
      <c r="I1161" s="210"/>
      <c r="J1161" s="4">
        <v>40356</v>
      </c>
      <c r="K1161" s="210"/>
      <c r="L1161" s="210">
        <v>73</v>
      </c>
      <c r="M1161" s="4">
        <f t="shared" si="24"/>
        <v>3</v>
      </c>
      <c r="N1161" s="4" t="str">
        <f>_xlfn.CONCAT("DBX",((L1161-1)*2),".3")</f>
        <v>DBX144.3</v>
      </c>
      <c r="O1161" s="210" t="s">
        <v>782</v>
      </c>
      <c r="P1161" s="210"/>
      <c r="Q1161" s="210"/>
      <c r="R1161" s="210"/>
      <c r="S1161" s="210"/>
      <c r="T1161" s="210"/>
      <c r="U1161" s="210"/>
      <c r="V1161" s="210"/>
      <c r="W1161" s="210"/>
      <c r="X1161" s="210"/>
      <c r="Y1161" s="210"/>
      <c r="Z1161" s="210"/>
      <c r="AA1161" s="210"/>
      <c r="AB1161" s="210"/>
      <c r="AC1161" s="210"/>
      <c r="AD1161" s="210"/>
      <c r="AE1161" s="210"/>
    </row>
    <row r="1162" spans="1:31" x14ac:dyDescent="0.2">
      <c r="A1162" s="209"/>
      <c r="B1162" s="4" t="s">
        <v>34</v>
      </c>
      <c r="C1162" s="4">
        <v>1157</v>
      </c>
      <c r="D1162" s="210"/>
      <c r="E1162" s="210"/>
      <c r="F1162" s="210"/>
      <c r="G1162" s="210"/>
      <c r="H1162" s="210"/>
      <c r="I1162" s="210"/>
      <c r="J1162" s="4">
        <v>40357</v>
      </c>
      <c r="K1162" s="210"/>
      <c r="L1162" s="210">
        <v>73</v>
      </c>
      <c r="M1162" s="4">
        <f t="shared" si="24"/>
        <v>4</v>
      </c>
      <c r="N1162" s="4" t="str">
        <f>_xlfn.CONCAT("DBX",((L1162-1)*2),".4")</f>
        <v>DBX144.4</v>
      </c>
      <c r="O1162" s="210" t="s">
        <v>782</v>
      </c>
      <c r="P1162" s="210"/>
      <c r="Q1162" s="210"/>
      <c r="R1162" s="210"/>
      <c r="S1162" s="210"/>
      <c r="T1162" s="210"/>
      <c r="U1162" s="210"/>
      <c r="V1162" s="210"/>
      <c r="W1162" s="210"/>
      <c r="X1162" s="210"/>
      <c r="Y1162" s="210"/>
      <c r="Z1162" s="210"/>
      <c r="AA1162" s="210"/>
      <c r="AB1162" s="210"/>
      <c r="AC1162" s="210"/>
      <c r="AD1162" s="210"/>
      <c r="AE1162" s="210"/>
    </row>
    <row r="1163" spans="1:31" x14ac:dyDescent="0.2">
      <c r="A1163" s="209"/>
      <c r="B1163" s="4" t="s">
        <v>34</v>
      </c>
      <c r="C1163" s="4">
        <v>1158</v>
      </c>
      <c r="D1163" s="210"/>
      <c r="E1163" s="210"/>
      <c r="F1163" s="210"/>
      <c r="G1163" s="210"/>
      <c r="H1163" s="210"/>
      <c r="I1163" s="210"/>
      <c r="J1163" s="4">
        <v>40358</v>
      </c>
      <c r="K1163" s="210"/>
      <c r="L1163" s="210">
        <v>73</v>
      </c>
      <c r="M1163" s="4">
        <f t="shared" si="24"/>
        <v>5</v>
      </c>
      <c r="N1163" s="4" t="str">
        <f>_xlfn.CONCAT("DBX",((L1163-1)*2),".5")</f>
        <v>DBX144.5</v>
      </c>
      <c r="O1163" s="210" t="s">
        <v>782</v>
      </c>
      <c r="P1163" s="210"/>
      <c r="Q1163" s="210"/>
      <c r="R1163" s="210"/>
      <c r="S1163" s="210"/>
      <c r="T1163" s="210"/>
      <c r="U1163" s="210"/>
      <c r="V1163" s="210"/>
      <c r="W1163" s="210"/>
      <c r="X1163" s="210"/>
      <c r="Y1163" s="210"/>
      <c r="Z1163" s="210"/>
      <c r="AA1163" s="210"/>
      <c r="AB1163" s="210"/>
      <c r="AC1163" s="210"/>
      <c r="AD1163" s="210"/>
      <c r="AE1163" s="210"/>
    </row>
    <row r="1164" spans="1:31" x14ac:dyDescent="0.2">
      <c r="A1164" s="209"/>
      <c r="B1164" s="4" t="s">
        <v>34</v>
      </c>
      <c r="C1164" s="4">
        <v>1159</v>
      </c>
      <c r="D1164" s="210"/>
      <c r="E1164" s="210"/>
      <c r="F1164" s="210"/>
      <c r="G1164" s="210"/>
      <c r="H1164" s="210"/>
      <c r="I1164" s="210"/>
      <c r="J1164" s="4">
        <v>40359</v>
      </c>
      <c r="K1164" s="210"/>
      <c r="L1164" s="210">
        <v>73</v>
      </c>
      <c r="M1164" s="4">
        <f t="shared" si="24"/>
        <v>6</v>
      </c>
      <c r="N1164" s="4" t="str">
        <f>_xlfn.CONCAT("DBX",((L1164-1)*2),".6")</f>
        <v>DBX144.6</v>
      </c>
      <c r="O1164" s="210" t="s">
        <v>782</v>
      </c>
      <c r="P1164" s="210"/>
      <c r="Q1164" s="210"/>
      <c r="R1164" s="210"/>
      <c r="S1164" s="210"/>
      <c r="T1164" s="210"/>
      <c r="U1164" s="210"/>
      <c r="V1164" s="210"/>
      <c r="W1164" s="210"/>
      <c r="X1164" s="210"/>
      <c r="Y1164" s="210"/>
      <c r="Z1164" s="210"/>
      <c r="AA1164" s="210"/>
      <c r="AB1164" s="210"/>
      <c r="AC1164" s="210"/>
      <c r="AD1164" s="210"/>
      <c r="AE1164" s="210"/>
    </row>
    <row r="1165" spans="1:31" x14ac:dyDescent="0.2">
      <c r="A1165" s="209"/>
      <c r="B1165" s="4" t="s">
        <v>34</v>
      </c>
      <c r="C1165" s="4">
        <v>1160</v>
      </c>
      <c r="D1165" s="210"/>
      <c r="E1165" s="210"/>
      <c r="F1165" s="210"/>
      <c r="G1165" s="210"/>
      <c r="H1165" s="210"/>
      <c r="I1165" s="210"/>
      <c r="J1165" s="4">
        <v>40360</v>
      </c>
      <c r="K1165" s="210"/>
      <c r="L1165" s="210">
        <v>73</v>
      </c>
      <c r="M1165" s="4">
        <f t="shared" si="24"/>
        <v>7</v>
      </c>
      <c r="N1165" s="4" t="str">
        <f>_xlfn.CONCAT("DBX",((L1165-1)*2),".7")</f>
        <v>DBX144.7</v>
      </c>
      <c r="O1165" s="210" t="s">
        <v>782</v>
      </c>
      <c r="P1165" s="210"/>
      <c r="Q1165" s="210"/>
      <c r="R1165" s="210"/>
      <c r="S1165" s="210"/>
      <c r="T1165" s="210"/>
      <c r="U1165" s="210"/>
      <c r="V1165" s="210"/>
      <c r="W1165" s="210"/>
      <c r="X1165" s="210"/>
      <c r="Y1165" s="210"/>
      <c r="Z1165" s="210"/>
      <c r="AA1165" s="210"/>
      <c r="AB1165" s="210"/>
      <c r="AC1165" s="210"/>
      <c r="AD1165" s="210"/>
      <c r="AE1165" s="210"/>
    </row>
    <row r="1166" spans="1:31" x14ac:dyDescent="0.2">
      <c r="A1166" s="209"/>
      <c r="B1166" s="4" t="s">
        <v>34</v>
      </c>
      <c r="C1166" s="4">
        <v>1161</v>
      </c>
      <c r="D1166" s="210"/>
      <c r="E1166" s="210"/>
      <c r="F1166" s="210"/>
      <c r="G1166" s="210"/>
      <c r="H1166" s="210"/>
      <c r="I1166" s="210"/>
      <c r="J1166" s="4">
        <v>40361</v>
      </c>
      <c r="K1166" s="210"/>
      <c r="L1166" s="210">
        <v>73</v>
      </c>
      <c r="M1166" s="4">
        <f t="shared" si="24"/>
        <v>8</v>
      </c>
      <c r="N1166" s="4" t="str">
        <f>_xlfn.CONCAT("DBX",((L1166-1)*2)+1,".0")</f>
        <v>DBX145.0</v>
      </c>
      <c r="O1166" s="210" t="s">
        <v>782</v>
      </c>
      <c r="P1166" s="210"/>
      <c r="Q1166" s="210"/>
      <c r="R1166" s="210"/>
      <c r="S1166" s="210"/>
      <c r="T1166" s="210"/>
      <c r="U1166" s="210"/>
      <c r="V1166" s="210"/>
      <c r="W1166" s="210"/>
      <c r="X1166" s="210"/>
      <c r="Y1166" s="210"/>
      <c r="Z1166" s="210"/>
      <c r="AA1166" s="210"/>
      <c r="AB1166" s="210"/>
      <c r="AC1166" s="210"/>
      <c r="AD1166" s="210"/>
      <c r="AE1166" s="210"/>
    </row>
    <row r="1167" spans="1:31" x14ac:dyDescent="0.2">
      <c r="A1167" s="209"/>
      <c r="B1167" s="4" t="s">
        <v>34</v>
      </c>
      <c r="C1167" s="4">
        <v>1162</v>
      </c>
      <c r="D1167" s="210"/>
      <c r="E1167" s="210"/>
      <c r="F1167" s="210"/>
      <c r="G1167" s="210"/>
      <c r="H1167" s="210"/>
      <c r="I1167" s="210"/>
      <c r="J1167" s="4">
        <v>40362</v>
      </c>
      <c r="K1167" s="210"/>
      <c r="L1167" s="210">
        <v>73</v>
      </c>
      <c r="M1167" s="4">
        <f t="shared" si="24"/>
        <v>9</v>
      </c>
      <c r="N1167" s="4" t="str">
        <f>_xlfn.CONCAT("DBX",((L1167-1)*2)+1,".1")</f>
        <v>DBX145.1</v>
      </c>
      <c r="O1167" s="210" t="s">
        <v>782</v>
      </c>
      <c r="P1167" s="210"/>
      <c r="Q1167" s="210"/>
      <c r="R1167" s="210"/>
      <c r="S1167" s="210"/>
      <c r="T1167" s="210"/>
      <c r="U1167" s="210"/>
      <c r="V1167" s="210"/>
      <c r="W1167" s="210"/>
      <c r="X1167" s="210"/>
      <c r="Y1167" s="210"/>
      <c r="Z1167" s="210"/>
      <c r="AA1167" s="210"/>
      <c r="AB1167" s="210"/>
      <c r="AC1167" s="210"/>
      <c r="AD1167" s="210"/>
      <c r="AE1167" s="210"/>
    </row>
    <row r="1168" spans="1:31" x14ac:dyDescent="0.2">
      <c r="A1168" s="209"/>
      <c r="B1168" s="4" t="s">
        <v>34</v>
      </c>
      <c r="C1168" s="4">
        <v>1163</v>
      </c>
      <c r="D1168" s="210"/>
      <c r="E1168" s="210"/>
      <c r="F1168" s="210"/>
      <c r="G1168" s="210"/>
      <c r="H1168" s="210"/>
      <c r="I1168" s="210"/>
      <c r="J1168" s="4">
        <v>40363</v>
      </c>
      <c r="K1168" s="210"/>
      <c r="L1168" s="210">
        <v>73</v>
      </c>
      <c r="M1168" s="4">
        <f t="shared" si="24"/>
        <v>10</v>
      </c>
      <c r="N1168" s="4" t="str">
        <f>_xlfn.CONCAT("DBX",((L1168-1)*2)+1,".2")</f>
        <v>DBX145.2</v>
      </c>
      <c r="O1168" s="210" t="s">
        <v>782</v>
      </c>
      <c r="P1168" s="210"/>
      <c r="Q1168" s="210"/>
      <c r="R1168" s="210"/>
      <c r="S1168" s="210"/>
      <c r="T1168" s="210"/>
      <c r="U1168" s="210"/>
      <c r="V1168" s="210"/>
      <c r="W1168" s="210"/>
      <c r="X1168" s="210"/>
      <c r="Y1168" s="210"/>
      <c r="Z1168" s="210"/>
      <c r="AA1168" s="210"/>
      <c r="AB1168" s="210"/>
      <c r="AC1168" s="210"/>
      <c r="AD1168" s="210"/>
      <c r="AE1168" s="210"/>
    </row>
    <row r="1169" spans="1:31" x14ac:dyDescent="0.2">
      <c r="A1169" s="209"/>
      <c r="B1169" s="4" t="s">
        <v>34</v>
      </c>
      <c r="C1169" s="4">
        <v>1164</v>
      </c>
      <c r="D1169" s="210"/>
      <c r="E1169" s="210"/>
      <c r="F1169" s="210"/>
      <c r="G1169" s="210"/>
      <c r="H1169" s="210"/>
      <c r="I1169" s="210"/>
      <c r="J1169" s="4">
        <v>40364</v>
      </c>
      <c r="K1169" s="210"/>
      <c r="L1169" s="210">
        <v>73</v>
      </c>
      <c r="M1169" s="4">
        <f t="shared" si="24"/>
        <v>11</v>
      </c>
      <c r="N1169" s="4" t="str">
        <f>_xlfn.CONCAT("DBX",((L1169-1)*2)+1,".3")</f>
        <v>DBX145.3</v>
      </c>
      <c r="O1169" s="210" t="s">
        <v>782</v>
      </c>
      <c r="P1169" s="210"/>
      <c r="Q1169" s="210"/>
      <c r="R1169" s="210"/>
      <c r="S1169" s="210"/>
      <c r="T1169" s="210"/>
      <c r="U1169" s="210"/>
      <c r="V1169" s="210"/>
      <c r="W1169" s="210"/>
      <c r="X1169" s="210"/>
      <c r="Y1169" s="210"/>
      <c r="Z1169" s="210"/>
      <c r="AA1169" s="210"/>
      <c r="AB1169" s="210"/>
      <c r="AC1169" s="210"/>
      <c r="AD1169" s="210"/>
      <c r="AE1169" s="210"/>
    </row>
    <row r="1170" spans="1:31" x14ac:dyDescent="0.2">
      <c r="A1170" s="209"/>
      <c r="B1170" s="4" t="s">
        <v>34</v>
      </c>
      <c r="C1170" s="4">
        <v>1165</v>
      </c>
      <c r="D1170" s="210"/>
      <c r="E1170" s="210"/>
      <c r="F1170" s="210"/>
      <c r="G1170" s="210"/>
      <c r="H1170" s="210"/>
      <c r="I1170" s="210"/>
      <c r="J1170" s="4">
        <v>40365</v>
      </c>
      <c r="K1170" s="210"/>
      <c r="L1170" s="210">
        <v>73</v>
      </c>
      <c r="M1170" s="4">
        <f t="shared" si="24"/>
        <v>12</v>
      </c>
      <c r="N1170" s="4" t="str">
        <f>_xlfn.CONCAT("DBX",((L1170-1)*2)+1,".4")</f>
        <v>DBX145.4</v>
      </c>
      <c r="O1170" s="210" t="s">
        <v>782</v>
      </c>
      <c r="P1170" s="210"/>
      <c r="Q1170" s="210"/>
      <c r="R1170" s="210"/>
      <c r="S1170" s="210"/>
      <c r="T1170" s="210"/>
      <c r="U1170" s="210"/>
      <c r="V1170" s="210"/>
      <c r="W1170" s="210"/>
      <c r="X1170" s="210"/>
      <c r="Y1170" s="210"/>
      <c r="Z1170" s="210"/>
      <c r="AA1170" s="210"/>
      <c r="AB1170" s="210"/>
      <c r="AC1170" s="210"/>
      <c r="AD1170" s="210"/>
      <c r="AE1170" s="210"/>
    </row>
    <row r="1171" spans="1:31" x14ac:dyDescent="0.2">
      <c r="A1171" s="209"/>
      <c r="B1171" s="4" t="s">
        <v>34</v>
      </c>
      <c r="C1171" s="4">
        <v>1166</v>
      </c>
      <c r="D1171" s="210"/>
      <c r="E1171" s="210"/>
      <c r="F1171" s="210"/>
      <c r="G1171" s="210"/>
      <c r="H1171" s="210"/>
      <c r="I1171" s="210"/>
      <c r="J1171" s="4">
        <v>40366</v>
      </c>
      <c r="K1171" s="210"/>
      <c r="L1171" s="210">
        <v>73</v>
      </c>
      <c r="M1171" s="4">
        <f t="shared" si="24"/>
        <v>13</v>
      </c>
      <c r="N1171" s="4" t="str">
        <f>_xlfn.CONCAT("DBX",((L1171-1)*2)+1,".5")</f>
        <v>DBX145.5</v>
      </c>
      <c r="O1171" s="210" t="s">
        <v>782</v>
      </c>
      <c r="P1171" s="210"/>
      <c r="Q1171" s="210"/>
      <c r="R1171" s="210"/>
      <c r="S1171" s="210"/>
      <c r="T1171" s="210"/>
      <c r="U1171" s="210"/>
      <c r="V1171" s="210"/>
      <c r="W1171" s="210"/>
      <c r="X1171" s="210"/>
      <c r="Y1171" s="210"/>
      <c r="Z1171" s="210"/>
      <c r="AA1171" s="210"/>
      <c r="AB1171" s="210"/>
      <c r="AC1171" s="210"/>
      <c r="AD1171" s="210"/>
      <c r="AE1171" s="210"/>
    </row>
    <row r="1172" spans="1:31" x14ac:dyDescent="0.2">
      <c r="A1172" s="209"/>
      <c r="B1172" s="4" t="s">
        <v>34</v>
      </c>
      <c r="C1172" s="4">
        <v>1167</v>
      </c>
      <c r="D1172" s="210"/>
      <c r="E1172" s="210"/>
      <c r="F1172" s="210"/>
      <c r="G1172" s="210"/>
      <c r="H1172" s="210"/>
      <c r="I1172" s="210"/>
      <c r="J1172" s="4">
        <v>40367</v>
      </c>
      <c r="K1172" s="210"/>
      <c r="L1172" s="210">
        <v>73</v>
      </c>
      <c r="M1172" s="4">
        <f t="shared" si="24"/>
        <v>14</v>
      </c>
      <c r="N1172" s="4" t="str">
        <f>_xlfn.CONCAT("DBX",((L1172-1)*2)+1,".6")</f>
        <v>DBX145.6</v>
      </c>
      <c r="O1172" s="210" t="s">
        <v>782</v>
      </c>
      <c r="P1172" s="210"/>
      <c r="Q1172" s="210"/>
      <c r="R1172" s="210"/>
      <c r="S1172" s="210"/>
      <c r="T1172" s="210"/>
      <c r="U1172" s="210"/>
      <c r="V1172" s="210"/>
      <c r="W1172" s="210"/>
      <c r="X1172" s="210"/>
      <c r="Y1172" s="210"/>
      <c r="Z1172" s="210"/>
      <c r="AA1172" s="210"/>
      <c r="AB1172" s="210"/>
      <c r="AC1172" s="210"/>
      <c r="AD1172" s="210"/>
      <c r="AE1172" s="210"/>
    </row>
    <row r="1173" spans="1:31" x14ac:dyDescent="0.2">
      <c r="A1173" s="209"/>
      <c r="B1173" s="4" t="s">
        <v>34</v>
      </c>
      <c r="C1173" s="4">
        <v>1168</v>
      </c>
      <c r="D1173" s="210"/>
      <c r="E1173" s="210"/>
      <c r="F1173" s="210"/>
      <c r="G1173" s="210"/>
      <c r="H1173" s="210"/>
      <c r="I1173" s="210"/>
      <c r="J1173" s="4">
        <v>40368</v>
      </c>
      <c r="K1173" s="210"/>
      <c r="L1173" s="210">
        <v>73</v>
      </c>
      <c r="M1173" s="4">
        <f t="shared" si="24"/>
        <v>15</v>
      </c>
      <c r="N1173" s="4" t="str">
        <f>_xlfn.CONCAT("DBX",((L1173-1)*2)+1,".7")</f>
        <v>DBX145.7</v>
      </c>
      <c r="O1173" s="210" t="s">
        <v>782</v>
      </c>
      <c r="P1173" s="210"/>
      <c r="Q1173" s="210"/>
      <c r="R1173" s="210"/>
      <c r="S1173" s="210"/>
      <c r="T1173" s="210"/>
      <c r="U1173" s="210"/>
      <c r="V1173" s="210"/>
      <c r="W1173" s="210"/>
      <c r="X1173" s="210"/>
      <c r="Y1173" s="210"/>
      <c r="Z1173" s="210"/>
      <c r="AA1173" s="210"/>
      <c r="AB1173" s="210"/>
      <c r="AC1173" s="210"/>
      <c r="AD1173" s="210"/>
      <c r="AE1173" s="210"/>
    </row>
    <row r="1174" spans="1:31" x14ac:dyDescent="0.2">
      <c r="A1174" s="209"/>
      <c r="B1174" s="4" t="s">
        <v>34</v>
      </c>
      <c r="C1174" s="4">
        <v>1169</v>
      </c>
      <c r="D1174" s="210"/>
      <c r="E1174" s="210"/>
      <c r="F1174" s="210"/>
      <c r="G1174" s="210"/>
      <c r="H1174" s="210"/>
      <c r="I1174" s="210"/>
      <c r="J1174" s="4">
        <v>40369</v>
      </c>
      <c r="K1174" s="210"/>
      <c r="L1174" s="210">
        <v>74</v>
      </c>
      <c r="M1174" s="4">
        <f t="shared" si="24"/>
        <v>0</v>
      </c>
      <c r="N1174" s="4" t="str">
        <f>_xlfn.CONCAT("DBX",((L1174-1)*2),".0")</f>
        <v>DBX146.0</v>
      </c>
      <c r="O1174" s="210" t="s">
        <v>782</v>
      </c>
      <c r="P1174" s="210"/>
      <c r="Q1174" s="210"/>
      <c r="R1174" s="210"/>
      <c r="S1174" s="210"/>
      <c r="T1174" s="210"/>
      <c r="U1174" s="210"/>
      <c r="V1174" s="210"/>
      <c r="W1174" s="210"/>
      <c r="X1174" s="210"/>
      <c r="Y1174" s="210"/>
      <c r="Z1174" s="210"/>
      <c r="AA1174" s="210"/>
      <c r="AB1174" s="210"/>
      <c r="AC1174" s="210"/>
      <c r="AD1174" s="210"/>
      <c r="AE1174" s="210"/>
    </row>
    <row r="1175" spans="1:31" x14ac:dyDescent="0.2">
      <c r="A1175" s="209"/>
      <c r="B1175" s="4" t="s">
        <v>34</v>
      </c>
      <c r="C1175" s="4">
        <v>1170</v>
      </c>
      <c r="D1175" s="210"/>
      <c r="E1175" s="210"/>
      <c r="F1175" s="210"/>
      <c r="G1175" s="210"/>
      <c r="H1175" s="210"/>
      <c r="I1175" s="210"/>
      <c r="J1175" s="4">
        <v>40370</v>
      </c>
      <c r="K1175" s="210"/>
      <c r="L1175" s="210">
        <v>74</v>
      </c>
      <c r="M1175" s="4">
        <f t="shared" si="24"/>
        <v>1</v>
      </c>
      <c r="N1175" s="4" t="str">
        <f>_xlfn.CONCAT("DBX",((L1175-1)*2),".1")</f>
        <v>DBX146.1</v>
      </c>
      <c r="O1175" s="210" t="s">
        <v>782</v>
      </c>
      <c r="P1175" s="210"/>
      <c r="Q1175" s="210"/>
      <c r="R1175" s="210"/>
      <c r="S1175" s="210"/>
      <c r="T1175" s="210"/>
      <c r="U1175" s="210"/>
      <c r="V1175" s="210"/>
      <c r="W1175" s="210"/>
      <c r="X1175" s="210"/>
      <c r="Y1175" s="210"/>
      <c r="Z1175" s="210"/>
      <c r="AA1175" s="210"/>
      <c r="AB1175" s="210"/>
      <c r="AC1175" s="210"/>
      <c r="AD1175" s="210"/>
      <c r="AE1175" s="210"/>
    </row>
    <row r="1176" spans="1:31" x14ac:dyDescent="0.2">
      <c r="A1176" s="209"/>
      <c r="B1176" s="4" t="s">
        <v>34</v>
      </c>
      <c r="C1176" s="4">
        <v>1171</v>
      </c>
      <c r="D1176" s="210"/>
      <c r="E1176" s="210"/>
      <c r="F1176" s="210"/>
      <c r="G1176" s="210"/>
      <c r="H1176" s="210"/>
      <c r="I1176" s="210"/>
      <c r="J1176" s="4">
        <v>40371</v>
      </c>
      <c r="K1176" s="210"/>
      <c r="L1176" s="210">
        <v>74</v>
      </c>
      <c r="M1176" s="4">
        <f t="shared" si="24"/>
        <v>2</v>
      </c>
      <c r="N1176" s="4" t="str">
        <f>_xlfn.CONCAT("DBX",((L1176-1)*2),".2")</f>
        <v>DBX146.2</v>
      </c>
      <c r="O1176" s="210" t="s">
        <v>782</v>
      </c>
      <c r="P1176" s="210"/>
      <c r="Q1176" s="210"/>
      <c r="R1176" s="210"/>
      <c r="S1176" s="210"/>
      <c r="T1176" s="210"/>
      <c r="U1176" s="210"/>
      <c r="V1176" s="210"/>
      <c r="W1176" s="210"/>
      <c r="X1176" s="210"/>
      <c r="Y1176" s="210"/>
      <c r="Z1176" s="210"/>
      <c r="AA1176" s="210"/>
      <c r="AB1176" s="210"/>
      <c r="AC1176" s="210"/>
      <c r="AD1176" s="210"/>
      <c r="AE1176" s="210"/>
    </row>
    <row r="1177" spans="1:31" x14ac:dyDescent="0.2">
      <c r="A1177" s="209"/>
      <c r="B1177" s="4" t="s">
        <v>34</v>
      </c>
      <c r="C1177" s="4">
        <v>1172</v>
      </c>
      <c r="D1177" s="210"/>
      <c r="E1177" s="210"/>
      <c r="F1177" s="210"/>
      <c r="G1177" s="210"/>
      <c r="H1177" s="210"/>
      <c r="I1177" s="210"/>
      <c r="J1177" s="4">
        <v>40372</v>
      </c>
      <c r="K1177" s="210"/>
      <c r="L1177" s="210">
        <v>74</v>
      </c>
      <c r="M1177" s="4">
        <f t="shared" si="24"/>
        <v>3</v>
      </c>
      <c r="N1177" s="4" t="str">
        <f>_xlfn.CONCAT("DBX",((L1177-1)*2),".3")</f>
        <v>DBX146.3</v>
      </c>
      <c r="O1177" s="210" t="s">
        <v>782</v>
      </c>
      <c r="P1177" s="210"/>
      <c r="Q1177" s="210"/>
      <c r="R1177" s="210"/>
      <c r="S1177" s="210"/>
      <c r="T1177" s="210"/>
      <c r="U1177" s="210"/>
      <c r="V1177" s="210"/>
      <c r="W1177" s="210"/>
      <c r="X1177" s="210"/>
      <c r="Y1177" s="210"/>
      <c r="Z1177" s="210"/>
      <c r="AA1177" s="210"/>
      <c r="AB1177" s="210"/>
      <c r="AC1177" s="210"/>
      <c r="AD1177" s="210"/>
      <c r="AE1177" s="210"/>
    </row>
    <row r="1178" spans="1:31" x14ac:dyDescent="0.2">
      <c r="A1178" s="209"/>
      <c r="B1178" s="4" t="s">
        <v>34</v>
      </c>
      <c r="C1178" s="4">
        <v>1173</v>
      </c>
      <c r="D1178" s="210"/>
      <c r="E1178" s="210"/>
      <c r="F1178" s="210"/>
      <c r="G1178" s="210"/>
      <c r="H1178" s="210"/>
      <c r="I1178" s="210"/>
      <c r="J1178" s="4">
        <v>40373</v>
      </c>
      <c r="K1178" s="210"/>
      <c r="L1178" s="210">
        <v>74</v>
      </c>
      <c r="M1178" s="4">
        <f t="shared" si="24"/>
        <v>4</v>
      </c>
      <c r="N1178" s="4" t="str">
        <f>_xlfn.CONCAT("DBX",((L1178-1)*2),".4")</f>
        <v>DBX146.4</v>
      </c>
      <c r="O1178" s="210" t="s">
        <v>782</v>
      </c>
      <c r="P1178" s="210"/>
      <c r="Q1178" s="210"/>
      <c r="R1178" s="210"/>
      <c r="S1178" s="210"/>
      <c r="T1178" s="210"/>
      <c r="U1178" s="210"/>
      <c r="V1178" s="210"/>
      <c r="W1178" s="210"/>
      <c r="X1178" s="210"/>
      <c r="Y1178" s="210"/>
      <c r="Z1178" s="210"/>
      <c r="AA1178" s="210"/>
      <c r="AB1178" s="210"/>
      <c r="AC1178" s="210"/>
      <c r="AD1178" s="210"/>
      <c r="AE1178" s="210"/>
    </row>
    <row r="1179" spans="1:31" x14ac:dyDescent="0.2">
      <c r="A1179" s="209"/>
      <c r="B1179" s="4" t="s">
        <v>34</v>
      </c>
      <c r="C1179" s="4">
        <v>1174</v>
      </c>
      <c r="D1179" s="210"/>
      <c r="E1179" s="210"/>
      <c r="F1179" s="210"/>
      <c r="G1179" s="210"/>
      <c r="H1179" s="210"/>
      <c r="I1179" s="210"/>
      <c r="J1179" s="4">
        <v>40374</v>
      </c>
      <c r="K1179" s="210"/>
      <c r="L1179" s="210">
        <v>74</v>
      </c>
      <c r="M1179" s="4">
        <f t="shared" si="24"/>
        <v>5</v>
      </c>
      <c r="N1179" s="4" t="str">
        <f>_xlfn.CONCAT("DBX",((L1179-1)*2),".5")</f>
        <v>DBX146.5</v>
      </c>
      <c r="O1179" s="210" t="s">
        <v>782</v>
      </c>
      <c r="P1179" s="210"/>
      <c r="Q1179" s="210"/>
      <c r="R1179" s="210"/>
      <c r="S1179" s="210"/>
      <c r="T1179" s="210"/>
      <c r="U1179" s="210"/>
      <c r="V1179" s="210"/>
      <c r="W1179" s="210"/>
      <c r="X1179" s="210"/>
      <c r="Y1179" s="210"/>
      <c r="Z1179" s="210"/>
      <c r="AA1179" s="210"/>
      <c r="AB1179" s="210"/>
      <c r="AC1179" s="210"/>
      <c r="AD1179" s="210"/>
      <c r="AE1179" s="210"/>
    </row>
    <row r="1180" spans="1:31" x14ac:dyDescent="0.2">
      <c r="A1180" s="209"/>
      <c r="B1180" s="4" t="s">
        <v>34</v>
      </c>
      <c r="C1180" s="4">
        <v>1175</v>
      </c>
      <c r="D1180" s="210"/>
      <c r="E1180" s="210"/>
      <c r="F1180" s="210"/>
      <c r="G1180" s="210"/>
      <c r="H1180" s="210"/>
      <c r="I1180" s="210"/>
      <c r="J1180" s="4">
        <v>40375</v>
      </c>
      <c r="K1180" s="210"/>
      <c r="L1180" s="210">
        <v>74</v>
      </c>
      <c r="M1180" s="4">
        <f t="shared" si="24"/>
        <v>6</v>
      </c>
      <c r="N1180" s="4" t="str">
        <f>_xlfn.CONCAT("DBX",((L1180-1)*2),".6")</f>
        <v>DBX146.6</v>
      </c>
      <c r="O1180" s="210" t="s">
        <v>782</v>
      </c>
      <c r="P1180" s="210"/>
      <c r="Q1180" s="210"/>
      <c r="R1180" s="210"/>
      <c r="S1180" s="210"/>
      <c r="T1180" s="210"/>
      <c r="U1180" s="210"/>
      <c r="V1180" s="210"/>
      <c r="W1180" s="210"/>
      <c r="X1180" s="210"/>
      <c r="Y1180" s="210"/>
      <c r="Z1180" s="210"/>
      <c r="AA1180" s="210"/>
      <c r="AB1180" s="210"/>
      <c r="AC1180" s="210"/>
      <c r="AD1180" s="210"/>
      <c r="AE1180" s="210"/>
    </row>
    <row r="1181" spans="1:31" x14ac:dyDescent="0.2">
      <c r="A1181" s="209"/>
      <c r="B1181" s="4" t="s">
        <v>34</v>
      </c>
      <c r="C1181" s="4">
        <v>1176</v>
      </c>
      <c r="D1181" s="210"/>
      <c r="E1181" s="210"/>
      <c r="F1181" s="210"/>
      <c r="G1181" s="210"/>
      <c r="H1181" s="210"/>
      <c r="I1181" s="210"/>
      <c r="J1181" s="4">
        <v>40376</v>
      </c>
      <c r="K1181" s="210"/>
      <c r="L1181" s="210">
        <v>74</v>
      </c>
      <c r="M1181" s="4">
        <f t="shared" si="24"/>
        <v>7</v>
      </c>
      <c r="N1181" s="4" t="str">
        <f>_xlfn.CONCAT("DBX",((L1181-1)*2),".7")</f>
        <v>DBX146.7</v>
      </c>
      <c r="O1181" s="210" t="s">
        <v>782</v>
      </c>
      <c r="P1181" s="210"/>
      <c r="Q1181" s="210"/>
      <c r="R1181" s="210"/>
      <c r="S1181" s="210"/>
      <c r="T1181" s="210"/>
      <c r="U1181" s="210"/>
      <c r="V1181" s="210"/>
      <c r="W1181" s="210"/>
      <c r="X1181" s="210"/>
      <c r="Y1181" s="210"/>
      <c r="Z1181" s="210"/>
      <c r="AA1181" s="210"/>
      <c r="AB1181" s="210"/>
      <c r="AC1181" s="210"/>
      <c r="AD1181" s="210"/>
      <c r="AE1181" s="210"/>
    </row>
    <row r="1182" spans="1:31" x14ac:dyDescent="0.2">
      <c r="A1182" s="209"/>
      <c r="B1182" s="4" t="s">
        <v>34</v>
      </c>
      <c r="C1182" s="4">
        <v>1177</v>
      </c>
      <c r="D1182" s="210"/>
      <c r="E1182" s="210"/>
      <c r="F1182" s="210"/>
      <c r="G1182" s="210"/>
      <c r="H1182" s="210"/>
      <c r="I1182" s="210"/>
      <c r="J1182" s="4">
        <v>40377</v>
      </c>
      <c r="K1182" s="210"/>
      <c r="L1182" s="210">
        <v>74</v>
      </c>
      <c r="M1182" s="4">
        <f t="shared" si="24"/>
        <v>8</v>
      </c>
      <c r="N1182" s="4" t="str">
        <f>_xlfn.CONCAT("DBX",((L1182-1)*2)+1,".0")</f>
        <v>DBX147.0</v>
      </c>
      <c r="O1182" s="210" t="s">
        <v>782</v>
      </c>
      <c r="P1182" s="210"/>
      <c r="Q1182" s="210"/>
      <c r="R1182" s="210"/>
      <c r="S1182" s="210"/>
      <c r="T1182" s="210"/>
      <c r="U1182" s="210"/>
      <c r="V1182" s="210"/>
      <c r="W1182" s="210"/>
      <c r="X1182" s="210"/>
      <c r="Y1182" s="210"/>
      <c r="Z1182" s="210"/>
      <c r="AA1182" s="210"/>
      <c r="AB1182" s="210"/>
      <c r="AC1182" s="210"/>
      <c r="AD1182" s="210"/>
      <c r="AE1182" s="210"/>
    </row>
    <row r="1183" spans="1:31" x14ac:dyDescent="0.2">
      <c r="A1183" s="209"/>
      <c r="B1183" s="4" t="s">
        <v>34</v>
      </c>
      <c r="C1183" s="4">
        <v>1178</v>
      </c>
      <c r="D1183" s="210"/>
      <c r="E1183" s="210"/>
      <c r="F1183" s="210"/>
      <c r="G1183" s="210"/>
      <c r="H1183" s="210"/>
      <c r="I1183" s="210"/>
      <c r="J1183" s="4">
        <v>40378</v>
      </c>
      <c r="K1183" s="210"/>
      <c r="L1183" s="210">
        <v>74</v>
      </c>
      <c r="M1183" s="4">
        <f t="shared" si="24"/>
        <v>9</v>
      </c>
      <c r="N1183" s="4" t="str">
        <f>_xlfn.CONCAT("DBX",((L1183-1)*2)+1,".1")</f>
        <v>DBX147.1</v>
      </c>
      <c r="O1183" s="210" t="s">
        <v>782</v>
      </c>
      <c r="P1183" s="210"/>
      <c r="Q1183" s="210"/>
      <c r="R1183" s="210"/>
      <c r="S1183" s="210"/>
      <c r="T1183" s="210"/>
      <c r="U1183" s="210"/>
      <c r="V1183" s="210"/>
      <c r="W1183" s="210"/>
      <c r="X1183" s="210"/>
      <c r="Y1183" s="210"/>
      <c r="Z1183" s="210"/>
      <c r="AA1183" s="210"/>
      <c r="AB1183" s="210"/>
      <c r="AC1183" s="210"/>
      <c r="AD1183" s="210"/>
      <c r="AE1183" s="210"/>
    </row>
    <row r="1184" spans="1:31" x14ac:dyDescent="0.2">
      <c r="A1184" s="209"/>
      <c r="B1184" s="4" t="s">
        <v>34</v>
      </c>
      <c r="C1184" s="4">
        <v>1179</v>
      </c>
      <c r="D1184" s="210"/>
      <c r="E1184" s="210"/>
      <c r="F1184" s="210"/>
      <c r="G1184" s="210"/>
      <c r="H1184" s="210"/>
      <c r="I1184" s="210"/>
      <c r="J1184" s="4">
        <v>40379</v>
      </c>
      <c r="K1184" s="210"/>
      <c r="L1184" s="210">
        <v>74</v>
      </c>
      <c r="M1184" s="4">
        <f t="shared" si="24"/>
        <v>10</v>
      </c>
      <c r="N1184" s="4" t="str">
        <f>_xlfn.CONCAT("DBX",((L1184-1)*2)+1,".2")</f>
        <v>DBX147.2</v>
      </c>
      <c r="O1184" s="210" t="s">
        <v>782</v>
      </c>
      <c r="P1184" s="210"/>
      <c r="Q1184" s="210"/>
      <c r="R1184" s="210"/>
      <c r="S1184" s="210"/>
      <c r="T1184" s="210"/>
      <c r="U1184" s="210"/>
      <c r="V1184" s="210"/>
      <c r="W1184" s="210"/>
      <c r="X1184" s="210"/>
      <c r="Y1184" s="210"/>
      <c r="Z1184" s="210"/>
      <c r="AA1184" s="210"/>
      <c r="AB1184" s="210"/>
      <c r="AC1184" s="210"/>
      <c r="AD1184" s="210"/>
      <c r="AE1184" s="210"/>
    </row>
    <row r="1185" spans="1:31" x14ac:dyDescent="0.2">
      <c r="A1185" s="209"/>
      <c r="B1185" s="4" t="s">
        <v>34</v>
      </c>
      <c r="C1185" s="4">
        <v>1180</v>
      </c>
      <c r="D1185" s="210"/>
      <c r="E1185" s="210"/>
      <c r="F1185" s="210"/>
      <c r="G1185" s="210"/>
      <c r="H1185" s="210"/>
      <c r="I1185" s="210"/>
      <c r="J1185" s="4">
        <v>40380</v>
      </c>
      <c r="K1185" s="210"/>
      <c r="L1185" s="210">
        <v>74</v>
      </c>
      <c r="M1185" s="4">
        <f t="shared" si="24"/>
        <v>11</v>
      </c>
      <c r="N1185" s="4" t="str">
        <f>_xlfn.CONCAT("DBX",((L1185-1)*2)+1,".3")</f>
        <v>DBX147.3</v>
      </c>
      <c r="O1185" s="210" t="s">
        <v>782</v>
      </c>
      <c r="P1185" s="210"/>
      <c r="Q1185" s="210"/>
      <c r="R1185" s="210"/>
      <c r="S1185" s="210"/>
      <c r="T1185" s="210"/>
      <c r="U1185" s="210"/>
      <c r="V1185" s="210"/>
      <c r="W1185" s="210"/>
      <c r="X1185" s="210"/>
      <c r="Y1185" s="210"/>
      <c r="Z1185" s="210"/>
      <c r="AA1185" s="210"/>
      <c r="AB1185" s="210"/>
      <c r="AC1185" s="210"/>
      <c r="AD1185" s="210"/>
      <c r="AE1185" s="210"/>
    </row>
    <row r="1186" spans="1:31" x14ac:dyDescent="0.2">
      <c r="A1186" s="209"/>
      <c r="B1186" s="4" t="s">
        <v>34</v>
      </c>
      <c r="C1186" s="4">
        <v>1181</v>
      </c>
      <c r="D1186" s="210"/>
      <c r="E1186" s="210"/>
      <c r="F1186" s="210"/>
      <c r="G1186" s="210"/>
      <c r="H1186" s="210"/>
      <c r="I1186" s="210"/>
      <c r="J1186" s="4">
        <v>40381</v>
      </c>
      <c r="K1186" s="210"/>
      <c r="L1186" s="210">
        <v>74</v>
      </c>
      <c r="M1186" s="4">
        <f t="shared" si="24"/>
        <v>12</v>
      </c>
      <c r="N1186" s="4" t="str">
        <f>_xlfn.CONCAT("DBX",((L1186-1)*2)+1,".4")</f>
        <v>DBX147.4</v>
      </c>
      <c r="O1186" s="210" t="s">
        <v>782</v>
      </c>
      <c r="P1186" s="210"/>
      <c r="Q1186" s="210"/>
      <c r="R1186" s="210"/>
      <c r="S1186" s="210"/>
      <c r="T1186" s="210"/>
      <c r="U1186" s="210"/>
      <c r="V1186" s="210"/>
      <c r="W1186" s="210"/>
      <c r="X1186" s="210"/>
      <c r="Y1186" s="210"/>
      <c r="Z1186" s="210"/>
      <c r="AA1186" s="210"/>
      <c r="AB1186" s="210"/>
      <c r="AC1186" s="210"/>
      <c r="AD1186" s="210"/>
      <c r="AE1186" s="210"/>
    </row>
    <row r="1187" spans="1:31" x14ac:dyDescent="0.2">
      <c r="A1187" s="209"/>
      <c r="B1187" s="4" t="s">
        <v>34</v>
      </c>
      <c r="C1187" s="4">
        <v>1182</v>
      </c>
      <c r="D1187" s="210"/>
      <c r="E1187" s="210"/>
      <c r="F1187" s="210"/>
      <c r="G1187" s="210"/>
      <c r="H1187" s="210"/>
      <c r="I1187" s="210"/>
      <c r="J1187" s="4">
        <v>40382</v>
      </c>
      <c r="K1187" s="210"/>
      <c r="L1187" s="210">
        <v>74</v>
      </c>
      <c r="M1187" s="4">
        <f t="shared" si="24"/>
        <v>13</v>
      </c>
      <c r="N1187" s="4" t="str">
        <f>_xlfn.CONCAT("DBX",((L1187-1)*2)+1,".5")</f>
        <v>DBX147.5</v>
      </c>
      <c r="O1187" s="210" t="s">
        <v>782</v>
      </c>
      <c r="P1187" s="210"/>
      <c r="Q1187" s="210"/>
      <c r="R1187" s="210"/>
      <c r="S1187" s="210"/>
      <c r="T1187" s="210"/>
      <c r="U1187" s="210"/>
      <c r="V1187" s="210"/>
      <c r="W1187" s="210"/>
      <c r="X1187" s="210"/>
      <c r="Y1187" s="210"/>
      <c r="Z1187" s="210"/>
      <c r="AA1187" s="210"/>
      <c r="AB1187" s="210"/>
      <c r="AC1187" s="210"/>
      <c r="AD1187" s="210"/>
      <c r="AE1187" s="210"/>
    </row>
    <row r="1188" spans="1:31" x14ac:dyDescent="0.2">
      <c r="A1188" s="209"/>
      <c r="B1188" s="4" t="s">
        <v>34</v>
      </c>
      <c r="C1188" s="4">
        <v>1183</v>
      </c>
      <c r="D1188" s="210"/>
      <c r="E1188" s="210"/>
      <c r="F1188" s="210"/>
      <c r="G1188" s="210"/>
      <c r="H1188" s="210"/>
      <c r="I1188" s="210"/>
      <c r="J1188" s="4">
        <v>40383</v>
      </c>
      <c r="K1188" s="210"/>
      <c r="L1188" s="210">
        <v>74</v>
      </c>
      <c r="M1188" s="4">
        <f t="shared" si="24"/>
        <v>14</v>
      </c>
      <c r="N1188" s="4" t="str">
        <f>_xlfn.CONCAT("DBX",((L1188-1)*2)+1,".6")</f>
        <v>DBX147.6</v>
      </c>
      <c r="O1188" s="210" t="s">
        <v>782</v>
      </c>
      <c r="P1188" s="210"/>
      <c r="Q1188" s="210"/>
      <c r="R1188" s="210"/>
      <c r="S1188" s="210"/>
      <c r="T1188" s="210"/>
      <c r="U1188" s="210"/>
      <c r="V1188" s="210"/>
      <c r="W1188" s="210"/>
      <c r="X1188" s="210"/>
      <c r="Y1188" s="210"/>
      <c r="Z1188" s="210"/>
      <c r="AA1188" s="210"/>
      <c r="AB1188" s="210"/>
      <c r="AC1188" s="210"/>
      <c r="AD1188" s="210"/>
      <c r="AE1188" s="210"/>
    </row>
    <row r="1189" spans="1:31" x14ac:dyDescent="0.2">
      <c r="A1189" s="209"/>
      <c r="B1189" s="4" t="s">
        <v>34</v>
      </c>
      <c r="C1189" s="4">
        <v>1184</v>
      </c>
      <c r="D1189" s="210"/>
      <c r="E1189" s="210"/>
      <c r="F1189" s="210"/>
      <c r="G1189" s="210"/>
      <c r="H1189" s="210"/>
      <c r="I1189" s="210"/>
      <c r="J1189" s="4">
        <v>40384</v>
      </c>
      <c r="K1189" s="210"/>
      <c r="L1189" s="210">
        <v>74</v>
      </c>
      <c r="M1189" s="4">
        <f t="shared" si="24"/>
        <v>15</v>
      </c>
      <c r="N1189" s="4" t="str">
        <f>_xlfn.CONCAT("DBX",((L1189-1)*2)+1,".7")</f>
        <v>DBX147.7</v>
      </c>
      <c r="O1189" s="210" t="s">
        <v>782</v>
      </c>
      <c r="P1189" s="210"/>
      <c r="Q1189" s="210"/>
      <c r="R1189" s="210"/>
      <c r="S1189" s="210"/>
      <c r="T1189" s="210"/>
      <c r="U1189" s="210"/>
      <c r="V1189" s="210"/>
      <c r="W1189" s="210"/>
      <c r="X1189" s="210"/>
      <c r="Y1189" s="210"/>
      <c r="Z1189" s="210"/>
      <c r="AA1189" s="210"/>
      <c r="AB1189" s="210"/>
      <c r="AC1189" s="210"/>
      <c r="AD1189" s="210"/>
      <c r="AE1189" s="210"/>
    </row>
    <row r="1190" spans="1:31" x14ac:dyDescent="0.2">
      <c r="A1190" s="209"/>
      <c r="B1190" s="4" t="s">
        <v>34</v>
      </c>
      <c r="C1190" s="4">
        <v>1185</v>
      </c>
      <c r="D1190" s="210"/>
      <c r="E1190" s="210"/>
      <c r="F1190" s="210"/>
      <c r="G1190" s="210"/>
      <c r="H1190" s="210"/>
      <c r="I1190" s="210"/>
      <c r="J1190" s="4">
        <v>40385</v>
      </c>
      <c r="K1190" s="210"/>
      <c r="L1190" s="210">
        <v>75</v>
      </c>
      <c r="M1190" s="4">
        <v>0</v>
      </c>
      <c r="N1190" s="4" t="str">
        <f>_xlfn.CONCAT("DBX",((L1190-1)*2),".0")</f>
        <v>DBX148.0</v>
      </c>
      <c r="O1190" s="210" t="s">
        <v>782</v>
      </c>
      <c r="P1190" s="210"/>
      <c r="Q1190" s="210"/>
      <c r="R1190" s="210"/>
      <c r="S1190" s="210"/>
      <c r="T1190" s="210"/>
      <c r="U1190" s="210"/>
      <c r="V1190" s="210"/>
      <c r="W1190" s="210"/>
      <c r="X1190" s="210"/>
      <c r="Y1190" s="210"/>
      <c r="Z1190" s="210"/>
      <c r="AA1190" s="210"/>
      <c r="AB1190" s="210"/>
      <c r="AC1190" s="210"/>
      <c r="AD1190" s="210"/>
      <c r="AE1190" s="210"/>
    </row>
    <row r="1191" spans="1:31" x14ac:dyDescent="0.2">
      <c r="A1191" s="209"/>
      <c r="B1191" s="4" t="s">
        <v>34</v>
      </c>
      <c r="C1191" s="4">
        <v>1186</v>
      </c>
      <c r="D1191" s="210"/>
      <c r="E1191" s="210"/>
      <c r="F1191" s="210"/>
      <c r="G1191" s="210"/>
      <c r="H1191" s="210"/>
      <c r="I1191" s="210"/>
      <c r="J1191" s="4">
        <v>40386</v>
      </c>
      <c r="K1191" s="210"/>
      <c r="L1191" s="210">
        <v>75</v>
      </c>
      <c r="M1191" s="4">
        <v>1</v>
      </c>
      <c r="N1191" s="4" t="str">
        <f>_xlfn.CONCAT("DBX",((L1191-1)*2),".1")</f>
        <v>DBX148.1</v>
      </c>
      <c r="O1191" s="210" t="s">
        <v>782</v>
      </c>
      <c r="P1191" s="210"/>
      <c r="Q1191" s="210"/>
      <c r="R1191" s="210"/>
      <c r="S1191" s="210"/>
      <c r="T1191" s="210"/>
      <c r="U1191" s="210"/>
      <c r="V1191" s="210"/>
      <c r="W1191" s="210"/>
      <c r="X1191" s="210"/>
      <c r="Y1191" s="210"/>
      <c r="Z1191" s="210"/>
      <c r="AA1191" s="210"/>
      <c r="AB1191" s="210"/>
      <c r="AC1191" s="210"/>
      <c r="AD1191" s="210"/>
      <c r="AE1191" s="210"/>
    </row>
    <row r="1192" spans="1:31" x14ac:dyDescent="0.2">
      <c r="A1192" s="209"/>
      <c r="B1192" s="4" t="s">
        <v>34</v>
      </c>
      <c r="C1192" s="4">
        <v>1187</v>
      </c>
      <c r="D1192" s="210"/>
      <c r="E1192" s="210"/>
      <c r="F1192" s="210"/>
      <c r="G1192" s="210"/>
      <c r="H1192" s="210"/>
      <c r="I1192" s="210"/>
      <c r="J1192" s="4">
        <v>40387</v>
      </c>
      <c r="K1192" s="210"/>
      <c r="L1192" s="210">
        <v>75</v>
      </c>
      <c r="M1192" s="4">
        <v>2</v>
      </c>
      <c r="N1192" s="4" t="str">
        <f>_xlfn.CONCAT("DBX",((L1192-1)*2),".2")</f>
        <v>DBX148.2</v>
      </c>
      <c r="O1192" s="210" t="s">
        <v>782</v>
      </c>
      <c r="P1192" s="210"/>
      <c r="Q1192" s="210"/>
      <c r="R1192" s="210"/>
      <c r="S1192" s="210"/>
      <c r="T1192" s="210"/>
      <c r="U1192" s="210"/>
      <c r="V1192" s="210"/>
      <c r="W1192" s="210"/>
      <c r="X1192" s="210"/>
      <c r="Y1192" s="210"/>
      <c r="Z1192" s="210"/>
      <c r="AA1192" s="210"/>
      <c r="AB1192" s="210"/>
      <c r="AC1192" s="210"/>
      <c r="AD1192" s="210"/>
      <c r="AE1192" s="210"/>
    </row>
    <row r="1193" spans="1:31" x14ac:dyDescent="0.2">
      <c r="A1193" s="209"/>
      <c r="B1193" s="4" t="s">
        <v>34</v>
      </c>
      <c r="C1193" s="4">
        <v>1188</v>
      </c>
      <c r="D1193" s="210"/>
      <c r="E1193" s="210"/>
      <c r="F1193" s="210"/>
      <c r="G1193" s="210"/>
      <c r="H1193" s="210"/>
      <c r="I1193" s="210"/>
      <c r="J1193" s="4">
        <v>40388</v>
      </c>
      <c r="K1193" s="210"/>
      <c r="L1193" s="210">
        <v>75</v>
      </c>
      <c r="M1193" s="4">
        <v>3</v>
      </c>
      <c r="N1193" s="4" t="str">
        <f>_xlfn.CONCAT("DBX",((L1193-1)*2),".3")</f>
        <v>DBX148.3</v>
      </c>
      <c r="O1193" s="210" t="s">
        <v>782</v>
      </c>
      <c r="P1193" s="210"/>
      <c r="Q1193" s="210"/>
      <c r="R1193" s="210"/>
      <c r="S1193" s="210"/>
      <c r="T1193" s="210"/>
      <c r="U1193" s="210"/>
      <c r="V1193" s="210"/>
      <c r="W1193" s="210"/>
      <c r="X1193" s="210"/>
      <c r="Y1193" s="210"/>
      <c r="Z1193" s="210"/>
      <c r="AA1193" s="210"/>
      <c r="AB1193" s="210"/>
      <c r="AC1193" s="210"/>
      <c r="AD1193" s="210"/>
      <c r="AE1193" s="210"/>
    </row>
    <row r="1194" spans="1:31" x14ac:dyDescent="0.2">
      <c r="A1194" s="209"/>
      <c r="B1194" s="4" t="s">
        <v>34</v>
      </c>
      <c r="C1194" s="4">
        <v>1189</v>
      </c>
      <c r="D1194" s="210"/>
      <c r="E1194" s="210"/>
      <c r="F1194" s="210"/>
      <c r="G1194" s="210"/>
      <c r="H1194" s="210"/>
      <c r="I1194" s="210"/>
      <c r="J1194" s="4">
        <v>40389</v>
      </c>
      <c r="K1194" s="210"/>
      <c r="L1194" s="210">
        <v>75</v>
      </c>
      <c r="M1194" s="4">
        <v>4</v>
      </c>
      <c r="N1194" s="4" t="str">
        <f>_xlfn.CONCAT("DBX",((L1194-1)*2),".4")</f>
        <v>DBX148.4</v>
      </c>
      <c r="O1194" s="210" t="s">
        <v>782</v>
      </c>
      <c r="P1194" s="210"/>
      <c r="Q1194" s="210"/>
      <c r="R1194" s="210"/>
      <c r="S1194" s="210"/>
      <c r="T1194" s="210"/>
      <c r="U1194" s="210"/>
      <c r="V1194" s="210"/>
      <c r="W1194" s="210"/>
      <c r="X1194" s="210"/>
      <c r="Y1194" s="210"/>
      <c r="Z1194" s="210"/>
      <c r="AA1194" s="210"/>
      <c r="AB1194" s="210"/>
      <c r="AC1194" s="210"/>
      <c r="AD1194" s="210"/>
      <c r="AE1194" s="210"/>
    </row>
    <row r="1195" spans="1:31" x14ac:dyDescent="0.2">
      <c r="A1195" s="209"/>
      <c r="B1195" s="4" t="s">
        <v>34</v>
      </c>
      <c r="C1195" s="4">
        <v>1190</v>
      </c>
      <c r="D1195" s="210"/>
      <c r="E1195" s="210"/>
      <c r="F1195" s="210"/>
      <c r="G1195" s="210"/>
      <c r="H1195" s="210"/>
      <c r="I1195" s="210"/>
      <c r="J1195" s="4">
        <v>40390</v>
      </c>
      <c r="K1195" s="210"/>
      <c r="L1195" s="210">
        <v>75</v>
      </c>
      <c r="M1195" s="4">
        <v>5</v>
      </c>
      <c r="N1195" s="4" t="str">
        <f>_xlfn.CONCAT("DBX",((L1195-1)*2),".5")</f>
        <v>DBX148.5</v>
      </c>
      <c r="O1195" s="210" t="s">
        <v>782</v>
      </c>
      <c r="P1195" s="210"/>
      <c r="Q1195" s="210"/>
      <c r="R1195" s="210"/>
      <c r="S1195" s="210"/>
      <c r="T1195" s="210"/>
      <c r="U1195" s="210"/>
      <c r="V1195" s="210"/>
      <c r="W1195" s="210"/>
      <c r="X1195" s="210"/>
      <c r="Y1195" s="210"/>
      <c r="Z1195" s="210"/>
      <c r="AA1195" s="210"/>
      <c r="AB1195" s="210"/>
      <c r="AC1195" s="210"/>
      <c r="AD1195" s="210"/>
      <c r="AE1195" s="210"/>
    </row>
    <row r="1196" spans="1:31" x14ac:dyDescent="0.2">
      <c r="A1196" s="209"/>
      <c r="B1196" s="4" t="s">
        <v>34</v>
      </c>
      <c r="C1196" s="4">
        <v>1191</v>
      </c>
      <c r="D1196" s="210"/>
      <c r="E1196" s="210"/>
      <c r="F1196" s="210"/>
      <c r="G1196" s="210"/>
      <c r="H1196" s="210"/>
      <c r="I1196" s="210"/>
      <c r="J1196" s="4">
        <v>40391</v>
      </c>
      <c r="K1196" s="210"/>
      <c r="L1196" s="210">
        <v>75</v>
      </c>
      <c r="M1196" s="4">
        <v>6</v>
      </c>
      <c r="N1196" s="4" t="str">
        <f>_xlfn.CONCAT("DBX",((L1196-1)*2),".6")</f>
        <v>DBX148.6</v>
      </c>
      <c r="O1196" s="210" t="s">
        <v>782</v>
      </c>
      <c r="P1196" s="210"/>
      <c r="Q1196" s="210"/>
      <c r="R1196" s="210"/>
      <c r="S1196" s="210"/>
      <c r="T1196" s="210"/>
      <c r="U1196" s="210"/>
      <c r="V1196" s="210"/>
      <c r="W1196" s="210"/>
      <c r="X1196" s="210"/>
      <c r="Y1196" s="210"/>
      <c r="Z1196" s="210"/>
      <c r="AA1196" s="210"/>
      <c r="AB1196" s="210"/>
      <c r="AC1196" s="210"/>
      <c r="AD1196" s="210"/>
      <c r="AE1196" s="210"/>
    </row>
    <row r="1197" spans="1:31" x14ac:dyDescent="0.2">
      <c r="A1197" s="209"/>
      <c r="B1197" s="4" t="s">
        <v>34</v>
      </c>
      <c r="C1197" s="4">
        <v>1192</v>
      </c>
      <c r="D1197" s="210"/>
      <c r="E1197" s="210"/>
      <c r="F1197" s="210"/>
      <c r="G1197" s="210"/>
      <c r="H1197" s="210"/>
      <c r="I1197" s="210"/>
      <c r="J1197" s="4">
        <v>40392</v>
      </c>
      <c r="K1197" s="210"/>
      <c r="L1197" s="210">
        <v>75</v>
      </c>
      <c r="M1197" s="4">
        <v>7</v>
      </c>
      <c r="N1197" s="4" t="str">
        <f>_xlfn.CONCAT("DBX",((L1197-1)*2),".7")</f>
        <v>DBX148.7</v>
      </c>
      <c r="O1197" s="210" t="s">
        <v>782</v>
      </c>
      <c r="P1197" s="210"/>
      <c r="Q1197" s="210"/>
      <c r="R1197" s="210"/>
      <c r="S1197" s="210"/>
      <c r="T1197" s="210"/>
      <c r="U1197" s="210"/>
      <c r="V1197" s="210"/>
      <c r="W1197" s="210"/>
      <c r="X1197" s="210"/>
      <c r="Y1197" s="210"/>
      <c r="Z1197" s="210"/>
      <c r="AA1197" s="210"/>
      <c r="AB1197" s="210"/>
      <c r="AC1197" s="210"/>
      <c r="AD1197" s="210"/>
      <c r="AE1197" s="210"/>
    </row>
    <row r="1198" spans="1:31" x14ac:dyDescent="0.2">
      <c r="A1198" s="209"/>
      <c r="B1198" s="4" t="s">
        <v>34</v>
      </c>
      <c r="C1198" s="4">
        <v>1193</v>
      </c>
      <c r="D1198" s="210"/>
      <c r="E1198" s="210"/>
      <c r="F1198" s="210"/>
      <c r="G1198" s="210"/>
      <c r="H1198" s="210"/>
      <c r="I1198" s="210"/>
      <c r="J1198" s="4">
        <v>40393</v>
      </c>
      <c r="K1198" s="210"/>
      <c r="L1198" s="210">
        <v>75</v>
      </c>
      <c r="M1198" s="4">
        <v>8</v>
      </c>
      <c r="N1198" s="4" t="str">
        <f>_xlfn.CONCAT("DBX",((L1198-1)*2)+1,".0")</f>
        <v>DBX149.0</v>
      </c>
      <c r="O1198" s="210" t="s">
        <v>782</v>
      </c>
      <c r="P1198" s="210"/>
      <c r="Q1198" s="210"/>
      <c r="R1198" s="210"/>
      <c r="S1198" s="210"/>
      <c r="T1198" s="210"/>
      <c r="U1198" s="210"/>
      <c r="V1198" s="210"/>
      <c r="W1198" s="210"/>
      <c r="X1198" s="210"/>
      <c r="Y1198" s="210"/>
      <c r="Z1198" s="210"/>
      <c r="AA1198" s="210"/>
      <c r="AB1198" s="210"/>
      <c r="AC1198" s="210"/>
      <c r="AD1198" s="210"/>
      <c r="AE1198" s="210"/>
    </row>
    <row r="1199" spans="1:31" x14ac:dyDescent="0.2">
      <c r="A1199" s="209"/>
      <c r="B1199" s="4" t="s">
        <v>34</v>
      </c>
      <c r="C1199" s="4">
        <v>1194</v>
      </c>
      <c r="D1199" s="210"/>
      <c r="E1199" s="210"/>
      <c r="F1199" s="210"/>
      <c r="G1199" s="210"/>
      <c r="H1199" s="210"/>
      <c r="I1199" s="210"/>
      <c r="J1199" s="4">
        <v>40394</v>
      </c>
      <c r="K1199" s="210"/>
      <c r="L1199" s="210">
        <v>75</v>
      </c>
      <c r="M1199" s="4">
        <v>9</v>
      </c>
      <c r="N1199" s="4" t="str">
        <f>_xlfn.CONCAT("DBX",((L1199-1)*2)+1,".1")</f>
        <v>DBX149.1</v>
      </c>
      <c r="O1199" s="210" t="s">
        <v>782</v>
      </c>
      <c r="P1199" s="210"/>
      <c r="Q1199" s="210"/>
      <c r="R1199" s="210"/>
      <c r="S1199" s="210"/>
      <c r="T1199" s="210"/>
      <c r="U1199" s="210"/>
      <c r="V1199" s="210"/>
      <c r="W1199" s="210"/>
      <c r="X1199" s="210"/>
      <c r="Y1199" s="210"/>
      <c r="Z1199" s="210"/>
      <c r="AA1199" s="210"/>
      <c r="AB1199" s="210"/>
      <c r="AC1199" s="210"/>
      <c r="AD1199" s="210"/>
      <c r="AE1199" s="210"/>
    </row>
    <row r="1200" spans="1:31" x14ac:dyDescent="0.2">
      <c r="A1200" s="209"/>
      <c r="B1200" s="4" t="s">
        <v>34</v>
      </c>
      <c r="C1200" s="4">
        <v>1195</v>
      </c>
      <c r="D1200" s="210"/>
      <c r="E1200" s="210"/>
      <c r="F1200" s="210"/>
      <c r="G1200" s="210"/>
      <c r="H1200" s="210"/>
      <c r="I1200" s="210"/>
      <c r="J1200" s="4">
        <v>40395</v>
      </c>
      <c r="K1200" s="210"/>
      <c r="L1200" s="210">
        <v>75</v>
      </c>
      <c r="M1200" s="4">
        <v>10</v>
      </c>
      <c r="N1200" s="4" t="str">
        <f>_xlfn.CONCAT("DBX",((L1200-1)*2)+1,".2")</f>
        <v>DBX149.2</v>
      </c>
      <c r="O1200" s="210" t="s">
        <v>782</v>
      </c>
      <c r="P1200" s="210"/>
      <c r="Q1200" s="210"/>
      <c r="R1200" s="210"/>
      <c r="S1200" s="210"/>
      <c r="T1200" s="210"/>
      <c r="U1200" s="210"/>
      <c r="V1200" s="210"/>
      <c r="W1200" s="210"/>
      <c r="X1200" s="210"/>
      <c r="Y1200" s="210"/>
      <c r="Z1200" s="210"/>
      <c r="AA1200" s="210"/>
      <c r="AB1200" s="210"/>
      <c r="AC1200" s="210"/>
      <c r="AD1200" s="210"/>
      <c r="AE1200" s="210"/>
    </row>
    <row r="1201" spans="1:31" x14ac:dyDescent="0.2">
      <c r="A1201" s="209"/>
      <c r="B1201" s="4" t="s">
        <v>34</v>
      </c>
      <c r="C1201" s="4">
        <v>1196</v>
      </c>
      <c r="D1201" s="210"/>
      <c r="E1201" s="210"/>
      <c r="F1201" s="210"/>
      <c r="G1201" s="210"/>
      <c r="H1201" s="210"/>
      <c r="I1201" s="210"/>
      <c r="J1201" s="4">
        <v>40396</v>
      </c>
      <c r="K1201" s="210"/>
      <c r="L1201" s="210">
        <v>75</v>
      </c>
      <c r="M1201" s="4">
        <v>11</v>
      </c>
      <c r="N1201" s="4" t="str">
        <f>_xlfn.CONCAT("DBX",((L1201-1)*2)+1,".3")</f>
        <v>DBX149.3</v>
      </c>
      <c r="O1201" s="210" t="s">
        <v>782</v>
      </c>
      <c r="P1201" s="210"/>
      <c r="Q1201" s="210"/>
      <c r="R1201" s="210"/>
      <c r="S1201" s="210"/>
      <c r="T1201" s="210"/>
      <c r="U1201" s="210"/>
      <c r="V1201" s="210"/>
      <c r="W1201" s="210"/>
      <c r="X1201" s="210"/>
      <c r="Y1201" s="210"/>
      <c r="Z1201" s="210"/>
      <c r="AA1201" s="210"/>
      <c r="AB1201" s="210"/>
      <c r="AC1201" s="210"/>
      <c r="AD1201" s="210"/>
      <c r="AE1201" s="210"/>
    </row>
    <row r="1202" spans="1:31" x14ac:dyDescent="0.2">
      <c r="A1202" s="209"/>
      <c r="B1202" s="4" t="s">
        <v>34</v>
      </c>
      <c r="C1202" s="4">
        <v>1197</v>
      </c>
      <c r="D1202" s="210"/>
      <c r="E1202" s="210"/>
      <c r="F1202" s="210"/>
      <c r="G1202" s="210"/>
      <c r="H1202" s="210"/>
      <c r="I1202" s="210"/>
      <c r="J1202" s="4">
        <v>40397</v>
      </c>
      <c r="K1202" s="210"/>
      <c r="L1202" s="210">
        <v>75</v>
      </c>
      <c r="M1202" s="4">
        <v>12</v>
      </c>
      <c r="N1202" s="4" t="str">
        <f>_xlfn.CONCAT("DBX",((L1202-1)*2)+1,".4")</f>
        <v>DBX149.4</v>
      </c>
      <c r="O1202" s="210" t="s">
        <v>782</v>
      </c>
      <c r="P1202" s="210"/>
      <c r="Q1202" s="210"/>
      <c r="R1202" s="210"/>
      <c r="S1202" s="210"/>
      <c r="T1202" s="210"/>
      <c r="U1202" s="210"/>
      <c r="V1202" s="210"/>
      <c r="W1202" s="210"/>
      <c r="X1202" s="210"/>
      <c r="Y1202" s="210"/>
      <c r="Z1202" s="210"/>
      <c r="AA1202" s="210"/>
      <c r="AB1202" s="210"/>
      <c r="AC1202" s="210"/>
      <c r="AD1202" s="210"/>
      <c r="AE1202" s="210"/>
    </row>
    <row r="1203" spans="1:31" x14ac:dyDescent="0.2">
      <c r="A1203" s="209"/>
      <c r="B1203" s="4" t="s">
        <v>34</v>
      </c>
      <c r="C1203" s="4">
        <v>1198</v>
      </c>
      <c r="D1203" s="210"/>
      <c r="E1203" s="210"/>
      <c r="F1203" s="210"/>
      <c r="G1203" s="210"/>
      <c r="H1203" s="210"/>
      <c r="I1203" s="210"/>
      <c r="J1203" s="4">
        <v>40398</v>
      </c>
      <c r="K1203" s="210"/>
      <c r="L1203" s="210">
        <v>75</v>
      </c>
      <c r="M1203" s="4">
        <v>13</v>
      </c>
      <c r="N1203" s="4" t="str">
        <f>_xlfn.CONCAT("DBX",((L1203-1)*2)+1,".5")</f>
        <v>DBX149.5</v>
      </c>
      <c r="O1203" s="210" t="s">
        <v>782</v>
      </c>
      <c r="P1203" s="210"/>
      <c r="Q1203" s="210"/>
      <c r="R1203" s="210"/>
      <c r="S1203" s="210"/>
      <c r="T1203" s="210"/>
      <c r="U1203" s="210"/>
      <c r="V1203" s="210"/>
      <c r="W1203" s="210"/>
      <c r="X1203" s="210"/>
      <c r="Y1203" s="210"/>
      <c r="Z1203" s="210"/>
      <c r="AA1203" s="210"/>
      <c r="AB1203" s="210"/>
      <c r="AC1203" s="210"/>
      <c r="AD1203" s="210"/>
      <c r="AE1203" s="210"/>
    </row>
    <row r="1204" spans="1:31" x14ac:dyDescent="0.2">
      <c r="A1204" s="209"/>
      <c r="B1204" s="4" t="s">
        <v>34</v>
      </c>
      <c r="C1204" s="4">
        <v>1199</v>
      </c>
      <c r="D1204" s="210"/>
      <c r="E1204" s="210"/>
      <c r="F1204" s="210"/>
      <c r="G1204" s="210"/>
      <c r="H1204" s="210"/>
      <c r="I1204" s="210"/>
      <c r="J1204" s="4">
        <v>40399</v>
      </c>
      <c r="K1204" s="210"/>
      <c r="L1204" s="210">
        <v>75</v>
      </c>
      <c r="M1204" s="4">
        <v>14</v>
      </c>
      <c r="N1204" s="4" t="str">
        <f>_xlfn.CONCAT("DBX",((L1204-1)*2)+1,".6")</f>
        <v>DBX149.6</v>
      </c>
      <c r="O1204" s="210" t="s">
        <v>782</v>
      </c>
      <c r="P1204" s="210"/>
      <c r="Q1204" s="210"/>
      <c r="R1204" s="210"/>
      <c r="S1204" s="210"/>
      <c r="T1204" s="210"/>
      <c r="U1204" s="210"/>
      <c r="V1204" s="210"/>
      <c r="W1204" s="210"/>
      <c r="X1204" s="210"/>
      <c r="Y1204" s="210"/>
      <c r="Z1204" s="210"/>
      <c r="AA1204" s="210"/>
      <c r="AB1204" s="210"/>
      <c r="AC1204" s="210"/>
      <c r="AD1204" s="210"/>
      <c r="AE1204" s="210"/>
    </row>
    <row r="1205" spans="1:31" x14ac:dyDescent="0.2">
      <c r="A1205" s="209"/>
      <c r="B1205" s="4" t="s">
        <v>34</v>
      </c>
      <c r="C1205" s="4">
        <v>1200</v>
      </c>
      <c r="D1205" s="210"/>
      <c r="E1205" s="210"/>
      <c r="F1205" s="210"/>
      <c r="G1205" s="210"/>
      <c r="H1205" s="210"/>
      <c r="I1205" s="210"/>
      <c r="J1205" s="4">
        <v>40400</v>
      </c>
      <c r="K1205" s="210"/>
      <c r="L1205" s="210">
        <v>75</v>
      </c>
      <c r="M1205" s="4">
        <v>15</v>
      </c>
      <c r="N1205" s="4" t="str">
        <f>_xlfn.CONCAT("DBX",((L1205-1)*2)+1,".7")</f>
        <v>DBX149.7</v>
      </c>
      <c r="O1205" s="210" t="s">
        <v>782</v>
      </c>
      <c r="P1205" s="210"/>
      <c r="Q1205" s="210"/>
      <c r="R1205" s="210"/>
      <c r="S1205" s="210"/>
      <c r="T1205" s="210"/>
      <c r="U1205" s="210"/>
      <c r="V1205" s="210"/>
      <c r="W1205" s="210"/>
      <c r="X1205" s="210"/>
      <c r="Y1205" s="210"/>
      <c r="Z1205" s="210"/>
      <c r="AA1205" s="210"/>
      <c r="AB1205" s="210"/>
      <c r="AC1205" s="210"/>
      <c r="AD1205" s="210"/>
      <c r="AE1205" s="210"/>
    </row>
    <row r="1206" spans="1:31" x14ac:dyDescent="0.2">
      <c r="A1206" s="209"/>
      <c r="B1206" s="4" t="s">
        <v>34</v>
      </c>
      <c r="C1206" s="4">
        <v>1201</v>
      </c>
      <c r="D1206" s="210"/>
      <c r="E1206" s="210"/>
      <c r="F1206" s="210"/>
      <c r="G1206" s="210"/>
      <c r="H1206" s="210"/>
      <c r="I1206" s="210"/>
      <c r="J1206" s="4">
        <v>40401</v>
      </c>
      <c r="K1206" s="210"/>
      <c r="L1206" s="210">
        <v>76</v>
      </c>
      <c r="M1206" s="4">
        <f>M1190</f>
        <v>0</v>
      </c>
      <c r="N1206" s="4" t="str">
        <f>_xlfn.CONCAT("DBX",((L1206-1)*2),".0")</f>
        <v>DBX150.0</v>
      </c>
      <c r="O1206" s="210" t="s">
        <v>782</v>
      </c>
      <c r="P1206" s="210"/>
      <c r="Q1206" s="210"/>
      <c r="R1206" s="210"/>
      <c r="S1206" s="210"/>
      <c r="T1206" s="210"/>
      <c r="U1206" s="210"/>
      <c r="V1206" s="210"/>
      <c r="W1206" s="210"/>
      <c r="X1206" s="210"/>
      <c r="Y1206" s="210"/>
      <c r="Z1206" s="210"/>
      <c r="AA1206" s="210"/>
      <c r="AB1206" s="210"/>
      <c r="AC1206" s="210"/>
      <c r="AD1206" s="210"/>
      <c r="AE1206" s="210"/>
    </row>
    <row r="1207" spans="1:31" x14ac:dyDescent="0.2">
      <c r="A1207" s="209"/>
      <c r="B1207" s="4" t="s">
        <v>34</v>
      </c>
      <c r="C1207" s="4">
        <v>1202</v>
      </c>
      <c r="D1207" s="210"/>
      <c r="E1207" s="210"/>
      <c r="F1207" s="210"/>
      <c r="G1207" s="210"/>
      <c r="H1207" s="210"/>
      <c r="I1207" s="210"/>
      <c r="J1207" s="4">
        <v>40402</v>
      </c>
      <c r="K1207" s="210"/>
      <c r="L1207" s="210">
        <v>76</v>
      </c>
      <c r="M1207" s="4">
        <f t="shared" si="24"/>
        <v>1</v>
      </c>
      <c r="N1207" s="4" t="str">
        <f>_xlfn.CONCAT("DBX",((L1207-1)*2),".1")</f>
        <v>DBX150.1</v>
      </c>
      <c r="O1207" s="210" t="s">
        <v>782</v>
      </c>
      <c r="P1207" s="210"/>
      <c r="Q1207" s="210"/>
      <c r="R1207" s="210"/>
      <c r="S1207" s="210"/>
      <c r="T1207" s="210"/>
      <c r="U1207" s="210"/>
      <c r="V1207" s="210"/>
      <c r="W1207" s="210"/>
      <c r="X1207" s="210"/>
      <c r="Y1207" s="210"/>
      <c r="Z1207" s="210"/>
      <c r="AA1207" s="210"/>
      <c r="AB1207" s="210"/>
      <c r="AC1207" s="210"/>
      <c r="AD1207" s="210"/>
      <c r="AE1207" s="210"/>
    </row>
    <row r="1208" spans="1:31" x14ac:dyDescent="0.2">
      <c r="A1208" s="209"/>
      <c r="B1208" s="4" t="s">
        <v>34</v>
      </c>
      <c r="C1208" s="4">
        <v>1203</v>
      </c>
      <c r="D1208" s="210"/>
      <c r="E1208" s="210"/>
      <c r="F1208" s="210"/>
      <c r="G1208" s="210"/>
      <c r="H1208" s="210"/>
      <c r="I1208" s="210"/>
      <c r="J1208" s="4">
        <v>40403</v>
      </c>
      <c r="K1208" s="210"/>
      <c r="L1208" s="210">
        <v>76</v>
      </c>
      <c r="M1208" s="4">
        <f t="shared" si="24"/>
        <v>2</v>
      </c>
      <c r="N1208" s="4" t="str">
        <f>_xlfn.CONCAT("DBX",((L1208-1)*2),".2")</f>
        <v>DBX150.2</v>
      </c>
      <c r="O1208" s="210" t="s">
        <v>782</v>
      </c>
      <c r="P1208" s="210"/>
      <c r="Q1208" s="210"/>
      <c r="R1208" s="210"/>
      <c r="S1208" s="210"/>
      <c r="T1208" s="210"/>
      <c r="U1208" s="210"/>
      <c r="V1208" s="210"/>
      <c r="W1208" s="210"/>
      <c r="X1208" s="210"/>
      <c r="Y1208" s="210"/>
      <c r="Z1208" s="210"/>
      <c r="AA1208" s="210"/>
      <c r="AB1208" s="210"/>
      <c r="AC1208" s="210"/>
      <c r="AD1208" s="210"/>
      <c r="AE1208" s="210"/>
    </row>
    <row r="1209" spans="1:31" x14ac:dyDescent="0.2">
      <c r="A1209" s="209"/>
      <c r="B1209" s="4" t="s">
        <v>34</v>
      </c>
      <c r="C1209" s="4">
        <v>1204</v>
      </c>
      <c r="D1209" s="210"/>
      <c r="E1209" s="210"/>
      <c r="F1209" s="210"/>
      <c r="G1209" s="210"/>
      <c r="H1209" s="210"/>
      <c r="I1209" s="210"/>
      <c r="J1209" s="4">
        <v>40404</v>
      </c>
      <c r="K1209" s="210"/>
      <c r="L1209" s="210">
        <v>76</v>
      </c>
      <c r="M1209" s="4">
        <f t="shared" si="24"/>
        <v>3</v>
      </c>
      <c r="N1209" s="4" t="str">
        <f>_xlfn.CONCAT("DBX",((L1209-1)*2),".3")</f>
        <v>DBX150.3</v>
      </c>
      <c r="O1209" s="210" t="s">
        <v>782</v>
      </c>
      <c r="P1209" s="210"/>
      <c r="Q1209" s="210"/>
      <c r="R1209" s="210"/>
      <c r="S1209" s="210"/>
      <c r="T1209" s="210"/>
      <c r="U1209" s="210"/>
      <c r="V1209" s="210"/>
      <c r="W1209" s="210"/>
      <c r="X1209" s="210"/>
      <c r="Y1209" s="210"/>
      <c r="Z1209" s="210"/>
      <c r="AA1209" s="210"/>
      <c r="AB1209" s="210"/>
      <c r="AC1209" s="210"/>
      <c r="AD1209" s="210"/>
      <c r="AE1209" s="210"/>
    </row>
    <row r="1210" spans="1:31" x14ac:dyDescent="0.2">
      <c r="A1210" s="209"/>
      <c r="B1210" s="4" t="s">
        <v>34</v>
      </c>
      <c r="C1210" s="4">
        <v>1205</v>
      </c>
      <c r="D1210" s="210"/>
      <c r="E1210" s="210"/>
      <c r="F1210" s="210"/>
      <c r="G1210" s="210"/>
      <c r="H1210" s="210"/>
      <c r="I1210" s="210"/>
      <c r="J1210" s="4">
        <v>40405</v>
      </c>
      <c r="K1210" s="210"/>
      <c r="L1210" s="210">
        <v>76</v>
      </c>
      <c r="M1210" s="4">
        <f t="shared" si="24"/>
        <v>4</v>
      </c>
      <c r="N1210" s="4" t="str">
        <f>_xlfn.CONCAT("DBX",((L1210-1)*2),".4")</f>
        <v>DBX150.4</v>
      </c>
      <c r="O1210" s="210" t="s">
        <v>782</v>
      </c>
      <c r="P1210" s="210"/>
      <c r="Q1210" s="210"/>
      <c r="R1210" s="210"/>
      <c r="S1210" s="210"/>
      <c r="T1210" s="210"/>
      <c r="U1210" s="210"/>
      <c r="V1210" s="210"/>
      <c r="W1210" s="210"/>
      <c r="X1210" s="210"/>
      <c r="Y1210" s="210"/>
      <c r="Z1210" s="210"/>
      <c r="AA1210" s="210"/>
      <c r="AB1210" s="210"/>
      <c r="AC1210" s="210"/>
      <c r="AD1210" s="210"/>
      <c r="AE1210" s="210"/>
    </row>
    <row r="1211" spans="1:31" x14ac:dyDescent="0.2">
      <c r="A1211" s="209"/>
      <c r="B1211" s="4" t="s">
        <v>34</v>
      </c>
      <c r="C1211" s="4">
        <v>1206</v>
      </c>
      <c r="D1211" s="210"/>
      <c r="E1211" s="210"/>
      <c r="F1211" s="210"/>
      <c r="G1211" s="210"/>
      <c r="H1211" s="210"/>
      <c r="I1211" s="210"/>
      <c r="J1211" s="4">
        <v>40406</v>
      </c>
      <c r="K1211" s="210"/>
      <c r="L1211" s="210">
        <v>76</v>
      </c>
      <c r="M1211" s="4">
        <f t="shared" si="24"/>
        <v>5</v>
      </c>
      <c r="N1211" s="4" t="str">
        <f>_xlfn.CONCAT("DBX",((L1211-1)*2),".5")</f>
        <v>DBX150.5</v>
      </c>
      <c r="O1211" s="210" t="s">
        <v>782</v>
      </c>
      <c r="P1211" s="210"/>
      <c r="Q1211" s="210"/>
      <c r="R1211" s="210"/>
      <c r="S1211" s="210"/>
      <c r="T1211" s="210"/>
      <c r="U1211" s="210"/>
      <c r="V1211" s="210"/>
      <c r="W1211" s="210"/>
      <c r="X1211" s="210"/>
      <c r="Y1211" s="210"/>
      <c r="Z1211" s="210"/>
      <c r="AA1211" s="210"/>
      <c r="AB1211" s="210"/>
      <c r="AC1211" s="210"/>
      <c r="AD1211" s="210"/>
      <c r="AE1211" s="210"/>
    </row>
    <row r="1212" spans="1:31" x14ac:dyDescent="0.2">
      <c r="A1212" s="209"/>
      <c r="B1212" s="4" t="s">
        <v>34</v>
      </c>
      <c r="C1212" s="4">
        <v>1207</v>
      </c>
      <c r="D1212" s="210"/>
      <c r="E1212" s="210"/>
      <c r="F1212" s="210"/>
      <c r="G1212" s="210"/>
      <c r="H1212" s="210"/>
      <c r="I1212" s="210"/>
      <c r="J1212" s="4">
        <v>40407</v>
      </c>
      <c r="K1212" s="210"/>
      <c r="L1212" s="210">
        <v>76</v>
      </c>
      <c r="M1212" s="4">
        <f t="shared" si="24"/>
        <v>6</v>
      </c>
      <c r="N1212" s="4" t="str">
        <f>_xlfn.CONCAT("DBX",((L1212-1)*2),".6")</f>
        <v>DBX150.6</v>
      </c>
      <c r="O1212" s="210" t="s">
        <v>782</v>
      </c>
      <c r="P1212" s="210"/>
      <c r="Q1212" s="210"/>
      <c r="R1212" s="210"/>
      <c r="S1212" s="210"/>
      <c r="T1212" s="210"/>
      <c r="U1212" s="210"/>
      <c r="V1212" s="210"/>
      <c r="W1212" s="210"/>
      <c r="X1212" s="210"/>
      <c r="Y1212" s="210"/>
      <c r="Z1212" s="210"/>
      <c r="AA1212" s="210"/>
      <c r="AB1212" s="210"/>
      <c r="AC1212" s="210"/>
      <c r="AD1212" s="210"/>
      <c r="AE1212" s="210"/>
    </row>
    <row r="1213" spans="1:31" x14ac:dyDescent="0.2">
      <c r="A1213" s="209"/>
      <c r="B1213" s="4" t="s">
        <v>34</v>
      </c>
      <c r="C1213" s="4">
        <v>1208</v>
      </c>
      <c r="D1213" s="210"/>
      <c r="E1213" s="210"/>
      <c r="F1213" s="210"/>
      <c r="G1213" s="210"/>
      <c r="H1213" s="210"/>
      <c r="I1213" s="210"/>
      <c r="J1213" s="4">
        <v>40408</v>
      </c>
      <c r="K1213" s="210"/>
      <c r="L1213" s="210">
        <v>76</v>
      </c>
      <c r="M1213" s="4">
        <f t="shared" si="24"/>
        <v>7</v>
      </c>
      <c r="N1213" s="4" t="str">
        <f>_xlfn.CONCAT("DBX",((L1213-1)*2),".7")</f>
        <v>DBX150.7</v>
      </c>
      <c r="O1213" s="210" t="s">
        <v>782</v>
      </c>
      <c r="P1213" s="210"/>
      <c r="Q1213" s="210"/>
      <c r="R1213" s="210"/>
      <c r="S1213" s="210"/>
      <c r="T1213" s="210"/>
      <c r="U1213" s="210"/>
      <c r="V1213" s="210"/>
      <c r="W1213" s="210"/>
      <c r="X1213" s="210"/>
      <c r="Y1213" s="210"/>
      <c r="Z1213" s="210"/>
      <c r="AA1213" s="210"/>
      <c r="AB1213" s="210"/>
      <c r="AC1213" s="210"/>
      <c r="AD1213" s="210"/>
      <c r="AE1213" s="210"/>
    </row>
    <row r="1214" spans="1:31" x14ac:dyDescent="0.2">
      <c r="A1214" s="209"/>
      <c r="B1214" s="4" t="s">
        <v>34</v>
      </c>
      <c r="C1214" s="4">
        <v>1209</v>
      </c>
      <c r="D1214" s="210"/>
      <c r="E1214" s="210"/>
      <c r="F1214" s="210"/>
      <c r="G1214" s="210"/>
      <c r="H1214" s="210"/>
      <c r="I1214" s="210"/>
      <c r="J1214" s="4">
        <v>40409</v>
      </c>
      <c r="K1214" s="210"/>
      <c r="L1214" s="210">
        <v>76</v>
      </c>
      <c r="M1214" s="4">
        <f t="shared" si="24"/>
        <v>8</v>
      </c>
      <c r="N1214" s="4" t="str">
        <f>_xlfn.CONCAT("DBX",((L1214-1)*2)+1,".0")</f>
        <v>DBX151.0</v>
      </c>
      <c r="O1214" s="210" t="s">
        <v>782</v>
      </c>
      <c r="P1214" s="210"/>
      <c r="Q1214" s="210"/>
      <c r="R1214" s="210"/>
      <c r="S1214" s="210"/>
      <c r="T1214" s="210"/>
      <c r="U1214" s="210"/>
      <c r="V1214" s="210"/>
      <c r="W1214" s="210"/>
      <c r="X1214" s="210"/>
      <c r="Y1214" s="210"/>
      <c r="Z1214" s="210"/>
      <c r="AA1214" s="210"/>
      <c r="AB1214" s="210"/>
      <c r="AC1214" s="210"/>
      <c r="AD1214" s="210"/>
      <c r="AE1214" s="210"/>
    </row>
    <row r="1215" spans="1:31" x14ac:dyDescent="0.2">
      <c r="A1215" s="209"/>
      <c r="B1215" s="4" t="s">
        <v>34</v>
      </c>
      <c r="C1215" s="4">
        <v>1210</v>
      </c>
      <c r="D1215" s="210"/>
      <c r="E1215" s="210"/>
      <c r="F1215" s="210"/>
      <c r="G1215" s="210"/>
      <c r="H1215" s="210"/>
      <c r="I1215" s="210"/>
      <c r="J1215" s="4">
        <v>40410</v>
      </c>
      <c r="K1215" s="210"/>
      <c r="L1215" s="210">
        <v>76</v>
      </c>
      <c r="M1215" s="4">
        <f t="shared" si="24"/>
        <v>9</v>
      </c>
      <c r="N1215" s="4" t="str">
        <f>_xlfn.CONCAT("DBX",((L1215-1)*2)+1,".1")</f>
        <v>DBX151.1</v>
      </c>
      <c r="O1215" s="210" t="s">
        <v>782</v>
      </c>
      <c r="P1215" s="210"/>
      <c r="Q1215" s="210"/>
      <c r="R1215" s="210"/>
      <c r="S1215" s="210"/>
      <c r="T1215" s="210"/>
      <c r="U1215" s="210"/>
      <c r="V1215" s="210"/>
      <c r="W1215" s="210"/>
      <c r="X1215" s="210"/>
      <c r="Y1215" s="210"/>
      <c r="Z1215" s="210"/>
      <c r="AA1215" s="210"/>
      <c r="AB1215" s="210"/>
      <c r="AC1215" s="210"/>
      <c r="AD1215" s="210"/>
      <c r="AE1215" s="210"/>
    </row>
    <row r="1216" spans="1:31" x14ac:dyDescent="0.2">
      <c r="A1216" s="209"/>
      <c r="B1216" s="4" t="s">
        <v>34</v>
      </c>
      <c r="C1216" s="4">
        <v>1211</v>
      </c>
      <c r="D1216" s="210"/>
      <c r="E1216" s="210"/>
      <c r="F1216" s="210"/>
      <c r="G1216" s="210"/>
      <c r="H1216" s="210"/>
      <c r="I1216" s="210"/>
      <c r="J1216" s="4">
        <v>40411</v>
      </c>
      <c r="K1216" s="210"/>
      <c r="L1216" s="210">
        <v>76</v>
      </c>
      <c r="M1216" s="4">
        <f t="shared" si="24"/>
        <v>10</v>
      </c>
      <c r="N1216" s="4" t="str">
        <f>_xlfn.CONCAT("DBX",((L1216-1)*2)+1,".2")</f>
        <v>DBX151.2</v>
      </c>
      <c r="O1216" s="210" t="s">
        <v>782</v>
      </c>
      <c r="P1216" s="210"/>
      <c r="Q1216" s="210"/>
      <c r="R1216" s="210"/>
      <c r="S1216" s="210"/>
      <c r="T1216" s="210"/>
      <c r="U1216" s="210"/>
      <c r="V1216" s="210"/>
      <c r="W1216" s="210"/>
      <c r="X1216" s="210"/>
      <c r="Y1216" s="210"/>
      <c r="Z1216" s="210"/>
      <c r="AA1216" s="210"/>
      <c r="AB1216" s="210"/>
      <c r="AC1216" s="210"/>
      <c r="AD1216" s="210"/>
      <c r="AE1216" s="210"/>
    </row>
    <row r="1217" spans="1:31" x14ac:dyDescent="0.2">
      <c r="A1217" s="209"/>
      <c r="B1217" s="4" t="s">
        <v>34</v>
      </c>
      <c r="C1217" s="4">
        <v>1212</v>
      </c>
      <c r="D1217" s="210"/>
      <c r="E1217" s="210"/>
      <c r="F1217" s="210"/>
      <c r="G1217" s="210"/>
      <c r="H1217" s="210"/>
      <c r="I1217" s="210"/>
      <c r="J1217" s="4">
        <v>40412</v>
      </c>
      <c r="K1217" s="210"/>
      <c r="L1217" s="210">
        <v>76</v>
      </c>
      <c r="M1217" s="4">
        <f t="shared" si="24"/>
        <v>11</v>
      </c>
      <c r="N1217" s="4" t="str">
        <f>_xlfn.CONCAT("DBX",((L1217-1)*2)+1,".3")</f>
        <v>DBX151.3</v>
      </c>
      <c r="O1217" s="210" t="s">
        <v>782</v>
      </c>
      <c r="P1217" s="210"/>
      <c r="Q1217" s="210"/>
      <c r="R1217" s="210"/>
      <c r="S1217" s="210"/>
      <c r="T1217" s="210"/>
      <c r="U1217" s="210"/>
      <c r="V1217" s="210"/>
      <c r="W1217" s="210"/>
      <c r="X1217" s="210"/>
      <c r="Y1217" s="210"/>
      <c r="Z1217" s="210"/>
      <c r="AA1217" s="210"/>
      <c r="AB1217" s="210"/>
      <c r="AC1217" s="210"/>
      <c r="AD1217" s="210"/>
      <c r="AE1217" s="210"/>
    </row>
    <row r="1218" spans="1:31" x14ac:dyDescent="0.2">
      <c r="A1218" s="209"/>
      <c r="B1218" s="4" t="s">
        <v>34</v>
      </c>
      <c r="C1218" s="4">
        <v>1213</v>
      </c>
      <c r="D1218" s="210"/>
      <c r="E1218" s="210"/>
      <c r="F1218" s="210"/>
      <c r="G1218" s="210"/>
      <c r="H1218" s="210"/>
      <c r="I1218" s="210"/>
      <c r="J1218" s="4">
        <v>40413</v>
      </c>
      <c r="K1218" s="210"/>
      <c r="L1218" s="210">
        <v>76</v>
      </c>
      <c r="M1218" s="4">
        <f t="shared" si="24"/>
        <v>12</v>
      </c>
      <c r="N1218" s="4" t="str">
        <f>_xlfn.CONCAT("DBX",((L1218-1)*2)+1,".4")</f>
        <v>DBX151.4</v>
      </c>
      <c r="O1218" s="210" t="s">
        <v>782</v>
      </c>
      <c r="P1218" s="210"/>
      <c r="Q1218" s="210"/>
      <c r="R1218" s="210"/>
      <c r="S1218" s="210"/>
      <c r="T1218" s="210"/>
      <c r="U1218" s="210"/>
      <c r="V1218" s="210"/>
      <c r="W1218" s="210"/>
      <c r="X1218" s="210"/>
      <c r="Y1218" s="210"/>
      <c r="Z1218" s="210"/>
      <c r="AA1218" s="210"/>
      <c r="AB1218" s="210"/>
      <c r="AC1218" s="210"/>
      <c r="AD1218" s="210"/>
      <c r="AE1218" s="210"/>
    </row>
    <row r="1219" spans="1:31" x14ac:dyDescent="0.2">
      <c r="A1219" s="209"/>
      <c r="B1219" s="4" t="s">
        <v>34</v>
      </c>
      <c r="C1219" s="4">
        <v>1214</v>
      </c>
      <c r="D1219" s="210"/>
      <c r="E1219" s="210"/>
      <c r="F1219" s="210"/>
      <c r="G1219" s="210"/>
      <c r="H1219" s="210"/>
      <c r="I1219" s="210"/>
      <c r="J1219" s="4">
        <v>40414</v>
      </c>
      <c r="K1219" s="210"/>
      <c r="L1219" s="210">
        <v>76</v>
      </c>
      <c r="M1219" s="4">
        <f t="shared" si="24"/>
        <v>13</v>
      </c>
      <c r="N1219" s="4" t="str">
        <f>_xlfn.CONCAT("DBX",((L1219-1)*2)+1,".5")</f>
        <v>DBX151.5</v>
      </c>
      <c r="O1219" s="210" t="s">
        <v>782</v>
      </c>
      <c r="P1219" s="210"/>
      <c r="Q1219" s="210"/>
      <c r="R1219" s="210"/>
      <c r="S1219" s="210"/>
      <c r="T1219" s="210"/>
      <c r="U1219" s="210"/>
      <c r="V1219" s="210"/>
      <c r="W1219" s="210"/>
      <c r="X1219" s="210"/>
      <c r="Y1219" s="210"/>
      <c r="Z1219" s="210"/>
      <c r="AA1219" s="210"/>
      <c r="AB1219" s="210"/>
      <c r="AC1219" s="210"/>
      <c r="AD1219" s="210"/>
      <c r="AE1219" s="210"/>
    </row>
    <row r="1220" spans="1:31" x14ac:dyDescent="0.2">
      <c r="A1220" s="209"/>
      <c r="B1220" s="4" t="s">
        <v>34</v>
      </c>
      <c r="C1220" s="4">
        <v>1215</v>
      </c>
      <c r="D1220" s="210"/>
      <c r="E1220" s="210"/>
      <c r="F1220" s="210"/>
      <c r="G1220" s="210"/>
      <c r="H1220" s="210"/>
      <c r="I1220" s="210"/>
      <c r="J1220" s="4">
        <v>40415</v>
      </c>
      <c r="K1220" s="210"/>
      <c r="L1220" s="210">
        <v>76</v>
      </c>
      <c r="M1220" s="4">
        <f t="shared" si="24"/>
        <v>14</v>
      </c>
      <c r="N1220" s="4" t="str">
        <f>_xlfn.CONCAT("DBX",((L1220-1)*2)+1,".6")</f>
        <v>DBX151.6</v>
      </c>
      <c r="O1220" s="210" t="s">
        <v>782</v>
      </c>
      <c r="P1220" s="210"/>
      <c r="Q1220" s="210"/>
      <c r="R1220" s="210"/>
      <c r="S1220" s="210"/>
      <c r="T1220" s="210"/>
      <c r="U1220" s="210"/>
      <c r="V1220" s="210"/>
      <c r="W1220" s="210"/>
      <c r="X1220" s="210"/>
      <c r="Y1220" s="210"/>
      <c r="Z1220" s="210"/>
      <c r="AA1220" s="210"/>
      <c r="AB1220" s="210"/>
      <c r="AC1220" s="210"/>
      <c r="AD1220" s="210"/>
      <c r="AE1220" s="210"/>
    </row>
    <row r="1221" spans="1:31" x14ac:dyDescent="0.2">
      <c r="A1221" s="209"/>
      <c r="B1221" s="4" t="s">
        <v>34</v>
      </c>
      <c r="C1221" s="4">
        <v>1216</v>
      </c>
      <c r="D1221" s="210"/>
      <c r="E1221" s="210"/>
      <c r="F1221" s="210"/>
      <c r="G1221" s="210"/>
      <c r="H1221" s="210"/>
      <c r="I1221" s="210"/>
      <c r="J1221" s="4">
        <v>40416</v>
      </c>
      <c r="K1221" s="210"/>
      <c r="L1221" s="210">
        <v>76</v>
      </c>
      <c r="M1221" s="4">
        <f t="shared" si="24"/>
        <v>15</v>
      </c>
      <c r="N1221" s="4" t="str">
        <f>_xlfn.CONCAT("DBX",((L1221-1)*2)+1,".7")</f>
        <v>DBX151.7</v>
      </c>
      <c r="O1221" s="210" t="s">
        <v>782</v>
      </c>
      <c r="P1221" s="210"/>
      <c r="Q1221" s="210"/>
      <c r="R1221" s="210"/>
      <c r="S1221" s="210"/>
      <c r="T1221" s="210"/>
      <c r="U1221" s="210"/>
      <c r="V1221" s="210"/>
      <c r="W1221" s="210"/>
      <c r="X1221" s="210"/>
      <c r="Y1221" s="210"/>
      <c r="Z1221" s="210"/>
      <c r="AA1221" s="210"/>
      <c r="AB1221" s="210"/>
      <c r="AC1221" s="210"/>
      <c r="AD1221" s="210"/>
      <c r="AE1221" s="210"/>
    </row>
    <row r="1222" spans="1:31" x14ac:dyDescent="0.2">
      <c r="A1222" s="209"/>
      <c r="B1222" s="4" t="s">
        <v>34</v>
      </c>
      <c r="C1222" s="4">
        <v>1217</v>
      </c>
      <c r="D1222" s="210"/>
      <c r="E1222" s="210"/>
      <c r="F1222" s="210"/>
      <c r="G1222" s="210"/>
      <c r="H1222" s="210"/>
      <c r="I1222" s="210"/>
      <c r="J1222" s="4">
        <v>40417</v>
      </c>
      <c r="K1222" s="210"/>
      <c r="L1222" s="210">
        <v>77</v>
      </c>
      <c r="M1222" s="4">
        <f t="shared" ref="M1222:M1285" si="25">M1206</f>
        <v>0</v>
      </c>
      <c r="N1222" s="4" t="str">
        <f>_xlfn.CONCAT("DBX",((L1222-1)*2),".0")</f>
        <v>DBX152.0</v>
      </c>
      <c r="O1222" s="210" t="s">
        <v>782</v>
      </c>
      <c r="P1222" s="210"/>
      <c r="Q1222" s="210"/>
      <c r="R1222" s="210"/>
      <c r="S1222" s="210"/>
      <c r="T1222" s="210"/>
      <c r="U1222" s="210"/>
      <c r="V1222" s="210"/>
      <c r="W1222" s="210"/>
      <c r="X1222" s="210"/>
      <c r="Y1222" s="210"/>
      <c r="Z1222" s="210"/>
      <c r="AA1222" s="210"/>
      <c r="AB1222" s="210"/>
      <c r="AC1222" s="210"/>
      <c r="AD1222" s="210"/>
      <c r="AE1222" s="210"/>
    </row>
    <row r="1223" spans="1:31" x14ac:dyDescent="0.2">
      <c r="A1223" s="209"/>
      <c r="B1223" s="4" t="s">
        <v>34</v>
      </c>
      <c r="C1223" s="4">
        <v>1218</v>
      </c>
      <c r="D1223" s="210"/>
      <c r="E1223" s="210"/>
      <c r="F1223" s="210"/>
      <c r="G1223" s="210"/>
      <c r="H1223" s="210"/>
      <c r="I1223" s="210"/>
      <c r="J1223" s="4">
        <v>40418</v>
      </c>
      <c r="K1223" s="210"/>
      <c r="L1223" s="210">
        <v>77</v>
      </c>
      <c r="M1223" s="4">
        <f t="shared" si="25"/>
        <v>1</v>
      </c>
      <c r="N1223" s="4" t="str">
        <f>_xlfn.CONCAT("DBX",((L1223-1)*2),".1")</f>
        <v>DBX152.1</v>
      </c>
      <c r="O1223" s="210" t="s">
        <v>782</v>
      </c>
      <c r="P1223" s="210"/>
      <c r="Q1223" s="210"/>
      <c r="R1223" s="210"/>
      <c r="S1223" s="210"/>
      <c r="T1223" s="210"/>
      <c r="U1223" s="210"/>
      <c r="V1223" s="210"/>
      <c r="W1223" s="210"/>
      <c r="X1223" s="210"/>
      <c r="Y1223" s="210"/>
      <c r="Z1223" s="210"/>
      <c r="AA1223" s="210"/>
      <c r="AB1223" s="210"/>
      <c r="AC1223" s="210"/>
      <c r="AD1223" s="210"/>
      <c r="AE1223" s="210"/>
    </row>
    <row r="1224" spans="1:31" x14ac:dyDescent="0.2">
      <c r="A1224" s="209"/>
      <c r="B1224" s="4" t="s">
        <v>34</v>
      </c>
      <c r="C1224" s="4">
        <v>1219</v>
      </c>
      <c r="D1224" s="210"/>
      <c r="E1224" s="210"/>
      <c r="F1224" s="210"/>
      <c r="G1224" s="210"/>
      <c r="H1224" s="210"/>
      <c r="I1224" s="210"/>
      <c r="J1224" s="4">
        <v>40419</v>
      </c>
      <c r="K1224" s="210"/>
      <c r="L1224" s="210">
        <v>77</v>
      </c>
      <c r="M1224" s="4">
        <f t="shared" si="25"/>
        <v>2</v>
      </c>
      <c r="N1224" s="4" t="str">
        <f>_xlfn.CONCAT("DBX",((L1224-1)*2),".2")</f>
        <v>DBX152.2</v>
      </c>
      <c r="O1224" s="210" t="s">
        <v>782</v>
      </c>
      <c r="P1224" s="210"/>
      <c r="Q1224" s="210"/>
      <c r="R1224" s="210"/>
      <c r="S1224" s="210"/>
      <c r="T1224" s="210"/>
      <c r="U1224" s="210"/>
      <c r="V1224" s="210"/>
      <c r="W1224" s="210"/>
      <c r="X1224" s="210"/>
      <c r="Y1224" s="210"/>
      <c r="Z1224" s="210"/>
      <c r="AA1224" s="210"/>
      <c r="AB1224" s="210"/>
      <c r="AC1224" s="210"/>
      <c r="AD1224" s="210"/>
      <c r="AE1224" s="210"/>
    </row>
    <row r="1225" spans="1:31" x14ac:dyDescent="0.2">
      <c r="A1225" s="209"/>
      <c r="B1225" s="4" t="s">
        <v>34</v>
      </c>
      <c r="C1225" s="4">
        <v>1220</v>
      </c>
      <c r="D1225" s="210"/>
      <c r="E1225" s="210"/>
      <c r="F1225" s="210"/>
      <c r="G1225" s="210"/>
      <c r="H1225" s="210"/>
      <c r="I1225" s="210"/>
      <c r="J1225" s="4">
        <v>40420</v>
      </c>
      <c r="K1225" s="210"/>
      <c r="L1225" s="210">
        <v>77</v>
      </c>
      <c r="M1225" s="4">
        <f t="shared" si="25"/>
        <v>3</v>
      </c>
      <c r="N1225" s="4" t="str">
        <f>_xlfn.CONCAT("DBX",((L1225-1)*2),".3")</f>
        <v>DBX152.3</v>
      </c>
      <c r="O1225" s="210" t="s">
        <v>782</v>
      </c>
      <c r="P1225" s="210"/>
      <c r="Q1225" s="210"/>
      <c r="R1225" s="210"/>
      <c r="S1225" s="210"/>
      <c r="T1225" s="210"/>
      <c r="U1225" s="210"/>
      <c r="V1225" s="210"/>
      <c r="W1225" s="210"/>
      <c r="X1225" s="210"/>
      <c r="Y1225" s="210"/>
      <c r="Z1225" s="210"/>
      <c r="AA1225" s="210"/>
      <c r="AB1225" s="210"/>
      <c r="AC1225" s="210"/>
      <c r="AD1225" s="210"/>
      <c r="AE1225" s="210"/>
    </row>
    <row r="1226" spans="1:31" x14ac:dyDescent="0.2">
      <c r="A1226" s="209"/>
      <c r="B1226" s="4" t="s">
        <v>34</v>
      </c>
      <c r="C1226" s="4">
        <v>1221</v>
      </c>
      <c r="D1226" s="210"/>
      <c r="E1226" s="210"/>
      <c r="F1226" s="210"/>
      <c r="G1226" s="210"/>
      <c r="H1226" s="210"/>
      <c r="I1226" s="210"/>
      <c r="J1226" s="4">
        <v>40421</v>
      </c>
      <c r="K1226" s="210"/>
      <c r="L1226" s="210">
        <v>77</v>
      </c>
      <c r="M1226" s="4">
        <f t="shared" si="25"/>
        <v>4</v>
      </c>
      <c r="N1226" s="4" t="str">
        <f>_xlfn.CONCAT("DBX",((L1226-1)*2),".4")</f>
        <v>DBX152.4</v>
      </c>
      <c r="O1226" s="210" t="s">
        <v>782</v>
      </c>
      <c r="P1226" s="210"/>
      <c r="Q1226" s="210"/>
      <c r="R1226" s="210"/>
      <c r="S1226" s="210"/>
      <c r="T1226" s="210"/>
      <c r="U1226" s="210"/>
      <c r="V1226" s="210"/>
      <c r="W1226" s="210"/>
      <c r="X1226" s="210"/>
      <c r="Y1226" s="210"/>
      <c r="Z1226" s="210"/>
      <c r="AA1226" s="210"/>
      <c r="AB1226" s="210"/>
      <c r="AC1226" s="210"/>
      <c r="AD1226" s="210"/>
      <c r="AE1226" s="210"/>
    </row>
    <row r="1227" spans="1:31" x14ac:dyDescent="0.2">
      <c r="A1227" s="209"/>
      <c r="B1227" s="4" t="s">
        <v>34</v>
      </c>
      <c r="C1227" s="4">
        <v>1222</v>
      </c>
      <c r="D1227" s="210"/>
      <c r="E1227" s="210"/>
      <c r="F1227" s="210"/>
      <c r="G1227" s="210"/>
      <c r="H1227" s="210"/>
      <c r="I1227" s="210"/>
      <c r="J1227" s="4">
        <v>40422</v>
      </c>
      <c r="K1227" s="210"/>
      <c r="L1227" s="210">
        <v>77</v>
      </c>
      <c r="M1227" s="4">
        <f t="shared" si="25"/>
        <v>5</v>
      </c>
      <c r="N1227" s="4" t="str">
        <f>_xlfn.CONCAT("DBX",((L1227-1)*2),".5")</f>
        <v>DBX152.5</v>
      </c>
      <c r="O1227" s="210" t="s">
        <v>782</v>
      </c>
      <c r="P1227" s="210"/>
      <c r="Q1227" s="210"/>
      <c r="R1227" s="210"/>
      <c r="S1227" s="210"/>
      <c r="T1227" s="210"/>
      <c r="U1227" s="210"/>
      <c r="V1227" s="210"/>
      <c r="W1227" s="210"/>
      <c r="X1227" s="210"/>
      <c r="Y1227" s="210"/>
      <c r="Z1227" s="210"/>
      <c r="AA1227" s="210"/>
      <c r="AB1227" s="210"/>
      <c r="AC1227" s="210"/>
      <c r="AD1227" s="210"/>
      <c r="AE1227" s="210"/>
    </row>
    <row r="1228" spans="1:31" x14ac:dyDescent="0.2">
      <c r="A1228" s="209"/>
      <c r="B1228" s="4" t="s">
        <v>34</v>
      </c>
      <c r="C1228" s="4">
        <v>1223</v>
      </c>
      <c r="D1228" s="210"/>
      <c r="E1228" s="210"/>
      <c r="F1228" s="210"/>
      <c r="G1228" s="210"/>
      <c r="H1228" s="210"/>
      <c r="I1228" s="210"/>
      <c r="J1228" s="4">
        <v>40423</v>
      </c>
      <c r="K1228" s="210"/>
      <c r="L1228" s="210">
        <v>77</v>
      </c>
      <c r="M1228" s="4">
        <f t="shared" si="25"/>
        <v>6</v>
      </c>
      <c r="N1228" s="4" t="str">
        <f>_xlfn.CONCAT("DBX",((L1228-1)*2),".6")</f>
        <v>DBX152.6</v>
      </c>
      <c r="O1228" s="210" t="s">
        <v>782</v>
      </c>
      <c r="P1228" s="210"/>
      <c r="Q1228" s="210"/>
      <c r="R1228" s="210"/>
      <c r="S1228" s="210"/>
      <c r="T1228" s="210"/>
      <c r="U1228" s="210"/>
      <c r="V1228" s="210"/>
      <c r="W1228" s="210"/>
      <c r="X1228" s="210"/>
      <c r="Y1228" s="210"/>
      <c r="Z1228" s="210"/>
      <c r="AA1228" s="210"/>
      <c r="AB1228" s="210"/>
      <c r="AC1228" s="210"/>
      <c r="AD1228" s="210"/>
      <c r="AE1228" s="210"/>
    </row>
    <row r="1229" spans="1:31" x14ac:dyDescent="0.2">
      <c r="A1229" s="209"/>
      <c r="B1229" s="4" t="s">
        <v>34</v>
      </c>
      <c r="C1229" s="4">
        <v>1224</v>
      </c>
      <c r="D1229" s="210"/>
      <c r="E1229" s="210"/>
      <c r="F1229" s="210"/>
      <c r="G1229" s="210"/>
      <c r="H1229" s="210"/>
      <c r="I1229" s="210"/>
      <c r="J1229" s="4">
        <v>40424</v>
      </c>
      <c r="K1229" s="210"/>
      <c r="L1229" s="210">
        <v>77</v>
      </c>
      <c r="M1229" s="4">
        <f t="shared" si="25"/>
        <v>7</v>
      </c>
      <c r="N1229" s="4" t="str">
        <f>_xlfn.CONCAT("DBX",((L1229-1)*2),".7")</f>
        <v>DBX152.7</v>
      </c>
      <c r="O1229" s="210" t="s">
        <v>782</v>
      </c>
      <c r="P1229" s="210"/>
      <c r="Q1229" s="210"/>
      <c r="R1229" s="210"/>
      <c r="S1229" s="210"/>
      <c r="T1229" s="210"/>
      <c r="U1229" s="210"/>
      <c r="V1229" s="210"/>
      <c r="W1229" s="210"/>
      <c r="X1229" s="210"/>
      <c r="Y1229" s="210"/>
      <c r="Z1229" s="210"/>
      <c r="AA1229" s="210"/>
      <c r="AB1229" s="210"/>
      <c r="AC1229" s="210"/>
      <c r="AD1229" s="210"/>
      <c r="AE1229" s="210"/>
    </row>
    <row r="1230" spans="1:31" x14ac:dyDescent="0.2">
      <c r="A1230" s="209"/>
      <c r="B1230" s="4" t="s">
        <v>34</v>
      </c>
      <c r="C1230" s="4">
        <v>1225</v>
      </c>
      <c r="D1230" s="210"/>
      <c r="E1230" s="210"/>
      <c r="F1230" s="210"/>
      <c r="G1230" s="210"/>
      <c r="H1230" s="210"/>
      <c r="I1230" s="210"/>
      <c r="J1230" s="4">
        <v>40425</v>
      </c>
      <c r="K1230" s="210"/>
      <c r="L1230" s="210">
        <v>77</v>
      </c>
      <c r="M1230" s="4">
        <f t="shared" si="25"/>
        <v>8</v>
      </c>
      <c r="N1230" s="4" t="str">
        <f>_xlfn.CONCAT("DBX",((L1230-1)*2)+1,".0")</f>
        <v>DBX153.0</v>
      </c>
      <c r="O1230" s="210" t="s">
        <v>782</v>
      </c>
      <c r="P1230" s="210"/>
      <c r="Q1230" s="210"/>
      <c r="R1230" s="210"/>
      <c r="S1230" s="210"/>
      <c r="T1230" s="210"/>
      <c r="U1230" s="210"/>
      <c r="V1230" s="210"/>
      <c r="W1230" s="210"/>
      <c r="X1230" s="210"/>
      <c r="Y1230" s="210"/>
      <c r="Z1230" s="210"/>
      <c r="AA1230" s="210"/>
      <c r="AB1230" s="210"/>
      <c r="AC1230" s="210"/>
      <c r="AD1230" s="210"/>
      <c r="AE1230" s="210"/>
    </row>
    <row r="1231" spans="1:31" x14ac:dyDescent="0.2">
      <c r="A1231" s="209"/>
      <c r="B1231" s="4" t="s">
        <v>34</v>
      </c>
      <c r="C1231" s="4">
        <v>1226</v>
      </c>
      <c r="D1231" s="210"/>
      <c r="E1231" s="210"/>
      <c r="F1231" s="210"/>
      <c r="G1231" s="210"/>
      <c r="H1231" s="210"/>
      <c r="I1231" s="210"/>
      <c r="J1231" s="4">
        <v>40426</v>
      </c>
      <c r="K1231" s="210"/>
      <c r="L1231" s="210">
        <v>77</v>
      </c>
      <c r="M1231" s="4">
        <f t="shared" si="25"/>
        <v>9</v>
      </c>
      <c r="N1231" s="4" t="str">
        <f>_xlfn.CONCAT("DBX",((L1231-1)*2)+1,".1")</f>
        <v>DBX153.1</v>
      </c>
      <c r="O1231" s="210" t="s">
        <v>782</v>
      </c>
      <c r="P1231" s="210"/>
      <c r="Q1231" s="210"/>
      <c r="R1231" s="210"/>
      <c r="S1231" s="210"/>
      <c r="T1231" s="210"/>
      <c r="U1231" s="210"/>
      <c r="V1231" s="210"/>
      <c r="W1231" s="210"/>
      <c r="X1231" s="210"/>
      <c r="Y1231" s="210"/>
      <c r="Z1231" s="210"/>
      <c r="AA1231" s="210"/>
      <c r="AB1231" s="210"/>
      <c r="AC1231" s="210"/>
      <c r="AD1231" s="210"/>
      <c r="AE1231" s="210"/>
    </row>
    <row r="1232" spans="1:31" x14ac:dyDescent="0.2">
      <c r="A1232" s="209"/>
      <c r="B1232" s="4" t="s">
        <v>34</v>
      </c>
      <c r="C1232" s="4">
        <v>1227</v>
      </c>
      <c r="D1232" s="210"/>
      <c r="E1232" s="210"/>
      <c r="F1232" s="210"/>
      <c r="G1232" s="210"/>
      <c r="H1232" s="210"/>
      <c r="I1232" s="210"/>
      <c r="J1232" s="4">
        <v>40427</v>
      </c>
      <c r="K1232" s="210"/>
      <c r="L1232" s="210">
        <v>77</v>
      </c>
      <c r="M1232" s="4">
        <f t="shared" si="25"/>
        <v>10</v>
      </c>
      <c r="N1232" s="4" t="str">
        <f>_xlfn.CONCAT("DBX",((L1232-1)*2)+1,".2")</f>
        <v>DBX153.2</v>
      </c>
      <c r="O1232" s="210" t="s">
        <v>782</v>
      </c>
      <c r="P1232" s="210"/>
      <c r="Q1232" s="210"/>
      <c r="R1232" s="210"/>
      <c r="S1232" s="210"/>
      <c r="T1232" s="210"/>
      <c r="U1232" s="210"/>
      <c r="V1232" s="210"/>
      <c r="W1232" s="210"/>
      <c r="X1232" s="210"/>
      <c r="Y1232" s="210"/>
      <c r="Z1232" s="210"/>
      <c r="AA1232" s="210"/>
      <c r="AB1232" s="210"/>
      <c r="AC1232" s="210"/>
      <c r="AD1232" s="210"/>
      <c r="AE1232" s="210"/>
    </row>
    <row r="1233" spans="1:31" x14ac:dyDescent="0.2">
      <c r="A1233" s="209"/>
      <c r="B1233" s="4" t="s">
        <v>34</v>
      </c>
      <c r="C1233" s="4">
        <v>1228</v>
      </c>
      <c r="D1233" s="210"/>
      <c r="E1233" s="210"/>
      <c r="F1233" s="210"/>
      <c r="G1233" s="210"/>
      <c r="H1233" s="210"/>
      <c r="I1233" s="210"/>
      <c r="J1233" s="4">
        <v>40428</v>
      </c>
      <c r="K1233" s="210"/>
      <c r="L1233" s="210">
        <v>77</v>
      </c>
      <c r="M1233" s="4">
        <f t="shared" si="25"/>
        <v>11</v>
      </c>
      <c r="N1233" s="4" t="str">
        <f>_xlfn.CONCAT("DBX",((L1233-1)*2)+1,".3")</f>
        <v>DBX153.3</v>
      </c>
      <c r="O1233" s="210" t="s">
        <v>782</v>
      </c>
      <c r="P1233" s="210"/>
      <c r="Q1233" s="210"/>
      <c r="R1233" s="210"/>
      <c r="S1233" s="210"/>
      <c r="T1233" s="210"/>
      <c r="U1233" s="210"/>
      <c r="V1233" s="210"/>
      <c r="W1233" s="210"/>
      <c r="X1233" s="210"/>
      <c r="Y1233" s="210"/>
      <c r="Z1233" s="210"/>
      <c r="AA1233" s="210"/>
      <c r="AB1233" s="210"/>
      <c r="AC1233" s="210"/>
      <c r="AD1233" s="210"/>
      <c r="AE1233" s="210"/>
    </row>
    <row r="1234" spans="1:31" x14ac:dyDescent="0.2">
      <c r="A1234" s="209"/>
      <c r="B1234" s="4" t="s">
        <v>34</v>
      </c>
      <c r="C1234" s="4">
        <v>1229</v>
      </c>
      <c r="D1234" s="210"/>
      <c r="E1234" s="210"/>
      <c r="F1234" s="210"/>
      <c r="G1234" s="210"/>
      <c r="H1234" s="210"/>
      <c r="I1234" s="210"/>
      <c r="J1234" s="4">
        <v>40429</v>
      </c>
      <c r="K1234" s="210"/>
      <c r="L1234" s="210">
        <v>77</v>
      </c>
      <c r="M1234" s="4">
        <f t="shared" si="25"/>
        <v>12</v>
      </c>
      <c r="N1234" s="4" t="str">
        <f>_xlfn.CONCAT("DBX",((L1234-1)*2)+1,".4")</f>
        <v>DBX153.4</v>
      </c>
      <c r="O1234" s="210" t="s">
        <v>782</v>
      </c>
      <c r="P1234" s="210"/>
      <c r="Q1234" s="210"/>
      <c r="R1234" s="210"/>
      <c r="S1234" s="210"/>
      <c r="T1234" s="210"/>
      <c r="U1234" s="210"/>
      <c r="V1234" s="210"/>
      <c r="W1234" s="210"/>
      <c r="X1234" s="210"/>
      <c r="Y1234" s="210"/>
      <c r="Z1234" s="210"/>
      <c r="AA1234" s="210"/>
      <c r="AB1234" s="210"/>
      <c r="AC1234" s="210"/>
      <c r="AD1234" s="210"/>
      <c r="AE1234" s="210"/>
    </row>
    <row r="1235" spans="1:31" x14ac:dyDescent="0.2">
      <c r="A1235" s="209"/>
      <c r="B1235" s="4" t="s">
        <v>34</v>
      </c>
      <c r="C1235" s="4">
        <v>1230</v>
      </c>
      <c r="D1235" s="210"/>
      <c r="E1235" s="210"/>
      <c r="F1235" s="210"/>
      <c r="G1235" s="210"/>
      <c r="H1235" s="210"/>
      <c r="I1235" s="210"/>
      <c r="J1235" s="4">
        <v>40430</v>
      </c>
      <c r="K1235" s="210"/>
      <c r="L1235" s="210">
        <v>77</v>
      </c>
      <c r="M1235" s="4">
        <f t="shared" si="25"/>
        <v>13</v>
      </c>
      <c r="N1235" s="4" t="str">
        <f>_xlfn.CONCAT("DBX",((L1235-1)*2)+1,".5")</f>
        <v>DBX153.5</v>
      </c>
      <c r="O1235" s="210" t="s">
        <v>782</v>
      </c>
      <c r="P1235" s="210"/>
      <c r="Q1235" s="210"/>
      <c r="R1235" s="210"/>
      <c r="S1235" s="210"/>
      <c r="T1235" s="210"/>
      <c r="U1235" s="210"/>
      <c r="V1235" s="210"/>
      <c r="W1235" s="210"/>
      <c r="X1235" s="210"/>
      <c r="Y1235" s="210"/>
      <c r="Z1235" s="210"/>
      <c r="AA1235" s="210"/>
      <c r="AB1235" s="210"/>
      <c r="AC1235" s="210"/>
      <c r="AD1235" s="210"/>
      <c r="AE1235" s="210"/>
    </row>
    <row r="1236" spans="1:31" x14ac:dyDescent="0.2">
      <c r="A1236" s="209"/>
      <c r="B1236" s="4" t="s">
        <v>34</v>
      </c>
      <c r="C1236" s="4">
        <v>1231</v>
      </c>
      <c r="D1236" s="210"/>
      <c r="E1236" s="210"/>
      <c r="F1236" s="210"/>
      <c r="G1236" s="210"/>
      <c r="H1236" s="210"/>
      <c r="I1236" s="210"/>
      <c r="J1236" s="4">
        <v>40431</v>
      </c>
      <c r="K1236" s="210"/>
      <c r="L1236" s="210">
        <v>77</v>
      </c>
      <c r="M1236" s="4">
        <f t="shared" si="25"/>
        <v>14</v>
      </c>
      <c r="N1236" s="4" t="str">
        <f>_xlfn.CONCAT("DBX",((L1236-1)*2)+1,".6")</f>
        <v>DBX153.6</v>
      </c>
      <c r="O1236" s="210" t="s">
        <v>782</v>
      </c>
      <c r="P1236" s="210"/>
      <c r="Q1236" s="210"/>
      <c r="R1236" s="210"/>
      <c r="S1236" s="210"/>
      <c r="T1236" s="210"/>
      <c r="U1236" s="210"/>
      <c r="V1236" s="210"/>
      <c r="W1236" s="210"/>
      <c r="X1236" s="210"/>
      <c r="Y1236" s="210"/>
      <c r="Z1236" s="210"/>
      <c r="AA1236" s="210"/>
      <c r="AB1236" s="210"/>
      <c r="AC1236" s="210"/>
      <c r="AD1236" s="210"/>
      <c r="AE1236" s="210"/>
    </row>
    <row r="1237" spans="1:31" x14ac:dyDescent="0.2">
      <c r="A1237" s="209"/>
      <c r="B1237" s="4" t="s">
        <v>34</v>
      </c>
      <c r="C1237" s="4">
        <v>1232</v>
      </c>
      <c r="D1237" s="210"/>
      <c r="E1237" s="210"/>
      <c r="F1237" s="210"/>
      <c r="G1237" s="210"/>
      <c r="H1237" s="210"/>
      <c r="I1237" s="210"/>
      <c r="J1237" s="4">
        <v>40432</v>
      </c>
      <c r="K1237" s="210"/>
      <c r="L1237" s="210">
        <v>77</v>
      </c>
      <c r="M1237" s="4">
        <f t="shared" si="25"/>
        <v>15</v>
      </c>
      <c r="N1237" s="4" t="str">
        <f>_xlfn.CONCAT("DBX",((L1237-1)*2)+1,".7")</f>
        <v>DBX153.7</v>
      </c>
      <c r="O1237" s="210" t="s">
        <v>782</v>
      </c>
      <c r="P1237" s="210"/>
      <c r="Q1237" s="210"/>
      <c r="R1237" s="210"/>
      <c r="S1237" s="210"/>
      <c r="T1237" s="210"/>
      <c r="U1237" s="210"/>
      <c r="V1237" s="210"/>
      <c r="W1237" s="210"/>
      <c r="X1237" s="210"/>
      <c r="Y1237" s="210"/>
      <c r="Z1237" s="210"/>
      <c r="AA1237" s="210"/>
      <c r="AB1237" s="210"/>
      <c r="AC1237" s="210"/>
      <c r="AD1237" s="210"/>
      <c r="AE1237" s="210"/>
    </row>
    <row r="1238" spans="1:31" x14ac:dyDescent="0.2">
      <c r="A1238" s="209"/>
      <c r="B1238" s="4" t="s">
        <v>34</v>
      </c>
      <c r="C1238" s="4">
        <v>1233</v>
      </c>
      <c r="D1238" s="210"/>
      <c r="E1238" s="210"/>
      <c r="F1238" s="210"/>
      <c r="G1238" s="210"/>
      <c r="H1238" s="210"/>
      <c r="I1238" s="210"/>
      <c r="J1238" s="4">
        <v>40433</v>
      </c>
      <c r="K1238" s="210"/>
      <c r="L1238" s="210">
        <v>78</v>
      </c>
      <c r="M1238" s="4">
        <v>0</v>
      </c>
      <c r="N1238" s="4" t="str">
        <f>_xlfn.CONCAT("DBX",((L1238-1)*2),".0")</f>
        <v>DBX154.0</v>
      </c>
      <c r="O1238" s="210" t="s">
        <v>782</v>
      </c>
      <c r="P1238" s="210"/>
      <c r="Q1238" s="210"/>
      <c r="R1238" s="210"/>
      <c r="S1238" s="210"/>
      <c r="T1238" s="210"/>
      <c r="U1238" s="210"/>
      <c r="V1238" s="210"/>
      <c r="W1238" s="210"/>
      <c r="X1238" s="210"/>
      <c r="Y1238" s="210"/>
      <c r="Z1238" s="210"/>
      <c r="AA1238" s="210"/>
      <c r="AB1238" s="210"/>
      <c r="AC1238" s="210"/>
      <c r="AD1238" s="210"/>
      <c r="AE1238" s="210"/>
    </row>
    <row r="1239" spans="1:31" x14ac:dyDescent="0.2">
      <c r="A1239" s="209"/>
      <c r="B1239" s="4" t="s">
        <v>34</v>
      </c>
      <c r="C1239" s="4">
        <v>1234</v>
      </c>
      <c r="D1239" s="210"/>
      <c r="E1239" s="210"/>
      <c r="F1239" s="210"/>
      <c r="G1239" s="210"/>
      <c r="H1239" s="210"/>
      <c r="I1239" s="210"/>
      <c r="J1239" s="4">
        <v>40434</v>
      </c>
      <c r="K1239" s="210"/>
      <c r="L1239" s="210">
        <v>78</v>
      </c>
      <c r="M1239" s="4">
        <v>1</v>
      </c>
      <c r="N1239" s="4" t="str">
        <f>_xlfn.CONCAT("DBX",((L1239-1)*2),".1")</f>
        <v>DBX154.1</v>
      </c>
      <c r="O1239" s="210" t="s">
        <v>782</v>
      </c>
      <c r="P1239" s="210"/>
      <c r="Q1239" s="210"/>
      <c r="R1239" s="210"/>
      <c r="S1239" s="210"/>
      <c r="T1239" s="210"/>
      <c r="U1239" s="210"/>
      <c r="V1239" s="210"/>
      <c r="W1239" s="210"/>
      <c r="X1239" s="210"/>
      <c r="Y1239" s="210"/>
      <c r="Z1239" s="210"/>
      <c r="AA1239" s="210"/>
      <c r="AB1239" s="210"/>
      <c r="AC1239" s="210"/>
      <c r="AD1239" s="210"/>
      <c r="AE1239" s="210"/>
    </row>
    <row r="1240" spans="1:31" x14ac:dyDescent="0.2">
      <c r="A1240" s="209"/>
      <c r="B1240" s="4" t="s">
        <v>34</v>
      </c>
      <c r="C1240" s="4">
        <v>1235</v>
      </c>
      <c r="D1240" s="210"/>
      <c r="E1240" s="210"/>
      <c r="F1240" s="210"/>
      <c r="G1240" s="210"/>
      <c r="H1240" s="210"/>
      <c r="I1240" s="210"/>
      <c r="J1240" s="4">
        <v>40435</v>
      </c>
      <c r="K1240" s="210"/>
      <c r="L1240" s="210">
        <v>78</v>
      </c>
      <c r="M1240" s="4">
        <v>2</v>
      </c>
      <c r="N1240" s="4" t="str">
        <f>_xlfn.CONCAT("DBX",((L1240-1)*2),".2")</f>
        <v>DBX154.2</v>
      </c>
      <c r="O1240" s="210" t="s">
        <v>782</v>
      </c>
      <c r="P1240" s="210"/>
      <c r="Q1240" s="210"/>
      <c r="R1240" s="210"/>
      <c r="S1240" s="210"/>
      <c r="T1240" s="210"/>
      <c r="U1240" s="210"/>
      <c r="V1240" s="210"/>
      <c r="W1240" s="210"/>
      <c r="X1240" s="210"/>
      <c r="Y1240" s="210"/>
      <c r="Z1240" s="210"/>
      <c r="AA1240" s="210"/>
      <c r="AB1240" s="210"/>
      <c r="AC1240" s="210"/>
      <c r="AD1240" s="210"/>
      <c r="AE1240" s="210"/>
    </row>
    <row r="1241" spans="1:31" x14ac:dyDescent="0.2">
      <c r="A1241" s="209"/>
      <c r="B1241" s="4" t="s">
        <v>34</v>
      </c>
      <c r="C1241" s="4">
        <v>1236</v>
      </c>
      <c r="D1241" s="210"/>
      <c r="E1241" s="210"/>
      <c r="F1241" s="210"/>
      <c r="G1241" s="210"/>
      <c r="H1241" s="210"/>
      <c r="I1241" s="210"/>
      <c r="J1241" s="4">
        <v>40436</v>
      </c>
      <c r="K1241" s="210"/>
      <c r="L1241" s="210">
        <v>78</v>
      </c>
      <c r="M1241" s="4">
        <v>3</v>
      </c>
      <c r="N1241" s="4" t="str">
        <f>_xlfn.CONCAT("DBX",((L1241-1)*2),".3")</f>
        <v>DBX154.3</v>
      </c>
      <c r="O1241" s="210" t="s">
        <v>782</v>
      </c>
      <c r="P1241" s="210"/>
      <c r="Q1241" s="210"/>
      <c r="R1241" s="210"/>
      <c r="S1241" s="210"/>
      <c r="T1241" s="210"/>
      <c r="U1241" s="210"/>
      <c r="V1241" s="210"/>
      <c r="W1241" s="210"/>
      <c r="X1241" s="210"/>
      <c r="Y1241" s="210"/>
      <c r="Z1241" s="210"/>
      <c r="AA1241" s="210"/>
      <c r="AB1241" s="210"/>
      <c r="AC1241" s="210"/>
      <c r="AD1241" s="210"/>
      <c r="AE1241" s="210"/>
    </row>
    <row r="1242" spans="1:31" x14ac:dyDescent="0.2">
      <c r="A1242" s="209"/>
      <c r="B1242" s="4" t="s">
        <v>34</v>
      </c>
      <c r="C1242" s="4">
        <v>1237</v>
      </c>
      <c r="D1242" s="210"/>
      <c r="E1242" s="210"/>
      <c r="F1242" s="210"/>
      <c r="G1242" s="210"/>
      <c r="H1242" s="210"/>
      <c r="I1242" s="210"/>
      <c r="J1242" s="4">
        <v>40437</v>
      </c>
      <c r="K1242" s="210"/>
      <c r="L1242" s="210">
        <v>78</v>
      </c>
      <c r="M1242" s="4">
        <v>4</v>
      </c>
      <c r="N1242" s="4" t="str">
        <f>_xlfn.CONCAT("DBX",((L1242-1)*2),".4")</f>
        <v>DBX154.4</v>
      </c>
      <c r="O1242" s="210" t="s">
        <v>782</v>
      </c>
      <c r="P1242" s="210"/>
      <c r="Q1242" s="210"/>
      <c r="R1242" s="210"/>
      <c r="S1242" s="210"/>
      <c r="T1242" s="210"/>
      <c r="U1242" s="210"/>
      <c r="V1242" s="210"/>
      <c r="W1242" s="210"/>
      <c r="X1242" s="210"/>
      <c r="Y1242" s="210"/>
      <c r="Z1242" s="210"/>
      <c r="AA1242" s="210"/>
      <c r="AB1242" s="210"/>
      <c r="AC1242" s="210"/>
      <c r="AD1242" s="210"/>
      <c r="AE1242" s="210"/>
    </row>
    <row r="1243" spans="1:31" x14ac:dyDescent="0.2">
      <c r="A1243" s="209"/>
      <c r="B1243" s="4" t="s">
        <v>34</v>
      </c>
      <c r="C1243" s="4">
        <v>1238</v>
      </c>
      <c r="D1243" s="210"/>
      <c r="E1243" s="210"/>
      <c r="F1243" s="210"/>
      <c r="G1243" s="210"/>
      <c r="H1243" s="210"/>
      <c r="I1243" s="210"/>
      <c r="J1243" s="4">
        <v>40438</v>
      </c>
      <c r="K1243" s="210"/>
      <c r="L1243" s="210">
        <v>78</v>
      </c>
      <c r="M1243" s="4">
        <v>5</v>
      </c>
      <c r="N1243" s="4" t="str">
        <f>_xlfn.CONCAT("DBX",((L1243-1)*2),".5")</f>
        <v>DBX154.5</v>
      </c>
      <c r="O1243" s="210" t="s">
        <v>782</v>
      </c>
      <c r="P1243" s="210"/>
      <c r="Q1243" s="210"/>
      <c r="R1243" s="210"/>
      <c r="S1243" s="210"/>
      <c r="T1243" s="210"/>
      <c r="U1243" s="210"/>
      <c r="V1243" s="210"/>
      <c r="W1243" s="210"/>
      <c r="X1243" s="210"/>
      <c r="Y1243" s="210"/>
      <c r="Z1243" s="210"/>
      <c r="AA1243" s="210"/>
      <c r="AB1243" s="210"/>
      <c r="AC1243" s="210"/>
      <c r="AD1243" s="210"/>
      <c r="AE1243" s="210"/>
    </row>
    <row r="1244" spans="1:31" x14ac:dyDescent="0.2">
      <c r="A1244" s="209"/>
      <c r="B1244" s="4" t="s">
        <v>34</v>
      </c>
      <c r="C1244" s="4">
        <v>1239</v>
      </c>
      <c r="D1244" s="210"/>
      <c r="E1244" s="210"/>
      <c r="F1244" s="210"/>
      <c r="G1244" s="210"/>
      <c r="H1244" s="210"/>
      <c r="I1244" s="210"/>
      <c r="J1244" s="4">
        <v>40439</v>
      </c>
      <c r="K1244" s="210"/>
      <c r="L1244" s="210">
        <v>78</v>
      </c>
      <c r="M1244" s="4">
        <v>6</v>
      </c>
      <c r="N1244" s="4" t="str">
        <f>_xlfn.CONCAT("DBX",((L1244-1)*2),".6")</f>
        <v>DBX154.6</v>
      </c>
      <c r="O1244" s="210" t="s">
        <v>782</v>
      </c>
      <c r="P1244" s="210"/>
      <c r="Q1244" s="210"/>
      <c r="R1244" s="210"/>
      <c r="S1244" s="210"/>
      <c r="T1244" s="210"/>
      <c r="U1244" s="210"/>
      <c r="V1244" s="210"/>
      <c r="W1244" s="210"/>
      <c r="X1244" s="210"/>
      <c r="Y1244" s="210"/>
      <c r="Z1244" s="210"/>
      <c r="AA1244" s="210"/>
      <c r="AB1244" s="210"/>
      <c r="AC1244" s="210"/>
      <c r="AD1244" s="210"/>
      <c r="AE1244" s="210"/>
    </row>
    <row r="1245" spans="1:31" x14ac:dyDescent="0.2">
      <c r="A1245" s="209"/>
      <c r="B1245" s="4" t="s">
        <v>34</v>
      </c>
      <c r="C1245" s="4">
        <v>1240</v>
      </c>
      <c r="D1245" s="210"/>
      <c r="E1245" s="210"/>
      <c r="F1245" s="210"/>
      <c r="G1245" s="210"/>
      <c r="H1245" s="210"/>
      <c r="I1245" s="210"/>
      <c r="J1245" s="4">
        <v>40440</v>
      </c>
      <c r="K1245" s="210"/>
      <c r="L1245" s="210">
        <v>78</v>
      </c>
      <c r="M1245" s="4">
        <v>7</v>
      </c>
      <c r="N1245" s="4" t="str">
        <f>_xlfn.CONCAT("DBX",((L1245-1)*2),".7")</f>
        <v>DBX154.7</v>
      </c>
      <c r="O1245" s="210" t="s">
        <v>782</v>
      </c>
      <c r="P1245" s="210"/>
      <c r="Q1245" s="210"/>
      <c r="R1245" s="210"/>
      <c r="S1245" s="210"/>
      <c r="T1245" s="210"/>
      <c r="U1245" s="210"/>
      <c r="V1245" s="210"/>
      <c r="W1245" s="210"/>
      <c r="X1245" s="210"/>
      <c r="Y1245" s="210"/>
      <c r="Z1245" s="210"/>
      <c r="AA1245" s="210"/>
      <c r="AB1245" s="210"/>
      <c r="AC1245" s="210"/>
      <c r="AD1245" s="210"/>
      <c r="AE1245" s="210"/>
    </row>
    <row r="1246" spans="1:31" x14ac:dyDescent="0.2">
      <c r="A1246" s="209"/>
      <c r="B1246" s="4" t="s">
        <v>34</v>
      </c>
      <c r="C1246" s="4">
        <v>1241</v>
      </c>
      <c r="D1246" s="210"/>
      <c r="E1246" s="210"/>
      <c r="F1246" s="210"/>
      <c r="G1246" s="210"/>
      <c r="H1246" s="210"/>
      <c r="I1246" s="210"/>
      <c r="J1246" s="4">
        <v>40441</v>
      </c>
      <c r="K1246" s="210"/>
      <c r="L1246" s="210">
        <v>78</v>
      </c>
      <c r="M1246" s="4">
        <v>8</v>
      </c>
      <c r="N1246" s="4" t="str">
        <f>_xlfn.CONCAT("DBX",((L1246-1)*2)+1,".0")</f>
        <v>DBX155.0</v>
      </c>
      <c r="O1246" s="210" t="s">
        <v>782</v>
      </c>
      <c r="P1246" s="210"/>
      <c r="Q1246" s="210"/>
      <c r="R1246" s="210"/>
      <c r="S1246" s="210"/>
      <c r="T1246" s="210"/>
      <c r="U1246" s="210"/>
      <c r="V1246" s="210"/>
      <c r="W1246" s="210"/>
      <c r="X1246" s="210"/>
      <c r="Y1246" s="210"/>
      <c r="Z1246" s="210"/>
      <c r="AA1246" s="210"/>
      <c r="AB1246" s="210"/>
      <c r="AC1246" s="210"/>
      <c r="AD1246" s="210"/>
      <c r="AE1246" s="210"/>
    </row>
    <row r="1247" spans="1:31" x14ac:dyDescent="0.2">
      <c r="A1247" s="209"/>
      <c r="B1247" s="4" t="s">
        <v>34</v>
      </c>
      <c r="C1247" s="4">
        <v>1242</v>
      </c>
      <c r="D1247" s="210"/>
      <c r="E1247" s="210"/>
      <c r="F1247" s="210"/>
      <c r="G1247" s="210"/>
      <c r="H1247" s="210"/>
      <c r="I1247" s="210"/>
      <c r="J1247" s="4">
        <v>40442</v>
      </c>
      <c r="K1247" s="210"/>
      <c r="L1247" s="210">
        <v>78</v>
      </c>
      <c r="M1247" s="4">
        <v>9</v>
      </c>
      <c r="N1247" s="4" t="str">
        <f>_xlfn.CONCAT("DBX",((L1247-1)*2)+1,".1")</f>
        <v>DBX155.1</v>
      </c>
      <c r="O1247" s="210" t="s">
        <v>782</v>
      </c>
      <c r="P1247" s="210"/>
      <c r="Q1247" s="210"/>
      <c r="R1247" s="210"/>
      <c r="S1247" s="210"/>
      <c r="T1247" s="210"/>
      <c r="U1247" s="210"/>
      <c r="V1247" s="210"/>
      <c r="W1247" s="210"/>
      <c r="X1247" s="210"/>
      <c r="Y1247" s="210"/>
      <c r="Z1247" s="210"/>
      <c r="AA1247" s="210"/>
      <c r="AB1247" s="210"/>
      <c r="AC1247" s="210"/>
      <c r="AD1247" s="210"/>
      <c r="AE1247" s="210"/>
    </row>
    <row r="1248" spans="1:31" x14ac:dyDescent="0.2">
      <c r="A1248" s="209"/>
      <c r="B1248" s="4" t="s">
        <v>34</v>
      </c>
      <c r="C1248" s="4">
        <v>1243</v>
      </c>
      <c r="D1248" s="210"/>
      <c r="E1248" s="210"/>
      <c r="F1248" s="210"/>
      <c r="G1248" s="210"/>
      <c r="H1248" s="210"/>
      <c r="I1248" s="210"/>
      <c r="J1248" s="4">
        <v>40443</v>
      </c>
      <c r="K1248" s="210"/>
      <c r="L1248" s="210">
        <v>78</v>
      </c>
      <c r="M1248" s="4">
        <v>10</v>
      </c>
      <c r="N1248" s="4" t="str">
        <f>_xlfn.CONCAT("DBX",((L1248-1)*2)+1,".2")</f>
        <v>DBX155.2</v>
      </c>
      <c r="O1248" s="210" t="s">
        <v>782</v>
      </c>
      <c r="P1248" s="210"/>
      <c r="Q1248" s="210"/>
      <c r="R1248" s="210"/>
      <c r="S1248" s="210"/>
      <c r="T1248" s="210"/>
      <c r="U1248" s="210"/>
      <c r="V1248" s="210"/>
      <c r="W1248" s="210"/>
      <c r="X1248" s="210"/>
      <c r="Y1248" s="210"/>
      <c r="Z1248" s="210"/>
      <c r="AA1248" s="210"/>
      <c r="AB1248" s="210"/>
      <c r="AC1248" s="210"/>
      <c r="AD1248" s="210"/>
      <c r="AE1248" s="210"/>
    </row>
    <row r="1249" spans="1:31" x14ac:dyDescent="0.2">
      <c r="A1249" s="209"/>
      <c r="B1249" s="4" t="s">
        <v>34</v>
      </c>
      <c r="C1249" s="4">
        <v>1244</v>
      </c>
      <c r="D1249" s="210"/>
      <c r="E1249" s="210"/>
      <c r="F1249" s="210"/>
      <c r="G1249" s="210"/>
      <c r="H1249" s="210"/>
      <c r="I1249" s="210"/>
      <c r="J1249" s="4">
        <v>40444</v>
      </c>
      <c r="K1249" s="210"/>
      <c r="L1249" s="210">
        <v>78</v>
      </c>
      <c r="M1249" s="4">
        <v>11</v>
      </c>
      <c r="N1249" s="4" t="str">
        <f>_xlfn.CONCAT("DBX",((L1249-1)*2)+1,".3")</f>
        <v>DBX155.3</v>
      </c>
      <c r="O1249" s="210" t="s">
        <v>782</v>
      </c>
      <c r="P1249" s="210"/>
      <c r="Q1249" s="210"/>
      <c r="R1249" s="210"/>
      <c r="S1249" s="210"/>
      <c r="T1249" s="210"/>
      <c r="U1249" s="210"/>
      <c r="V1249" s="210"/>
      <c r="W1249" s="210"/>
      <c r="X1249" s="210"/>
      <c r="Y1249" s="210"/>
      <c r="Z1249" s="210"/>
      <c r="AA1249" s="210"/>
      <c r="AB1249" s="210"/>
      <c r="AC1249" s="210"/>
      <c r="AD1249" s="210"/>
      <c r="AE1249" s="210"/>
    </row>
    <row r="1250" spans="1:31" x14ac:dyDescent="0.2">
      <c r="A1250" s="209"/>
      <c r="B1250" s="4" t="s">
        <v>34</v>
      </c>
      <c r="C1250" s="4">
        <v>1245</v>
      </c>
      <c r="D1250" s="210"/>
      <c r="E1250" s="210"/>
      <c r="F1250" s="210"/>
      <c r="G1250" s="210"/>
      <c r="H1250" s="210"/>
      <c r="I1250" s="210"/>
      <c r="J1250" s="4">
        <v>40445</v>
      </c>
      <c r="K1250" s="210"/>
      <c r="L1250" s="210">
        <v>78</v>
      </c>
      <c r="M1250" s="4">
        <v>12</v>
      </c>
      <c r="N1250" s="4" t="str">
        <f>_xlfn.CONCAT("DBX",((L1250-1)*2)+1,".4")</f>
        <v>DBX155.4</v>
      </c>
      <c r="O1250" s="210" t="s">
        <v>782</v>
      </c>
      <c r="P1250" s="210"/>
      <c r="Q1250" s="210"/>
      <c r="R1250" s="210"/>
      <c r="S1250" s="210"/>
      <c r="T1250" s="210"/>
      <c r="U1250" s="210"/>
      <c r="V1250" s="210"/>
      <c r="W1250" s="210"/>
      <c r="X1250" s="210"/>
      <c r="Y1250" s="210"/>
      <c r="Z1250" s="210"/>
      <c r="AA1250" s="210"/>
      <c r="AB1250" s="210"/>
      <c r="AC1250" s="210"/>
      <c r="AD1250" s="210"/>
      <c r="AE1250" s="210"/>
    </row>
    <row r="1251" spans="1:31" x14ac:dyDescent="0.2">
      <c r="A1251" s="209"/>
      <c r="B1251" s="4" t="s">
        <v>34</v>
      </c>
      <c r="C1251" s="4">
        <v>1246</v>
      </c>
      <c r="D1251" s="210"/>
      <c r="E1251" s="210"/>
      <c r="F1251" s="210"/>
      <c r="G1251" s="210"/>
      <c r="H1251" s="210"/>
      <c r="I1251" s="210"/>
      <c r="J1251" s="4">
        <v>40446</v>
      </c>
      <c r="K1251" s="210"/>
      <c r="L1251" s="210">
        <v>78</v>
      </c>
      <c r="M1251" s="4">
        <v>13</v>
      </c>
      <c r="N1251" s="4" t="str">
        <f>_xlfn.CONCAT("DBX",((L1251-1)*2)+1,".5")</f>
        <v>DBX155.5</v>
      </c>
      <c r="O1251" s="210" t="s">
        <v>782</v>
      </c>
      <c r="P1251" s="210"/>
      <c r="Q1251" s="210"/>
      <c r="R1251" s="210"/>
      <c r="S1251" s="210"/>
      <c r="T1251" s="210"/>
      <c r="U1251" s="210"/>
      <c r="V1251" s="210"/>
      <c r="W1251" s="210"/>
      <c r="X1251" s="210"/>
      <c r="Y1251" s="210"/>
      <c r="Z1251" s="210"/>
      <c r="AA1251" s="210"/>
      <c r="AB1251" s="210"/>
      <c r="AC1251" s="210"/>
      <c r="AD1251" s="210"/>
      <c r="AE1251" s="210"/>
    </row>
    <row r="1252" spans="1:31" x14ac:dyDescent="0.2">
      <c r="A1252" s="209"/>
      <c r="B1252" s="4" t="s">
        <v>34</v>
      </c>
      <c r="C1252" s="4">
        <v>1247</v>
      </c>
      <c r="D1252" s="210"/>
      <c r="E1252" s="210"/>
      <c r="F1252" s="210"/>
      <c r="G1252" s="210"/>
      <c r="H1252" s="210"/>
      <c r="I1252" s="210"/>
      <c r="J1252" s="4">
        <v>40447</v>
      </c>
      <c r="K1252" s="210"/>
      <c r="L1252" s="210">
        <v>78</v>
      </c>
      <c r="M1252" s="4">
        <v>14</v>
      </c>
      <c r="N1252" s="4" t="str">
        <f>_xlfn.CONCAT("DBX",((L1252-1)*2)+1,".6")</f>
        <v>DBX155.6</v>
      </c>
      <c r="O1252" s="210" t="s">
        <v>782</v>
      </c>
      <c r="P1252" s="210"/>
      <c r="Q1252" s="210"/>
      <c r="R1252" s="210"/>
      <c r="S1252" s="210"/>
      <c r="T1252" s="210"/>
      <c r="U1252" s="210"/>
      <c r="V1252" s="210"/>
      <c r="W1252" s="210"/>
      <c r="X1252" s="210"/>
      <c r="Y1252" s="210"/>
      <c r="Z1252" s="210"/>
      <c r="AA1252" s="210"/>
      <c r="AB1252" s="210"/>
      <c r="AC1252" s="210"/>
      <c r="AD1252" s="210"/>
      <c r="AE1252" s="210"/>
    </row>
    <row r="1253" spans="1:31" x14ac:dyDescent="0.2">
      <c r="A1253" s="209"/>
      <c r="B1253" s="4" t="s">
        <v>34</v>
      </c>
      <c r="C1253" s="4">
        <v>1248</v>
      </c>
      <c r="D1253" s="210"/>
      <c r="E1253" s="210"/>
      <c r="F1253" s="210"/>
      <c r="G1253" s="210"/>
      <c r="H1253" s="210"/>
      <c r="I1253" s="210"/>
      <c r="J1253" s="4">
        <v>40448</v>
      </c>
      <c r="K1253" s="210"/>
      <c r="L1253" s="210">
        <v>78</v>
      </c>
      <c r="M1253" s="4">
        <v>15</v>
      </c>
      <c r="N1253" s="4" t="str">
        <f>_xlfn.CONCAT("DBX",((L1253-1)*2)+1,".7")</f>
        <v>DBX155.7</v>
      </c>
      <c r="O1253" s="210" t="s">
        <v>782</v>
      </c>
      <c r="P1253" s="210"/>
      <c r="Q1253" s="210"/>
      <c r="R1253" s="210"/>
      <c r="S1253" s="210"/>
      <c r="T1253" s="210"/>
      <c r="U1253" s="210"/>
      <c r="V1253" s="210"/>
      <c r="W1253" s="210"/>
      <c r="X1253" s="210"/>
      <c r="Y1253" s="210"/>
      <c r="Z1253" s="210"/>
      <c r="AA1253" s="210"/>
      <c r="AB1253" s="210"/>
      <c r="AC1253" s="210"/>
      <c r="AD1253" s="210"/>
      <c r="AE1253" s="210"/>
    </row>
    <row r="1254" spans="1:31" x14ac:dyDescent="0.2">
      <c r="A1254" s="209"/>
      <c r="B1254" s="4" t="s">
        <v>34</v>
      </c>
      <c r="C1254" s="4">
        <v>1249</v>
      </c>
      <c r="D1254" s="210"/>
      <c r="E1254" s="210"/>
      <c r="F1254" s="210"/>
      <c r="G1254" s="210"/>
      <c r="H1254" s="210"/>
      <c r="I1254" s="210"/>
      <c r="J1254" s="4">
        <v>40449</v>
      </c>
      <c r="K1254" s="210"/>
      <c r="L1254" s="210">
        <v>79</v>
      </c>
      <c r="M1254" s="4">
        <f>M1238</f>
        <v>0</v>
      </c>
      <c r="N1254" s="4" t="str">
        <f>_xlfn.CONCAT("DBX",((L1254-1)*2),".0")</f>
        <v>DBX156.0</v>
      </c>
      <c r="O1254" s="210" t="s">
        <v>782</v>
      </c>
      <c r="P1254" s="210"/>
      <c r="Q1254" s="210"/>
      <c r="R1254" s="210"/>
      <c r="S1254" s="210"/>
      <c r="T1254" s="210"/>
      <c r="U1254" s="210"/>
      <c r="V1254" s="210"/>
      <c r="W1254" s="210"/>
      <c r="X1254" s="210"/>
      <c r="Y1254" s="210"/>
      <c r="Z1254" s="210"/>
      <c r="AA1254" s="210"/>
      <c r="AB1254" s="210"/>
      <c r="AC1254" s="210"/>
      <c r="AD1254" s="210"/>
      <c r="AE1254" s="210"/>
    </row>
    <row r="1255" spans="1:31" x14ac:dyDescent="0.2">
      <c r="A1255" s="209"/>
      <c r="B1255" s="4" t="s">
        <v>34</v>
      </c>
      <c r="C1255" s="4">
        <v>1250</v>
      </c>
      <c r="D1255" s="210"/>
      <c r="E1255" s="210"/>
      <c r="F1255" s="210"/>
      <c r="G1255" s="210"/>
      <c r="H1255" s="210"/>
      <c r="I1255" s="210"/>
      <c r="J1255" s="4">
        <v>40450</v>
      </c>
      <c r="K1255" s="210"/>
      <c r="L1255" s="210">
        <v>79</v>
      </c>
      <c r="M1255" s="4">
        <f t="shared" si="25"/>
        <v>1</v>
      </c>
      <c r="N1255" s="4" t="str">
        <f>_xlfn.CONCAT("DBX",((L1255-1)*2),".1")</f>
        <v>DBX156.1</v>
      </c>
      <c r="O1255" s="210" t="s">
        <v>782</v>
      </c>
      <c r="P1255" s="210"/>
      <c r="Q1255" s="210"/>
      <c r="R1255" s="210"/>
      <c r="S1255" s="210"/>
      <c r="T1255" s="210"/>
      <c r="U1255" s="210"/>
      <c r="V1255" s="210"/>
      <c r="W1255" s="210"/>
      <c r="X1255" s="210"/>
      <c r="Y1255" s="210"/>
      <c r="Z1255" s="210"/>
      <c r="AA1255" s="210"/>
      <c r="AB1255" s="210"/>
      <c r="AC1255" s="210"/>
      <c r="AD1255" s="210"/>
      <c r="AE1255" s="210"/>
    </row>
    <row r="1256" spans="1:31" x14ac:dyDescent="0.2">
      <c r="A1256" s="209"/>
      <c r="B1256" s="4" t="s">
        <v>34</v>
      </c>
      <c r="C1256" s="4">
        <v>1251</v>
      </c>
      <c r="D1256" s="210"/>
      <c r="E1256" s="210"/>
      <c r="F1256" s="210"/>
      <c r="G1256" s="210"/>
      <c r="H1256" s="210"/>
      <c r="I1256" s="210"/>
      <c r="J1256" s="4">
        <v>40451</v>
      </c>
      <c r="K1256" s="210"/>
      <c r="L1256" s="210">
        <v>79</v>
      </c>
      <c r="M1256" s="4">
        <f t="shared" si="25"/>
        <v>2</v>
      </c>
      <c r="N1256" s="4" t="str">
        <f>_xlfn.CONCAT("DBX",((L1256-1)*2),".2")</f>
        <v>DBX156.2</v>
      </c>
      <c r="O1256" s="210" t="s">
        <v>782</v>
      </c>
      <c r="P1256" s="210"/>
      <c r="Q1256" s="210"/>
      <c r="R1256" s="210"/>
      <c r="S1256" s="210"/>
      <c r="T1256" s="210"/>
      <c r="U1256" s="210"/>
      <c r="V1256" s="210"/>
      <c r="W1256" s="210"/>
      <c r="X1256" s="210"/>
      <c r="Y1256" s="210"/>
      <c r="Z1256" s="210"/>
      <c r="AA1256" s="210"/>
      <c r="AB1256" s="210"/>
      <c r="AC1256" s="210"/>
      <c r="AD1256" s="210"/>
      <c r="AE1256" s="210"/>
    </row>
    <row r="1257" spans="1:31" x14ac:dyDescent="0.2">
      <c r="A1257" s="209"/>
      <c r="B1257" s="4" t="s">
        <v>34</v>
      </c>
      <c r="C1257" s="4">
        <v>1252</v>
      </c>
      <c r="D1257" s="210"/>
      <c r="E1257" s="210"/>
      <c r="F1257" s="210"/>
      <c r="G1257" s="210"/>
      <c r="H1257" s="210"/>
      <c r="I1257" s="210"/>
      <c r="J1257" s="4">
        <v>40452</v>
      </c>
      <c r="K1257" s="210"/>
      <c r="L1257" s="210">
        <v>79</v>
      </c>
      <c r="M1257" s="4">
        <f t="shared" si="25"/>
        <v>3</v>
      </c>
      <c r="N1257" s="4" t="str">
        <f>_xlfn.CONCAT("DBX",((L1257-1)*2),".3")</f>
        <v>DBX156.3</v>
      </c>
      <c r="O1257" s="210" t="s">
        <v>782</v>
      </c>
      <c r="P1257" s="210"/>
      <c r="Q1257" s="210"/>
      <c r="R1257" s="210"/>
      <c r="S1257" s="210"/>
      <c r="T1257" s="210"/>
      <c r="U1257" s="210"/>
      <c r="V1257" s="210"/>
      <c r="W1257" s="210"/>
      <c r="X1257" s="210"/>
      <c r="Y1257" s="210"/>
      <c r="Z1257" s="210"/>
      <c r="AA1257" s="210"/>
      <c r="AB1257" s="210"/>
      <c r="AC1257" s="210"/>
      <c r="AD1257" s="210"/>
      <c r="AE1257" s="210"/>
    </row>
    <row r="1258" spans="1:31" x14ac:dyDescent="0.2">
      <c r="A1258" s="209"/>
      <c r="B1258" s="4" t="s">
        <v>34</v>
      </c>
      <c r="C1258" s="4">
        <v>1253</v>
      </c>
      <c r="D1258" s="210"/>
      <c r="E1258" s="210"/>
      <c r="F1258" s="210"/>
      <c r="G1258" s="210"/>
      <c r="H1258" s="210"/>
      <c r="I1258" s="210"/>
      <c r="J1258" s="4">
        <v>40453</v>
      </c>
      <c r="K1258" s="210"/>
      <c r="L1258" s="210">
        <v>79</v>
      </c>
      <c r="M1258" s="4">
        <f t="shared" si="25"/>
        <v>4</v>
      </c>
      <c r="N1258" s="4" t="str">
        <f>_xlfn.CONCAT("DBX",((L1258-1)*2),".4")</f>
        <v>DBX156.4</v>
      </c>
      <c r="O1258" s="210" t="s">
        <v>782</v>
      </c>
      <c r="P1258" s="210"/>
      <c r="Q1258" s="210"/>
      <c r="R1258" s="210"/>
      <c r="S1258" s="210"/>
      <c r="T1258" s="210"/>
      <c r="U1258" s="210"/>
      <c r="V1258" s="210"/>
      <c r="W1258" s="210"/>
      <c r="X1258" s="210"/>
      <c r="Y1258" s="210"/>
      <c r="Z1258" s="210"/>
      <c r="AA1258" s="210"/>
      <c r="AB1258" s="210"/>
      <c r="AC1258" s="210"/>
      <c r="AD1258" s="210"/>
      <c r="AE1258" s="210"/>
    </row>
    <row r="1259" spans="1:31" x14ac:dyDescent="0.2">
      <c r="A1259" s="209"/>
      <c r="B1259" s="4" t="s">
        <v>34</v>
      </c>
      <c r="C1259" s="4">
        <v>1254</v>
      </c>
      <c r="D1259" s="210"/>
      <c r="E1259" s="210"/>
      <c r="F1259" s="210"/>
      <c r="G1259" s="210"/>
      <c r="H1259" s="210"/>
      <c r="I1259" s="210"/>
      <c r="J1259" s="4">
        <v>40454</v>
      </c>
      <c r="K1259" s="210"/>
      <c r="L1259" s="210">
        <v>79</v>
      </c>
      <c r="M1259" s="4">
        <f t="shared" si="25"/>
        <v>5</v>
      </c>
      <c r="N1259" s="4" t="str">
        <f>_xlfn.CONCAT("DBX",((L1259-1)*2),".5")</f>
        <v>DBX156.5</v>
      </c>
      <c r="O1259" s="210" t="s">
        <v>782</v>
      </c>
      <c r="P1259" s="210"/>
      <c r="Q1259" s="210"/>
      <c r="R1259" s="210"/>
      <c r="S1259" s="210"/>
      <c r="T1259" s="210"/>
      <c r="U1259" s="210"/>
      <c r="V1259" s="210"/>
      <c r="W1259" s="210"/>
      <c r="X1259" s="210"/>
      <c r="Y1259" s="210"/>
      <c r="Z1259" s="210"/>
      <c r="AA1259" s="210"/>
      <c r="AB1259" s="210"/>
      <c r="AC1259" s="210"/>
      <c r="AD1259" s="210"/>
      <c r="AE1259" s="210"/>
    </row>
    <row r="1260" spans="1:31" x14ac:dyDescent="0.2">
      <c r="A1260" s="209"/>
      <c r="B1260" s="4" t="s">
        <v>34</v>
      </c>
      <c r="C1260" s="4">
        <v>1255</v>
      </c>
      <c r="D1260" s="210"/>
      <c r="E1260" s="210"/>
      <c r="F1260" s="210"/>
      <c r="G1260" s="210"/>
      <c r="H1260" s="210"/>
      <c r="I1260" s="210"/>
      <c r="J1260" s="4">
        <v>40455</v>
      </c>
      <c r="K1260" s="210"/>
      <c r="L1260" s="210">
        <v>79</v>
      </c>
      <c r="M1260" s="4">
        <f t="shared" si="25"/>
        <v>6</v>
      </c>
      <c r="N1260" s="4" t="str">
        <f>_xlfn.CONCAT("DBX",((L1260-1)*2),".6")</f>
        <v>DBX156.6</v>
      </c>
      <c r="O1260" s="210" t="s">
        <v>782</v>
      </c>
      <c r="P1260" s="210"/>
      <c r="Q1260" s="210"/>
      <c r="R1260" s="210"/>
      <c r="S1260" s="210"/>
      <c r="T1260" s="210"/>
      <c r="U1260" s="210"/>
      <c r="V1260" s="210"/>
      <c r="W1260" s="210"/>
      <c r="X1260" s="210"/>
      <c r="Y1260" s="210"/>
      <c r="Z1260" s="210"/>
      <c r="AA1260" s="210"/>
      <c r="AB1260" s="210"/>
      <c r="AC1260" s="210"/>
      <c r="AD1260" s="210"/>
      <c r="AE1260" s="210"/>
    </row>
    <row r="1261" spans="1:31" x14ac:dyDescent="0.2">
      <c r="A1261" s="209"/>
      <c r="B1261" s="4" t="s">
        <v>34</v>
      </c>
      <c r="C1261" s="4">
        <v>1256</v>
      </c>
      <c r="D1261" s="210"/>
      <c r="E1261" s="210"/>
      <c r="F1261" s="210"/>
      <c r="G1261" s="210"/>
      <c r="H1261" s="210"/>
      <c r="I1261" s="210"/>
      <c r="J1261" s="4">
        <v>40456</v>
      </c>
      <c r="K1261" s="210"/>
      <c r="L1261" s="210">
        <v>79</v>
      </c>
      <c r="M1261" s="4">
        <f t="shared" si="25"/>
        <v>7</v>
      </c>
      <c r="N1261" s="4" t="str">
        <f>_xlfn.CONCAT("DBX",((L1261-1)*2),".7")</f>
        <v>DBX156.7</v>
      </c>
      <c r="O1261" s="210" t="s">
        <v>782</v>
      </c>
      <c r="P1261" s="210"/>
      <c r="Q1261" s="210"/>
      <c r="R1261" s="210"/>
      <c r="S1261" s="210"/>
      <c r="T1261" s="210"/>
      <c r="U1261" s="210"/>
      <c r="V1261" s="210"/>
      <c r="W1261" s="210"/>
      <c r="X1261" s="210"/>
      <c r="Y1261" s="210"/>
      <c r="Z1261" s="210"/>
      <c r="AA1261" s="210"/>
      <c r="AB1261" s="210"/>
      <c r="AC1261" s="210"/>
      <c r="AD1261" s="210"/>
      <c r="AE1261" s="210"/>
    </row>
    <row r="1262" spans="1:31" x14ac:dyDescent="0.2">
      <c r="A1262" s="209"/>
      <c r="B1262" s="4" t="s">
        <v>34</v>
      </c>
      <c r="C1262" s="4">
        <v>1257</v>
      </c>
      <c r="D1262" s="210"/>
      <c r="E1262" s="210"/>
      <c r="F1262" s="210"/>
      <c r="G1262" s="210"/>
      <c r="H1262" s="210"/>
      <c r="I1262" s="210"/>
      <c r="J1262" s="4">
        <v>40457</v>
      </c>
      <c r="K1262" s="210"/>
      <c r="L1262" s="210">
        <v>79</v>
      </c>
      <c r="M1262" s="4">
        <f t="shared" si="25"/>
        <v>8</v>
      </c>
      <c r="N1262" s="4" t="str">
        <f>_xlfn.CONCAT("DBX",((L1262-1)*2)+1,".0")</f>
        <v>DBX157.0</v>
      </c>
      <c r="O1262" s="210" t="s">
        <v>782</v>
      </c>
      <c r="P1262" s="210"/>
      <c r="Q1262" s="210"/>
      <c r="R1262" s="210"/>
      <c r="S1262" s="210"/>
      <c r="T1262" s="210"/>
      <c r="U1262" s="210"/>
      <c r="V1262" s="210"/>
      <c r="W1262" s="210"/>
      <c r="X1262" s="210"/>
      <c r="Y1262" s="210"/>
      <c r="Z1262" s="210"/>
      <c r="AA1262" s="210"/>
      <c r="AB1262" s="210"/>
      <c r="AC1262" s="210"/>
      <c r="AD1262" s="210"/>
      <c r="AE1262" s="210"/>
    </row>
    <row r="1263" spans="1:31" x14ac:dyDescent="0.2">
      <c r="A1263" s="209"/>
      <c r="B1263" s="4" t="s">
        <v>34</v>
      </c>
      <c r="C1263" s="4">
        <v>1258</v>
      </c>
      <c r="D1263" s="210"/>
      <c r="E1263" s="210"/>
      <c r="F1263" s="210"/>
      <c r="G1263" s="210"/>
      <c r="H1263" s="210"/>
      <c r="I1263" s="210"/>
      <c r="J1263" s="4">
        <v>40458</v>
      </c>
      <c r="K1263" s="210"/>
      <c r="L1263" s="210">
        <v>79</v>
      </c>
      <c r="M1263" s="4">
        <f t="shared" si="25"/>
        <v>9</v>
      </c>
      <c r="N1263" s="4" t="str">
        <f>_xlfn.CONCAT("DBX",((L1263-1)*2)+1,".1")</f>
        <v>DBX157.1</v>
      </c>
      <c r="O1263" s="210" t="s">
        <v>782</v>
      </c>
      <c r="P1263" s="210"/>
      <c r="Q1263" s="210"/>
      <c r="R1263" s="210"/>
      <c r="S1263" s="210"/>
      <c r="T1263" s="210"/>
      <c r="U1263" s="210"/>
      <c r="V1263" s="210"/>
      <c r="W1263" s="210"/>
      <c r="X1263" s="210"/>
      <c r="Y1263" s="210"/>
      <c r="Z1263" s="210"/>
      <c r="AA1263" s="210"/>
      <c r="AB1263" s="210"/>
      <c r="AC1263" s="210"/>
      <c r="AD1263" s="210"/>
      <c r="AE1263" s="210"/>
    </row>
    <row r="1264" spans="1:31" x14ac:dyDescent="0.2">
      <c r="A1264" s="209"/>
      <c r="B1264" s="4" t="s">
        <v>34</v>
      </c>
      <c r="C1264" s="4">
        <v>1259</v>
      </c>
      <c r="D1264" s="210"/>
      <c r="E1264" s="210"/>
      <c r="F1264" s="210"/>
      <c r="G1264" s="210"/>
      <c r="H1264" s="210"/>
      <c r="I1264" s="210"/>
      <c r="J1264" s="4">
        <v>40459</v>
      </c>
      <c r="K1264" s="210"/>
      <c r="L1264" s="210">
        <v>79</v>
      </c>
      <c r="M1264" s="4">
        <f t="shared" si="25"/>
        <v>10</v>
      </c>
      <c r="N1264" s="4" t="str">
        <f>_xlfn.CONCAT("DBX",((L1264-1)*2)+1,".2")</f>
        <v>DBX157.2</v>
      </c>
      <c r="O1264" s="210" t="s">
        <v>782</v>
      </c>
      <c r="P1264" s="210"/>
      <c r="Q1264" s="210"/>
      <c r="R1264" s="210"/>
      <c r="S1264" s="210"/>
      <c r="T1264" s="210"/>
      <c r="U1264" s="210"/>
      <c r="V1264" s="210"/>
      <c r="W1264" s="210"/>
      <c r="X1264" s="210"/>
      <c r="Y1264" s="210"/>
      <c r="Z1264" s="210"/>
      <c r="AA1264" s="210"/>
      <c r="AB1264" s="210"/>
      <c r="AC1264" s="210"/>
      <c r="AD1264" s="210"/>
      <c r="AE1264" s="210"/>
    </row>
    <row r="1265" spans="1:31" x14ac:dyDescent="0.2">
      <c r="A1265" s="209"/>
      <c r="B1265" s="4" t="s">
        <v>34</v>
      </c>
      <c r="C1265" s="4">
        <v>1260</v>
      </c>
      <c r="D1265" s="210"/>
      <c r="E1265" s="210"/>
      <c r="F1265" s="210"/>
      <c r="G1265" s="210"/>
      <c r="H1265" s="210"/>
      <c r="I1265" s="210"/>
      <c r="J1265" s="4">
        <v>40460</v>
      </c>
      <c r="K1265" s="210"/>
      <c r="L1265" s="210">
        <v>79</v>
      </c>
      <c r="M1265" s="4">
        <f t="shared" si="25"/>
        <v>11</v>
      </c>
      <c r="N1265" s="4" t="str">
        <f>_xlfn.CONCAT("DBX",((L1265-1)*2)+1,".3")</f>
        <v>DBX157.3</v>
      </c>
      <c r="O1265" s="210" t="s">
        <v>782</v>
      </c>
      <c r="P1265" s="210"/>
      <c r="Q1265" s="210"/>
      <c r="R1265" s="210"/>
      <c r="S1265" s="210"/>
      <c r="T1265" s="210"/>
      <c r="U1265" s="210"/>
      <c r="V1265" s="210"/>
      <c r="W1265" s="210"/>
      <c r="X1265" s="210"/>
      <c r="Y1265" s="210"/>
      <c r="Z1265" s="210"/>
      <c r="AA1265" s="210"/>
      <c r="AB1265" s="210"/>
      <c r="AC1265" s="210"/>
      <c r="AD1265" s="210"/>
      <c r="AE1265" s="210"/>
    </row>
    <row r="1266" spans="1:31" x14ac:dyDescent="0.2">
      <c r="A1266" s="209"/>
      <c r="B1266" s="4" t="s">
        <v>34</v>
      </c>
      <c r="C1266" s="4">
        <v>1261</v>
      </c>
      <c r="D1266" s="210"/>
      <c r="E1266" s="210"/>
      <c r="F1266" s="210"/>
      <c r="G1266" s="210"/>
      <c r="H1266" s="210"/>
      <c r="I1266" s="210"/>
      <c r="J1266" s="4">
        <v>40461</v>
      </c>
      <c r="K1266" s="210"/>
      <c r="L1266" s="210">
        <v>79</v>
      </c>
      <c r="M1266" s="4">
        <f t="shared" si="25"/>
        <v>12</v>
      </c>
      <c r="N1266" s="4" t="str">
        <f>_xlfn.CONCAT("DBX",((L1266-1)*2)+1,".4")</f>
        <v>DBX157.4</v>
      </c>
      <c r="O1266" s="210" t="s">
        <v>782</v>
      </c>
      <c r="P1266" s="210"/>
      <c r="Q1266" s="210"/>
      <c r="R1266" s="210"/>
      <c r="S1266" s="210"/>
      <c r="T1266" s="210"/>
      <c r="U1266" s="210"/>
      <c r="V1266" s="210"/>
      <c r="W1266" s="210"/>
      <c r="X1266" s="210"/>
      <c r="Y1266" s="210"/>
      <c r="Z1266" s="210"/>
      <c r="AA1266" s="210"/>
      <c r="AB1266" s="210"/>
      <c r="AC1266" s="210"/>
      <c r="AD1266" s="210"/>
      <c r="AE1266" s="210"/>
    </row>
    <row r="1267" spans="1:31" x14ac:dyDescent="0.2">
      <c r="A1267" s="209"/>
      <c r="B1267" s="4" t="s">
        <v>34</v>
      </c>
      <c r="C1267" s="4">
        <v>1262</v>
      </c>
      <c r="D1267" s="210"/>
      <c r="E1267" s="210"/>
      <c r="F1267" s="210"/>
      <c r="G1267" s="210"/>
      <c r="H1267" s="210"/>
      <c r="I1267" s="210"/>
      <c r="J1267" s="4">
        <v>40462</v>
      </c>
      <c r="K1267" s="210"/>
      <c r="L1267" s="210">
        <v>79</v>
      </c>
      <c r="M1267" s="4">
        <f t="shared" si="25"/>
        <v>13</v>
      </c>
      <c r="N1267" s="4" t="str">
        <f>_xlfn.CONCAT("DBX",((L1267-1)*2)+1,".5")</f>
        <v>DBX157.5</v>
      </c>
      <c r="O1267" s="210" t="s">
        <v>782</v>
      </c>
      <c r="P1267" s="210"/>
      <c r="Q1267" s="210"/>
      <c r="R1267" s="210"/>
      <c r="S1267" s="210"/>
      <c r="T1267" s="210"/>
      <c r="U1267" s="210"/>
      <c r="V1267" s="210"/>
      <c r="W1267" s="210"/>
      <c r="X1267" s="210"/>
      <c r="Y1267" s="210"/>
      <c r="Z1267" s="210"/>
      <c r="AA1267" s="210"/>
      <c r="AB1267" s="210"/>
      <c r="AC1267" s="210"/>
      <c r="AD1267" s="210"/>
      <c r="AE1267" s="210"/>
    </row>
    <row r="1268" spans="1:31" x14ac:dyDescent="0.2">
      <c r="A1268" s="209"/>
      <c r="B1268" s="4" t="s">
        <v>34</v>
      </c>
      <c r="C1268" s="4">
        <v>1263</v>
      </c>
      <c r="D1268" s="210"/>
      <c r="E1268" s="210"/>
      <c r="F1268" s="210"/>
      <c r="G1268" s="210"/>
      <c r="H1268" s="210"/>
      <c r="I1268" s="210"/>
      <c r="J1268" s="4">
        <v>40463</v>
      </c>
      <c r="K1268" s="210"/>
      <c r="L1268" s="210">
        <v>79</v>
      </c>
      <c r="M1268" s="4">
        <f t="shared" si="25"/>
        <v>14</v>
      </c>
      <c r="N1268" s="4" t="str">
        <f>_xlfn.CONCAT("DBX",((L1268-1)*2)+1,".6")</f>
        <v>DBX157.6</v>
      </c>
      <c r="O1268" s="210" t="s">
        <v>782</v>
      </c>
      <c r="P1268" s="210"/>
      <c r="Q1268" s="210"/>
      <c r="R1268" s="210"/>
      <c r="S1268" s="210"/>
      <c r="T1268" s="210"/>
      <c r="U1268" s="210"/>
      <c r="V1268" s="210"/>
      <c r="W1268" s="210"/>
      <c r="X1268" s="210"/>
      <c r="Y1268" s="210"/>
      <c r="Z1268" s="210"/>
      <c r="AA1268" s="210"/>
      <c r="AB1268" s="210"/>
      <c r="AC1268" s="210"/>
      <c r="AD1268" s="210"/>
      <c r="AE1268" s="210"/>
    </row>
    <row r="1269" spans="1:31" x14ac:dyDescent="0.2">
      <c r="A1269" s="209"/>
      <c r="B1269" s="4" t="s">
        <v>34</v>
      </c>
      <c r="C1269" s="4">
        <v>1264</v>
      </c>
      <c r="D1269" s="210"/>
      <c r="E1269" s="210"/>
      <c r="F1269" s="210"/>
      <c r="G1269" s="210"/>
      <c r="H1269" s="210"/>
      <c r="I1269" s="210"/>
      <c r="J1269" s="4">
        <v>40464</v>
      </c>
      <c r="K1269" s="210"/>
      <c r="L1269" s="210">
        <v>79</v>
      </c>
      <c r="M1269" s="4">
        <f t="shared" si="25"/>
        <v>15</v>
      </c>
      <c r="N1269" s="4" t="str">
        <f>_xlfn.CONCAT("DBX",((L1269-1)*2)+1,".7")</f>
        <v>DBX157.7</v>
      </c>
      <c r="O1269" s="210" t="s">
        <v>782</v>
      </c>
      <c r="P1269" s="210"/>
      <c r="Q1269" s="210"/>
      <c r="R1269" s="210"/>
      <c r="S1269" s="210"/>
      <c r="T1269" s="210"/>
      <c r="U1269" s="210"/>
      <c r="V1269" s="210"/>
      <c r="W1269" s="210"/>
      <c r="X1269" s="210"/>
      <c r="Y1269" s="210"/>
      <c r="Z1269" s="210"/>
      <c r="AA1269" s="210"/>
      <c r="AB1269" s="210"/>
      <c r="AC1269" s="210"/>
      <c r="AD1269" s="210"/>
      <c r="AE1269" s="210"/>
    </row>
    <row r="1270" spans="1:31" x14ac:dyDescent="0.2">
      <c r="A1270" s="209"/>
      <c r="B1270" s="4" t="s">
        <v>34</v>
      </c>
      <c r="C1270" s="4">
        <v>1265</v>
      </c>
      <c r="D1270" s="210"/>
      <c r="E1270" s="210"/>
      <c r="F1270" s="210"/>
      <c r="G1270" s="210"/>
      <c r="H1270" s="210"/>
      <c r="I1270" s="210"/>
      <c r="J1270" s="4">
        <v>40465</v>
      </c>
      <c r="K1270" s="210"/>
      <c r="L1270" s="210">
        <v>80</v>
      </c>
      <c r="M1270" s="4">
        <f t="shared" si="25"/>
        <v>0</v>
      </c>
      <c r="N1270" s="4" t="str">
        <f>_xlfn.CONCAT("DBX",((L1270-1)*2),".0")</f>
        <v>DBX158.0</v>
      </c>
      <c r="O1270" s="210" t="s">
        <v>782</v>
      </c>
      <c r="P1270" s="210"/>
      <c r="Q1270" s="210"/>
      <c r="R1270" s="210"/>
      <c r="S1270" s="210"/>
      <c r="T1270" s="210"/>
      <c r="U1270" s="210"/>
      <c r="V1270" s="210"/>
      <c r="W1270" s="210"/>
      <c r="X1270" s="210"/>
      <c r="Y1270" s="210"/>
      <c r="Z1270" s="210"/>
      <c r="AA1270" s="210"/>
      <c r="AB1270" s="210"/>
      <c r="AC1270" s="210"/>
      <c r="AD1270" s="210"/>
      <c r="AE1270" s="210"/>
    </row>
    <row r="1271" spans="1:31" x14ac:dyDescent="0.2">
      <c r="A1271" s="209"/>
      <c r="B1271" s="4" t="s">
        <v>34</v>
      </c>
      <c r="C1271" s="4">
        <v>1266</v>
      </c>
      <c r="D1271" s="210"/>
      <c r="E1271" s="210"/>
      <c r="F1271" s="210"/>
      <c r="G1271" s="210"/>
      <c r="H1271" s="210"/>
      <c r="I1271" s="210"/>
      <c r="J1271" s="4">
        <v>40466</v>
      </c>
      <c r="K1271" s="210"/>
      <c r="L1271" s="210">
        <v>80</v>
      </c>
      <c r="M1271" s="4">
        <f t="shared" si="25"/>
        <v>1</v>
      </c>
      <c r="N1271" s="4" t="str">
        <f>_xlfn.CONCAT("DBX",((L1271-1)*2),".1")</f>
        <v>DBX158.1</v>
      </c>
      <c r="O1271" s="210" t="s">
        <v>782</v>
      </c>
      <c r="P1271" s="210"/>
      <c r="Q1271" s="210"/>
      <c r="R1271" s="210"/>
      <c r="S1271" s="210"/>
      <c r="T1271" s="210"/>
      <c r="U1271" s="210"/>
      <c r="V1271" s="210"/>
      <c r="W1271" s="210"/>
      <c r="X1271" s="210"/>
      <c r="Y1271" s="210"/>
      <c r="Z1271" s="210"/>
      <c r="AA1271" s="210"/>
      <c r="AB1271" s="210"/>
      <c r="AC1271" s="210"/>
      <c r="AD1271" s="210"/>
      <c r="AE1271" s="210"/>
    </row>
    <row r="1272" spans="1:31" x14ac:dyDescent="0.2">
      <c r="A1272" s="209"/>
      <c r="B1272" s="4" t="s">
        <v>34</v>
      </c>
      <c r="C1272" s="4">
        <v>1267</v>
      </c>
      <c r="D1272" s="210"/>
      <c r="E1272" s="210"/>
      <c r="F1272" s="210"/>
      <c r="G1272" s="210"/>
      <c r="H1272" s="210"/>
      <c r="I1272" s="210"/>
      <c r="J1272" s="4">
        <v>40467</v>
      </c>
      <c r="K1272" s="210"/>
      <c r="L1272" s="210">
        <v>80</v>
      </c>
      <c r="M1272" s="4">
        <f t="shared" si="25"/>
        <v>2</v>
      </c>
      <c r="N1272" s="4" t="str">
        <f>_xlfn.CONCAT("DBX",((L1272-1)*2),".2")</f>
        <v>DBX158.2</v>
      </c>
      <c r="O1272" s="210" t="s">
        <v>782</v>
      </c>
      <c r="P1272" s="210"/>
      <c r="Q1272" s="210"/>
      <c r="R1272" s="210"/>
      <c r="S1272" s="210"/>
      <c r="T1272" s="210"/>
      <c r="U1272" s="210"/>
      <c r="V1272" s="210"/>
      <c r="W1272" s="210"/>
      <c r="X1272" s="210"/>
      <c r="Y1272" s="210"/>
      <c r="Z1272" s="210"/>
      <c r="AA1272" s="210"/>
      <c r="AB1272" s="210"/>
      <c r="AC1272" s="210"/>
      <c r="AD1272" s="210"/>
      <c r="AE1272" s="210"/>
    </row>
    <row r="1273" spans="1:31" x14ac:dyDescent="0.2">
      <c r="A1273" s="209"/>
      <c r="B1273" s="4" t="s">
        <v>34</v>
      </c>
      <c r="C1273" s="4">
        <v>1268</v>
      </c>
      <c r="D1273" s="210"/>
      <c r="E1273" s="210"/>
      <c r="F1273" s="210"/>
      <c r="G1273" s="210"/>
      <c r="H1273" s="210"/>
      <c r="I1273" s="210"/>
      <c r="J1273" s="4">
        <v>40468</v>
      </c>
      <c r="K1273" s="210"/>
      <c r="L1273" s="210">
        <v>80</v>
      </c>
      <c r="M1273" s="4">
        <f t="shared" si="25"/>
        <v>3</v>
      </c>
      <c r="N1273" s="4" t="str">
        <f>_xlfn.CONCAT("DBX",((L1273-1)*2),".3")</f>
        <v>DBX158.3</v>
      </c>
      <c r="O1273" s="210" t="s">
        <v>782</v>
      </c>
      <c r="P1273" s="210"/>
      <c r="Q1273" s="210"/>
      <c r="R1273" s="210"/>
      <c r="S1273" s="210"/>
      <c r="T1273" s="210"/>
      <c r="U1273" s="210"/>
      <c r="V1273" s="210"/>
      <c r="W1273" s="210"/>
      <c r="X1273" s="210"/>
      <c r="Y1273" s="210"/>
      <c r="Z1273" s="210"/>
      <c r="AA1273" s="210"/>
      <c r="AB1273" s="210"/>
      <c r="AC1273" s="210"/>
      <c r="AD1273" s="210"/>
      <c r="AE1273" s="210"/>
    </row>
    <row r="1274" spans="1:31" x14ac:dyDescent="0.2">
      <c r="A1274" s="209"/>
      <c r="B1274" s="4" t="s">
        <v>34</v>
      </c>
      <c r="C1274" s="4">
        <v>1269</v>
      </c>
      <c r="D1274" s="210"/>
      <c r="E1274" s="210"/>
      <c r="F1274" s="210"/>
      <c r="G1274" s="210"/>
      <c r="H1274" s="210"/>
      <c r="I1274" s="210"/>
      <c r="J1274" s="4">
        <v>40469</v>
      </c>
      <c r="K1274" s="210"/>
      <c r="L1274" s="210">
        <v>80</v>
      </c>
      <c r="M1274" s="4">
        <f t="shared" si="25"/>
        <v>4</v>
      </c>
      <c r="N1274" s="4" t="str">
        <f>_xlfn.CONCAT("DBX",((L1274-1)*2),".4")</f>
        <v>DBX158.4</v>
      </c>
      <c r="O1274" s="210" t="s">
        <v>782</v>
      </c>
      <c r="P1274" s="210"/>
      <c r="Q1274" s="210"/>
      <c r="R1274" s="210"/>
      <c r="S1274" s="210"/>
      <c r="T1274" s="210"/>
      <c r="U1274" s="210"/>
      <c r="V1274" s="210"/>
      <c r="W1274" s="210"/>
      <c r="X1274" s="210"/>
      <c r="Y1274" s="210"/>
      <c r="Z1274" s="210"/>
      <c r="AA1274" s="210"/>
      <c r="AB1274" s="210"/>
      <c r="AC1274" s="210"/>
      <c r="AD1274" s="210"/>
      <c r="AE1274" s="210"/>
    </row>
    <row r="1275" spans="1:31" x14ac:dyDescent="0.2">
      <c r="A1275" s="209"/>
      <c r="B1275" s="4" t="s">
        <v>34</v>
      </c>
      <c r="C1275" s="4">
        <v>1270</v>
      </c>
      <c r="D1275" s="210"/>
      <c r="E1275" s="210"/>
      <c r="F1275" s="210"/>
      <c r="G1275" s="210"/>
      <c r="H1275" s="210"/>
      <c r="I1275" s="210"/>
      <c r="J1275" s="4">
        <v>40470</v>
      </c>
      <c r="K1275" s="210"/>
      <c r="L1275" s="210">
        <v>80</v>
      </c>
      <c r="M1275" s="4">
        <f t="shared" si="25"/>
        <v>5</v>
      </c>
      <c r="N1275" s="4" t="str">
        <f>_xlfn.CONCAT("DBX",((L1275-1)*2),".5")</f>
        <v>DBX158.5</v>
      </c>
      <c r="O1275" s="210" t="s">
        <v>782</v>
      </c>
      <c r="P1275" s="210"/>
      <c r="Q1275" s="210"/>
      <c r="R1275" s="210"/>
      <c r="S1275" s="210"/>
      <c r="T1275" s="210"/>
      <c r="U1275" s="210"/>
      <c r="V1275" s="210"/>
      <c r="W1275" s="210"/>
      <c r="X1275" s="210"/>
      <c r="Y1275" s="210"/>
      <c r="Z1275" s="210"/>
      <c r="AA1275" s="210"/>
      <c r="AB1275" s="210"/>
      <c r="AC1275" s="210"/>
      <c r="AD1275" s="210"/>
      <c r="AE1275" s="210"/>
    </row>
    <row r="1276" spans="1:31" x14ac:dyDescent="0.2">
      <c r="A1276" s="209"/>
      <c r="B1276" s="4" t="s">
        <v>34</v>
      </c>
      <c r="C1276" s="4">
        <v>1271</v>
      </c>
      <c r="D1276" s="210"/>
      <c r="E1276" s="210"/>
      <c r="F1276" s="210"/>
      <c r="G1276" s="210"/>
      <c r="H1276" s="210"/>
      <c r="I1276" s="210"/>
      <c r="J1276" s="4">
        <v>40471</v>
      </c>
      <c r="K1276" s="210"/>
      <c r="L1276" s="210">
        <v>80</v>
      </c>
      <c r="M1276" s="4">
        <f t="shared" si="25"/>
        <v>6</v>
      </c>
      <c r="N1276" s="4" t="str">
        <f>_xlfn.CONCAT("DBX",((L1276-1)*2),".6")</f>
        <v>DBX158.6</v>
      </c>
      <c r="O1276" s="210" t="s">
        <v>782</v>
      </c>
      <c r="P1276" s="210"/>
      <c r="Q1276" s="210"/>
      <c r="R1276" s="210"/>
      <c r="S1276" s="210"/>
      <c r="T1276" s="210"/>
      <c r="U1276" s="210"/>
      <c r="V1276" s="210"/>
      <c r="W1276" s="210"/>
      <c r="X1276" s="210"/>
      <c r="Y1276" s="210"/>
      <c r="Z1276" s="210"/>
      <c r="AA1276" s="210"/>
      <c r="AB1276" s="210"/>
      <c r="AC1276" s="210"/>
      <c r="AD1276" s="210"/>
      <c r="AE1276" s="210"/>
    </row>
    <row r="1277" spans="1:31" x14ac:dyDescent="0.2">
      <c r="A1277" s="209"/>
      <c r="B1277" s="4" t="s">
        <v>34</v>
      </c>
      <c r="C1277" s="4">
        <v>1272</v>
      </c>
      <c r="D1277" s="210"/>
      <c r="E1277" s="210"/>
      <c r="F1277" s="210"/>
      <c r="G1277" s="210"/>
      <c r="H1277" s="210"/>
      <c r="I1277" s="210"/>
      <c r="J1277" s="4">
        <v>40472</v>
      </c>
      <c r="K1277" s="210"/>
      <c r="L1277" s="210">
        <v>80</v>
      </c>
      <c r="M1277" s="4">
        <f t="shared" si="25"/>
        <v>7</v>
      </c>
      <c r="N1277" s="4" t="str">
        <f>_xlfn.CONCAT("DBX",((L1277-1)*2),".7")</f>
        <v>DBX158.7</v>
      </c>
      <c r="O1277" s="210" t="s">
        <v>782</v>
      </c>
      <c r="P1277" s="210"/>
      <c r="Q1277" s="210"/>
      <c r="R1277" s="210"/>
      <c r="S1277" s="210"/>
      <c r="T1277" s="210"/>
      <c r="U1277" s="210"/>
      <c r="V1277" s="210"/>
      <c r="W1277" s="210"/>
      <c r="X1277" s="210"/>
      <c r="Y1277" s="210"/>
      <c r="Z1277" s="210"/>
      <c r="AA1277" s="210"/>
      <c r="AB1277" s="210"/>
      <c r="AC1277" s="210"/>
      <c r="AD1277" s="210"/>
      <c r="AE1277" s="210"/>
    </row>
    <row r="1278" spans="1:31" x14ac:dyDescent="0.2">
      <c r="A1278" s="209"/>
      <c r="B1278" s="4" t="s">
        <v>34</v>
      </c>
      <c r="C1278" s="4">
        <v>1273</v>
      </c>
      <c r="D1278" s="210"/>
      <c r="E1278" s="210"/>
      <c r="F1278" s="210"/>
      <c r="G1278" s="210"/>
      <c r="H1278" s="210"/>
      <c r="I1278" s="210"/>
      <c r="J1278" s="4">
        <v>40473</v>
      </c>
      <c r="K1278" s="210"/>
      <c r="L1278" s="210">
        <v>80</v>
      </c>
      <c r="M1278" s="4">
        <f t="shared" si="25"/>
        <v>8</v>
      </c>
      <c r="N1278" s="4" t="str">
        <f>_xlfn.CONCAT("DBX",((L1278-1)*2)+1,".0")</f>
        <v>DBX159.0</v>
      </c>
      <c r="O1278" s="210" t="s">
        <v>782</v>
      </c>
      <c r="P1278" s="210"/>
      <c r="Q1278" s="210"/>
      <c r="R1278" s="210"/>
      <c r="S1278" s="210"/>
      <c r="T1278" s="210"/>
      <c r="U1278" s="210"/>
      <c r="V1278" s="210"/>
      <c r="W1278" s="210"/>
      <c r="X1278" s="210"/>
      <c r="Y1278" s="210"/>
      <c r="Z1278" s="210"/>
      <c r="AA1278" s="210"/>
      <c r="AB1278" s="210"/>
      <c r="AC1278" s="210"/>
      <c r="AD1278" s="210"/>
      <c r="AE1278" s="210"/>
    </row>
    <row r="1279" spans="1:31" x14ac:dyDescent="0.2">
      <c r="A1279" s="209"/>
      <c r="B1279" s="4" t="s">
        <v>34</v>
      </c>
      <c r="C1279" s="4">
        <v>1274</v>
      </c>
      <c r="D1279" s="210"/>
      <c r="E1279" s="210"/>
      <c r="F1279" s="210"/>
      <c r="G1279" s="210"/>
      <c r="H1279" s="210"/>
      <c r="I1279" s="210"/>
      <c r="J1279" s="4">
        <v>40474</v>
      </c>
      <c r="K1279" s="210"/>
      <c r="L1279" s="210">
        <v>80</v>
      </c>
      <c r="M1279" s="4">
        <f t="shared" si="25"/>
        <v>9</v>
      </c>
      <c r="N1279" s="4" t="str">
        <f>_xlfn.CONCAT("DBX",((L1279-1)*2)+1,".1")</f>
        <v>DBX159.1</v>
      </c>
      <c r="O1279" s="210" t="s">
        <v>782</v>
      </c>
      <c r="P1279" s="210"/>
      <c r="Q1279" s="210"/>
      <c r="R1279" s="210"/>
      <c r="S1279" s="210"/>
      <c r="T1279" s="210"/>
      <c r="U1279" s="210"/>
      <c r="V1279" s="210"/>
      <c r="W1279" s="210"/>
      <c r="X1279" s="210"/>
      <c r="Y1279" s="210"/>
      <c r="Z1279" s="210"/>
      <c r="AA1279" s="210"/>
      <c r="AB1279" s="210"/>
      <c r="AC1279" s="210"/>
      <c r="AD1279" s="210"/>
      <c r="AE1279" s="210"/>
    </row>
    <row r="1280" spans="1:31" x14ac:dyDescent="0.2">
      <c r="A1280" s="209"/>
      <c r="B1280" s="4" t="s">
        <v>34</v>
      </c>
      <c r="C1280" s="4">
        <v>1275</v>
      </c>
      <c r="D1280" s="210"/>
      <c r="E1280" s="210"/>
      <c r="F1280" s="210"/>
      <c r="G1280" s="210"/>
      <c r="H1280" s="210"/>
      <c r="I1280" s="210"/>
      <c r="J1280" s="4">
        <v>40475</v>
      </c>
      <c r="K1280" s="210"/>
      <c r="L1280" s="210">
        <v>80</v>
      </c>
      <c r="M1280" s="4">
        <f t="shared" si="25"/>
        <v>10</v>
      </c>
      <c r="N1280" s="4" t="str">
        <f>_xlfn.CONCAT("DBX",((L1280-1)*2)+1,".2")</f>
        <v>DBX159.2</v>
      </c>
      <c r="O1280" s="210" t="s">
        <v>782</v>
      </c>
      <c r="P1280" s="210"/>
      <c r="Q1280" s="210"/>
      <c r="R1280" s="210"/>
      <c r="S1280" s="210"/>
      <c r="T1280" s="210"/>
      <c r="U1280" s="210"/>
      <c r="V1280" s="210"/>
      <c r="W1280" s="210"/>
      <c r="X1280" s="210"/>
      <c r="Y1280" s="210"/>
      <c r="Z1280" s="210"/>
      <c r="AA1280" s="210"/>
      <c r="AB1280" s="210"/>
      <c r="AC1280" s="210"/>
      <c r="AD1280" s="210"/>
      <c r="AE1280" s="210"/>
    </row>
    <row r="1281" spans="1:31" x14ac:dyDescent="0.2">
      <c r="A1281" s="209"/>
      <c r="B1281" s="4" t="s">
        <v>34</v>
      </c>
      <c r="C1281" s="4">
        <v>1276</v>
      </c>
      <c r="D1281" s="210"/>
      <c r="E1281" s="210"/>
      <c r="F1281" s="210"/>
      <c r="G1281" s="210"/>
      <c r="H1281" s="210"/>
      <c r="I1281" s="210"/>
      <c r="J1281" s="4">
        <v>40476</v>
      </c>
      <c r="K1281" s="210"/>
      <c r="L1281" s="210">
        <v>80</v>
      </c>
      <c r="M1281" s="4">
        <f t="shared" si="25"/>
        <v>11</v>
      </c>
      <c r="N1281" s="4" t="str">
        <f>_xlfn.CONCAT("DBX",((L1281-1)*2)+1,".3")</f>
        <v>DBX159.3</v>
      </c>
      <c r="O1281" s="210" t="s">
        <v>782</v>
      </c>
      <c r="P1281" s="210"/>
      <c r="Q1281" s="210"/>
      <c r="R1281" s="210"/>
      <c r="S1281" s="210"/>
      <c r="T1281" s="210"/>
      <c r="U1281" s="210"/>
      <c r="V1281" s="210"/>
      <c r="W1281" s="210"/>
      <c r="X1281" s="210"/>
      <c r="Y1281" s="210"/>
      <c r="Z1281" s="210"/>
      <c r="AA1281" s="210"/>
      <c r="AB1281" s="210"/>
      <c r="AC1281" s="210"/>
      <c r="AD1281" s="210"/>
      <c r="AE1281" s="210"/>
    </row>
    <row r="1282" spans="1:31" x14ac:dyDescent="0.2">
      <c r="A1282" s="209"/>
      <c r="B1282" s="4" t="s">
        <v>34</v>
      </c>
      <c r="C1282" s="4">
        <v>1277</v>
      </c>
      <c r="D1282" s="210"/>
      <c r="E1282" s="210"/>
      <c r="F1282" s="210"/>
      <c r="G1282" s="210"/>
      <c r="H1282" s="210"/>
      <c r="I1282" s="210"/>
      <c r="J1282" s="4">
        <v>40477</v>
      </c>
      <c r="K1282" s="210"/>
      <c r="L1282" s="210">
        <v>80</v>
      </c>
      <c r="M1282" s="4">
        <f t="shared" si="25"/>
        <v>12</v>
      </c>
      <c r="N1282" s="4" t="str">
        <f>_xlfn.CONCAT("DBX",((L1282-1)*2)+1,".4")</f>
        <v>DBX159.4</v>
      </c>
      <c r="O1282" s="210" t="s">
        <v>782</v>
      </c>
      <c r="P1282" s="210"/>
      <c r="Q1282" s="210"/>
      <c r="R1282" s="210"/>
      <c r="S1282" s="210"/>
      <c r="T1282" s="210"/>
      <c r="U1282" s="210"/>
      <c r="V1282" s="210"/>
      <c r="W1282" s="210"/>
      <c r="X1282" s="210"/>
      <c r="Y1282" s="210"/>
      <c r="Z1282" s="210"/>
      <c r="AA1282" s="210"/>
      <c r="AB1282" s="210"/>
      <c r="AC1282" s="210"/>
      <c r="AD1282" s="210"/>
      <c r="AE1282" s="210"/>
    </row>
    <row r="1283" spans="1:31" x14ac:dyDescent="0.2">
      <c r="A1283" s="209"/>
      <c r="B1283" s="4" t="s">
        <v>34</v>
      </c>
      <c r="C1283" s="4">
        <v>1278</v>
      </c>
      <c r="D1283" s="210"/>
      <c r="E1283" s="210"/>
      <c r="F1283" s="210"/>
      <c r="G1283" s="210"/>
      <c r="H1283" s="210"/>
      <c r="I1283" s="210"/>
      <c r="J1283" s="4">
        <v>40478</v>
      </c>
      <c r="K1283" s="210"/>
      <c r="L1283" s="210">
        <v>80</v>
      </c>
      <c r="M1283" s="4">
        <f t="shared" si="25"/>
        <v>13</v>
      </c>
      <c r="N1283" s="4" t="str">
        <f>_xlfn.CONCAT("DBX",((L1283-1)*2)+1,".5")</f>
        <v>DBX159.5</v>
      </c>
      <c r="O1283" s="210" t="s">
        <v>782</v>
      </c>
      <c r="P1283" s="210"/>
      <c r="Q1283" s="210"/>
      <c r="R1283" s="210"/>
      <c r="S1283" s="210"/>
      <c r="T1283" s="210"/>
      <c r="U1283" s="210"/>
      <c r="V1283" s="210"/>
      <c r="W1283" s="210"/>
      <c r="X1283" s="210"/>
      <c r="Y1283" s="210"/>
      <c r="Z1283" s="210"/>
      <c r="AA1283" s="210"/>
      <c r="AB1283" s="210"/>
      <c r="AC1283" s="210"/>
      <c r="AD1283" s="210"/>
      <c r="AE1283" s="210"/>
    </row>
    <row r="1284" spans="1:31" x14ac:dyDescent="0.2">
      <c r="A1284" s="209"/>
      <c r="B1284" s="4" t="s">
        <v>34</v>
      </c>
      <c r="C1284" s="4">
        <v>1279</v>
      </c>
      <c r="D1284" s="210"/>
      <c r="E1284" s="210"/>
      <c r="F1284" s="210"/>
      <c r="G1284" s="210"/>
      <c r="H1284" s="210"/>
      <c r="I1284" s="210"/>
      <c r="J1284" s="4">
        <v>40479</v>
      </c>
      <c r="K1284" s="210"/>
      <c r="L1284" s="210">
        <v>80</v>
      </c>
      <c r="M1284" s="4">
        <f t="shared" si="25"/>
        <v>14</v>
      </c>
      <c r="N1284" s="4" t="str">
        <f>_xlfn.CONCAT("DBX",((L1284-1)*2)+1,".6")</f>
        <v>DBX159.6</v>
      </c>
      <c r="O1284" s="210" t="s">
        <v>782</v>
      </c>
      <c r="P1284" s="210"/>
      <c r="Q1284" s="210"/>
      <c r="R1284" s="210"/>
      <c r="S1284" s="210"/>
      <c r="T1284" s="210"/>
      <c r="U1284" s="210"/>
      <c r="V1284" s="210"/>
      <c r="W1284" s="210"/>
      <c r="X1284" s="210"/>
      <c r="Y1284" s="210"/>
      <c r="Z1284" s="210"/>
      <c r="AA1284" s="210"/>
      <c r="AB1284" s="210"/>
      <c r="AC1284" s="210"/>
      <c r="AD1284" s="210"/>
      <c r="AE1284" s="210"/>
    </row>
    <row r="1285" spans="1:31" x14ac:dyDescent="0.2">
      <c r="A1285" s="209"/>
      <c r="B1285" s="4" t="s">
        <v>34</v>
      </c>
      <c r="C1285" s="4">
        <v>1280</v>
      </c>
      <c r="D1285" s="210"/>
      <c r="E1285" s="210"/>
      <c r="F1285" s="210"/>
      <c r="G1285" s="210"/>
      <c r="H1285" s="210"/>
      <c r="I1285" s="210"/>
      <c r="J1285" s="4">
        <v>40480</v>
      </c>
      <c r="K1285" s="210"/>
      <c r="L1285" s="210">
        <v>80</v>
      </c>
      <c r="M1285" s="4">
        <f t="shared" si="25"/>
        <v>15</v>
      </c>
      <c r="N1285" s="4" t="str">
        <f>_xlfn.CONCAT("DBX",((L1285-1)*2)+1,".7")</f>
        <v>DBX159.7</v>
      </c>
      <c r="O1285" s="210" t="s">
        <v>782</v>
      </c>
      <c r="P1285" s="210"/>
      <c r="Q1285" s="210"/>
      <c r="R1285" s="210"/>
      <c r="S1285" s="210"/>
      <c r="T1285" s="210"/>
      <c r="U1285" s="210"/>
      <c r="V1285" s="210"/>
      <c r="W1285" s="210"/>
      <c r="X1285" s="210"/>
      <c r="Y1285" s="210"/>
      <c r="Z1285" s="210"/>
      <c r="AA1285" s="210"/>
      <c r="AB1285" s="210"/>
      <c r="AC1285" s="210"/>
      <c r="AD1285" s="210"/>
      <c r="AE1285" s="210"/>
    </row>
    <row r="1286" spans="1:31" x14ac:dyDescent="0.2">
      <c r="A1286" s="209"/>
      <c r="B1286" s="4" t="s">
        <v>34</v>
      </c>
      <c r="C1286" s="4">
        <v>1281</v>
      </c>
      <c r="D1286" s="210"/>
      <c r="E1286" s="210"/>
      <c r="F1286" s="210"/>
      <c r="G1286" s="210"/>
      <c r="H1286" s="210"/>
      <c r="I1286" s="210"/>
      <c r="J1286" s="4">
        <v>40481</v>
      </c>
      <c r="K1286" s="210"/>
      <c r="L1286" s="210">
        <v>81</v>
      </c>
      <c r="M1286" s="4">
        <v>0</v>
      </c>
      <c r="N1286" s="4" t="str">
        <f>_xlfn.CONCAT("DBX",((L1286-1)*2),".0")</f>
        <v>DBX160.0</v>
      </c>
      <c r="O1286" s="210" t="s">
        <v>782</v>
      </c>
      <c r="P1286" s="210"/>
      <c r="Q1286" s="210"/>
      <c r="R1286" s="210"/>
      <c r="S1286" s="210"/>
      <c r="T1286" s="210"/>
      <c r="U1286" s="210"/>
      <c r="V1286" s="210"/>
      <c r="W1286" s="210"/>
      <c r="X1286" s="210"/>
      <c r="Y1286" s="210"/>
      <c r="Z1286" s="210"/>
      <c r="AA1286" s="210"/>
      <c r="AB1286" s="210"/>
      <c r="AC1286" s="210"/>
      <c r="AD1286" s="210"/>
      <c r="AE1286" s="210"/>
    </row>
    <row r="1287" spans="1:31" x14ac:dyDescent="0.2">
      <c r="A1287" s="209"/>
      <c r="B1287" s="4" t="s">
        <v>34</v>
      </c>
      <c r="C1287" s="4">
        <v>1282</v>
      </c>
      <c r="D1287" s="210"/>
      <c r="E1287" s="210"/>
      <c r="F1287" s="210"/>
      <c r="G1287" s="210"/>
      <c r="H1287" s="210"/>
      <c r="I1287" s="210"/>
      <c r="J1287" s="4">
        <v>40482</v>
      </c>
      <c r="K1287" s="210"/>
      <c r="L1287" s="210">
        <v>81</v>
      </c>
      <c r="M1287" s="4">
        <v>1</v>
      </c>
      <c r="N1287" s="4" t="str">
        <f>_xlfn.CONCAT("DBX",((L1287-1)*2),".1")</f>
        <v>DBX160.1</v>
      </c>
      <c r="O1287" s="210" t="s">
        <v>782</v>
      </c>
      <c r="P1287" s="210"/>
      <c r="Q1287" s="210"/>
      <c r="R1287" s="210"/>
      <c r="S1287" s="210"/>
      <c r="T1287" s="210"/>
      <c r="U1287" s="210"/>
      <c r="V1287" s="210"/>
      <c r="W1287" s="210"/>
      <c r="X1287" s="210"/>
      <c r="Y1287" s="210"/>
      <c r="Z1287" s="210"/>
      <c r="AA1287" s="210"/>
      <c r="AB1287" s="210"/>
      <c r="AC1287" s="210"/>
      <c r="AD1287" s="210"/>
      <c r="AE1287" s="210"/>
    </row>
    <row r="1288" spans="1:31" x14ac:dyDescent="0.2">
      <c r="A1288" s="209"/>
      <c r="B1288" s="4" t="s">
        <v>34</v>
      </c>
      <c r="C1288" s="4">
        <v>1283</v>
      </c>
      <c r="D1288" s="210"/>
      <c r="E1288" s="210"/>
      <c r="F1288" s="210"/>
      <c r="G1288" s="210"/>
      <c r="H1288" s="210"/>
      <c r="I1288" s="210"/>
      <c r="J1288" s="4">
        <v>40483</v>
      </c>
      <c r="K1288" s="210"/>
      <c r="L1288" s="210">
        <v>81</v>
      </c>
      <c r="M1288" s="4">
        <v>2</v>
      </c>
      <c r="N1288" s="4" t="str">
        <f>_xlfn.CONCAT("DBX",((L1288-1)*2),".2")</f>
        <v>DBX160.2</v>
      </c>
      <c r="O1288" s="210" t="s">
        <v>782</v>
      </c>
      <c r="P1288" s="210"/>
      <c r="Q1288" s="210"/>
      <c r="R1288" s="210"/>
      <c r="S1288" s="210"/>
      <c r="T1288" s="210"/>
      <c r="U1288" s="210"/>
      <c r="V1288" s="210"/>
      <c r="W1288" s="210"/>
      <c r="X1288" s="210"/>
      <c r="Y1288" s="210"/>
      <c r="Z1288" s="210"/>
      <c r="AA1288" s="210"/>
      <c r="AB1288" s="210"/>
      <c r="AC1288" s="210"/>
      <c r="AD1288" s="210"/>
      <c r="AE1288" s="210"/>
    </row>
    <row r="1289" spans="1:31" x14ac:dyDescent="0.2">
      <c r="A1289" s="209"/>
      <c r="B1289" s="4" t="s">
        <v>34</v>
      </c>
      <c r="C1289" s="4">
        <v>1284</v>
      </c>
      <c r="D1289" s="210"/>
      <c r="E1289" s="210"/>
      <c r="F1289" s="210"/>
      <c r="G1289" s="210"/>
      <c r="H1289" s="210"/>
      <c r="I1289" s="210"/>
      <c r="J1289" s="4">
        <v>40484</v>
      </c>
      <c r="K1289" s="210"/>
      <c r="L1289" s="210">
        <v>81</v>
      </c>
      <c r="M1289" s="4">
        <v>3</v>
      </c>
      <c r="N1289" s="4" t="str">
        <f>_xlfn.CONCAT("DBX",((L1289-1)*2),".3")</f>
        <v>DBX160.3</v>
      </c>
      <c r="O1289" s="210" t="s">
        <v>782</v>
      </c>
      <c r="P1289" s="210"/>
      <c r="Q1289" s="210"/>
      <c r="R1289" s="210"/>
      <c r="S1289" s="210"/>
      <c r="T1289" s="210"/>
      <c r="U1289" s="210"/>
      <c r="V1289" s="210"/>
      <c r="W1289" s="210"/>
      <c r="X1289" s="210"/>
      <c r="Y1289" s="210"/>
      <c r="Z1289" s="210"/>
      <c r="AA1289" s="210"/>
      <c r="AB1289" s="210"/>
      <c r="AC1289" s="210"/>
      <c r="AD1289" s="210"/>
      <c r="AE1289" s="210"/>
    </row>
    <row r="1290" spans="1:31" x14ac:dyDescent="0.2">
      <c r="A1290" s="209"/>
      <c r="B1290" s="4" t="s">
        <v>34</v>
      </c>
      <c r="C1290" s="4">
        <v>1285</v>
      </c>
      <c r="D1290" s="210"/>
      <c r="E1290" s="210"/>
      <c r="F1290" s="210"/>
      <c r="G1290" s="210"/>
      <c r="H1290" s="210"/>
      <c r="I1290" s="210"/>
      <c r="J1290" s="4">
        <v>40485</v>
      </c>
      <c r="K1290" s="210"/>
      <c r="L1290" s="210">
        <v>81</v>
      </c>
      <c r="M1290" s="4">
        <v>4</v>
      </c>
      <c r="N1290" s="4" t="str">
        <f>_xlfn.CONCAT("DBX",((L1290-1)*2),".4")</f>
        <v>DBX160.4</v>
      </c>
      <c r="O1290" s="210" t="s">
        <v>782</v>
      </c>
      <c r="P1290" s="210"/>
      <c r="Q1290" s="210"/>
      <c r="R1290" s="210"/>
      <c r="S1290" s="210"/>
      <c r="T1290" s="210"/>
      <c r="U1290" s="210"/>
      <c r="V1290" s="210"/>
      <c r="W1290" s="210"/>
      <c r="X1290" s="210"/>
      <c r="Y1290" s="210"/>
      <c r="Z1290" s="210"/>
      <c r="AA1290" s="210"/>
      <c r="AB1290" s="210"/>
      <c r="AC1290" s="210"/>
      <c r="AD1290" s="210"/>
      <c r="AE1290" s="210"/>
    </row>
    <row r="1291" spans="1:31" x14ac:dyDescent="0.2">
      <c r="A1291" s="209"/>
      <c r="B1291" s="4" t="s">
        <v>34</v>
      </c>
      <c r="C1291" s="4">
        <v>1286</v>
      </c>
      <c r="D1291" s="210"/>
      <c r="E1291" s="210"/>
      <c r="F1291" s="210"/>
      <c r="G1291" s="210"/>
      <c r="H1291" s="210"/>
      <c r="I1291" s="210"/>
      <c r="J1291" s="4">
        <v>40486</v>
      </c>
      <c r="K1291" s="210"/>
      <c r="L1291" s="210">
        <v>81</v>
      </c>
      <c r="M1291" s="4">
        <v>5</v>
      </c>
      <c r="N1291" s="4" t="str">
        <f>_xlfn.CONCAT("DBX",((L1291-1)*2),".5")</f>
        <v>DBX160.5</v>
      </c>
      <c r="O1291" s="210" t="s">
        <v>782</v>
      </c>
      <c r="P1291" s="210"/>
      <c r="Q1291" s="210"/>
      <c r="R1291" s="210"/>
      <c r="S1291" s="210"/>
      <c r="T1291" s="210"/>
      <c r="U1291" s="210"/>
      <c r="V1291" s="210"/>
      <c r="W1291" s="210"/>
      <c r="X1291" s="210"/>
      <c r="Y1291" s="210"/>
      <c r="Z1291" s="210"/>
      <c r="AA1291" s="210"/>
      <c r="AB1291" s="210"/>
      <c r="AC1291" s="210"/>
      <c r="AD1291" s="210"/>
      <c r="AE1291" s="210"/>
    </row>
    <row r="1292" spans="1:31" ht="67.5" x14ac:dyDescent="0.2">
      <c r="A1292" s="209"/>
      <c r="B1292" s="4" t="s">
        <v>3170</v>
      </c>
      <c r="C1292" s="4">
        <v>1287</v>
      </c>
      <c r="D1292" s="210"/>
      <c r="E1292" s="210"/>
      <c r="F1292" s="210"/>
      <c r="G1292" s="210"/>
      <c r="H1292" s="210"/>
      <c r="I1292" s="210"/>
      <c r="J1292" s="4">
        <v>40487</v>
      </c>
      <c r="K1292" s="210"/>
      <c r="L1292" s="210">
        <v>81</v>
      </c>
      <c r="M1292" s="4">
        <v>6</v>
      </c>
      <c r="N1292" s="4" t="str">
        <f>_xlfn.CONCAT("DBX",((L1292-1)*2),".6")</f>
        <v>DBX160.6</v>
      </c>
      <c r="O1292" s="210" t="s">
        <v>782</v>
      </c>
      <c r="P1292" s="210"/>
      <c r="Q1292" s="210"/>
      <c r="R1292" s="210"/>
      <c r="S1292" s="210"/>
      <c r="T1292" s="210"/>
      <c r="U1292" s="210"/>
      <c r="V1292" s="212" t="s">
        <v>3156</v>
      </c>
      <c r="W1292" s="210"/>
      <c r="X1292" s="210"/>
      <c r="Y1292" s="210"/>
      <c r="Z1292" s="210"/>
      <c r="AA1292" s="210"/>
      <c r="AB1292" s="210"/>
      <c r="AC1292" s="210"/>
      <c r="AD1292" s="210"/>
      <c r="AE1292" s="210"/>
    </row>
    <row r="1293" spans="1:31" x14ac:dyDescent="0.2">
      <c r="A1293" s="209"/>
      <c r="B1293" s="4" t="s">
        <v>34</v>
      </c>
      <c r="C1293" s="4">
        <v>1288</v>
      </c>
      <c r="D1293" s="210"/>
      <c r="E1293" s="210"/>
      <c r="F1293" s="210"/>
      <c r="G1293" s="210"/>
      <c r="H1293" s="210"/>
      <c r="I1293" s="210"/>
      <c r="J1293" s="4">
        <v>40488</v>
      </c>
      <c r="K1293" s="210"/>
      <c r="L1293" s="210">
        <v>81</v>
      </c>
      <c r="M1293" s="4">
        <v>7</v>
      </c>
      <c r="N1293" s="4" t="str">
        <f>_xlfn.CONCAT("DBX",((L1293-1)*2),".7")</f>
        <v>DBX160.7</v>
      </c>
      <c r="O1293" s="210" t="s">
        <v>782</v>
      </c>
      <c r="P1293" s="210"/>
      <c r="Q1293" s="210"/>
      <c r="R1293" s="210"/>
      <c r="S1293" s="210"/>
      <c r="T1293" s="210"/>
      <c r="U1293" s="210"/>
      <c r="V1293" s="210"/>
      <c r="W1293" s="210"/>
      <c r="X1293" s="210"/>
      <c r="Y1293" s="210"/>
      <c r="Z1293" s="210"/>
      <c r="AA1293" s="210"/>
      <c r="AB1293" s="210"/>
      <c r="AC1293" s="210"/>
      <c r="AD1293" s="210"/>
      <c r="AE1293" s="210"/>
    </row>
    <row r="1294" spans="1:31" x14ac:dyDescent="0.2">
      <c r="A1294" s="209"/>
      <c r="B1294" s="4" t="s">
        <v>34</v>
      </c>
      <c r="C1294" s="4">
        <v>1289</v>
      </c>
      <c r="D1294" s="210"/>
      <c r="E1294" s="210"/>
      <c r="F1294" s="210"/>
      <c r="G1294" s="210"/>
      <c r="H1294" s="210"/>
      <c r="I1294" s="210"/>
      <c r="J1294" s="4">
        <v>40489</v>
      </c>
      <c r="K1294" s="210"/>
      <c r="L1294" s="210">
        <v>81</v>
      </c>
      <c r="M1294" s="4">
        <v>8</v>
      </c>
      <c r="N1294" s="4" t="str">
        <f>_xlfn.CONCAT("DBX",((L1294-1)*2)+1,".0")</f>
        <v>DBX161.0</v>
      </c>
      <c r="O1294" s="210" t="s">
        <v>782</v>
      </c>
      <c r="P1294" s="210"/>
      <c r="Q1294" s="210"/>
      <c r="R1294" s="210"/>
      <c r="S1294" s="210"/>
      <c r="T1294" s="210"/>
      <c r="U1294" s="210"/>
      <c r="V1294" s="210"/>
      <c r="W1294" s="210"/>
      <c r="X1294" s="210"/>
      <c r="Y1294" s="210"/>
      <c r="Z1294" s="210"/>
      <c r="AA1294" s="210"/>
      <c r="AB1294" s="210"/>
      <c r="AC1294" s="210"/>
      <c r="AD1294" s="210"/>
      <c r="AE1294" s="210"/>
    </row>
    <row r="1295" spans="1:31" x14ac:dyDescent="0.2">
      <c r="A1295" s="209"/>
      <c r="B1295" s="4" t="s">
        <v>34</v>
      </c>
      <c r="C1295" s="4">
        <v>1290</v>
      </c>
      <c r="D1295" s="210"/>
      <c r="E1295" s="210"/>
      <c r="F1295" s="210"/>
      <c r="G1295" s="210"/>
      <c r="H1295" s="210"/>
      <c r="I1295" s="210"/>
      <c r="J1295" s="4">
        <v>40490</v>
      </c>
      <c r="K1295" s="210"/>
      <c r="L1295" s="210">
        <v>81</v>
      </c>
      <c r="M1295" s="4">
        <v>9</v>
      </c>
      <c r="N1295" s="4" t="str">
        <f>_xlfn.CONCAT("DBX",((L1295-1)*2)+1,".1")</f>
        <v>DBX161.1</v>
      </c>
      <c r="O1295" s="210" t="s">
        <v>782</v>
      </c>
      <c r="P1295" s="210"/>
      <c r="Q1295" s="210"/>
      <c r="R1295" s="210"/>
      <c r="S1295" s="210"/>
      <c r="T1295" s="210"/>
      <c r="U1295" s="210"/>
      <c r="V1295" s="210"/>
      <c r="W1295" s="210"/>
      <c r="X1295" s="210"/>
      <c r="Y1295" s="210"/>
      <c r="Z1295" s="210"/>
      <c r="AA1295" s="210"/>
      <c r="AB1295" s="210"/>
      <c r="AC1295" s="210"/>
      <c r="AD1295" s="210"/>
      <c r="AE1295" s="210"/>
    </row>
    <row r="1296" spans="1:31" x14ac:dyDescent="0.2">
      <c r="A1296" s="209"/>
      <c r="B1296" s="4" t="s">
        <v>34</v>
      </c>
      <c r="C1296" s="4">
        <v>1291</v>
      </c>
      <c r="D1296" s="210"/>
      <c r="E1296" s="210"/>
      <c r="F1296" s="210"/>
      <c r="G1296" s="210"/>
      <c r="H1296" s="210"/>
      <c r="I1296" s="210"/>
      <c r="J1296" s="4">
        <v>40491</v>
      </c>
      <c r="K1296" s="210"/>
      <c r="L1296" s="210">
        <v>81</v>
      </c>
      <c r="M1296" s="4">
        <v>10</v>
      </c>
      <c r="N1296" s="4" t="str">
        <f>_xlfn.CONCAT("DBX",((L1296-1)*2)+1,".2")</f>
        <v>DBX161.2</v>
      </c>
      <c r="O1296" s="210" t="s">
        <v>782</v>
      </c>
      <c r="P1296" s="210"/>
      <c r="Q1296" s="210"/>
      <c r="R1296" s="210"/>
      <c r="S1296" s="210"/>
      <c r="T1296" s="210"/>
      <c r="U1296" s="210"/>
      <c r="V1296" s="210"/>
      <c r="W1296" s="210"/>
      <c r="X1296" s="210"/>
      <c r="Y1296" s="210"/>
      <c r="Z1296" s="210"/>
      <c r="AA1296" s="210"/>
      <c r="AB1296" s="210"/>
      <c r="AC1296" s="210"/>
      <c r="AD1296" s="210"/>
      <c r="AE1296" s="210"/>
    </row>
    <row r="1297" spans="1:31" x14ac:dyDescent="0.2">
      <c r="A1297" s="209"/>
      <c r="B1297" s="4" t="s">
        <v>34</v>
      </c>
      <c r="C1297" s="4">
        <v>1292</v>
      </c>
      <c r="D1297" s="210"/>
      <c r="E1297" s="210"/>
      <c r="F1297" s="210"/>
      <c r="G1297" s="210"/>
      <c r="H1297" s="210"/>
      <c r="I1297" s="210"/>
      <c r="J1297" s="4">
        <v>40492</v>
      </c>
      <c r="K1297" s="210"/>
      <c r="L1297" s="210">
        <v>81</v>
      </c>
      <c r="M1297" s="4">
        <v>11</v>
      </c>
      <c r="N1297" s="4" t="str">
        <f>_xlfn.CONCAT("DBX",((L1297-1)*2)+1,".3")</f>
        <v>DBX161.3</v>
      </c>
      <c r="O1297" s="210" t="s">
        <v>782</v>
      </c>
      <c r="P1297" s="210"/>
      <c r="Q1297" s="210"/>
      <c r="R1297" s="210"/>
      <c r="S1297" s="210"/>
      <c r="T1297" s="210"/>
      <c r="U1297" s="210"/>
      <c r="V1297" s="210"/>
      <c r="W1297" s="210"/>
      <c r="X1297" s="210"/>
      <c r="Y1297" s="210"/>
      <c r="Z1297" s="210"/>
      <c r="AA1297" s="210"/>
      <c r="AB1297" s="210"/>
      <c r="AC1297" s="210"/>
      <c r="AD1297" s="210"/>
      <c r="AE1297" s="210"/>
    </row>
    <row r="1298" spans="1:31" x14ac:dyDescent="0.2">
      <c r="A1298" s="209"/>
      <c r="B1298" s="4" t="s">
        <v>34</v>
      </c>
      <c r="C1298" s="4">
        <v>1293</v>
      </c>
      <c r="D1298" s="210"/>
      <c r="E1298" s="210"/>
      <c r="F1298" s="210"/>
      <c r="G1298" s="210"/>
      <c r="H1298" s="210"/>
      <c r="I1298" s="210"/>
      <c r="J1298" s="4">
        <v>40493</v>
      </c>
      <c r="K1298" s="210"/>
      <c r="L1298" s="210">
        <v>81</v>
      </c>
      <c r="M1298" s="4">
        <v>12</v>
      </c>
      <c r="N1298" s="4" t="str">
        <f>_xlfn.CONCAT("DBX",((L1298-1)*2)+1,".4")</f>
        <v>DBX161.4</v>
      </c>
      <c r="O1298" s="210" t="s">
        <v>782</v>
      </c>
      <c r="P1298" s="210"/>
      <c r="Q1298" s="210"/>
      <c r="R1298" s="210"/>
      <c r="S1298" s="210"/>
      <c r="T1298" s="210"/>
      <c r="U1298" s="210"/>
      <c r="V1298" s="210"/>
      <c r="W1298" s="210"/>
      <c r="X1298" s="210"/>
      <c r="Y1298" s="210"/>
      <c r="Z1298" s="210"/>
      <c r="AA1298" s="210"/>
      <c r="AB1298" s="210"/>
      <c r="AC1298" s="210"/>
      <c r="AD1298" s="210"/>
      <c r="AE1298" s="210"/>
    </row>
    <row r="1299" spans="1:31" x14ac:dyDescent="0.2">
      <c r="A1299" s="209"/>
      <c r="B1299" s="4" t="s">
        <v>34</v>
      </c>
      <c r="C1299" s="4">
        <v>1294</v>
      </c>
      <c r="D1299" s="210"/>
      <c r="E1299" s="210"/>
      <c r="F1299" s="210"/>
      <c r="G1299" s="210"/>
      <c r="H1299" s="210"/>
      <c r="I1299" s="210"/>
      <c r="J1299" s="4">
        <v>40494</v>
      </c>
      <c r="K1299" s="210"/>
      <c r="L1299" s="210">
        <v>81</v>
      </c>
      <c r="M1299" s="4">
        <v>13</v>
      </c>
      <c r="N1299" s="4" t="str">
        <f>_xlfn.CONCAT("DBX",((L1299-1)*2)+1,".5")</f>
        <v>DBX161.5</v>
      </c>
      <c r="O1299" s="210" t="s">
        <v>782</v>
      </c>
      <c r="P1299" s="210"/>
      <c r="Q1299" s="210"/>
      <c r="R1299" s="210"/>
      <c r="S1299" s="210"/>
      <c r="T1299" s="210"/>
      <c r="U1299" s="210"/>
      <c r="V1299" s="210"/>
      <c r="W1299" s="210"/>
      <c r="X1299" s="210"/>
      <c r="Y1299" s="210"/>
      <c r="Z1299" s="210"/>
      <c r="AA1299" s="210"/>
      <c r="AB1299" s="210"/>
      <c r="AC1299" s="210"/>
      <c r="AD1299" s="210"/>
      <c r="AE1299" s="210"/>
    </row>
    <row r="1300" spans="1:31" x14ac:dyDescent="0.2">
      <c r="A1300" s="209"/>
      <c r="B1300" s="4" t="s">
        <v>34</v>
      </c>
      <c r="C1300" s="4">
        <v>1295</v>
      </c>
      <c r="D1300" s="210"/>
      <c r="E1300" s="210"/>
      <c r="F1300" s="210"/>
      <c r="G1300" s="210"/>
      <c r="H1300" s="210"/>
      <c r="I1300" s="210"/>
      <c r="J1300" s="4">
        <v>40495</v>
      </c>
      <c r="K1300" s="210"/>
      <c r="L1300" s="210">
        <v>81</v>
      </c>
      <c r="M1300" s="4">
        <v>14</v>
      </c>
      <c r="N1300" s="4" t="str">
        <f>_xlfn.CONCAT("DBX",((L1300-1)*2)+1,".6")</f>
        <v>DBX161.6</v>
      </c>
      <c r="O1300" s="210" t="s">
        <v>782</v>
      </c>
      <c r="P1300" s="210"/>
      <c r="Q1300" s="210"/>
      <c r="R1300" s="210"/>
      <c r="S1300" s="210"/>
      <c r="T1300" s="210"/>
      <c r="U1300" s="210"/>
      <c r="V1300" s="210"/>
      <c r="W1300" s="210"/>
      <c r="X1300" s="210"/>
      <c r="Y1300" s="210"/>
      <c r="Z1300" s="210"/>
      <c r="AA1300" s="210"/>
      <c r="AB1300" s="210"/>
      <c r="AC1300" s="210"/>
      <c r="AD1300" s="210"/>
      <c r="AE1300" s="210"/>
    </row>
    <row r="1301" spans="1:31" x14ac:dyDescent="0.2">
      <c r="A1301" s="209"/>
      <c r="B1301" s="4" t="s">
        <v>34</v>
      </c>
      <c r="C1301" s="4">
        <v>1296</v>
      </c>
      <c r="D1301" s="210"/>
      <c r="E1301" s="210"/>
      <c r="F1301" s="210"/>
      <c r="G1301" s="210"/>
      <c r="H1301" s="210"/>
      <c r="I1301" s="210"/>
      <c r="J1301" s="4">
        <v>40496</v>
      </c>
      <c r="K1301" s="210"/>
      <c r="L1301" s="210">
        <v>81</v>
      </c>
      <c r="M1301" s="4">
        <v>15</v>
      </c>
      <c r="N1301" s="4" t="str">
        <f>_xlfn.CONCAT("DBX",((L1301-1)*2)+1,".7")</f>
        <v>DBX161.7</v>
      </c>
      <c r="O1301" s="210" t="s">
        <v>782</v>
      </c>
      <c r="P1301" s="210"/>
      <c r="Q1301" s="210"/>
      <c r="R1301" s="210"/>
      <c r="S1301" s="210"/>
      <c r="T1301" s="210"/>
      <c r="U1301" s="210"/>
      <c r="V1301" s="210"/>
      <c r="W1301" s="210"/>
      <c r="X1301" s="210"/>
      <c r="Y1301" s="210"/>
      <c r="Z1301" s="210"/>
      <c r="AA1301" s="210"/>
      <c r="AB1301" s="210"/>
      <c r="AC1301" s="210"/>
      <c r="AD1301" s="210"/>
      <c r="AE1301" s="210"/>
    </row>
    <row r="1302" spans="1:31" x14ac:dyDescent="0.2">
      <c r="A1302" s="209"/>
      <c r="B1302" s="4" t="s">
        <v>34</v>
      </c>
      <c r="C1302" s="4">
        <v>1297</v>
      </c>
      <c r="D1302" s="210"/>
      <c r="E1302" s="210"/>
      <c r="F1302" s="210"/>
      <c r="G1302" s="210"/>
      <c r="H1302" s="210"/>
      <c r="I1302" s="210"/>
      <c r="J1302" s="4">
        <v>40497</v>
      </c>
      <c r="K1302" s="210"/>
      <c r="L1302" s="210">
        <v>82</v>
      </c>
      <c r="M1302" s="4">
        <f t="shared" ref="M1302:M1365" si="26">M1286</f>
        <v>0</v>
      </c>
      <c r="N1302" s="4" t="str">
        <f>_xlfn.CONCAT("DBX",((L1302-1)*2),".0")</f>
        <v>DBX162.0</v>
      </c>
      <c r="O1302" s="210" t="s">
        <v>782</v>
      </c>
      <c r="P1302" s="210"/>
      <c r="Q1302" s="210"/>
      <c r="R1302" s="210"/>
      <c r="S1302" s="210"/>
      <c r="T1302" s="210"/>
      <c r="U1302" s="210"/>
      <c r="V1302" s="210"/>
      <c r="W1302" s="210"/>
      <c r="X1302" s="210"/>
      <c r="Y1302" s="210"/>
      <c r="Z1302" s="210"/>
      <c r="AA1302" s="210"/>
      <c r="AB1302" s="210"/>
      <c r="AC1302" s="210"/>
      <c r="AD1302" s="210"/>
      <c r="AE1302" s="210"/>
    </row>
    <row r="1303" spans="1:31" x14ac:dyDescent="0.2">
      <c r="A1303" s="209"/>
      <c r="B1303" s="4" t="s">
        <v>34</v>
      </c>
      <c r="C1303" s="4">
        <v>1298</v>
      </c>
      <c r="D1303" s="210"/>
      <c r="E1303" s="210"/>
      <c r="F1303" s="210"/>
      <c r="G1303" s="210"/>
      <c r="H1303" s="210"/>
      <c r="I1303" s="210"/>
      <c r="J1303" s="4">
        <v>40498</v>
      </c>
      <c r="K1303" s="210"/>
      <c r="L1303" s="210">
        <v>82</v>
      </c>
      <c r="M1303" s="4">
        <f t="shared" si="26"/>
        <v>1</v>
      </c>
      <c r="N1303" s="4" t="str">
        <f>_xlfn.CONCAT("DBX",((L1303-1)*2),".1")</f>
        <v>DBX162.1</v>
      </c>
      <c r="O1303" s="210" t="s">
        <v>782</v>
      </c>
      <c r="P1303" s="210"/>
      <c r="Q1303" s="210"/>
      <c r="R1303" s="210"/>
      <c r="S1303" s="210"/>
      <c r="T1303" s="210"/>
      <c r="U1303" s="210"/>
      <c r="V1303" s="210"/>
      <c r="W1303" s="210"/>
      <c r="X1303" s="210"/>
      <c r="Y1303" s="210"/>
      <c r="Z1303" s="210"/>
      <c r="AA1303" s="210"/>
      <c r="AB1303" s="210"/>
      <c r="AC1303" s="210"/>
      <c r="AD1303" s="210"/>
      <c r="AE1303" s="210"/>
    </row>
    <row r="1304" spans="1:31" x14ac:dyDescent="0.2">
      <c r="A1304" s="209"/>
      <c r="B1304" s="4" t="s">
        <v>34</v>
      </c>
      <c r="C1304" s="4">
        <v>1299</v>
      </c>
      <c r="D1304" s="210"/>
      <c r="E1304" s="210"/>
      <c r="F1304" s="210"/>
      <c r="G1304" s="210"/>
      <c r="H1304" s="210"/>
      <c r="I1304" s="210"/>
      <c r="J1304" s="4">
        <v>40499</v>
      </c>
      <c r="K1304" s="210"/>
      <c r="L1304" s="210">
        <v>82</v>
      </c>
      <c r="M1304" s="4">
        <f t="shared" si="26"/>
        <v>2</v>
      </c>
      <c r="N1304" s="4" t="str">
        <f>_xlfn.CONCAT("DBX",((L1304-1)*2),".2")</f>
        <v>DBX162.2</v>
      </c>
      <c r="O1304" s="210" t="s">
        <v>782</v>
      </c>
      <c r="P1304" s="210"/>
      <c r="Q1304" s="210"/>
      <c r="R1304" s="210"/>
      <c r="S1304" s="210"/>
      <c r="T1304" s="210"/>
      <c r="U1304" s="210"/>
      <c r="V1304" s="210"/>
      <c r="W1304" s="210"/>
      <c r="X1304" s="210"/>
      <c r="Y1304" s="210"/>
      <c r="Z1304" s="210"/>
      <c r="AA1304" s="210"/>
      <c r="AB1304" s="210"/>
      <c r="AC1304" s="210"/>
      <c r="AD1304" s="210"/>
      <c r="AE1304" s="210"/>
    </row>
    <row r="1305" spans="1:31" x14ac:dyDescent="0.2">
      <c r="A1305" s="209"/>
      <c r="B1305" s="4" t="s">
        <v>34</v>
      </c>
      <c r="C1305" s="4">
        <v>1300</v>
      </c>
      <c r="D1305" s="210"/>
      <c r="E1305" s="210"/>
      <c r="F1305" s="210"/>
      <c r="G1305" s="210"/>
      <c r="H1305" s="210"/>
      <c r="I1305" s="210"/>
      <c r="J1305" s="4">
        <v>40500</v>
      </c>
      <c r="K1305" s="210"/>
      <c r="L1305" s="210">
        <v>82</v>
      </c>
      <c r="M1305" s="4">
        <f t="shared" si="26"/>
        <v>3</v>
      </c>
      <c r="N1305" s="4" t="str">
        <f>_xlfn.CONCAT("DBX",((L1305-1)*2),".3")</f>
        <v>DBX162.3</v>
      </c>
      <c r="O1305" s="210" t="s">
        <v>782</v>
      </c>
      <c r="P1305" s="210"/>
      <c r="Q1305" s="210"/>
      <c r="R1305" s="210"/>
      <c r="S1305" s="210"/>
      <c r="T1305" s="210"/>
      <c r="U1305" s="210"/>
      <c r="V1305" s="210"/>
      <c r="W1305" s="210"/>
      <c r="X1305" s="210"/>
      <c r="Y1305" s="210"/>
      <c r="Z1305" s="210"/>
      <c r="AA1305" s="210"/>
      <c r="AB1305" s="210"/>
      <c r="AC1305" s="210"/>
      <c r="AD1305" s="210"/>
      <c r="AE1305" s="210"/>
    </row>
    <row r="1306" spans="1:31" x14ac:dyDescent="0.2">
      <c r="A1306" s="209"/>
      <c r="B1306" s="4" t="s">
        <v>34</v>
      </c>
      <c r="C1306" s="4">
        <v>1301</v>
      </c>
      <c r="D1306" s="210"/>
      <c r="E1306" s="210"/>
      <c r="F1306" s="210"/>
      <c r="G1306" s="210"/>
      <c r="H1306" s="210"/>
      <c r="I1306" s="210"/>
      <c r="J1306" s="4">
        <v>40501</v>
      </c>
      <c r="K1306" s="210"/>
      <c r="L1306" s="210">
        <v>82</v>
      </c>
      <c r="M1306" s="4">
        <f t="shared" si="26"/>
        <v>4</v>
      </c>
      <c r="N1306" s="4" t="str">
        <f>_xlfn.CONCAT("DBX",((L1306-1)*2),".4")</f>
        <v>DBX162.4</v>
      </c>
      <c r="O1306" s="210" t="s">
        <v>782</v>
      </c>
      <c r="P1306" s="210"/>
      <c r="Q1306" s="210"/>
      <c r="R1306" s="210"/>
      <c r="S1306" s="210"/>
      <c r="T1306" s="210"/>
      <c r="U1306" s="210"/>
      <c r="V1306" s="210"/>
      <c r="W1306" s="210"/>
      <c r="X1306" s="210"/>
      <c r="Y1306" s="210"/>
      <c r="Z1306" s="210"/>
      <c r="AA1306" s="210"/>
      <c r="AB1306" s="210"/>
      <c r="AC1306" s="210"/>
      <c r="AD1306" s="210"/>
      <c r="AE1306" s="210"/>
    </row>
    <row r="1307" spans="1:31" x14ac:dyDescent="0.2">
      <c r="A1307" s="209"/>
      <c r="B1307" s="4" t="s">
        <v>34</v>
      </c>
      <c r="C1307" s="4">
        <v>1302</v>
      </c>
      <c r="D1307" s="210"/>
      <c r="E1307" s="210"/>
      <c r="F1307" s="210"/>
      <c r="G1307" s="210"/>
      <c r="H1307" s="210"/>
      <c r="I1307" s="210"/>
      <c r="J1307" s="4">
        <v>40502</v>
      </c>
      <c r="K1307" s="210"/>
      <c r="L1307" s="210">
        <v>82</v>
      </c>
      <c r="M1307" s="4">
        <f t="shared" si="26"/>
        <v>5</v>
      </c>
      <c r="N1307" s="4" t="str">
        <f>_xlfn.CONCAT("DBX",((L1307-1)*2),".5")</f>
        <v>DBX162.5</v>
      </c>
      <c r="O1307" s="210" t="s">
        <v>782</v>
      </c>
      <c r="P1307" s="210"/>
      <c r="Q1307" s="210"/>
      <c r="R1307" s="210"/>
      <c r="S1307" s="210"/>
      <c r="T1307" s="210"/>
      <c r="U1307" s="210"/>
      <c r="V1307" s="210"/>
      <c r="W1307" s="210"/>
      <c r="X1307" s="210"/>
      <c r="Y1307" s="210"/>
      <c r="Z1307" s="210"/>
      <c r="AA1307" s="210"/>
      <c r="AB1307" s="210"/>
      <c r="AC1307" s="210"/>
      <c r="AD1307" s="210"/>
      <c r="AE1307" s="210"/>
    </row>
    <row r="1308" spans="1:31" x14ac:dyDescent="0.2">
      <c r="A1308" s="209"/>
      <c r="B1308" s="4" t="s">
        <v>34</v>
      </c>
      <c r="C1308" s="4">
        <v>1303</v>
      </c>
      <c r="D1308" s="210"/>
      <c r="E1308" s="210"/>
      <c r="F1308" s="210"/>
      <c r="G1308" s="210"/>
      <c r="H1308" s="210"/>
      <c r="I1308" s="210"/>
      <c r="J1308" s="4">
        <v>40503</v>
      </c>
      <c r="K1308" s="210"/>
      <c r="L1308" s="210">
        <v>82</v>
      </c>
      <c r="M1308" s="4">
        <f t="shared" si="26"/>
        <v>6</v>
      </c>
      <c r="N1308" s="4" t="str">
        <f>_xlfn.CONCAT("DBX",((L1308-1)*2),".6")</f>
        <v>DBX162.6</v>
      </c>
      <c r="O1308" s="210" t="s">
        <v>782</v>
      </c>
      <c r="P1308" s="210"/>
      <c r="Q1308" s="210"/>
      <c r="R1308" s="210"/>
      <c r="S1308" s="210"/>
      <c r="T1308" s="210"/>
      <c r="U1308" s="210"/>
      <c r="V1308" s="210"/>
      <c r="W1308" s="210"/>
      <c r="X1308" s="210"/>
      <c r="Y1308" s="210"/>
      <c r="Z1308" s="210"/>
      <c r="AA1308" s="210"/>
      <c r="AB1308" s="210"/>
      <c r="AC1308" s="210"/>
      <c r="AD1308" s="210"/>
      <c r="AE1308" s="210"/>
    </row>
    <row r="1309" spans="1:31" x14ac:dyDescent="0.2">
      <c r="A1309" s="209"/>
      <c r="B1309" s="4" t="s">
        <v>34</v>
      </c>
      <c r="C1309" s="4">
        <v>1304</v>
      </c>
      <c r="D1309" s="210"/>
      <c r="E1309" s="210"/>
      <c r="F1309" s="210"/>
      <c r="G1309" s="210"/>
      <c r="H1309" s="210"/>
      <c r="I1309" s="210"/>
      <c r="J1309" s="4">
        <v>40504</v>
      </c>
      <c r="K1309" s="210"/>
      <c r="L1309" s="210">
        <v>82</v>
      </c>
      <c r="M1309" s="4">
        <f t="shared" si="26"/>
        <v>7</v>
      </c>
      <c r="N1309" s="4" t="str">
        <f>_xlfn.CONCAT("DBX",((L1309-1)*2),".7")</f>
        <v>DBX162.7</v>
      </c>
      <c r="O1309" s="210" t="s">
        <v>782</v>
      </c>
      <c r="P1309" s="210"/>
      <c r="Q1309" s="210"/>
      <c r="R1309" s="210"/>
      <c r="S1309" s="210"/>
      <c r="T1309" s="210"/>
      <c r="U1309" s="210"/>
      <c r="V1309" s="210"/>
      <c r="W1309" s="210"/>
      <c r="X1309" s="210"/>
      <c r="Y1309" s="210"/>
      <c r="Z1309" s="210"/>
      <c r="AA1309" s="210"/>
      <c r="AB1309" s="210"/>
      <c r="AC1309" s="210"/>
      <c r="AD1309" s="210"/>
      <c r="AE1309" s="210"/>
    </row>
    <row r="1310" spans="1:31" x14ac:dyDescent="0.2">
      <c r="A1310" s="209"/>
      <c r="B1310" s="4" t="s">
        <v>34</v>
      </c>
      <c r="C1310" s="4">
        <v>1305</v>
      </c>
      <c r="D1310" s="210"/>
      <c r="E1310" s="210"/>
      <c r="F1310" s="210"/>
      <c r="G1310" s="210"/>
      <c r="H1310" s="210"/>
      <c r="I1310" s="210"/>
      <c r="J1310" s="4">
        <v>40505</v>
      </c>
      <c r="K1310" s="210"/>
      <c r="L1310" s="210">
        <v>82</v>
      </c>
      <c r="M1310" s="4">
        <f t="shared" si="26"/>
        <v>8</v>
      </c>
      <c r="N1310" s="4" t="str">
        <f>_xlfn.CONCAT("DBX",((L1310-1)*2)+1,".0")</f>
        <v>DBX163.0</v>
      </c>
      <c r="O1310" s="210" t="s">
        <v>782</v>
      </c>
      <c r="P1310" s="210"/>
      <c r="Q1310" s="210"/>
      <c r="R1310" s="210"/>
      <c r="S1310" s="210"/>
      <c r="T1310" s="210"/>
      <c r="U1310" s="210"/>
      <c r="V1310" s="210"/>
      <c r="W1310" s="210"/>
      <c r="X1310" s="210"/>
      <c r="Y1310" s="210"/>
      <c r="Z1310" s="210"/>
      <c r="AA1310" s="210"/>
      <c r="AB1310" s="210"/>
      <c r="AC1310" s="210"/>
      <c r="AD1310" s="210"/>
      <c r="AE1310" s="210"/>
    </row>
    <row r="1311" spans="1:31" x14ac:dyDescent="0.2">
      <c r="A1311" s="209"/>
      <c r="B1311" s="4" t="s">
        <v>34</v>
      </c>
      <c r="C1311" s="4">
        <v>1306</v>
      </c>
      <c r="D1311" s="210"/>
      <c r="E1311" s="210"/>
      <c r="F1311" s="210"/>
      <c r="G1311" s="210"/>
      <c r="H1311" s="210"/>
      <c r="I1311" s="210"/>
      <c r="J1311" s="4">
        <v>40506</v>
      </c>
      <c r="K1311" s="210"/>
      <c r="L1311" s="210">
        <v>82</v>
      </c>
      <c r="M1311" s="4">
        <f t="shared" si="26"/>
        <v>9</v>
      </c>
      <c r="N1311" s="4" t="str">
        <f>_xlfn.CONCAT("DBX",((L1311-1)*2)+1,".1")</f>
        <v>DBX163.1</v>
      </c>
      <c r="O1311" s="210" t="s">
        <v>782</v>
      </c>
      <c r="P1311" s="210"/>
      <c r="Q1311" s="210"/>
      <c r="R1311" s="210"/>
      <c r="S1311" s="210"/>
      <c r="T1311" s="210"/>
      <c r="U1311" s="210"/>
      <c r="V1311" s="210"/>
      <c r="W1311" s="210"/>
      <c r="X1311" s="210"/>
      <c r="Y1311" s="210"/>
      <c r="Z1311" s="210"/>
      <c r="AA1311" s="210"/>
      <c r="AB1311" s="210"/>
      <c r="AC1311" s="210"/>
      <c r="AD1311" s="210"/>
      <c r="AE1311" s="210"/>
    </row>
    <row r="1312" spans="1:31" x14ac:dyDescent="0.2">
      <c r="A1312" s="209"/>
      <c r="B1312" s="4" t="s">
        <v>34</v>
      </c>
      <c r="C1312" s="4">
        <v>1307</v>
      </c>
      <c r="D1312" s="210"/>
      <c r="E1312" s="210"/>
      <c r="F1312" s="210"/>
      <c r="G1312" s="210"/>
      <c r="H1312" s="210"/>
      <c r="I1312" s="210"/>
      <c r="J1312" s="4">
        <v>40507</v>
      </c>
      <c r="K1312" s="210"/>
      <c r="L1312" s="210">
        <v>82</v>
      </c>
      <c r="M1312" s="4">
        <f t="shared" si="26"/>
        <v>10</v>
      </c>
      <c r="N1312" s="4" t="str">
        <f>_xlfn.CONCAT("DBX",((L1312-1)*2)+1,".2")</f>
        <v>DBX163.2</v>
      </c>
      <c r="O1312" s="210" t="s">
        <v>782</v>
      </c>
      <c r="P1312" s="210"/>
      <c r="Q1312" s="210"/>
      <c r="R1312" s="210"/>
      <c r="S1312" s="210"/>
      <c r="T1312" s="210"/>
      <c r="U1312" s="210"/>
      <c r="V1312" s="210"/>
      <c r="W1312" s="210"/>
      <c r="X1312" s="210"/>
      <c r="Y1312" s="210"/>
      <c r="Z1312" s="210"/>
      <c r="AA1312" s="210"/>
      <c r="AB1312" s="210"/>
      <c r="AC1312" s="210"/>
      <c r="AD1312" s="210"/>
      <c r="AE1312" s="210"/>
    </row>
    <row r="1313" spans="1:31" x14ac:dyDescent="0.2">
      <c r="A1313" s="209"/>
      <c r="B1313" s="4" t="s">
        <v>34</v>
      </c>
      <c r="C1313" s="4">
        <v>1308</v>
      </c>
      <c r="D1313" s="210"/>
      <c r="E1313" s="210"/>
      <c r="F1313" s="210"/>
      <c r="G1313" s="210"/>
      <c r="H1313" s="210"/>
      <c r="I1313" s="210"/>
      <c r="J1313" s="4">
        <v>40508</v>
      </c>
      <c r="K1313" s="210"/>
      <c r="L1313" s="210">
        <v>82</v>
      </c>
      <c r="M1313" s="4">
        <f t="shared" si="26"/>
        <v>11</v>
      </c>
      <c r="N1313" s="4" t="str">
        <f>_xlfn.CONCAT("DBX",((L1313-1)*2)+1,".3")</f>
        <v>DBX163.3</v>
      </c>
      <c r="O1313" s="210" t="s">
        <v>782</v>
      </c>
      <c r="P1313" s="210"/>
      <c r="Q1313" s="210"/>
      <c r="R1313" s="210"/>
      <c r="S1313" s="210"/>
      <c r="T1313" s="210"/>
      <c r="U1313" s="210"/>
      <c r="V1313" s="210"/>
      <c r="W1313" s="210"/>
      <c r="X1313" s="210"/>
      <c r="Y1313" s="210"/>
      <c r="Z1313" s="210"/>
      <c r="AA1313" s="210"/>
      <c r="AB1313" s="210"/>
      <c r="AC1313" s="210"/>
      <c r="AD1313" s="210"/>
      <c r="AE1313" s="210"/>
    </row>
    <row r="1314" spans="1:31" x14ac:dyDescent="0.2">
      <c r="A1314" s="209"/>
      <c r="B1314" s="4" t="s">
        <v>34</v>
      </c>
      <c r="C1314" s="4">
        <v>1309</v>
      </c>
      <c r="D1314" s="210"/>
      <c r="E1314" s="210"/>
      <c r="F1314" s="210"/>
      <c r="G1314" s="210"/>
      <c r="H1314" s="210"/>
      <c r="I1314" s="210"/>
      <c r="J1314" s="4">
        <v>40509</v>
      </c>
      <c r="K1314" s="210"/>
      <c r="L1314" s="210">
        <v>82</v>
      </c>
      <c r="M1314" s="4">
        <f t="shared" si="26"/>
        <v>12</v>
      </c>
      <c r="N1314" s="4" t="str">
        <f>_xlfn.CONCAT("DBX",((L1314-1)*2)+1,".4")</f>
        <v>DBX163.4</v>
      </c>
      <c r="O1314" s="210" t="s">
        <v>782</v>
      </c>
      <c r="P1314" s="210"/>
      <c r="Q1314" s="210"/>
      <c r="R1314" s="210"/>
      <c r="S1314" s="210"/>
      <c r="T1314" s="210"/>
      <c r="U1314" s="210"/>
      <c r="V1314" s="210"/>
      <c r="W1314" s="210"/>
      <c r="X1314" s="210"/>
      <c r="Y1314" s="210"/>
      <c r="Z1314" s="210"/>
      <c r="AA1314" s="210"/>
      <c r="AB1314" s="210"/>
      <c r="AC1314" s="210"/>
      <c r="AD1314" s="210"/>
      <c r="AE1314" s="210"/>
    </row>
    <row r="1315" spans="1:31" x14ac:dyDescent="0.2">
      <c r="A1315" s="209"/>
      <c r="B1315" s="4" t="s">
        <v>34</v>
      </c>
      <c r="C1315" s="4">
        <v>1310</v>
      </c>
      <c r="D1315" s="210"/>
      <c r="E1315" s="210"/>
      <c r="F1315" s="210"/>
      <c r="G1315" s="210"/>
      <c r="H1315" s="210"/>
      <c r="I1315" s="210"/>
      <c r="J1315" s="4">
        <v>40510</v>
      </c>
      <c r="K1315" s="210"/>
      <c r="L1315" s="210">
        <v>82</v>
      </c>
      <c r="M1315" s="4">
        <f t="shared" si="26"/>
        <v>13</v>
      </c>
      <c r="N1315" s="4" t="str">
        <f>_xlfn.CONCAT("DBX",((L1315-1)*2)+1,".5")</f>
        <v>DBX163.5</v>
      </c>
      <c r="O1315" s="210" t="s">
        <v>782</v>
      </c>
      <c r="P1315" s="210"/>
      <c r="Q1315" s="210"/>
      <c r="R1315" s="210"/>
      <c r="S1315" s="210"/>
      <c r="T1315" s="210"/>
      <c r="U1315" s="210"/>
      <c r="V1315" s="210"/>
      <c r="W1315" s="210"/>
      <c r="X1315" s="210"/>
      <c r="Y1315" s="210"/>
      <c r="Z1315" s="210"/>
      <c r="AA1315" s="210"/>
      <c r="AB1315" s="210"/>
      <c r="AC1315" s="210"/>
      <c r="AD1315" s="210"/>
      <c r="AE1315" s="210"/>
    </row>
    <row r="1316" spans="1:31" x14ac:dyDescent="0.2">
      <c r="A1316" s="209"/>
      <c r="B1316" s="4" t="s">
        <v>34</v>
      </c>
      <c r="C1316" s="4">
        <v>1311</v>
      </c>
      <c r="D1316" s="210"/>
      <c r="E1316" s="210"/>
      <c r="F1316" s="210"/>
      <c r="G1316" s="210"/>
      <c r="H1316" s="210"/>
      <c r="I1316" s="210"/>
      <c r="J1316" s="4">
        <v>40511</v>
      </c>
      <c r="K1316" s="210"/>
      <c r="L1316" s="210">
        <v>82</v>
      </c>
      <c r="M1316" s="4">
        <f t="shared" si="26"/>
        <v>14</v>
      </c>
      <c r="N1316" s="4" t="str">
        <f>_xlfn.CONCAT("DBX",((L1316-1)*2)+1,".6")</f>
        <v>DBX163.6</v>
      </c>
      <c r="O1316" s="210" t="s">
        <v>782</v>
      </c>
      <c r="P1316" s="210"/>
      <c r="Q1316" s="210"/>
      <c r="R1316" s="210"/>
      <c r="S1316" s="210"/>
      <c r="T1316" s="210"/>
      <c r="U1316" s="210"/>
      <c r="V1316" s="210"/>
      <c r="W1316" s="210"/>
      <c r="X1316" s="210"/>
      <c r="Y1316" s="210"/>
      <c r="Z1316" s="210"/>
      <c r="AA1316" s="210"/>
      <c r="AB1316" s="210"/>
      <c r="AC1316" s="210"/>
      <c r="AD1316" s="210"/>
      <c r="AE1316" s="210"/>
    </row>
    <row r="1317" spans="1:31" x14ac:dyDescent="0.2">
      <c r="A1317" s="209"/>
      <c r="B1317" s="4" t="s">
        <v>34</v>
      </c>
      <c r="C1317" s="4">
        <v>1312</v>
      </c>
      <c r="D1317" s="210"/>
      <c r="E1317" s="210"/>
      <c r="F1317" s="210"/>
      <c r="G1317" s="210"/>
      <c r="H1317" s="210"/>
      <c r="I1317" s="210"/>
      <c r="J1317" s="4">
        <v>40512</v>
      </c>
      <c r="K1317" s="210"/>
      <c r="L1317" s="210">
        <v>82</v>
      </c>
      <c r="M1317" s="4">
        <f t="shared" si="26"/>
        <v>15</v>
      </c>
      <c r="N1317" s="4" t="str">
        <f>_xlfn.CONCAT("DBX",((L1317-1)*2)+1,".7")</f>
        <v>DBX163.7</v>
      </c>
      <c r="O1317" s="210" t="s">
        <v>782</v>
      </c>
      <c r="P1317" s="210"/>
      <c r="Q1317" s="210"/>
      <c r="R1317" s="210"/>
      <c r="S1317" s="210"/>
      <c r="T1317" s="210"/>
      <c r="U1317" s="210"/>
      <c r="V1317" s="210"/>
      <c r="W1317" s="210"/>
      <c r="X1317" s="210"/>
      <c r="Y1317" s="210"/>
      <c r="Z1317" s="210"/>
      <c r="AA1317" s="210"/>
      <c r="AB1317" s="210"/>
      <c r="AC1317" s="210"/>
      <c r="AD1317" s="210"/>
      <c r="AE1317" s="210"/>
    </row>
    <row r="1318" spans="1:31" x14ac:dyDescent="0.2">
      <c r="A1318" s="209"/>
      <c r="B1318" s="4" t="s">
        <v>34</v>
      </c>
      <c r="C1318" s="4">
        <v>1313</v>
      </c>
      <c r="D1318" s="210"/>
      <c r="E1318" s="210"/>
      <c r="F1318" s="210"/>
      <c r="G1318" s="210"/>
      <c r="H1318" s="210"/>
      <c r="I1318" s="210"/>
      <c r="J1318" s="4">
        <v>40513</v>
      </c>
      <c r="K1318" s="210"/>
      <c r="L1318" s="210">
        <v>83</v>
      </c>
      <c r="M1318" s="4">
        <f t="shared" si="26"/>
        <v>0</v>
      </c>
      <c r="N1318" s="4" t="str">
        <f>_xlfn.CONCAT("DBX",((L1318-1)*2),".0")</f>
        <v>DBX164.0</v>
      </c>
      <c r="O1318" s="210" t="s">
        <v>782</v>
      </c>
      <c r="P1318" s="210"/>
      <c r="Q1318" s="210"/>
      <c r="R1318" s="210"/>
      <c r="S1318" s="210"/>
      <c r="T1318" s="210"/>
      <c r="U1318" s="210"/>
      <c r="V1318" s="210"/>
      <c r="W1318" s="210"/>
      <c r="X1318" s="210"/>
      <c r="Y1318" s="210"/>
      <c r="Z1318" s="210"/>
      <c r="AA1318" s="210"/>
      <c r="AB1318" s="210"/>
      <c r="AC1318" s="210"/>
      <c r="AD1318" s="210"/>
      <c r="AE1318" s="210"/>
    </row>
    <row r="1319" spans="1:31" x14ac:dyDescent="0.2">
      <c r="A1319" s="209"/>
      <c r="B1319" s="4" t="s">
        <v>34</v>
      </c>
      <c r="C1319" s="4">
        <v>1314</v>
      </c>
      <c r="D1319" s="210"/>
      <c r="E1319" s="210"/>
      <c r="F1319" s="210"/>
      <c r="G1319" s="210"/>
      <c r="H1319" s="210"/>
      <c r="I1319" s="210"/>
      <c r="J1319" s="4">
        <v>40514</v>
      </c>
      <c r="K1319" s="210"/>
      <c r="L1319" s="210">
        <v>83</v>
      </c>
      <c r="M1319" s="4">
        <f t="shared" si="26"/>
        <v>1</v>
      </c>
      <c r="N1319" s="4" t="str">
        <f>_xlfn.CONCAT("DBX",((L1319-1)*2),".1")</f>
        <v>DBX164.1</v>
      </c>
      <c r="O1319" s="210" t="s">
        <v>782</v>
      </c>
      <c r="P1319" s="210"/>
      <c r="Q1319" s="210"/>
      <c r="R1319" s="210"/>
      <c r="S1319" s="210"/>
      <c r="T1319" s="210"/>
      <c r="U1319" s="210"/>
      <c r="V1319" s="210"/>
      <c r="W1319" s="210"/>
      <c r="X1319" s="210"/>
      <c r="Y1319" s="210"/>
      <c r="Z1319" s="210"/>
      <c r="AA1319" s="210"/>
      <c r="AB1319" s="210"/>
      <c r="AC1319" s="210"/>
      <c r="AD1319" s="210"/>
      <c r="AE1319" s="210"/>
    </row>
    <row r="1320" spans="1:31" x14ac:dyDescent="0.2">
      <c r="A1320" s="209"/>
      <c r="B1320" s="4" t="s">
        <v>34</v>
      </c>
      <c r="C1320" s="4">
        <v>1315</v>
      </c>
      <c r="D1320" s="210"/>
      <c r="E1320" s="210"/>
      <c r="F1320" s="210"/>
      <c r="G1320" s="210"/>
      <c r="H1320" s="210"/>
      <c r="I1320" s="210"/>
      <c r="J1320" s="4">
        <v>40515</v>
      </c>
      <c r="K1320" s="210"/>
      <c r="L1320" s="210">
        <v>83</v>
      </c>
      <c r="M1320" s="4">
        <f t="shared" si="26"/>
        <v>2</v>
      </c>
      <c r="N1320" s="4" t="str">
        <f>_xlfn.CONCAT("DBX",((L1320-1)*2),".2")</f>
        <v>DBX164.2</v>
      </c>
      <c r="O1320" s="210" t="s">
        <v>782</v>
      </c>
      <c r="P1320" s="210"/>
      <c r="Q1320" s="210"/>
      <c r="R1320" s="210"/>
      <c r="S1320" s="210"/>
      <c r="T1320" s="210"/>
      <c r="U1320" s="210"/>
      <c r="V1320" s="210"/>
      <c r="W1320" s="210"/>
      <c r="X1320" s="210"/>
      <c r="Y1320" s="210"/>
      <c r="Z1320" s="210"/>
      <c r="AA1320" s="210"/>
      <c r="AB1320" s="210"/>
      <c r="AC1320" s="210"/>
      <c r="AD1320" s="210"/>
      <c r="AE1320" s="210"/>
    </row>
    <row r="1321" spans="1:31" x14ac:dyDescent="0.2">
      <c r="A1321" s="209"/>
      <c r="B1321" s="4" t="s">
        <v>34</v>
      </c>
      <c r="C1321" s="4">
        <v>1316</v>
      </c>
      <c r="D1321" s="210"/>
      <c r="E1321" s="210"/>
      <c r="F1321" s="210"/>
      <c r="G1321" s="210"/>
      <c r="H1321" s="210"/>
      <c r="I1321" s="210"/>
      <c r="J1321" s="4">
        <v>40516</v>
      </c>
      <c r="K1321" s="210"/>
      <c r="L1321" s="210">
        <v>83</v>
      </c>
      <c r="M1321" s="4">
        <f t="shared" si="26"/>
        <v>3</v>
      </c>
      <c r="N1321" s="4" t="str">
        <f>_xlfn.CONCAT("DBX",((L1321-1)*2),".3")</f>
        <v>DBX164.3</v>
      </c>
      <c r="O1321" s="210" t="s">
        <v>782</v>
      </c>
      <c r="P1321" s="210"/>
      <c r="Q1321" s="210"/>
      <c r="R1321" s="210"/>
      <c r="S1321" s="210"/>
      <c r="T1321" s="210"/>
      <c r="U1321" s="210"/>
      <c r="V1321" s="210"/>
      <c r="W1321" s="210"/>
      <c r="X1321" s="210"/>
      <c r="Y1321" s="210"/>
      <c r="Z1321" s="210"/>
      <c r="AA1321" s="210"/>
      <c r="AB1321" s="210"/>
      <c r="AC1321" s="210"/>
      <c r="AD1321" s="210"/>
      <c r="AE1321" s="210"/>
    </row>
    <row r="1322" spans="1:31" x14ac:dyDescent="0.2">
      <c r="A1322" s="209"/>
      <c r="B1322" s="4" t="s">
        <v>34</v>
      </c>
      <c r="C1322" s="4">
        <v>1317</v>
      </c>
      <c r="D1322" s="210"/>
      <c r="E1322" s="210"/>
      <c r="F1322" s="210"/>
      <c r="G1322" s="210"/>
      <c r="H1322" s="210"/>
      <c r="I1322" s="210"/>
      <c r="J1322" s="4">
        <v>40517</v>
      </c>
      <c r="K1322" s="210"/>
      <c r="L1322" s="210">
        <v>83</v>
      </c>
      <c r="M1322" s="4">
        <f t="shared" si="26"/>
        <v>4</v>
      </c>
      <c r="N1322" s="4" t="str">
        <f>_xlfn.CONCAT("DBX",((L1322-1)*2),".4")</f>
        <v>DBX164.4</v>
      </c>
      <c r="O1322" s="210" t="s">
        <v>782</v>
      </c>
      <c r="P1322" s="210"/>
      <c r="Q1322" s="210"/>
      <c r="R1322" s="210"/>
      <c r="S1322" s="210"/>
      <c r="T1322" s="210"/>
      <c r="U1322" s="210"/>
      <c r="V1322" s="210"/>
      <c r="W1322" s="210"/>
      <c r="X1322" s="210"/>
      <c r="Y1322" s="210"/>
      <c r="Z1322" s="210"/>
      <c r="AA1322" s="210"/>
      <c r="AB1322" s="210"/>
      <c r="AC1322" s="210"/>
      <c r="AD1322" s="210"/>
      <c r="AE1322" s="210"/>
    </row>
    <row r="1323" spans="1:31" x14ac:dyDescent="0.2">
      <c r="A1323" s="209"/>
      <c r="B1323" s="4" t="s">
        <v>34</v>
      </c>
      <c r="C1323" s="4">
        <v>1318</v>
      </c>
      <c r="D1323" s="210"/>
      <c r="E1323" s="210"/>
      <c r="F1323" s="210"/>
      <c r="G1323" s="210"/>
      <c r="H1323" s="210"/>
      <c r="I1323" s="210"/>
      <c r="J1323" s="4">
        <v>40518</v>
      </c>
      <c r="K1323" s="210"/>
      <c r="L1323" s="210">
        <v>83</v>
      </c>
      <c r="M1323" s="4">
        <f t="shared" si="26"/>
        <v>5</v>
      </c>
      <c r="N1323" s="4" t="str">
        <f>_xlfn.CONCAT("DBX",((L1323-1)*2),".5")</f>
        <v>DBX164.5</v>
      </c>
      <c r="O1323" s="210" t="s">
        <v>782</v>
      </c>
      <c r="P1323" s="210"/>
      <c r="Q1323" s="210"/>
      <c r="R1323" s="210"/>
      <c r="S1323" s="210"/>
      <c r="T1323" s="210"/>
      <c r="U1323" s="210"/>
      <c r="V1323" s="210"/>
      <c r="W1323" s="210"/>
      <c r="X1323" s="210"/>
      <c r="Y1323" s="210"/>
      <c r="Z1323" s="210"/>
      <c r="AA1323" s="210"/>
      <c r="AB1323" s="210"/>
      <c r="AC1323" s="210"/>
      <c r="AD1323" s="210"/>
      <c r="AE1323" s="210"/>
    </row>
    <row r="1324" spans="1:31" x14ac:dyDescent="0.2">
      <c r="A1324" s="209"/>
      <c r="B1324" s="4" t="s">
        <v>34</v>
      </c>
      <c r="C1324" s="4">
        <v>1319</v>
      </c>
      <c r="D1324" s="210"/>
      <c r="E1324" s="210"/>
      <c r="F1324" s="210"/>
      <c r="G1324" s="210"/>
      <c r="H1324" s="210"/>
      <c r="I1324" s="210"/>
      <c r="J1324" s="4">
        <v>40519</v>
      </c>
      <c r="K1324" s="210"/>
      <c r="L1324" s="210">
        <v>83</v>
      </c>
      <c r="M1324" s="4">
        <f t="shared" si="26"/>
        <v>6</v>
      </c>
      <c r="N1324" s="4" t="str">
        <f>_xlfn.CONCAT("DBX",((L1324-1)*2),".6")</f>
        <v>DBX164.6</v>
      </c>
      <c r="O1324" s="210" t="s">
        <v>782</v>
      </c>
      <c r="P1324" s="210"/>
      <c r="Q1324" s="210"/>
      <c r="R1324" s="210"/>
      <c r="S1324" s="210"/>
      <c r="T1324" s="210"/>
      <c r="U1324" s="210"/>
      <c r="V1324" s="210"/>
      <c r="W1324" s="210"/>
      <c r="X1324" s="210"/>
      <c r="Y1324" s="210"/>
      <c r="Z1324" s="210"/>
      <c r="AA1324" s="210"/>
      <c r="AB1324" s="210"/>
      <c r="AC1324" s="210"/>
      <c r="AD1324" s="210"/>
      <c r="AE1324" s="210"/>
    </row>
    <row r="1325" spans="1:31" x14ac:dyDescent="0.2">
      <c r="A1325" s="209"/>
      <c r="B1325" s="4" t="s">
        <v>34</v>
      </c>
      <c r="C1325" s="4">
        <v>1320</v>
      </c>
      <c r="D1325" s="210"/>
      <c r="E1325" s="210"/>
      <c r="F1325" s="210"/>
      <c r="G1325" s="210"/>
      <c r="H1325" s="210"/>
      <c r="I1325" s="210"/>
      <c r="J1325" s="4">
        <v>40520</v>
      </c>
      <c r="K1325" s="210"/>
      <c r="L1325" s="210">
        <v>83</v>
      </c>
      <c r="M1325" s="4">
        <f t="shared" si="26"/>
        <v>7</v>
      </c>
      <c r="N1325" s="4" t="str">
        <f>_xlfn.CONCAT("DBX",((L1325-1)*2),".7")</f>
        <v>DBX164.7</v>
      </c>
      <c r="O1325" s="210" t="s">
        <v>782</v>
      </c>
      <c r="P1325" s="210"/>
      <c r="Q1325" s="210"/>
      <c r="R1325" s="210"/>
      <c r="S1325" s="210"/>
      <c r="T1325" s="210"/>
      <c r="U1325" s="210"/>
      <c r="V1325" s="210"/>
      <c r="W1325" s="210"/>
      <c r="X1325" s="210"/>
      <c r="Y1325" s="210"/>
      <c r="Z1325" s="210"/>
      <c r="AA1325" s="210"/>
      <c r="AB1325" s="210"/>
      <c r="AC1325" s="210"/>
      <c r="AD1325" s="210"/>
      <c r="AE1325" s="210"/>
    </row>
    <row r="1326" spans="1:31" x14ac:dyDescent="0.2">
      <c r="A1326" s="209"/>
      <c r="B1326" s="4" t="s">
        <v>34</v>
      </c>
      <c r="C1326" s="4">
        <v>1321</v>
      </c>
      <c r="D1326" s="210"/>
      <c r="E1326" s="210"/>
      <c r="F1326" s="210"/>
      <c r="G1326" s="210"/>
      <c r="H1326" s="210"/>
      <c r="I1326" s="210"/>
      <c r="J1326" s="4">
        <v>40521</v>
      </c>
      <c r="K1326" s="210"/>
      <c r="L1326" s="210">
        <v>83</v>
      </c>
      <c r="M1326" s="4">
        <f t="shared" si="26"/>
        <v>8</v>
      </c>
      <c r="N1326" s="4" t="str">
        <f>_xlfn.CONCAT("DBX",((L1326-1)*2)+1,".0")</f>
        <v>DBX165.0</v>
      </c>
      <c r="O1326" s="210" t="s">
        <v>782</v>
      </c>
      <c r="P1326" s="210"/>
      <c r="Q1326" s="210"/>
      <c r="R1326" s="210"/>
      <c r="S1326" s="210"/>
      <c r="T1326" s="210"/>
      <c r="U1326" s="210"/>
      <c r="V1326" s="210"/>
      <c r="W1326" s="210"/>
      <c r="X1326" s="210"/>
      <c r="Y1326" s="210"/>
      <c r="Z1326" s="210"/>
      <c r="AA1326" s="210"/>
      <c r="AB1326" s="210"/>
      <c r="AC1326" s="210"/>
      <c r="AD1326" s="210"/>
      <c r="AE1326" s="210"/>
    </row>
    <row r="1327" spans="1:31" x14ac:dyDescent="0.2">
      <c r="A1327" s="209"/>
      <c r="B1327" s="4" t="s">
        <v>34</v>
      </c>
      <c r="C1327" s="4">
        <v>1322</v>
      </c>
      <c r="D1327" s="210"/>
      <c r="E1327" s="210"/>
      <c r="F1327" s="210"/>
      <c r="G1327" s="210"/>
      <c r="H1327" s="210"/>
      <c r="I1327" s="210"/>
      <c r="J1327" s="4">
        <v>40522</v>
      </c>
      <c r="K1327" s="210"/>
      <c r="L1327" s="210">
        <v>83</v>
      </c>
      <c r="M1327" s="4">
        <f t="shared" si="26"/>
        <v>9</v>
      </c>
      <c r="N1327" s="4" t="str">
        <f>_xlfn.CONCAT("DBX",((L1327-1)*2)+1,".1")</f>
        <v>DBX165.1</v>
      </c>
      <c r="O1327" s="210" t="s">
        <v>782</v>
      </c>
      <c r="P1327" s="210"/>
      <c r="Q1327" s="210"/>
      <c r="R1327" s="210"/>
      <c r="S1327" s="210"/>
      <c r="T1327" s="210"/>
      <c r="U1327" s="210"/>
      <c r="V1327" s="210"/>
      <c r="W1327" s="210"/>
      <c r="X1327" s="210"/>
      <c r="Y1327" s="210"/>
      <c r="Z1327" s="210"/>
      <c r="AA1327" s="210"/>
      <c r="AB1327" s="210"/>
      <c r="AC1327" s="210"/>
      <c r="AD1327" s="210"/>
      <c r="AE1327" s="210"/>
    </row>
    <row r="1328" spans="1:31" x14ac:dyDescent="0.2">
      <c r="A1328" s="209"/>
      <c r="B1328" s="4" t="s">
        <v>34</v>
      </c>
      <c r="C1328" s="4">
        <v>1323</v>
      </c>
      <c r="D1328" s="210"/>
      <c r="E1328" s="210"/>
      <c r="F1328" s="210"/>
      <c r="G1328" s="210"/>
      <c r="H1328" s="210"/>
      <c r="I1328" s="210"/>
      <c r="J1328" s="4">
        <v>40523</v>
      </c>
      <c r="K1328" s="210"/>
      <c r="L1328" s="210">
        <v>83</v>
      </c>
      <c r="M1328" s="4">
        <f t="shared" si="26"/>
        <v>10</v>
      </c>
      <c r="N1328" s="4" t="str">
        <f>_xlfn.CONCAT("DBX",((L1328-1)*2)+1,".2")</f>
        <v>DBX165.2</v>
      </c>
      <c r="O1328" s="210" t="s">
        <v>782</v>
      </c>
      <c r="P1328" s="210"/>
      <c r="Q1328" s="210"/>
      <c r="R1328" s="210"/>
      <c r="S1328" s="210"/>
      <c r="T1328" s="210"/>
      <c r="U1328" s="210"/>
      <c r="V1328" s="210"/>
      <c r="W1328" s="210"/>
      <c r="X1328" s="210"/>
      <c r="Y1328" s="210"/>
      <c r="Z1328" s="210"/>
      <c r="AA1328" s="210"/>
      <c r="AB1328" s="210"/>
      <c r="AC1328" s="210"/>
      <c r="AD1328" s="210"/>
      <c r="AE1328" s="210"/>
    </row>
    <row r="1329" spans="1:31" x14ac:dyDescent="0.2">
      <c r="A1329" s="209"/>
      <c r="B1329" s="4" t="s">
        <v>34</v>
      </c>
      <c r="C1329" s="4">
        <v>1324</v>
      </c>
      <c r="D1329" s="210"/>
      <c r="E1329" s="210"/>
      <c r="F1329" s="210"/>
      <c r="G1329" s="210"/>
      <c r="H1329" s="210"/>
      <c r="I1329" s="210"/>
      <c r="J1329" s="4">
        <v>40524</v>
      </c>
      <c r="K1329" s="210"/>
      <c r="L1329" s="210">
        <v>83</v>
      </c>
      <c r="M1329" s="4">
        <f t="shared" si="26"/>
        <v>11</v>
      </c>
      <c r="N1329" s="4" t="str">
        <f>_xlfn.CONCAT("DBX",((L1329-1)*2)+1,".3")</f>
        <v>DBX165.3</v>
      </c>
      <c r="O1329" s="210" t="s">
        <v>782</v>
      </c>
      <c r="P1329" s="210"/>
      <c r="Q1329" s="210"/>
      <c r="R1329" s="210"/>
      <c r="S1329" s="210"/>
      <c r="T1329" s="210"/>
      <c r="U1329" s="210"/>
      <c r="V1329" s="210"/>
      <c r="W1329" s="210"/>
      <c r="X1329" s="210"/>
      <c r="Y1329" s="210"/>
      <c r="Z1329" s="210"/>
      <c r="AA1329" s="210"/>
      <c r="AB1329" s="210"/>
      <c r="AC1329" s="210"/>
      <c r="AD1329" s="210"/>
      <c r="AE1329" s="210"/>
    </row>
    <row r="1330" spans="1:31" x14ac:dyDescent="0.2">
      <c r="A1330" s="209"/>
      <c r="B1330" s="4" t="s">
        <v>34</v>
      </c>
      <c r="C1330" s="4">
        <v>1325</v>
      </c>
      <c r="D1330" s="210"/>
      <c r="E1330" s="210"/>
      <c r="F1330" s="210"/>
      <c r="G1330" s="210"/>
      <c r="H1330" s="210"/>
      <c r="I1330" s="210"/>
      <c r="J1330" s="4">
        <v>40525</v>
      </c>
      <c r="K1330" s="210"/>
      <c r="L1330" s="210">
        <v>83</v>
      </c>
      <c r="M1330" s="4">
        <f t="shared" si="26"/>
        <v>12</v>
      </c>
      <c r="N1330" s="4" t="str">
        <f>_xlfn.CONCAT("DBX",((L1330-1)*2)+1,".4")</f>
        <v>DBX165.4</v>
      </c>
      <c r="O1330" s="210" t="s">
        <v>782</v>
      </c>
      <c r="P1330" s="210"/>
      <c r="Q1330" s="210"/>
      <c r="R1330" s="210"/>
      <c r="S1330" s="210"/>
      <c r="T1330" s="210"/>
      <c r="U1330" s="210"/>
      <c r="V1330" s="210"/>
      <c r="W1330" s="210"/>
      <c r="X1330" s="210"/>
      <c r="Y1330" s="210"/>
      <c r="Z1330" s="210"/>
      <c r="AA1330" s="210"/>
      <c r="AB1330" s="210"/>
      <c r="AC1330" s="210"/>
      <c r="AD1330" s="210"/>
      <c r="AE1330" s="210"/>
    </row>
    <row r="1331" spans="1:31" x14ac:dyDescent="0.2">
      <c r="A1331" s="209"/>
      <c r="B1331" s="4" t="s">
        <v>34</v>
      </c>
      <c r="C1331" s="4">
        <v>1326</v>
      </c>
      <c r="D1331" s="210"/>
      <c r="E1331" s="210"/>
      <c r="F1331" s="210"/>
      <c r="G1331" s="210"/>
      <c r="H1331" s="210"/>
      <c r="I1331" s="210"/>
      <c r="J1331" s="4">
        <v>40526</v>
      </c>
      <c r="K1331" s="210"/>
      <c r="L1331" s="210">
        <v>83</v>
      </c>
      <c r="M1331" s="4">
        <f t="shared" si="26"/>
        <v>13</v>
      </c>
      <c r="N1331" s="4" t="str">
        <f>_xlfn.CONCAT("DBX",((L1331-1)*2)+1,".5")</f>
        <v>DBX165.5</v>
      </c>
      <c r="O1331" s="210" t="s">
        <v>782</v>
      </c>
      <c r="P1331" s="210"/>
      <c r="Q1331" s="210"/>
      <c r="R1331" s="210"/>
      <c r="S1331" s="210"/>
      <c r="T1331" s="210"/>
      <c r="U1331" s="210"/>
      <c r="V1331" s="210"/>
      <c r="W1331" s="210"/>
      <c r="X1331" s="210"/>
      <c r="Y1331" s="210"/>
      <c r="Z1331" s="210"/>
      <c r="AA1331" s="210"/>
      <c r="AB1331" s="210"/>
      <c r="AC1331" s="210"/>
      <c r="AD1331" s="210"/>
      <c r="AE1331" s="210"/>
    </row>
    <row r="1332" spans="1:31" x14ac:dyDescent="0.2">
      <c r="A1332" s="209"/>
      <c r="B1332" s="4" t="s">
        <v>34</v>
      </c>
      <c r="C1332" s="4">
        <v>1327</v>
      </c>
      <c r="D1332" s="210"/>
      <c r="E1332" s="210"/>
      <c r="F1332" s="210"/>
      <c r="G1332" s="210"/>
      <c r="H1332" s="210"/>
      <c r="I1332" s="210"/>
      <c r="J1332" s="4">
        <v>40527</v>
      </c>
      <c r="K1332" s="210"/>
      <c r="L1332" s="210">
        <v>83</v>
      </c>
      <c r="M1332" s="4">
        <f t="shared" si="26"/>
        <v>14</v>
      </c>
      <c r="N1332" s="4" t="str">
        <f>_xlfn.CONCAT("DBX",((L1332-1)*2)+1,".6")</f>
        <v>DBX165.6</v>
      </c>
      <c r="O1332" s="210" t="s">
        <v>782</v>
      </c>
      <c r="P1332" s="210"/>
      <c r="Q1332" s="210"/>
      <c r="R1332" s="210"/>
      <c r="S1332" s="210"/>
      <c r="T1332" s="210"/>
      <c r="U1332" s="210"/>
      <c r="V1332" s="210"/>
      <c r="W1332" s="210"/>
      <c r="X1332" s="210"/>
      <c r="Y1332" s="210"/>
      <c r="Z1332" s="210"/>
      <c r="AA1332" s="210"/>
      <c r="AB1332" s="210"/>
      <c r="AC1332" s="210"/>
      <c r="AD1332" s="210"/>
      <c r="AE1332" s="210"/>
    </row>
    <row r="1333" spans="1:31" x14ac:dyDescent="0.2">
      <c r="A1333" s="209"/>
      <c r="B1333" s="4" t="s">
        <v>34</v>
      </c>
      <c r="C1333" s="4">
        <v>1328</v>
      </c>
      <c r="D1333" s="210"/>
      <c r="E1333" s="210"/>
      <c r="F1333" s="210"/>
      <c r="G1333" s="210"/>
      <c r="H1333" s="210"/>
      <c r="I1333" s="210"/>
      <c r="J1333" s="4">
        <v>40528</v>
      </c>
      <c r="K1333" s="210"/>
      <c r="L1333" s="210">
        <v>83</v>
      </c>
      <c r="M1333" s="4">
        <f t="shared" si="26"/>
        <v>15</v>
      </c>
      <c r="N1333" s="4" t="str">
        <f>_xlfn.CONCAT("DBX",((L1333-1)*2)+1,".7")</f>
        <v>DBX165.7</v>
      </c>
      <c r="O1333" s="210" t="s">
        <v>782</v>
      </c>
      <c r="P1333" s="210"/>
      <c r="Q1333" s="210"/>
      <c r="R1333" s="210"/>
      <c r="S1333" s="210"/>
      <c r="T1333" s="210"/>
      <c r="U1333" s="210"/>
      <c r="V1333" s="210"/>
      <c r="W1333" s="210"/>
      <c r="X1333" s="210"/>
      <c r="Y1333" s="210"/>
      <c r="Z1333" s="210"/>
      <c r="AA1333" s="210"/>
      <c r="AB1333" s="210"/>
      <c r="AC1333" s="210"/>
      <c r="AD1333" s="210"/>
      <c r="AE1333" s="210"/>
    </row>
    <row r="1334" spans="1:31" x14ac:dyDescent="0.2">
      <c r="A1334" s="209"/>
      <c r="B1334" s="4" t="s">
        <v>34</v>
      </c>
      <c r="C1334" s="4">
        <v>1329</v>
      </c>
      <c r="D1334" s="210"/>
      <c r="E1334" s="210"/>
      <c r="F1334" s="210"/>
      <c r="G1334" s="210"/>
      <c r="H1334" s="210"/>
      <c r="I1334" s="210"/>
      <c r="J1334" s="4">
        <v>40529</v>
      </c>
      <c r="K1334" s="210"/>
      <c r="L1334" s="210">
        <v>84</v>
      </c>
      <c r="M1334" s="4">
        <v>0</v>
      </c>
      <c r="N1334" s="4" t="str">
        <f>_xlfn.CONCAT("DBX",((L1334-1)*2),".0")</f>
        <v>DBX166.0</v>
      </c>
      <c r="O1334" s="210" t="s">
        <v>782</v>
      </c>
      <c r="P1334" s="210"/>
      <c r="Q1334" s="210"/>
      <c r="R1334" s="210"/>
      <c r="S1334" s="210"/>
      <c r="T1334" s="210"/>
      <c r="U1334" s="210"/>
      <c r="V1334" s="210"/>
      <c r="W1334" s="210"/>
      <c r="X1334" s="210"/>
      <c r="Y1334" s="210"/>
      <c r="Z1334" s="210"/>
      <c r="AA1334" s="210"/>
      <c r="AB1334" s="210"/>
      <c r="AC1334" s="210"/>
      <c r="AD1334" s="210"/>
      <c r="AE1334" s="210"/>
    </row>
    <row r="1335" spans="1:31" x14ac:dyDescent="0.2">
      <c r="A1335" s="209"/>
      <c r="B1335" s="4" t="s">
        <v>34</v>
      </c>
      <c r="C1335" s="4">
        <v>1330</v>
      </c>
      <c r="D1335" s="210"/>
      <c r="E1335" s="210"/>
      <c r="F1335" s="210"/>
      <c r="G1335" s="210"/>
      <c r="H1335" s="210"/>
      <c r="I1335" s="210"/>
      <c r="J1335" s="4">
        <v>40530</v>
      </c>
      <c r="K1335" s="210"/>
      <c r="L1335" s="210">
        <v>84</v>
      </c>
      <c r="M1335" s="4">
        <v>1</v>
      </c>
      <c r="N1335" s="4" t="str">
        <f>_xlfn.CONCAT("DBX",((L1335-1)*2),".1")</f>
        <v>DBX166.1</v>
      </c>
      <c r="O1335" s="210" t="s">
        <v>782</v>
      </c>
      <c r="P1335" s="210"/>
      <c r="Q1335" s="210"/>
      <c r="R1335" s="210"/>
      <c r="S1335" s="210"/>
      <c r="T1335" s="210"/>
      <c r="U1335" s="210"/>
      <c r="V1335" s="210"/>
      <c r="W1335" s="210"/>
      <c r="X1335" s="210"/>
      <c r="Y1335" s="210"/>
      <c r="Z1335" s="210"/>
      <c r="AA1335" s="210"/>
      <c r="AB1335" s="210"/>
      <c r="AC1335" s="210"/>
      <c r="AD1335" s="210"/>
      <c r="AE1335" s="210"/>
    </row>
    <row r="1336" spans="1:31" x14ac:dyDescent="0.2">
      <c r="A1336" s="209"/>
      <c r="B1336" s="4" t="s">
        <v>34</v>
      </c>
      <c r="C1336" s="4">
        <v>1331</v>
      </c>
      <c r="D1336" s="210"/>
      <c r="E1336" s="210"/>
      <c r="F1336" s="210"/>
      <c r="G1336" s="210"/>
      <c r="H1336" s="210"/>
      <c r="I1336" s="210"/>
      <c r="J1336" s="4">
        <v>40531</v>
      </c>
      <c r="K1336" s="210"/>
      <c r="L1336" s="210">
        <v>84</v>
      </c>
      <c r="M1336" s="4">
        <v>2</v>
      </c>
      <c r="N1336" s="4" t="str">
        <f>_xlfn.CONCAT("DBX",((L1336-1)*2),".2")</f>
        <v>DBX166.2</v>
      </c>
      <c r="O1336" s="210" t="s">
        <v>782</v>
      </c>
      <c r="P1336" s="210"/>
      <c r="Q1336" s="210"/>
      <c r="R1336" s="210"/>
      <c r="S1336" s="210"/>
      <c r="T1336" s="210"/>
      <c r="U1336" s="210"/>
      <c r="V1336" s="210"/>
      <c r="W1336" s="210"/>
      <c r="X1336" s="210"/>
      <c r="Y1336" s="210"/>
      <c r="Z1336" s="210"/>
      <c r="AA1336" s="210"/>
      <c r="AB1336" s="210"/>
      <c r="AC1336" s="210"/>
      <c r="AD1336" s="210"/>
      <c r="AE1336" s="210"/>
    </row>
    <row r="1337" spans="1:31" x14ac:dyDescent="0.2">
      <c r="A1337" s="209"/>
      <c r="B1337" s="4" t="s">
        <v>34</v>
      </c>
      <c r="C1337" s="4">
        <v>1332</v>
      </c>
      <c r="D1337" s="210"/>
      <c r="E1337" s="210"/>
      <c r="F1337" s="210"/>
      <c r="G1337" s="210"/>
      <c r="H1337" s="210"/>
      <c r="I1337" s="210"/>
      <c r="J1337" s="4">
        <v>40532</v>
      </c>
      <c r="K1337" s="210"/>
      <c r="L1337" s="210">
        <v>84</v>
      </c>
      <c r="M1337" s="4">
        <v>3</v>
      </c>
      <c r="N1337" s="4" t="str">
        <f>_xlfn.CONCAT("DBX",((L1337-1)*2),".3")</f>
        <v>DBX166.3</v>
      </c>
      <c r="O1337" s="210" t="s">
        <v>782</v>
      </c>
      <c r="P1337" s="210"/>
      <c r="Q1337" s="210"/>
      <c r="R1337" s="210"/>
      <c r="S1337" s="210"/>
      <c r="T1337" s="210"/>
      <c r="U1337" s="210"/>
      <c r="V1337" s="210"/>
      <c r="W1337" s="210"/>
      <c r="X1337" s="210"/>
      <c r="Y1337" s="210"/>
      <c r="Z1337" s="210"/>
      <c r="AA1337" s="210"/>
      <c r="AB1337" s="210"/>
      <c r="AC1337" s="210"/>
      <c r="AD1337" s="210"/>
      <c r="AE1337" s="210"/>
    </row>
    <row r="1338" spans="1:31" x14ac:dyDescent="0.2">
      <c r="A1338" s="209"/>
      <c r="B1338" s="4" t="s">
        <v>34</v>
      </c>
      <c r="C1338" s="4">
        <v>1333</v>
      </c>
      <c r="D1338" s="210"/>
      <c r="E1338" s="210"/>
      <c r="F1338" s="210"/>
      <c r="G1338" s="210"/>
      <c r="H1338" s="210"/>
      <c r="I1338" s="210"/>
      <c r="J1338" s="4">
        <v>40533</v>
      </c>
      <c r="K1338" s="210"/>
      <c r="L1338" s="210">
        <v>84</v>
      </c>
      <c r="M1338" s="4">
        <v>4</v>
      </c>
      <c r="N1338" s="4" t="str">
        <f>_xlfn.CONCAT("DBX",((L1338-1)*2),".4")</f>
        <v>DBX166.4</v>
      </c>
      <c r="O1338" s="210" t="s">
        <v>782</v>
      </c>
      <c r="P1338" s="210"/>
      <c r="Q1338" s="210"/>
      <c r="R1338" s="210"/>
      <c r="S1338" s="210"/>
      <c r="T1338" s="210"/>
      <c r="U1338" s="210"/>
      <c r="V1338" s="210"/>
      <c r="W1338" s="210"/>
      <c r="X1338" s="210"/>
      <c r="Y1338" s="210"/>
      <c r="Z1338" s="210"/>
      <c r="AA1338" s="210"/>
      <c r="AB1338" s="210"/>
      <c r="AC1338" s="210"/>
      <c r="AD1338" s="210"/>
      <c r="AE1338" s="210"/>
    </row>
    <row r="1339" spans="1:31" x14ac:dyDescent="0.2">
      <c r="A1339" s="209"/>
      <c r="B1339" s="4" t="s">
        <v>34</v>
      </c>
      <c r="C1339" s="4">
        <v>1334</v>
      </c>
      <c r="D1339" s="210"/>
      <c r="E1339" s="210"/>
      <c r="F1339" s="210"/>
      <c r="G1339" s="210"/>
      <c r="H1339" s="210"/>
      <c r="I1339" s="210"/>
      <c r="J1339" s="4">
        <v>40534</v>
      </c>
      <c r="K1339" s="210"/>
      <c r="L1339" s="210">
        <v>84</v>
      </c>
      <c r="M1339" s="4">
        <v>5</v>
      </c>
      <c r="N1339" s="4" t="str">
        <f>_xlfn.CONCAT("DBX",((L1339-1)*2),".5")</f>
        <v>DBX166.5</v>
      </c>
      <c r="O1339" s="210" t="s">
        <v>782</v>
      </c>
      <c r="P1339" s="210"/>
      <c r="Q1339" s="210"/>
      <c r="R1339" s="210"/>
      <c r="S1339" s="210"/>
      <c r="T1339" s="210"/>
      <c r="U1339" s="210"/>
      <c r="V1339" s="210"/>
      <c r="W1339" s="210"/>
      <c r="X1339" s="210"/>
      <c r="Y1339" s="210"/>
      <c r="Z1339" s="210"/>
      <c r="AA1339" s="210"/>
      <c r="AB1339" s="210"/>
      <c r="AC1339" s="210"/>
      <c r="AD1339" s="210"/>
      <c r="AE1339" s="210"/>
    </row>
    <row r="1340" spans="1:31" x14ac:dyDescent="0.2">
      <c r="A1340" s="209"/>
      <c r="B1340" s="4" t="s">
        <v>34</v>
      </c>
      <c r="C1340" s="4">
        <v>1335</v>
      </c>
      <c r="D1340" s="210"/>
      <c r="E1340" s="210"/>
      <c r="F1340" s="210"/>
      <c r="G1340" s="210"/>
      <c r="H1340" s="210"/>
      <c r="I1340" s="210"/>
      <c r="J1340" s="4">
        <v>40535</v>
      </c>
      <c r="K1340" s="210"/>
      <c r="L1340" s="210">
        <v>84</v>
      </c>
      <c r="M1340" s="4">
        <v>6</v>
      </c>
      <c r="N1340" s="4" t="str">
        <f>_xlfn.CONCAT("DBX",((L1340-1)*2),".6")</f>
        <v>DBX166.6</v>
      </c>
      <c r="O1340" s="210" t="s">
        <v>782</v>
      </c>
      <c r="P1340" s="210"/>
      <c r="Q1340" s="210"/>
      <c r="R1340" s="210"/>
      <c r="S1340" s="210"/>
      <c r="T1340" s="210"/>
      <c r="U1340" s="210"/>
      <c r="V1340" s="210"/>
      <c r="W1340" s="210"/>
      <c r="X1340" s="210"/>
      <c r="Y1340" s="210"/>
      <c r="Z1340" s="210"/>
      <c r="AA1340" s="210"/>
      <c r="AB1340" s="210"/>
      <c r="AC1340" s="210"/>
      <c r="AD1340" s="210"/>
      <c r="AE1340" s="210"/>
    </row>
    <row r="1341" spans="1:31" x14ac:dyDescent="0.2">
      <c r="A1341" s="209"/>
      <c r="B1341" s="4" t="s">
        <v>34</v>
      </c>
      <c r="C1341" s="4">
        <v>1336</v>
      </c>
      <c r="D1341" s="210"/>
      <c r="E1341" s="210"/>
      <c r="F1341" s="210"/>
      <c r="G1341" s="210"/>
      <c r="H1341" s="210"/>
      <c r="I1341" s="210"/>
      <c r="J1341" s="4">
        <v>40536</v>
      </c>
      <c r="K1341" s="210"/>
      <c r="L1341" s="210">
        <v>84</v>
      </c>
      <c r="M1341" s="4">
        <v>7</v>
      </c>
      <c r="N1341" s="4" t="str">
        <f>_xlfn.CONCAT("DBX",((L1341-1)*2),".7")</f>
        <v>DBX166.7</v>
      </c>
      <c r="O1341" s="210" t="s">
        <v>782</v>
      </c>
      <c r="P1341" s="210"/>
      <c r="Q1341" s="210"/>
      <c r="R1341" s="210"/>
      <c r="S1341" s="210"/>
      <c r="T1341" s="210"/>
      <c r="U1341" s="210"/>
      <c r="V1341" s="210"/>
      <c r="W1341" s="210"/>
      <c r="X1341" s="210"/>
      <c r="Y1341" s="210"/>
      <c r="Z1341" s="210"/>
      <c r="AA1341" s="210"/>
      <c r="AB1341" s="210"/>
      <c r="AC1341" s="210"/>
      <c r="AD1341" s="210"/>
      <c r="AE1341" s="210"/>
    </row>
    <row r="1342" spans="1:31" x14ac:dyDescent="0.2">
      <c r="A1342" s="209"/>
      <c r="B1342" s="4" t="s">
        <v>34</v>
      </c>
      <c r="C1342" s="4">
        <v>1337</v>
      </c>
      <c r="D1342" s="210"/>
      <c r="E1342" s="210"/>
      <c r="F1342" s="210"/>
      <c r="G1342" s="210"/>
      <c r="H1342" s="210"/>
      <c r="I1342" s="210"/>
      <c r="J1342" s="4">
        <v>40537</v>
      </c>
      <c r="K1342" s="210"/>
      <c r="L1342" s="210">
        <v>84</v>
      </c>
      <c r="M1342" s="4">
        <v>8</v>
      </c>
      <c r="N1342" s="4" t="str">
        <f>_xlfn.CONCAT("DBX",((L1342-1)*2)+1,".0")</f>
        <v>DBX167.0</v>
      </c>
      <c r="O1342" s="210" t="s">
        <v>782</v>
      </c>
      <c r="P1342" s="210"/>
      <c r="Q1342" s="210"/>
      <c r="R1342" s="210"/>
      <c r="S1342" s="210"/>
      <c r="T1342" s="210"/>
      <c r="U1342" s="210"/>
      <c r="V1342" s="210"/>
      <c r="W1342" s="210"/>
      <c r="X1342" s="210"/>
      <c r="Y1342" s="210"/>
      <c r="Z1342" s="210"/>
      <c r="AA1342" s="210"/>
      <c r="AB1342" s="210"/>
      <c r="AC1342" s="210"/>
      <c r="AD1342" s="210"/>
      <c r="AE1342" s="210"/>
    </row>
    <row r="1343" spans="1:31" x14ac:dyDescent="0.2">
      <c r="A1343" s="209"/>
      <c r="B1343" s="4" t="s">
        <v>34</v>
      </c>
      <c r="C1343" s="4">
        <v>1338</v>
      </c>
      <c r="D1343" s="210"/>
      <c r="E1343" s="210"/>
      <c r="F1343" s="210"/>
      <c r="G1343" s="210"/>
      <c r="H1343" s="210"/>
      <c r="I1343" s="210"/>
      <c r="J1343" s="4">
        <v>40538</v>
      </c>
      <c r="K1343" s="210"/>
      <c r="L1343" s="210">
        <v>84</v>
      </c>
      <c r="M1343" s="4">
        <v>9</v>
      </c>
      <c r="N1343" s="4" t="str">
        <f>_xlfn.CONCAT("DBX",((L1343-1)*2)+1,".1")</f>
        <v>DBX167.1</v>
      </c>
      <c r="O1343" s="210" t="s">
        <v>782</v>
      </c>
      <c r="P1343" s="210"/>
      <c r="Q1343" s="210"/>
      <c r="R1343" s="210"/>
      <c r="S1343" s="210"/>
      <c r="T1343" s="210"/>
      <c r="U1343" s="210"/>
      <c r="V1343" s="210"/>
      <c r="W1343" s="210"/>
      <c r="X1343" s="210"/>
      <c r="Y1343" s="210"/>
      <c r="Z1343" s="210"/>
      <c r="AA1343" s="210"/>
      <c r="AB1343" s="210"/>
      <c r="AC1343" s="210"/>
      <c r="AD1343" s="210"/>
      <c r="AE1343" s="210"/>
    </row>
    <row r="1344" spans="1:31" x14ac:dyDescent="0.2">
      <c r="A1344" s="209"/>
      <c r="B1344" s="4" t="s">
        <v>34</v>
      </c>
      <c r="C1344" s="4">
        <v>1339</v>
      </c>
      <c r="D1344" s="210"/>
      <c r="E1344" s="210"/>
      <c r="F1344" s="210"/>
      <c r="G1344" s="210"/>
      <c r="H1344" s="210"/>
      <c r="I1344" s="210"/>
      <c r="J1344" s="4">
        <v>40539</v>
      </c>
      <c r="K1344" s="210"/>
      <c r="L1344" s="210">
        <v>84</v>
      </c>
      <c r="M1344" s="4">
        <v>10</v>
      </c>
      <c r="N1344" s="4" t="str">
        <f>_xlfn.CONCAT("DBX",((L1344-1)*2)+1,".2")</f>
        <v>DBX167.2</v>
      </c>
      <c r="O1344" s="210" t="s">
        <v>782</v>
      </c>
      <c r="P1344" s="210"/>
      <c r="Q1344" s="210"/>
      <c r="R1344" s="210"/>
      <c r="S1344" s="210"/>
      <c r="T1344" s="210"/>
      <c r="U1344" s="210"/>
      <c r="V1344" s="210"/>
      <c r="W1344" s="210"/>
      <c r="X1344" s="210"/>
      <c r="Y1344" s="210"/>
      <c r="Z1344" s="210"/>
      <c r="AA1344" s="210"/>
      <c r="AB1344" s="210"/>
      <c r="AC1344" s="210"/>
      <c r="AD1344" s="210"/>
      <c r="AE1344" s="210"/>
    </row>
    <row r="1345" spans="1:31" x14ac:dyDescent="0.2">
      <c r="A1345" s="209"/>
      <c r="B1345" s="4" t="s">
        <v>34</v>
      </c>
      <c r="C1345" s="4">
        <v>1340</v>
      </c>
      <c r="D1345" s="210"/>
      <c r="E1345" s="210"/>
      <c r="F1345" s="210"/>
      <c r="G1345" s="210"/>
      <c r="H1345" s="210"/>
      <c r="I1345" s="210"/>
      <c r="J1345" s="4">
        <v>40540</v>
      </c>
      <c r="K1345" s="210"/>
      <c r="L1345" s="210">
        <v>84</v>
      </c>
      <c r="M1345" s="4">
        <v>11</v>
      </c>
      <c r="N1345" s="4" t="str">
        <f>_xlfn.CONCAT("DBX",((L1345-1)*2)+1,".3")</f>
        <v>DBX167.3</v>
      </c>
      <c r="O1345" s="210" t="s">
        <v>782</v>
      </c>
      <c r="P1345" s="210"/>
      <c r="Q1345" s="210"/>
      <c r="R1345" s="210"/>
      <c r="S1345" s="210"/>
      <c r="T1345" s="210"/>
      <c r="U1345" s="210"/>
      <c r="V1345" s="210"/>
      <c r="W1345" s="210"/>
      <c r="X1345" s="210"/>
      <c r="Y1345" s="210"/>
      <c r="Z1345" s="210"/>
      <c r="AA1345" s="210"/>
      <c r="AB1345" s="210"/>
      <c r="AC1345" s="210"/>
      <c r="AD1345" s="210"/>
      <c r="AE1345" s="210"/>
    </row>
    <row r="1346" spans="1:31" x14ac:dyDescent="0.2">
      <c r="A1346" s="209"/>
      <c r="B1346" s="4" t="s">
        <v>34</v>
      </c>
      <c r="C1346" s="4">
        <v>1341</v>
      </c>
      <c r="D1346" s="210"/>
      <c r="E1346" s="210"/>
      <c r="F1346" s="210"/>
      <c r="G1346" s="210"/>
      <c r="H1346" s="210"/>
      <c r="I1346" s="210"/>
      <c r="J1346" s="4">
        <v>40541</v>
      </c>
      <c r="K1346" s="210"/>
      <c r="L1346" s="210">
        <v>84</v>
      </c>
      <c r="M1346" s="4">
        <v>12</v>
      </c>
      <c r="N1346" s="4" t="str">
        <f>_xlfn.CONCAT("DBX",((L1346-1)*2)+1,".4")</f>
        <v>DBX167.4</v>
      </c>
      <c r="O1346" s="210" t="s">
        <v>782</v>
      </c>
      <c r="P1346" s="210"/>
      <c r="Q1346" s="210"/>
      <c r="R1346" s="210"/>
      <c r="S1346" s="210"/>
      <c r="T1346" s="210"/>
      <c r="U1346" s="210"/>
      <c r="V1346" s="210"/>
      <c r="W1346" s="210"/>
      <c r="X1346" s="210"/>
      <c r="Y1346" s="210"/>
      <c r="Z1346" s="210"/>
      <c r="AA1346" s="210"/>
      <c r="AB1346" s="210"/>
      <c r="AC1346" s="210"/>
      <c r="AD1346" s="210"/>
      <c r="AE1346" s="210"/>
    </row>
    <row r="1347" spans="1:31" x14ac:dyDescent="0.2">
      <c r="A1347" s="209"/>
      <c r="B1347" s="4" t="s">
        <v>34</v>
      </c>
      <c r="C1347" s="4">
        <v>1342</v>
      </c>
      <c r="D1347" s="210"/>
      <c r="E1347" s="210"/>
      <c r="F1347" s="210"/>
      <c r="G1347" s="210"/>
      <c r="H1347" s="210"/>
      <c r="I1347" s="210"/>
      <c r="J1347" s="4">
        <v>40542</v>
      </c>
      <c r="K1347" s="210"/>
      <c r="L1347" s="210">
        <v>84</v>
      </c>
      <c r="M1347" s="4">
        <v>13</v>
      </c>
      <c r="N1347" s="4" t="str">
        <f>_xlfn.CONCAT("DBX",((L1347-1)*2)+1,".5")</f>
        <v>DBX167.5</v>
      </c>
      <c r="O1347" s="210" t="s">
        <v>782</v>
      </c>
      <c r="P1347" s="210"/>
      <c r="Q1347" s="210"/>
      <c r="R1347" s="210"/>
      <c r="S1347" s="210"/>
      <c r="T1347" s="210"/>
      <c r="U1347" s="210"/>
      <c r="V1347" s="210"/>
      <c r="W1347" s="210"/>
      <c r="X1347" s="210"/>
      <c r="Y1347" s="210"/>
      <c r="Z1347" s="210"/>
      <c r="AA1347" s="210"/>
      <c r="AB1347" s="210"/>
      <c r="AC1347" s="210"/>
      <c r="AD1347" s="210"/>
      <c r="AE1347" s="210"/>
    </row>
    <row r="1348" spans="1:31" x14ac:dyDescent="0.2">
      <c r="A1348" s="209"/>
      <c r="B1348" s="4" t="s">
        <v>34</v>
      </c>
      <c r="C1348" s="4">
        <v>1343</v>
      </c>
      <c r="D1348" s="210"/>
      <c r="E1348" s="210"/>
      <c r="F1348" s="210"/>
      <c r="G1348" s="210"/>
      <c r="H1348" s="210"/>
      <c r="I1348" s="210"/>
      <c r="J1348" s="4">
        <v>40543</v>
      </c>
      <c r="K1348" s="210"/>
      <c r="L1348" s="210">
        <v>84</v>
      </c>
      <c r="M1348" s="4">
        <v>14</v>
      </c>
      <c r="N1348" s="4" t="str">
        <f>_xlfn.CONCAT("DBX",((L1348-1)*2)+1,".6")</f>
        <v>DBX167.6</v>
      </c>
      <c r="O1348" s="210" t="s">
        <v>782</v>
      </c>
      <c r="P1348" s="210"/>
      <c r="Q1348" s="210"/>
      <c r="R1348" s="210"/>
      <c r="S1348" s="210"/>
      <c r="T1348" s="210"/>
      <c r="U1348" s="210"/>
      <c r="V1348" s="210"/>
      <c r="W1348" s="210"/>
      <c r="X1348" s="210"/>
      <c r="Y1348" s="210"/>
      <c r="Z1348" s="210"/>
      <c r="AA1348" s="210"/>
      <c r="AB1348" s="210"/>
      <c r="AC1348" s="210"/>
      <c r="AD1348" s="210"/>
      <c r="AE1348" s="210"/>
    </row>
    <row r="1349" spans="1:31" x14ac:dyDescent="0.2">
      <c r="A1349" s="209"/>
      <c r="B1349" s="4" t="s">
        <v>34</v>
      </c>
      <c r="C1349" s="4">
        <v>1344</v>
      </c>
      <c r="D1349" s="210"/>
      <c r="E1349" s="210"/>
      <c r="F1349" s="210"/>
      <c r="G1349" s="210"/>
      <c r="H1349" s="210"/>
      <c r="I1349" s="210"/>
      <c r="J1349" s="4">
        <v>40544</v>
      </c>
      <c r="K1349" s="210"/>
      <c r="L1349" s="210">
        <v>84</v>
      </c>
      <c r="M1349" s="4">
        <v>15</v>
      </c>
      <c r="N1349" s="4" t="str">
        <f>_xlfn.CONCAT("DBX",((L1349-1)*2)+1,".7")</f>
        <v>DBX167.7</v>
      </c>
      <c r="O1349" s="210" t="s">
        <v>782</v>
      </c>
      <c r="P1349" s="210"/>
      <c r="Q1349" s="210"/>
      <c r="R1349" s="210"/>
      <c r="S1349" s="210"/>
      <c r="T1349" s="210"/>
      <c r="U1349" s="210"/>
      <c r="V1349" s="210"/>
      <c r="W1349" s="210"/>
      <c r="X1349" s="210"/>
      <c r="Y1349" s="210"/>
      <c r="Z1349" s="210"/>
      <c r="AA1349" s="210"/>
      <c r="AB1349" s="210"/>
      <c r="AC1349" s="210"/>
      <c r="AD1349" s="210"/>
      <c r="AE1349" s="210"/>
    </row>
    <row r="1350" spans="1:31" x14ac:dyDescent="0.2">
      <c r="A1350" s="209"/>
      <c r="B1350" s="4" t="s">
        <v>34</v>
      </c>
      <c r="C1350" s="4">
        <v>1345</v>
      </c>
      <c r="D1350" s="210"/>
      <c r="E1350" s="210"/>
      <c r="F1350" s="210"/>
      <c r="G1350" s="210"/>
      <c r="H1350" s="210"/>
      <c r="I1350" s="210"/>
      <c r="J1350" s="4">
        <v>40545</v>
      </c>
      <c r="K1350" s="210"/>
      <c r="L1350" s="210">
        <v>85</v>
      </c>
      <c r="M1350" s="4">
        <f>M1334</f>
        <v>0</v>
      </c>
      <c r="N1350" s="4" t="str">
        <f>_xlfn.CONCAT("DBX",((L1350-1)*2),".0")</f>
        <v>DBX168.0</v>
      </c>
      <c r="O1350" s="210" t="s">
        <v>782</v>
      </c>
      <c r="P1350" s="210"/>
      <c r="Q1350" s="210"/>
      <c r="R1350" s="210"/>
      <c r="S1350" s="210"/>
      <c r="T1350" s="210"/>
      <c r="U1350" s="210"/>
      <c r="V1350" s="210"/>
      <c r="W1350" s="210"/>
      <c r="X1350" s="210"/>
      <c r="Y1350" s="210"/>
      <c r="Z1350" s="210"/>
      <c r="AA1350" s="210"/>
      <c r="AB1350" s="210"/>
      <c r="AC1350" s="210"/>
      <c r="AD1350" s="210"/>
      <c r="AE1350" s="210"/>
    </row>
    <row r="1351" spans="1:31" x14ac:dyDescent="0.2">
      <c r="A1351" s="209"/>
      <c r="B1351" s="4" t="s">
        <v>34</v>
      </c>
      <c r="C1351" s="4">
        <v>1346</v>
      </c>
      <c r="D1351" s="210"/>
      <c r="E1351" s="210"/>
      <c r="F1351" s="210"/>
      <c r="G1351" s="210"/>
      <c r="H1351" s="210"/>
      <c r="I1351" s="210"/>
      <c r="J1351" s="4">
        <v>40546</v>
      </c>
      <c r="K1351" s="210"/>
      <c r="L1351" s="210">
        <v>85</v>
      </c>
      <c r="M1351" s="4">
        <f t="shared" si="26"/>
        <v>1</v>
      </c>
      <c r="N1351" s="4" t="str">
        <f>_xlfn.CONCAT("DBX",((L1351-1)*2),".1")</f>
        <v>DBX168.1</v>
      </c>
      <c r="O1351" s="210" t="s">
        <v>782</v>
      </c>
      <c r="P1351" s="210"/>
      <c r="Q1351" s="210"/>
      <c r="R1351" s="210"/>
      <c r="S1351" s="210"/>
      <c r="T1351" s="210"/>
      <c r="U1351" s="210"/>
      <c r="V1351" s="210"/>
      <c r="W1351" s="210"/>
      <c r="X1351" s="210"/>
      <c r="Y1351" s="210"/>
      <c r="Z1351" s="210"/>
      <c r="AA1351" s="210"/>
      <c r="AB1351" s="210"/>
      <c r="AC1351" s="210"/>
      <c r="AD1351" s="210"/>
      <c r="AE1351" s="210"/>
    </row>
    <row r="1352" spans="1:31" x14ac:dyDescent="0.2">
      <c r="A1352" s="209"/>
      <c r="B1352" s="4" t="s">
        <v>34</v>
      </c>
      <c r="C1352" s="4">
        <v>1347</v>
      </c>
      <c r="D1352" s="210"/>
      <c r="E1352" s="210"/>
      <c r="F1352" s="210"/>
      <c r="G1352" s="210"/>
      <c r="H1352" s="210"/>
      <c r="I1352" s="210"/>
      <c r="J1352" s="4">
        <v>40547</v>
      </c>
      <c r="K1352" s="210"/>
      <c r="L1352" s="210">
        <v>85</v>
      </c>
      <c r="M1352" s="4">
        <f t="shared" si="26"/>
        <v>2</v>
      </c>
      <c r="N1352" s="4" t="str">
        <f>_xlfn.CONCAT("DBX",((L1352-1)*2),".2")</f>
        <v>DBX168.2</v>
      </c>
      <c r="O1352" s="210" t="s">
        <v>782</v>
      </c>
      <c r="P1352" s="210"/>
      <c r="Q1352" s="210"/>
      <c r="R1352" s="210"/>
      <c r="S1352" s="210"/>
      <c r="T1352" s="210"/>
      <c r="U1352" s="210"/>
      <c r="V1352" s="210"/>
      <c r="W1352" s="210"/>
      <c r="X1352" s="210"/>
      <c r="Y1352" s="210"/>
      <c r="Z1352" s="210"/>
      <c r="AA1352" s="210"/>
      <c r="AB1352" s="210"/>
      <c r="AC1352" s="210"/>
      <c r="AD1352" s="210"/>
      <c r="AE1352" s="210"/>
    </row>
    <row r="1353" spans="1:31" x14ac:dyDescent="0.2">
      <c r="A1353" s="209"/>
      <c r="B1353" s="4" t="s">
        <v>34</v>
      </c>
      <c r="C1353" s="4">
        <v>1348</v>
      </c>
      <c r="D1353" s="210"/>
      <c r="E1353" s="210"/>
      <c r="F1353" s="210"/>
      <c r="G1353" s="210"/>
      <c r="H1353" s="210"/>
      <c r="I1353" s="210"/>
      <c r="J1353" s="4">
        <v>40548</v>
      </c>
      <c r="K1353" s="210"/>
      <c r="L1353" s="210">
        <v>85</v>
      </c>
      <c r="M1353" s="4">
        <f t="shared" si="26"/>
        <v>3</v>
      </c>
      <c r="N1353" s="4" t="str">
        <f>_xlfn.CONCAT("DBX",((L1353-1)*2),".3")</f>
        <v>DBX168.3</v>
      </c>
      <c r="O1353" s="210" t="s">
        <v>782</v>
      </c>
      <c r="P1353" s="210"/>
      <c r="Q1353" s="210"/>
      <c r="R1353" s="210"/>
      <c r="S1353" s="210"/>
      <c r="T1353" s="210"/>
      <c r="U1353" s="210"/>
      <c r="V1353" s="210"/>
      <c r="W1353" s="210"/>
      <c r="X1353" s="210"/>
      <c r="Y1353" s="210"/>
      <c r="Z1353" s="210"/>
      <c r="AA1353" s="210"/>
      <c r="AB1353" s="210"/>
      <c r="AC1353" s="210"/>
      <c r="AD1353" s="210"/>
      <c r="AE1353" s="210"/>
    </row>
    <row r="1354" spans="1:31" x14ac:dyDescent="0.2">
      <c r="A1354" s="209"/>
      <c r="B1354" s="4" t="s">
        <v>34</v>
      </c>
      <c r="C1354" s="4">
        <v>1349</v>
      </c>
      <c r="D1354" s="210"/>
      <c r="E1354" s="210"/>
      <c r="F1354" s="210"/>
      <c r="G1354" s="210"/>
      <c r="H1354" s="210"/>
      <c r="I1354" s="210"/>
      <c r="J1354" s="4">
        <v>40549</v>
      </c>
      <c r="K1354" s="210"/>
      <c r="L1354" s="210">
        <v>85</v>
      </c>
      <c r="M1354" s="4">
        <f t="shared" si="26"/>
        <v>4</v>
      </c>
      <c r="N1354" s="4" t="str">
        <f>_xlfn.CONCAT("DBX",((L1354-1)*2),".4")</f>
        <v>DBX168.4</v>
      </c>
      <c r="O1354" s="210" t="s">
        <v>782</v>
      </c>
      <c r="P1354" s="210"/>
      <c r="Q1354" s="210"/>
      <c r="R1354" s="210"/>
      <c r="S1354" s="210"/>
      <c r="T1354" s="210"/>
      <c r="U1354" s="210"/>
      <c r="V1354" s="210"/>
      <c r="W1354" s="210"/>
      <c r="X1354" s="210"/>
      <c r="Y1354" s="210"/>
      <c r="Z1354" s="210"/>
      <c r="AA1354" s="210"/>
      <c r="AB1354" s="210"/>
      <c r="AC1354" s="210"/>
      <c r="AD1354" s="210"/>
      <c r="AE1354" s="210"/>
    </row>
    <row r="1355" spans="1:31" x14ac:dyDescent="0.2">
      <c r="A1355" s="209"/>
      <c r="B1355" s="4" t="s">
        <v>34</v>
      </c>
      <c r="C1355" s="4">
        <v>1350</v>
      </c>
      <c r="D1355" s="210"/>
      <c r="E1355" s="210"/>
      <c r="F1355" s="210"/>
      <c r="G1355" s="210"/>
      <c r="H1355" s="210"/>
      <c r="I1355" s="210"/>
      <c r="J1355" s="4">
        <v>40550</v>
      </c>
      <c r="K1355" s="210"/>
      <c r="L1355" s="210">
        <v>85</v>
      </c>
      <c r="M1355" s="4">
        <f t="shared" si="26"/>
        <v>5</v>
      </c>
      <c r="N1355" s="4" t="str">
        <f>_xlfn.CONCAT("DBX",((L1355-1)*2),".5")</f>
        <v>DBX168.5</v>
      </c>
      <c r="O1355" s="210" t="s">
        <v>782</v>
      </c>
      <c r="P1355" s="210"/>
      <c r="Q1355" s="210"/>
      <c r="R1355" s="210"/>
      <c r="S1355" s="210"/>
      <c r="T1355" s="210"/>
      <c r="U1355" s="210"/>
      <c r="V1355" s="210"/>
      <c r="W1355" s="210"/>
      <c r="X1355" s="210"/>
      <c r="Y1355" s="210"/>
      <c r="Z1355" s="210"/>
      <c r="AA1355" s="210"/>
      <c r="AB1355" s="210"/>
      <c r="AC1355" s="210"/>
      <c r="AD1355" s="210"/>
      <c r="AE1355" s="210"/>
    </row>
    <row r="1356" spans="1:31" x14ac:dyDescent="0.2">
      <c r="A1356" s="209"/>
      <c r="B1356" s="4" t="s">
        <v>34</v>
      </c>
      <c r="C1356" s="4">
        <v>1351</v>
      </c>
      <c r="D1356" s="210"/>
      <c r="E1356" s="210"/>
      <c r="F1356" s="210"/>
      <c r="G1356" s="210"/>
      <c r="H1356" s="210"/>
      <c r="I1356" s="210"/>
      <c r="J1356" s="4">
        <v>40551</v>
      </c>
      <c r="K1356" s="210"/>
      <c r="L1356" s="210">
        <v>85</v>
      </c>
      <c r="M1356" s="4">
        <f t="shared" si="26"/>
        <v>6</v>
      </c>
      <c r="N1356" s="4" t="str">
        <f>_xlfn.CONCAT("DBX",((L1356-1)*2),".6")</f>
        <v>DBX168.6</v>
      </c>
      <c r="O1356" s="210" t="s">
        <v>782</v>
      </c>
      <c r="P1356" s="210"/>
      <c r="Q1356" s="210"/>
      <c r="R1356" s="210"/>
      <c r="S1356" s="210"/>
      <c r="T1356" s="210"/>
      <c r="U1356" s="210"/>
      <c r="V1356" s="210"/>
      <c r="W1356" s="210"/>
      <c r="X1356" s="210"/>
      <c r="Y1356" s="210"/>
      <c r="Z1356" s="210"/>
      <c r="AA1356" s="210"/>
      <c r="AB1356" s="210"/>
      <c r="AC1356" s="210"/>
      <c r="AD1356" s="210"/>
      <c r="AE1356" s="210"/>
    </row>
    <row r="1357" spans="1:31" x14ac:dyDescent="0.2">
      <c r="A1357" s="209"/>
      <c r="B1357" s="4" t="s">
        <v>34</v>
      </c>
      <c r="C1357" s="4">
        <v>1352</v>
      </c>
      <c r="D1357" s="210"/>
      <c r="E1357" s="210"/>
      <c r="F1357" s="210"/>
      <c r="G1357" s="210"/>
      <c r="H1357" s="210"/>
      <c r="I1357" s="210"/>
      <c r="J1357" s="4">
        <v>40552</v>
      </c>
      <c r="K1357" s="210"/>
      <c r="L1357" s="210">
        <v>85</v>
      </c>
      <c r="M1357" s="4">
        <f t="shared" si="26"/>
        <v>7</v>
      </c>
      <c r="N1357" s="4" t="str">
        <f>_xlfn.CONCAT("DBX",((L1357-1)*2),".7")</f>
        <v>DBX168.7</v>
      </c>
      <c r="O1357" s="210" t="s">
        <v>782</v>
      </c>
      <c r="P1357" s="210"/>
      <c r="Q1357" s="210"/>
      <c r="R1357" s="210"/>
      <c r="S1357" s="210"/>
      <c r="T1357" s="210"/>
      <c r="U1357" s="210"/>
      <c r="V1357" s="210"/>
      <c r="W1357" s="210"/>
      <c r="X1357" s="210"/>
      <c r="Y1357" s="210"/>
      <c r="Z1357" s="210"/>
      <c r="AA1357" s="210"/>
      <c r="AB1357" s="210"/>
      <c r="AC1357" s="210"/>
      <c r="AD1357" s="210"/>
      <c r="AE1357" s="210"/>
    </row>
    <row r="1358" spans="1:31" x14ac:dyDescent="0.2">
      <c r="A1358" s="209"/>
      <c r="B1358" s="4" t="s">
        <v>34</v>
      </c>
      <c r="C1358" s="4">
        <v>1353</v>
      </c>
      <c r="D1358" s="210"/>
      <c r="E1358" s="210"/>
      <c r="F1358" s="210"/>
      <c r="G1358" s="210"/>
      <c r="H1358" s="210"/>
      <c r="I1358" s="210"/>
      <c r="J1358" s="4">
        <v>40553</v>
      </c>
      <c r="K1358" s="210"/>
      <c r="L1358" s="210">
        <v>85</v>
      </c>
      <c r="M1358" s="4">
        <f t="shared" si="26"/>
        <v>8</v>
      </c>
      <c r="N1358" s="4" t="str">
        <f>_xlfn.CONCAT("DBX",((L1358-1)*2)+1,".0")</f>
        <v>DBX169.0</v>
      </c>
      <c r="O1358" s="210" t="s">
        <v>782</v>
      </c>
      <c r="P1358" s="210"/>
      <c r="Q1358" s="210"/>
      <c r="R1358" s="210"/>
      <c r="S1358" s="210"/>
      <c r="T1358" s="210"/>
      <c r="U1358" s="210"/>
      <c r="V1358" s="210"/>
      <c r="W1358" s="210"/>
      <c r="X1358" s="210"/>
      <c r="Y1358" s="210"/>
      <c r="Z1358" s="210"/>
      <c r="AA1358" s="210"/>
      <c r="AB1358" s="210"/>
      <c r="AC1358" s="210"/>
      <c r="AD1358" s="210"/>
      <c r="AE1358" s="210"/>
    </row>
    <row r="1359" spans="1:31" x14ac:dyDescent="0.2">
      <c r="A1359" s="209"/>
      <c r="B1359" s="4" t="s">
        <v>34</v>
      </c>
      <c r="C1359" s="4">
        <v>1354</v>
      </c>
      <c r="D1359" s="210"/>
      <c r="E1359" s="210"/>
      <c r="F1359" s="210"/>
      <c r="G1359" s="210"/>
      <c r="H1359" s="210"/>
      <c r="I1359" s="210"/>
      <c r="J1359" s="4">
        <v>40554</v>
      </c>
      <c r="K1359" s="210"/>
      <c r="L1359" s="210">
        <v>85</v>
      </c>
      <c r="M1359" s="4">
        <f t="shared" si="26"/>
        <v>9</v>
      </c>
      <c r="N1359" s="4" t="str">
        <f>_xlfn.CONCAT("DBX",((L1359-1)*2)+1,".1")</f>
        <v>DBX169.1</v>
      </c>
      <c r="O1359" s="210" t="s">
        <v>782</v>
      </c>
      <c r="P1359" s="210"/>
      <c r="Q1359" s="210"/>
      <c r="R1359" s="210"/>
      <c r="S1359" s="210"/>
      <c r="T1359" s="210"/>
      <c r="U1359" s="210"/>
      <c r="V1359" s="210"/>
      <c r="W1359" s="210"/>
      <c r="X1359" s="210"/>
      <c r="Y1359" s="210"/>
      <c r="Z1359" s="210"/>
      <c r="AA1359" s="210"/>
      <c r="AB1359" s="210"/>
      <c r="AC1359" s="210"/>
      <c r="AD1359" s="210"/>
      <c r="AE1359" s="210"/>
    </row>
    <row r="1360" spans="1:31" x14ac:dyDescent="0.2">
      <c r="A1360" s="209"/>
      <c r="B1360" s="4" t="s">
        <v>34</v>
      </c>
      <c r="C1360" s="4">
        <v>1355</v>
      </c>
      <c r="D1360" s="210"/>
      <c r="E1360" s="210"/>
      <c r="F1360" s="210"/>
      <c r="G1360" s="210"/>
      <c r="H1360" s="210"/>
      <c r="I1360" s="210"/>
      <c r="J1360" s="4">
        <v>40555</v>
      </c>
      <c r="K1360" s="210"/>
      <c r="L1360" s="210">
        <v>85</v>
      </c>
      <c r="M1360" s="4">
        <f t="shared" si="26"/>
        <v>10</v>
      </c>
      <c r="N1360" s="4" t="str">
        <f>_xlfn.CONCAT("DBX",((L1360-1)*2)+1,".2")</f>
        <v>DBX169.2</v>
      </c>
      <c r="O1360" s="210" t="s">
        <v>782</v>
      </c>
      <c r="P1360" s="210"/>
      <c r="Q1360" s="210"/>
      <c r="R1360" s="210"/>
      <c r="S1360" s="210"/>
      <c r="T1360" s="210"/>
      <c r="U1360" s="210"/>
      <c r="V1360" s="210"/>
      <c r="W1360" s="210"/>
      <c r="X1360" s="210"/>
      <c r="Y1360" s="210"/>
      <c r="Z1360" s="210"/>
      <c r="AA1360" s="210"/>
      <c r="AB1360" s="210"/>
      <c r="AC1360" s="210"/>
      <c r="AD1360" s="210"/>
      <c r="AE1360" s="210"/>
    </row>
    <row r="1361" spans="1:31" x14ac:dyDescent="0.2">
      <c r="A1361" s="209"/>
      <c r="B1361" s="4" t="s">
        <v>34</v>
      </c>
      <c r="C1361" s="4">
        <v>1356</v>
      </c>
      <c r="D1361" s="210"/>
      <c r="E1361" s="210"/>
      <c r="F1361" s="210"/>
      <c r="G1361" s="210"/>
      <c r="H1361" s="210"/>
      <c r="I1361" s="210"/>
      <c r="J1361" s="4">
        <v>40556</v>
      </c>
      <c r="K1361" s="210"/>
      <c r="L1361" s="210">
        <v>85</v>
      </c>
      <c r="M1361" s="4">
        <f t="shared" si="26"/>
        <v>11</v>
      </c>
      <c r="N1361" s="4" t="str">
        <f>_xlfn.CONCAT("DBX",((L1361-1)*2)+1,".3")</f>
        <v>DBX169.3</v>
      </c>
      <c r="O1361" s="210" t="s">
        <v>782</v>
      </c>
      <c r="P1361" s="210"/>
      <c r="Q1361" s="210"/>
      <c r="R1361" s="210"/>
      <c r="S1361" s="210"/>
      <c r="T1361" s="210"/>
      <c r="U1361" s="210"/>
      <c r="V1361" s="210"/>
      <c r="W1361" s="210"/>
      <c r="X1361" s="210"/>
      <c r="Y1361" s="210"/>
      <c r="Z1361" s="210"/>
      <c r="AA1361" s="210"/>
      <c r="AB1361" s="210"/>
      <c r="AC1361" s="210"/>
      <c r="AD1361" s="210"/>
      <c r="AE1361" s="210"/>
    </row>
    <row r="1362" spans="1:31" x14ac:dyDescent="0.2">
      <c r="A1362" s="209"/>
      <c r="B1362" s="4" t="s">
        <v>34</v>
      </c>
      <c r="C1362" s="4">
        <v>1357</v>
      </c>
      <c r="D1362" s="210"/>
      <c r="E1362" s="210"/>
      <c r="F1362" s="210"/>
      <c r="G1362" s="210"/>
      <c r="H1362" s="210"/>
      <c r="I1362" s="210"/>
      <c r="J1362" s="4">
        <v>40557</v>
      </c>
      <c r="K1362" s="210"/>
      <c r="L1362" s="210">
        <v>85</v>
      </c>
      <c r="M1362" s="4">
        <f t="shared" si="26"/>
        <v>12</v>
      </c>
      <c r="N1362" s="4" t="str">
        <f>_xlfn.CONCAT("DBX",((L1362-1)*2)+1,".4")</f>
        <v>DBX169.4</v>
      </c>
      <c r="O1362" s="210" t="s">
        <v>782</v>
      </c>
      <c r="P1362" s="210"/>
      <c r="Q1362" s="210"/>
      <c r="R1362" s="210"/>
      <c r="S1362" s="210"/>
      <c r="T1362" s="210"/>
      <c r="U1362" s="210"/>
      <c r="V1362" s="210"/>
      <c r="W1362" s="210"/>
      <c r="X1362" s="210"/>
      <c r="Y1362" s="210"/>
      <c r="Z1362" s="210"/>
      <c r="AA1362" s="210"/>
      <c r="AB1362" s="210"/>
      <c r="AC1362" s="210"/>
      <c r="AD1362" s="210"/>
      <c r="AE1362" s="210"/>
    </row>
    <row r="1363" spans="1:31" x14ac:dyDescent="0.2">
      <c r="A1363" s="209"/>
      <c r="B1363" s="4" t="s">
        <v>34</v>
      </c>
      <c r="C1363" s="4">
        <v>1358</v>
      </c>
      <c r="D1363" s="210"/>
      <c r="E1363" s="210"/>
      <c r="F1363" s="210"/>
      <c r="G1363" s="210"/>
      <c r="H1363" s="210"/>
      <c r="I1363" s="210"/>
      <c r="J1363" s="4">
        <v>40558</v>
      </c>
      <c r="K1363" s="210"/>
      <c r="L1363" s="210">
        <v>85</v>
      </c>
      <c r="M1363" s="4">
        <f t="shared" si="26"/>
        <v>13</v>
      </c>
      <c r="N1363" s="4" t="str">
        <f>_xlfn.CONCAT("DBX",((L1363-1)*2)+1,".5")</f>
        <v>DBX169.5</v>
      </c>
      <c r="O1363" s="210" t="s">
        <v>782</v>
      </c>
      <c r="P1363" s="210"/>
      <c r="Q1363" s="210"/>
      <c r="R1363" s="210"/>
      <c r="S1363" s="210"/>
      <c r="T1363" s="210"/>
      <c r="U1363" s="210"/>
      <c r="V1363" s="210"/>
      <c r="W1363" s="210"/>
      <c r="X1363" s="210"/>
      <c r="Y1363" s="210"/>
      <c r="Z1363" s="210"/>
      <c r="AA1363" s="210"/>
      <c r="AB1363" s="210"/>
      <c r="AC1363" s="210"/>
      <c r="AD1363" s="210"/>
      <c r="AE1363" s="210"/>
    </row>
    <row r="1364" spans="1:31" x14ac:dyDescent="0.2">
      <c r="A1364" s="209"/>
      <c r="B1364" s="4" t="s">
        <v>34</v>
      </c>
      <c r="C1364" s="4">
        <v>1359</v>
      </c>
      <c r="D1364" s="210"/>
      <c r="E1364" s="210"/>
      <c r="F1364" s="210"/>
      <c r="G1364" s="210"/>
      <c r="H1364" s="210"/>
      <c r="I1364" s="210"/>
      <c r="J1364" s="4">
        <v>40559</v>
      </c>
      <c r="K1364" s="210"/>
      <c r="L1364" s="210">
        <v>85</v>
      </c>
      <c r="M1364" s="4">
        <f t="shared" si="26"/>
        <v>14</v>
      </c>
      <c r="N1364" s="4" t="str">
        <f>_xlfn.CONCAT("DBX",((L1364-1)*2)+1,".6")</f>
        <v>DBX169.6</v>
      </c>
      <c r="O1364" s="210" t="s">
        <v>782</v>
      </c>
      <c r="P1364" s="210"/>
      <c r="Q1364" s="210"/>
      <c r="R1364" s="210"/>
      <c r="S1364" s="210"/>
      <c r="T1364" s="210"/>
      <c r="U1364" s="210"/>
      <c r="V1364" s="210"/>
      <c r="W1364" s="210"/>
      <c r="X1364" s="210"/>
      <c r="Y1364" s="210"/>
      <c r="Z1364" s="210"/>
      <c r="AA1364" s="210"/>
      <c r="AB1364" s="210"/>
      <c r="AC1364" s="210"/>
      <c r="AD1364" s="210"/>
      <c r="AE1364" s="210"/>
    </row>
    <row r="1365" spans="1:31" x14ac:dyDescent="0.2">
      <c r="A1365" s="209"/>
      <c r="B1365" s="4" t="s">
        <v>34</v>
      </c>
      <c r="C1365" s="4">
        <v>1360</v>
      </c>
      <c r="D1365" s="210"/>
      <c r="E1365" s="210"/>
      <c r="F1365" s="210"/>
      <c r="G1365" s="210"/>
      <c r="H1365" s="210"/>
      <c r="I1365" s="210"/>
      <c r="J1365" s="4">
        <v>40560</v>
      </c>
      <c r="K1365" s="210"/>
      <c r="L1365" s="210">
        <v>85</v>
      </c>
      <c r="M1365" s="4">
        <f t="shared" si="26"/>
        <v>15</v>
      </c>
      <c r="N1365" s="4" t="str">
        <f>_xlfn.CONCAT("DBX",((L1365-1)*2)+1,".7")</f>
        <v>DBX169.7</v>
      </c>
      <c r="O1365" s="210" t="s">
        <v>782</v>
      </c>
      <c r="P1365" s="210"/>
      <c r="Q1365" s="210"/>
      <c r="R1365" s="210"/>
      <c r="S1365" s="210"/>
      <c r="T1365" s="210"/>
      <c r="U1365" s="210"/>
      <c r="V1365" s="210"/>
      <c r="W1365" s="210"/>
      <c r="X1365" s="210"/>
      <c r="Y1365" s="210"/>
      <c r="Z1365" s="210"/>
      <c r="AA1365" s="210"/>
      <c r="AB1365" s="210"/>
      <c r="AC1365" s="210"/>
      <c r="AD1365" s="210"/>
      <c r="AE1365" s="210"/>
    </row>
    <row r="1366" spans="1:31" x14ac:dyDescent="0.2">
      <c r="A1366" s="209"/>
      <c r="B1366" s="4" t="s">
        <v>34</v>
      </c>
      <c r="C1366" s="4">
        <v>1361</v>
      </c>
      <c r="D1366" s="210"/>
      <c r="E1366" s="210"/>
      <c r="F1366" s="210"/>
      <c r="G1366" s="210"/>
      <c r="H1366" s="210"/>
      <c r="I1366" s="210"/>
      <c r="J1366" s="4">
        <v>40561</v>
      </c>
      <c r="K1366" s="210"/>
      <c r="L1366" s="210">
        <v>86</v>
      </c>
      <c r="M1366" s="4">
        <f t="shared" ref="M1366:M1429" si="27">M1350</f>
        <v>0</v>
      </c>
      <c r="N1366" s="4" t="str">
        <f>_xlfn.CONCAT("DBX",((L1366-1)*2),".0")</f>
        <v>DBX170.0</v>
      </c>
      <c r="O1366" s="210" t="s">
        <v>782</v>
      </c>
      <c r="P1366" s="210"/>
      <c r="Q1366" s="210"/>
      <c r="R1366" s="210"/>
      <c r="S1366" s="210"/>
      <c r="T1366" s="210"/>
      <c r="U1366" s="210"/>
      <c r="V1366" s="210"/>
      <c r="W1366" s="210"/>
      <c r="X1366" s="210"/>
      <c r="Y1366" s="210"/>
      <c r="Z1366" s="210"/>
      <c r="AA1366" s="210"/>
      <c r="AB1366" s="210"/>
      <c r="AC1366" s="210"/>
      <c r="AD1366" s="210"/>
      <c r="AE1366" s="210"/>
    </row>
    <row r="1367" spans="1:31" x14ac:dyDescent="0.2">
      <c r="A1367" s="209"/>
      <c r="B1367" s="4" t="s">
        <v>34</v>
      </c>
      <c r="C1367" s="4">
        <v>1362</v>
      </c>
      <c r="D1367" s="210"/>
      <c r="E1367" s="210"/>
      <c r="F1367" s="210"/>
      <c r="G1367" s="210"/>
      <c r="H1367" s="210"/>
      <c r="I1367" s="210"/>
      <c r="J1367" s="4">
        <v>40562</v>
      </c>
      <c r="K1367" s="210"/>
      <c r="L1367" s="210">
        <v>86</v>
      </c>
      <c r="M1367" s="4">
        <f t="shared" si="27"/>
        <v>1</v>
      </c>
      <c r="N1367" s="4" t="str">
        <f>_xlfn.CONCAT("DBX",((L1367-1)*2),".1")</f>
        <v>DBX170.1</v>
      </c>
      <c r="O1367" s="210" t="s">
        <v>782</v>
      </c>
      <c r="P1367" s="210"/>
      <c r="Q1367" s="210"/>
      <c r="R1367" s="210"/>
      <c r="S1367" s="210"/>
      <c r="T1367" s="210"/>
      <c r="U1367" s="210"/>
      <c r="V1367" s="210"/>
      <c r="W1367" s="210"/>
      <c r="X1367" s="210"/>
      <c r="Y1367" s="210"/>
      <c r="Z1367" s="210"/>
      <c r="AA1367" s="210"/>
      <c r="AB1367" s="210"/>
      <c r="AC1367" s="210"/>
      <c r="AD1367" s="210"/>
      <c r="AE1367" s="210"/>
    </row>
    <row r="1368" spans="1:31" x14ac:dyDescent="0.2">
      <c r="A1368" s="209"/>
      <c r="B1368" s="4" t="s">
        <v>34</v>
      </c>
      <c r="C1368" s="4">
        <v>1363</v>
      </c>
      <c r="D1368" s="210"/>
      <c r="E1368" s="210"/>
      <c r="F1368" s="210"/>
      <c r="G1368" s="210"/>
      <c r="H1368" s="210"/>
      <c r="I1368" s="210"/>
      <c r="J1368" s="4">
        <v>40563</v>
      </c>
      <c r="K1368" s="210"/>
      <c r="L1368" s="210">
        <v>86</v>
      </c>
      <c r="M1368" s="4">
        <f t="shared" si="27"/>
        <v>2</v>
      </c>
      <c r="N1368" s="4" t="str">
        <f>_xlfn.CONCAT("DBX",((L1368-1)*2),".2")</f>
        <v>DBX170.2</v>
      </c>
      <c r="O1368" s="210" t="s">
        <v>782</v>
      </c>
      <c r="P1368" s="210"/>
      <c r="Q1368" s="210"/>
      <c r="R1368" s="210"/>
      <c r="S1368" s="210"/>
      <c r="T1368" s="210"/>
      <c r="U1368" s="210"/>
      <c r="V1368" s="210"/>
      <c r="W1368" s="210"/>
      <c r="X1368" s="210"/>
      <c r="Y1368" s="210"/>
      <c r="Z1368" s="210"/>
      <c r="AA1368" s="210"/>
      <c r="AB1368" s="210"/>
      <c r="AC1368" s="210"/>
      <c r="AD1368" s="210"/>
      <c r="AE1368" s="210"/>
    </row>
    <row r="1369" spans="1:31" x14ac:dyDescent="0.2">
      <c r="A1369" s="209"/>
      <c r="B1369" s="4" t="s">
        <v>34</v>
      </c>
      <c r="C1369" s="4">
        <v>1364</v>
      </c>
      <c r="D1369" s="210"/>
      <c r="E1369" s="210"/>
      <c r="F1369" s="210"/>
      <c r="G1369" s="210"/>
      <c r="H1369" s="210"/>
      <c r="I1369" s="210"/>
      <c r="J1369" s="4">
        <v>40564</v>
      </c>
      <c r="K1369" s="210"/>
      <c r="L1369" s="210">
        <v>86</v>
      </c>
      <c r="M1369" s="4">
        <f t="shared" si="27"/>
        <v>3</v>
      </c>
      <c r="N1369" s="4" t="str">
        <f>_xlfn.CONCAT("DBX",((L1369-1)*2),".3")</f>
        <v>DBX170.3</v>
      </c>
      <c r="O1369" s="210" t="s">
        <v>782</v>
      </c>
      <c r="P1369" s="210"/>
      <c r="Q1369" s="210"/>
      <c r="R1369" s="210"/>
      <c r="S1369" s="210"/>
      <c r="T1369" s="210"/>
      <c r="U1369" s="210"/>
      <c r="V1369" s="210"/>
      <c r="W1369" s="210"/>
      <c r="X1369" s="210"/>
      <c r="Y1369" s="210"/>
      <c r="Z1369" s="210"/>
      <c r="AA1369" s="210"/>
      <c r="AB1369" s="210"/>
      <c r="AC1369" s="210"/>
      <c r="AD1369" s="210"/>
      <c r="AE1369" s="210"/>
    </row>
    <row r="1370" spans="1:31" x14ac:dyDescent="0.2">
      <c r="A1370" s="209"/>
      <c r="B1370" s="4" t="s">
        <v>34</v>
      </c>
      <c r="C1370" s="4">
        <v>1365</v>
      </c>
      <c r="D1370" s="210"/>
      <c r="E1370" s="210"/>
      <c r="F1370" s="210"/>
      <c r="G1370" s="210"/>
      <c r="H1370" s="210"/>
      <c r="I1370" s="210"/>
      <c r="J1370" s="4">
        <v>40565</v>
      </c>
      <c r="K1370" s="210"/>
      <c r="L1370" s="210">
        <v>86</v>
      </c>
      <c r="M1370" s="4">
        <f t="shared" si="27"/>
        <v>4</v>
      </c>
      <c r="N1370" s="4" t="str">
        <f>_xlfn.CONCAT("DBX",((L1370-1)*2),".4")</f>
        <v>DBX170.4</v>
      </c>
      <c r="O1370" s="210" t="s">
        <v>782</v>
      </c>
      <c r="P1370" s="210"/>
      <c r="Q1370" s="210"/>
      <c r="R1370" s="210"/>
      <c r="S1370" s="210"/>
      <c r="T1370" s="210"/>
      <c r="U1370" s="210"/>
      <c r="V1370" s="210"/>
      <c r="W1370" s="210"/>
      <c r="X1370" s="210"/>
      <c r="Y1370" s="210"/>
      <c r="Z1370" s="210"/>
      <c r="AA1370" s="210"/>
      <c r="AB1370" s="210"/>
      <c r="AC1370" s="210"/>
      <c r="AD1370" s="210"/>
      <c r="AE1370" s="210"/>
    </row>
    <row r="1371" spans="1:31" x14ac:dyDescent="0.2">
      <c r="A1371" s="209"/>
      <c r="B1371" s="4" t="s">
        <v>34</v>
      </c>
      <c r="C1371" s="4">
        <v>1366</v>
      </c>
      <c r="D1371" s="210"/>
      <c r="E1371" s="210"/>
      <c r="F1371" s="210"/>
      <c r="G1371" s="210"/>
      <c r="H1371" s="210"/>
      <c r="I1371" s="210"/>
      <c r="J1371" s="4">
        <v>40566</v>
      </c>
      <c r="K1371" s="210"/>
      <c r="L1371" s="210">
        <v>86</v>
      </c>
      <c r="M1371" s="4">
        <f t="shared" si="27"/>
        <v>5</v>
      </c>
      <c r="N1371" s="4" t="str">
        <f>_xlfn.CONCAT("DBX",((L1371-1)*2),".5")</f>
        <v>DBX170.5</v>
      </c>
      <c r="O1371" s="210" t="s">
        <v>782</v>
      </c>
      <c r="P1371" s="210"/>
      <c r="Q1371" s="210"/>
      <c r="R1371" s="210"/>
      <c r="S1371" s="210"/>
      <c r="T1371" s="210"/>
      <c r="U1371" s="210"/>
      <c r="V1371" s="210"/>
      <c r="W1371" s="210"/>
      <c r="X1371" s="210"/>
      <c r="Y1371" s="210"/>
      <c r="Z1371" s="210"/>
      <c r="AA1371" s="210"/>
      <c r="AB1371" s="210"/>
      <c r="AC1371" s="210"/>
      <c r="AD1371" s="210"/>
      <c r="AE1371" s="210"/>
    </row>
    <row r="1372" spans="1:31" x14ac:dyDescent="0.2">
      <c r="A1372" s="209"/>
      <c r="B1372" s="4" t="s">
        <v>34</v>
      </c>
      <c r="C1372" s="4">
        <v>1367</v>
      </c>
      <c r="D1372" s="210"/>
      <c r="E1372" s="210"/>
      <c r="F1372" s="210"/>
      <c r="G1372" s="210"/>
      <c r="H1372" s="210"/>
      <c r="I1372" s="210"/>
      <c r="J1372" s="4">
        <v>40567</v>
      </c>
      <c r="K1372" s="210"/>
      <c r="L1372" s="210">
        <v>86</v>
      </c>
      <c r="M1372" s="4">
        <f t="shared" si="27"/>
        <v>6</v>
      </c>
      <c r="N1372" s="4" t="str">
        <f>_xlfn.CONCAT("DBX",((L1372-1)*2),".6")</f>
        <v>DBX170.6</v>
      </c>
      <c r="O1372" s="210" t="s">
        <v>782</v>
      </c>
      <c r="P1372" s="210"/>
      <c r="Q1372" s="210"/>
      <c r="R1372" s="210"/>
      <c r="S1372" s="210"/>
      <c r="T1372" s="210"/>
      <c r="U1372" s="210"/>
      <c r="V1372" s="210"/>
      <c r="W1372" s="210"/>
      <c r="X1372" s="210"/>
      <c r="Y1372" s="210"/>
      <c r="Z1372" s="210"/>
      <c r="AA1372" s="210"/>
      <c r="AB1372" s="210"/>
      <c r="AC1372" s="210"/>
      <c r="AD1372" s="210"/>
      <c r="AE1372" s="210"/>
    </row>
    <row r="1373" spans="1:31" x14ac:dyDescent="0.2">
      <c r="A1373" s="209"/>
      <c r="B1373" s="4" t="s">
        <v>34</v>
      </c>
      <c r="C1373" s="4">
        <v>1368</v>
      </c>
      <c r="D1373" s="210"/>
      <c r="E1373" s="210"/>
      <c r="F1373" s="210"/>
      <c r="G1373" s="210"/>
      <c r="H1373" s="210"/>
      <c r="I1373" s="210"/>
      <c r="J1373" s="4">
        <v>40568</v>
      </c>
      <c r="K1373" s="210"/>
      <c r="L1373" s="210">
        <v>86</v>
      </c>
      <c r="M1373" s="4">
        <f t="shared" si="27"/>
        <v>7</v>
      </c>
      <c r="N1373" s="4" t="str">
        <f>_xlfn.CONCAT("DBX",((L1373-1)*2),".7")</f>
        <v>DBX170.7</v>
      </c>
      <c r="O1373" s="210" t="s">
        <v>782</v>
      </c>
      <c r="P1373" s="210"/>
      <c r="Q1373" s="210"/>
      <c r="R1373" s="210"/>
      <c r="S1373" s="210"/>
      <c r="T1373" s="210"/>
      <c r="U1373" s="210"/>
      <c r="V1373" s="210"/>
      <c r="W1373" s="210"/>
      <c r="X1373" s="210"/>
      <c r="Y1373" s="210"/>
      <c r="Z1373" s="210"/>
      <c r="AA1373" s="210"/>
      <c r="AB1373" s="210"/>
      <c r="AC1373" s="210"/>
      <c r="AD1373" s="210"/>
      <c r="AE1373" s="210"/>
    </row>
    <row r="1374" spans="1:31" x14ac:dyDescent="0.2">
      <c r="A1374" s="209"/>
      <c r="B1374" s="4" t="s">
        <v>34</v>
      </c>
      <c r="C1374" s="4">
        <v>1369</v>
      </c>
      <c r="D1374" s="210"/>
      <c r="E1374" s="210"/>
      <c r="F1374" s="210"/>
      <c r="G1374" s="210"/>
      <c r="H1374" s="210"/>
      <c r="I1374" s="210"/>
      <c r="J1374" s="4">
        <v>40569</v>
      </c>
      <c r="K1374" s="210"/>
      <c r="L1374" s="210">
        <v>86</v>
      </c>
      <c r="M1374" s="4">
        <f t="shared" si="27"/>
        <v>8</v>
      </c>
      <c r="N1374" s="4" t="str">
        <f>_xlfn.CONCAT("DBX",((L1374-1)*2)+1,".0")</f>
        <v>DBX171.0</v>
      </c>
      <c r="O1374" s="210" t="s">
        <v>782</v>
      </c>
      <c r="P1374" s="210"/>
      <c r="Q1374" s="210"/>
      <c r="R1374" s="210"/>
      <c r="S1374" s="210"/>
      <c r="T1374" s="210"/>
      <c r="U1374" s="210"/>
      <c r="V1374" s="210"/>
      <c r="W1374" s="210"/>
      <c r="X1374" s="210"/>
      <c r="Y1374" s="210"/>
      <c r="Z1374" s="210"/>
      <c r="AA1374" s="210"/>
      <c r="AB1374" s="210"/>
      <c r="AC1374" s="210"/>
      <c r="AD1374" s="210"/>
      <c r="AE1374" s="210"/>
    </row>
    <row r="1375" spans="1:31" x14ac:dyDescent="0.2">
      <c r="A1375" s="209"/>
      <c r="B1375" s="4" t="s">
        <v>34</v>
      </c>
      <c r="C1375" s="4">
        <v>1370</v>
      </c>
      <c r="D1375" s="210"/>
      <c r="E1375" s="210"/>
      <c r="F1375" s="210"/>
      <c r="G1375" s="210"/>
      <c r="H1375" s="210"/>
      <c r="I1375" s="210"/>
      <c r="J1375" s="4">
        <v>40570</v>
      </c>
      <c r="K1375" s="210"/>
      <c r="L1375" s="210">
        <v>86</v>
      </c>
      <c r="M1375" s="4">
        <f t="shared" si="27"/>
        <v>9</v>
      </c>
      <c r="N1375" s="4" t="str">
        <f>_xlfn.CONCAT("DBX",((L1375-1)*2)+1,".1")</f>
        <v>DBX171.1</v>
      </c>
      <c r="O1375" s="210" t="s">
        <v>782</v>
      </c>
      <c r="P1375" s="210"/>
      <c r="Q1375" s="210"/>
      <c r="R1375" s="210"/>
      <c r="S1375" s="210"/>
      <c r="T1375" s="210"/>
      <c r="U1375" s="210"/>
      <c r="V1375" s="210"/>
      <c r="W1375" s="210"/>
      <c r="X1375" s="210"/>
      <c r="Y1375" s="210"/>
      <c r="Z1375" s="210"/>
      <c r="AA1375" s="210"/>
      <c r="AB1375" s="210"/>
      <c r="AC1375" s="210"/>
      <c r="AD1375" s="210"/>
      <c r="AE1375" s="210"/>
    </row>
    <row r="1376" spans="1:31" x14ac:dyDescent="0.2">
      <c r="A1376" s="209"/>
      <c r="B1376" s="4" t="s">
        <v>34</v>
      </c>
      <c r="C1376" s="4">
        <v>1371</v>
      </c>
      <c r="D1376" s="210"/>
      <c r="E1376" s="210"/>
      <c r="F1376" s="210"/>
      <c r="G1376" s="210"/>
      <c r="H1376" s="210"/>
      <c r="I1376" s="210"/>
      <c r="J1376" s="4">
        <v>40571</v>
      </c>
      <c r="K1376" s="210"/>
      <c r="L1376" s="210">
        <v>86</v>
      </c>
      <c r="M1376" s="4">
        <f t="shared" si="27"/>
        <v>10</v>
      </c>
      <c r="N1376" s="4" t="str">
        <f>_xlfn.CONCAT("DBX",((L1376-1)*2)+1,".2")</f>
        <v>DBX171.2</v>
      </c>
      <c r="O1376" s="210" t="s">
        <v>782</v>
      </c>
      <c r="P1376" s="210"/>
      <c r="Q1376" s="210"/>
      <c r="R1376" s="210"/>
      <c r="S1376" s="210"/>
      <c r="T1376" s="210"/>
      <c r="U1376" s="210"/>
      <c r="V1376" s="210"/>
      <c r="W1376" s="210"/>
      <c r="X1376" s="210"/>
      <c r="Y1376" s="210"/>
      <c r="Z1376" s="210"/>
      <c r="AA1376" s="210"/>
      <c r="AB1376" s="210"/>
      <c r="AC1376" s="210"/>
      <c r="AD1376" s="210"/>
      <c r="AE1376" s="210"/>
    </row>
    <row r="1377" spans="1:31" x14ac:dyDescent="0.2">
      <c r="A1377" s="209"/>
      <c r="B1377" s="4" t="s">
        <v>34</v>
      </c>
      <c r="C1377" s="4">
        <v>1372</v>
      </c>
      <c r="D1377" s="210"/>
      <c r="E1377" s="210"/>
      <c r="F1377" s="210"/>
      <c r="G1377" s="210"/>
      <c r="H1377" s="210"/>
      <c r="I1377" s="210"/>
      <c r="J1377" s="4">
        <v>40572</v>
      </c>
      <c r="K1377" s="210"/>
      <c r="L1377" s="210">
        <v>86</v>
      </c>
      <c r="M1377" s="4">
        <f t="shared" si="27"/>
        <v>11</v>
      </c>
      <c r="N1377" s="4" t="str">
        <f>_xlfn.CONCAT("DBX",((L1377-1)*2)+1,".3")</f>
        <v>DBX171.3</v>
      </c>
      <c r="O1377" s="210" t="s">
        <v>782</v>
      </c>
      <c r="P1377" s="210"/>
      <c r="Q1377" s="210"/>
      <c r="R1377" s="210"/>
      <c r="S1377" s="210"/>
      <c r="T1377" s="210"/>
      <c r="U1377" s="210"/>
      <c r="V1377" s="210"/>
      <c r="W1377" s="210"/>
      <c r="X1377" s="210"/>
      <c r="Y1377" s="210"/>
      <c r="Z1377" s="210"/>
      <c r="AA1377" s="210"/>
      <c r="AB1377" s="210"/>
      <c r="AC1377" s="210"/>
      <c r="AD1377" s="210"/>
      <c r="AE1377" s="210"/>
    </row>
    <row r="1378" spans="1:31" x14ac:dyDescent="0.2">
      <c r="A1378" s="209"/>
      <c r="B1378" s="4" t="s">
        <v>34</v>
      </c>
      <c r="C1378" s="4">
        <v>1373</v>
      </c>
      <c r="D1378" s="210"/>
      <c r="E1378" s="210"/>
      <c r="F1378" s="210"/>
      <c r="G1378" s="210"/>
      <c r="H1378" s="210"/>
      <c r="I1378" s="210"/>
      <c r="J1378" s="4">
        <v>40573</v>
      </c>
      <c r="K1378" s="210"/>
      <c r="L1378" s="210">
        <v>86</v>
      </c>
      <c r="M1378" s="4">
        <f t="shared" si="27"/>
        <v>12</v>
      </c>
      <c r="N1378" s="4" t="str">
        <f>_xlfn.CONCAT("DBX",((L1378-1)*2)+1,".4")</f>
        <v>DBX171.4</v>
      </c>
      <c r="O1378" s="210" t="s">
        <v>782</v>
      </c>
      <c r="P1378" s="210"/>
      <c r="Q1378" s="210"/>
      <c r="R1378" s="210"/>
      <c r="S1378" s="210"/>
      <c r="T1378" s="210"/>
      <c r="U1378" s="210"/>
      <c r="V1378" s="210"/>
      <c r="W1378" s="210"/>
      <c r="X1378" s="210"/>
      <c r="Y1378" s="210"/>
      <c r="Z1378" s="210"/>
      <c r="AA1378" s="210"/>
      <c r="AB1378" s="210"/>
      <c r="AC1378" s="210"/>
      <c r="AD1378" s="210"/>
      <c r="AE1378" s="210"/>
    </row>
    <row r="1379" spans="1:31" x14ac:dyDescent="0.2">
      <c r="A1379" s="209"/>
      <c r="B1379" s="4" t="s">
        <v>34</v>
      </c>
      <c r="C1379" s="4">
        <v>1374</v>
      </c>
      <c r="D1379" s="210"/>
      <c r="E1379" s="210"/>
      <c r="F1379" s="210"/>
      <c r="G1379" s="210"/>
      <c r="H1379" s="210"/>
      <c r="I1379" s="210"/>
      <c r="J1379" s="4">
        <v>40574</v>
      </c>
      <c r="K1379" s="210"/>
      <c r="L1379" s="210">
        <v>86</v>
      </c>
      <c r="M1379" s="4">
        <f t="shared" si="27"/>
        <v>13</v>
      </c>
      <c r="N1379" s="4" t="str">
        <f>_xlfn.CONCAT("DBX",((L1379-1)*2)+1,".5")</f>
        <v>DBX171.5</v>
      </c>
      <c r="O1379" s="210" t="s">
        <v>782</v>
      </c>
      <c r="P1379" s="210"/>
      <c r="Q1379" s="210"/>
      <c r="R1379" s="210"/>
      <c r="S1379" s="210"/>
      <c r="T1379" s="210"/>
      <c r="U1379" s="210"/>
      <c r="V1379" s="210"/>
      <c r="W1379" s="210"/>
      <c r="X1379" s="210"/>
      <c r="Y1379" s="210"/>
      <c r="Z1379" s="210"/>
      <c r="AA1379" s="210"/>
      <c r="AB1379" s="210"/>
      <c r="AC1379" s="210"/>
      <c r="AD1379" s="210"/>
      <c r="AE1379" s="210"/>
    </row>
    <row r="1380" spans="1:31" x14ac:dyDescent="0.2">
      <c r="A1380" s="209"/>
      <c r="B1380" s="4" t="s">
        <v>34</v>
      </c>
      <c r="C1380" s="4">
        <v>1375</v>
      </c>
      <c r="D1380" s="210"/>
      <c r="E1380" s="210"/>
      <c r="F1380" s="210"/>
      <c r="G1380" s="210"/>
      <c r="H1380" s="210"/>
      <c r="I1380" s="210"/>
      <c r="J1380" s="4">
        <v>40575</v>
      </c>
      <c r="K1380" s="210"/>
      <c r="L1380" s="210">
        <v>86</v>
      </c>
      <c r="M1380" s="4">
        <f t="shared" si="27"/>
        <v>14</v>
      </c>
      <c r="N1380" s="4" t="str">
        <f>_xlfn.CONCAT("DBX",((L1380-1)*2)+1,".6")</f>
        <v>DBX171.6</v>
      </c>
      <c r="O1380" s="210" t="s">
        <v>782</v>
      </c>
      <c r="P1380" s="210"/>
      <c r="Q1380" s="210"/>
      <c r="R1380" s="210"/>
      <c r="S1380" s="210"/>
      <c r="T1380" s="210"/>
      <c r="U1380" s="210"/>
      <c r="V1380" s="210"/>
      <c r="W1380" s="210"/>
      <c r="X1380" s="210"/>
      <c r="Y1380" s="210"/>
      <c r="Z1380" s="210"/>
      <c r="AA1380" s="210"/>
      <c r="AB1380" s="210"/>
      <c r="AC1380" s="210"/>
      <c r="AD1380" s="210"/>
      <c r="AE1380" s="210"/>
    </row>
    <row r="1381" spans="1:31" x14ac:dyDescent="0.2">
      <c r="A1381" s="209"/>
      <c r="B1381" s="4" t="s">
        <v>34</v>
      </c>
      <c r="C1381" s="4">
        <v>1376</v>
      </c>
      <c r="D1381" s="210"/>
      <c r="E1381" s="210"/>
      <c r="F1381" s="210"/>
      <c r="G1381" s="210"/>
      <c r="H1381" s="210"/>
      <c r="I1381" s="210"/>
      <c r="J1381" s="4">
        <v>40576</v>
      </c>
      <c r="K1381" s="210"/>
      <c r="L1381" s="210">
        <v>86</v>
      </c>
      <c r="M1381" s="4">
        <f t="shared" si="27"/>
        <v>15</v>
      </c>
      <c r="N1381" s="4" t="str">
        <f>_xlfn.CONCAT("DBX",((L1381-1)*2)+1,".7")</f>
        <v>DBX171.7</v>
      </c>
      <c r="O1381" s="210" t="s">
        <v>782</v>
      </c>
      <c r="P1381" s="210"/>
      <c r="Q1381" s="210"/>
      <c r="R1381" s="210"/>
      <c r="S1381" s="210"/>
      <c r="T1381" s="210"/>
      <c r="U1381" s="210"/>
      <c r="V1381" s="210"/>
      <c r="W1381" s="210"/>
      <c r="X1381" s="210"/>
      <c r="Y1381" s="210"/>
      <c r="Z1381" s="210"/>
      <c r="AA1381" s="210"/>
      <c r="AB1381" s="210"/>
      <c r="AC1381" s="210"/>
      <c r="AD1381" s="210"/>
      <c r="AE1381" s="210"/>
    </row>
    <row r="1382" spans="1:31" x14ac:dyDescent="0.2">
      <c r="A1382" s="209"/>
      <c r="B1382" s="4" t="s">
        <v>34</v>
      </c>
      <c r="C1382" s="4">
        <v>1377</v>
      </c>
      <c r="D1382" s="210"/>
      <c r="E1382" s="210"/>
      <c r="F1382" s="210"/>
      <c r="G1382" s="210"/>
      <c r="H1382" s="210"/>
      <c r="I1382" s="210"/>
      <c r="J1382" s="4">
        <v>40577</v>
      </c>
      <c r="K1382" s="210"/>
      <c r="L1382" s="210">
        <v>87</v>
      </c>
      <c r="M1382" s="4">
        <v>0</v>
      </c>
      <c r="N1382" s="4" t="str">
        <f>_xlfn.CONCAT("DBX",((L1382-1)*2),".0")</f>
        <v>DBX172.0</v>
      </c>
      <c r="O1382" s="210" t="s">
        <v>782</v>
      </c>
      <c r="P1382" s="210"/>
      <c r="Q1382" s="210"/>
      <c r="R1382" s="210"/>
      <c r="S1382" s="210"/>
      <c r="T1382" s="210"/>
      <c r="U1382" s="210"/>
      <c r="V1382" s="210"/>
      <c r="W1382" s="210"/>
      <c r="X1382" s="210"/>
      <c r="Y1382" s="210"/>
      <c r="Z1382" s="210"/>
      <c r="AA1382" s="210"/>
      <c r="AB1382" s="210"/>
      <c r="AC1382" s="210"/>
      <c r="AD1382" s="210"/>
      <c r="AE1382" s="210"/>
    </row>
    <row r="1383" spans="1:31" x14ac:dyDescent="0.2">
      <c r="A1383" s="209"/>
      <c r="B1383" s="4" t="s">
        <v>34</v>
      </c>
      <c r="C1383" s="4">
        <v>1378</v>
      </c>
      <c r="D1383" s="210"/>
      <c r="E1383" s="210"/>
      <c r="F1383" s="210"/>
      <c r="G1383" s="210"/>
      <c r="H1383" s="210"/>
      <c r="I1383" s="210"/>
      <c r="J1383" s="4">
        <v>40578</v>
      </c>
      <c r="K1383" s="210"/>
      <c r="L1383" s="210">
        <v>87</v>
      </c>
      <c r="M1383" s="4">
        <v>1</v>
      </c>
      <c r="N1383" s="4" t="str">
        <f>_xlfn.CONCAT("DBX",((L1383-1)*2),".1")</f>
        <v>DBX172.1</v>
      </c>
      <c r="O1383" s="210" t="s">
        <v>782</v>
      </c>
      <c r="P1383" s="210"/>
      <c r="Q1383" s="210"/>
      <c r="R1383" s="210"/>
      <c r="S1383" s="210"/>
      <c r="T1383" s="210"/>
      <c r="U1383" s="210"/>
      <c r="V1383" s="210"/>
      <c r="W1383" s="210"/>
      <c r="X1383" s="210"/>
      <c r="Y1383" s="210"/>
      <c r="Z1383" s="210"/>
      <c r="AA1383" s="210"/>
      <c r="AB1383" s="210"/>
      <c r="AC1383" s="210"/>
      <c r="AD1383" s="210"/>
      <c r="AE1383" s="210"/>
    </row>
    <row r="1384" spans="1:31" x14ac:dyDescent="0.2">
      <c r="A1384" s="209"/>
      <c r="B1384" s="4" t="s">
        <v>34</v>
      </c>
      <c r="C1384" s="4">
        <v>1379</v>
      </c>
      <c r="D1384" s="210"/>
      <c r="E1384" s="210"/>
      <c r="F1384" s="210"/>
      <c r="G1384" s="210"/>
      <c r="H1384" s="210"/>
      <c r="I1384" s="210"/>
      <c r="J1384" s="4">
        <v>40579</v>
      </c>
      <c r="K1384" s="210"/>
      <c r="L1384" s="210">
        <v>87</v>
      </c>
      <c r="M1384" s="4">
        <v>2</v>
      </c>
      <c r="N1384" s="4" t="str">
        <f>_xlfn.CONCAT("DBX",((L1384-1)*2),".2")</f>
        <v>DBX172.2</v>
      </c>
      <c r="O1384" s="210" t="s">
        <v>782</v>
      </c>
      <c r="P1384" s="210"/>
      <c r="Q1384" s="210"/>
      <c r="R1384" s="210"/>
      <c r="S1384" s="210"/>
      <c r="T1384" s="210"/>
      <c r="U1384" s="210"/>
      <c r="V1384" s="210"/>
      <c r="W1384" s="210"/>
      <c r="X1384" s="210"/>
      <c r="Y1384" s="210"/>
      <c r="Z1384" s="210"/>
      <c r="AA1384" s="210"/>
      <c r="AB1384" s="210"/>
      <c r="AC1384" s="210"/>
      <c r="AD1384" s="210"/>
      <c r="AE1384" s="210"/>
    </row>
    <row r="1385" spans="1:31" x14ac:dyDescent="0.2">
      <c r="A1385" s="209"/>
      <c r="B1385" s="4" t="s">
        <v>34</v>
      </c>
      <c r="C1385" s="4">
        <v>1380</v>
      </c>
      <c r="D1385" s="210"/>
      <c r="E1385" s="210"/>
      <c r="F1385" s="210"/>
      <c r="G1385" s="210"/>
      <c r="H1385" s="210"/>
      <c r="I1385" s="210"/>
      <c r="J1385" s="4">
        <v>40580</v>
      </c>
      <c r="K1385" s="210"/>
      <c r="L1385" s="210">
        <v>87</v>
      </c>
      <c r="M1385" s="4">
        <v>3</v>
      </c>
      <c r="N1385" s="4" t="str">
        <f>_xlfn.CONCAT("DBX",((L1385-1)*2),".3")</f>
        <v>DBX172.3</v>
      </c>
      <c r="O1385" s="210" t="s">
        <v>782</v>
      </c>
      <c r="P1385" s="210"/>
      <c r="Q1385" s="210"/>
      <c r="R1385" s="210"/>
      <c r="S1385" s="210"/>
      <c r="T1385" s="210"/>
      <c r="U1385" s="210"/>
      <c r="V1385" s="210"/>
      <c r="W1385" s="210"/>
      <c r="X1385" s="210"/>
      <c r="Y1385" s="210"/>
      <c r="Z1385" s="210"/>
      <c r="AA1385" s="210"/>
      <c r="AB1385" s="210"/>
      <c r="AC1385" s="210"/>
      <c r="AD1385" s="210"/>
      <c r="AE1385" s="210"/>
    </row>
    <row r="1386" spans="1:31" x14ac:dyDescent="0.2">
      <c r="A1386" s="209"/>
      <c r="B1386" s="4" t="s">
        <v>34</v>
      </c>
      <c r="C1386" s="4">
        <v>1381</v>
      </c>
      <c r="D1386" s="210"/>
      <c r="E1386" s="210"/>
      <c r="F1386" s="210"/>
      <c r="G1386" s="210"/>
      <c r="H1386" s="210"/>
      <c r="I1386" s="210"/>
      <c r="J1386" s="4">
        <v>40581</v>
      </c>
      <c r="K1386" s="210"/>
      <c r="L1386" s="210">
        <v>87</v>
      </c>
      <c r="M1386" s="4">
        <v>4</v>
      </c>
      <c r="N1386" s="4" t="str">
        <f>_xlfn.CONCAT("DBX",((L1386-1)*2),".4")</f>
        <v>DBX172.4</v>
      </c>
      <c r="O1386" s="210" t="s">
        <v>782</v>
      </c>
      <c r="P1386" s="210"/>
      <c r="Q1386" s="210"/>
      <c r="R1386" s="210"/>
      <c r="S1386" s="210"/>
      <c r="T1386" s="210"/>
      <c r="U1386" s="210"/>
      <c r="V1386" s="210"/>
      <c r="W1386" s="210"/>
      <c r="X1386" s="210"/>
      <c r="Y1386" s="210"/>
      <c r="Z1386" s="210"/>
      <c r="AA1386" s="210"/>
      <c r="AB1386" s="210"/>
      <c r="AC1386" s="210"/>
      <c r="AD1386" s="210"/>
      <c r="AE1386" s="210"/>
    </row>
    <row r="1387" spans="1:31" x14ac:dyDescent="0.2">
      <c r="A1387" s="209"/>
      <c r="B1387" s="4" t="s">
        <v>34</v>
      </c>
      <c r="C1387" s="4">
        <v>1382</v>
      </c>
      <c r="D1387" s="210"/>
      <c r="E1387" s="210"/>
      <c r="F1387" s="210"/>
      <c r="G1387" s="210"/>
      <c r="H1387" s="210"/>
      <c r="I1387" s="210"/>
      <c r="J1387" s="4">
        <v>40582</v>
      </c>
      <c r="K1387" s="210"/>
      <c r="L1387" s="210">
        <v>87</v>
      </c>
      <c r="M1387" s="4">
        <v>5</v>
      </c>
      <c r="N1387" s="4" t="str">
        <f>_xlfn.CONCAT("DBX",((L1387-1)*2),".5")</f>
        <v>DBX172.5</v>
      </c>
      <c r="O1387" s="210" t="s">
        <v>782</v>
      </c>
      <c r="P1387" s="210"/>
      <c r="Q1387" s="210"/>
      <c r="R1387" s="210"/>
      <c r="S1387" s="210"/>
      <c r="T1387" s="210"/>
      <c r="U1387" s="210"/>
      <c r="V1387" s="210"/>
      <c r="W1387" s="210"/>
      <c r="X1387" s="210"/>
      <c r="Y1387" s="210"/>
      <c r="Z1387" s="210"/>
      <c r="AA1387" s="210"/>
      <c r="AB1387" s="210"/>
      <c r="AC1387" s="210"/>
      <c r="AD1387" s="210"/>
      <c r="AE1387" s="210"/>
    </row>
    <row r="1388" spans="1:31" x14ac:dyDescent="0.2">
      <c r="A1388" s="209"/>
      <c r="B1388" s="4" t="s">
        <v>34</v>
      </c>
      <c r="C1388" s="4">
        <v>1383</v>
      </c>
      <c r="D1388" s="210"/>
      <c r="E1388" s="210"/>
      <c r="F1388" s="210"/>
      <c r="G1388" s="210"/>
      <c r="H1388" s="210"/>
      <c r="I1388" s="210"/>
      <c r="J1388" s="4">
        <v>40583</v>
      </c>
      <c r="K1388" s="210"/>
      <c r="L1388" s="210">
        <v>87</v>
      </c>
      <c r="M1388" s="4">
        <v>6</v>
      </c>
      <c r="N1388" s="4" t="str">
        <f>_xlfn.CONCAT("DBX",((L1388-1)*2),".6")</f>
        <v>DBX172.6</v>
      </c>
      <c r="O1388" s="210" t="s">
        <v>782</v>
      </c>
      <c r="P1388" s="210"/>
      <c r="Q1388" s="210"/>
      <c r="R1388" s="210"/>
      <c r="S1388" s="210"/>
      <c r="T1388" s="210"/>
      <c r="U1388" s="210"/>
      <c r="V1388" s="210"/>
      <c r="W1388" s="210"/>
      <c r="X1388" s="210"/>
      <c r="Y1388" s="210"/>
      <c r="Z1388" s="210"/>
      <c r="AA1388" s="210"/>
      <c r="AB1388" s="210"/>
      <c r="AC1388" s="210"/>
      <c r="AD1388" s="210"/>
      <c r="AE1388" s="210"/>
    </row>
    <row r="1389" spans="1:31" x14ac:dyDescent="0.2">
      <c r="A1389" s="209"/>
      <c r="B1389" s="4" t="s">
        <v>34</v>
      </c>
      <c r="C1389" s="4">
        <v>1384</v>
      </c>
      <c r="D1389" s="210"/>
      <c r="E1389" s="210"/>
      <c r="F1389" s="210"/>
      <c r="G1389" s="210"/>
      <c r="H1389" s="210"/>
      <c r="I1389" s="210"/>
      <c r="J1389" s="4">
        <v>40584</v>
      </c>
      <c r="K1389" s="210"/>
      <c r="L1389" s="210">
        <v>87</v>
      </c>
      <c r="M1389" s="4">
        <v>7</v>
      </c>
      <c r="N1389" s="4" t="str">
        <f>_xlfn.CONCAT("DBX",((L1389-1)*2),".7")</f>
        <v>DBX172.7</v>
      </c>
      <c r="O1389" s="210" t="s">
        <v>782</v>
      </c>
      <c r="P1389" s="210"/>
      <c r="Q1389" s="210"/>
      <c r="R1389" s="210"/>
      <c r="S1389" s="210"/>
      <c r="T1389" s="210"/>
      <c r="U1389" s="210"/>
      <c r="V1389" s="210"/>
      <c r="W1389" s="210"/>
      <c r="X1389" s="210"/>
      <c r="Y1389" s="210"/>
      <c r="Z1389" s="210"/>
      <c r="AA1389" s="210"/>
      <c r="AB1389" s="210"/>
      <c r="AC1389" s="210"/>
      <c r="AD1389" s="210"/>
      <c r="AE1389" s="210"/>
    </row>
    <row r="1390" spans="1:31" x14ac:dyDescent="0.2">
      <c r="A1390" s="209"/>
      <c r="B1390" s="4" t="s">
        <v>34</v>
      </c>
      <c r="C1390" s="4">
        <v>1385</v>
      </c>
      <c r="D1390" s="210"/>
      <c r="E1390" s="210"/>
      <c r="F1390" s="210"/>
      <c r="G1390" s="210"/>
      <c r="H1390" s="210"/>
      <c r="I1390" s="210"/>
      <c r="J1390" s="4">
        <v>40585</v>
      </c>
      <c r="K1390" s="210"/>
      <c r="L1390" s="210">
        <v>87</v>
      </c>
      <c r="M1390" s="4">
        <v>8</v>
      </c>
      <c r="N1390" s="4" t="str">
        <f>_xlfn.CONCAT("DBX",((L1390-1)*2)+1,".0")</f>
        <v>DBX173.0</v>
      </c>
      <c r="O1390" s="210" t="s">
        <v>782</v>
      </c>
      <c r="P1390" s="210"/>
      <c r="Q1390" s="210"/>
      <c r="R1390" s="210"/>
      <c r="S1390" s="210"/>
      <c r="T1390" s="210"/>
      <c r="U1390" s="210"/>
      <c r="V1390" s="210"/>
      <c r="W1390" s="210"/>
      <c r="X1390" s="210"/>
      <c r="Y1390" s="210"/>
      <c r="Z1390" s="210"/>
      <c r="AA1390" s="210"/>
      <c r="AB1390" s="210"/>
      <c r="AC1390" s="210"/>
      <c r="AD1390" s="210"/>
      <c r="AE1390" s="210"/>
    </row>
    <row r="1391" spans="1:31" x14ac:dyDescent="0.2">
      <c r="A1391" s="209"/>
      <c r="B1391" s="4" t="s">
        <v>34</v>
      </c>
      <c r="C1391" s="4">
        <v>1386</v>
      </c>
      <c r="D1391" s="210"/>
      <c r="E1391" s="210"/>
      <c r="F1391" s="210"/>
      <c r="G1391" s="210"/>
      <c r="H1391" s="210"/>
      <c r="I1391" s="210"/>
      <c r="J1391" s="4">
        <v>40586</v>
      </c>
      <c r="K1391" s="210"/>
      <c r="L1391" s="210">
        <v>87</v>
      </c>
      <c r="M1391" s="4">
        <v>9</v>
      </c>
      <c r="N1391" s="4" t="str">
        <f>_xlfn.CONCAT("DBX",((L1391-1)*2)+1,".1")</f>
        <v>DBX173.1</v>
      </c>
      <c r="O1391" s="210" t="s">
        <v>782</v>
      </c>
      <c r="P1391" s="210"/>
      <c r="Q1391" s="210"/>
      <c r="R1391" s="210"/>
      <c r="S1391" s="210"/>
      <c r="T1391" s="210"/>
      <c r="U1391" s="210"/>
      <c r="V1391" s="210"/>
      <c r="W1391" s="210"/>
      <c r="X1391" s="210"/>
      <c r="Y1391" s="210"/>
      <c r="Z1391" s="210"/>
      <c r="AA1391" s="210"/>
      <c r="AB1391" s="210"/>
      <c r="AC1391" s="210"/>
      <c r="AD1391" s="210"/>
      <c r="AE1391" s="210"/>
    </row>
    <row r="1392" spans="1:31" x14ac:dyDescent="0.2">
      <c r="A1392" s="209"/>
      <c r="B1392" s="4" t="s">
        <v>34</v>
      </c>
      <c r="C1392" s="4">
        <v>1387</v>
      </c>
      <c r="D1392" s="210"/>
      <c r="E1392" s="210"/>
      <c r="F1392" s="210"/>
      <c r="G1392" s="210"/>
      <c r="H1392" s="210"/>
      <c r="I1392" s="210"/>
      <c r="J1392" s="4">
        <v>40587</v>
      </c>
      <c r="K1392" s="210"/>
      <c r="L1392" s="210">
        <v>87</v>
      </c>
      <c r="M1392" s="4">
        <v>10</v>
      </c>
      <c r="N1392" s="4" t="str">
        <f>_xlfn.CONCAT("DBX",((L1392-1)*2)+1,".2")</f>
        <v>DBX173.2</v>
      </c>
      <c r="O1392" s="210" t="s">
        <v>782</v>
      </c>
      <c r="P1392" s="210"/>
      <c r="Q1392" s="210"/>
      <c r="R1392" s="210"/>
      <c r="S1392" s="210"/>
      <c r="T1392" s="210"/>
      <c r="U1392" s="210"/>
      <c r="V1392" s="210"/>
      <c r="W1392" s="210"/>
      <c r="X1392" s="210"/>
      <c r="Y1392" s="210"/>
      <c r="Z1392" s="210"/>
      <c r="AA1392" s="210"/>
      <c r="AB1392" s="210"/>
      <c r="AC1392" s="210"/>
      <c r="AD1392" s="210"/>
      <c r="AE1392" s="210"/>
    </row>
    <row r="1393" spans="1:31" x14ac:dyDescent="0.2">
      <c r="A1393" s="209"/>
      <c r="B1393" s="4" t="s">
        <v>34</v>
      </c>
      <c r="C1393" s="4">
        <v>1388</v>
      </c>
      <c r="D1393" s="210"/>
      <c r="E1393" s="210"/>
      <c r="F1393" s="210"/>
      <c r="G1393" s="210"/>
      <c r="H1393" s="210"/>
      <c r="I1393" s="210"/>
      <c r="J1393" s="4">
        <v>40588</v>
      </c>
      <c r="K1393" s="210"/>
      <c r="L1393" s="210">
        <v>87</v>
      </c>
      <c r="M1393" s="4">
        <v>11</v>
      </c>
      <c r="N1393" s="4" t="str">
        <f>_xlfn.CONCAT("DBX",((L1393-1)*2)+1,".3")</f>
        <v>DBX173.3</v>
      </c>
      <c r="O1393" s="210" t="s">
        <v>782</v>
      </c>
      <c r="P1393" s="210"/>
      <c r="Q1393" s="210"/>
      <c r="R1393" s="210"/>
      <c r="S1393" s="210"/>
      <c r="T1393" s="210"/>
      <c r="U1393" s="210"/>
      <c r="V1393" s="210"/>
      <c r="W1393" s="210"/>
      <c r="X1393" s="210"/>
      <c r="Y1393" s="210"/>
      <c r="Z1393" s="210"/>
      <c r="AA1393" s="210"/>
      <c r="AB1393" s="210"/>
      <c r="AC1393" s="210"/>
      <c r="AD1393" s="210"/>
      <c r="AE1393" s="210"/>
    </row>
    <row r="1394" spans="1:31" x14ac:dyDescent="0.2">
      <c r="A1394" s="209"/>
      <c r="B1394" s="4" t="s">
        <v>34</v>
      </c>
      <c r="C1394" s="4">
        <v>1389</v>
      </c>
      <c r="D1394" s="210"/>
      <c r="E1394" s="210"/>
      <c r="F1394" s="210"/>
      <c r="G1394" s="210"/>
      <c r="H1394" s="210"/>
      <c r="I1394" s="210"/>
      <c r="J1394" s="4">
        <v>40589</v>
      </c>
      <c r="K1394" s="210"/>
      <c r="L1394" s="210">
        <v>87</v>
      </c>
      <c r="M1394" s="4">
        <v>12</v>
      </c>
      <c r="N1394" s="4" t="str">
        <f>_xlfn.CONCAT("DBX",((L1394-1)*2)+1,".4")</f>
        <v>DBX173.4</v>
      </c>
      <c r="O1394" s="210" t="s">
        <v>782</v>
      </c>
      <c r="P1394" s="210"/>
      <c r="Q1394" s="210"/>
      <c r="R1394" s="210"/>
      <c r="S1394" s="210"/>
      <c r="T1394" s="210"/>
      <c r="U1394" s="210"/>
      <c r="V1394" s="210"/>
      <c r="W1394" s="210"/>
      <c r="X1394" s="210"/>
      <c r="Y1394" s="210"/>
      <c r="Z1394" s="210"/>
      <c r="AA1394" s="210"/>
      <c r="AB1394" s="210"/>
      <c r="AC1394" s="210"/>
      <c r="AD1394" s="210"/>
      <c r="AE1394" s="210"/>
    </row>
    <row r="1395" spans="1:31" x14ac:dyDescent="0.2">
      <c r="A1395" s="209"/>
      <c r="B1395" s="4" t="s">
        <v>34</v>
      </c>
      <c r="C1395" s="4">
        <v>1390</v>
      </c>
      <c r="D1395" s="210"/>
      <c r="E1395" s="210"/>
      <c r="F1395" s="210"/>
      <c r="G1395" s="210"/>
      <c r="H1395" s="210"/>
      <c r="I1395" s="210"/>
      <c r="J1395" s="4">
        <v>40590</v>
      </c>
      <c r="K1395" s="210"/>
      <c r="L1395" s="210">
        <v>87</v>
      </c>
      <c r="M1395" s="4">
        <v>13</v>
      </c>
      <c r="N1395" s="4" t="str">
        <f>_xlfn.CONCAT("DBX",((L1395-1)*2)+1,".5")</f>
        <v>DBX173.5</v>
      </c>
      <c r="O1395" s="210" t="s">
        <v>782</v>
      </c>
      <c r="P1395" s="210"/>
      <c r="Q1395" s="210"/>
      <c r="R1395" s="210"/>
      <c r="S1395" s="210"/>
      <c r="T1395" s="210"/>
      <c r="U1395" s="210"/>
      <c r="V1395" s="210"/>
      <c r="W1395" s="210"/>
      <c r="X1395" s="210"/>
      <c r="Y1395" s="210"/>
      <c r="Z1395" s="210"/>
      <c r="AA1395" s="210"/>
      <c r="AB1395" s="210"/>
      <c r="AC1395" s="210"/>
      <c r="AD1395" s="210"/>
      <c r="AE1395" s="210"/>
    </row>
    <row r="1396" spans="1:31" x14ac:dyDescent="0.2">
      <c r="A1396" s="209"/>
      <c r="B1396" s="4" t="s">
        <v>34</v>
      </c>
      <c r="C1396" s="4">
        <v>1391</v>
      </c>
      <c r="D1396" s="210"/>
      <c r="E1396" s="210"/>
      <c r="F1396" s="210"/>
      <c r="G1396" s="210"/>
      <c r="H1396" s="210"/>
      <c r="I1396" s="210"/>
      <c r="J1396" s="4">
        <v>40591</v>
      </c>
      <c r="K1396" s="210"/>
      <c r="L1396" s="210">
        <v>87</v>
      </c>
      <c r="M1396" s="4">
        <v>14</v>
      </c>
      <c r="N1396" s="4" t="str">
        <f>_xlfn.CONCAT("DBX",((L1396-1)*2)+1,".6")</f>
        <v>DBX173.6</v>
      </c>
      <c r="O1396" s="210" t="s">
        <v>782</v>
      </c>
      <c r="P1396" s="210"/>
      <c r="Q1396" s="210"/>
      <c r="R1396" s="210"/>
      <c r="S1396" s="210"/>
      <c r="T1396" s="210"/>
      <c r="U1396" s="210"/>
      <c r="V1396" s="210"/>
      <c r="W1396" s="210"/>
      <c r="X1396" s="210"/>
      <c r="Y1396" s="210"/>
      <c r="Z1396" s="210"/>
      <c r="AA1396" s="210"/>
      <c r="AB1396" s="210"/>
      <c r="AC1396" s="210"/>
      <c r="AD1396" s="210"/>
      <c r="AE1396" s="210"/>
    </row>
    <row r="1397" spans="1:31" x14ac:dyDescent="0.2">
      <c r="A1397" s="209"/>
      <c r="B1397" s="4" t="s">
        <v>34</v>
      </c>
      <c r="C1397" s="4">
        <v>1392</v>
      </c>
      <c r="D1397" s="210"/>
      <c r="E1397" s="210"/>
      <c r="F1397" s="210"/>
      <c r="G1397" s="210"/>
      <c r="H1397" s="210"/>
      <c r="I1397" s="210"/>
      <c r="J1397" s="4">
        <v>40592</v>
      </c>
      <c r="K1397" s="210"/>
      <c r="L1397" s="210">
        <v>87</v>
      </c>
      <c r="M1397" s="4">
        <v>15</v>
      </c>
      <c r="N1397" s="4" t="str">
        <f>_xlfn.CONCAT("DBX",((L1397-1)*2)+1,".7")</f>
        <v>DBX173.7</v>
      </c>
      <c r="O1397" s="210" t="s">
        <v>782</v>
      </c>
      <c r="P1397" s="210"/>
      <c r="Q1397" s="210"/>
      <c r="R1397" s="210"/>
      <c r="S1397" s="210"/>
      <c r="T1397" s="210"/>
      <c r="U1397" s="210"/>
      <c r="V1397" s="210"/>
      <c r="W1397" s="210"/>
      <c r="X1397" s="210"/>
      <c r="Y1397" s="210"/>
      <c r="Z1397" s="210"/>
      <c r="AA1397" s="210"/>
      <c r="AB1397" s="210"/>
      <c r="AC1397" s="210"/>
      <c r="AD1397" s="210"/>
      <c r="AE1397" s="210"/>
    </row>
    <row r="1398" spans="1:31" x14ac:dyDescent="0.2">
      <c r="A1398" s="209"/>
      <c r="B1398" s="4" t="s">
        <v>34</v>
      </c>
      <c r="C1398" s="4">
        <v>1393</v>
      </c>
      <c r="D1398" s="210"/>
      <c r="E1398" s="210"/>
      <c r="F1398" s="210"/>
      <c r="G1398" s="210"/>
      <c r="H1398" s="210"/>
      <c r="I1398" s="210"/>
      <c r="J1398" s="4">
        <v>40593</v>
      </c>
      <c r="K1398" s="210"/>
      <c r="L1398" s="210">
        <v>88</v>
      </c>
      <c r="M1398" s="4">
        <f>M1382</f>
        <v>0</v>
      </c>
      <c r="N1398" s="4" t="str">
        <f>_xlfn.CONCAT("DBX",((L1398-1)*2),".0")</f>
        <v>DBX174.0</v>
      </c>
      <c r="O1398" s="210" t="s">
        <v>782</v>
      </c>
      <c r="P1398" s="210"/>
      <c r="Q1398" s="210"/>
      <c r="R1398" s="210"/>
      <c r="S1398" s="210"/>
      <c r="T1398" s="210"/>
      <c r="U1398" s="210"/>
      <c r="V1398" s="210"/>
      <c r="W1398" s="210"/>
      <c r="X1398" s="210"/>
      <c r="Y1398" s="210"/>
      <c r="Z1398" s="210"/>
      <c r="AA1398" s="210"/>
      <c r="AB1398" s="210"/>
      <c r="AC1398" s="210"/>
      <c r="AD1398" s="210"/>
      <c r="AE1398" s="210"/>
    </row>
    <row r="1399" spans="1:31" x14ac:dyDescent="0.2">
      <c r="A1399" s="209"/>
      <c r="B1399" s="4" t="s">
        <v>34</v>
      </c>
      <c r="C1399" s="4">
        <v>1394</v>
      </c>
      <c r="D1399" s="210"/>
      <c r="E1399" s="210"/>
      <c r="F1399" s="210"/>
      <c r="G1399" s="210"/>
      <c r="H1399" s="210"/>
      <c r="I1399" s="210"/>
      <c r="J1399" s="4">
        <v>40594</v>
      </c>
      <c r="K1399" s="210"/>
      <c r="L1399" s="210">
        <v>88</v>
      </c>
      <c r="M1399" s="4">
        <f t="shared" si="27"/>
        <v>1</v>
      </c>
      <c r="N1399" s="4" t="str">
        <f>_xlfn.CONCAT("DBX",((L1399-1)*2),".1")</f>
        <v>DBX174.1</v>
      </c>
      <c r="O1399" s="210" t="s">
        <v>782</v>
      </c>
      <c r="P1399" s="210"/>
      <c r="Q1399" s="210"/>
      <c r="R1399" s="210"/>
      <c r="S1399" s="210"/>
      <c r="T1399" s="210"/>
      <c r="U1399" s="210"/>
      <c r="V1399" s="210"/>
      <c r="W1399" s="210"/>
      <c r="X1399" s="210"/>
      <c r="Y1399" s="210"/>
      <c r="Z1399" s="210"/>
      <c r="AA1399" s="210"/>
      <c r="AB1399" s="210"/>
      <c r="AC1399" s="210"/>
      <c r="AD1399" s="210"/>
      <c r="AE1399" s="210"/>
    </row>
    <row r="1400" spans="1:31" x14ac:dyDescent="0.2">
      <c r="A1400" s="209"/>
      <c r="B1400" s="4" t="s">
        <v>34</v>
      </c>
      <c r="C1400" s="4">
        <v>1395</v>
      </c>
      <c r="D1400" s="210"/>
      <c r="E1400" s="210"/>
      <c r="F1400" s="210"/>
      <c r="G1400" s="210"/>
      <c r="H1400" s="210"/>
      <c r="I1400" s="210"/>
      <c r="J1400" s="4">
        <v>40595</v>
      </c>
      <c r="K1400" s="210"/>
      <c r="L1400" s="210">
        <v>88</v>
      </c>
      <c r="M1400" s="4">
        <f t="shared" si="27"/>
        <v>2</v>
      </c>
      <c r="N1400" s="4" t="str">
        <f>_xlfn.CONCAT("DBX",((L1400-1)*2),".2")</f>
        <v>DBX174.2</v>
      </c>
      <c r="O1400" s="210" t="s">
        <v>782</v>
      </c>
      <c r="P1400" s="210"/>
      <c r="Q1400" s="210"/>
      <c r="R1400" s="210"/>
      <c r="S1400" s="210"/>
      <c r="T1400" s="210"/>
      <c r="U1400" s="210"/>
      <c r="V1400" s="210"/>
      <c r="W1400" s="210"/>
      <c r="X1400" s="210"/>
      <c r="Y1400" s="210"/>
      <c r="Z1400" s="210"/>
      <c r="AA1400" s="210"/>
      <c r="AB1400" s="210"/>
      <c r="AC1400" s="210"/>
      <c r="AD1400" s="210"/>
      <c r="AE1400" s="210"/>
    </row>
    <row r="1401" spans="1:31" x14ac:dyDescent="0.2">
      <c r="A1401" s="209"/>
      <c r="B1401" s="4" t="s">
        <v>34</v>
      </c>
      <c r="C1401" s="4">
        <v>1396</v>
      </c>
      <c r="D1401" s="210"/>
      <c r="E1401" s="210"/>
      <c r="F1401" s="210"/>
      <c r="G1401" s="210"/>
      <c r="H1401" s="210"/>
      <c r="I1401" s="210"/>
      <c r="J1401" s="4">
        <v>40596</v>
      </c>
      <c r="K1401" s="210"/>
      <c r="L1401" s="210">
        <v>88</v>
      </c>
      <c r="M1401" s="4">
        <f t="shared" si="27"/>
        <v>3</v>
      </c>
      <c r="N1401" s="4" t="str">
        <f>_xlfn.CONCAT("DBX",((L1401-1)*2),".3")</f>
        <v>DBX174.3</v>
      </c>
      <c r="O1401" s="210" t="s">
        <v>782</v>
      </c>
      <c r="P1401" s="210"/>
      <c r="Q1401" s="210"/>
      <c r="R1401" s="210"/>
      <c r="S1401" s="210"/>
      <c r="T1401" s="210"/>
      <c r="U1401" s="210"/>
      <c r="V1401" s="210"/>
      <c r="W1401" s="210"/>
      <c r="X1401" s="210"/>
      <c r="Y1401" s="210"/>
      <c r="Z1401" s="210"/>
      <c r="AA1401" s="210"/>
      <c r="AB1401" s="210"/>
      <c r="AC1401" s="210"/>
      <c r="AD1401" s="210"/>
      <c r="AE1401" s="210"/>
    </row>
    <row r="1402" spans="1:31" x14ac:dyDescent="0.2">
      <c r="A1402" s="209"/>
      <c r="B1402" s="4" t="s">
        <v>34</v>
      </c>
      <c r="C1402" s="4">
        <v>1397</v>
      </c>
      <c r="D1402" s="210"/>
      <c r="E1402" s="210"/>
      <c r="F1402" s="210"/>
      <c r="G1402" s="210"/>
      <c r="H1402" s="210"/>
      <c r="I1402" s="210"/>
      <c r="J1402" s="4">
        <v>40597</v>
      </c>
      <c r="K1402" s="210"/>
      <c r="L1402" s="210">
        <v>88</v>
      </c>
      <c r="M1402" s="4">
        <f t="shared" si="27"/>
        <v>4</v>
      </c>
      <c r="N1402" s="4" t="str">
        <f>_xlfn.CONCAT("DBX",((L1402-1)*2),".4")</f>
        <v>DBX174.4</v>
      </c>
      <c r="O1402" s="210" t="s">
        <v>782</v>
      </c>
      <c r="P1402" s="210"/>
      <c r="Q1402" s="210"/>
      <c r="R1402" s="210"/>
      <c r="S1402" s="210"/>
      <c r="T1402" s="210"/>
      <c r="U1402" s="210"/>
      <c r="V1402" s="210"/>
      <c r="W1402" s="210"/>
      <c r="X1402" s="210"/>
      <c r="Y1402" s="210"/>
      <c r="Z1402" s="210"/>
      <c r="AA1402" s="210"/>
      <c r="AB1402" s="210"/>
      <c r="AC1402" s="210"/>
      <c r="AD1402" s="210"/>
      <c r="AE1402" s="210"/>
    </row>
    <row r="1403" spans="1:31" x14ac:dyDescent="0.2">
      <c r="A1403" s="209"/>
      <c r="B1403" s="4" t="s">
        <v>34</v>
      </c>
      <c r="C1403" s="4">
        <v>1398</v>
      </c>
      <c r="D1403" s="210"/>
      <c r="E1403" s="210"/>
      <c r="F1403" s="210"/>
      <c r="G1403" s="210"/>
      <c r="H1403" s="210"/>
      <c r="I1403" s="210"/>
      <c r="J1403" s="4">
        <v>40598</v>
      </c>
      <c r="K1403" s="210"/>
      <c r="L1403" s="210">
        <v>88</v>
      </c>
      <c r="M1403" s="4">
        <f t="shared" si="27"/>
        <v>5</v>
      </c>
      <c r="N1403" s="4" t="str">
        <f>_xlfn.CONCAT("DBX",((L1403-1)*2),".5")</f>
        <v>DBX174.5</v>
      </c>
      <c r="O1403" s="210" t="s">
        <v>782</v>
      </c>
      <c r="P1403" s="210"/>
      <c r="Q1403" s="210"/>
      <c r="R1403" s="210"/>
      <c r="S1403" s="210"/>
      <c r="T1403" s="210"/>
      <c r="U1403" s="210"/>
      <c r="V1403" s="210"/>
      <c r="W1403" s="210"/>
      <c r="X1403" s="210"/>
      <c r="Y1403" s="210"/>
      <c r="Z1403" s="210"/>
      <c r="AA1403" s="210"/>
      <c r="AB1403" s="210"/>
      <c r="AC1403" s="210"/>
      <c r="AD1403" s="210"/>
      <c r="AE1403" s="210"/>
    </row>
    <row r="1404" spans="1:31" x14ac:dyDescent="0.2">
      <c r="A1404" s="209"/>
      <c r="B1404" s="4" t="s">
        <v>34</v>
      </c>
      <c r="C1404" s="4">
        <v>1399</v>
      </c>
      <c r="D1404" s="210"/>
      <c r="E1404" s="210"/>
      <c r="F1404" s="210"/>
      <c r="G1404" s="210"/>
      <c r="H1404" s="210"/>
      <c r="I1404" s="210"/>
      <c r="J1404" s="4">
        <v>40599</v>
      </c>
      <c r="K1404" s="210"/>
      <c r="L1404" s="210">
        <v>88</v>
      </c>
      <c r="M1404" s="4">
        <f t="shared" si="27"/>
        <v>6</v>
      </c>
      <c r="N1404" s="4" t="str">
        <f>_xlfn.CONCAT("DBX",((L1404-1)*2),".6")</f>
        <v>DBX174.6</v>
      </c>
      <c r="O1404" s="210" t="s">
        <v>782</v>
      </c>
      <c r="P1404" s="210"/>
      <c r="Q1404" s="210"/>
      <c r="R1404" s="210"/>
      <c r="S1404" s="210"/>
      <c r="T1404" s="210"/>
      <c r="U1404" s="210"/>
      <c r="V1404" s="210"/>
      <c r="W1404" s="210"/>
      <c r="X1404" s="210"/>
      <c r="Y1404" s="210"/>
      <c r="Z1404" s="210"/>
      <c r="AA1404" s="210"/>
      <c r="AB1404" s="210"/>
      <c r="AC1404" s="210"/>
      <c r="AD1404" s="210"/>
      <c r="AE1404" s="210"/>
    </row>
    <row r="1405" spans="1:31" x14ac:dyDescent="0.2">
      <c r="A1405" s="209"/>
      <c r="B1405" s="4" t="s">
        <v>34</v>
      </c>
      <c r="C1405" s="4">
        <v>1400</v>
      </c>
      <c r="D1405" s="210"/>
      <c r="E1405" s="210"/>
      <c r="F1405" s="210"/>
      <c r="G1405" s="210"/>
      <c r="H1405" s="210"/>
      <c r="I1405" s="210"/>
      <c r="J1405" s="4">
        <v>40600</v>
      </c>
      <c r="K1405" s="210"/>
      <c r="L1405" s="210">
        <v>88</v>
      </c>
      <c r="M1405" s="4">
        <f t="shared" si="27"/>
        <v>7</v>
      </c>
      <c r="N1405" s="4" t="str">
        <f>_xlfn.CONCAT("DBX",((L1405-1)*2),".7")</f>
        <v>DBX174.7</v>
      </c>
      <c r="O1405" s="210" t="s">
        <v>782</v>
      </c>
      <c r="P1405" s="210"/>
      <c r="Q1405" s="210"/>
      <c r="R1405" s="210"/>
      <c r="S1405" s="210"/>
      <c r="T1405" s="210"/>
      <c r="U1405" s="210"/>
      <c r="V1405" s="210"/>
      <c r="W1405" s="210"/>
      <c r="X1405" s="210"/>
      <c r="Y1405" s="210"/>
      <c r="Z1405" s="210"/>
      <c r="AA1405" s="210"/>
      <c r="AB1405" s="210"/>
      <c r="AC1405" s="210"/>
      <c r="AD1405" s="210"/>
      <c r="AE1405" s="210"/>
    </row>
    <row r="1406" spans="1:31" x14ac:dyDescent="0.2">
      <c r="A1406" s="209"/>
      <c r="B1406" s="4" t="s">
        <v>34</v>
      </c>
      <c r="C1406" s="4">
        <v>1401</v>
      </c>
      <c r="D1406" s="210"/>
      <c r="E1406" s="210"/>
      <c r="F1406" s="210"/>
      <c r="G1406" s="210"/>
      <c r="H1406" s="210"/>
      <c r="I1406" s="210"/>
      <c r="J1406" s="4">
        <v>40601</v>
      </c>
      <c r="K1406" s="210"/>
      <c r="L1406" s="210">
        <v>88</v>
      </c>
      <c r="M1406" s="4">
        <f t="shared" si="27"/>
        <v>8</v>
      </c>
      <c r="N1406" s="4" t="str">
        <f>_xlfn.CONCAT("DBX",((L1406-1)*2)+1,".0")</f>
        <v>DBX175.0</v>
      </c>
      <c r="O1406" s="210" t="s">
        <v>782</v>
      </c>
      <c r="P1406" s="210"/>
      <c r="Q1406" s="210"/>
      <c r="R1406" s="210"/>
      <c r="S1406" s="210"/>
      <c r="T1406" s="210"/>
      <c r="U1406" s="210"/>
      <c r="V1406" s="210"/>
      <c r="W1406" s="210"/>
      <c r="X1406" s="210"/>
      <c r="Y1406" s="210"/>
      <c r="Z1406" s="210"/>
      <c r="AA1406" s="210"/>
      <c r="AB1406" s="210"/>
      <c r="AC1406" s="210"/>
      <c r="AD1406" s="210"/>
      <c r="AE1406" s="210"/>
    </row>
    <row r="1407" spans="1:31" x14ac:dyDescent="0.2">
      <c r="A1407" s="209"/>
      <c r="B1407" s="4" t="s">
        <v>34</v>
      </c>
      <c r="C1407" s="4">
        <v>1402</v>
      </c>
      <c r="D1407" s="210"/>
      <c r="E1407" s="210"/>
      <c r="F1407" s="210"/>
      <c r="G1407" s="210"/>
      <c r="H1407" s="210"/>
      <c r="I1407" s="210"/>
      <c r="J1407" s="4">
        <v>40602</v>
      </c>
      <c r="K1407" s="210"/>
      <c r="L1407" s="210">
        <v>88</v>
      </c>
      <c r="M1407" s="4">
        <f t="shared" si="27"/>
        <v>9</v>
      </c>
      <c r="N1407" s="4" t="str">
        <f>_xlfn.CONCAT("DBX",((L1407-1)*2)+1,".1")</f>
        <v>DBX175.1</v>
      </c>
      <c r="O1407" s="210" t="s">
        <v>782</v>
      </c>
      <c r="P1407" s="210"/>
      <c r="Q1407" s="210"/>
      <c r="R1407" s="210"/>
      <c r="S1407" s="210"/>
      <c r="T1407" s="210"/>
      <c r="U1407" s="210"/>
      <c r="V1407" s="210"/>
      <c r="W1407" s="210"/>
      <c r="X1407" s="210"/>
      <c r="Y1407" s="210"/>
      <c r="Z1407" s="210"/>
      <c r="AA1407" s="210"/>
      <c r="AB1407" s="210"/>
      <c r="AC1407" s="210"/>
      <c r="AD1407" s="210"/>
      <c r="AE1407" s="210"/>
    </row>
    <row r="1408" spans="1:31" x14ac:dyDescent="0.2">
      <c r="A1408" s="209"/>
      <c r="B1408" s="4" t="s">
        <v>34</v>
      </c>
      <c r="C1408" s="4">
        <v>1403</v>
      </c>
      <c r="D1408" s="210"/>
      <c r="E1408" s="210"/>
      <c r="F1408" s="210"/>
      <c r="G1408" s="210"/>
      <c r="H1408" s="210"/>
      <c r="I1408" s="210"/>
      <c r="J1408" s="4">
        <v>40603</v>
      </c>
      <c r="K1408" s="210"/>
      <c r="L1408" s="210">
        <v>88</v>
      </c>
      <c r="M1408" s="4">
        <f t="shared" si="27"/>
        <v>10</v>
      </c>
      <c r="N1408" s="4" t="str">
        <f>_xlfn.CONCAT("DBX",((L1408-1)*2)+1,".2")</f>
        <v>DBX175.2</v>
      </c>
      <c r="O1408" s="210" t="s">
        <v>782</v>
      </c>
      <c r="P1408" s="210"/>
      <c r="Q1408" s="210"/>
      <c r="R1408" s="210"/>
      <c r="S1408" s="210"/>
      <c r="T1408" s="210"/>
      <c r="U1408" s="210"/>
      <c r="V1408" s="210"/>
      <c r="W1408" s="210"/>
      <c r="X1408" s="210"/>
      <c r="Y1408" s="210"/>
      <c r="Z1408" s="210"/>
      <c r="AA1408" s="210"/>
      <c r="AB1408" s="210"/>
      <c r="AC1408" s="210"/>
      <c r="AD1408" s="210"/>
      <c r="AE1408" s="210"/>
    </row>
    <row r="1409" spans="1:31" x14ac:dyDescent="0.2">
      <c r="A1409" s="209"/>
      <c r="B1409" s="4" t="s">
        <v>34</v>
      </c>
      <c r="C1409" s="4">
        <v>1404</v>
      </c>
      <c r="D1409" s="210"/>
      <c r="E1409" s="210"/>
      <c r="F1409" s="210"/>
      <c r="G1409" s="210"/>
      <c r="H1409" s="210"/>
      <c r="I1409" s="210"/>
      <c r="J1409" s="4">
        <v>40604</v>
      </c>
      <c r="K1409" s="210"/>
      <c r="L1409" s="210">
        <v>88</v>
      </c>
      <c r="M1409" s="4">
        <f t="shared" si="27"/>
        <v>11</v>
      </c>
      <c r="N1409" s="4" t="str">
        <f>_xlfn.CONCAT("DBX",((L1409-1)*2)+1,".3")</f>
        <v>DBX175.3</v>
      </c>
      <c r="O1409" s="210" t="s">
        <v>782</v>
      </c>
      <c r="P1409" s="210"/>
      <c r="Q1409" s="210"/>
      <c r="R1409" s="210"/>
      <c r="S1409" s="210"/>
      <c r="T1409" s="210"/>
      <c r="U1409" s="210"/>
      <c r="V1409" s="210"/>
      <c r="W1409" s="210"/>
      <c r="X1409" s="210"/>
      <c r="Y1409" s="210"/>
      <c r="Z1409" s="210"/>
      <c r="AA1409" s="210"/>
      <c r="AB1409" s="210"/>
      <c r="AC1409" s="210"/>
      <c r="AD1409" s="210"/>
      <c r="AE1409" s="210"/>
    </row>
    <row r="1410" spans="1:31" x14ac:dyDescent="0.2">
      <c r="A1410" s="209"/>
      <c r="B1410" s="4" t="s">
        <v>34</v>
      </c>
      <c r="C1410" s="4">
        <v>1405</v>
      </c>
      <c r="D1410" s="210"/>
      <c r="E1410" s="210"/>
      <c r="F1410" s="210"/>
      <c r="G1410" s="210"/>
      <c r="H1410" s="210"/>
      <c r="I1410" s="210"/>
      <c r="J1410" s="4">
        <v>40605</v>
      </c>
      <c r="K1410" s="210"/>
      <c r="L1410" s="210">
        <v>88</v>
      </c>
      <c r="M1410" s="4">
        <f t="shared" si="27"/>
        <v>12</v>
      </c>
      <c r="N1410" s="4" t="str">
        <f>_xlfn.CONCAT("DBX",((L1410-1)*2)+1,".4")</f>
        <v>DBX175.4</v>
      </c>
      <c r="O1410" s="210" t="s">
        <v>782</v>
      </c>
      <c r="P1410" s="210"/>
      <c r="Q1410" s="210"/>
      <c r="R1410" s="210"/>
      <c r="S1410" s="210"/>
      <c r="T1410" s="210"/>
      <c r="U1410" s="210"/>
      <c r="V1410" s="210"/>
      <c r="W1410" s="210"/>
      <c r="X1410" s="210"/>
      <c r="Y1410" s="210"/>
      <c r="Z1410" s="210"/>
      <c r="AA1410" s="210"/>
      <c r="AB1410" s="210"/>
      <c r="AC1410" s="210"/>
      <c r="AD1410" s="210"/>
      <c r="AE1410" s="210"/>
    </row>
    <row r="1411" spans="1:31" x14ac:dyDescent="0.2">
      <c r="A1411" s="209"/>
      <c r="B1411" s="4" t="s">
        <v>34</v>
      </c>
      <c r="C1411" s="4">
        <v>1406</v>
      </c>
      <c r="D1411" s="210"/>
      <c r="E1411" s="210"/>
      <c r="F1411" s="210"/>
      <c r="G1411" s="210"/>
      <c r="H1411" s="210"/>
      <c r="I1411" s="210"/>
      <c r="J1411" s="4">
        <v>40606</v>
      </c>
      <c r="K1411" s="210"/>
      <c r="L1411" s="210">
        <v>88</v>
      </c>
      <c r="M1411" s="4">
        <f t="shared" si="27"/>
        <v>13</v>
      </c>
      <c r="N1411" s="4" t="str">
        <f>_xlfn.CONCAT("DBX",((L1411-1)*2)+1,".5")</f>
        <v>DBX175.5</v>
      </c>
      <c r="O1411" s="210" t="s">
        <v>782</v>
      </c>
      <c r="P1411" s="210"/>
      <c r="Q1411" s="210"/>
      <c r="R1411" s="210"/>
      <c r="S1411" s="210"/>
      <c r="T1411" s="210"/>
      <c r="U1411" s="210"/>
      <c r="V1411" s="210"/>
      <c r="W1411" s="210"/>
      <c r="X1411" s="210"/>
      <c r="Y1411" s="210"/>
      <c r="Z1411" s="210"/>
      <c r="AA1411" s="210"/>
      <c r="AB1411" s="210"/>
      <c r="AC1411" s="210"/>
      <c r="AD1411" s="210"/>
      <c r="AE1411" s="210"/>
    </row>
    <row r="1412" spans="1:31" x14ac:dyDescent="0.2">
      <c r="A1412" s="209"/>
      <c r="B1412" s="4" t="s">
        <v>34</v>
      </c>
      <c r="C1412" s="4">
        <v>1407</v>
      </c>
      <c r="D1412" s="210"/>
      <c r="E1412" s="210"/>
      <c r="F1412" s="210"/>
      <c r="G1412" s="210"/>
      <c r="H1412" s="210"/>
      <c r="I1412" s="210"/>
      <c r="J1412" s="4">
        <v>40607</v>
      </c>
      <c r="K1412" s="210"/>
      <c r="L1412" s="210">
        <v>88</v>
      </c>
      <c r="M1412" s="4">
        <f t="shared" si="27"/>
        <v>14</v>
      </c>
      <c r="N1412" s="4" t="str">
        <f>_xlfn.CONCAT("DBX",((L1412-1)*2)+1,".6")</f>
        <v>DBX175.6</v>
      </c>
      <c r="O1412" s="210" t="s">
        <v>782</v>
      </c>
      <c r="P1412" s="210"/>
      <c r="Q1412" s="210"/>
      <c r="R1412" s="210"/>
      <c r="S1412" s="210"/>
      <c r="T1412" s="210"/>
      <c r="U1412" s="210"/>
      <c r="V1412" s="210"/>
      <c r="W1412" s="210"/>
      <c r="X1412" s="210"/>
      <c r="Y1412" s="210"/>
      <c r="Z1412" s="210"/>
      <c r="AA1412" s="210"/>
      <c r="AB1412" s="210"/>
      <c r="AC1412" s="210"/>
      <c r="AD1412" s="210"/>
      <c r="AE1412" s="210"/>
    </row>
    <row r="1413" spans="1:31" x14ac:dyDescent="0.2">
      <c r="A1413" s="209"/>
      <c r="B1413" s="4" t="s">
        <v>34</v>
      </c>
      <c r="C1413" s="4">
        <v>1408</v>
      </c>
      <c r="D1413" s="210"/>
      <c r="E1413" s="210"/>
      <c r="F1413" s="210"/>
      <c r="G1413" s="210"/>
      <c r="H1413" s="210"/>
      <c r="I1413" s="210"/>
      <c r="J1413" s="4">
        <v>40608</v>
      </c>
      <c r="K1413" s="210"/>
      <c r="L1413" s="210">
        <v>88</v>
      </c>
      <c r="M1413" s="4">
        <f t="shared" si="27"/>
        <v>15</v>
      </c>
      <c r="N1413" s="4" t="str">
        <f>_xlfn.CONCAT("DBX",((L1413-1)*2)+1,".7")</f>
        <v>DBX175.7</v>
      </c>
      <c r="O1413" s="210" t="s">
        <v>782</v>
      </c>
      <c r="P1413" s="210"/>
      <c r="Q1413" s="210"/>
      <c r="R1413" s="210"/>
      <c r="S1413" s="210"/>
      <c r="T1413" s="210"/>
      <c r="U1413" s="210"/>
      <c r="V1413" s="210"/>
      <c r="W1413" s="210"/>
      <c r="X1413" s="210"/>
      <c r="Y1413" s="210"/>
      <c r="Z1413" s="210"/>
      <c r="AA1413" s="210"/>
      <c r="AB1413" s="210"/>
      <c r="AC1413" s="210"/>
      <c r="AD1413" s="210"/>
      <c r="AE1413" s="210"/>
    </row>
    <row r="1414" spans="1:31" x14ac:dyDescent="0.2">
      <c r="A1414" s="209"/>
      <c r="B1414" s="4" t="s">
        <v>34</v>
      </c>
      <c r="C1414" s="4">
        <v>1409</v>
      </c>
      <c r="D1414" s="210"/>
      <c r="E1414" s="210"/>
      <c r="F1414" s="210"/>
      <c r="G1414" s="210"/>
      <c r="H1414" s="210"/>
      <c r="I1414" s="210"/>
      <c r="J1414" s="4">
        <v>40609</v>
      </c>
      <c r="K1414" s="210"/>
      <c r="L1414" s="210">
        <v>89</v>
      </c>
      <c r="M1414" s="4">
        <f t="shared" si="27"/>
        <v>0</v>
      </c>
      <c r="N1414" s="4" t="str">
        <f>_xlfn.CONCAT("DBX",((L1414-1)*2),".0")</f>
        <v>DBX176.0</v>
      </c>
      <c r="O1414" s="210" t="s">
        <v>782</v>
      </c>
      <c r="P1414" s="210"/>
      <c r="Q1414" s="210"/>
      <c r="R1414" s="210"/>
      <c r="S1414" s="210"/>
      <c r="T1414" s="210"/>
      <c r="U1414" s="210"/>
      <c r="V1414" s="210"/>
      <c r="W1414" s="210"/>
      <c r="X1414" s="210"/>
      <c r="Y1414" s="210"/>
      <c r="Z1414" s="210"/>
      <c r="AA1414" s="210"/>
      <c r="AB1414" s="210"/>
      <c r="AC1414" s="210"/>
      <c r="AD1414" s="210"/>
      <c r="AE1414" s="210"/>
    </row>
    <row r="1415" spans="1:31" x14ac:dyDescent="0.2">
      <c r="A1415" s="209"/>
      <c r="B1415" s="4" t="s">
        <v>34</v>
      </c>
      <c r="C1415" s="4">
        <v>1410</v>
      </c>
      <c r="D1415" s="210"/>
      <c r="E1415" s="210"/>
      <c r="F1415" s="210"/>
      <c r="G1415" s="210"/>
      <c r="H1415" s="210"/>
      <c r="I1415" s="210"/>
      <c r="J1415" s="4">
        <v>40610</v>
      </c>
      <c r="K1415" s="210"/>
      <c r="L1415" s="210">
        <v>89</v>
      </c>
      <c r="M1415" s="4">
        <f t="shared" si="27"/>
        <v>1</v>
      </c>
      <c r="N1415" s="4" t="str">
        <f>_xlfn.CONCAT("DBX",((L1415-1)*2),".1")</f>
        <v>DBX176.1</v>
      </c>
      <c r="O1415" s="210" t="s">
        <v>782</v>
      </c>
      <c r="P1415" s="210"/>
      <c r="Q1415" s="210"/>
      <c r="R1415" s="210"/>
      <c r="S1415" s="210"/>
      <c r="T1415" s="210"/>
      <c r="U1415" s="210"/>
      <c r="V1415" s="210"/>
      <c r="W1415" s="210"/>
      <c r="X1415" s="210"/>
      <c r="Y1415" s="210"/>
      <c r="Z1415" s="210"/>
      <c r="AA1415" s="210"/>
      <c r="AB1415" s="210"/>
      <c r="AC1415" s="210"/>
      <c r="AD1415" s="210"/>
      <c r="AE1415" s="210"/>
    </row>
    <row r="1416" spans="1:31" x14ac:dyDescent="0.2">
      <c r="A1416" s="209"/>
      <c r="B1416" s="4" t="s">
        <v>34</v>
      </c>
      <c r="C1416" s="4">
        <v>1411</v>
      </c>
      <c r="D1416" s="210"/>
      <c r="E1416" s="210"/>
      <c r="F1416" s="210"/>
      <c r="G1416" s="210"/>
      <c r="H1416" s="210"/>
      <c r="I1416" s="210"/>
      <c r="J1416" s="4">
        <v>40611</v>
      </c>
      <c r="K1416" s="210"/>
      <c r="L1416" s="210">
        <v>89</v>
      </c>
      <c r="M1416" s="4">
        <f t="shared" si="27"/>
        <v>2</v>
      </c>
      <c r="N1416" s="4" t="str">
        <f>_xlfn.CONCAT("DBX",((L1416-1)*2),".2")</f>
        <v>DBX176.2</v>
      </c>
      <c r="O1416" s="210" t="s">
        <v>782</v>
      </c>
      <c r="P1416" s="210"/>
      <c r="Q1416" s="210"/>
      <c r="R1416" s="210"/>
      <c r="S1416" s="210"/>
      <c r="T1416" s="210"/>
      <c r="U1416" s="210"/>
      <c r="V1416" s="210"/>
      <c r="W1416" s="210"/>
      <c r="X1416" s="210"/>
      <c r="Y1416" s="210"/>
      <c r="Z1416" s="210"/>
      <c r="AA1416" s="210"/>
      <c r="AB1416" s="210"/>
      <c r="AC1416" s="210"/>
      <c r="AD1416" s="210"/>
      <c r="AE1416" s="210"/>
    </row>
    <row r="1417" spans="1:31" x14ac:dyDescent="0.2">
      <c r="A1417" s="209"/>
      <c r="B1417" s="4" t="s">
        <v>34</v>
      </c>
      <c r="C1417" s="4">
        <v>1412</v>
      </c>
      <c r="D1417" s="210"/>
      <c r="E1417" s="210"/>
      <c r="F1417" s="210"/>
      <c r="G1417" s="210"/>
      <c r="H1417" s="210"/>
      <c r="I1417" s="210"/>
      <c r="J1417" s="4">
        <v>40612</v>
      </c>
      <c r="K1417" s="210"/>
      <c r="L1417" s="210">
        <v>89</v>
      </c>
      <c r="M1417" s="4">
        <f t="shared" si="27"/>
        <v>3</v>
      </c>
      <c r="N1417" s="4" t="str">
        <f>_xlfn.CONCAT("DBX",((L1417-1)*2),".3")</f>
        <v>DBX176.3</v>
      </c>
      <c r="O1417" s="210" t="s">
        <v>782</v>
      </c>
      <c r="P1417" s="210"/>
      <c r="Q1417" s="210"/>
      <c r="R1417" s="210"/>
      <c r="S1417" s="210"/>
      <c r="T1417" s="210"/>
      <c r="U1417" s="210"/>
      <c r="V1417" s="210"/>
      <c r="W1417" s="210"/>
      <c r="X1417" s="210"/>
      <c r="Y1417" s="210"/>
      <c r="Z1417" s="210"/>
      <c r="AA1417" s="210"/>
      <c r="AB1417" s="210"/>
      <c r="AC1417" s="210"/>
      <c r="AD1417" s="210"/>
      <c r="AE1417" s="210"/>
    </row>
    <row r="1418" spans="1:31" x14ac:dyDescent="0.2">
      <c r="A1418" s="209"/>
      <c r="B1418" s="4" t="s">
        <v>34</v>
      </c>
      <c r="C1418" s="4">
        <v>1413</v>
      </c>
      <c r="D1418" s="210"/>
      <c r="E1418" s="210"/>
      <c r="F1418" s="210"/>
      <c r="G1418" s="210"/>
      <c r="H1418" s="210"/>
      <c r="I1418" s="210"/>
      <c r="J1418" s="4">
        <v>40613</v>
      </c>
      <c r="K1418" s="210"/>
      <c r="L1418" s="210">
        <v>89</v>
      </c>
      <c r="M1418" s="4">
        <f t="shared" si="27"/>
        <v>4</v>
      </c>
      <c r="N1418" s="4" t="str">
        <f>_xlfn.CONCAT("DBX",((L1418-1)*2),".4")</f>
        <v>DBX176.4</v>
      </c>
      <c r="O1418" s="210" t="s">
        <v>782</v>
      </c>
      <c r="P1418" s="210"/>
      <c r="Q1418" s="210"/>
      <c r="R1418" s="210"/>
      <c r="S1418" s="210"/>
      <c r="T1418" s="210"/>
      <c r="U1418" s="210"/>
      <c r="V1418" s="210"/>
      <c r="W1418" s="210"/>
      <c r="X1418" s="210"/>
      <c r="Y1418" s="210"/>
      <c r="Z1418" s="210"/>
      <c r="AA1418" s="210"/>
      <c r="AB1418" s="210"/>
      <c r="AC1418" s="210"/>
      <c r="AD1418" s="210"/>
      <c r="AE1418" s="210"/>
    </row>
    <row r="1419" spans="1:31" x14ac:dyDescent="0.2">
      <c r="A1419" s="209"/>
      <c r="B1419" s="4" t="s">
        <v>34</v>
      </c>
      <c r="C1419" s="4">
        <v>1414</v>
      </c>
      <c r="D1419" s="210"/>
      <c r="E1419" s="210"/>
      <c r="F1419" s="210"/>
      <c r="G1419" s="210"/>
      <c r="H1419" s="210"/>
      <c r="I1419" s="210"/>
      <c r="J1419" s="4">
        <v>40614</v>
      </c>
      <c r="K1419" s="210"/>
      <c r="L1419" s="210">
        <v>89</v>
      </c>
      <c r="M1419" s="4">
        <f t="shared" si="27"/>
        <v>5</v>
      </c>
      <c r="N1419" s="4" t="str">
        <f>_xlfn.CONCAT("DBX",((L1419-1)*2),".5")</f>
        <v>DBX176.5</v>
      </c>
      <c r="O1419" s="210" t="s">
        <v>782</v>
      </c>
      <c r="P1419" s="210"/>
      <c r="Q1419" s="210"/>
      <c r="R1419" s="210"/>
      <c r="S1419" s="210"/>
      <c r="T1419" s="210"/>
      <c r="U1419" s="210"/>
      <c r="V1419" s="210"/>
      <c r="W1419" s="210"/>
      <c r="X1419" s="210"/>
      <c r="Y1419" s="210"/>
      <c r="Z1419" s="210"/>
      <c r="AA1419" s="210"/>
      <c r="AB1419" s="210"/>
      <c r="AC1419" s="210"/>
      <c r="AD1419" s="210"/>
      <c r="AE1419" s="210"/>
    </row>
    <row r="1420" spans="1:31" x14ac:dyDescent="0.2">
      <c r="A1420" s="209"/>
      <c r="B1420" s="4" t="s">
        <v>34</v>
      </c>
      <c r="C1420" s="4">
        <v>1415</v>
      </c>
      <c r="D1420" s="210"/>
      <c r="E1420" s="210"/>
      <c r="F1420" s="210"/>
      <c r="G1420" s="210"/>
      <c r="H1420" s="210"/>
      <c r="I1420" s="210"/>
      <c r="J1420" s="4">
        <v>40615</v>
      </c>
      <c r="K1420" s="210"/>
      <c r="L1420" s="210">
        <v>89</v>
      </c>
      <c r="M1420" s="4">
        <f t="shared" si="27"/>
        <v>6</v>
      </c>
      <c r="N1420" s="4" t="str">
        <f>_xlfn.CONCAT("DBX",((L1420-1)*2),".6")</f>
        <v>DBX176.6</v>
      </c>
      <c r="O1420" s="210" t="s">
        <v>782</v>
      </c>
      <c r="P1420" s="210"/>
      <c r="Q1420" s="210"/>
      <c r="R1420" s="210"/>
      <c r="S1420" s="210"/>
      <c r="T1420" s="210"/>
      <c r="U1420" s="210"/>
      <c r="V1420" s="210"/>
      <c r="W1420" s="210"/>
      <c r="X1420" s="210"/>
      <c r="Y1420" s="210"/>
      <c r="Z1420" s="210"/>
      <c r="AA1420" s="210"/>
      <c r="AB1420" s="210"/>
      <c r="AC1420" s="210"/>
      <c r="AD1420" s="210"/>
      <c r="AE1420" s="210"/>
    </row>
    <row r="1421" spans="1:31" x14ac:dyDescent="0.2">
      <c r="A1421" s="209"/>
      <c r="B1421" s="4" t="s">
        <v>34</v>
      </c>
      <c r="C1421" s="4">
        <v>1416</v>
      </c>
      <c r="D1421" s="210"/>
      <c r="E1421" s="210"/>
      <c r="F1421" s="210"/>
      <c r="G1421" s="210"/>
      <c r="H1421" s="210"/>
      <c r="I1421" s="210"/>
      <c r="J1421" s="4">
        <v>40616</v>
      </c>
      <c r="K1421" s="210"/>
      <c r="L1421" s="210">
        <v>89</v>
      </c>
      <c r="M1421" s="4">
        <f t="shared" si="27"/>
        <v>7</v>
      </c>
      <c r="N1421" s="4" t="str">
        <f>_xlfn.CONCAT("DBX",((L1421-1)*2),".7")</f>
        <v>DBX176.7</v>
      </c>
      <c r="O1421" s="210" t="s">
        <v>782</v>
      </c>
      <c r="P1421" s="210"/>
      <c r="Q1421" s="210"/>
      <c r="R1421" s="210"/>
      <c r="S1421" s="210"/>
      <c r="T1421" s="210"/>
      <c r="U1421" s="210"/>
      <c r="V1421" s="210"/>
      <c r="W1421" s="210"/>
      <c r="X1421" s="210"/>
      <c r="Y1421" s="210"/>
      <c r="Z1421" s="210"/>
      <c r="AA1421" s="210"/>
      <c r="AB1421" s="210"/>
      <c r="AC1421" s="210"/>
      <c r="AD1421" s="210"/>
      <c r="AE1421" s="210"/>
    </row>
    <row r="1422" spans="1:31" x14ac:dyDescent="0.2">
      <c r="A1422" s="209"/>
      <c r="B1422" s="4" t="s">
        <v>34</v>
      </c>
      <c r="C1422" s="4">
        <v>1417</v>
      </c>
      <c r="D1422" s="210"/>
      <c r="E1422" s="210"/>
      <c r="F1422" s="210"/>
      <c r="G1422" s="210"/>
      <c r="H1422" s="210"/>
      <c r="I1422" s="210"/>
      <c r="J1422" s="4">
        <v>40617</v>
      </c>
      <c r="K1422" s="210"/>
      <c r="L1422" s="210">
        <v>89</v>
      </c>
      <c r="M1422" s="4">
        <f t="shared" si="27"/>
        <v>8</v>
      </c>
      <c r="N1422" s="4" t="str">
        <f>_xlfn.CONCAT("DBX",((L1422-1)*2)+1,".0")</f>
        <v>DBX177.0</v>
      </c>
      <c r="O1422" s="210" t="s">
        <v>782</v>
      </c>
      <c r="P1422" s="210"/>
      <c r="Q1422" s="210"/>
      <c r="R1422" s="210"/>
      <c r="S1422" s="210"/>
      <c r="T1422" s="210"/>
      <c r="U1422" s="210"/>
      <c r="V1422" s="210"/>
      <c r="W1422" s="210"/>
      <c r="X1422" s="210"/>
      <c r="Y1422" s="210"/>
      <c r="Z1422" s="210"/>
      <c r="AA1422" s="210"/>
      <c r="AB1422" s="210"/>
      <c r="AC1422" s="210"/>
      <c r="AD1422" s="210"/>
      <c r="AE1422" s="210"/>
    </row>
    <row r="1423" spans="1:31" x14ac:dyDescent="0.2">
      <c r="A1423" s="209"/>
      <c r="B1423" s="4" t="s">
        <v>34</v>
      </c>
      <c r="C1423" s="4">
        <v>1418</v>
      </c>
      <c r="D1423" s="210"/>
      <c r="E1423" s="210"/>
      <c r="F1423" s="210"/>
      <c r="G1423" s="210"/>
      <c r="H1423" s="210"/>
      <c r="I1423" s="210"/>
      <c r="J1423" s="4">
        <v>40618</v>
      </c>
      <c r="K1423" s="210"/>
      <c r="L1423" s="210">
        <v>89</v>
      </c>
      <c r="M1423" s="4">
        <f t="shared" si="27"/>
        <v>9</v>
      </c>
      <c r="N1423" s="4" t="str">
        <f>_xlfn.CONCAT("DBX",((L1423-1)*2)+1,".1")</f>
        <v>DBX177.1</v>
      </c>
      <c r="O1423" s="210" t="s">
        <v>782</v>
      </c>
      <c r="P1423" s="210"/>
      <c r="Q1423" s="210"/>
      <c r="R1423" s="210"/>
      <c r="S1423" s="210"/>
      <c r="T1423" s="210"/>
      <c r="U1423" s="210"/>
      <c r="V1423" s="210"/>
      <c r="W1423" s="210"/>
      <c r="X1423" s="210"/>
      <c r="Y1423" s="210"/>
      <c r="Z1423" s="210"/>
      <c r="AA1423" s="210"/>
      <c r="AB1423" s="210"/>
      <c r="AC1423" s="210"/>
      <c r="AD1423" s="210"/>
      <c r="AE1423" s="210"/>
    </row>
    <row r="1424" spans="1:31" x14ac:dyDescent="0.2">
      <c r="A1424" s="209"/>
      <c r="B1424" s="4" t="s">
        <v>34</v>
      </c>
      <c r="C1424" s="4">
        <v>1419</v>
      </c>
      <c r="D1424" s="210"/>
      <c r="E1424" s="210"/>
      <c r="F1424" s="210"/>
      <c r="G1424" s="210"/>
      <c r="H1424" s="210"/>
      <c r="I1424" s="210"/>
      <c r="J1424" s="4">
        <v>40619</v>
      </c>
      <c r="K1424" s="210"/>
      <c r="L1424" s="210">
        <v>89</v>
      </c>
      <c r="M1424" s="4">
        <f t="shared" si="27"/>
        <v>10</v>
      </c>
      <c r="N1424" s="4" t="str">
        <f>_xlfn.CONCAT("DBX",((L1424-1)*2)+1,".2")</f>
        <v>DBX177.2</v>
      </c>
      <c r="O1424" s="210" t="s">
        <v>782</v>
      </c>
      <c r="P1424" s="210"/>
      <c r="Q1424" s="210"/>
      <c r="R1424" s="210"/>
      <c r="S1424" s="210"/>
      <c r="T1424" s="210"/>
      <c r="U1424" s="210"/>
      <c r="V1424" s="210"/>
      <c r="W1424" s="210"/>
      <c r="X1424" s="210"/>
      <c r="Y1424" s="210"/>
      <c r="Z1424" s="210"/>
      <c r="AA1424" s="210"/>
      <c r="AB1424" s="210"/>
      <c r="AC1424" s="210"/>
      <c r="AD1424" s="210"/>
      <c r="AE1424" s="210"/>
    </row>
    <row r="1425" spans="1:31" x14ac:dyDescent="0.2">
      <c r="A1425" s="209"/>
      <c r="B1425" s="4" t="s">
        <v>34</v>
      </c>
      <c r="C1425" s="4">
        <v>1420</v>
      </c>
      <c r="D1425" s="210"/>
      <c r="E1425" s="210"/>
      <c r="F1425" s="210"/>
      <c r="G1425" s="210"/>
      <c r="H1425" s="210"/>
      <c r="I1425" s="210"/>
      <c r="J1425" s="4">
        <v>40620</v>
      </c>
      <c r="K1425" s="210"/>
      <c r="L1425" s="210">
        <v>89</v>
      </c>
      <c r="M1425" s="4">
        <f t="shared" si="27"/>
        <v>11</v>
      </c>
      <c r="N1425" s="4" t="str">
        <f>_xlfn.CONCAT("DBX",((L1425-1)*2)+1,".3")</f>
        <v>DBX177.3</v>
      </c>
      <c r="O1425" s="210" t="s">
        <v>782</v>
      </c>
      <c r="P1425" s="210"/>
      <c r="Q1425" s="210"/>
      <c r="R1425" s="210"/>
      <c r="S1425" s="210"/>
      <c r="T1425" s="210"/>
      <c r="U1425" s="210"/>
      <c r="V1425" s="210"/>
      <c r="W1425" s="210"/>
      <c r="X1425" s="210"/>
      <c r="Y1425" s="210"/>
      <c r="Z1425" s="210"/>
      <c r="AA1425" s="210"/>
      <c r="AB1425" s="210"/>
      <c r="AC1425" s="210"/>
      <c r="AD1425" s="210"/>
      <c r="AE1425" s="210"/>
    </row>
    <row r="1426" spans="1:31" x14ac:dyDescent="0.2">
      <c r="A1426" s="209"/>
      <c r="B1426" s="4" t="s">
        <v>34</v>
      </c>
      <c r="C1426" s="4">
        <v>1421</v>
      </c>
      <c r="D1426" s="210"/>
      <c r="E1426" s="210"/>
      <c r="F1426" s="210"/>
      <c r="G1426" s="210"/>
      <c r="H1426" s="210"/>
      <c r="I1426" s="210"/>
      <c r="J1426" s="4">
        <v>40621</v>
      </c>
      <c r="K1426" s="210"/>
      <c r="L1426" s="210">
        <v>89</v>
      </c>
      <c r="M1426" s="4">
        <f t="shared" si="27"/>
        <v>12</v>
      </c>
      <c r="N1426" s="4" t="str">
        <f>_xlfn.CONCAT("DBX",((L1426-1)*2)+1,".4")</f>
        <v>DBX177.4</v>
      </c>
      <c r="O1426" s="210" t="s">
        <v>782</v>
      </c>
      <c r="P1426" s="210"/>
      <c r="Q1426" s="210"/>
      <c r="R1426" s="210"/>
      <c r="S1426" s="210"/>
      <c r="T1426" s="210"/>
      <c r="U1426" s="210"/>
      <c r="V1426" s="210"/>
      <c r="W1426" s="210"/>
      <c r="X1426" s="210"/>
      <c r="Y1426" s="210"/>
      <c r="Z1426" s="210"/>
      <c r="AA1426" s="210"/>
      <c r="AB1426" s="210"/>
      <c r="AC1426" s="210"/>
      <c r="AD1426" s="210"/>
      <c r="AE1426" s="210"/>
    </row>
    <row r="1427" spans="1:31" x14ac:dyDescent="0.2">
      <c r="A1427" s="209"/>
      <c r="B1427" s="4" t="s">
        <v>34</v>
      </c>
      <c r="C1427" s="4">
        <v>1422</v>
      </c>
      <c r="D1427" s="210"/>
      <c r="E1427" s="210"/>
      <c r="F1427" s="210"/>
      <c r="G1427" s="210"/>
      <c r="H1427" s="210"/>
      <c r="I1427" s="210"/>
      <c r="J1427" s="4">
        <v>40622</v>
      </c>
      <c r="K1427" s="210"/>
      <c r="L1427" s="210">
        <v>89</v>
      </c>
      <c r="M1427" s="4">
        <f t="shared" si="27"/>
        <v>13</v>
      </c>
      <c r="N1427" s="4" t="str">
        <f>_xlfn.CONCAT("DBX",((L1427-1)*2)+1,".5")</f>
        <v>DBX177.5</v>
      </c>
      <c r="O1427" s="210" t="s">
        <v>782</v>
      </c>
      <c r="P1427" s="210"/>
      <c r="Q1427" s="210"/>
      <c r="R1427" s="210"/>
      <c r="S1427" s="210"/>
      <c r="T1427" s="210"/>
      <c r="U1427" s="210"/>
      <c r="V1427" s="210"/>
      <c r="W1427" s="210"/>
      <c r="X1427" s="210"/>
      <c r="Y1427" s="210"/>
      <c r="Z1427" s="210"/>
      <c r="AA1427" s="210"/>
      <c r="AB1427" s="210"/>
      <c r="AC1427" s="210"/>
      <c r="AD1427" s="210"/>
      <c r="AE1427" s="210"/>
    </row>
    <row r="1428" spans="1:31" x14ac:dyDescent="0.2">
      <c r="A1428" s="209"/>
      <c r="B1428" s="4" t="s">
        <v>34</v>
      </c>
      <c r="C1428" s="4">
        <v>1423</v>
      </c>
      <c r="D1428" s="210"/>
      <c r="E1428" s="210"/>
      <c r="F1428" s="210"/>
      <c r="G1428" s="210"/>
      <c r="H1428" s="210"/>
      <c r="I1428" s="210"/>
      <c r="J1428" s="4">
        <v>40623</v>
      </c>
      <c r="K1428" s="210"/>
      <c r="L1428" s="210">
        <v>89</v>
      </c>
      <c r="M1428" s="4">
        <f t="shared" si="27"/>
        <v>14</v>
      </c>
      <c r="N1428" s="4" t="str">
        <f>_xlfn.CONCAT("DBX",((L1428-1)*2)+1,".6")</f>
        <v>DBX177.6</v>
      </c>
      <c r="O1428" s="210" t="s">
        <v>782</v>
      </c>
      <c r="P1428" s="210"/>
      <c r="Q1428" s="210"/>
      <c r="R1428" s="210"/>
      <c r="S1428" s="210"/>
      <c r="T1428" s="210"/>
      <c r="U1428" s="210"/>
      <c r="V1428" s="210"/>
      <c r="W1428" s="210"/>
      <c r="X1428" s="210"/>
      <c r="Y1428" s="210"/>
      <c r="Z1428" s="210"/>
      <c r="AA1428" s="210"/>
      <c r="AB1428" s="210"/>
      <c r="AC1428" s="210"/>
      <c r="AD1428" s="210"/>
      <c r="AE1428" s="210"/>
    </row>
    <row r="1429" spans="1:31" x14ac:dyDescent="0.2">
      <c r="A1429" s="209"/>
      <c r="B1429" s="4" t="s">
        <v>34</v>
      </c>
      <c r="C1429" s="4">
        <v>1424</v>
      </c>
      <c r="D1429" s="210"/>
      <c r="E1429" s="210"/>
      <c r="F1429" s="210"/>
      <c r="G1429" s="210"/>
      <c r="H1429" s="210"/>
      <c r="I1429" s="210"/>
      <c r="J1429" s="4">
        <v>40624</v>
      </c>
      <c r="K1429" s="210"/>
      <c r="L1429" s="210">
        <v>89</v>
      </c>
      <c r="M1429" s="4">
        <f t="shared" si="27"/>
        <v>15</v>
      </c>
      <c r="N1429" s="4" t="str">
        <f>_xlfn.CONCAT("DBX",((L1429-1)*2)+1,".7")</f>
        <v>DBX177.7</v>
      </c>
      <c r="O1429" s="210" t="s">
        <v>782</v>
      </c>
      <c r="P1429" s="210"/>
      <c r="Q1429" s="210"/>
      <c r="R1429" s="210"/>
      <c r="S1429" s="210"/>
      <c r="T1429" s="210"/>
      <c r="U1429" s="210"/>
      <c r="V1429" s="210"/>
      <c r="W1429" s="210"/>
      <c r="X1429" s="210"/>
      <c r="Y1429" s="210"/>
      <c r="Z1429" s="210"/>
      <c r="AA1429" s="210"/>
      <c r="AB1429" s="210"/>
      <c r="AC1429" s="210"/>
      <c r="AD1429" s="210"/>
      <c r="AE1429" s="210"/>
    </row>
    <row r="1430" spans="1:31" x14ac:dyDescent="0.2">
      <c r="A1430" s="209"/>
      <c r="B1430" s="4" t="s">
        <v>34</v>
      </c>
      <c r="C1430" s="4">
        <v>1425</v>
      </c>
      <c r="D1430" s="210"/>
      <c r="E1430" s="210"/>
      <c r="F1430" s="210"/>
      <c r="G1430" s="210"/>
      <c r="H1430" s="210"/>
      <c r="I1430" s="210"/>
      <c r="J1430" s="4">
        <v>40625</v>
      </c>
      <c r="K1430" s="210"/>
      <c r="L1430" s="210">
        <v>90</v>
      </c>
      <c r="M1430" s="4">
        <v>0</v>
      </c>
      <c r="N1430" s="4" t="str">
        <f>_xlfn.CONCAT("DBX",((L1430-1)*2),".0")</f>
        <v>DBX178.0</v>
      </c>
      <c r="O1430" s="210" t="s">
        <v>782</v>
      </c>
      <c r="P1430" s="210"/>
      <c r="Q1430" s="210"/>
      <c r="R1430" s="210"/>
      <c r="S1430" s="210"/>
      <c r="T1430" s="210"/>
      <c r="U1430" s="210"/>
      <c r="V1430" s="210"/>
      <c r="W1430" s="210"/>
      <c r="X1430" s="210"/>
      <c r="Y1430" s="210"/>
      <c r="Z1430" s="210"/>
      <c r="AA1430" s="210"/>
      <c r="AB1430" s="210"/>
      <c r="AC1430" s="210"/>
      <c r="AD1430" s="210"/>
      <c r="AE1430" s="210"/>
    </row>
    <row r="1431" spans="1:31" x14ac:dyDescent="0.2">
      <c r="A1431" s="209"/>
      <c r="B1431" s="4" t="s">
        <v>34</v>
      </c>
      <c r="C1431" s="4">
        <v>1426</v>
      </c>
      <c r="D1431" s="210"/>
      <c r="E1431" s="210"/>
      <c r="F1431" s="210"/>
      <c r="G1431" s="210"/>
      <c r="H1431" s="210"/>
      <c r="I1431" s="210"/>
      <c r="J1431" s="4">
        <v>40626</v>
      </c>
      <c r="K1431" s="210"/>
      <c r="L1431" s="210">
        <v>90</v>
      </c>
      <c r="M1431" s="4">
        <v>1</v>
      </c>
      <c r="N1431" s="4" t="str">
        <f>_xlfn.CONCAT("DBX",((L1431-1)*2),".1")</f>
        <v>DBX178.1</v>
      </c>
      <c r="O1431" s="210" t="s">
        <v>782</v>
      </c>
      <c r="P1431" s="210"/>
      <c r="Q1431" s="210"/>
      <c r="R1431" s="210"/>
      <c r="S1431" s="210"/>
      <c r="T1431" s="210"/>
      <c r="U1431" s="210"/>
      <c r="V1431" s="210"/>
      <c r="W1431" s="210"/>
      <c r="X1431" s="210"/>
      <c r="Y1431" s="210"/>
      <c r="Z1431" s="210"/>
      <c r="AA1431" s="210"/>
      <c r="AB1431" s="210"/>
      <c r="AC1431" s="210"/>
      <c r="AD1431" s="210"/>
      <c r="AE1431" s="210"/>
    </row>
    <row r="1432" spans="1:31" x14ac:dyDescent="0.2">
      <c r="A1432" s="209"/>
      <c r="B1432" s="4" t="s">
        <v>34</v>
      </c>
      <c r="C1432" s="4">
        <v>1427</v>
      </c>
      <c r="D1432" s="210"/>
      <c r="E1432" s="210"/>
      <c r="F1432" s="210"/>
      <c r="G1432" s="210"/>
      <c r="H1432" s="210"/>
      <c r="I1432" s="210"/>
      <c r="J1432" s="4">
        <v>40627</v>
      </c>
      <c r="K1432" s="210"/>
      <c r="L1432" s="210">
        <v>90</v>
      </c>
      <c r="M1432" s="4">
        <v>2</v>
      </c>
      <c r="N1432" s="4" t="str">
        <f>_xlfn.CONCAT("DBX",((L1432-1)*2),".2")</f>
        <v>DBX178.2</v>
      </c>
      <c r="O1432" s="210" t="s">
        <v>782</v>
      </c>
      <c r="P1432" s="210"/>
      <c r="Q1432" s="210"/>
      <c r="R1432" s="210"/>
      <c r="S1432" s="210"/>
      <c r="T1432" s="210"/>
      <c r="U1432" s="210"/>
      <c r="V1432" s="210"/>
      <c r="W1432" s="210"/>
      <c r="X1432" s="210"/>
      <c r="Y1432" s="210"/>
      <c r="Z1432" s="210"/>
      <c r="AA1432" s="210"/>
      <c r="AB1432" s="210"/>
      <c r="AC1432" s="210"/>
      <c r="AD1432" s="210"/>
      <c r="AE1432" s="210"/>
    </row>
    <row r="1433" spans="1:31" x14ac:dyDescent="0.2">
      <c r="A1433" s="209"/>
      <c r="B1433" s="4" t="s">
        <v>34</v>
      </c>
      <c r="C1433" s="4">
        <v>1428</v>
      </c>
      <c r="D1433" s="210"/>
      <c r="E1433" s="210"/>
      <c r="F1433" s="210"/>
      <c r="G1433" s="210"/>
      <c r="H1433" s="210"/>
      <c r="I1433" s="210"/>
      <c r="J1433" s="4">
        <v>40628</v>
      </c>
      <c r="K1433" s="210"/>
      <c r="L1433" s="210">
        <v>90</v>
      </c>
      <c r="M1433" s="4">
        <v>3</v>
      </c>
      <c r="N1433" s="4" t="str">
        <f>_xlfn.CONCAT("DBX",((L1433-1)*2),".3")</f>
        <v>DBX178.3</v>
      </c>
      <c r="O1433" s="210" t="s">
        <v>782</v>
      </c>
      <c r="P1433" s="210"/>
      <c r="Q1433" s="210"/>
      <c r="R1433" s="210"/>
      <c r="S1433" s="210"/>
      <c r="T1433" s="210"/>
      <c r="U1433" s="210"/>
      <c r="V1433" s="210"/>
      <c r="W1433" s="210"/>
      <c r="X1433" s="210"/>
      <c r="Y1433" s="210"/>
      <c r="Z1433" s="210"/>
      <c r="AA1433" s="210"/>
      <c r="AB1433" s="210"/>
      <c r="AC1433" s="210"/>
      <c r="AD1433" s="210"/>
      <c r="AE1433" s="210"/>
    </row>
    <row r="1434" spans="1:31" x14ac:dyDescent="0.2">
      <c r="A1434" s="209"/>
      <c r="B1434" s="4" t="s">
        <v>34</v>
      </c>
      <c r="C1434" s="4">
        <v>1429</v>
      </c>
      <c r="D1434" s="210"/>
      <c r="E1434" s="210"/>
      <c r="F1434" s="210"/>
      <c r="G1434" s="210"/>
      <c r="H1434" s="210"/>
      <c r="I1434" s="210"/>
      <c r="J1434" s="4">
        <v>40629</v>
      </c>
      <c r="K1434" s="210"/>
      <c r="L1434" s="210">
        <v>90</v>
      </c>
      <c r="M1434" s="4">
        <v>4</v>
      </c>
      <c r="N1434" s="4" t="str">
        <f>_xlfn.CONCAT("DBX",((L1434-1)*2),".4")</f>
        <v>DBX178.4</v>
      </c>
      <c r="O1434" s="210" t="s">
        <v>782</v>
      </c>
      <c r="P1434" s="210"/>
      <c r="Q1434" s="210"/>
      <c r="R1434" s="210"/>
      <c r="S1434" s="210"/>
      <c r="T1434" s="210"/>
      <c r="U1434" s="210"/>
      <c r="V1434" s="210"/>
      <c r="W1434" s="210"/>
      <c r="X1434" s="210"/>
      <c r="Y1434" s="210"/>
      <c r="Z1434" s="210"/>
      <c r="AA1434" s="210"/>
      <c r="AB1434" s="210"/>
      <c r="AC1434" s="210"/>
      <c r="AD1434" s="210"/>
      <c r="AE1434" s="210"/>
    </row>
    <row r="1435" spans="1:31" x14ac:dyDescent="0.2">
      <c r="A1435" s="209"/>
      <c r="B1435" s="4" t="s">
        <v>34</v>
      </c>
      <c r="C1435" s="4">
        <v>1430</v>
      </c>
      <c r="D1435" s="210"/>
      <c r="E1435" s="210"/>
      <c r="F1435" s="210"/>
      <c r="G1435" s="210"/>
      <c r="H1435" s="210"/>
      <c r="I1435" s="210"/>
      <c r="J1435" s="4">
        <v>40630</v>
      </c>
      <c r="K1435" s="210"/>
      <c r="L1435" s="210">
        <v>90</v>
      </c>
      <c r="M1435" s="4">
        <v>5</v>
      </c>
      <c r="N1435" s="4" t="str">
        <f>_xlfn.CONCAT("DBX",((L1435-1)*2),".5")</f>
        <v>DBX178.5</v>
      </c>
      <c r="O1435" s="210" t="s">
        <v>782</v>
      </c>
      <c r="P1435" s="210"/>
      <c r="Q1435" s="210"/>
      <c r="R1435" s="210"/>
      <c r="S1435" s="210"/>
      <c r="T1435" s="210"/>
      <c r="U1435" s="210"/>
      <c r="V1435" s="210"/>
      <c r="W1435" s="210"/>
      <c r="X1435" s="210"/>
      <c r="Y1435" s="210"/>
      <c r="Z1435" s="210"/>
      <c r="AA1435" s="210"/>
      <c r="AB1435" s="210"/>
      <c r="AC1435" s="210"/>
      <c r="AD1435" s="210"/>
      <c r="AE1435" s="210"/>
    </row>
    <row r="1436" spans="1:31" x14ac:dyDescent="0.2">
      <c r="A1436" s="209"/>
      <c r="B1436" s="4" t="s">
        <v>34</v>
      </c>
      <c r="C1436" s="4">
        <v>1431</v>
      </c>
      <c r="D1436" s="210"/>
      <c r="E1436" s="210"/>
      <c r="F1436" s="210"/>
      <c r="G1436" s="210"/>
      <c r="H1436" s="210"/>
      <c r="I1436" s="210"/>
      <c r="J1436" s="4">
        <v>40631</v>
      </c>
      <c r="K1436" s="210"/>
      <c r="L1436" s="210">
        <v>90</v>
      </c>
      <c r="M1436" s="4">
        <v>6</v>
      </c>
      <c r="N1436" s="4" t="str">
        <f>_xlfn.CONCAT("DBX",((L1436-1)*2),".6")</f>
        <v>DBX178.6</v>
      </c>
      <c r="O1436" s="210" t="s">
        <v>782</v>
      </c>
      <c r="P1436" s="210"/>
      <c r="Q1436" s="210"/>
      <c r="R1436" s="210"/>
      <c r="S1436" s="210"/>
      <c r="T1436" s="210"/>
      <c r="U1436" s="210"/>
      <c r="V1436" s="210"/>
      <c r="W1436" s="210"/>
      <c r="X1436" s="210"/>
      <c r="Y1436" s="210"/>
      <c r="Z1436" s="210"/>
      <c r="AA1436" s="210"/>
      <c r="AB1436" s="210"/>
      <c r="AC1436" s="210"/>
      <c r="AD1436" s="210"/>
      <c r="AE1436" s="210"/>
    </row>
    <row r="1437" spans="1:31" x14ac:dyDescent="0.2">
      <c r="A1437" s="209"/>
      <c r="B1437" s="4" t="s">
        <v>34</v>
      </c>
      <c r="C1437" s="4">
        <v>1432</v>
      </c>
      <c r="D1437" s="210"/>
      <c r="E1437" s="210"/>
      <c r="F1437" s="210"/>
      <c r="G1437" s="210"/>
      <c r="H1437" s="210"/>
      <c r="I1437" s="210"/>
      <c r="J1437" s="4">
        <v>40632</v>
      </c>
      <c r="K1437" s="210"/>
      <c r="L1437" s="210">
        <v>90</v>
      </c>
      <c r="M1437" s="4">
        <v>7</v>
      </c>
      <c r="N1437" s="4" t="str">
        <f>_xlfn.CONCAT("DBX",((L1437-1)*2),".7")</f>
        <v>DBX178.7</v>
      </c>
      <c r="O1437" s="210" t="s">
        <v>782</v>
      </c>
      <c r="P1437" s="210"/>
      <c r="Q1437" s="210"/>
      <c r="R1437" s="210"/>
      <c r="S1437" s="210"/>
      <c r="T1437" s="210"/>
      <c r="U1437" s="210"/>
      <c r="V1437" s="210"/>
      <c r="W1437" s="210"/>
      <c r="X1437" s="210"/>
      <c r="Y1437" s="210"/>
      <c r="Z1437" s="210"/>
      <c r="AA1437" s="210"/>
      <c r="AB1437" s="210"/>
      <c r="AC1437" s="210"/>
      <c r="AD1437" s="210"/>
      <c r="AE1437" s="210"/>
    </row>
    <row r="1438" spans="1:31" x14ac:dyDescent="0.2">
      <c r="A1438" s="209"/>
      <c r="B1438" s="4" t="s">
        <v>34</v>
      </c>
      <c r="C1438" s="4">
        <v>1433</v>
      </c>
      <c r="D1438" s="210"/>
      <c r="E1438" s="210"/>
      <c r="F1438" s="210"/>
      <c r="G1438" s="210"/>
      <c r="H1438" s="210"/>
      <c r="I1438" s="210"/>
      <c r="J1438" s="4">
        <v>40633</v>
      </c>
      <c r="K1438" s="210"/>
      <c r="L1438" s="210">
        <v>90</v>
      </c>
      <c r="M1438" s="4">
        <v>8</v>
      </c>
      <c r="N1438" s="4" t="str">
        <f>_xlfn.CONCAT("DBX",((L1438-1)*2)+1,".0")</f>
        <v>DBX179.0</v>
      </c>
      <c r="O1438" s="210" t="s">
        <v>782</v>
      </c>
      <c r="P1438" s="210"/>
      <c r="Q1438" s="210"/>
      <c r="R1438" s="210"/>
      <c r="S1438" s="210"/>
      <c r="T1438" s="210"/>
      <c r="U1438" s="210"/>
      <c r="V1438" s="210"/>
      <c r="W1438" s="210"/>
      <c r="X1438" s="210"/>
      <c r="Y1438" s="210"/>
      <c r="Z1438" s="210"/>
      <c r="AA1438" s="210"/>
      <c r="AB1438" s="210"/>
      <c r="AC1438" s="210"/>
      <c r="AD1438" s="210"/>
      <c r="AE1438" s="210"/>
    </row>
    <row r="1439" spans="1:31" x14ac:dyDescent="0.2">
      <c r="A1439" s="209"/>
      <c r="B1439" s="4" t="s">
        <v>34</v>
      </c>
      <c r="C1439" s="4">
        <v>1434</v>
      </c>
      <c r="D1439" s="210"/>
      <c r="E1439" s="210"/>
      <c r="F1439" s="210"/>
      <c r="G1439" s="210"/>
      <c r="H1439" s="210"/>
      <c r="I1439" s="210"/>
      <c r="J1439" s="4">
        <v>40634</v>
      </c>
      <c r="K1439" s="210"/>
      <c r="L1439" s="210">
        <v>90</v>
      </c>
      <c r="M1439" s="4">
        <v>9</v>
      </c>
      <c r="N1439" s="4" t="str">
        <f>_xlfn.CONCAT("DBX",((L1439-1)*2)+1,".1")</f>
        <v>DBX179.1</v>
      </c>
      <c r="O1439" s="210" t="s">
        <v>782</v>
      </c>
      <c r="P1439" s="210"/>
      <c r="Q1439" s="210"/>
      <c r="R1439" s="210"/>
      <c r="S1439" s="210"/>
      <c r="T1439" s="210"/>
      <c r="U1439" s="210"/>
      <c r="V1439" s="210"/>
      <c r="W1439" s="210"/>
      <c r="X1439" s="210"/>
      <c r="Y1439" s="210"/>
      <c r="Z1439" s="210"/>
      <c r="AA1439" s="210"/>
      <c r="AB1439" s="210"/>
      <c r="AC1439" s="210"/>
      <c r="AD1439" s="210"/>
      <c r="AE1439" s="210"/>
    </row>
    <row r="1440" spans="1:31" x14ac:dyDescent="0.2">
      <c r="A1440" s="209"/>
      <c r="B1440" s="4" t="s">
        <v>34</v>
      </c>
      <c r="C1440" s="4">
        <v>1435</v>
      </c>
      <c r="D1440" s="210"/>
      <c r="E1440" s="210"/>
      <c r="F1440" s="210"/>
      <c r="G1440" s="210"/>
      <c r="H1440" s="210"/>
      <c r="I1440" s="210"/>
      <c r="J1440" s="4">
        <v>40635</v>
      </c>
      <c r="K1440" s="210"/>
      <c r="L1440" s="210">
        <v>90</v>
      </c>
      <c r="M1440" s="4">
        <v>10</v>
      </c>
      <c r="N1440" s="4" t="str">
        <f>_xlfn.CONCAT("DBX",((L1440-1)*2)+1,".2")</f>
        <v>DBX179.2</v>
      </c>
      <c r="O1440" s="210" t="s">
        <v>782</v>
      </c>
      <c r="P1440" s="210"/>
      <c r="Q1440" s="210"/>
      <c r="R1440" s="210"/>
      <c r="S1440" s="210"/>
      <c r="T1440" s="210"/>
      <c r="U1440" s="210"/>
      <c r="V1440" s="210"/>
      <c r="W1440" s="210"/>
      <c r="X1440" s="210"/>
      <c r="Y1440" s="210"/>
      <c r="Z1440" s="210"/>
      <c r="AA1440" s="210"/>
      <c r="AB1440" s="210"/>
      <c r="AC1440" s="210"/>
      <c r="AD1440" s="210"/>
      <c r="AE1440" s="210"/>
    </row>
    <row r="1441" spans="1:31" x14ac:dyDescent="0.2">
      <c r="A1441" s="209"/>
      <c r="B1441" s="4" t="s">
        <v>34</v>
      </c>
      <c r="C1441" s="4">
        <v>1436</v>
      </c>
      <c r="D1441" s="210"/>
      <c r="E1441" s="210"/>
      <c r="F1441" s="210"/>
      <c r="G1441" s="210"/>
      <c r="H1441" s="210"/>
      <c r="I1441" s="210"/>
      <c r="J1441" s="4">
        <v>40636</v>
      </c>
      <c r="K1441" s="210"/>
      <c r="L1441" s="210">
        <v>90</v>
      </c>
      <c r="M1441" s="4">
        <v>11</v>
      </c>
      <c r="N1441" s="4" t="str">
        <f>_xlfn.CONCAT("DBX",((L1441-1)*2)+1,".3")</f>
        <v>DBX179.3</v>
      </c>
      <c r="O1441" s="210" t="s">
        <v>782</v>
      </c>
      <c r="P1441" s="210"/>
      <c r="Q1441" s="210"/>
      <c r="R1441" s="210"/>
      <c r="S1441" s="210"/>
      <c r="T1441" s="210"/>
      <c r="U1441" s="210"/>
      <c r="V1441" s="210"/>
      <c r="W1441" s="210"/>
      <c r="X1441" s="210"/>
      <c r="Y1441" s="210"/>
      <c r="Z1441" s="210"/>
      <c r="AA1441" s="210"/>
      <c r="AB1441" s="210"/>
      <c r="AC1441" s="210"/>
      <c r="AD1441" s="210"/>
      <c r="AE1441" s="210"/>
    </row>
    <row r="1442" spans="1:31" x14ac:dyDescent="0.2">
      <c r="A1442" s="209"/>
      <c r="B1442" s="4" t="s">
        <v>34</v>
      </c>
      <c r="C1442" s="4">
        <v>1437</v>
      </c>
      <c r="D1442" s="210"/>
      <c r="E1442" s="210"/>
      <c r="F1442" s="210"/>
      <c r="G1442" s="210"/>
      <c r="H1442" s="210"/>
      <c r="I1442" s="210"/>
      <c r="J1442" s="4">
        <v>40637</v>
      </c>
      <c r="K1442" s="210"/>
      <c r="L1442" s="210">
        <v>90</v>
      </c>
      <c r="M1442" s="4">
        <v>12</v>
      </c>
      <c r="N1442" s="4" t="str">
        <f>_xlfn.CONCAT("DBX",((L1442-1)*2)+1,".4")</f>
        <v>DBX179.4</v>
      </c>
      <c r="O1442" s="210" t="s">
        <v>782</v>
      </c>
      <c r="P1442" s="210"/>
      <c r="Q1442" s="210"/>
      <c r="R1442" s="210"/>
      <c r="S1442" s="210"/>
      <c r="T1442" s="210"/>
      <c r="U1442" s="210"/>
      <c r="V1442" s="210"/>
      <c r="W1442" s="210"/>
      <c r="X1442" s="210"/>
      <c r="Y1442" s="210"/>
      <c r="Z1442" s="210"/>
      <c r="AA1442" s="210"/>
      <c r="AB1442" s="210"/>
      <c r="AC1442" s="210"/>
      <c r="AD1442" s="210"/>
      <c r="AE1442" s="210"/>
    </row>
    <row r="1443" spans="1:31" x14ac:dyDescent="0.2">
      <c r="A1443" s="209"/>
      <c r="B1443" s="4" t="s">
        <v>34</v>
      </c>
      <c r="C1443" s="4">
        <v>1438</v>
      </c>
      <c r="D1443" s="210"/>
      <c r="E1443" s="210"/>
      <c r="F1443" s="210"/>
      <c r="G1443" s="210"/>
      <c r="H1443" s="210"/>
      <c r="I1443" s="210"/>
      <c r="J1443" s="4">
        <v>40638</v>
      </c>
      <c r="K1443" s="210"/>
      <c r="L1443" s="210">
        <v>90</v>
      </c>
      <c r="M1443" s="4">
        <v>13</v>
      </c>
      <c r="N1443" s="4" t="str">
        <f>_xlfn.CONCAT("DBX",((L1443-1)*2)+1,".5")</f>
        <v>DBX179.5</v>
      </c>
      <c r="O1443" s="210" t="s">
        <v>782</v>
      </c>
      <c r="P1443" s="210"/>
      <c r="Q1443" s="210"/>
      <c r="R1443" s="210"/>
      <c r="S1443" s="210"/>
      <c r="T1443" s="210"/>
      <c r="U1443" s="210"/>
      <c r="V1443" s="210"/>
      <c r="W1443" s="210"/>
      <c r="X1443" s="210"/>
      <c r="Y1443" s="210"/>
      <c r="Z1443" s="210"/>
      <c r="AA1443" s="210"/>
      <c r="AB1443" s="210"/>
      <c r="AC1443" s="210"/>
      <c r="AD1443" s="210"/>
      <c r="AE1443" s="210"/>
    </row>
    <row r="1444" spans="1:31" x14ac:dyDescent="0.2">
      <c r="A1444" s="209"/>
      <c r="B1444" s="4" t="s">
        <v>34</v>
      </c>
      <c r="C1444" s="4">
        <v>1439</v>
      </c>
      <c r="D1444" s="210"/>
      <c r="E1444" s="210"/>
      <c r="F1444" s="210"/>
      <c r="G1444" s="210"/>
      <c r="H1444" s="210"/>
      <c r="I1444" s="210"/>
      <c r="J1444" s="4">
        <v>40639</v>
      </c>
      <c r="K1444" s="210"/>
      <c r="L1444" s="210">
        <v>90</v>
      </c>
      <c r="M1444" s="4">
        <v>14</v>
      </c>
      <c r="N1444" s="4" t="str">
        <f>_xlfn.CONCAT("DBX",((L1444-1)*2)+1,".6")</f>
        <v>DBX179.6</v>
      </c>
      <c r="O1444" s="210" t="s">
        <v>782</v>
      </c>
      <c r="P1444" s="210"/>
      <c r="Q1444" s="210"/>
      <c r="R1444" s="210"/>
      <c r="S1444" s="210"/>
      <c r="T1444" s="210"/>
      <c r="U1444" s="210"/>
      <c r="V1444" s="210"/>
      <c r="W1444" s="210"/>
      <c r="X1444" s="210"/>
      <c r="Y1444" s="210"/>
      <c r="Z1444" s="210"/>
      <c r="AA1444" s="210"/>
      <c r="AB1444" s="210"/>
      <c r="AC1444" s="210"/>
      <c r="AD1444" s="210"/>
      <c r="AE1444" s="210"/>
    </row>
    <row r="1445" spans="1:31" x14ac:dyDescent="0.2">
      <c r="A1445" s="209"/>
      <c r="B1445" s="4" t="s">
        <v>34</v>
      </c>
      <c r="C1445" s="4">
        <v>1440</v>
      </c>
      <c r="D1445" s="210"/>
      <c r="E1445" s="210"/>
      <c r="F1445" s="210"/>
      <c r="G1445" s="210"/>
      <c r="H1445" s="210"/>
      <c r="I1445" s="210"/>
      <c r="J1445" s="4">
        <v>40640</v>
      </c>
      <c r="K1445" s="210"/>
      <c r="L1445" s="210">
        <v>90</v>
      </c>
      <c r="M1445" s="4">
        <v>15</v>
      </c>
      <c r="N1445" s="4" t="str">
        <f>_xlfn.CONCAT("DBX",((L1445-1)*2)+1,".7")</f>
        <v>DBX179.7</v>
      </c>
      <c r="O1445" s="210" t="s">
        <v>782</v>
      </c>
      <c r="P1445" s="210"/>
      <c r="Q1445" s="210"/>
      <c r="R1445" s="210"/>
      <c r="S1445" s="210"/>
      <c r="T1445" s="210"/>
      <c r="U1445" s="210"/>
      <c r="V1445" s="210"/>
      <c r="W1445" s="210"/>
      <c r="X1445" s="210"/>
      <c r="Y1445" s="210"/>
      <c r="Z1445" s="210"/>
      <c r="AA1445" s="210"/>
      <c r="AB1445" s="210"/>
      <c r="AC1445" s="210"/>
      <c r="AD1445" s="210"/>
      <c r="AE1445" s="210"/>
    </row>
    <row r="1446" spans="1:31" x14ac:dyDescent="0.2">
      <c r="A1446" s="209"/>
      <c r="B1446" s="4" t="s">
        <v>34</v>
      </c>
      <c r="C1446" s="4">
        <v>1441</v>
      </c>
      <c r="D1446" s="210"/>
      <c r="E1446" s="210"/>
      <c r="F1446" s="210"/>
      <c r="G1446" s="210"/>
      <c r="H1446" s="210"/>
      <c r="I1446" s="210"/>
      <c r="J1446" s="4">
        <v>40641</v>
      </c>
      <c r="K1446" s="210"/>
      <c r="L1446" s="210">
        <v>91</v>
      </c>
      <c r="M1446" s="4">
        <f t="shared" ref="M1446:M1509" si="28">M1430</f>
        <v>0</v>
      </c>
      <c r="N1446" s="4" t="str">
        <f>_xlfn.CONCAT("DBX",((L1446-1)*2),".0")</f>
        <v>DBX180.0</v>
      </c>
      <c r="O1446" s="210" t="s">
        <v>782</v>
      </c>
      <c r="P1446" s="210"/>
      <c r="Q1446" s="210"/>
      <c r="R1446" s="210"/>
      <c r="S1446" s="210"/>
      <c r="T1446" s="210"/>
      <c r="U1446" s="210"/>
      <c r="V1446" s="210"/>
      <c r="W1446" s="210"/>
      <c r="X1446" s="210"/>
      <c r="Y1446" s="210"/>
      <c r="Z1446" s="210"/>
      <c r="AA1446" s="210"/>
      <c r="AB1446" s="210"/>
      <c r="AC1446" s="210"/>
      <c r="AD1446" s="210"/>
      <c r="AE1446" s="210"/>
    </row>
    <row r="1447" spans="1:31" x14ac:dyDescent="0.2">
      <c r="A1447" s="209"/>
      <c r="B1447" s="4" t="s">
        <v>34</v>
      </c>
      <c r="C1447" s="4">
        <v>1442</v>
      </c>
      <c r="D1447" s="210"/>
      <c r="E1447" s="210"/>
      <c r="F1447" s="210"/>
      <c r="G1447" s="210"/>
      <c r="H1447" s="210"/>
      <c r="I1447" s="210"/>
      <c r="J1447" s="4">
        <v>40642</v>
      </c>
      <c r="K1447" s="210"/>
      <c r="L1447" s="210">
        <v>91</v>
      </c>
      <c r="M1447" s="4">
        <f t="shared" si="28"/>
        <v>1</v>
      </c>
      <c r="N1447" s="4" t="str">
        <f>_xlfn.CONCAT("DBX",((L1447-1)*2),".1")</f>
        <v>DBX180.1</v>
      </c>
      <c r="O1447" s="210" t="s">
        <v>782</v>
      </c>
      <c r="P1447" s="210"/>
      <c r="Q1447" s="210"/>
      <c r="R1447" s="210"/>
      <c r="S1447" s="210"/>
      <c r="T1447" s="210"/>
      <c r="U1447" s="210"/>
      <c r="V1447" s="210"/>
      <c r="W1447" s="210"/>
      <c r="X1447" s="210"/>
      <c r="Y1447" s="210"/>
      <c r="Z1447" s="210"/>
      <c r="AA1447" s="210"/>
      <c r="AB1447" s="210"/>
      <c r="AC1447" s="210"/>
      <c r="AD1447" s="210"/>
      <c r="AE1447" s="210"/>
    </row>
    <row r="1448" spans="1:31" x14ac:dyDescent="0.2">
      <c r="A1448" s="209"/>
      <c r="B1448" s="4" t="s">
        <v>34</v>
      </c>
      <c r="C1448" s="4">
        <v>1443</v>
      </c>
      <c r="D1448" s="210"/>
      <c r="E1448" s="210"/>
      <c r="F1448" s="210"/>
      <c r="G1448" s="210"/>
      <c r="H1448" s="210"/>
      <c r="I1448" s="210"/>
      <c r="J1448" s="4">
        <v>40643</v>
      </c>
      <c r="K1448" s="210"/>
      <c r="L1448" s="210">
        <v>91</v>
      </c>
      <c r="M1448" s="4">
        <f t="shared" si="28"/>
        <v>2</v>
      </c>
      <c r="N1448" s="4" t="str">
        <f>_xlfn.CONCAT("DBX",((L1448-1)*2),".2")</f>
        <v>DBX180.2</v>
      </c>
      <c r="O1448" s="210" t="s">
        <v>782</v>
      </c>
      <c r="P1448" s="210"/>
      <c r="Q1448" s="210"/>
      <c r="R1448" s="210"/>
      <c r="S1448" s="210"/>
      <c r="T1448" s="210"/>
      <c r="U1448" s="210"/>
      <c r="V1448" s="210"/>
      <c r="W1448" s="210"/>
      <c r="X1448" s="210"/>
      <c r="Y1448" s="210"/>
      <c r="Z1448" s="210"/>
      <c r="AA1448" s="210"/>
      <c r="AB1448" s="210"/>
      <c r="AC1448" s="210"/>
      <c r="AD1448" s="210"/>
      <c r="AE1448" s="210"/>
    </row>
    <row r="1449" spans="1:31" x14ac:dyDescent="0.2">
      <c r="A1449" s="209"/>
      <c r="B1449" s="4" t="s">
        <v>34</v>
      </c>
      <c r="C1449" s="4">
        <v>1444</v>
      </c>
      <c r="D1449" s="210"/>
      <c r="E1449" s="210"/>
      <c r="F1449" s="210"/>
      <c r="G1449" s="210"/>
      <c r="H1449" s="210"/>
      <c r="I1449" s="210"/>
      <c r="J1449" s="4">
        <v>40644</v>
      </c>
      <c r="K1449" s="210"/>
      <c r="L1449" s="210">
        <v>91</v>
      </c>
      <c r="M1449" s="4">
        <f t="shared" si="28"/>
        <v>3</v>
      </c>
      <c r="N1449" s="4" t="str">
        <f>_xlfn.CONCAT("DBX",((L1449-1)*2),".3")</f>
        <v>DBX180.3</v>
      </c>
      <c r="O1449" s="210" t="s">
        <v>782</v>
      </c>
      <c r="P1449" s="210"/>
      <c r="Q1449" s="210"/>
      <c r="R1449" s="210"/>
      <c r="S1449" s="210"/>
      <c r="T1449" s="210"/>
      <c r="U1449" s="210"/>
      <c r="V1449" s="210"/>
      <c r="W1449" s="210"/>
      <c r="X1449" s="210"/>
      <c r="Y1449" s="210"/>
      <c r="Z1449" s="210"/>
      <c r="AA1449" s="210"/>
      <c r="AB1449" s="210"/>
      <c r="AC1449" s="210"/>
      <c r="AD1449" s="210"/>
      <c r="AE1449" s="210"/>
    </row>
    <row r="1450" spans="1:31" x14ac:dyDescent="0.2">
      <c r="A1450" s="209"/>
      <c r="B1450" s="4" t="s">
        <v>34</v>
      </c>
      <c r="C1450" s="4">
        <v>1445</v>
      </c>
      <c r="D1450" s="210"/>
      <c r="E1450" s="210"/>
      <c r="F1450" s="210"/>
      <c r="G1450" s="210"/>
      <c r="H1450" s="210"/>
      <c r="I1450" s="210"/>
      <c r="J1450" s="4">
        <v>40645</v>
      </c>
      <c r="K1450" s="210"/>
      <c r="L1450" s="210">
        <v>91</v>
      </c>
      <c r="M1450" s="4">
        <f t="shared" si="28"/>
        <v>4</v>
      </c>
      <c r="N1450" s="4" t="str">
        <f>_xlfn.CONCAT("DBX",((L1450-1)*2),".4")</f>
        <v>DBX180.4</v>
      </c>
      <c r="O1450" s="210" t="s">
        <v>782</v>
      </c>
      <c r="P1450" s="210"/>
      <c r="Q1450" s="210"/>
      <c r="R1450" s="210"/>
      <c r="S1450" s="210"/>
      <c r="T1450" s="210"/>
      <c r="U1450" s="210"/>
      <c r="V1450" s="210"/>
      <c r="W1450" s="210"/>
      <c r="X1450" s="210"/>
      <c r="Y1450" s="210"/>
      <c r="Z1450" s="210"/>
      <c r="AA1450" s="210"/>
      <c r="AB1450" s="210"/>
      <c r="AC1450" s="210"/>
      <c r="AD1450" s="210"/>
      <c r="AE1450" s="210"/>
    </row>
    <row r="1451" spans="1:31" x14ac:dyDescent="0.2">
      <c r="A1451" s="209"/>
      <c r="B1451" s="4" t="s">
        <v>34</v>
      </c>
      <c r="C1451" s="4">
        <v>1446</v>
      </c>
      <c r="D1451" s="210"/>
      <c r="E1451" s="210"/>
      <c r="F1451" s="210"/>
      <c r="G1451" s="210"/>
      <c r="H1451" s="210"/>
      <c r="I1451" s="210"/>
      <c r="J1451" s="4">
        <v>40646</v>
      </c>
      <c r="K1451" s="210"/>
      <c r="L1451" s="210">
        <v>91</v>
      </c>
      <c r="M1451" s="4">
        <f t="shared" si="28"/>
        <v>5</v>
      </c>
      <c r="N1451" s="4" t="str">
        <f>_xlfn.CONCAT("DBX",((L1451-1)*2),".5")</f>
        <v>DBX180.5</v>
      </c>
      <c r="O1451" s="210" t="s">
        <v>782</v>
      </c>
      <c r="P1451" s="210"/>
      <c r="Q1451" s="210"/>
      <c r="R1451" s="210"/>
      <c r="S1451" s="210"/>
      <c r="T1451" s="210"/>
      <c r="U1451" s="210"/>
      <c r="V1451" s="210"/>
      <c r="W1451" s="210"/>
      <c r="X1451" s="210"/>
      <c r="Y1451" s="210"/>
      <c r="Z1451" s="210"/>
      <c r="AA1451" s="210"/>
      <c r="AB1451" s="210"/>
      <c r="AC1451" s="210"/>
      <c r="AD1451" s="210"/>
      <c r="AE1451" s="210"/>
    </row>
    <row r="1452" spans="1:31" x14ac:dyDescent="0.2">
      <c r="A1452" s="209"/>
      <c r="B1452" s="4" t="s">
        <v>34</v>
      </c>
      <c r="C1452" s="4">
        <v>1447</v>
      </c>
      <c r="D1452" s="210"/>
      <c r="E1452" s="210"/>
      <c r="F1452" s="210"/>
      <c r="G1452" s="210"/>
      <c r="H1452" s="210"/>
      <c r="I1452" s="210"/>
      <c r="J1452" s="4">
        <v>40647</v>
      </c>
      <c r="K1452" s="210"/>
      <c r="L1452" s="210">
        <v>91</v>
      </c>
      <c r="M1452" s="4">
        <f t="shared" si="28"/>
        <v>6</v>
      </c>
      <c r="N1452" s="4" t="str">
        <f>_xlfn.CONCAT("DBX",((L1452-1)*2),".6")</f>
        <v>DBX180.6</v>
      </c>
      <c r="O1452" s="210" t="s">
        <v>782</v>
      </c>
      <c r="P1452" s="210"/>
      <c r="Q1452" s="210"/>
      <c r="R1452" s="210"/>
      <c r="S1452" s="210"/>
      <c r="T1452" s="210"/>
      <c r="U1452" s="210"/>
      <c r="V1452" s="210"/>
      <c r="W1452" s="210"/>
      <c r="X1452" s="210"/>
      <c r="Y1452" s="210"/>
      <c r="Z1452" s="210"/>
      <c r="AA1452" s="210"/>
      <c r="AB1452" s="210"/>
      <c r="AC1452" s="210"/>
      <c r="AD1452" s="210"/>
      <c r="AE1452" s="210"/>
    </row>
    <row r="1453" spans="1:31" x14ac:dyDescent="0.2">
      <c r="A1453" s="209"/>
      <c r="B1453" s="4" t="s">
        <v>34</v>
      </c>
      <c r="C1453" s="4">
        <v>1448</v>
      </c>
      <c r="D1453" s="210"/>
      <c r="E1453" s="210"/>
      <c r="F1453" s="210"/>
      <c r="G1453" s="210"/>
      <c r="H1453" s="210"/>
      <c r="I1453" s="210"/>
      <c r="J1453" s="4">
        <v>40648</v>
      </c>
      <c r="K1453" s="210"/>
      <c r="L1453" s="210">
        <v>91</v>
      </c>
      <c r="M1453" s="4">
        <f t="shared" si="28"/>
        <v>7</v>
      </c>
      <c r="N1453" s="4" t="str">
        <f>_xlfn.CONCAT("DBX",((L1453-1)*2),".7")</f>
        <v>DBX180.7</v>
      </c>
      <c r="O1453" s="210" t="s">
        <v>782</v>
      </c>
      <c r="P1453" s="210"/>
      <c r="Q1453" s="210"/>
      <c r="R1453" s="210"/>
      <c r="S1453" s="210"/>
      <c r="T1453" s="210"/>
      <c r="U1453" s="210"/>
      <c r="V1453" s="210"/>
      <c r="W1453" s="210"/>
      <c r="X1453" s="210"/>
      <c r="Y1453" s="210"/>
      <c r="Z1453" s="210"/>
      <c r="AA1453" s="210"/>
      <c r="AB1453" s="210"/>
      <c r="AC1453" s="210"/>
      <c r="AD1453" s="210"/>
      <c r="AE1453" s="210"/>
    </row>
    <row r="1454" spans="1:31" x14ac:dyDescent="0.2">
      <c r="A1454" s="209"/>
      <c r="B1454" s="4" t="s">
        <v>34</v>
      </c>
      <c r="C1454" s="4">
        <v>1449</v>
      </c>
      <c r="D1454" s="210"/>
      <c r="E1454" s="210"/>
      <c r="F1454" s="210"/>
      <c r="G1454" s="210"/>
      <c r="H1454" s="210"/>
      <c r="I1454" s="210"/>
      <c r="J1454" s="4">
        <v>40649</v>
      </c>
      <c r="K1454" s="210"/>
      <c r="L1454" s="210">
        <v>91</v>
      </c>
      <c r="M1454" s="4">
        <f t="shared" si="28"/>
        <v>8</v>
      </c>
      <c r="N1454" s="4" t="str">
        <f>_xlfn.CONCAT("DBX",((L1454-1)*2)+1,".0")</f>
        <v>DBX181.0</v>
      </c>
      <c r="O1454" s="210" t="s">
        <v>782</v>
      </c>
      <c r="P1454" s="210"/>
      <c r="Q1454" s="210"/>
      <c r="R1454" s="210"/>
      <c r="S1454" s="210"/>
      <c r="T1454" s="210"/>
      <c r="U1454" s="210"/>
      <c r="V1454" s="210"/>
      <c r="W1454" s="210"/>
      <c r="X1454" s="210"/>
      <c r="Y1454" s="210"/>
      <c r="Z1454" s="210"/>
      <c r="AA1454" s="210"/>
      <c r="AB1454" s="210"/>
      <c r="AC1454" s="210"/>
      <c r="AD1454" s="210"/>
      <c r="AE1454" s="210"/>
    </row>
    <row r="1455" spans="1:31" x14ac:dyDescent="0.2">
      <c r="A1455" s="209"/>
      <c r="B1455" s="4" t="s">
        <v>34</v>
      </c>
      <c r="C1455" s="4">
        <v>1450</v>
      </c>
      <c r="D1455" s="210"/>
      <c r="E1455" s="210"/>
      <c r="F1455" s="210"/>
      <c r="G1455" s="210"/>
      <c r="H1455" s="210"/>
      <c r="I1455" s="210"/>
      <c r="J1455" s="4">
        <v>40650</v>
      </c>
      <c r="K1455" s="210"/>
      <c r="L1455" s="210">
        <v>91</v>
      </c>
      <c r="M1455" s="4">
        <f t="shared" si="28"/>
        <v>9</v>
      </c>
      <c r="N1455" s="4" t="str">
        <f>_xlfn.CONCAT("DBX",((L1455-1)*2)+1,".1")</f>
        <v>DBX181.1</v>
      </c>
      <c r="O1455" s="210" t="s">
        <v>782</v>
      </c>
      <c r="P1455" s="210"/>
      <c r="Q1455" s="210"/>
      <c r="R1455" s="210"/>
      <c r="S1455" s="210"/>
      <c r="T1455" s="210"/>
      <c r="U1455" s="210"/>
      <c r="V1455" s="210"/>
      <c r="W1455" s="210"/>
      <c r="X1455" s="210"/>
      <c r="Y1455" s="210"/>
      <c r="Z1455" s="210"/>
      <c r="AA1455" s="210"/>
      <c r="AB1455" s="210"/>
      <c r="AC1455" s="210"/>
      <c r="AD1455" s="210"/>
      <c r="AE1455" s="210"/>
    </row>
    <row r="1456" spans="1:31" x14ac:dyDescent="0.2">
      <c r="A1456" s="209"/>
      <c r="B1456" s="4" t="s">
        <v>34</v>
      </c>
      <c r="C1456" s="4">
        <v>1451</v>
      </c>
      <c r="D1456" s="210"/>
      <c r="E1456" s="210"/>
      <c r="F1456" s="210"/>
      <c r="G1456" s="210"/>
      <c r="H1456" s="210"/>
      <c r="I1456" s="210"/>
      <c r="J1456" s="4">
        <v>40651</v>
      </c>
      <c r="K1456" s="210"/>
      <c r="L1456" s="210">
        <v>91</v>
      </c>
      <c r="M1456" s="4">
        <f t="shared" si="28"/>
        <v>10</v>
      </c>
      <c r="N1456" s="4" t="str">
        <f>_xlfn.CONCAT("DBX",((L1456-1)*2)+1,".2")</f>
        <v>DBX181.2</v>
      </c>
      <c r="O1456" s="210" t="s">
        <v>782</v>
      </c>
      <c r="P1456" s="210"/>
      <c r="Q1456" s="210"/>
      <c r="R1456" s="210"/>
      <c r="S1456" s="210"/>
      <c r="T1456" s="210"/>
      <c r="U1456" s="210"/>
      <c r="V1456" s="210"/>
      <c r="W1456" s="210"/>
      <c r="X1456" s="210"/>
      <c r="Y1456" s="210"/>
      <c r="Z1456" s="210"/>
      <c r="AA1456" s="210"/>
      <c r="AB1456" s="210"/>
      <c r="AC1456" s="210"/>
      <c r="AD1456" s="210"/>
      <c r="AE1456" s="210"/>
    </row>
    <row r="1457" spans="1:31" x14ac:dyDescent="0.2">
      <c r="A1457" s="209"/>
      <c r="B1457" s="4" t="s">
        <v>34</v>
      </c>
      <c r="C1457" s="4">
        <v>1452</v>
      </c>
      <c r="D1457" s="210"/>
      <c r="E1457" s="210"/>
      <c r="F1457" s="210"/>
      <c r="G1457" s="210"/>
      <c r="H1457" s="210"/>
      <c r="I1457" s="210"/>
      <c r="J1457" s="4">
        <v>40652</v>
      </c>
      <c r="K1457" s="210"/>
      <c r="L1457" s="210">
        <v>91</v>
      </c>
      <c r="M1457" s="4">
        <f t="shared" si="28"/>
        <v>11</v>
      </c>
      <c r="N1457" s="4" t="str">
        <f>_xlfn.CONCAT("DBX",((L1457-1)*2)+1,".3")</f>
        <v>DBX181.3</v>
      </c>
      <c r="O1457" s="210" t="s">
        <v>782</v>
      </c>
      <c r="P1457" s="210"/>
      <c r="Q1457" s="210"/>
      <c r="R1457" s="210"/>
      <c r="S1457" s="210"/>
      <c r="T1457" s="210"/>
      <c r="U1457" s="210"/>
      <c r="V1457" s="210"/>
      <c r="W1457" s="210"/>
      <c r="X1457" s="210"/>
      <c r="Y1457" s="210"/>
      <c r="Z1457" s="210"/>
      <c r="AA1457" s="210"/>
      <c r="AB1457" s="210"/>
      <c r="AC1457" s="210"/>
      <c r="AD1457" s="210"/>
      <c r="AE1457" s="210"/>
    </row>
    <row r="1458" spans="1:31" x14ac:dyDescent="0.2">
      <c r="A1458" s="209"/>
      <c r="B1458" s="4" t="s">
        <v>34</v>
      </c>
      <c r="C1458" s="4">
        <v>1453</v>
      </c>
      <c r="D1458" s="210"/>
      <c r="E1458" s="210"/>
      <c r="F1458" s="210"/>
      <c r="G1458" s="210"/>
      <c r="H1458" s="210"/>
      <c r="I1458" s="210"/>
      <c r="J1458" s="4">
        <v>40653</v>
      </c>
      <c r="K1458" s="210"/>
      <c r="L1458" s="210">
        <v>91</v>
      </c>
      <c r="M1458" s="4">
        <f t="shared" si="28"/>
        <v>12</v>
      </c>
      <c r="N1458" s="4" t="str">
        <f>_xlfn.CONCAT("DBX",((L1458-1)*2)+1,".4")</f>
        <v>DBX181.4</v>
      </c>
      <c r="O1458" s="210" t="s">
        <v>782</v>
      </c>
      <c r="P1458" s="210"/>
      <c r="Q1458" s="210"/>
      <c r="R1458" s="210"/>
      <c r="S1458" s="210"/>
      <c r="T1458" s="210"/>
      <c r="U1458" s="210"/>
      <c r="V1458" s="210"/>
      <c r="W1458" s="210"/>
      <c r="X1458" s="210"/>
      <c r="Y1458" s="210"/>
      <c r="Z1458" s="210"/>
      <c r="AA1458" s="210"/>
      <c r="AB1458" s="210"/>
      <c r="AC1458" s="210"/>
      <c r="AD1458" s="210"/>
      <c r="AE1458" s="210"/>
    </row>
    <row r="1459" spans="1:31" x14ac:dyDescent="0.2">
      <c r="A1459" s="209"/>
      <c r="B1459" s="4" t="s">
        <v>34</v>
      </c>
      <c r="C1459" s="4">
        <v>1454</v>
      </c>
      <c r="D1459" s="210"/>
      <c r="E1459" s="210"/>
      <c r="F1459" s="210"/>
      <c r="G1459" s="210"/>
      <c r="H1459" s="210"/>
      <c r="I1459" s="210"/>
      <c r="J1459" s="4">
        <v>40654</v>
      </c>
      <c r="K1459" s="210"/>
      <c r="L1459" s="210">
        <v>91</v>
      </c>
      <c r="M1459" s="4">
        <f t="shared" si="28"/>
        <v>13</v>
      </c>
      <c r="N1459" s="4" t="str">
        <f>_xlfn.CONCAT("DBX",((L1459-1)*2)+1,".5")</f>
        <v>DBX181.5</v>
      </c>
      <c r="O1459" s="210" t="s">
        <v>782</v>
      </c>
      <c r="P1459" s="210"/>
      <c r="Q1459" s="210"/>
      <c r="R1459" s="210"/>
      <c r="S1459" s="210"/>
      <c r="T1459" s="210"/>
      <c r="U1459" s="210"/>
      <c r="V1459" s="210"/>
      <c r="W1459" s="210"/>
      <c r="X1459" s="210"/>
      <c r="Y1459" s="210"/>
      <c r="Z1459" s="210"/>
      <c r="AA1459" s="210"/>
      <c r="AB1459" s="210"/>
      <c r="AC1459" s="210"/>
      <c r="AD1459" s="210"/>
      <c r="AE1459" s="210"/>
    </row>
    <row r="1460" spans="1:31" x14ac:dyDescent="0.2">
      <c r="A1460" s="209"/>
      <c r="B1460" s="4" t="s">
        <v>34</v>
      </c>
      <c r="C1460" s="4">
        <v>1455</v>
      </c>
      <c r="D1460" s="210"/>
      <c r="E1460" s="210"/>
      <c r="F1460" s="210"/>
      <c r="G1460" s="210"/>
      <c r="H1460" s="210"/>
      <c r="I1460" s="210"/>
      <c r="J1460" s="4">
        <v>40655</v>
      </c>
      <c r="K1460" s="210"/>
      <c r="L1460" s="210">
        <v>91</v>
      </c>
      <c r="M1460" s="4">
        <f t="shared" si="28"/>
        <v>14</v>
      </c>
      <c r="N1460" s="4" t="str">
        <f>_xlfn.CONCAT("DBX",((L1460-1)*2)+1,".6")</f>
        <v>DBX181.6</v>
      </c>
      <c r="O1460" s="210" t="s">
        <v>782</v>
      </c>
      <c r="P1460" s="210"/>
      <c r="Q1460" s="210"/>
      <c r="R1460" s="210"/>
      <c r="S1460" s="210"/>
      <c r="T1460" s="210"/>
      <c r="U1460" s="210"/>
      <c r="V1460" s="210"/>
      <c r="W1460" s="210"/>
      <c r="X1460" s="210"/>
      <c r="Y1460" s="210"/>
      <c r="Z1460" s="210"/>
      <c r="AA1460" s="210"/>
      <c r="AB1460" s="210"/>
      <c r="AC1460" s="210"/>
      <c r="AD1460" s="210"/>
      <c r="AE1460" s="210"/>
    </row>
    <row r="1461" spans="1:31" x14ac:dyDescent="0.2">
      <c r="A1461" s="209"/>
      <c r="B1461" s="4" t="s">
        <v>34</v>
      </c>
      <c r="C1461" s="4">
        <v>1456</v>
      </c>
      <c r="D1461" s="210"/>
      <c r="E1461" s="210"/>
      <c r="F1461" s="210"/>
      <c r="G1461" s="210"/>
      <c r="H1461" s="210"/>
      <c r="I1461" s="210"/>
      <c r="J1461" s="4">
        <v>40656</v>
      </c>
      <c r="K1461" s="210"/>
      <c r="L1461" s="210">
        <v>91</v>
      </c>
      <c r="M1461" s="4">
        <f t="shared" si="28"/>
        <v>15</v>
      </c>
      <c r="N1461" s="4" t="str">
        <f>_xlfn.CONCAT("DBX",((L1461-1)*2)+1,".7")</f>
        <v>DBX181.7</v>
      </c>
      <c r="O1461" s="210" t="s">
        <v>782</v>
      </c>
      <c r="P1461" s="210"/>
      <c r="Q1461" s="210"/>
      <c r="R1461" s="210"/>
      <c r="S1461" s="210"/>
      <c r="T1461" s="210"/>
      <c r="U1461" s="210"/>
      <c r="V1461" s="210"/>
      <c r="W1461" s="210"/>
      <c r="X1461" s="210"/>
      <c r="Y1461" s="210"/>
      <c r="Z1461" s="210"/>
      <c r="AA1461" s="210"/>
      <c r="AB1461" s="210"/>
      <c r="AC1461" s="210"/>
      <c r="AD1461" s="210"/>
      <c r="AE1461" s="210"/>
    </row>
    <row r="1462" spans="1:31" x14ac:dyDescent="0.2">
      <c r="A1462" s="209"/>
      <c r="B1462" s="4" t="s">
        <v>34</v>
      </c>
      <c r="C1462" s="4">
        <v>1457</v>
      </c>
      <c r="D1462" s="210"/>
      <c r="E1462" s="210"/>
      <c r="F1462" s="210"/>
      <c r="G1462" s="210"/>
      <c r="H1462" s="210"/>
      <c r="I1462" s="210"/>
      <c r="J1462" s="4">
        <v>40657</v>
      </c>
      <c r="K1462" s="210"/>
      <c r="L1462" s="210">
        <v>92</v>
      </c>
      <c r="M1462" s="4">
        <f t="shared" si="28"/>
        <v>0</v>
      </c>
      <c r="N1462" s="4" t="str">
        <f>_xlfn.CONCAT("DBX",((L1462-1)*2),".0")</f>
        <v>DBX182.0</v>
      </c>
      <c r="O1462" s="210" t="s">
        <v>782</v>
      </c>
      <c r="P1462" s="210"/>
      <c r="Q1462" s="210"/>
      <c r="R1462" s="210"/>
      <c r="S1462" s="210"/>
      <c r="T1462" s="210"/>
      <c r="U1462" s="210"/>
      <c r="V1462" s="210"/>
      <c r="W1462" s="210"/>
      <c r="X1462" s="210"/>
      <c r="Y1462" s="210"/>
      <c r="Z1462" s="210"/>
      <c r="AA1462" s="210"/>
      <c r="AB1462" s="210"/>
      <c r="AC1462" s="210"/>
      <c r="AD1462" s="210"/>
      <c r="AE1462" s="210"/>
    </row>
    <row r="1463" spans="1:31" x14ac:dyDescent="0.2">
      <c r="A1463" s="209"/>
      <c r="B1463" s="4" t="s">
        <v>34</v>
      </c>
      <c r="C1463" s="4">
        <v>1458</v>
      </c>
      <c r="D1463" s="210"/>
      <c r="E1463" s="210"/>
      <c r="F1463" s="210"/>
      <c r="G1463" s="210"/>
      <c r="H1463" s="210"/>
      <c r="I1463" s="210"/>
      <c r="J1463" s="4">
        <v>40658</v>
      </c>
      <c r="K1463" s="210"/>
      <c r="L1463" s="210">
        <v>92</v>
      </c>
      <c r="M1463" s="4">
        <f t="shared" si="28"/>
        <v>1</v>
      </c>
      <c r="N1463" s="4" t="str">
        <f>_xlfn.CONCAT("DBX",((L1463-1)*2),".1")</f>
        <v>DBX182.1</v>
      </c>
      <c r="O1463" s="210" t="s">
        <v>782</v>
      </c>
      <c r="P1463" s="210"/>
      <c r="Q1463" s="210"/>
      <c r="R1463" s="210"/>
      <c r="S1463" s="210"/>
      <c r="T1463" s="210"/>
      <c r="U1463" s="210"/>
      <c r="V1463" s="210"/>
      <c r="W1463" s="210"/>
      <c r="X1463" s="210"/>
      <c r="Y1463" s="210"/>
      <c r="Z1463" s="210"/>
      <c r="AA1463" s="210"/>
      <c r="AB1463" s="210"/>
      <c r="AC1463" s="210"/>
      <c r="AD1463" s="210"/>
      <c r="AE1463" s="210"/>
    </row>
    <row r="1464" spans="1:31" x14ac:dyDescent="0.2">
      <c r="A1464" s="209"/>
      <c r="B1464" s="4" t="s">
        <v>34</v>
      </c>
      <c r="C1464" s="4">
        <v>1459</v>
      </c>
      <c r="D1464" s="210"/>
      <c r="E1464" s="210"/>
      <c r="F1464" s="210"/>
      <c r="G1464" s="210"/>
      <c r="H1464" s="210"/>
      <c r="I1464" s="210"/>
      <c r="J1464" s="4">
        <v>40659</v>
      </c>
      <c r="K1464" s="210"/>
      <c r="L1464" s="210">
        <v>92</v>
      </c>
      <c r="M1464" s="4">
        <f t="shared" si="28"/>
        <v>2</v>
      </c>
      <c r="N1464" s="4" t="str">
        <f>_xlfn.CONCAT("DBX",((L1464-1)*2),".2")</f>
        <v>DBX182.2</v>
      </c>
      <c r="O1464" s="210" t="s">
        <v>782</v>
      </c>
      <c r="P1464" s="210"/>
      <c r="Q1464" s="210"/>
      <c r="R1464" s="210"/>
      <c r="S1464" s="210"/>
      <c r="T1464" s="210"/>
      <c r="U1464" s="210"/>
      <c r="V1464" s="210"/>
      <c r="W1464" s="210"/>
      <c r="X1464" s="210"/>
      <c r="Y1464" s="210"/>
      <c r="Z1464" s="210"/>
      <c r="AA1464" s="210"/>
      <c r="AB1464" s="210"/>
      <c r="AC1464" s="210"/>
      <c r="AD1464" s="210"/>
      <c r="AE1464" s="210"/>
    </row>
    <row r="1465" spans="1:31" x14ac:dyDescent="0.2">
      <c r="A1465" s="209"/>
      <c r="B1465" s="4" t="s">
        <v>34</v>
      </c>
      <c r="C1465" s="4">
        <v>1460</v>
      </c>
      <c r="D1465" s="210"/>
      <c r="E1465" s="210"/>
      <c r="F1465" s="210"/>
      <c r="G1465" s="210"/>
      <c r="H1465" s="210"/>
      <c r="I1465" s="210"/>
      <c r="J1465" s="4">
        <v>40660</v>
      </c>
      <c r="K1465" s="210"/>
      <c r="L1465" s="210">
        <v>92</v>
      </c>
      <c r="M1465" s="4">
        <f t="shared" si="28"/>
        <v>3</v>
      </c>
      <c r="N1465" s="4" t="str">
        <f>_xlfn.CONCAT("DBX",((L1465-1)*2),".3")</f>
        <v>DBX182.3</v>
      </c>
      <c r="O1465" s="210" t="s">
        <v>782</v>
      </c>
      <c r="P1465" s="210"/>
      <c r="Q1465" s="210"/>
      <c r="R1465" s="210"/>
      <c r="S1465" s="210"/>
      <c r="T1465" s="210"/>
      <c r="U1465" s="210"/>
      <c r="V1465" s="210"/>
      <c r="W1465" s="210"/>
      <c r="X1465" s="210"/>
      <c r="Y1465" s="210"/>
      <c r="Z1465" s="210"/>
      <c r="AA1465" s="210"/>
      <c r="AB1465" s="210"/>
      <c r="AC1465" s="210"/>
      <c r="AD1465" s="210"/>
      <c r="AE1465" s="210"/>
    </row>
    <row r="1466" spans="1:31" x14ac:dyDescent="0.2">
      <c r="A1466" s="209"/>
      <c r="B1466" s="4" t="s">
        <v>34</v>
      </c>
      <c r="C1466" s="4">
        <v>1461</v>
      </c>
      <c r="D1466" s="210"/>
      <c r="E1466" s="210"/>
      <c r="F1466" s="210"/>
      <c r="G1466" s="210"/>
      <c r="H1466" s="210"/>
      <c r="I1466" s="210"/>
      <c r="J1466" s="4">
        <v>40661</v>
      </c>
      <c r="K1466" s="210"/>
      <c r="L1466" s="210">
        <v>92</v>
      </c>
      <c r="M1466" s="4">
        <f t="shared" si="28"/>
        <v>4</v>
      </c>
      <c r="N1466" s="4" t="str">
        <f>_xlfn.CONCAT("DBX",((L1466-1)*2),".4")</f>
        <v>DBX182.4</v>
      </c>
      <c r="O1466" s="210" t="s">
        <v>782</v>
      </c>
      <c r="P1466" s="210"/>
      <c r="Q1466" s="210"/>
      <c r="R1466" s="210"/>
      <c r="S1466" s="210"/>
      <c r="T1466" s="210"/>
      <c r="U1466" s="210"/>
      <c r="V1466" s="210"/>
      <c r="W1466" s="210"/>
      <c r="X1466" s="210"/>
      <c r="Y1466" s="210"/>
      <c r="Z1466" s="210"/>
      <c r="AA1466" s="210"/>
      <c r="AB1466" s="210"/>
      <c r="AC1466" s="210"/>
      <c r="AD1466" s="210"/>
      <c r="AE1466" s="210"/>
    </row>
    <row r="1467" spans="1:31" x14ac:dyDescent="0.2">
      <c r="A1467" s="209"/>
      <c r="B1467" s="4" t="s">
        <v>34</v>
      </c>
      <c r="C1467" s="4">
        <v>1462</v>
      </c>
      <c r="D1467" s="210"/>
      <c r="E1467" s="210"/>
      <c r="F1467" s="210"/>
      <c r="G1467" s="210"/>
      <c r="H1467" s="210"/>
      <c r="I1467" s="210"/>
      <c r="J1467" s="4">
        <v>40662</v>
      </c>
      <c r="K1467" s="210"/>
      <c r="L1467" s="210">
        <v>92</v>
      </c>
      <c r="M1467" s="4">
        <f t="shared" si="28"/>
        <v>5</v>
      </c>
      <c r="N1467" s="4" t="str">
        <f>_xlfn.CONCAT("DBX",((L1467-1)*2),".5")</f>
        <v>DBX182.5</v>
      </c>
      <c r="O1467" s="210" t="s">
        <v>782</v>
      </c>
      <c r="P1467" s="210"/>
      <c r="Q1467" s="210"/>
      <c r="R1467" s="210"/>
      <c r="S1467" s="210"/>
      <c r="T1467" s="210"/>
      <c r="U1467" s="210"/>
      <c r="V1467" s="210"/>
      <c r="W1467" s="210"/>
      <c r="X1467" s="210"/>
      <c r="Y1467" s="210"/>
      <c r="Z1467" s="210"/>
      <c r="AA1467" s="210"/>
      <c r="AB1467" s="210"/>
      <c r="AC1467" s="210"/>
      <c r="AD1467" s="210"/>
      <c r="AE1467" s="210"/>
    </row>
    <row r="1468" spans="1:31" x14ac:dyDescent="0.2">
      <c r="A1468" s="209"/>
      <c r="B1468" s="4" t="s">
        <v>34</v>
      </c>
      <c r="C1468" s="4">
        <v>1463</v>
      </c>
      <c r="D1468" s="210"/>
      <c r="E1468" s="210"/>
      <c r="F1468" s="210"/>
      <c r="G1468" s="210"/>
      <c r="H1468" s="210"/>
      <c r="I1468" s="210"/>
      <c r="J1468" s="4">
        <v>40663</v>
      </c>
      <c r="K1468" s="210"/>
      <c r="L1468" s="210">
        <v>92</v>
      </c>
      <c r="M1468" s="4">
        <f t="shared" si="28"/>
        <v>6</v>
      </c>
      <c r="N1468" s="4" t="str">
        <f>_xlfn.CONCAT("DBX",((L1468-1)*2),".6")</f>
        <v>DBX182.6</v>
      </c>
      <c r="O1468" s="210" t="s">
        <v>782</v>
      </c>
      <c r="P1468" s="210"/>
      <c r="Q1468" s="210"/>
      <c r="R1468" s="210"/>
      <c r="S1468" s="210"/>
      <c r="T1468" s="210"/>
      <c r="U1468" s="210"/>
      <c r="V1468" s="210"/>
      <c r="W1468" s="210"/>
      <c r="X1468" s="210"/>
      <c r="Y1468" s="210"/>
      <c r="Z1468" s="210"/>
      <c r="AA1468" s="210"/>
      <c r="AB1468" s="210"/>
      <c r="AC1468" s="210"/>
      <c r="AD1468" s="210"/>
      <c r="AE1468" s="210"/>
    </row>
    <row r="1469" spans="1:31" x14ac:dyDescent="0.2">
      <c r="A1469" s="209"/>
      <c r="B1469" s="4" t="s">
        <v>34</v>
      </c>
      <c r="C1469" s="4">
        <v>1464</v>
      </c>
      <c r="D1469" s="210"/>
      <c r="E1469" s="210"/>
      <c r="F1469" s="210"/>
      <c r="G1469" s="210"/>
      <c r="H1469" s="210"/>
      <c r="I1469" s="210"/>
      <c r="J1469" s="4">
        <v>40664</v>
      </c>
      <c r="K1469" s="210"/>
      <c r="L1469" s="210">
        <v>92</v>
      </c>
      <c r="M1469" s="4">
        <f t="shared" si="28"/>
        <v>7</v>
      </c>
      <c r="N1469" s="4" t="str">
        <f>_xlfn.CONCAT("DBX",((L1469-1)*2),".7")</f>
        <v>DBX182.7</v>
      </c>
      <c r="O1469" s="210" t="s">
        <v>782</v>
      </c>
      <c r="P1469" s="210"/>
      <c r="Q1469" s="210"/>
      <c r="R1469" s="210"/>
      <c r="S1469" s="210"/>
      <c r="T1469" s="210"/>
      <c r="U1469" s="210"/>
      <c r="V1469" s="210"/>
      <c r="W1469" s="210"/>
      <c r="X1469" s="210"/>
      <c r="Y1469" s="210"/>
      <c r="Z1469" s="210"/>
      <c r="AA1469" s="210"/>
      <c r="AB1469" s="210"/>
      <c r="AC1469" s="210"/>
      <c r="AD1469" s="210"/>
      <c r="AE1469" s="210"/>
    </row>
    <row r="1470" spans="1:31" x14ac:dyDescent="0.2">
      <c r="A1470" s="209"/>
      <c r="B1470" s="4" t="s">
        <v>34</v>
      </c>
      <c r="C1470" s="4">
        <v>1465</v>
      </c>
      <c r="D1470" s="210"/>
      <c r="E1470" s="210"/>
      <c r="F1470" s="210"/>
      <c r="G1470" s="210"/>
      <c r="H1470" s="210"/>
      <c r="I1470" s="210"/>
      <c r="J1470" s="4">
        <v>40665</v>
      </c>
      <c r="K1470" s="210"/>
      <c r="L1470" s="210">
        <v>92</v>
      </c>
      <c r="M1470" s="4">
        <f t="shared" si="28"/>
        <v>8</v>
      </c>
      <c r="N1470" s="4" t="str">
        <f>_xlfn.CONCAT("DBX",((L1470-1)*2)+1,".0")</f>
        <v>DBX183.0</v>
      </c>
      <c r="O1470" s="210" t="s">
        <v>782</v>
      </c>
      <c r="P1470" s="210"/>
      <c r="Q1470" s="210"/>
      <c r="R1470" s="210"/>
      <c r="S1470" s="210"/>
      <c r="T1470" s="210"/>
      <c r="U1470" s="210"/>
      <c r="V1470" s="210"/>
      <c r="W1470" s="210"/>
      <c r="X1470" s="210"/>
      <c r="Y1470" s="210"/>
      <c r="Z1470" s="210"/>
      <c r="AA1470" s="210"/>
      <c r="AB1470" s="210"/>
      <c r="AC1470" s="210"/>
      <c r="AD1470" s="210"/>
      <c r="AE1470" s="210"/>
    </row>
    <row r="1471" spans="1:31" x14ac:dyDescent="0.2">
      <c r="A1471" s="209"/>
      <c r="B1471" s="4" t="s">
        <v>34</v>
      </c>
      <c r="C1471" s="4">
        <v>1466</v>
      </c>
      <c r="D1471" s="210"/>
      <c r="E1471" s="210"/>
      <c r="F1471" s="210"/>
      <c r="G1471" s="210"/>
      <c r="H1471" s="210"/>
      <c r="I1471" s="210"/>
      <c r="J1471" s="4">
        <v>40666</v>
      </c>
      <c r="K1471" s="210"/>
      <c r="L1471" s="210">
        <v>92</v>
      </c>
      <c r="M1471" s="4">
        <f t="shared" si="28"/>
        <v>9</v>
      </c>
      <c r="N1471" s="4" t="str">
        <f>_xlfn.CONCAT("DBX",((L1471-1)*2)+1,".1")</f>
        <v>DBX183.1</v>
      </c>
      <c r="O1471" s="210" t="s">
        <v>782</v>
      </c>
      <c r="P1471" s="210"/>
      <c r="Q1471" s="210"/>
      <c r="R1471" s="210"/>
      <c r="S1471" s="210"/>
      <c r="T1471" s="210"/>
      <c r="U1471" s="210"/>
      <c r="V1471" s="210"/>
      <c r="W1471" s="210"/>
      <c r="X1471" s="210"/>
      <c r="Y1471" s="210"/>
      <c r="Z1471" s="210"/>
      <c r="AA1471" s="210"/>
      <c r="AB1471" s="210"/>
      <c r="AC1471" s="210"/>
      <c r="AD1471" s="210"/>
      <c r="AE1471" s="210"/>
    </row>
    <row r="1472" spans="1:31" x14ac:dyDescent="0.2">
      <c r="A1472" s="209"/>
      <c r="B1472" s="4" t="s">
        <v>34</v>
      </c>
      <c r="C1472" s="4">
        <v>1467</v>
      </c>
      <c r="D1472" s="210"/>
      <c r="E1472" s="210"/>
      <c r="F1472" s="210"/>
      <c r="G1472" s="210"/>
      <c r="H1472" s="210"/>
      <c r="I1472" s="210"/>
      <c r="J1472" s="4">
        <v>40667</v>
      </c>
      <c r="K1472" s="210"/>
      <c r="L1472" s="210">
        <v>92</v>
      </c>
      <c r="M1472" s="4">
        <f t="shared" si="28"/>
        <v>10</v>
      </c>
      <c r="N1472" s="4" t="str">
        <f>_xlfn.CONCAT("DBX",((L1472-1)*2)+1,".2")</f>
        <v>DBX183.2</v>
      </c>
      <c r="O1472" s="210" t="s">
        <v>782</v>
      </c>
      <c r="P1472" s="210"/>
      <c r="Q1472" s="210"/>
      <c r="R1472" s="210"/>
      <c r="S1472" s="210"/>
      <c r="T1472" s="210"/>
      <c r="U1472" s="210"/>
      <c r="V1472" s="210"/>
      <c r="W1472" s="210"/>
      <c r="X1472" s="210"/>
      <c r="Y1472" s="210"/>
      <c r="Z1472" s="210"/>
      <c r="AA1472" s="210"/>
      <c r="AB1472" s="210"/>
      <c r="AC1472" s="210"/>
      <c r="AD1472" s="210"/>
      <c r="AE1472" s="210"/>
    </row>
    <row r="1473" spans="1:31" x14ac:dyDescent="0.2">
      <c r="A1473" s="209"/>
      <c r="B1473" s="4" t="s">
        <v>34</v>
      </c>
      <c r="C1473" s="4">
        <v>1468</v>
      </c>
      <c r="D1473" s="210"/>
      <c r="E1473" s="210"/>
      <c r="F1473" s="210"/>
      <c r="G1473" s="210"/>
      <c r="H1473" s="210"/>
      <c r="I1473" s="210"/>
      <c r="J1473" s="4">
        <v>40668</v>
      </c>
      <c r="K1473" s="210"/>
      <c r="L1473" s="210">
        <v>92</v>
      </c>
      <c r="M1473" s="4">
        <f t="shared" si="28"/>
        <v>11</v>
      </c>
      <c r="N1473" s="4" t="str">
        <f>_xlfn.CONCAT("DBX",((L1473-1)*2)+1,".3")</f>
        <v>DBX183.3</v>
      </c>
      <c r="O1473" s="210" t="s">
        <v>782</v>
      </c>
      <c r="P1473" s="210"/>
      <c r="Q1473" s="210"/>
      <c r="R1473" s="210"/>
      <c r="S1473" s="210"/>
      <c r="T1473" s="210"/>
      <c r="U1473" s="210"/>
      <c r="V1473" s="210"/>
      <c r="W1473" s="210"/>
      <c r="X1473" s="210"/>
      <c r="Y1473" s="210"/>
      <c r="Z1473" s="210"/>
      <c r="AA1473" s="210"/>
      <c r="AB1473" s="210"/>
      <c r="AC1473" s="210"/>
      <c r="AD1473" s="210"/>
      <c r="AE1473" s="210"/>
    </row>
    <row r="1474" spans="1:31" x14ac:dyDescent="0.2">
      <c r="A1474" s="209"/>
      <c r="B1474" s="4" t="s">
        <v>34</v>
      </c>
      <c r="C1474" s="4">
        <v>1469</v>
      </c>
      <c r="D1474" s="210"/>
      <c r="E1474" s="210"/>
      <c r="F1474" s="210"/>
      <c r="G1474" s="210"/>
      <c r="H1474" s="210"/>
      <c r="I1474" s="210"/>
      <c r="J1474" s="4">
        <v>40669</v>
      </c>
      <c r="K1474" s="210"/>
      <c r="L1474" s="210">
        <v>92</v>
      </c>
      <c r="M1474" s="4">
        <f t="shared" si="28"/>
        <v>12</v>
      </c>
      <c r="N1474" s="4" t="str">
        <f>_xlfn.CONCAT("DBX",((L1474-1)*2)+1,".4")</f>
        <v>DBX183.4</v>
      </c>
      <c r="O1474" s="210" t="s">
        <v>782</v>
      </c>
      <c r="P1474" s="210"/>
      <c r="Q1474" s="210"/>
      <c r="R1474" s="210"/>
      <c r="S1474" s="210"/>
      <c r="T1474" s="210"/>
      <c r="U1474" s="210"/>
      <c r="V1474" s="210"/>
      <c r="W1474" s="210"/>
      <c r="X1474" s="210"/>
      <c r="Y1474" s="210"/>
      <c r="Z1474" s="210"/>
      <c r="AA1474" s="210"/>
      <c r="AB1474" s="210"/>
      <c r="AC1474" s="210"/>
      <c r="AD1474" s="210"/>
      <c r="AE1474" s="210"/>
    </row>
    <row r="1475" spans="1:31" x14ac:dyDescent="0.2">
      <c r="A1475" s="209"/>
      <c r="B1475" s="4" t="s">
        <v>34</v>
      </c>
      <c r="C1475" s="4">
        <v>1470</v>
      </c>
      <c r="D1475" s="210"/>
      <c r="E1475" s="210"/>
      <c r="F1475" s="210"/>
      <c r="G1475" s="210"/>
      <c r="H1475" s="210"/>
      <c r="I1475" s="210"/>
      <c r="J1475" s="4">
        <v>40670</v>
      </c>
      <c r="K1475" s="210"/>
      <c r="L1475" s="210">
        <v>92</v>
      </c>
      <c r="M1475" s="4">
        <f t="shared" si="28"/>
        <v>13</v>
      </c>
      <c r="N1475" s="4" t="str">
        <f>_xlfn.CONCAT("DBX",((L1475-1)*2)+1,".5")</f>
        <v>DBX183.5</v>
      </c>
      <c r="O1475" s="210" t="s">
        <v>782</v>
      </c>
      <c r="P1475" s="210"/>
      <c r="Q1475" s="210"/>
      <c r="R1475" s="210"/>
      <c r="S1475" s="210"/>
      <c r="T1475" s="210"/>
      <c r="U1475" s="210"/>
      <c r="V1475" s="210"/>
      <c r="W1475" s="210"/>
      <c r="X1475" s="210"/>
      <c r="Y1475" s="210"/>
      <c r="Z1475" s="210"/>
      <c r="AA1475" s="210"/>
      <c r="AB1475" s="210"/>
      <c r="AC1475" s="210"/>
      <c r="AD1475" s="210"/>
      <c r="AE1475" s="210"/>
    </row>
    <row r="1476" spans="1:31" x14ac:dyDescent="0.2">
      <c r="A1476" s="209"/>
      <c r="B1476" s="4" t="s">
        <v>34</v>
      </c>
      <c r="C1476" s="4">
        <v>1471</v>
      </c>
      <c r="D1476" s="210"/>
      <c r="E1476" s="210"/>
      <c r="F1476" s="210"/>
      <c r="G1476" s="210"/>
      <c r="H1476" s="210"/>
      <c r="I1476" s="210"/>
      <c r="J1476" s="4">
        <v>40671</v>
      </c>
      <c r="K1476" s="210"/>
      <c r="L1476" s="210">
        <v>92</v>
      </c>
      <c r="M1476" s="4">
        <f t="shared" si="28"/>
        <v>14</v>
      </c>
      <c r="N1476" s="4" t="str">
        <f>_xlfn.CONCAT("DBX",((L1476-1)*2)+1,".6")</f>
        <v>DBX183.6</v>
      </c>
      <c r="O1476" s="210" t="s">
        <v>782</v>
      </c>
      <c r="P1476" s="210"/>
      <c r="Q1476" s="210"/>
      <c r="R1476" s="210"/>
      <c r="S1476" s="210"/>
      <c r="T1476" s="210"/>
      <c r="U1476" s="210"/>
      <c r="V1476" s="210"/>
      <c r="W1476" s="210"/>
      <c r="X1476" s="210"/>
      <c r="Y1476" s="210"/>
      <c r="Z1476" s="210"/>
      <c r="AA1476" s="210"/>
      <c r="AB1476" s="210"/>
      <c r="AC1476" s="210"/>
      <c r="AD1476" s="210"/>
      <c r="AE1476" s="210"/>
    </row>
    <row r="1477" spans="1:31" x14ac:dyDescent="0.2">
      <c r="A1477" s="209"/>
      <c r="B1477" s="4" t="s">
        <v>34</v>
      </c>
      <c r="C1477" s="4">
        <v>1472</v>
      </c>
      <c r="D1477" s="210"/>
      <c r="E1477" s="210"/>
      <c r="F1477" s="210"/>
      <c r="G1477" s="210"/>
      <c r="H1477" s="210"/>
      <c r="I1477" s="210"/>
      <c r="J1477" s="4">
        <v>40672</v>
      </c>
      <c r="K1477" s="210"/>
      <c r="L1477" s="210">
        <v>92</v>
      </c>
      <c r="M1477" s="4">
        <f t="shared" si="28"/>
        <v>15</v>
      </c>
      <c r="N1477" s="4" t="str">
        <f>_xlfn.CONCAT("DBX",((L1477-1)*2)+1,".7")</f>
        <v>DBX183.7</v>
      </c>
      <c r="O1477" s="210" t="s">
        <v>782</v>
      </c>
      <c r="P1477" s="210"/>
      <c r="Q1477" s="210"/>
      <c r="R1477" s="210"/>
      <c r="S1477" s="210"/>
      <c r="T1477" s="210"/>
      <c r="U1477" s="210"/>
      <c r="V1477" s="210"/>
      <c r="W1477" s="210"/>
      <c r="X1477" s="210"/>
      <c r="Y1477" s="210"/>
      <c r="Z1477" s="210"/>
      <c r="AA1477" s="210"/>
      <c r="AB1477" s="210"/>
      <c r="AC1477" s="210"/>
      <c r="AD1477" s="210"/>
      <c r="AE1477" s="210"/>
    </row>
    <row r="1478" spans="1:31" x14ac:dyDescent="0.2">
      <c r="A1478" s="209"/>
      <c r="B1478" s="4" t="s">
        <v>34</v>
      </c>
      <c r="C1478" s="4">
        <v>1473</v>
      </c>
      <c r="D1478" s="210"/>
      <c r="E1478" s="210"/>
      <c r="F1478" s="210"/>
      <c r="G1478" s="210"/>
      <c r="H1478" s="210"/>
      <c r="I1478" s="210"/>
      <c r="J1478" s="4">
        <v>40673</v>
      </c>
      <c r="K1478" s="210"/>
      <c r="L1478" s="210">
        <v>93</v>
      </c>
      <c r="M1478" s="4">
        <v>0</v>
      </c>
      <c r="N1478" s="4" t="str">
        <f>_xlfn.CONCAT("DBX",((L1478-1)*2),".0")</f>
        <v>DBX184.0</v>
      </c>
      <c r="O1478" s="210" t="s">
        <v>782</v>
      </c>
      <c r="P1478" s="210"/>
      <c r="Q1478" s="210"/>
      <c r="R1478" s="210"/>
      <c r="S1478" s="210"/>
      <c r="T1478" s="210"/>
      <c r="U1478" s="210"/>
      <c r="V1478" s="210"/>
      <c r="W1478" s="210"/>
      <c r="X1478" s="210"/>
      <c r="Y1478" s="210"/>
      <c r="Z1478" s="210"/>
      <c r="AA1478" s="210"/>
      <c r="AB1478" s="210"/>
      <c r="AC1478" s="210"/>
      <c r="AD1478" s="210"/>
      <c r="AE1478" s="210"/>
    </row>
    <row r="1479" spans="1:31" x14ac:dyDescent="0.2">
      <c r="A1479" s="209"/>
      <c r="B1479" s="4" t="s">
        <v>34</v>
      </c>
      <c r="C1479" s="4">
        <v>1474</v>
      </c>
      <c r="D1479" s="210"/>
      <c r="E1479" s="210"/>
      <c r="F1479" s="210"/>
      <c r="G1479" s="210"/>
      <c r="H1479" s="210"/>
      <c r="I1479" s="210"/>
      <c r="J1479" s="4">
        <v>40674</v>
      </c>
      <c r="K1479" s="210"/>
      <c r="L1479" s="210">
        <v>93</v>
      </c>
      <c r="M1479" s="4">
        <v>1</v>
      </c>
      <c r="N1479" s="4" t="str">
        <f>_xlfn.CONCAT("DBX",((L1479-1)*2),".1")</f>
        <v>DBX184.1</v>
      </c>
      <c r="O1479" s="210" t="s">
        <v>782</v>
      </c>
      <c r="P1479" s="210"/>
      <c r="Q1479" s="210"/>
      <c r="R1479" s="210"/>
      <c r="S1479" s="210"/>
      <c r="T1479" s="210"/>
      <c r="U1479" s="210"/>
      <c r="V1479" s="210"/>
      <c r="W1479" s="210"/>
      <c r="X1479" s="210"/>
      <c r="Y1479" s="210"/>
      <c r="Z1479" s="210"/>
      <c r="AA1479" s="210"/>
      <c r="AB1479" s="210"/>
      <c r="AC1479" s="210"/>
      <c r="AD1479" s="210"/>
      <c r="AE1479" s="210"/>
    </row>
    <row r="1480" spans="1:31" x14ac:dyDescent="0.2">
      <c r="A1480" s="209"/>
      <c r="B1480" s="4" t="s">
        <v>34</v>
      </c>
      <c r="C1480" s="4">
        <v>1475</v>
      </c>
      <c r="D1480" s="210"/>
      <c r="E1480" s="210"/>
      <c r="F1480" s="210"/>
      <c r="G1480" s="210"/>
      <c r="H1480" s="210"/>
      <c r="I1480" s="210"/>
      <c r="J1480" s="4">
        <v>40675</v>
      </c>
      <c r="K1480" s="210"/>
      <c r="L1480" s="210">
        <v>93</v>
      </c>
      <c r="M1480" s="4">
        <v>2</v>
      </c>
      <c r="N1480" s="4" t="str">
        <f>_xlfn.CONCAT("DBX",((L1480-1)*2),".2")</f>
        <v>DBX184.2</v>
      </c>
      <c r="O1480" s="210" t="s">
        <v>782</v>
      </c>
      <c r="P1480" s="210"/>
      <c r="Q1480" s="210"/>
      <c r="R1480" s="210"/>
      <c r="S1480" s="210"/>
      <c r="T1480" s="210"/>
      <c r="U1480" s="210"/>
      <c r="V1480" s="210"/>
      <c r="W1480" s="210"/>
      <c r="X1480" s="210"/>
      <c r="Y1480" s="210"/>
      <c r="Z1480" s="210"/>
      <c r="AA1480" s="210"/>
      <c r="AB1480" s="210"/>
      <c r="AC1480" s="210"/>
      <c r="AD1480" s="210"/>
      <c r="AE1480" s="210"/>
    </row>
    <row r="1481" spans="1:31" x14ac:dyDescent="0.2">
      <c r="A1481" s="209"/>
      <c r="B1481" s="4" t="s">
        <v>34</v>
      </c>
      <c r="C1481" s="4">
        <v>1476</v>
      </c>
      <c r="D1481" s="210"/>
      <c r="E1481" s="210"/>
      <c r="F1481" s="210"/>
      <c r="G1481" s="210"/>
      <c r="H1481" s="210"/>
      <c r="I1481" s="210"/>
      <c r="J1481" s="4">
        <v>40676</v>
      </c>
      <c r="K1481" s="210"/>
      <c r="L1481" s="210">
        <v>93</v>
      </c>
      <c r="M1481" s="4">
        <v>3</v>
      </c>
      <c r="N1481" s="4" t="str">
        <f>_xlfn.CONCAT("DBX",((L1481-1)*2),".3")</f>
        <v>DBX184.3</v>
      </c>
      <c r="O1481" s="210" t="s">
        <v>782</v>
      </c>
      <c r="P1481" s="210"/>
      <c r="Q1481" s="210"/>
      <c r="R1481" s="210"/>
      <c r="S1481" s="210"/>
      <c r="T1481" s="210"/>
      <c r="U1481" s="210"/>
      <c r="V1481" s="210"/>
      <c r="W1481" s="210"/>
      <c r="X1481" s="210"/>
      <c r="Y1481" s="210"/>
      <c r="Z1481" s="210"/>
      <c r="AA1481" s="210"/>
      <c r="AB1481" s="210"/>
      <c r="AC1481" s="210"/>
      <c r="AD1481" s="210"/>
      <c r="AE1481" s="210"/>
    </row>
    <row r="1482" spans="1:31" x14ac:dyDescent="0.2">
      <c r="A1482" s="209"/>
      <c r="B1482" s="4" t="s">
        <v>34</v>
      </c>
      <c r="C1482" s="4">
        <v>1477</v>
      </c>
      <c r="D1482" s="210"/>
      <c r="E1482" s="210"/>
      <c r="F1482" s="210"/>
      <c r="G1482" s="210"/>
      <c r="H1482" s="210"/>
      <c r="I1482" s="210"/>
      <c r="J1482" s="4">
        <v>40677</v>
      </c>
      <c r="K1482" s="210"/>
      <c r="L1482" s="210">
        <v>93</v>
      </c>
      <c r="M1482" s="4">
        <v>4</v>
      </c>
      <c r="N1482" s="4" t="str">
        <f>_xlfn.CONCAT("DBX",((L1482-1)*2),".4")</f>
        <v>DBX184.4</v>
      </c>
      <c r="O1482" s="210" t="s">
        <v>782</v>
      </c>
      <c r="P1482" s="210"/>
      <c r="Q1482" s="210"/>
      <c r="R1482" s="210"/>
      <c r="S1482" s="210"/>
      <c r="T1482" s="210"/>
      <c r="U1482" s="210"/>
      <c r="V1482" s="210"/>
      <c r="W1482" s="210"/>
      <c r="X1482" s="210"/>
      <c r="Y1482" s="210"/>
      <c r="Z1482" s="210"/>
      <c r="AA1482" s="210"/>
      <c r="AB1482" s="210"/>
      <c r="AC1482" s="210"/>
      <c r="AD1482" s="210"/>
      <c r="AE1482" s="210"/>
    </row>
    <row r="1483" spans="1:31" x14ac:dyDescent="0.2">
      <c r="A1483" s="209"/>
      <c r="B1483" s="4" t="s">
        <v>34</v>
      </c>
      <c r="C1483" s="4">
        <v>1478</v>
      </c>
      <c r="D1483" s="210"/>
      <c r="E1483" s="210"/>
      <c r="F1483" s="210"/>
      <c r="G1483" s="210"/>
      <c r="H1483" s="210"/>
      <c r="I1483" s="210"/>
      <c r="J1483" s="4">
        <v>40678</v>
      </c>
      <c r="K1483" s="210"/>
      <c r="L1483" s="210">
        <v>93</v>
      </c>
      <c r="M1483" s="4">
        <v>5</v>
      </c>
      <c r="N1483" s="4" t="str">
        <f>_xlfn.CONCAT("DBX",((L1483-1)*2),".5")</f>
        <v>DBX184.5</v>
      </c>
      <c r="O1483" s="210" t="s">
        <v>782</v>
      </c>
      <c r="P1483" s="210"/>
      <c r="Q1483" s="210"/>
      <c r="R1483" s="210"/>
      <c r="S1483" s="210"/>
      <c r="T1483" s="210"/>
      <c r="U1483" s="210"/>
      <c r="V1483" s="210"/>
      <c r="W1483" s="210"/>
      <c r="X1483" s="210"/>
      <c r="Y1483" s="210"/>
      <c r="Z1483" s="210"/>
      <c r="AA1483" s="210"/>
      <c r="AB1483" s="210"/>
      <c r="AC1483" s="210"/>
      <c r="AD1483" s="210"/>
      <c r="AE1483" s="210"/>
    </row>
    <row r="1484" spans="1:31" x14ac:dyDescent="0.2">
      <c r="A1484" s="209"/>
      <c r="B1484" s="4" t="s">
        <v>34</v>
      </c>
      <c r="C1484" s="4">
        <v>1479</v>
      </c>
      <c r="D1484" s="210"/>
      <c r="E1484" s="210"/>
      <c r="F1484" s="210"/>
      <c r="G1484" s="210"/>
      <c r="H1484" s="210"/>
      <c r="I1484" s="210"/>
      <c r="J1484" s="4">
        <v>40679</v>
      </c>
      <c r="K1484" s="210"/>
      <c r="L1484" s="210">
        <v>93</v>
      </c>
      <c r="M1484" s="4">
        <v>6</v>
      </c>
      <c r="N1484" s="4" t="str">
        <f>_xlfn.CONCAT("DBX",((L1484-1)*2),".6")</f>
        <v>DBX184.6</v>
      </c>
      <c r="O1484" s="210" t="s">
        <v>782</v>
      </c>
      <c r="P1484" s="210"/>
      <c r="Q1484" s="210"/>
      <c r="R1484" s="210"/>
      <c r="S1484" s="210"/>
      <c r="T1484" s="210"/>
      <c r="U1484" s="210"/>
      <c r="V1484" s="210"/>
      <c r="W1484" s="210"/>
      <c r="X1484" s="210"/>
      <c r="Y1484" s="210"/>
      <c r="Z1484" s="210"/>
      <c r="AA1484" s="210"/>
      <c r="AB1484" s="210"/>
      <c r="AC1484" s="210"/>
      <c r="AD1484" s="210"/>
      <c r="AE1484" s="210"/>
    </row>
    <row r="1485" spans="1:31" x14ac:dyDescent="0.2">
      <c r="A1485" s="209"/>
      <c r="B1485" s="4" t="s">
        <v>34</v>
      </c>
      <c r="C1485" s="4">
        <v>1480</v>
      </c>
      <c r="D1485" s="210"/>
      <c r="E1485" s="210"/>
      <c r="F1485" s="210"/>
      <c r="G1485" s="210"/>
      <c r="H1485" s="210"/>
      <c r="I1485" s="210"/>
      <c r="J1485" s="4">
        <v>40680</v>
      </c>
      <c r="K1485" s="210"/>
      <c r="L1485" s="210">
        <v>93</v>
      </c>
      <c r="M1485" s="4">
        <v>7</v>
      </c>
      <c r="N1485" s="4" t="str">
        <f>_xlfn.CONCAT("DBX",((L1485-1)*2),".7")</f>
        <v>DBX184.7</v>
      </c>
      <c r="O1485" s="210" t="s">
        <v>782</v>
      </c>
      <c r="P1485" s="210"/>
      <c r="Q1485" s="210"/>
      <c r="R1485" s="210"/>
      <c r="S1485" s="210"/>
      <c r="T1485" s="210"/>
      <c r="U1485" s="210"/>
      <c r="V1485" s="210"/>
      <c r="W1485" s="210"/>
      <c r="X1485" s="210"/>
      <c r="Y1485" s="210"/>
      <c r="Z1485" s="210"/>
      <c r="AA1485" s="210"/>
      <c r="AB1485" s="210"/>
      <c r="AC1485" s="210"/>
      <c r="AD1485" s="210"/>
      <c r="AE1485" s="210"/>
    </row>
    <row r="1486" spans="1:31" x14ac:dyDescent="0.2">
      <c r="A1486" s="209"/>
      <c r="B1486" s="4" t="s">
        <v>34</v>
      </c>
      <c r="C1486" s="4">
        <v>1481</v>
      </c>
      <c r="D1486" s="210"/>
      <c r="E1486" s="210"/>
      <c r="F1486" s="210"/>
      <c r="G1486" s="210"/>
      <c r="H1486" s="210"/>
      <c r="I1486" s="210"/>
      <c r="J1486" s="4">
        <v>40681</v>
      </c>
      <c r="K1486" s="210"/>
      <c r="L1486" s="210">
        <v>93</v>
      </c>
      <c r="M1486" s="4">
        <v>8</v>
      </c>
      <c r="N1486" s="4" t="str">
        <f>_xlfn.CONCAT("DBX",((L1486-1)*2)+1,".0")</f>
        <v>DBX185.0</v>
      </c>
      <c r="O1486" s="210" t="s">
        <v>782</v>
      </c>
      <c r="P1486" s="210"/>
      <c r="Q1486" s="210"/>
      <c r="R1486" s="210"/>
      <c r="S1486" s="210"/>
      <c r="T1486" s="210"/>
      <c r="U1486" s="210"/>
      <c r="V1486" s="210"/>
      <c r="W1486" s="210"/>
      <c r="X1486" s="210"/>
      <c r="Y1486" s="210"/>
      <c r="Z1486" s="210"/>
      <c r="AA1486" s="210"/>
      <c r="AB1486" s="210"/>
      <c r="AC1486" s="210"/>
      <c r="AD1486" s="210"/>
      <c r="AE1486" s="210"/>
    </row>
    <row r="1487" spans="1:31" x14ac:dyDescent="0.2">
      <c r="A1487" s="209"/>
      <c r="B1487" s="4" t="s">
        <v>34</v>
      </c>
      <c r="C1487" s="4">
        <v>1482</v>
      </c>
      <c r="D1487" s="210"/>
      <c r="E1487" s="210"/>
      <c r="F1487" s="210"/>
      <c r="G1487" s="210"/>
      <c r="H1487" s="210"/>
      <c r="I1487" s="210"/>
      <c r="J1487" s="4">
        <v>40682</v>
      </c>
      <c r="K1487" s="210"/>
      <c r="L1487" s="210">
        <v>93</v>
      </c>
      <c r="M1487" s="4">
        <v>9</v>
      </c>
      <c r="N1487" s="4" t="str">
        <f>_xlfn.CONCAT("DBX",((L1487-1)*2)+1,".1")</f>
        <v>DBX185.1</v>
      </c>
      <c r="O1487" s="210" t="s">
        <v>782</v>
      </c>
      <c r="P1487" s="210"/>
      <c r="Q1487" s="210"/>
      <c r="R1487" s="210"/>
      <c r="S1487" s="210"/>
      <c r="T1487" s="210"/>
      <c r="U1487" s="210"/>
      <c r="V1487" s="210"/>
      <c r="W1487" s="210"/>
      <c r="X1487" s="210"/>
      <c r="Y1487" s="210"/>
      <c r="Z1487" s="210"/>
      <c r="AA1487" s="210"/>
      <c r="AB1487" s="210"/>
      <c r="AC1487" s="210"/>
      <c r="AD1487" s="210"/>
      <c r="AE1487" s="210"/>
    </row>
    <row r="1488" spans="1:31" x14ac:dyDescent="0.2">
      <c r="A1488" s="209"/>
      <c r="B1488" s="4" t="s">
        <v>34</v>
      </c>
      <c r="C1488" s="4">
        <v>1483</v>
      </c>
      <c r="D1488" s="210"/>
      <c r="E1488" s="210"/>
      <c r="F1488" s="210"/>
      <c r="G1488" s="210"/>
      <c r="H1488" s="210"/>
      <c r="I1488" s="210"/>
      <c r="J1488" s="4">
        <v>40683</v>
      </c>
      <c r="K1488" s="210"/>
      <c r="L1488" s="210">
        <v>93</v>
      </c>
      <c r="M1488" s="4">
        <v>10</v>
      </c>
      <c r="N1488" s="4" t="str">
        <f>_xlfn.CONCAT("DBX",((L1488-1)*2)+1,".2")</f>
        <v>DBX185.2</v>
      </c>
      <c r="O1488" s="210" t="s">
        <v>782</v>
      </c>
      <c r="P1488" s="210"/>
      <c r="Q1488" s="210"/>
      <c r="R1488" s="210"/>
      <c r="S1488" s="210"/>
      <c r="T1488" s="210"/>
      <c r="U1488" s="210"/>
      <c r="V1488" s="210"/>
      <c r="W1488" s="210"/>
      <c r="X1488" s="210"/>
      <c r="Y1488" s="210"/>
      <c r="Z1488" s="210"/>
      <c r="AA1488" s="210"/>
      <c r="AB1488" s="210"/>
      <c r="AC1488" s="210"/>
      <c r="AD1488" s="210"/>
      <c r="AE1488" s="210"/>
    </row>
    <row r="1489" spans="1:31" x14ac:dyDescent="0.2">
      <c r="A1489" s="209"/>
      <c r="B1489" s="4" t="s">
        <v>34</v>
      </c>
      <c r="C1489" s="4">
        <v>1484</v>
      </c>
      <c r="D1489" s="210"/>
      <c r="E1489" s="210"/>
      <c r="F1489" s="210"/>
      <c r="G1489" s="210"/>
      <c r="H1489" s="210"/>
      <c r="I1489" s="210"/>
      <c r="J1489" s="4">
        <v>40684</v>
      </c>
      <c r="K1489" s="210"/>
      <c r="L1489" s="210">
        <v>93</v>
      </c>
      <c r="M1489" s="4">
        <v>11</v>
      </c>
      <c r="N1489" s="4" t="str">
        <f>_xlfn.CONCAT("DBX",((L1489-1)*2)+1,".3")</f>
        <v>DBX185.3</v>
      </c>
      <c r="O1489" s="210" t="s">
        <v>782</v>
      </c>
      <c r="P1489" s="210"/>
      <c r="Q1489" s="210"/>
      <c r="R1489" s="210"/>
      <c r="S1489" s="210"/>
      <c r="T1489" s="210"/>
      <c r="U1489" s="210"/>
      <c r="V1489" s="210"/>
      <c r="W1489" s="210"/>
      <c r="X1489" s="210"/>
      <c r="Y1489" s="210"/>
      <c r="Z1489" s="210"/>
      <c r="AA1489" s="210"/>
      <c r="AB1489" s="210"/>
      <c r="AC1489" s="210"/>
      <c r="AD1489" s="210"/>
      <c r="AE1489" s="210"/>
    </row>
    <row r="1490" spans="1:31" x14ac:dyDescent="0.2">
      <c r="A1490" s="209"/>
      <c r="B1490" s="4" t="s">
        <v>34</v>
      </c>
      <c r="C1490" s="4">
        <v>1485</v>
      </c>
      <c r="D1490" s="210"/>
      <c r="E1490" s="210"/>
      <c r="F1490" s="210"/>
      <c r="G1490" s="210"/>
      <c r="H1490" s="210"/>
      <c r="I1490" s="210"/>
      <c r="J1490" s="4">
        <v>40685</v>
      </c>
      <c r="K1490" s="210"/>
      <c r="L1490" s="210">
        <v>93</v>
      </c>
      <c r="M1490" s="4">
        <v>12</v>
      </c>
      <c r="N1490" s="4" t="str">
        <f>_xlfn.CONCAT("DBX",((L1490-1)*2)+1,".4")</f>
        <v>DBX185.4</v>
      </c>
      <c r="O1490" s="210" t="s">
        <v>782</v>
      </c>
      <c r="P1490" s="210"/>
      <c r="Q1490" s="210"/>
      <c r="R1490" s="210"/>
      <c r="S1490" s="210"/>
      <c r="T1490" s="210"/>
      <c r="U1490" s="210"/>
      <c r="V1490" s="210"/>
      <c r="W1490" s="210"/>
      <c r="X1490" s="210"/>
      <c r="Y1490" s="210"/>
      <c r="Z1490" s="210"/>
      <c r="AA1490" s="210"/>
      <c r="AB1490" s="210"/>
      <c r="AC1490" s="210"/>
      <c r="AD1490" s="210"/>
      <c r="AE1490" s="210"/>
    </row>
    <row r="1491" spans="1:31" x14ac:dyDescent="0.2">
      <c r="A1491" s="209"/>
      <c r="B1491" s="4" t="s">
        <v>34</v>
      </c>
      <c r="C1491" s="4">
        <v>1486</v>
      </c>
      <c r="D1491" s="210"/>
      <c r="E1491" s="210"/>
      <c r="F1491" s="210"/>
      <c r="G1491" s="210"/>
      <c r="H1491" s="210"/>
      <c r="I1491" s="210"/>
      <c r="J1491" s="4">
        <v>40686</v>
      </c>
      <c r="K1491" s="210"/>
      <c r="L1491" s="210">
        <v>93</v>
      </c>
      <c r="M1491" s="4">
        <v>13</v>
      </c>
      <c r="N1491" s="4" t="str">
        <f>_xlfn.CONCAT("DBX",((L1491-1)*2)+1,".5")</f>
        <v>DBX185.5</v>
      </c>
      <c r="O1491" s="210" t="s">
        <v>782</v>
      </c>
      <c r="P1491" s="210"/>
      <c r="Q1491" s="210"/>
      <c r="R1491" s="210"/>
      <c r="S1491" s="210"/>
      <c r="T1491" s="210"/>
      <c r="U1491" s="210"/>
      <c r="V1491" s="210"/>
      <c r="W1491" s="210"/>
      <c r="X1491" s="210"/>
      <c r="Y1491" s="210"/>
      <c r="Z1491" s="210"/>
      <c r="AA1491" s="210"/>
      <c r="AB1491" s="210"/>
      <c r="AC1491" s="210"/>
      <c r="AD1491" s="210"/>
      <c r="AE1491" s="210"/>
    </row>
    <row r="1492" spans="1:31" x14ac:dyDescent="0.2">
      <c r="A1492" s="209"/>
      <c r="B1492" s="4" t="s">
        <v>34</v>
      </c>
      <c r="C1492" s="4">
        <v>1487</v>
      </c>
      <c r="D1492" s="210"/>
      <c r="E1492" s="210"/>
      <c r="F1492" s="210"/>
      <c r="G1492" s="210"/>
      <c r="H1492" s="210"/>
      <c r="I1492" s="210"/>
      <c r="J1492" s="4">
        <v>40687</v>
      </c>
      <c r="K1492" s="210"/>
      <c r="L1492" s="210">
        <v>93</v>
      </c>
      <c r="M1492" s="4">
        <v>14</v>
      </c>
      <c r="N1492" s="4" t="str">
        <f>_xlfn.CONCAT("DBX",((L1492-1)*2)+1,".6")</f>
        <v>DBX185.6</v>
      </c>
      <c r="O1492" s="210" t="s">
        <v>782</v>
      </c>
      <c r="P1492" s="210"/>
      <c r="Q1492" s="210"/>
      <c r="R1492" s="210"/>
      <c r="S1492" s="210"/>
      <c r="T1492" s="210"/>
      <c r="U1492" s="210"/>
      <c r="V1492" s="210"/>
      <c r="W1492" s="210"/>
      <c r="X1492" s="210"/>
      <c r="Y1492" s="210"/>
      <c r="Z1492" s="210"/>
      <c r="AA1492" s="210"/>
      <c r="AB1492" s="210"/>
      <c r="AC1492" s="210"/>
      <c r="AD1492" s="210"/>
      <c r="AE1492" s="210"/>
    </row>
    <row r="1493" spans="1:31" x14ac:dyDescent="0.2">
      <c r="A1493" s="209"/>
      <c r="B1493" s="4" t="s">
        <v>34</v>
      </c>
      <c r="C1493" s="4">
        <v>1488</v>
      </c>
      <c r="D1493" s="210"/>
      <c r="E1493" s="210"/>
      <c r="F1493" s="210"/>
      <c r="G1493" s="210"/>
      <c r="H1493" s="210"/>
      <c r="I1493" s="210"/>
      <c r="J1493" s="4">
        <v>40688</v>
      </c>
      <c r="K1493" s="210"/>
      <c r="L1493" s="210">
        <v>93</v>
      </c>
      <c r="M1493" s="4">
        <v>15</v>
      </c>
      <c r="N1493" s="4" t="str">
        <f>_xlfn.CONCAT("DBX",((L1493-1)*2)+1,".7")</f>
        <v>DBX185.7</v>
      </c>
      <c r="O1493" s="210" t="s">
        <v>782</v>
      </c>
      <c r="P1493" s="210"/>
      <c r="Q1493" s="210"/>
      <c r="R1493" s="210"/>
      <c r="S1493" s="210"/>
      <c r="T1493" s="210"/>
      <c r="U1493" s="210"/>
      <c r="V1493" s="210"/>
      <c r="W1493" s="210"/>
      <c r="X1493" s="210"/>
      <c r="Y1493" s="210"/>
      <c r="Z1493" s="210"/>
      <c r="AA1493" s="210"/>
      <c r="AB1493" s="210"/>
      <c r="AC1493" s="210"/>
      <c r="AD1493" s="210"/>
      <c r="AE1493" s="210"/>
    </row>
    <row r="1494" spans="1:31" x14ac:dyDescent="0.2">
      <c r="A1494" s="209"/>
      <c r="B1494" s="4" t="s">
        <v>34</v>
      </c>
      <c r="C1494" s="4">
        <v>1489</v>
      </c>
      <c r="D1494" s="210"/>
      <c r="E1494" s="210"/>
      <c r="F1494" s="210"/>
      <c r="G1494" s="210"/>
      <c r="H1494" s="210"/>
      <c r="I1494" s="210"/>
      <c r="J1494" s="4">
        <v>40689</v>
      </c>
      <c r="K1494" s="210"/>
      <c r="L1494" s="210">
        <v>94</v>
      </c>
      <c r="M1494" s="4">
        <f>M1478</f>
        <v>0</v>
      </c>
      <c r="N1494" s="4" t="str">
        <f>_xlfn.CONCAT("DBX",((L1494-1)*2),".0")</f>
        <v>DBX186.0</v>
      </c>
      <c r="O1494" s="210" t="s">
        <v>782</v>
      </c>
      <c r="P1494" s="210"/>
      <c r="Q1494" s="210"/>
      <c r="R1494" s="210"/>
      <c r="S1494" s="210"/>
      <c r="T1494" s="210"/>
      <c r="U1494" s="210"/>
      <c r="V1494" s="210"/>
      <c r="W1494" s="210"/>
      <c r="X1494" s="210"/>
      <c r="Y1494" s="210"/>
      <c r="Z1494" s="210"/>
      <c r="AA1494" s="210"/>
      <c r="AB1494" s="210"/>
      <c r="AC1494" s="210"/>
      <c r="AD1494" s="210"/>
      <c r="AE1494" s="210"/>
    </row>
    <row r="1495" spans="1:31" x14ac:dyDescent="0.2">
      <c r="A1495" s="209"/>
      <c r="B1495" s="4" t="s">
        <v>34</v>
      </c>
      <c r="C1495" s="4">
        <v>1490</v>
      </c>
      <c r="D1495" s="210"/>
      <c r="E1495" s="210"/>
      <c r="F1495" s="210"/>
      <c r="G1495" s="210"/>
      <c r="H1495" s="210"/>
      <c r="I1495" s="210"/>
      <c r="J1495" s="4">
        <v>40690</v>
      </c>
      <c r="K1495" s="210"/>
      <c r="L1495" s="210">
        <v>94</v>
      </c>
      <c r="M1495" s="4">
        <f t="shared" si="28"/>
        <v>1</v>
      </c>
      <c r="N1495" s="4" t="str">
        <f>_xlfn.CONCAT("DBX",((L1495-1)*2),".1")</f>
        <v>DBX186.1</v>
      </c>
      <c r="O1495" s="210" t="s">
        <v>782</v>
      </c>
      <c r="P1495" s="210"/>
      <c r="Q1495" s="210"/>
      <c r="R1495" s="210"/>
      <c r="S1495" s="210"/>
      <c r="T1495" s="210"/>
      <c r="U1495" s="210"/>
      <c r="V1495" s="210"/>
      <c r="W1495" s="210"/>
      <c r="X1495" s="210"/>
      <c r="Y1495" s="210"/>
      <c r="Z1495" s="210"/>
      <c r="AA1495" s="210"/>
      <c r="AB1495" s="210"/>
      <c r="AC1495" s="210"/>
      <c r="AD1495" s="210"/>
      <c r="AE1495" s="210"/>
    </row>
    <row r="1496" spans="1:31" x14ac:dyDescent="0.2">
      <c r="A1496" s="209"/>
      <c r="B1496" s="4" t="s">
        <v>34</v>
      </c>
      <c r="C1496" s="4">
        <v>1491</v>
      </c>
      <c r="D1496" s="210"/>
      <c r="E1496" s="210"/>
      <c r="F1496" s="210"/>
      <c r="G1496" s="210"/>
      <c r="H1496" s="210"/>
      <c r="I1496" s="210"/>
      <c r="J1496" s="4">
        <v>40691</v>
      </c>
      <c r="K1496" s="210"/>
      <c r="L1496" s="210">
        <v>94</v>
      </c>
      <c r="M1496" s="4">
        <f t="shared" si="28"/>
        <v>2</v>
      </c>
      <c r="N1496" s="4" t="str">
        <f>_xlfn.CONCAT("DBX",((L1496-1)*2),".2")</f>
        <v>DBX186.2</v>
      </c>
      <c r="O1496" s="210" t="s">
        <v>782</v>
      </c>
      <c r="P1496" s="210"/>
      <c r="Q1496" s="210"/>
      <c r="R1496" s="210"/>
      <c r="S1496" s="210"/>
      <c r="T1496" s="210"/>
      <c r="U1496" s="210"/>
      <c r="V1496" s="210"/>
      <c r="W1496" s="210"/>
      <c r="X1496" s="210"/>
      <c r="Y1496" s="210"/>
      <c r="Z1496" s="210"/>
      <c r="AA1496" s="210"/>
      <c r="AB1496" s="210"/>
      <c r="AC1496" s="210"/>
      <c r="AD1496" s="210"/>
      <c r="AE1496" s="210"/>
    </row>
    <row r="1497" spans="1:31" x14ac:dyDescent="0.2">
      <c r="A1497" s="209"/>
      <c r="B1497" s="4" t="s">
        <v>34</v>
      </c>
      <c r="C1497" s="4">
        <v>1492</v>
      </c>
      <c r="D1497" s="210"/>
      <c r="E1497" s="210"/>
      <c r="F1497" s="210"/>
      <c r="G1497" s="210"/>
      <c r="H1497" s="210"/>
      <c r="I1497" s="210"/>
      <c r="J1497" s="4">
        <v>40692</v>
      </c>
      <c r="K1497" s="210"/>
      <c r="L1497" s="210">
        <v>94</v>
      </c>
      <c r="M1497" s="4">
        <f t="shared" si="28"/>
        <v>3</v>
      </c>
      <c r="N1497" s="4" t="str">
        <f>_xlfn.CONCAT("DBX",((L1497-1)*2),".3")</f>
        <v>DBX186.3</v>
      </c>
      <c r="O1497" s="210" t="s">
        <v>782</v>
      </c>
      <c r="P1497" s="210"/>
      <c r="Q1497" s="210"/>
      <c r="R1497" s="210"/>
      <c r="S1497" s="210"/>
      <c r="T1497" s="210"/>
      <c r="U1497" s="210"/>
      <c r="V1497" s="210"/>
      <c r="W1497" s="210"/>
      <c r="X1497" s="210"/>
      <c r="Y1497" s="210"/>
      <c r="Z1497" s="210"/>
      <c r="AA1497" s="210"/>
      <c r="AB1497" s="210"/>
      <c r="AC1497" s="210"/>
      <c r="AD1497" s="210"/>
      <c r="AE1497" s="210"/>
    </row>
    <row r="1498" spans="1:31" x14ac:dyDescent="0.2">
      <c r="A1498" s="209"/>
      <c r="B1498" s="4" t="s">
        <v>34</v>
      </c>
      <c r="C1498" s="4">
        <v>1493</v>
      </c>
      <c r="D1498" s="210"/>
      <c r="E1498" s="210"/>
      <c r="F1498" s="210"/>
      <c r="G1498" s="210"/>
      <c r="H1498" s="210"/>
      <c r="I1498" s="210"/>
      <c r="J1498" s="4">
        <v>40693</v>
      </c>
      <c r="K1498" s="210"/>
      <c r="L1498" s="210">
        <v>94</v>
      </c>
      <c r="M1498" s="4">
        <f t="shared" si="28"/>
        <v>4</v>
      </c>
      <c r="N1498" s="4" t="str">
        <f>_xlfn.CONCAT("DBX",((L1498-1)*2),".4")</f>
        <v>DBX186.4</v>
      </c>
      <c r="O1498" s="210" t="s">
        <v>782</v>
      </c>
      <c r="P1498" s="210"/>
      <c r="Q1498" s="210"/>
      <c r="R1498" s="210"/>
      <c r="S1498" s="210"/>
      <c r="T1498" s="210"/>
      <c r="U1498" s="210"/>
      <c r="V1498" s="210"/>
      <c r="W1498" s="210"/>
      <c r="X1498" s="210"/>
      <c r="Y1498" s="210"/>
      <c r="Z1498" s="210"/>
      <c r="AA1498" s="210"/>
      <c r="AB1498" s="210"/>
      <c r="AC1498" s="210"/>
      <c r="AD1498" s="210"/>
      <c r="AE1498" s="210"/>
    </row>
    <row r="1499" spans="1:31" x14ac:dyDescent="0.2">
      <c r="A1499" s="209"/>
      <c r="B1499" s="4" t="s">
        <v>34</v>
      </c>
      <c r="C1499" s="4">
        <v>1494</v>
      </c>
      <c r="D1499" s="210"/>
      <c r="E1499" s="210"/>
      <c r="F1499" s="210"/>
      <c r="G1499" s="210"/>
      <c r="H1499" s="210"/>
      <c r="I1499" s="210"/>
      <c r="J1499" s="4">
        <v>40694</v>
      </c>
      <c r="K1499" s="210"/>
      <c r="L1499" s="210">
        <v>94</v>
      </c>
      <c r="M1499" s="4">
        <f t="shared" si="28"/>
        <v>5</v>
      </c>
      <c r="N1499" s="4" t="str">
        <f>_xlfn.CONCAT("DBX",((L1499-1)*2),".5")</f>
        <v>DBX186.5</v>
      </c>
      <c r="O1499" s="210" t="s">
        <v>782</v>
      </c>
      <c r="P1499" s="210"/>
      <c r="Q1499" s="210"/>
      <c r="R1499" s="210"/>
      <c r="S1499" s="210"/>
      <c r="T1499" s="210"/>
      <c r="U1499" s="210"/>
      <c r="V1499" s="210"/>
      <c r="W1499" s="210"/>
      <c r="X1499" s="210"/>
      <c r="Y1499" s="210"/>
      <c r="Z1499" s="210"/>
      <c r="AA1499" s="210"/>
      <c r="AB1499" s="210"/>
      <c r="AC1499" s="210"/>
      <c r="AD1499" s="210"/>
      <c r="AE1499" s="210"/>
    </row>
    <row r="1500" spans="1:31" x14ac:dyDescent="0.2">
      <c r="A1500" s="209"/>
      <c r="B1500" s="4" t="s">
        <v>34</v>
      </c>
      <c r="C1500" s="4">
        <v>1495</v>
      </c>
      <c r="D1500" s="210"/>
      <c r="E1500" s="210"/>
      <c r="F1500" s="210"/>
      <c r="G1500" s="210"/>
      <c r="H1500" s="210"/>
      <c r="I1500" s="210"/>
      <c r="J1500" s="4">
        <v>40695</v>
      </c>
      <c r="K1500" s="210"/>
      <c r="L1500" s="210">
        <v>94</v>
      </c>
      <c r="M1500" s="4">
        <f t="shared" si="28"/>
        <v>6</v>
      </c>
      <c r="N1500" s="4" t="str">
        <f>_xlfn.CONCAT("DBX",((L1500-1)*2),".6")</f>
        <v>DBX186.6</v>
      </c>
      <c r="O1500" s="210" t="s">
        <v>782</v>
      </c>
      <c r="P1500" s="210"/>
      <c r="Q1500" s="210"/>
      <c r="R1500" s="210"/>
      <c r="S1500" s="210"/>
      <c r="T1500" s="210"/>
      <c r="U1500" s="210"/>
      <c r="V1500" s="210"/>
      <c r="W1500" s="210"/>
      <c r="X1500" s="210"/>
      <c r="Y1500" s="210"/>
      <c r="Z1500" s="210"/>
      <c r="AA1500" s="210"/>
      <c r="AB1500" s="210"/>
      <c r="AC1500" s="210"/>
      <c r="AD1500" s="210"/>
      <c r="AE1500" s="210"/>
    </row>
    <row r="1501" spans="1:31" x14ac:dyDescent="0.2">
      <c r="A1501" s="209"/>
      <c r="B1501" s="4" t="s">
        <v>34</v>
      </c>
      <c r="C1501" s="4">
        <v>1496</v>
      </c>
      <c r="D1501" s="210"/>
      <c r="E1501" s="210"/>
      <c r="F1501" s="210"/>
      <c r="G1501" s="210"/>
      <c r="H1501" s="210"/>
      <c r="I1501" s="210"/>
      <c r="J1501" s="4">
        <v>40696</v>
      </c>
      <c r="K1501" s="210"/>
      <c r="L1501" s="210">
        <v>94</v>
      </c>
      <c r="M1501" s="4">
        <f t="shared" si="28"/>
        <v>7</v>
      </c>
      <c r="N1501" s="4" t="str">
        <f>_xlfn.CONCAT("DBX",((L1501-1)*2),".7")</f>
        <v>DBX186.7</v>
      </c>
      <c r="O1501" s="210" t="s">
        <v>782</v>
      </c>
      <c r="P1501" s="210"/>
      <c r="Q1501" s="210"/>
      <c r="R1501" s="210"/>
      <c r="S1501" s="210"/>
      <c r="T1501" s="210"/>
      <c r="U1501" s="210"/>
      <c r="V1501" s="210"/>
      <c r="W1501" s="210"/>
      <c r="X1501" s="210"/>
      <c r="Y1501" s="210"/>
      <c r="Z1501" s="210"/>
      <c r="AA1501" s="210"/>
      <c r="AB1501" s="210"/>
      <c r="AC1501" s="210"/>
      <c r="AD1501" s="210"/>
      <c r="AE1501" s="210"/>
    </row>
    <row r="1502" spans="1:31" x14ac:dyDescent="0.2">
      <c r="A1502" s="209"/>
      <c r="B1502" s="4" t="s">
        <v>34</v>
      </c>
      <c r="C1502" s="4">
        <v>1497</v>
      </c>
      <c r="D1502" s="210"/>
      <c r="E1502" s="210"/>
      <c r="F1502" s="210"/>
      <c r="G1502" s="210"/>
      <c r="H1502" s="210"/>
      <c r="I1502" s="210"/>
      <c r="J1502" s="4">
        <v>40697</v>
      </c>
      <c r="K1502" s="210"/>
      <c r="L1502" s="210">
        <v>94</v>
      </c>
      <c r="M1502" s="4">
        <f t="shared" si="28"/>
        <v>8</v>
      </c>
      <c r="N1502" s="4" t="str">
        <f>_xlfn.CONCAT("DBX",((L1502-1)*2)+1,".0")</f>
        <v>DBX187.0</v>
      </c>
      <c r="O1502" s="210" t="s">
        <v>782</v>
      </c>
      <c r="P1502" s="210"/>
      <c r="Q1502" s="210"/>
      <c r="R1502" s="210"/>
      <c r="S1502" s="210"/>
      <c r="T1502" s="210"/>
      <c r="U1502" s="210"/>
      <c r="V1502" s="210"/>
      <c r="W1502" s="210"/>
      <c r="X1502" s="210"/>
      <c r="Y1502" s="210"/>
      <c r="Z1502" s="210"/>
      <c r="AA1502" s="210"/>
      <c r="AB1502" s="210"/>
      <c r="AC1502" s="210"/>
      <c r="AD1502" s="210"/>
      <c r="AE1502" s="210"/>
    </row>
    <row r="1503" spans="1:31" x14ac:dyDescent="0.2">
      <c r="A1503" s="209"/>
      <c r="B1503" s="4" t="s">
        <v>34</v>
      </c>
      <c r="C1503" s="4">
        <v>1498</v>
      </c>
      <c r="D1503" s="210"/>
      <c r="E1503" s="210"/>
      <c r="F1503" s="210"/>
      <c r="G1503" s="210"/>
      <c r="H1503" s="210"/>
      <c r="I1503" s="210"/>
      <c r="J1503" s="4">
        <v>40698</v>
      </c>
      <c r="K1503" s="210"/>
      <c r="L1503" s="210">
        <v>94</v>
      </c>
      <c r="M1503" s="4">
        <f t="shared" si="28"/>
        <v>9</v>
      </c>
      <c r="N1503" s="4" t="str">
        <f>_xlfn.CONCAT("DBX",((L1503-1)*2)+1,".1")</f>
        <v>DBX187.1</v>
      </c>
      <c r="O1503" s="210" t="s">
        <v>782</v>
      </c>
      <c r="P1503" s="210"/>
      <c r="Q1503" s="210"/>
      <c r="R1503" s="210"/>
      <c r="S1503" s="210"/>
      <c r="T1503" s="210"/>
      <c r="U1503" s="210"/>
      <c r="V1503" s="210"/>
      <c r="W1503" s="210"/>
      <c r="X1503" s="210"/>
      <c r="Y1503" s="210"/>
      <c r="Z1503" s="210"/>
      <c r="AA1503" s="210"/>
      <c r="AB1503" s="210"/>
      <c r="AC1503" s="210"/>
      <c r="AD1503" s="210"/>
      <c r="AE1503" s="210"/>
    </row>
    <row r="1504" spans="1:31" x14ac:dyDescent="0.2">
      <c r="A1504" s="209"/>
      <c r="B1504" s="4" t="s">
        <v>34</v>
      </c>
      <c r="C1504" s="4">
        <v>1499</v>
      </c>
      <c r="D1504" s="210"/>
      <c r="E1504" s="210"/>
      <c r="F1504" s="210"/>
      <c r="G1504" s="210"/>
      <c r="H1504" s="210"/>
      <c r="I1504" s="210"/>
      <c r="J1504" s="4">
        <v>40699</v>
      </c>
      <c r="K1504" s="210"/>
      <c r="L1504" s="210">
        <v>94</v>
      </c>
      <c r="M1504" s="4">
        <f t="shared" si="28"/>
        <v>10</v>
      </c>
      <c r="N1504" s="4" t="str">
        <f>_xlfn.CONCAT("DBX",((L1504-1)*2)+1,".2")</f>
        <v>DBX187.2</v>
      </c>
      <c r="O1504" s="210" t="s">
        <v>782</v>
      </c>
      <c r="P1504" s="210"/>
      <c r="Q1504" s="210"/>
      <c r="R1504" s="210"/>
      <c r="S1504" s="210"/>
      <c r="T1504" s="210"/>
      <c r="U1504" s="210"/>
      <c r="V1504" s="210"/>
      <c r="W1504" s="210"/>
      <c r="X1504" s="210"/>
      <c r="Y1504" s="210"/>
      <c r="Z1504" s="210"/>
      <c r="AA1504" s="210"/>
      <c r="AB1504" s="210"/>
      <c r="AC1504" s="210"/>
      <c r="AD1504" s="210"/>
      <c r="AE1504" s="210"/>
    </row>
    <row r="1505" spans="1:31" x14ac:dyDescent="0.2">
      <c r="A1505" s="209"/>
      <c r="B1505" s="4" t="s">
        <v>34</v>
      </c>
      <c r="C1505" s="4">
        <v>1500</v>
      </c>
      <c r="D1505" s="210"/>
      <c r="E1505" s="210"/>
      <c r="F1505" s="210"/>
      <c r="G1505" s="210"/>
      <c r="H1505" s="210"/>
      <c r="I1505" s="210"/>
      <c r="J1505" s="4">
        <v>40700</v>
      </c>
      <c r="K1505" s="210"/>
      <c r="L1505" s="210">
        <v>94</v>
      </c>
      <c r="M1505" s="4">
        <f t="shared" si="28"/>
        <v>11</v>
      </c>
      <c r="N1505" s="4" t="str">
        <f>_xlfn.CONCAT("DBX",((L1505-1)*2)+1,".3")</f>
        <v>DBX187.3</v>
      </c>
      <c r="O1505" s="210" t="s">
        <v>782</v>
      </c>
      <c r="P1505" s="210"/>
      <c r="Q1505" s="210"/>
      <c r="R1505" s="210"/>
      <c r="S1505" s="210"/>
      <c r="T1505" s="210"/>
      <c r="U1505" s="210"/>
      <c r="V1505" s="210"/>
      <c r="W1505" s="210"/>
      <c r="X1505" s="210"/>
      <c r="Y1505" s="210"/>
      <c r="Z1505" s="210"/>
      <c r="AA1505" s="210"/>
      <c r="AB1505" s="210"/>
      <c r="AC1505" s="210"/>
      <c r="AD1505" s="210"/>
      <c r="AE1505" s="210"/>
    </row>
    <row r="1506" spans="1:31" x14ac:dyDescent="0.2">
      <c r="A1506" s="209"/>
      <c r="B1506" s="4" t="s">
        <v>34</v>
      </c>
      <c r="C1506" s="4">
        <v>1501</v>
      </c>
      <c r="D1506" s="210"/>
      <c r="E1506" s="210"/>
      <c r="F1506" s="210"/>
      <c r="G1506" s="210"/>
      <c r="H1506" s="210"/>
      <c r="I1506" s="210"/>
      <c r="J1506" s="4">
        <v>40701</v>
      </c>
      <c r="K1506" s="210"/>
      <c r="L1506" s="210">
        <v>94</v>
      </c>
      <c r="M1506" s="4">
        <f t="shared" si="28"/>
        <v>12</v>
      </c>
      <c r="N1506" s="4" t="str">
        <f>_xlfn.CONCAT("DBX",((L1506-1)*2)+1,".4")</f>
        <v>DBX187.4</v>
      </c>
      <c r="O1506" s="210" t="s">
        <v>782</v>
      </c>
      <c r="P1506" s="210"/>
      <c r="Q1506" s="210"/>
      <c r="R1506" s="210"/>
      <c r="S1506" s="210"/>
      <c r="T1506" s="210"/>
      <c r="U1506" s="210"/>
      <c r="V1506" s="210"/>
      <c r="W1506" s="210"/>
      <c r="X1506" s="210"/>
      <c r="Y1506" s="210"/>
      <c r="Z1506" s="210"/>
      <c r="AA1506" s="210"/>
      <c r="AB1506" s="210"/>
      <c r="AC1506" s="210"/>
      <c r="AD1506" s="210"/>
      <c r="AE1506" s="210"/>
    </row>
    <row r="1507" spans="1:31" x14ac:dyDescent="0.2">
      <c r="A1507" s="209"/>
      <c r="B1507" s="4" t="s">
        <v>34</v>
      </c>
      <c r="C1507" s="4">
        <v>1502</v>
      </c>
      <c r="D1507" s="210"/>
      <c r="E1507" s="210"/>
      <c r="F1507" s="210"/>
      <c r="G1507" s="210"/>
      <c r="H1507" s="210"/>
      <c r="I1507" s="210"/>
      <c r="J1507" s="4">
        <v>40702</v>
      </c>
      <c r="K1507" s="210"/>
      <c r="L1507" s="210">
        <v>94</v>
      </c>
      <c r="M1507" s="4">
        <f t="shared" si="28"/>
        <v>13</v>
      </c>
      <c r="N1507" s="4" t="str">
        <f>_xlfn.CONCAT("DBX",((L1507-1)*2)+1,".5")</f>
        <v>DBX187.5</v>
      </c>
      <c r="O1507" s="210" t="s">
        <v>782</v>
      </c>
      <c r="P1507" s="210"/>
      <c r="Q1507" s="210"/>
      <c r="R1507" s="210"/>
      <c r="S1507" s="210"/>
      <c r="T1507" s="210"/>
      <c r="U1507" s="210"/>
      <c r="V1507" s="210"/>
      <c r="W1507" s="210"/>
      <c r="X1507" s="210"/>
      <c r="Y1507" s="210"/>
      <c r="Z1507" s="210"/>
      <c r="AA1507" s="210"/>
      <c r="AB1507" s="210"/>
      <c r="AC1507" s="210"/>
      <c r="AD1507" s="210"/>
      <c r="AE1507" s="210"/>
    </row>
    <row r="1508" spans="1:31" x14ac:dyDescent="0.2">
      <c r="A1508" s="209"/>
      <c r="B1508" s="4" t="s">
        <v>34</v>
      </c>
      <c r="C1508" s="4">
        <v>1503</v>
      </c>
      <c r="D1508" s="210"/>
      <c r="E1508" s="210"/>
      <c r="F1508" s="210"/>
      <c r="G1508" s="210"/>
      <c r="H1508" s="210"/>
      <c r="I1508" s="210"/>
      <c r="J1508" s="4">
        <v>40703</v>
      </c>
      <c r="K1508" s="210"/>
      <c r="L1508" s="210">
        <v>94</v>
      </c>
      <c r="M1508" s="4">
        <f t="shared" si="28"/>
        <v>14</v>
      </c>
      <c r="N1508" s="4" t="str">
        <f>_xlfn.CONCAT("DBX",((L1508-1)*2)+1,".6")</f>
        <v>DBX187.6</v>
      </c>
      <c r="O1508" s="210" t="s">
        <v>782</v>
      </c>
      <c r="P1508" s="210"/>
      <c r="Q1508" s="210"/>
      <c r="R1508" s="210"/>
      <c r="S1508" s="210"/>
      <c r="T1508" s="210"/>
      <c r="U1508" s="210"/>
      <c r="V1508" s="210"/>
      <c r="W1508" s="210"/>
      <c r="X1508" s="210"/>
      <c r="Y1508" s="210"/>
      <c r="Z1508" s="210"/>
      <c r="AA1508" s="210"/>
      <c r="AB1508" s="210"/>
      <c r="AC1508" s="210"/>
      <c r="AD1508" s="210"/>
      <c r="AE1508" s="210"/>
    </row>
    <row r="1509" spans="1:31" x14ac:dyDescent="0.2">
      <c r="A1509" s="209"/>
      <c r="B1509" s="4" t="s">
        <v>34</v>
      </c>
      <c r="C1509" s="4">
        <v>1504</v>
      </c>
      <c r="D1509" s="210"/>
      <c r="E1509" s="210"/>
      <c r="F1509" s="210"/>
      <c r="G1509" s="210"/>
      <c r="H1509" s="210"/>
      <c r="I1509" s="210"/>
      <c r="J1509" s="4">
        <v>40704</v>
      </c>
      <c r="K1509" s="210"/>
      <c r="L1509" s="210">
        <v>94</v>
      </c>
      <c r="M1509" s="4">
        <f t="shared" si="28"/>
        <v>15</v>
      </c>
      <c r="N1509" s="4" t="str">
        <f>_xlfn.CONCAT("DBX",((L1509-1)*2)+1,".7")</f>
        <v>DBX187.7</v>
      </c>
      <c r="O1509" s="210" t="s">
        <v>782</v>
      </c>
      <c r="P1509" s="210"/>
      <c r="Q1509" s="210"/>
      <c r="R1509" s="210"/>
      <c r="S1509" s="210"/>
      <c r="T1509" s="210"/>
      <c r="U1509" s="210"/>
      <c r="V1509" s="210"/>
      <c r="W1509" s="210"/>
      <c r="X1509" s="210"/>
      <c r="Y1509" s="210"/>
      <c r="Z1509" s="210"/>
      <c r="AA1509" s="210"/>
      <c r="AB1509" s="210"/>
      <c r="AC1509" s="210"/>
      <c r="AD1509" s="210"/>
      <c r="AE1509" s="210"/>
    </row>
    <row r="1510" spans="1:31" x14ac:dyDescent="0.2">
      <c r="A1510" s="209"/>
      <c r="B1510" s="4" t="s">
        <v>34</v>
      </c>
      <c r="C1510" s="4">
        <v>1505</v>
      </c>
      <c r="D1510" s="210"/>
      <c r="E1510" s="210"/>
      <c r="F1510" s="210"/>
      <c r="G1510" s="210"/>
      <c r="H1510" s="210"/>
      <c r="I1510" s="210"/>
      <c r="J1510" s="4">
        <v>40705</v>
      </c>
      <c r="K1510" s="210"/>
      <c r="L1510" s="210">
        <v>95</v>
      </c>
      <c r="M1510" s="4">
        <f t="shared" ref="M1510:M1573" si="29">M1494</f>
        <v>0</v>
      </c>
      <c r="N1510" s="4" t="str">
        <f>_xlfn.CONCAT("DBX",((L1510-1)*2),".0")</f>
        <v>DBX188.0</v>
      </c>
      <c r="O1510" s="210" t="s">
        <v>782</v>
      </c>
      <c r="P1510" s="210"/>
      <c r="Q1510" s="210"/>
      <c r="R1510" s="210"/>
      <c r="S1510" s="210"/>
      <c r="T1510" s="210"/>
      <c r="U1510" s="210"/>
      <c r="V1510" s="210"/>
      <c r="W1510" s="210"/>
      <c r="X1510" s="210"/>
      <c r="Y1510" s="210"/>
      <c r="Z1510" s="210"/>
      <c r="AA1510" s="210"/>
      <c r="AB1510" s="210"/>
      <c r="AC1510" s="210"/>
      <c r="AD1510" s="210"/>
      <c r="AE1510" s="210"/>
    </row>
    <row r="1511" spans="1:31" x14ac:dyDescent="0.2">
      <c r="A1511" s="209"/>
      <c r="B1511" s="4" t="s">
        <v>34</v>
      </c>
      <c r="C1511" s="4">
        <v>1506</v>
      </c>
      <c r="D1511" s="210"/>
      <c r="E1511" s="210"/>
      <c r="F1511" s="210"/>
      <c r="G1511" s="210"/>
      <c r="H1511" s="210"/>
      <c r="I1511" s="210"/>
      <c r="J1511" s="4">
        <v>40706</v>
      </c>
      <c r="K1511" s="210"/>
      <c r="L1511" s="210">
        <v>95</v>
      </c>
      <c r="M1511" s="4">
        <f t="shared" si="29"/>
        <v>1</v>
      </c>
      <c r="N1511" s="4" t="str">
        <f>_xlfn.CONCAT("DBX",((L1511-1)*2),".1")</f>
        <v>DBX188.1</v>
      </c>
      <c r="O1511" s="210" t="s">
        <v>782</v>
      </c>
      <c r="P1511" s="210"/>
      <c r="Q1511" s="210"/>
      <c r="R1511" s="210"/>
      <c r="S1511" s="210"/>
      <c r="T1511" s="210"/>
      <c r="U1511" s="210"/>
      <c r="V1511" s="210"/>
      <c r="W1511" s="210"/>
      <c r="X1511" s="210"/>
      <c r="Y1511" s="210"/>
      <c r="Z1511" s="210"/>
      <c r="AA1511" s="210"/>
      <c r="AB1511" s="210"/>
      <c r="AC1511" s="210"/>
      <c r="AD1511" s="210"/>
      <c r="AE1511" s="210"/>
    </row>
    <row r="1512" spans="1:31" x14ac:dyDescent="0.2">
      <c r="A1512" s="209"/>
      <c r="B1512" s="4" t="s">
        <v>34</v>
      </c>
      <c r="C1512" s="4">
        <v>1507</v>
      </c>
      <c r="D1512" s="210"/>
      <c r="E1512" s="210"/>
      <c r="F1512" s="210"/>
      <c r="G1512" s="210"/>
      <c r="H1512" s="210"/>
      <c r="I1512" s="210"/>
      <c r="J1512" s="4">
        <v>40707</v>
      </c>
      <c r="K1512" s="210"/>
      <c r="L1512" s="210">
        <v>95</v>
      </c>
      <c r="M1512" s="4">
        <f t="shared" si="29"/>
        <v>2</v>
      </c>
      <c r="N1512" s="4" t="str">
        <f>_xlfn.CONCAT("DBX",((L1512-1)*2),".2")</f>
        <v>DBX188.2</v>
      </c>
      <c r="O1512" s="210" t="s">
        <v>782</v>
      </c>
      <c r="P1512" s="210"/>
      <c r="Q1512" s="210"/>
      <c r="R1512" s="210"/>
      <c r="S1512" s="210"/>
      <c r="T1512" s="210"/>
      <c r="U1512" s="210"/>
      <c r="V1512" s="210"/>
      <c r="W1512" s="210"/>
      <c r="X1512" s="210"/>
      <c r="Y1512" s="210"/>
      <c r="Z1512" s="210"/>
      <c r="AA1512" s="210"/>
      <c r="AB1512" s="210"/>
      <c r="AC1512" s="210"/>
      <c r="AD1512" s="210"/>
      <c r="AE1512" s="210"/>
    </row>
    <row r="1513" spans="1:31" x14ac:dyDescent="0.2">
      <c r="A1513" s="209"/>
      <c r="B1513" s="4" t="s">
        <v>34</v>
      </c>
      <c r="C1513" s="4">
        <v>1508</v>
      </c>
      <c r="D1513" s="210"/>
      <c r="E1513" s="210"/>
      <c r="F1513" s="210"/>
      <c r="G1513" s="210"/>
      <c r="H1513" s="210"/>
      <c r="I1513" s="210"/>
      <c r="J1513" s="4">
        <v>40708</v>
      </c>
      <c r="K1513" s="210"/>
      <c r="L1513" s="210">
        <v>95</v>
      </c>
      <c r="M1513" s="4">
        <f t="shared" si="29"/>
        <v>3</v>
      </c>
      <c r="N1513" s="4" t="str">
        <f>_xlfn.CONCAT("DBX",((L1513-1)*2),".3")</f>
        <v>DBX188.3</v>
      </c>
      <c r="O1513" s="210" t="s">
        <v>782</v>
      </c>
      <c r="P1513" s="210"/>
      <c r="Q1513" s="210"/>
      <c r="R1513" s="210"/>
      <c r="S1513" s="210"/>
      <c r="T1513" s="210"/>
      <c r="U1513" s="210"/>
      <c r="V1513" s="210"/>
      <c r="W1513" s="210"/>
      <c r="X1513" s="210"/>
      <c r="Y1513" s="210"/>
      <c r="Z1513" s="210"/>
      <c r="AA1513" s="210"/>
      <c r="AB1513" s="210"/>
      <c r="AC1513" s="210"/>
      <c r="AD1513" s="210"/>
      <c r="AE1513" s="210"/>
    </row>
    <row r="1514" spans="1:31" x14ac:dyDescent="0.2">
      <c r="A1514" s="209"/>
      <c r="B1514" s="4" t="s">
        <v>34</v>
      </c>
      <c r="C1514" s="4">
        <v>1509</v>
      </c>
      <c r="D1514" s="210"/>
      <c r="E1514" s="210"/>
      <c r="F1514" s="210"/>
      <c r="G1514" s="210"/>
      <c r="H1514" s="210"/>
      <c r="I1514" s="210"/>
      <c r="J1514" s="4">
        <v>40709</v>
      </c>
      <c r="K1514" s="210"/>
      <c r="L1514" s="210">
        <v>95</v>
      </c>
      <c r="M1514" s="4">
        <f t="shared" si="29"/>
        <v>4</v>
      </c>
      <c r="N1514" s="4" t="str">
        <f>_xlfn.CONCAT("DBX",((L1514-1)*2),".4")</f>
        <v>DBX188.4</v>
      </c>
      <c r="O1514" s="210" t="s">
        <v>782</v>
      </c>
      <c r="P1514" s="210"/>
      <c r="Q1514" s="210"/>
      <c r="R1514" s="210"/>
      <c r="S1514" s="210"/>
      <c r="T1514" s="210"/>
      <c r="U1514" s="210"/>
      <c r="V1514" s="210"/>
      <c r="W1514" s="210"/>
      <c r="X1514" s="210"/>
      <c r="Y1514" s="210"/>
      <c r="Z1514" s="210"/>
      <c r="AA1514" s="210"/>
      <c r="AB1514" s="210"/>
      <c r="AC1514" s="210"/>
      <c r="AD1514" s="210"/>
      <c r="AE1514" s="210"/>
    </row>
    <row r="1515" spans="1:31" x14ac:dyDescent="0.2">
      <c r="A1515" s="209"/>
      <c r="B1515" s="4" t="s">
        <v>34</v>
      </c>
      <c r="C1515" s="4">
        <v>1510</v>
      </c>
      <c r="D1515" s="210"/>
      <c r="E1515" s="210"/>
      <c r="F1515" s="210"/>
      <c r="G1515" s="210"/>
      <c r="H1515" s="210"/>
      <c r="I1515" s="210"/>
      <c r="J1515" s="4">
        <v>40710</v>
      </c>
      <c r="K1515" s="210"/>
      <c r="L1515" s="210">
        <v>95</v>
      </c>
      <c r="M1515" s="4">
        <f t="shared" si="29"/>
        <v>5</v>
      </c>
      <c r="N1515" s="4" t="str">
        <f>_xlfn.CONCAT("DBX",((L1515-1)*2),".5")</f>
        <v>DBX188.5</v>
      </c>
      <c r="O1515" s="210" t="s">
        <v>782</v>
      </c>
      <c r="P1515" s="210"/>
      <c r="Q1515" s="210"/>
      <c r="R1515" s="210"/>
      <c r="S1515" s="210"/>
      <c r="T1515" s="210"/>
      <c r="U1515" s="210"/>
      <c r="V1515" s="210"/>
      <c r="W1515" s="210"/>
      <c r="X1515" s="210"/>
      <c r="Y1515" s="210"/>
      <c r="Z1515" s="210"/>
      <c r="AA1515" s="210"/>
      <c r="AB1515" s="210"/>
      <c r="AC1515" s="210"/>
      <c r="AD1515" s="210"/>
      <c r="AE1515" s="210"/>
    </row>
    <row r="1516" spans="1:31" x14ac:dyDescent="0.2">
      <c r="A1516" s="209"/>
      <c r="B1516" s="4" t="s">
        <v>34</v>
      </c>
      <c r="C1516" s="4">
        <v>1511</v>
      </c>
      <c r="D1516" s="210"/>
      <c r="E1516" s="210"/>
      <c r="F1516" s="210"/>
      <c r="G1516" s="210"/>
      <c r="H1516" s="210"/>
      <c r="I1516" s="210"/>
      <c r="J1516" s="4">
        <v>40711</v>
      </c>
      <c r="K1516" s="210"/>
      <c r="L1516" s="210">
        <v>95</v>
      </c>
      <c r="M1516" s="4">
        <f t="shared" si="29"/>
        <v>6</v>
      </c>
      <c r="N1516" s="4" t="str">
        <f>_xlfn.CONCAT("DBX",((L1516-1)*2),".6")</f>
        <v>DBX188.6</v>
      </c>
      <c r="O1516" s="210" t="s">
        <v>782</v>
      </c>
      <c r="P1516" s="210"/>
      <c r="Q1516" s="210"/>
      <c r="R1516" s="210"/>
      <c r="S1516" s="210"/>
      <c r="T1516" s="210"/>
      <c r="U1516" s="210"/>
      <c r="V1516" s="210"/>
      <c r="W1516" s="210"/>
      <c r="X1516" s="210"/>
      <c r="Y1516" s="210"/>
      <c r="Z1516" s="210"/>
      <c r="AA1516" s="210"/>
      <c r="AB1516" s="210"/>
      <c r="AC1516" s="210"/>
      <c r="AD1516" s="210"/>
      <c r="AE1516" s="210"/>
    </row>
    <row r="1517" spans="1:31" x14ac:dyDescent="0.2">
      <c r="A1517" s="209"/>
      <c r="B1517" s="4" t="s">
        <v>34</v>
      </c>
      <c r="C1517" s="4">
        <v>1512</v>
      </c>
      <c r="D1517" s="210"/>
      <c r="E1517" s="210"/>
      <c r="F1517" s="210"/>
      <c r="G1517" s="210"/>
      <c r="H1517" s="210"/>
      <c r="I1517" s="210"/>
      <c r="J1517" s="4">
        <v>40712</v>
      </c>
      <c r="K1517" s="210"/>
      <c r="L1517" s="210">
        <v>95</v>
      </c>
      <c r="M1517" s="4">
        <f t="shared" si="29"/>
        <v>7</v>
      </c>
      <c r="N1517" s="4" t="str">
        <f>_xlfn.CONCAT("DBX",((L1517-1)*2),".7")</f>
        <v>DBX188.7</v>
      </c>
      <c r="O1517" s="210" t="s">
        <v>782</v>
      </c>
      <c r="P1517" s="210"/>
      <c r="Q1517" s="210"/>
      <c r="R1517" s="210"/>
      <c r="S1517" s="210"/>
      <c r="T1517" s="210"/>
      <c r="U1517" s="210"/>
      <c r="V1517" s="210"/>
      <c r="W1517" s="210"/>
      <c r="X1517" s="210"/>
      <c r="Y1517" s="210"/>
      <c r="Z1517" s="210"/>
      <c r="AA1517" s="210"/>
      <c r="AB1517" s="210"/>
      <c r="AC1517" s="210"/>
      <c r="AD1517" s="210"/>
      <c r="AE1517" s="210"/>
    </row>
    <row r="1518" spans="1:31" x14ac:dyDescent="0.2">
      <c r="A1518" s="209"/>
      <c r="B1518" s="4" t="s">
        <v>34</v>
      </c>
      <c r="C1518" s="4">
        <v>1513</v>
      </c>
      <c r="D1518" s="210"/>
      <c r="E1518" s="210"/>
      <c r="F1518" s="210"/>
      <c r="G1518" s="210"/>
      <c r="H1518" s="210"/>
      <c r="I1518" s="210"/>
      <c r="J1518" s="4">
        <v>40713</v>
      </c>
      <c r="K1518" s="210"/>
      <c r="L1518" s="210">
        <v>95</v>
      </c>
      <c r="M1518" s="4">
        <f t="shared" si="29"/>
        <v>8</v>
      </c>
      <c r="N1518" s="4" t="str">
        <f>_xlfn.CONCAT("DBX",((L1518-1)*2)+1,".0")</f>
        <v>DBX189.0</v>
      </c>
      <c r="O1518" s="210" t="s">
        <v>782</v>
      </c>
      <c r="P1518" s="210"/>
      <c r="Q1518" s="210"/>
      <c r="R1518" s="210"/>
      <c r="S1518" s="210"/>
      <c r="T1518" s="210"/>
      <c r="U1518" s="210"/>
      <c r="V1518" s="210"/>
      <c r="W1518" s="210"/>
      <c r="X1518" s="210"/>
      <c r="Y1518" s="210"/>
      <c r="Z1518" s="210"/>
      <c r="AA1518" s="210"/>
      <c r="AB1518" s="210"/>
      <c r="AC1518" s="210"/>
      <c r="AD1518" s="210"/>
      <c r="AE1518" s="210"/>
    </row>
    <row r="1519" spans="1:31" x14ac:dyDescent="0.2">
      <c r="A1519" s="209"/>
      <c r="B1519" s="4" t="s">
        <v>34</v>
      </c>
      <c r="C1519" s="4">
        <v>1514</v>
      </c>
      <c r="D1519" s="210"/>
      <c r="E1519" s="210"/>
      <c r="F1519" s="210"/>
      <c r="G1519" s="210"/>
      <c r="H1519" s="210"/>
      <c r="I1519" s="210"/>
      <c r="J1519" s="4">
        <v>40714</v>
      </c>
      <c r="K1519" s="210"/>
      <c r="L1519" s="210">
        <v>95</v>
      </c>
      <c r="M1519" s="4">
        <f t="shared" si="29"/>
        <v>9</v>
      </c>
      <c r="N1519" s="4" t="str">
        <f>_xlfn.CONCAT("DBX",((L1519-1)*2)+1,".1")</f>
        <v>DBX189.1</v>
      </c>
      <c r="O1519" s="210" t="s">
        <v>782</v>
      </c>
      <c r="P1519" s="210"/>
      <c r="Q1519" s="210"/>
      <c r="R1519" s="210"/>
      <c r="S1519" s="210"/>
      <c r="T1519" s="210"/>
      <c r="U1519" s="210"/>
      <c r="V1519" s="210"/>
      <c r="W1519" s="210"/>
      <c r="X1519" s="210"/>
      <c r="Y1519" s="210"/>
      <c r="Z1519" s="210"/>
      <c r="AA1519" s="210"/>
      <c r="AB1519" s="210"/>
      <c r="AC1519" s="210"/>
      <c r="AD1519" s="210"/>
      <c r="AE1519" s="210"/>
    </row>
    <row r="1520" spans="1:31" x14ac:dyDescent="0.2">
      <c r="A1520" s="209"/>
      <c r="B1520" s="4" t="s">
        <v>34</v>
      </c>
      <c r="C1520" s="4">
        <v>1515</v>
      </c>
      <c r="D1520" s="210"/>
      <c r="E1520" s="210"/>
      <c r="F1520" s="210"/>
      <c r="G1520" s="210"/>
      <c r="H1520" s="210"/>
      <c r="I1520" s="210"/>
      <c r="J1520" s="4">
        <v>40715</v>
      </c>
      <c r="K1520" s="210"/>
      <c r="L1520" s="210">
        <v>95</v>
      </c>
      <c r="M1520" s="4">
        <f t="shared" si="29"/>
        <v>10</v>
      </c>
      <c r="N1520" s="4" t="str">
        <f>_xlfn.CONCAT("DBX",((L1520-1)*2)+1,".2")</f>
        <v>DBX189.2</v>
      </c>
      <c r="O1520" s="210" t="s">
        <v>782</v>
      </c>
      <c r="P1520" s="210"/>
      <c r="Q1520" s="210"/>
      <c r="R1520" s="210"/>
      <c r="S1520" s="210"/>
      <c r="T1520" s="210"/>
      <c r="U1520" s="210"/>
      <c r="V1520" s="210"/>
      <c r="W1520" s="210"/>
      <c r="X1520" s="210"/>
      <c r="Y1520" s="210"/>
      <c r="Z1520" s="210"/>
      <c r="AA1520" s="210"/>
      <c r="AB1520" s="210"/>
      <c r="AC1520" s="210"/>
      <c r="AD1520" s="210"/>
      <c r="AE1520" s="210"/>
    </row>
    <row r="1521" spans="1:31" x14ac:dyDescent="0.2">
      <c r="A1521" s="209"/>
      <c r="B1521" s="4" t="s">
        <v>34</v>
      </c>
      <c r="C1521" s="4">
        <v>1516</v>
      </c>
      <c r="D1521" s="210"/>
      <c r="E1521" s="210"/>
      <c r="F1521" s="210"/>
      <c r="G1521" s="210"/>
      <c r="H1521" s="210"/>
      <c r="I1521" s="210"/>
      <c r="J1521" s="4">
        <v>40716</v>
      </c>
      <c r="K1521" s="210"/>
      <c r="L1521" s="210">
        <v>95</v>
      </c>
      <c r="M1521" s="4">
        <f t="shared" si="29"/>
        <v>11</v>
      </c>
      <c r="N1521" s="4" t="str">
        <f>_xlfn.CONCAT("DBX",((L1521-1)*2)+1,".3")</f>
        <v>DBX189.3</v>
      </c>
      <c r="O1521" s="210" t="s">
        <v>782</v>
      </c>
      <c r="P1521" s="210"/>
      <c r="Q1521" s="210"/>
      <c r="R1521" s="210"/>
      <c r="S1521" s="210"/>
      <c r="T1521" s="210"/>
      <c r="U1521" s="210"/>
      <c r="V1521" s="210"/>
      <c r="W1521" s="210"/>
      <c r="X1521" s="210"/>
      <c r="Y1521" s="210"/>
      <c r="Z1521" s="210"/>
      <c r="AA1521" s="210"/>
      <c r="AB1521" s="210"/>
      <c r="AC1521" s="210"/>
      <c r="AD1521" s="210"/>
      <c r="AE1521" s="210"/>
    </row>
    <row r="1522" spans="1:31" x14ac:dyDescent="0.2">
      <c r="A1522" s="209"/>
      <c r="B1522" s="4" t="s">
        <v>34</v>
      </c>
      <c r="C1522" s="4">
        <v>1517</v>
      </c>
      <c r="D1522" s="210"/>
      <c r="E1522" s="210"/>
      <c r="F1522" s="210"/>
      <c r="G1522" s="210"/>
      <c r="H1522" s="210"/>
      <c r="I1522" s="210"/>
      <c r="J1522" s="4">
        <v>40717</v>
      </c>
      <c r="K1522" s="210"/>
      <c r="L1522" s="210">
        <v>95</v>
      </c>
      <c r="M1522" s="4">
        <f t="shared" si="29"/>
        <v>12</v>
      </c>
      <c r="N1522" s="4" t="str">
        <f>_xlfn.CONCAT("DBX",((L1522-1)*2)+1,".4")</f>
        <v>DBX189.4</v>
      </c>
      <c r="O1522" s="210" t="s">
        <v>782</v>
      </c>
      <c r="P1522" s="210"/>
      <c r="Q1522" s="210"/>
      <c r="R1522" s="210"/>
      <c r="S1522" s="210"/>
      <c r="T1522" s="210"/>
      <c r="U1522" s="210"/>
      <c r="V1522" s="210"/>
      <c r="W1522" s="210"/>
      <c r="X1522" s="210"/>
      <c r="Y1522" s="210"/>
      <c r="Z1522" s="210"/>
      <c r="AA1522" s="210"/>
      <c r="AB1522" s="210"/>
      <c r="AC1522" s="210"/>
      <c r="AD1522" s="210"/>
      <c r="AE1522" s="210"/>
    </row>
    <row r="1523" spans="1:31" x14ac:dyDescent="0.2">
      <c r="A1523" s="209"/>
      <c r="B1523" s="4" t="s">
        <v>34</v>
      </c>
      <c r="C1523" s="4">
        <v>1518</v>
      </c>
      <c r="D1523" s="210"/>
      <c r="E1523" s="210"/>
      <c r="F1523" s="210"/>
      <c r="G1523" s="210"/>
      <c r="H1523" s="210"/>
      <c r="I1523" s="210"/>
      <c r="J1523" s="4">
        <v>40718</v>
      </c>
      <c r="K1523" s="210"/>
      <c r="L1523" s="210">
        <v>95</v>
      </c>
      <c r="M1523" s="4">
        <f t="shared" si="29"/>
        <v>13</v>
      </c>
      <c r="N1523" s="4" t="str">
        <f>_xlfn.CONCAT("DBX",((L1523-1)*2)+1,".5")</f>
        <v>DBX189.5</v>
      </c>
      <c r="O1523" s="210" t="s">
        <v>782</v>
      </c>
      <c r="P1523" s="210"/>
      <c r="Q1523" s="210"/>
      <c r="R1523" s="210"/>
      <c r="S1523" s="210"/>
      <c r="T1523" s="210"/>
      <c r="U1523" s="210"/>
      <c r="V1523" s="210"/>
      <c r="W1523" s="210"/>
      <c r="X1523" s="210"/>
      <c r="Y1523" s="210"/>
      <c r="Z1523" s="210"/>
      <c r="AA1523" s="210"/>
      <c r="AB1523" s="210"/>
      <c r="AC1523" s="210"/>
      <c r="AD1523" s="210"/>
      <c r="AE1523" s="210"/>
    </row>
    <row r="1524" spans="1:31" x14ac:dyDescent="0.2">
      <c r="A1524" s="209"/>
      <c r="B1524" s="4" t="s">
        <v>34</v>
      </c>
      <c r="C1524" s="4">
        <v>1519</v>
      </c>
      <c r="D1524" s="210"/>
      <c r="E1524" s="210"/>
      <c r="F1524" s="210"/>
      <c r="G1524" s="210"/>
      <c r="H1524" s="210"/>
      <c r="I1524" s="210"/>
      <c r="J1524" s="4">
        <v>40719</v>
      </c>
      <c r="K1524" s="210"/>
      <c r="L1524" s="210">
        <v>95</v>
      </c>
      <c r="M1524" s="4">
        <f t="shared" si="29"/>
        <v>14</v>
      </c>
      <c r="N1524" s="4" t="str">
        <f>_xlfn.CONCAT("DBX",((L1524-1)*2)+1,".6")</f>
        <v>DBX189.6</v>
      </c>
      <c r="O1524" s="210" t="s">
        <v>782</v>
      </c>
      <c r="P1524" s="210"/>
      <c r="Q1524" s="210"/>
      <c r="R1524" s="210"/>
      <c r="S1524" s="210"/>
      <c r="T1524" s="210"/>
      <c r="U1524" s="210"/>
      <c r="V1524" s="210"/>
      <c r="W1524" s="210"/>
      <c r="X1524" s="210"/>
      <c r="Y1524" s="210"/>
      <c r="Z1524" s="210"/>
      <c r="AA1524" s="210"/>
      <c r="AB1524" s="210"/>
      <c r="AC1524" s="210"/>
      <c r="AD1524" s="210"/>
      <c r="AE1524" s="210"/>
    </row>
    <row r="1525" spans="1:31" x14ac:dyDescent="0.2">
      <c r="A1525" s="209"/>
      <c r="B1525" s="4" t="s">
        <v>34</v>
      </c>
      <c r="C1525" s="4">
        <v>1520</v>
      </c>
      <c r="D1525" s="210"/>
      <c r="E1525" s="210"/>
      <c r="F1525" s="210"/>
      <c r="G1525" s="210"/>
      <c r="H1525" s="210"/>
      <c r="I1525" s="210"/>
      <c r="J1525" s="4">
        <v>40720</v>
      </c>
      <c r="K1525" s="210"/>
      <c r="L1525" s="210">
        <v>95</v>
      </c>
      <c r="M1525" s="4">
        <f t="shared" si="29"/>
        <v>15</v>
      </c>
      <c r="N1525" s="4" t="str">
        <f>_xlfn.CONCAT("DBX",((L1525-1)*2)+1,".7")</f>
        <v>DBX189.7</v>
      </c>
      <c r="O1525" s="210" t="s">
        <v>782</v>
      </c>
      <c r="P1525" s="210"/>
      <c r="Q1525" s="210"/>
      <c r="R1525" s="210"/>
      <c r="S1525" s="210"/>
      <c r="T1525" s="210"/>
      <c r="U1525" s="210"/>
      <c r="V1525" s="210"/>
      <c r="W1525" s="210"/>
      <c r="X1525" s="210"/>
      <c r="Y1525" s="210"/>
      <c r="Z1525" s="210"/>
      <c r="AA1525" s="210"/>
      <c r="AB1525" s="210"/>
      <c r="AC1525" s="210"/>
      <c r="AD1525" s="210"/>
      <c r="AE1525" s="210"/>
    </row>
    <row r="1526" spans="1:31" x14ac:dyDescent="0.2">
      <c r="A1526" s="209"/>
      <c r="B1526" s="4" t="s">
        <v>34</v>
      </c>
      <c r="C1526" s="4">
        <v>1521</v>
      </c>
      <c r="D1526" s="210"/>
      <c r="E1526" s="210"/>
      <c r="F1526" s="210"/>
      <c r="G1526" s="210"/>
      <c r="H1526" s="210"/>
      <c r="I1526" s="210"/>
      <c r="J1526" s="4">
        <v>40721</v>
      </c>
      <c r="K1526" s="210"/>
      <c r="L1526" s="210">
        <v>96</v>
      </c>
      <c r="M1526" s="4">
        <v>0</v>
      </c>
      <c r="N1526" s="4" t="str">
        <f>_xlfn.CONCAT("DBX",((L1526-1)*2),".0")</f>
        <v>DBX190.0</v>
      </c>
      <c r="O1526" s="210" t="s">
        <v>782</v>
      </c>
      <c r="P1526" s="210"/>
      <c r="Q1526" s="210"/>
      <c r="R1526" s="210"/>
      <c r="S1526" s="210"/>
      <c r="T1526" s="210"/>
      <c r="U1526" s="210"/>
      <c r="V1526" s="210"/>
      <c r="W1526" s="210"/>
      <c r="X1526" s="210"/>
      <c r="Y1526" s="210"/>
      <c r="Z1526" s="210"/>
      <c r="AA1526" s="210"/>
      <c r="AB1526" s="210"/>
      <c r="AC1526" s="210"/>
      <c r="AD1526" s="210"/>
      <c r="AE1526" s="210"/>
    </row>
    <row r="1527" spans="1:31" x14ac:dyDescent="0.2">
      <c r="A1527" s="209"/>
      <c r="B1527" s="4" t="s">
        <v>34</v>
      </c>
      <c r="C1527" s="4">
        <v>1522</v>
      </c>
      <c r="D1527" s="210"/>
      <c r="E1527" s="210"/>
      <c r="F1527" s="210"/>
      <c r="G1527" s="210"/>
      <c r="H1527" s="210"/>
      <c r="I1527" s="210"/>
      <c r="J1527" s="4">
        <v>40722</v>
      </c>
      <c r="K1527" s="210"/>
      <c r="L1527" s="210">
        <v>96</v>
      </c>
      <c r="M1527" s="4">
        <v>1</v>
      </c>
      <c r="N1527" s="4" t="str">
        <f>_xlfn.CONCAT("DBX",((L1527-1)*2),".1")</f>
        <v>DBX190.1</v>
      </c>
      <c r="O1527" s="210" t="s">
        <v>782</v>
      </c>
      <c r="P1527" s="210"/>
      <c r="Q1527" s="210"/>
      <c r="R1527" s="210"/>
      <c r="S1527" s="210"/>
      <c r="T1527" s="210"/>
      <c r="U1527" s="210"/>
      <c r="V1527" s="210"/>
      <c r="W1527" s="210"/>
      <c r="X1527" s="210"/>
      <c r="Y1527" s="210"/>
      <c r="Z1527" s="210"/>
      <c r="AA1527" s="210"/>
      <c r="AB1527" s="210"/>
      <c r="AC1527" s="210"/>
      <c r="AD1527" s="210"/>
      <c r="AE1527" s="210"/>
    </row>
    <row r="1528" spans="1:31" x14ac:dyDescent="0.2">
      <c r="A1528" s="209"/>
      <c r="B1528" s="4" t="s">
        <v>34</v>
      </c>
      <c r="C1528" s="4">
        <v>1523</v>
      </c>
      <c r="D1528" s="210"/>
      <c r="E1528" s="210"/>
      <c r="F1528" s="210"/>
      <c r="G1528" s="210"/>
      <c r="H1528" s="210"/>
      <c r="I1528" s="210"/>
      <c r="J1528" s="4">
        <v>40723</v>
      </c>
      <c r="K1528" s="210"/>
      <c r="L1528" s="210">
        <v>96</v>
      </c>
      <c r="M1528" s="4">
        <v>2</v>
      </c>
      <c r="N1528" s="4" t="str">
        <f>_xlfn.CONCAT("DBX",((L1528-1)*2),".2")</f>
        <v>DBX190.2</v>
      </c>
      <c r="O1528" s="210" t="s">
        <v>782</v>
      </c>
      <c r="P1528" s="210"/>
      <c r="Q1528" s="210"/>
      <c r="R1528" s="210"/>
      <c r="S1528" s="210"/>
      <c r="T1528" s="210"/>
      <c r="U1528" s="210"/>
      <c r="V1528" s="210"/>
      <c r="W1528" s="210"/>
      <c r="X1528" s="210"/>
      <c r="Y1528" s="210"/>
      <c r="Z1528" s="210"/>
      <c r="AA1528" s="210"/>
      <c r="AB1528" s="210"/>
      <c r="AC1528" s="210"/>
      <c r="AD1528" s="210"/>
      <c r="AE1528" s="210"/>
    </row>
    <row r="1529" spans="1:31" x14ac:dyDescent="0.2">
      <c r="A1529" s="209"/>
      <c r="B1529" s="4" t="s">
        <v>34</v>
      </c>
      <c r="C1529" s="4">
        <v>1524</v>
      </c>
      <c r="D1529" s="210"/>
      <c r="E1529" s="210"/>
      <c r="F1529" s="210"/>
      <c r="G1529" s="210"/>
      <c r="H1529" s="210"/>
      <c r="I1529" s="210"/>
      <c r="J1529" s="4">
        <v>40724</v>
      </c>
      <c r="K1529" s="210"/>
      <c r="L1529" s="210">
        <v>96</v>
      </c>
      <c r="M1529" s="4">
        <v>3</v>
      </c>
      <c r="N1529" s="4" t="str">
        <f>_xlfn.CONCAT("DBX",((L1529-1)*2),".3")</f>
        <v>DBX190.3</v>
      </c>
      <c r="O1529" s="210" t="s">
        <v>782</v>
      </c>
      <c r="P1529" s="210"/>
      <c r="Q1529" s="210"/>
      <c r="R1529" s="210"/>
      <c r="S1529" s="210"/>
      <c r="T1529" s="210"/>
      <c r="U1529" s="210"/>
      <c r="V1529" s="210"/>
      <c r="W1529" s="210"/>
      <c r="X1529" s="210"/>
      <c r="Y1529" s="210"/>
      <c r="Z1529" s="210"/>
      <c r="AA1529" s="210"/>
      <c r="AB1529" s="210"/>
      <c r="AC1529" s="210"/>
      <c r="AD1529" s="210"/>
      <c r="AE1529" s="210"/>
    </row>
    <row r="1530" spans="1:31" x14ac:dyDescent="0.2">
      <c r="A1530" s="209"/>
      <c r="B1530" s="4" t="s">
        <v>34</v>
      </c>
      <c r="C1530" s="4">
        <v>1525</v>
      </c>
      <c r="D1530" s="210"/>
      <c r="E1530" s="210"/>
      <c r="F1530" s="210"/>
      <c r="G1530" s="210"/>
      <c r="H1530" s="210"/>
      <c r="I1530" s="210"/>
      <c r="J1530" s="4">
        <v>40725</v>
      </c>
      <c r="K1530" s="210"/>
      <c r="L1530" s="210">
        <v>96</v>
      </c>
      <c r="M1530" s="4">
        <v>4</v>
      </c>
      <c r="N1530" s="4" t="str">
        <f>_xlfn.CONCAT("DBX",((L1530-1)*2),".4")</f>
        <v>DBX190.4</v>
      </c>
      <c r="O1530" s="210" t="s">
        <v>782</v>
      </c>
      <c r="P1530" s="210"/>
      <c r="Q1530" s="210"/>
      <c r="R1530" s="210"/>
      <c r="S1530" s="210"/>
      <c r="T1530" s="210"/>
      <c r="U1530" s="210"/>
      <c r="V1530" s="210"/>
      <c r="W1530" s="210"/>
      <c r="X1530" s="210"/>
      <c r="Y1530" s="210"/>
      <c r="Z1530" s="210"/>
      <c r="AA1530" s="210"/>
      <c r="AB1530" s="210"/>
      <c r="AC1530" s="210"/>
      <c r="AD1530" s="210"/>
      <c r="AE1530" s="210"/>
    </row>
    <row r="1531" spans="1:31" x14ac:dyDescent="0.2">
      <c r="A1531" s="209"/>
      <c r="B1531" s="4" t="s">
        <v>34</v>
      </c>
      <c r="C1531" s="4">
        <v>1526</v>
      </c>
      <c r="D1531" s="210"/>
      <c r="E1531" s="210"/>
      <c r="F1531" s="210"/>
      <c r="G1531" s="210"/>
      <c r="H1531" s="210"/>
      <c r="I1531" s="210"/>
      <c r="J1531" s="4">
        <v>40726</v>
      </c>
      <c r="K1531" s="210"/>
      <c r="L1531" s="210">
        <v>96</v>
      </c>
      <c r="M1531" s="4">
        <v>5</v>
      </c>
      <c r="N1531" s="4" t="str">
        <f>_xlfn.CONCAT("DBX",((L1531-1)*2),".5")</f>
        <v>DBX190.5</v>
      </c>
      <c r="O1531" s="210" t="s">
        <v>782</v>
      </c>
      <c r="P1531" s="210"/>
      <c r="Q1531" s="210"/>
      <c r="R1531" s="210"/>
      <c r="S1531" s="210"/>
      <c r="T1531" s="210"/>
      <c r="U1531" s="210"/>
      <c r="V1531" s="210"/>
      <c r="W1531" s="210"/>
      <c r="X1531" s="210"/>
      <c r="Y1531" s="210"/>
      <c r="Z1531" s="210"/>
      <c r="AA1531" s="210"/>
      <c r="AB1531" s="210"/>
      <c r="AC1531" s="210"/>
      <c r="AD1531" s="210"/>
      <c r="AE1531" s="210"/>
    </row>
    <row r="1532" spans="1:31" x14ac:dyDescent="0.2">
      <c r="A1532" s="209"/>
      <c r="B1532" s="4" t="s">
        <v>34</v>
      </c>
      <c r="C1532" s="4">
        <v>1527</v>
      </c>
      <c r="D1532" s="210"/>
      <c r="E1532" s="210"/>
      <c r="F1532" s="210"/>
      <c r="G1532" s="210"/>
      <c r="H1532" s="210"/>
      <c r="I1532" s="210"/>
      <c r="J1532" s="4">
        <v>40727</v>
      </c>
      <c r="K1532" s="210"/>
      <c r="L1532" s="210">
        <v>96</v>
      </c>
      <c r="M1532" s="4">
        <v>6</v>
      </c>
      <c r="N1532" s="4" t="str">
        <f>_xlfn.CONCAT("DBX",((L1532-1)*2),".6")</f>
        <v>DBX190.6</v>
      </c>
      <c r="O1532" s="210" t="s">
        <v>782</v>
      </c>
      <c r="P1532" s="210"/>
      <c r="Q1532" s="210"/>
      <c r="R1532" s="210"/>
      <c r="S1532" s="210"/>
      <c r="T1532" s="210"/>
      <c r="U1532" s="210"/>
      <c r="V1532" s="210"/>
      <c r="W1532" s="210"/>
      <c r="X1532" s="210"/>
      <c r="Y1532" s="210"/>
      <c r="Z1532" s="210"/>
      <c r="AA1532" s="210"/>
      <c r="AB1532" s="210"/>
      <c r="AC1532" s="210"/>
      <c r="AD1532" s="210"/>
      <c r="AE1532" s="210"/>
    </row>
    <row r="1533" spans="1:31" x14ac:dyDescent="0.2">
      <c r="A1533" s="209"/>
      <c r="B1533" s="4" t="s">
        <v>34</v>
      </c>
      <c r="C1533" s="4">
        <v>1528</v>
      </c>
      <c r="D1533" s="210"/>
      <c r="E1533" s="210"/>
      <c r="F1533" s="210"/>
      <c r="G1533" s="210"/>
      <c r="H1533" s="210"/>
      <c r="I1533" s="210"/>
      <c r="J1533" s="4">
        <v>40728</v>
      </c>
      <c r="K1533" s="210"/>
      <c r="L1533" s="210">
        <v>96</v>
      </c>
      <c r="M1533" s="4">
        <v>7</v>
      </c>
      <c r="N1533" s="4" t="str">
        <f>_xlfn.CONCAT("DBX",((L1533-1)*2),".7")</f>
        <v>DBX190.7</v>
      </c>
      <c r="O1533" s="210" t="s">
        <v>782</v>
      </c>
      <c r="P1533" s="210"/>
      <c r="Q1533" s="210"/>
      <c r="R1533" s="210"/>
      <c r="S1533" s="210"/>
      <c r="T1533" s="210"/>
      <c r="U1533" s="210"/>
      <c r="V1533" s="210"/>
      <c r="W1533" s="210"/>
      <c r="X1533" s="210"/>
      <c r="Y1533" s="210"/>
      <c r="Z1533" s="210"/>
      <c r="AA1533" s="210"/>
      <c r="AB1533" s="210"/>
      <c r="AC1533" s="210"/>
      <c r="AD1533" s="210"/>
      <c r="AE1533" s="210"/>
    </row>
    <row r="1534" spans="1:31" x14ac:dyDescent="0.2">
      <c r="A1534" s="209"/>
      <c r="B1534" s="4" t="s">
        <v>34</v>
      </c>
      <c r="C1534" s="4">
        <v>1529</v>
      </c>
      <c r="D1534" s="210"/>
      <c r="E1534" s="210"/>
      <c r="F1534" s="210"/>
      <c r="G1534" s="210"/>
      <c r="H1534" s="210"/>
      <c r="I1534" s="210"/>
      <c r="J1534" s="4">
        <v>40729</v>
      </c>
      <c r="K1534" s="210"/>
      <c r="L1534" s="210">
        <v>96</v>
      </c>
      <c r="M1534" s="4">
        <v>8</v>
      </c>
      <c r="N1534" s="4" t="str">
        <f>_xlfn.CONCAT("DBX",((L1534-1)*2)+1,".0")</f>
        <v>DBX191.0</v>
      </c>
      <c r="O1534" s="210" t="s">
        <v>782</v>
      </c>
      <c r="P1534" s="210"/>
      <c r="Q1534" s="210"/>
      <c r="R1534" s="210"/>
      <c r="S1534" s="210"/>
      <c r="T1534" s="210"/>
      <c r="U1534" s="210"/>
      <c r="V1534" s="210"/>
      <c r="W1534" s="210"/>
      <c r="X1534" s="210"/>
      <c r="Y1534" s="210"/>
      <c r="Z1534" s="210"/>
      <c r="AA1534" s="210"/>
      <c r="AB1534" s="210"/>
      <c r="AC1534" s="210"/>
      <c r="AD1534" s="210"/>
      <c r="AE1534" s="210"/>
    </row>
    <row r="1535" spans="1:31" x14ac:dyDescent="0.2">
      <c r="A1535" s="209"/>
      <c r="B1535" s="4" t="s">
        <v>34</v>
      </c>
      <c r="C1535" s="4">
        <v>1530</v>
      </c>
      <c r="D1535" s="210"/>
      <c r="E1535" s="210"/>
      <c r="F1535" s="210"/>
      <c r="G1535" s="210"/>
      <c r="H1535" s="210"/>
      <c r="I1535" s="210"/>
      <c r="J1535" s="4">
        <v>40730</v>
      </c>
      <c r="K1535" s="210"/>
      <c r="L1535" s="210">
        <v>96</v>
      </c>
      <c r="M1535" s="4">
        <v>9</v>
      </c>
      <c r="N1535" s="4" t="str">
        <f>_xlfn.CONCAT("DBX",((L1535-1)*2)+1,".1")</f>
        <v>DBX191.1</v>
      </c>
      <c r="O1535" s="210" t="s">
        <v>782</v>
      </c>
      <c r="P1535" s="210"/>
      <c r="Q1535" s="210"/>
      <c r="R1535" s="210"/>
      <c r="S1535" s="210"/>
      <c r="T1535" s="210"/>
      <c r="U1535" s="210"/>
      <c r="V1535" s="210"/>
      <c r="W1535" s="210"/>
      <c r="X1535" s="210"/>
      <c r="Y1535" s="210"/>
      <c r="Z1535" s="210"/>
      <c r="AA1535" s="210"/>
      <c r="AB1535" s="210"/>
      <c r="AC1535" s="210"/>
      <c r="AD1535" s="210"/>
      <c r="AE1535" s="210"/>
    </row>
    <row r="1536" spans="1:31" x14ac:dyDescent="0.2">
      <c r="A1536" s="209"/>
      <c r="B1536" s="4" t="s">
        <v>34</v>
      </c>
      <c r="C1536" s="4">
        <v>1531</v>
      </c>
      <c r="D1536" s="210"/>
      <c r="E1536" s="210"/>
      <c r="F1536" s="210"/>
      <c r="G1536" s="210"/>
      <c r="H1536" s="210"/>
      <c r="I1536" s="210"/>
      <c r="J1536" s="4">
        <v>40731</v>
      </c>
      <c r="K1536" s="210"/>
      <c r="L1536" s="210">
        <v>96</v>
      </c>
      <c r="M1536" s="4">
        <v>10</v>
      </c>
      <c r="N1536" s="4" t="str">
        <f>_xlfn.CONCAT("DBX",((L1536-1)*2)+1,".2")</f>
        <v>DBX191.2</v>
      </c>
      <c r="O1536" s="210" t="s">
        <v>782</v>
      </c>
      <c r="P1536" s="210"/>
      <c r="Q1536" s="210"/>
      <c r="R1536" s="210"/>
      <c r="S1536" s="210"/>
      <c r="T1536" s="210"/>
      <c r="U1536" s="210"/>
      <c r="V1536" s="210"/>
      <c r="W1536" s="210"/>
      <c r="X1536" s="210"/>
      <c r="Y1536" s="210"/>
      <c r="Z1536" s="210"/>
      <c r="AA1536" s="210"/>
      <c r="AB1536" s="210"/>
      <c r="AC1536" s="210"/>
      <c r="AD1536" s="210"/>
      <c r="AE1536" s="210"/>
    </row>
    <row r="1537" spans="1:31" x14ac:dyDescent="0.2">
      <c r="A1537" s="209"/>
      <c r="B1537" s="4" t="s">
        <v>34</v>
      </c>
      <c r="C1537" s="4">
        <v>1532</v>
      </c>
      <c r="D1537" s="210"/>
      <c r="E1537" s="210"/>
      <c r="F1537" s="210"/>
      <c r="G1537" s="210"/>
      <c r="H1537" s="210"/>
      <c r="I1537" s="210"/>
      <c r="J1537" s="4">
        <v>40732</v>
      </c>
      <c r="K1537" s="210"/>
      <c r="L1537" s="210">
        <v>96</v>
      </c>
      <c r="M1537" s="4">
        <v>11</v>
      </c>
      <c r="N1537" s="4" t="str">
        <f>_xlfn.CONCAT("DBX",((L1537-1)*2)+1,".3")</f>
        <v>DBX191.3</v>
      </c>
      <c r="O1537" s="210" t="s">
        <v>782</v>
      </c>
      <c r="P1537" s="210"/>
      <c r="Q1537" s="210"/>
      <c r="R1537" s="210"/>
      <c r="S1537" s="210"/>
      <c r="T1537" s="210"/>
      <c r="U1537" s="210"/>
      <c r="V1537" s="210"/>
      <c r="W1537" s="210"/>
      <c r="X1537" s="210"/>
      <c r="Y1537" s="210"/>
      <c r="Z1537" s="210"/>
      <c r="AA1537" s="210"/>
      <c r="AB1537" s="210"/>
      <c r="AC1537" s="210"/>
      <c r="AD1537" s="210"/>
      <c r="AE1537" s="210"/>
    </row>
    <row r="1538" spans="1:31" x14ac:dyDescent="0.2">
      <c r="A1538" s="209"/>
      <c r="B1538" s="4" t="s">
        <v>34</v>
      </c>
      <c r="C1538" s="4">
        <v>1533</v>
      </c>
      <c r="D1538" s="210"/>
      <c r="E1538" s="210"/>
      <c r="F1538" s="210"/>
      <c r="G1538" s="210"/>
      <c r="H1538" s="210"/>
      <c r="I1538" s="210"/>
      <c r="J1538" s="4">
        <v>40733</v>
      </c>
      <c r="K1538" s="210"/>
      <c r="L1538" s="210">
        <v>96</v>
      </c>
      <c r="M1538" s="4">
        <v>12</v>
      </c>
      <c r="N1538" s="4" t="str">
        <f>_xlfn.CONCAT("DBX",((L1538-1)*2)+1,".4")</f>
        <v>DBX191.4</v>
      </c>
      <c r="O1538" s="210" t="s">
        <v>782</v>
      </c>
      <c r="P1538" s="210"/>
      <c r="Q1538" s="210"/>
      <c r="R1538" s="210"/>
      <c r="S1538" s="210"/>
      <c r="T1538" s="210"/>
      <c r="U1538" s="210"/>
      <c r="V1538" s="210"/>
      <c r="W1538" s="210"/>
      <c r="X1538" s="210"/>
      <c r="Y1538" s="210"/>
      <c r="Z1538" s="210"/>
      <c r="AA1538" s="210"/>
      <c r="AB1538" s="210"/>
      <c r="AC1538" s="210"/>
      <c r="AD1538" s="210"/>
      <c r="AE1538" s="210"/>
    </row>
    <row r="1539" spans="1:31" x14ac:dyDescent="0.2">
      <c r="A1539" s="209"/>
      <c r="B1539" s="4" t="s">
        <v>34</v>
      </c>
      <c r="C1539" s="4">
        <v>1534</v>
      </c>
      <c r="D1539" s="210"/>
      <c r="E1539" s="210"/>
      <c r="F1539" s="210"/>
      <c r="G1539" s="210"/>
      <c r="H1539" s="210"/>
      <c r="I1539" s="210"/>
      <c r="J1539" s="4">
        <v>40734</v>
      </c>
      <c r="K1539" s="210"/>
      <c r="L1539" s="210">
        <v>96</v>
      </c>
      <c r="M1539" s="4">
        <v>13</v>
      </c>
      <c r="N1539" s="4" t="str">
        <f>_xlfn.CONCAT("DBX",((L1539-1)*2)+1,".5")</f>
        <v>DBX191.5</v>
      </c>
      <c r="O1539" s="210" t="s">
        <v>782</v>
      </c>
      <c r="P1539" s="210"/>
      <c r="Q1539" s="210"/>
      <c r="R1539" s="210"/>
      <c r="S1539" s="210"/>
      <c r="T1539" s="210"/>
      <c r="U1539" s="210"/>
      <c r="V1539" s="210"/>
      <c r="W1539" s="210"/>
      <c r="X1539" s="210"/>
      <c r="Y1539" s="210"/>
      <c r="Z1539" s="210"/>
      <c r="AA1539" s="210"/>
      <c r="AB1539" s="210"/>
      <c r="AC1539" s="210"/>
      <c r="AD1539" s="210"/>
      <c r="AE1539" s="210"/>
    </row>
    <row r="1540" spans="1:31" x14ac:dyDescent="0.2">
      <c r="A1540" s="209"/>
      <c r="B1540" s="4" t="s">
        <v>34</v>
      </c>
      <c r="C1540" s="4">
        <v>1535</v>
      </c>
      <c r="D1540" s="210"/>
      <c r="E1540" s="210"/>
      <c r="F1540" s="210"/>
      <c r="G1540" s="210"/>
      <c r="H1540" s="210"/>
      <c r="I1540" s="210"/>
      <c r="J1540" s="4">
        <v>40735</v>
      </c>
      <c r="K1540" s="210"/>
      <c r="L1540" s="210">
        <v>96</v>
      </c>
      <c r="M1540" s="4">
        <v>14</v>
      </c>
      <c r="N1540" s="4" t="str">
        <f>_xlfn.CONCAT("DBX",((L1540-1)*2)+1,".6")</f>
        <v>DBX191.6</v>
      </c>
      <c r="O1540" s="210" t="s">
        <v>782</v>
      </c>
      <c r="P1540" s="210"/>
      <c r="Q1540" s="210"/>
      <c r="R1540" s="210"/>
      <c r="S1540" s="210"/>
      <c r="T1540" s="210"/>
      <c r="U1540" s="210"/>
      <c r="V1540" s="210"/>
      <c r="W1540" s="210"/>
      <c r="X1540" s="210"/>
      <c r="Y1540" s="210"/>
      <c r="Z1540" s="210"/>
      <c r="AA1540" s="210"/>
      <c r="AB1540" s="210"/>
      <c r="AC1540" s="210"/>
      <c r="AD1540" s="210"/>
      <c r="AE1540" s="210"/>
    </row>
    <row r="1541" spans="1:31" x14ac:dyDescent="0.2">
      <c r="A1541" s="209"/>
      <c r="B1541" s="4" t="s">
        <v>34</v>
      </c>
      <c r="C1541" s="4">
        <v>1536</v>
      </c>
      <c r="D1541" s="210"/>
      <c r="E1541" s="210"/>
      <c r="F1541" s="210"/>
      <c r="G1541" s="210"/>
      <c r="H1541" s="210"/>
      <c r="I1541" s="210"/>
      <c r="J1541" s="4">
        <v>40736</v>
      </c>
      <c r="K1541" s="210"/>
      <c r="L1541" s="210">
        <v>96</v>
      </c>
      <c r="M1541" s="4">
        <v>15</v>
      </c>
      <c r="N1541" s="4" t="str">
        <f>_xlfn.CONCAT("DBX",((L1541-1)*2)+1,".7")</f>
        <v>DBX191.7</v>
      </c>
      <c r="O1541" s="210" t="s">
        <v>782</v>
      </c>
      <c r="P1541" s="210"/>
      <c r="Q1541" s="210"/>
      <c r="R1541" s="210"/>
      <c r="S1541" s="210"/>
      <c r="T1541" s="210"/>
      <c r="U1541" s="210"/>
      <c r="V1541" s="210"/>
      <c r="W1541" s="210"/>
      <c r="X1541" s="210"/>
      <c r="Y1541" s="210"/>
      <c r="Z1541" s="210"/>
      <c r="AA1541" s="210"/>
      <c r="AB1541" s="210"/>
      <c r="AC1541" s="210"/>
      <c r="AD1541" s="210"/>
      <c r="AE1541" s="210"/>
    </row>
    <row r="1542" spans="1:31" x14ac:dyDescent="0.2">
      <c r="A1542" s="209"/>
      <c r="B1542" s="4" t="s">
        <v>34</v>
      </c>
      <c r="C1542" s="4">
        <v>1537</v>
      </c>
      <c r="D1542" s="210"/>
      <c r="E1542" s="210"/>
      <c r="F1542" s="210"/>
      <c r="G1542" s="210"/>
      <c r="H1542" s="210"/>
      <c r="I1542" s="210"/>
      <c r="J1542" s="4">
        <v>40737</v>
      </c>
      <c r="K1542" s="210"/>
      <c r="L1542" s="210">
        <v>97</v>
      </c>
      <c r="M1542" s="4">
        <f>M1526</f>
        <v>0</v>
      </c>
      <c r="N1542" s="4" t="str">
        <f>_xlfn.CONCAT("DBX",((L1542-1)*2),".0")</f>
        <v>DBX192.0</v>
      </c>
      <c r="O1542" s="210" t="s">
        <v>782</v>
      </c>
      <c r="P1542" s="210"/>
      <c r="Q1542" s="210"/>
      <c r="R1542" s="210"/>
      <c r="S1542" s="210"/>
      <c r="T1542" s="210"/>
      <c r="U1542" s="210"/>
      <c r="V1542" s="210"/>
      <c r="W1542" s="210"/>
      <c r="X1542" s="210"/>
      <c r="Y1542" s="210"/>
      <c r="Z1542" s="210"/>
      <c r="AA1542" s="210"/>
      <c r="AB1542" s="210"/>
      <c r="AC1542" s="210"/>
      <c r="AD1542" s="210"/>
      <c r="AE1542" s="210"/>
    </row>
    <row r="1543" spans="1:31" x14ac:dyDescent="0.2">
      <c r="A1543" s="209"/>
      <c r="B1543" s="4" t="s">
        <v>34</v>
      </c>
      <c r="C1543" s="4">
        <v>1538</v>
      </c>
      <c r="D1543" s="210"/>
      <c r="E1543" s="210"/>
      <c r="F1543" s="210"/>
      <c r="G1543" s="210"/>
      <c r="H1543" s="210"/>
      <c r="I1543" s="210"/>
      <c r="J1543" s="4">
        <v>40738</v>
      </c>
      <c r="K1543" s="210"/>
      <c r="L1543" s="210">
        <v>97</v>
      </c>
      <c r="M1543" s="4">
        <f t="shared" si="29"/>
        <v>1</v>
      </c>
      <c r="N1543" s="4" t="str">
        <f>_xlfn.CONCAT("DBX",((L1543-1)*2),".1")</f>
        <v>DBX192.1</v>
      </c>
      <c r="O1543" s="210" t="s">
        <v>782</v>
      </c>
      <c r="P1543" s="210"/>
      <c r="Q1543" s="210"/>
      <c r="R1543" s="210"/>
      <c r="S1543" s="210"/>
      <c r="T1543" s="210"/>
      <c r="U1543" s="210"/>
      <c r="V1543" s="210"/>
      <c r="W1543" s="210"/>
      <c r="X1543" s="210"/>
      <c r="Y1543" s="210"/>
      <c r="Z1543" s="210"/>
      <c r="AA1543" s="210"/>
      <c r="AB1543" s="210"/>
      <c r="AC1543" s="210"/>
      <c r="AD1543" s="210"/>
      <c r="AE1543" s="210"/>
    </row>
    <row r="1544" spans="1:31" x14ac:dyDescent="0.2">
      <c r="A1544" s="209"/>
      <c r="B1544" s="4" t="s">
        <v>34</v>
      </c>
      <c r="C1544" s="4">
        <v>1539</v>
      </c>
      <c r="D1544" s="210"/>
      <c r="E1544" s="210"/>
      <c r="F1544" s="210"/>
      <c r="G1544" s="210"/>
      <c r="H1544" s="210"/>
      <c r="I1544" s="210"/>
      <c r="J1544" s="4">
        <v>40739</v>
      </c>
      <c r="K1544" s="210"/>
      <c r="L1544" s="210">
        <v>97</v>
      </c>
      <c r="M1544" s="4">
        <f t="shared" si="29"/>
        <v>2</v>
      </c>
      <c r="N1544" s="4" t="str">
        <f>_xlfn.CONCAT("DBX",((L1544-1)*2),".2")</f>
        <v>DBX192.2</v>
      </c>
      <c r="O1544" s="210" t="s">
        <v>782</v>
      </c>
      <c r="P1544" s="210"/>
      <c r="Q1544" s="210"/>
      <c r="R1544" s="210"/>
      <c r="S1544" s="210"/>
      <c r="T1544" s="210"/>
      <c r="U1544" s="210"/>
      <c r="V1544" s="210"/>
      <c r="W1544" s="210"/>
      <c r="X1544" s="210"/>
      <c r="Y1544" s="210"/>
      <c r="Z1544" s="210"/>
      <c r="AA1544" s="210"/>
      <c r="AB1544" s="210"/>
      <c r="AC1544" s="210"/>
      <c r="AD1544" s="210"/>
      <c r="AE1544" s="210"/>
    </row>
    <row r="1545" spans="1:31" x14ac:dyDescent="0.2">
      <c r="A1545" s="209"/>
      <c r="B1545" s="4" t="s">
        <v>34</v>
      </c>
      <c r="C1545" s="4">
        <v>1540</v>
      </c>
      <c r="D1545" s="210"/>
      <c r="E1545" s="210"/>
      <c r="F1545" s="210"/>
      <c r="G1545" s="210"/>
      <c r="H1545" s="210"/>
      <c r="I1545" s="210"/>
      <c r="J1545" s="4">
        <v>40740</v>
      </c>
      <c r="K1545" s="210"/>
      <c r="L1545" s="210">
        <v>97</v>
      </c>
      <c r="M1545" s="4">
        <f t="shared" si="29"/>
        <v>3</v>
      </c>
      <c r="N1545" s="4" t="str">
        <f>_xlfn.CONCAT("DBX",((L1545-1)*2),".3")</f>
        <v>DBX192.3</v>
      </c>
      <c r="O1545" s="210" t="s">
        <v>782</v>
      </c>
      <c r="P1545" s="210"/>
      <c r="Q1545" s="210"/>
      <c r="R1545" s="210"/>
      <c r="S1545" s="210"/>
      <c r="T1545" s="210"/>
      <c r="U1545" s="210"/>
      <c r="V1545" s="210"/>
      <c r="W1545" s="210"/>
      <c r="X1545" s="210"/>
      <c r="Y1545" s="210"/>
      <c r="Z1545" s="210"/>
      <c r="AA1545" s="210"/>
      <c r="AB1545" s="210"/>
      <c r="AC1545" s="210"/>
      <c r="AD1545" s="210"/>
      <c r="AE1545" s="210"/>
    </row>
    <row r="1546" spans="1:31" x14ac:dyDescent="0.2">
      <c r="A1546" s="209"/>
      <c r="B1546" s="4" t="s">
        <v>34</v>
      </c>
      <c r="C1546" s="4">
        <v>1541</v>
      </c>
      <c r="D1546" s="210"/>
      <c r="E1546" s="210"/>
      <c r="F1546" s="210"/>
      <c r="G1546" s="210"/>
      <c r="H1546" s="210"/>
      <c r="I1546" s="210"/>
      <c r="J1546" s="4">
        <v>40741</v>
      </c>
      <c r="K1546" s="210"/>
      <c r="L1546" s="210">
        <v>97</v>
      </c>
      <c r="M1546" s="4">
        <f t="shared" si="29"/>
        <v>4</v>
      </c>
      <c r="N1546" s="4" t="str">
        <f>_xlfn.CONCAT("DBX",((L1546-1)*2),".4")</f>
        <v>DBX192.4</v>
      </c>
      <c r="O1546" s="210" t="s">
        <v>782</v>
      </c>
      <c r="P1546" s="210"/>
      <c r="Q1546" s="210"/>
      <c r="R1546" s="210"/>
      <c r="S1546" s="210"/>
      <c r="T1546" s="210"/>
      <c r="U1546" s="210"/>
      <c r="V1546" s="210"/>
      <c r="W1546" s="210"/>
      <c r="X1546" s="210"/>
      <c r="Y1546" s="210"/>
      <c r="Z1546" s="210"/>
      <c r="AA1546" s="210"/>
      <c r="AB1546" s="210"/>
      <c r="AC1546" s="210"/>
      <c r="AD1546" s="210"/>
      <c r="AE1546" s="210"/>
    </row>
    <row r="1547" spans="1:31" x14ac:dyDescent="0.2">
      <c r="A1547" s="209"/>
      <c r="B1547" s="4" t="s">
        <v>34</v>
      </c>
      <c r="C1547" s="4">
        <v>1542</v>
      </c>
      <c r="D1547" s="210"/>
      <c r="E1547" s="210"/>
      <c r="F1547" s="210"/>
      <c r="G1547" s="210"/>
      <c r="H1547" s="210"/>
      <c r="I1547" s="210"/>
      <c r="J1547" s="4">
        <v>40742</v>
      </c>
      <c r="K1547" s="210"/>
      <c r="L1547" s="210">
        <v>97</v>
      </c>
      <c r="M1547" s="4">
        <f t="shared" si="29"/>
        <v>5</v>
      </c>
      <c r="N1547" s="4" t="str">
        <f>_xlfn.CONCAT("DBX",((L1547-1)*2),".5")</f>
        <v>DBX192.5</v>
      </c>
      <c r="O1547" s="210" t="s">
        <v>782</v>
      </c>
      <c r="P1547" s="210"/>
      <c r="Q1547" s="210"/>
      <c r="R1547" s="210"/>
      <c r="S1547" s="210"/>
      <c r="T1547" s="210"/>
      <c r="U1547" s="210"/>
      <c r="V1547" s="210"/>
      <c r="W1547" s="210"/>
      <c r="X1547" s="210"/>
      <c r="Y1547" s="210"/>
      <c r="Z1547" s="210"/>
      <c r="AA1547" s="210"/>
      <c r="AB1547" s="210"/>
      <c r="AC1547" s="210"/>
      <c r="AD1547" s="210"/>
      <c r="AE1547" s="210"/>
    </row>
    <row r="1548" spans="1:31" x14ac:dyDescent="0.2">
      <c r="A1548" s="209"/>
      <c r="B1548" s="4" t="s">
        <v>34</v>
      </c>
      <c r="C1548" s="4">
        <v>1543</v>
      </c>
      <c r="D1548" s="210"/>
      <c r="E1548" s="210"/>
      <c r="F1548" s="210"/>
      <c r="G1548" s="210"/>
      <c r="H1548" s="210"/>
      <c r="I1548" s="210"/>
      <c r="J1548" s="4">
        <v>40743</v>
      </c>
      <c r="K1548" s="210"/>
      <c r="L1548" s="210">
        <v>97</v>
      </c>
      <c r="M1548" s="4">
        <f t="shared" si="29"/>
        <v>6</v>
      </c>
      <c r="N1548" s="4" t="str">
        <f>_xlfn.CONCAT("DBX",((L1548-1)*2),".6")</f>
        <v>DBX192.6</v>
      </c>
      <c r="O1548" s="210" t="s">
        <v>782</v>
      </c>
      <c r="P1548" s="210"/>
      <c r="Q1548" s="210"/>
      <c r="R1548" s="210"/>
      <c r="S1548" s="210"/>
      <c r="T1548" s="210"/>
      <c r="U1548" s="210"/>
      <c r="V1548" s="210"/>
      <c r="W1548" s="210"/>
      <c r="X1548" s="210"/>
      <c r="Y1548" s="210"/>
      <c r="Z1548" s="210"/>
      <c r="AA1548" s="210"/>
      <c r="AB1548" s="210"/>
      <c r="AC1548" s="210"/>
      <c r="AD1548" s="210"/>
      <c r="AE1548" s="210"/>
    </row>
    <row r="1549" spans="1:31" x14ac:dyDescent="0.2">
      <c r="A1549" s="209"/>
      <c r="B1549" s="4" t="s">
        <v>34</v>
      </c>
      <c r="C1549" s="4">
        <v>1544</v>
      </c>
      <c r="D1549" s="210"/>
      <c r="E1549" s="210"/>
      <c r="F1549" s="210"/>
      <c r="G1549" s="210"/>
      <c r="H1549" s="210"/>
      <c r="I1549" s="210"/>
      <c r="J1549" s="4">
        <v>40744</v>
      </c>
      <c r="K1549" s="210"/>
      <c r="L1549" s="210">
        <v>97</v>
      </c>
      <c r="M1549" s="4">
        <f t="shared" si="29"/>
        <v>7</v>
      </c>
      <c r="N1549" s="4" t="str">
        <f>_xlfn.CONCAT("DBX",((L1549-1)*2),".7")</f>
        <v>DBX192.7</v>
      </c>
      <c r="O1549" s="210" t="s">
        <v>782</v>
      </c>
      <c r="P1549" s="210"/>
      <c r="Q1549" s="210"/>
      <c r="R1549" s="210"/>
      <c r="S1549" s="210"/>
      <c r="T1549" s="210"/>
      <c r="U1549" s="210"/>
      <c r="V1549" s="210"/>
      <c r="W1549" s="210"/>
      <c r="X1549" s="210"/>
      <c r="Y1549" s="210"/>
      <c r="Z1549" s="210"/>
      <c r="AA1549" s="210"/>
      <c r="AB1549" s="210"/>
      <c r="AC1549" s="210"/>
      <c r="AD1549" s="210"/>
      <c r="AE1549" s="210"/>
    </row>
    <row r="1550" spans="1:31" x14ac:dyDescent="0.2">
      <c r="A1550" s="209"/>
      <c r="B1550" s="4" t="s">
        <v>34</v>
      </c>
      <c r="C1550" s="4">
        <v>1545</v>
      </c>
      <c r="D1550" s="210"/>
      <c r="E1550" s="210"/>
      <c r="F1550" s="210"/>
      <c r="G1550" s="210"/>
      <c r="H1550" s="210"/>
      <c r="I1550" s="210"/>
      <c r="J1550" s="4">
        <v>40745</v>
      </c>
      <c r="K1550" s="210"/>
      <c r="L1550" s="210">
        <v>97</v>
      </c>
      <c r="M1550" s="4">
        <f t="shared" si="29"/>
        <v>8</v>
      </c>
      <c r="N1550" s="4" t="str">
        <f>_xlfn.CONCAT("DBX",((L1550-1)*2)+1,".0")</f>
        <v>DBX193.0</v>
      </c>
      <c r="O1550" s="210" t="s">
        <v>782</v>
      </c>
      <c r="P1550" s="210"/>
      <c r="Q1550" s="210"/>
      <c r="R1550" s="210"/>
      <c r="S1550" s="210"/>
      <c r="T1550" s="210"/>
      <c r="U1550" s="210"/>
      <c r="V1550" s="210"/>
      <c r="W1550" s="210"/>
      <c r="X1550" s="210"/>
      <c r="Y1550" s="210"/>
      <c r="Z1550" s="210"/>
      <c r="AA1550" s="210"/>
      <c r="AB1550" s="210"/>
      <c r="AC1550" s="210"/>
      <c r="AD1550" s="210"/>
      <c r="AE1550" s="210"/>
    </row>
    <row r="1551" spans="1:31" x14ac:dyDescent="0.2">
      <c r="A1551" s="209"/>
      <c r="B1551" s="4" t="s">
        <v>34</v>
      </c>
      <c r="C1551" s="4">
        <v>1546</v>
      </c>
      <c r="D1551" s="210"/>
      <c r="E1551" s="210"/>
      <c r="F1551" s="210"/>
      <c r="G1551" s="210"/>
      <c r="H1551" s="210"/>
      <c r="I1551" s="210"/>
      <c r="J1551" s="4">
        <v>40746</v>
      </c>
      <c r="K1551" s="210"/>
      <c r="L1551" s="210">
        <v>97</v>
      </c>
      <c r="M1551" s="4">
        <f t="shared" si="29"/>
        <v>9</v>
      </c>
      <c r="N1551" s="4" t="str">
        <f>_xlfn.CONCAT("DBX",((L1551-1)*2)+1,".1")</f>
        <v>DBX193.1</v>
      </c>
      <c r="O1551" s="210" t="s">
        <v>782</v>
      </c>
      <c r="P1551" s="210"/>
      <c r="Q1551" s="210"/>
      <c r="R1551" s="210"/>
      <c r="S1551" s="210"/>
      <c r="T1551" s="210"/>
      <c r="U1551" s="210"/>
      <c r="V1551" s="210"/>
      <c r="W1551" s="210"/>
      <c r="X1551" s="210"/>
      <c r="Y1551" s="210"/>
      <c r="Z1551" s="210"/>
      <c r="AA1551" s="210"/>
      <c r="AB1551" s="210"/>
      <c r="AC1551" s="210"/>
      <c r="AD1551" s="210"/>
      <c r="AE1551" s="210"/>
    </row>
    <row r="1552" spans="1:31" x14ac:dyDescent="0.2">
      <c r="A1552" s="209"/>
      <c r="B1552" s="4" t="s">
        <v>34</v>
      </c>
      <c r="C1552" s="4">
        <v>1547</v>
      </c>
      <c r="D1552" s="210"/>
      <c r="E1552" s="210"/>
      <c r="F1552" s="210"/>
      <c r="G1552" s="210"/>
      <c r="H1552" s="210"/>
      <c r="I1552" s="210"/>
      <c r="J1552" s="4">
        <v>40747</v>
      </c>
      <c r="K1552" s="210"/>
      <c r="L1552" s="210">
        <v>97</v>
      </c>
      <c r="M1552" s="4">
        <f t="shared" si="29"/>
        <v>10</v>
      </c>
      <c r="N1552" s="4" t="str">
        <f>_xlfn.CONCAT("DBX",((L1552-1)*2)+1,".2")</f>
        <v>DBX193.2</v>
      </c>
      <c r="O1552" s="210" t="s">
        <v>782</v>
      </c>
      <c r="P1552" s="210"/>
      <c r="Q1552" s="210"/>
      <c r="R1552" s="210"/>
      <c r="S1552" s="210"/>
      <c r="T1552" s="210"/>
      <c r="U1552" s="210"/>
      <c r="V1552" s="210"/>
      <c r="W1552" s="210"/>
      <c r="X1552" s="210"/>
      <c r="Y1552" s="210"/>
      <c r="Z1552" s="210"/>
      <c r="AA1552" s="210"/>
      <c r="AB1552" s="210"/>
      <c r="AC1552" s="210"/>
      <c r="AD1552" s="210"/>
      <c r="AE1552" s="210"/>
    </row>
    <row r="1553" spans="1:31" x14ac:dyDescent="0.2">
      <c r="A1553" s="209"/>
      <c r="B1553" s="4" t="s">
        <v>34</v>
      </c>
      <c r="C1553" s="4">
        <v>1548</v>
      </c>
      <c r="D1553" s="210"/>
      <c r="E1553" s="210"/>
      <c r="F1553" s="210"/>
      <c r="G1553" s="210"/>
      <c r="H1553" s="210"/>
      <c r="I1553" s="210"/>
      <c r="J1553" s="4">
        <v>40748</v>
      </c>
      <c r="K1553" s="210"/>
      <c r="L1553" s="210">
        <v>97</v>
      </c>
      <c r="M1553" s="4">
        <f t="shared" si="29"/>
        <v>11</v>
      </c>
      <c r="N1553" s="4" t="str">
        <f>_xlfn.CONCAT("DBX",((L1553-1)*2)+1,".3")</f>
        <v>DBX193.3</v>
      </c>
      <c r="O1553" s="210" t="s">
        <v>782</v>
      </c>
      <c r="P1553" s="210"/>
      <c r="Q1553" s="210"/>
      <c r="R1553" s="210"/>
      <c r="S1553" s="210"/>
      <c r="T1553" s="210"/>
      <c r="U1553" s="210"/>
      <c r="V1553" s="210"/>
      <c r="W1553" s="210"/>
      <c r="X1553" s="210"/>
      <c r="Y1553" s="210"/>
      <c r="Z1553" s="210"/>
      <c r="AA1553" s="210"/>
      <c r="AB1553" s="210"/>
      <c r="AC1553" s="210"/>
      <c r="AD1553" s="210"/>
      <c r="AE1553" s="210"/>
    </row>
    <row r="1554" spans="1:31" x14ac:dyDescent="0.2">
      <c r="A1554" s="209"/>
      <c r="B1554" s="4" t="s">
        <v>34</v>
      </c>
      <c r="C1554" s="4">
        <v>1549</v>
      </c>
      <c r="D1554" s="210"/>
      <c r="E1554" s="210"/>
      <c r="F1554" s="210"/>
      <c r="G1554" s="210"/>
      <c r="H1554" s="210"/>
      <c r="I1554" s="210"/>
      <c r="J1554" s="4">
        <v>40749</v>
      </c>
      <c r="K1554" s="210"/>
      <c r="L1554" s="210">
        <v>97</v>
      </c>
      <c r="M1554" s="4">
        <f t="shared" si="29"/>
        <v>12</v>
      </c>
      <c r="N1554" s="4" t="str">
        <f>_xlfn.CONCAT("DBX",((L1554-1)*2)+1,".4")</f>
        <v>DBX193.4</v>
      </c>
      <c r="O1554" s="210" t="s">
        <v>782</v>
      </c>
      <c r="P1554" s="210"/>
      <c r="Q1554" s="210"/>
      <c r="R1554" s="210"/>
      <c r="S1554" s="210"/>
      <c r="T1554" s="210"/>
      <c r="U1554" s="210"/>
      <c r="V1554" s="210"/>
      <c r="W1554" s="210"/>
      <c r="X1554" s="210"/>
      <c r="Y1554" s="210"/>
      <c r="Z1554" s="210"/>
      <c r="AA1554" s="210"/>
      <c r="AB1554" s="210"/>
      <c r="AC1554" s="210"/>
      <c r="AD1554" s="210"/>
      <c r="AE1554" s="210"/>
    </row>
    <row r="1555" spans="1:31" x14ac:dyDescent="0.2">
      <c r="A1555" s="209"/>
      <c r="B1555" s="4" t="s">
        <v>34</v>
      </c>
      <c r="C1555" s="4">
        <v>1550</v>
      </c>
      <c r="D1555" s="210"/>
      <c r="E1555" s="210"/>
      <c r="F1555" s="210"/>
      <c r="G1555" s="210"/>
      <c r="H1555" s="210"/>
      <c r="I1555" s="210"/>
      <c r="J1555" s="4">
        <v>40750</v>
      </c>
      <c r="K1555" s="210"/>
      <c r="L1555" s="210">
        <v>97</v>
      </c>
      <c r="M1555" s="4">
        <f t="shared" si="29"/>
        <v>13</v>
      </c>
      <c r="N1555" s="4" t="str">
        <f>_xlfn.CONCAT("DBX",((L1555-1)*2)+1,".5")</f>
        <v>DBX193.5</v>
      </c>
      <c r="O1555" s="210" t="s">
        <v>782</v>
      </c>
      <c r="P1555" s="210"/>
      <c r="Q1555" s="210"/>
      <c r="R1555" s="210"/>
      <c r="S1555" s="210"/>
      <c r="T1555" s="210"/>
      <c r="U1555" s="210"/>
      <c r="V1555" s="210"/>
      <c r="W1555" s="210"/>
      <c r="X1555" s="210"/>
      <c r="Y1555" s="210"/>
      <c r="Z1555" s="210"/>
      <c r="AA1555" s="210"/>
      <c r="AB1555" s="210"/>
      <c r="AC1555" s="210"/>
      <c r="AD1555" s="210"/>
      <c r="AE1555" s="210"/>
    </row>
    <row r="1556" spans="1:31" x14ac:dyDescent="0.2">
      <c r="A1556" s="209"/>
      <c r="B1556" s="4" t="s">
        <v>34</v>
      </c>
      <c r="C1556" s="4">
        <v>1551</v>
      </c>
      <c r="D1556" s="210"/>
      <c r="E1556" s="210"/>
      <c r="F1556" s="210"/>
      <c r="G1556" s="210"/>
      <c r="H1556" s="210"/>
      <c r="I1556" s="210"/>
      <c r="J1556" s="4">
        <v>40751</v>
      </c>
      <c r="K1556" s="210"/>
      <c r="L1556" s="210">
        <v>97</v>
      </c>
      <c r="M1556" s="4">
        <f t="shared" si="29"/>
        <v>14</v>
      </c>
      <c r="N1556" s="4" t="str">
        <f>_xlfn.CONCAT("DBX",((L1556-1)*2)+1,".6")</f>
        <v>DBX193.6</v>
      </c>
      <c r="O1556" s="210" t="s">
        <v>782</v>
      </c>
      <c r="P1556" s="210"/>
      <c r="Q1556" s="210"/>
      <c r="R1556" s="210"/>
      <c r="S1556" s="210"/>
      <c r="T1556" s="210"/>
      <c r="U1556" s="210"/>
      <c r="V1556" s="210"/>
      <c r="W1556" s="210"/>
      <c r="X1556" s="210"/>
      <c r="Y1556" s="210"/>
      <c r="Z1556" s="210"/>
      <c r="AA1556" s="210"/>
      <c r="AB1556" s="210"/>
      <c r="AC1556" s="210"/>
      <c r="AD1556" s="210"/>
      <c r="AE1556" s="210"/>
    </row>
    <row r="1557" spans="1:31" x14ac:dyDescent="0.2">
      <c r="A1557" s="209"/>
      <c r="B1557" s="4" t="s">
        <v>34</v>
      </c>
      <c r="C1557" s="4">
        <v>1552</v>
      </c>
      <c r="D1557" s="210"/>
      <c r="E1557" s="210"/>
      <c r="F1557" s="210"/>
      <c r="G1557" s="210"/>
      <c r="H1557" s="210"/>
      <c r="I1557" s="210"/>
      <c r="J1557" s="4">
        <v>40752</v>
      </c>
      <c r="K1557" s="210"/>
      <c r="L1557" s="210">
        <v>97</v>
      </c>
      <c r="M1557" s="4">
        <f t="shared" si="29"/>
        <v>15</v>
      </c>
      <c r="N1557" s="4" t="str">
        <f>_xlfn.CONCAT("DBX",((L1557-1)*2)+1,".7")</f>
        <v>DBX193.7</v>
      </c>
      <c r="O1557" s="210" t="s">
        <v>782</v>
      </c>
      <c r="P1557" s="210"/>
      <c r="Q1557" s="210"/>
      <c r="R1557" s="210"/>
      <c r="S1557" s="210"/>
      <c r="T1557" s="210"/>
      <c r="U1557" s="210"/>
      <c r="V1557" s="210"/>
      <c r="W1557" s="210"/>
      <c r="X1557" s="210"/>
      <c r="Y1557" s="210"/>
      <c r="Z1557" s="210"/>
      <c r="AA1557" s="210"/>
      <c r="AB1557" s="210"/>
      <c r="AC1557" s="210"/>
      <c r="AD1557" s="210"/>
      <c r="AE1557" s="210"/>
    </row>
    <row r="1558" spans="1:31" x14ac:dyDescent="0.2">
      <c r="A1558" s="209"/>
      <c r="B1558" s="4" t="s">
        <v>34</v>
      </c>
      <c r="C1558" s="4">
        <v>1553</v>
      </c>
      <c r="D1558" s="210"/>
      <c r="E1558" s="210"/>
      <c r="F1558" s="210"/>
      <c r="G1558" s="210"/>
      <c r="H1558" s="210"/>
      <c r="I1558" s="210"/>
      <c r="J1558" s="4">
        <v>40753</v>
      </c>
      <c r="K1558" s="210"/>
      <c r="L1558" s="210">
        <v>98</v>
      </c>
      <c r="M1558" s="4">
        <f t="shared" si="29"/>
        <v>0</v>
      </c>
      <c r="N1558" s="4" t="str">
        <f>_xlfn.CONCAT("DBX",((L1558-1)*2),".0")</f>
        <v>DBX194.0</v>
      </c>
      <c r="O1558" s="210" t="s">
        <v>782</v>
      </c>
      <c r="P1558" s="210"/>
      <c r="Q1558" s="210"/>
      <c r="R1558" s="210"/>
      <c r="S1558" s="210"/>
      <c r="T1558" s="210"/>
      <c r="U1558" s="210"/>
      <c r="V1558" s="210"/>
      <c r="W1558" s="210"/>
      <c r="X1558" s="210"/>
      <c r="Y1558" s="210"/>
      <c r="Z1558" s="210"/>
      <c r="AA1558" s="210"/>
      <c r="AB1558" s="210"/>
      <c r="AC1558" s="210"/>
      <c r="AD1558" s="210"/>
      <c r="AE1558" s="210"/>
    </row>
    <row r="1559" spans="1:31" x14ac:dyDescent="0.2">
      <c r="A1559" s="209"/>
      <c r="B1559" s="4" t="s">
        <v>34</v>
      </c>
      <c r="C1559" s="4">
        <v>1554</v>
      </c>
      <c r="D1559" s="210"/>
      <c r="E1559" s="210"/>
      <c r="F1559" s="210"/>
      <c r="G1559" s="210"/>
      <c r="H1559" s="210"/>
      <c r="I1559" s="210"/>
      <c r="J1559" s="4">
        <v>40754</v>
      </c>
      <c r="K1559" s="210"/>
      <c r="L1559" s="210">
        <v>98</v>
      </c>
      <c r="M1559" s="4">
        <f t="shared" si="29"/>
        <v>1</v>
      </c>
      <c r="N1559" s="4" t="str">
        <f>_xlfn.CONCAT("DBX",((L1559-1)*2),".1")</f>
        <v>DBX194.1</v>
      </c>
      <c r="O1559" s="210" t="s">
        <v>782</v>
      </c>
      <c r="P1559" s="210"/>
      <c r="Q1559" s="210"/>
      <c r="R1559" s="210"/>
      <c r="S1559" s="210"/>
      <c r="T1559" s="210"/>
      <c r="U1559" s="210"/>
      <c r="V1559" s="210"/>
      <c r="W1559" s="210"/>
      <c r="X1559" s="210"/>
      <c r="Y1559" s="210"/>
      <c r="Z1559" s="210"/>
      <c r="AA1559" s="210"/>
      <c r="AB1559" s="210"/>
      <c r="AC1559" s="210"/>
      <c r="AD1559" s="210"/>
      <c r="AE1559" s="210"/>
    </row>
    <row r="1560" spans="1:31" x14ac:dyDescent="0.2">
      <c r="A1560" s="209"/>
      <c r="B1560" s="4" t="s">
        <v>34</v>
      </c>
      <c r="C1560" s="4">
        <v>1555</v>
      </c>
      <c r="D1560" s="210"/>
      <c r="E1560" s="210"/>
      <c r="F1560" s="210"/>
      <c r="G1560" s="210"/>
      <c r="H1560" s="210"/>
      <c r="I1560" s="210"/>
      <c r="J1560" s="4">
        <v>40755</v>
      </c>
      <c r="K1560" s="210"/>
      <c r="L1560" s="210">
        <v>98</v>
      </c>
      <c r="M1560" s="4">
        <f t="shared" si="29"/>
        <v>2</v>
      </c>
      <c r="N1560" s="4" t="str">
        <f>_xlfn.CONCAT("DBX",((L1560-1)*2),".2")</f>
        <v>DBX194.2</v>
      </c>
      <c r="O1560" s="210" t="s">
        <v>782</v>
      </c>
      <c r="P1560" s="210"/>
      <c r="Q1560" s="210"/>
      <c r="R1560" s="210"/>
      <c r="S1560" s="210"/>
      <c r="T1560" s="210"/>
      <c r="U1560" s="210"/>
      <c r="V1560" s="210"/>
      <c r="W1560" s="210"/>
      <c r="X1560" s="210"/>
      <c r="Y1560" s="210"/>
      <c r="Z1560" s="210"/>
      <c r="AA1560" s="210"/>
      <c r="AB1560" s="210"/>
      <c r="AC1560" s="210"/>
      <c r="AD1560" s="210"/>
      <c r="AE1560" s="210"/>
    </row>
    <row r="1561" spans="1:31" x14ac:dyDescent="0.2">
      <c r="A1561" s="209"/>
      <c r="B1561" s="4" t="s">
        <v>34</v>
      </c>
      <c r="C1561" s="4">
        <v>1556</v>
      </c>
      <c r="D1561" s="210"/>
      <c r="E1561" s="210"/>
      <c r="F1561" s="210"/>
      <c r="G1561" s="210"/>
      <c r="H1561" s="210"/>
      <c r="I1561" s="210"/>
      <c r="J1561" s="4">
        <v>40756</v>
      </c>
      <c r="K1561" s="210"/>
      <c r="L1561" s="210">
        <v>98</v>
      </c>
      <c r="M1561" s="4">
        <f t="shared" si="29"/>
        <v>3</v>
      </c>
      <c r="N1561" s="4" t="str">
        <f>_xlfn.CONCAT("DBX",((L1561-1)*2),".3")</f>
        <v>DBX194.3</v>
      </c>
      <c r="O1561" s="210" t="s">
        <v>782</v>
      </c>
      <c r="P1561" s="210"/>
      <c r="Q1561" s="210"/>
      <c r="R1561" s="210"/>
      <c r="S1561" s="210"/>
      <c r="T1561" s="210"/>
      <c r="U1561" s="210"/>
      <c r="V1561" s="210"/>
      <c r="W1561" s="210"/>
      <c r="X1561" s="210"/>
      <c r="Y1561" s="210"/>
      <c r="Z1561" s="210"/>
      <c r="AA1561" s="210"/>
      <c r="AB1561" s="210"/>
      <c r="AC1561" s="210"/>
      <c r="AD1561" s="210"/>
      <c r="AE1561" s="210"/>
    </row>
    <row r="1562" spans="1:31" x14ac:dyDescent="0.2">
      <c r="A1562" s="209"/>
      <c r="B1562" s="4" t="s">
        <v>34</v>
      </c>
      <c r="C1562" s="4">
        <v>1557</v>
      </c>
      <c r="D1562" s="210"/>
      <c r="E1562" s="210"/>
      <c r="F1562" s="210"/>
      <c r="G1562" s="210"/>
      <c r="H1562" s="210"/>
      <c r="I1562" s="210"/>
      <c r="J1562" s="4">
        <v>40757</v>
      </c>
      <c r="K1562" s="210"/>
      <c r="L1562" s="210">
        <v>98</v>
      </c>
      <c r="M1562" s="4">
        <f t="shared" si="29"/>
        <v>4</v>
      </c>
      <c r="N1562" s="4" t="str">
        <f>_xlfn.CONCAT("DBX",((L1562-1)*2),".4")</f>
        <v>DBX194.4</v>
      </c>
      <c r="O1562" s="210" t="s">
        <v>782</v>
      </c>
      <c r="P1562" s="210"/>
      <c r="Q1562" s="210"/>
      <c r="R1562" s="210"/>
      <c r="S1562" s="210"/>
      <c r="T1562" s="210"/>
      <c r="U1562" s="210"/>
      <c r="V1562" s="210"/>
      <c r="W1562" s="210"/>
      <c r="X1562" s="210"/>
      <c r="Y1562" s="210"/>
      <c r="Z1562" s="210"/>
      <c r="AA1562" s="210"/>
      <c r="AB1562" s="210"/>
      <c r="AC1562" s="210"/>
      <c r="AD1562" s="210"/>
      <c r="AE1562" s="210"/>
    </row>
    <row r="1563" spans="1:31" x14ac:dyDescent="0.2">
      <c r="A1563" s="209"/>
      <c r="B1563" s="4" t="s">
        <v>34</v>
      </c>
      <c r="C1563" s="4">
        <v>1558</v>
      </c>
      <c r="D1563" s="210"/>
      <c r="E1563" s="210"/>
      <c r="F1563" s="210"/>
      <c r="G1563" s="210"/>
      <c r="H1563" s="210"/>
      <c r="I1563" s="210"/>
      <c r="J1563" s="4">
        <v>40758</v>
      </c>
      <c r="K1563" s="210"/>
      <c r="L1563" s="210">
        <v>98</v>
      </c>
      <c r="M1563" s="4">
        <f t="shared" si="29"/>
        <v>5</v>
      </c>
      <c r="N1563" s="4" t="str">
        <f>_xlfn.CONCAT("DBX",((L1563-1)*2),".5")</f>
        <v>DBX194.5</v>
      </c>
      <c r="O1563" s="210" t="s">
        <v>782</v>
      </c>
      <c r="P1563" s="210"/>
      <c r="Q1563" s="210"/>
      <c r="R1563" s="210"/>
      <c r="S1563" s="210"/>
      <c r="T1563" s="210"/>
      <c r="U1563" s="210"/>
      <c r="V1563" s="210"/>
      <c r="W1563" s="210"/>
      <c r="X1563" s="210"/>
      <c r="Y1563" s="210"/>
      <c r="Z1563" s="210"/>
      <c r="AA1563" s="210"/>
      <c r="AB1563" s="210"/>
      <c r="AC1563" s="210"/>
      <c r="AD1563" s="210"/>
      <c r="AE1563" s="210"/>
    </row>
    <row r="1564" spans="1:31" x14ac:dyDescent="0.2">
      <c r="A1564" s="209"/>
      <c r="B1564" s="4" t="s">
        <v>34</v>
      </c>
      <c r="C1564" s="4">
        <v>1559</v>
      </c>
      <c r="D1564" s="210"/>
      <c r="E1564" s="210"/>
      <c r="F1564" s="210"/>
      <c r="G1564" s="210"/>
      <c r="H1564" s="210"/>
      <c r="I1564" s="210"/>
      <c r="J1564" s="4">
        <v>40759</v>
      </c>
      <c r="K1564" s="210"/>
      <c r="L1564" s="210">
        <v>98</v>
      </c>
      <c r="M1564" s="4">
        <f t="shared" si="29"/>
        <v>6</v>
      </c>
      <c r="N1564" s="4" t="str">
        <f>_xlfn.CONCAT("DBX",((L1564-1)*2),".6")</f>
        <v>DBX194.6</v>
      </c>
      <c r="O1564" s="210" t="s">
        <v>782</v>
      </c>
      <c r="P1564" s="210"/>
      <c r="Q1564" s="210"/>
      <c r="R1564" s="210"/>
      <c r="S1564" s="210"/>
      <c r="T1564" s="210"/>
      <c r="U1564" s="210"/>
      <c r="V1564" s="210"/>
      <c r="W1564" s="210"/>
      <c r="X1564" s="210"/>
      <c r="Y1564" s="210"/>
      <c r="Z1564" s="210"/>
      <c r="AA1564" s="210"/>
      <c r="AB1564" s="210"/>
      <c r="AC1564" s="210"/>
      <c r="AD1564" s="210"/>
      <c r="AE1564" s="210"/>
    </row>
    <row r="1565" spans="1:31" x14ac:dyDescent="0.2">
      <c r="A1565" s="209"/>
      <c r="B1565" s="4" t="s">
        <v>34</v>
      </c>
      <c r="C1565" s="4">
        <v>1560</v>
      </c>
      <c r="D1565" s="210"/>
      <c r="E1565" s="210"/>
      <c r="F1565" s="210"/>
      <c r="G1565" s="210"/>
      <c r="H1565" s="210"/>
      <c r="I1565" s="210"/>
      <c r="J1565" s="4">
        <v>40760</v>
      </c>
      <c r="K1565" s="210"/>
      <c r="L1565" s="210">
        <v>98</v>
      </c>
      <c r="M1565" s="4">
        <f t="shared" si="29"/>
        <v>7</v>
      </c>
      <c r="N1565" s="4" t="str">
        <f>_xlfn.CONCAT("DBX",((L1565-1)*2),".7")</f>
        <v>DBX194.7</v>
      </c>
      <c r="O1565" s="210" t="s">
        <v>782</v>
      </c>
      <c r="P1565" s="210"/>
      <c r="Q1565" s="210"/>
      <c r="R1565" s="210"/>
      <c r="S1565" s="210"/>
      <c r="T1565" s="210"/>
      <c r="U1565" s="210"/>
      <c r="V1565" s="210"/>
      <c r="W1565" s="210"/>
      <c r="X1565" s="210"/>
      <c r="Y1565" s="210"/>
      <c r="Z1565" s="210"/>
      <c r="AA1565" s="210"/>
      <c r="AB1565" s="210"/>
      <c r="AC1565" s="210"/>
      <c r="AD1565" s="210"/>
      <c r="AE1565" s="210"/>
    </row>
    <row r="1566" spans="1:31" x14ac:dyDescent="0.2">
      <c r="A1566" s="209"/>
      <c r="B1566" s="4" t="s">
        <v>34</v>
      </c>
      <c r="C1566" s="4">
        <v>1561</v>
      </c>
      <c r="D1566" s="210"/>
      <c r="E1566" s="210"/>
      <c r="F1566" s="210"/>
      <c r="G1566" s="210"/>
      <c r="H1566" s="210"/>
      <c r="I1566" s="210"/>
      <c r="J1566" s="4">
        <v>40761</v>
      </c>
      <c r="K1566" s="210"/>
      <c r="L1566" s="210">
        <v>98</v>
      </c>
      <c r="M1566" s="4">
        <f t="shared" si="29"/>
        <v>8</v>
      </c>
      <c r="N1566" s="4" t="str">
        <f>_xlfn.CONCAT("DBX",((L1566-1)*2)+1,".0")</f>
        <v>DBX195.0</v>
      </c>
      <c r="O1566" s="210" t="s">
        <v>782</v>
      </c>
      <c r="P1566" s="210"/>
      <c r="Q1566" s="210"/>
      <c r="R1566" s="210"/>
      <c r="S1566" s="210"/>
      <c r="T1566" s="210"/>
      <c r="U1566" s="210"/>
      <c r="V1566" s="210"/>
      <c r="W1566" s="210"/>
      <c r="X1566" s="210"/>
      <c r="Y1566" s="210"/>
      <c r="Z1566" s="210"/>
      <c r="AA1566" s="210"/>
      <c r="AB1566" s="210"/>
      <c r="AC1566" s="210"/>
      <c r="AD1566" s="210"/>
      <c r="AE1566" s="210"/>
    </row>
    <row r="1567" spans="1:31" x14ac:dyDescent="0.2">
      <c r="A1567" s="209"/>
      <c r="B1567" s="4" t="s">
        <v>34</v>
      </c>
      <c r="C1567" s="4">
        <v>1562</v>
      </c>
      <c r="D1567" s="210"/>
      <c r="E1567" s="210"/>
      <c r="F1567" s="210"/>
      <c r="G1567" s="210"/>
      <c r="H1567" s="210"/>
      <c r="I1567" s="210"/>
      <c r="J1567" s="4">
        <v>40762</v>
      </c>
      <c r="K1567" s="210"/>
      <c r="L1567" s="210">
        <v>98</v>
      </c>
      <c r="M1567" s="4">
        <f t="shared" si="29"/>
        <v>9</v>
      </c>
      <c r="N1567" s="4" t="str">
        <f>_xlfn.CONCAT("DBX",((L1567-1)*2)+1,".1")</f>
        <v>DBX195.1</v>
      </c>
      <c r="O1567" s="210" t="s">
        <v>782</v>
      </c>
      <c r="P1567" s="210"/>
      <c r="Q1567" s="210"/>
      <c r="R1567" s="210"/>
      <c r="S1567" s="210"/>
      <c r="T1567" s="210"/>
      <c r="U1567" s="210"/>
      <c r="V1567" s="210"/>
      <c r="W1567" s="210"/>
      <c r="X1567" s="210"/>
      <c r="Y1567" s="210"/>
      <c r="Z1567" s="210"/>
      <c r="AA1567" s="210"/>
      <c r="AB1567" s="210"/>
      <c r="AC1567" s="210"/>
      <c r="AD1567" s="210"/>
      <c r="AE1567" s="210"/>
    </row>
    <row r="1568" spans="1:31" x14ac:dyDescent="0.2">
      <c r="A1568" s="209"/>
      <c r="B1568" s="4" t="s">
        <v>34</v>
      </c>
      <c r="C1568" s="4">
        <v>1563</v>
      </c>
      <c r="D1568" s="210"/>
      <c r="E1568" s="210"/>
      <c r="F1568" s="210"/>
      <c r="G1568" s="210"/>
      <c r="H1568" s="210"/>
      <c r="I1568" s="210"/>
      <c r="J1568" s="4">
        <v>40763</v>
      </c>
      <c r="K1568" s="210"/>
      <c r="L1568" s="210">
        <v>98</v>
      </c>
      <c r="M1568" s="4">
        <f t="shared" si="29"/>
        <v>10</v>
      </c>
      <c r="N1568" s="4" t="str">
        <f>_xlfn.CONCAT("DBX",((L1568-1)*2)+1,".2")</f>
        <v>DBX195.2</v>
      </c>
      <c r="O1568" s="210" t="s">
        <v>782</v>
      </c>
      <c r="P1568" s="210"/>
      <c r="Q1568" s="210"/>
      <c r="R1568" s="210"/>
      <c r="S1568" s="210"/>
      <c r="T1568" s="210"/>
      <c r="U1568" s="210"/>
      <c r="V1568" s="210"/>
      <c r="W1568" s="210"/>
      <c r="X1568" s="210"/>
      <c r="Y1568" s="210"/>
      <c r="Z1568" s="210"/>
      <c r="AA1568" s="210"/>
      <c r="AB1568" s="210"/>
      <c r="AC1568" s="210"/>
      <c r="AD1568" s="210"/>
      <c r="AE1568" s="210"/>
    </row>
    <row r="1569" spans="1:31" x14ac:dyDescent="0.2">
      <c r="A1569" s="209"/>
      <c r="B1569" s="4" t="s">
        <v>34</v>
      </c>
      <c r="C1569" s="4">
        <v>1564</v>
      </c>
      <c r="D1569" s="210"/>
      <c r="E1569" s="210"/>
      <c r="F1569" s="210"/>
      <c r="G1569" s="210"/>
      <c r="H1569" s="210"/>
      <c r="I1569" s="210"/>
      <c r="J1569" s="4">
        <v>40764</v>
      </c>
      <c r="K1569" s="210"/>
      <c r="L1569" s="210">
        <v>98</v>
      </c>
      <c r="M1569" s="4">
        <f t="shared" si="29"/>
        <v>11</v>
      </c>
      <c r="N1569" s="4" t="str">
        <f>_xlfn.CONCAT("DBX",((L1569-1)*2)+1,".3")</f>
        <v>DBX195.3</v>
      </c>
      <c r="O1569" s="210" t="s">
        <v>782</v>
      </c>
      <c r="P1569" s="210"/>
      <c r="Q1569" s="210"/>
      <c r="R1569" s="210"/>
      <c r="S1569" s="210"/>
      <c r="T1569" s="210"/>
      <c r="U1569" s="210"/>
      <c r="V1569" s="210"/>
      <c r="W1569" s="210"/>
      <c r="X1569" s="210"/>
      <c r="Y1569" s="210"/>
      <c r="Z1569" s="210"/>
      <c r="AA1569" s="210"/>
      <c r="AB1569" s="210"/>
      <c r="AC1569" s="210"/>
      <c r="AD1569" s="210"/>
      <c r="AE1569" s="210"/>
    </row>
    <row r="1570" spans="1:31" x14ac:dyDescent="0.2">
      <c r="A1570" s="209"/>
      <c r="B1570" s="4" t="s">
        <v>34</v>
      </c>
      <c r="C1570" s="4">
        <v>1565</v>
      </c>
      <c r="D1570" s="210"/>
      <c r="E1570" s="210"/>
      <c r="F1570" s="210"/>
      <c r="G1570" s="210"/>
      <c r="H1570" s="210"/>
      <c r="I1570" s="210"/>
      <c r="J1570" s="4">
        <v>40765</v>
      </c>
      <c r="K1570" s="210"/>
      <c r="L1570" s="210">
        <v>98</v>
      </c>
      <c r="M1570" s="4">
        <f t="shared" si="29"/>
        <v>12</v>
      </c>
      <c r="N1570" s="4" t="str">
        <f>_xlfn.CONCAT("DBX",((L1570-1)*2)+1,".4")</f>
        <v>DBX195.4</v>
      </c>
      <c r="O1570" s="210" t="s">
        <v>782</v>
      </c>
      <c r="P1570" s="210"/>
      <c r="Q1570" s="210"/>
      <c r="R1570" s="210"/>
      <c r="S1570" s="210"/>
      <c r="T1570" s="210"/>
      <c r="U1570" s="210"/>
      <c r="V1570" s="210"/>
      <c r="W1570" s="210"/>
      <c r="X1570" s="210"/>
      <c r="Y1570" s="210"/>
      <c r="Z1570" s="210"/>
      <c r="AA1570" s="210"/>
      <c r="AB1570" s="210"/>
      <c r="AC1570" s="210"/>
      <c r="AD1570" s="210"/>
      <c r="AE1570" s="210"/>
    </row>
    <row r="1571" spans="1:31" x14ac:dyDescent="0.2">
      <c r="A1571" s="209"/>
      <c r="B1571" s="4" t="s">
        <v>34</v>
      </c>
      <c r="C1571" s="4">
        <v>1566</v>
      </c>
      <c r="D1571" s="210"/>
      <c r="E1571" s="210"/>
      <c r="F1571" s="210"/>
      <c r="G1571" s="210"/>
      <c r="H1571" s="210"/>
      <c r="I1571" s="210"/>
      <c r="J1571" s="4">
        <v>40766</v>
      </c>
      <c r="K1571" s="210"/>
      <c r="L1571" s="210">
        <v>98</v>
      </c>
      <c r="M1571" s="4">
        <f t="shared" si="29"/>
        <v>13</v>
      </c>
      <c r="N1571" s="4" t="str">
        <f>_xlfn.CONCAT("DBX",((L1571-1)*2)+1,".5")</f>
        <v>DBX195.5</v>
      </c>
      <c r="O1571" s="210" t="s">
        <v>782</v>
      </c>
      <c r="P1571" s="210"/>
      <c r="Q1571" s="210"/>
      <c r="R1571" s="210"/>
      <c r="S1571" s="210"/>
      <c r="T1571" s="210"/>
      <c r="U1571" s="210"/>
      <c r="V1571" s="210"/>
      <c r="W1571" s="210"/>
      <c r="X1571" s="210"/>
      <c r="Y1571" s="210"/>
      <c r="Z1571" s="210"/>
      <c r="AA1571" s="210"/>
      <c r="AB1571" s="210"/>
      <c r="AC1571" s="210"/>
      <c r="AD1571" s="210"/>
      <c r="AE1571" s="210"/>
    </row>
    <row r="1572" spans="1:31" x14ac:dyDescent="0.2">
      <c r="A1572" s="209"/>
      <c r="B1572" s="4" t="s">
        <v>34</v>
      </c>
      <c r="C1572" s="4">
        <v>1567</v>
      </c>
      <c r="D1572" s="210"/>
      <c r="E1572" s="210"/>
      <c r="F1572" s="210"/>
      <c r="G1572" s="210"/>
      <c r="H1572" s="210"/>
      <c r="I1572" s="210"/>
      <c r="J1572" s="4">
        <v>40767</v>
      </c>
      <c r="K1572" s="210"/>
      <c r="L1572" s="210">
        <v>98</v>
      </c>
      <c r="M1572" s="4">
        <f t="shared" si="29"/>
        <v>14</v>
      </c>
      <c r="N1572" s="4" t="str">
        <f>_xlfn.CONCAT("DBX",((L1572-1)*2)+1,".6")</f>
        <v>DBX195.6</v>
      </c>
      <c r="O1572" s="210" t="s">
        <v>782</v>
      </c>
      <c r="P1572" s="210"/>
      <c r="Q1572" s="210"/>
      <c r="R1572" s="210"/>
      <c r="S1572" s="210"/>
      <c r="T1572" s="210"/>
      <c r="U1572" s="210"/>
      <c r="V1572" s="210"/>
      <c r="W1572" s="210"/>
      <c r="X1572" s="210"/>
      <c r="Y1572" s="210"/>
      <c r="Z1572" s="210"/>
      <c r="AA1572" s="210"/>
      <c r="AB1572" s="210"/>
      <c r="AC1572" s="210"/>
      <c r="AD1572" s="210"/>
      <c r="AE1572" s="210"/>
    </row>
    <row r="1573" spans="1:31" x14ac:dyDescent="0.2">
      <c r="A1573" s="209"/>
      <c r="B1573" s="4" t="s">
        <v>34</v>
      </c>
      <c r="C1573" s="4">
        <v>1568</v>
      </c>
      <c r="D1573" s="210"/>
      <c r="E1573" s="210"/>
      <c r="F1573" s="210"/>
      <c r="G1573" s="210"/>
      <c r="H1573" s="210"/>
      <c r="I1573" s="210"/>
      <c r="J1573" s="4">
        <v>40768</v>
      </c>
      <c r="K1573" s="210"/>
      <c r="L1573" s="210">
        <v>98</v>
      </c>
      <c r="M1573" s="4">
        <f t="shared" si="29"/>
        <v>15</v>
      </c>
      <c r="N1573" s="4" t="str">
        <f>_xlfn.CONCAT("DBX",((L1573-1)*2)+1,".7")</f>
        <v>DBX195.7</v>
      </c>
      <c r="O1573" s="210" t="s">
        <v>782</v>
      </c>
      <c r="P1573" s="210"/>
      <c r="Q1573" s="210"/>
      <c r="R1573" s="210"/>
      <c r="S1573" s="210"/>
      <c r="T1573" s="210"/>
      <c r="U1573" s="210"/>
      <c r="V1573" s="210"/>
      <c r="W1573" s="210"/>
      <c r="X1573" s="210"/>
      <c r="Y1573" s="210"/>
      <c r="Z1573" s="210"/>
      <c r="AA1573" s="210"/>
      <c r="AB1573" s="210"/>
      <c r="AC1573" s="210"/>
      <c r="AD1573" s="210"/>
      <c r="AE1573" s="210"/>
    </row>
    <row r="1574" spans="1:31" x14ac:dyDescent="0.2">
      <c r="A1574" s="209"/>
      <c r="B1574" s="4" t="s">
        <v>34</v>
      </c>
      <c r="C1574" s="4">
        <v>1569</v>
      </c>
      <c r="D1574" s="210"/>
      <c r="E1574" s="210"/>
      <c r="F1574" s="210"/>
      <c r="G1574" s="210"/>
      <c r="H1574" s="210"/>
      <c r="I1574" s="210"/>
      <c r="J1574" s="4">
        <v>40769</v>
      </c>
      <c r="K1574" s="210"/>
      <c r="L1574" s="210">
        <v>99</v>
      </c>
      <c r="M1574" s="4">
        <v>0</v>
      </c>
      <c r="N1574" s="4" t="str">
        <f>_xlfn.CONCAT("DBX",((L1574-1)*2),".0")</f>
        <v>DBX196.0</v>
      </c>
      <c r="O1574" s="210" t="s">
        <v>782</v>
      </c>
      <c r="P1574" s="210"/>
      <c r="Q1574" s="210"/>
      <c r="R1574" s="210"/>
      <c r="S1574" s="210"/>
      <c r="T1574" s="210"/>
      <c r="U1574" s="210"/>
      <c r="V1574" s="210"/>
      <c r="W1574" s="210"/>
      <c r="X1574" s="210"/>
      <c r="Y1574" s="210"/>
      <c r="Z1574" s="210"/>
      <c r="AA1574" s="210"/>
      <c r="AB1574" s="210"/>
      <c r="AC1574" s="210"/>
      <c r="AD1574" s="210"/>
      <c r="AE1574" s="210"/>
    </row>
    <row r="1575" spans="1:31" x14ac:dyDescent="0.2">
      <c r="A1575" s="209"/>
      <c r="B1575" s="4" t="s">
        <v>34</v>
      </c>
      <c r="C1575" s="4">
        <v>1570</v>
      </c>
      <c r="D1575" s="210"/>
      <c r="E1575" s="210"/>
      <c r="F1575" s="210"/>
      <c r="G1575" s="210"/>
      <c r="H1575" s="210"/>
      <c r="I1575" s="210"/>
      <c r="J1575" s="4">
        <v>40770</v>
      </c>
      <c r="K1575" s="210"/>
      <c r="L1575" s="210">
        <v>99</v>
      </c>
      <c r="M1575" s="4">
        <v>1</v>
      </c>
      <c r="N1575" s="4" t="str">
        <f>_xlfn.CONCAT("DBX",((L1575-1)*2),".1")</f>
        <v>DBX196.1</v>
      </c>
      <c r="O1575" s="210" t="s">
        <v>782</v>
      </c>
      <c r="P1575" s="210"/>
      <c r="Q1575" s="210"/>
      <c r="R1575" s="210"/>
      <c r="S1575" s="210"/>
      <c r="T1575" s="210"/>
      <c r="U1575" s="210"/>
      <c r="V1575" s="210"/>
      <c r="W1575" s="210"/>
      <c r="X1575" s="210"/>
      <c r="Y1575" s="210"/>
      <c r="Z1575" s="210"/>
      <c r="AA1575" s="210"/>
      <c r="AB1575" s="210"/>
      <c r="AC1575" s="210"/>
      <c r="AD1575" s="210"/>
      <c r="AE1575" s="210"/>
    </row>
    <row r="1576" spans="1:31" x14ac:dyDescent="0.2">
      <c r="A1576" s="209"/>
      <c r="B1576" s="4" t="s">
        <v>34</v>
      </c>
      <c r="C1576" s="4">
        <v>1571</v>
      </c>
      <c r="D1576" s="210"/>
      <c r="E1576" s="210"/>
      <c r="F1576" s="210"/>
      <c r="G1576" s="210"/>
      <c r="H1576" s="210"/>
      <c r="I1576" s="210"/>
      <c r="J1576" s="4">
        <v>40771</v>
      </c>
      <c r="K1576" s="210"/>
      <c r="L1576" s="210">
        <v>99</v>
      </c>
      <c r="M1576" s="4">
        <v>2</v>
      </c>
      <c r="N1576" s="4" t="str">
        <f>_xlfn.CONCAT("DBX",((L1576-1)*2),".2")</f>
        <v>DBX196.2</v>
      </c>
      <c r="O1576" s="210" t="s">
        <v>782</v>
      </c>
      <c r="P1576" s="210"/>
      <c r="Q1576" s="210"/>
      <c r="R1576" s="210"/>
      <c r="S1576" s="210"/>
      <c r="T1576" s="210"/>
      <c r="U1576" s="210"/>
      <c r="V1576" s="210"/>
      <c r="W1576" s="210"/>
      <c r="X1576" s="210"/>
      <c r="Y1576" s="210"/>
      <c r="Z1576" s="210"/>
      <c r="AA1576" s="210"/>
      <c r="AB1576" s="210"/>
      <c r="AC1576" s="210"/>
      <c r="AD1576" s="210"/>
      <c r="AE1576" s="210"/>
    </row>
    <row r="1577" spans="1:31" x14ac:dyDescent="0.2">
      <c r="A1577" s="209"/>
      <c r="B1577" s="4" t="s">
        <v>34</v>
      </c>
      <c r="C1577" s="4">
        <v>1572</v>
      </c>
      <c r="D1577" s="210"/>
      <c r="E1577" s="210"/>
      <c r="F1577" s="210"/>
      <c r="G1577" s="210"/>
      <c r="H1577" s="210"/>
      <c r="I1577" s="210"/>
      <c r="J1577" s="4">
        <v>40772</v>
      </c>
      <c r="K1577" s="210"/>
      <c r="L1577" s="210">
        <v>99</v>
      </c>
      <c r="M1577" s="4">
        <v>3</v>
      </c>
      <c r="N1577" s="4" t="str">
        <f>_xlfn.CONCAT("DBX",((L1577-1)*2),".3")</f>
        <v>DBX196.3</v>
      </c>
      <c r="O1577" s="210" t="s">
        <v>782</v>
      </c>
      <c r="P1577" s="210"/>
      <c r="Q1577" s="210"/>
      <c r="R1577" s="210"/>
      <c r="S1577" s="210"/>
      <c r="T1577" s="210"/>
      <c r="U1577" s="210"/>
      <c r="V1577" s="210"/>
      <c r="W1577" s="210"/>
      <c r="X1577" s="210"/>
      <c r="Y1577" s="210"/>
      <c r="Z1577" s="210"/>
      <c r="AA1577" s="210"/>
      <c r="AB1577" s="210"/>
      <c r="AC1577" s="210"/>
      <c r="AD1577" s="210"/>
      <c r="AE1577" s="210"/>
    </row>
    <row r="1578" spans="1:31" x14ac:dyDescent="0.2">
      <c r="A1578" s="209"/>
      <c r="B1578" s="4" t="s">
        <v>34</v>
      </c>
      <c r="C1578" s="4">
        <v>1573</v>
      </c>
      <c r="D1578" s="210"/>
      <c r="E1578" s="210"/>
      <c r="F1578" s="210"/>
      <c r="G1578" s="210"/>
      <c r="H1578" s="210"/>
      <c r="I1578" s="210"/>
      <c r="J1578" s="4">
        <v>40773</v>
      </c>
      <c r="K1578" s="210"/>
      <c r="L1578" s="210">
        <v>99</v>
      </c>
      <c r="M1578" s="4">
        <v>4</v>
      </c>
      <c r="N1578" s="4" t="str">
        <f>_xlfn.CONCAT("DBX",((L1578-1)*2),".4")</f>
        <v>DBX196.4</v>
      </c>
      <c r="O1578" s="210" t="s">
        <v>782</v>
      </c>
      <c r="P1578" s="210"/>
      <c r="Q1578" s="210"/>
      <c r="R1578" s="210"/>
      <c r="S1578" s="210"/>
      <c r="T1578" s="210"/>
      <c r="U1578" s="210"/>
      <c r="V1578" s="210"/>
      <c r="W1578" s="210"/>
      <c r="X1578" s="210"/>
      <c r="Y1578" s="210"/>
      <c r="Z1578" s="210"/>
      <c r="AA1578" s="210"/>
      <c r="AB1578" s="210"/>
      <c r="AC1578" s="210"/>
      <c r="AD1578" s="210"/>
      <c r="AE1578" s="210"/>
    </row>
    <row r="1579" spans="1:31" x14ac:dyDescent="0.2">
      <c r="A1579" s="209"/>
      <c r="B1579" s="4" t="s">
        <v>34</v>
      </c>
      <c r="C1579" s="4">
        <v>1574</v>
      </c>
      <c r="D1579" s="210"/>
      <c r="E1579" s="210"/>
      <c r="F1579" s="210"/>
      <c r="G1579" s="210"/>
      <c r="H1579" s="210"/>
      <c r="I1579" s="210"/>
      <c r="J1579" s="4">
        <v>40774</v>
      </c>
      <c r="K1579" s="210"/>
      <c r="L1579" s="210">
        <v>99</v>
      </c>
      <c r="M1579" s="4">
        <v>5</v>
      </c>
      <c r="N1579" s="4" t="str">
        <f>_xlfn.CONCAT("DBX",((L1579-1)*2),".5")</f>
        <v>DBX196.5</v>
      </c>
      <c r="O1579" s="210" t="s">
        <v>782</v>
      </c>
      <c r="P1579" s="210"/>
      <c r="Q1579" s="210"/>
      <c r="R1579" s="210"/>
      <c r="S1579" s="210"/>
      <c r="T1579" s="210"/>
      <c r="U1579" s="210"/>
      <c r="V1579" s="210"/>
      <c r="W1579" s="210"/>
      <c r="X1579" s="210"/>
      <c r="Y1579" s="210"/>
      <c r="Z1579" s="210"/>
      <c r="AA1579" s="210"/>
      <c r="AB1579" s="210"/>
      <c r="AC1579" s="210"/>
      <c r="AD1579" s="210"/>
      <c r="AE1579" s="210"/>
    </row>
    <row r="1580" spans="1:31" x14ac:dyDescent="0.2">
      <c r="A1580" s="209"/>
      <c r="B1580" s="4" t="s">
        <v>34</v>
      </c>
      <c r="C1580" s="4">
        <v>1575</v>
      </c>
      <c r="D1580" s="210"/>
      <c r="E1580" s="210"/>
      <c r="F1580" s="210"/>
      <c r="G1580" s="210"/>
      <c r="H1580" s="210"/>
      <c r="I1580" s="210"/>
      <c r="J1580" s="4">
        <v>40775</v>
      </c>
      <c r="K1580" s="210"/>
      <c r="L1580" s="210">
        <v>99</v>
      </c>
      <c r="M1580" s="4">
        <v>6</v>
      </c>
      <c r="N1580" s="4" t="str">
        <f>_xlfn.CONCAT("DBX",((L1580-1)*2),".6")</f>
        <v>DBX196.6</v>
      </c>
      <c r="O1580" s="210" t="s">
        <v>782</v>
      </c>
      <c r="P1580" s="210"/>
      <c r="Q1580" s="210"/>
      <c r="R1580" s="210"/>
      <c r="S1580" s="210"/>
      <c r="T1580" s="210"/>
      <c r="U1580" s="210"/>
      <c r="V1580" s="210"/>
      <c r="W1580" s="210"/>
      <c r="X1580" s="210"/>
      <c r="Y1580" s="210"/>
      <c r="Z1580" s="210"/>
      <c r="AA1580" s="210"/>
      <c r="AB1580" s="210"/>
      <c r="AC1580" s="210"/>
      <c r="AD1580" s="210"/>
      <c r="AE1580" s="210"/>
    </row>
    <row r="1581" spans="1:31" x14ac:dyDescent="0.2">
      <c r="A1581" s="209"/>
      <c r="B1581" s="4" t="s">
        <v>34</v>
      </c>
      <c r="C1581" s="4">
        <v>1576</v>
      </c>
      <c r="D1581" s="210"/>
      <c r="E1581" s="210"/>
      <c r="F1581" s="210"/>
      <c r="G1581" s="210"/>
      <c r="H1581" s="210"/>
      <c r="I1581" s="210"/>
      <c r="J1581" s="4">
        <v>40776</v>
      </c>
      <c r="K1581" s="210"/>
      <c r="L1581" s="210">
        <v>99</v>
      </c>
      <c r="M1581" s="4">
        <v>7</v>
      </c>
      <c r="N1581" s="4" t="str">
        <f>_xlfn.CONCAT("DBX",((L1581-1)*2),".7")</f>
        <v>DBX196.7</v>
      </c>
      <c r="O1581" s="210" t="s">
        <v>782</v>
      </c>
      <c r="P1581" s="210"/>
      <c r="Q1581" s="210"/>
      <c r="R1581" s="210"/>
      <c r="S1581" s="210"/>
      <c r="T1581" s="210"/>
      <c r="U1581" s="210"/>
      <c r="V1581" s="210"/>
      <c r="W1581" s="210"/>
      <c r="X1581" s="210"/>
      <c r="Y1581" s="210"/>
      <c r="Z1581" s="210"/>
      <c r="AA1581" s="210"/>
      <c r="AB1581" s="210"/>
      <c r="AC1581" s="210"/>
      <c r="AD1581" s="210"/>
      <c r="AE1581" s="210"/>
    </row>
    <row r="1582" spans="1:31" x14ac:dyDescent="0.2">
      <c r="A1582" s="209"/>
      <c r="B1582" s="4" t="s">
        <v>34</v>
      </c>
      <c r="C1582" s="4">
        <v>1577</v>
      </c>
      <c r="D1582" s="210"/>
      <c r="E1582" s="210"/>
      <c r="F1582" s="210"/>
      <c r="G1582" s="210"/>
      <c r="H1582" s="210"/>
      <c r="I1582" s="210"/>
      <c r="J1582" s="4">
        <v>40777</v>
      </c>
      <c r="K1582" s="210"/>
      <c r="L1582" s="210">
        <v>99</v>
      </c>
      <c r="M1582" s="4">
        <v>8</v>
      </c>
      <c r="N1582" s="4" t="str">
        <f>_xlfn.CONCAT("DBX",((L1582-1)*2)+1,".0")</f>
        <v>DBX197.0</v>
      </c>
      <c r="O1582" s="210" t="s">
        <v>782</v>
      </c>
      <c r="P1582" s="210"/>
      <c r="Q1582" s="210"/>
      <c r="R1582" s="210"/>
      <c r="S1582" s="210"/>
      <c r="T1582" s="210"/>
      <c r="U1582" s="210"/>
      <c r="V1582" s="210"/>
      <c r="W1582" s="210"/>
      <c r="X1582" s="210"/>
      <c r="Y1582" s="210"/>
      <c r="Z1582" s="210"/>
      <c r="AA1582" s="210"/>
      <c r="AB1582" s="210"/>
      <c r="AC1582" s="210"/>
      <c r="AD1582" s="210"/>
      <c r="AE1582" s="210"/>
    </row>
    <row r="1583" spans="1:31" x14ac:dyDescent="0.2">
      <c r="A1583" s="209"/>
      <c r="B1583" s="4" t="s">
        <v>34</v>
      </c>
      <c r="C1583" s="4">
        <v>1578</v>
      </c>
      <c r="D1583" s="210"/>
      <c r="E1583" s="210"/>
      <c r="F1583" s="210"/>
      <c r="G1583" s="210"/>
      <c r="H1583" s="210"/>
      <c r="I1583" s="210"/>
      <c r="J1583" s="4">
        <v>40778</v>
      </c>
      <c r="K1583" s="210"/>
      <c r="L1583" s="210">
        <v>99</v>
      </c>
      <c r="M1583" s="4">
        <v>9</v>
      </c>
      <c r="N1583" s="4" t="str">
        <f>_xlfn.CONCAT("DBX",((L1583-1)*2)+1,".1")</f>
        <v>DBX197.1</v>
      </c>
      <c r="O1583" s="210" t="s">
        <v>782</v>
      </c>
      <c r="P1583" s="210"/>
      <c r="Q1583" s="210"/>
      <c r="R1583" s="210"/>
      <c r="S1583" s="210"/>
      <c r="T1583" s="210"/>
      <c r="U1583" s="210"/>
      <c r="V1583" s="210"/>
      <c r="W1583" s="210"/>
      <c r="X1583" s="210"/>
      <c r="Y1583" s="210"/>
      <c r="Z1583" s="210"/>
      <c r="AA1583" s="210"/>
      <c r="AB1583" s="210"/>
      <c r="AC1583" s="210"/>
      <c r="AD1583" s="210"/>
      <c r="AE1583" s="210"/>
    </row>
    <row r="1584" spans="1:31" x14ac:dyDescent="0.2">
      <c r="A1584" s="209"/>
      <c r="B1584" s="4" t="s">
        <v>34</v>
      </c>
      <c r="C1584" s="4">
        <v>1579</v>
      </c>
      <c r="D1584" s="210"/>
      <c r="E1584" s="210"/>
      <c r="F1584" s="210"/>
      <c r="G1584" s="210"/>
      <c r="H1584" s="210"/>
      <c r="I1584" s="210"/>
      <c r="J1584" s="4">
        <v>40779</v>
      </c>
      <c r="K1584" s="210"/>
      <c r="L1584" s="210">
        <v>99</v>
      </c>
      <c r="M1584" s="4">
        <v>10</v>
      </c>
      <c r="N1584" s="4" t="str">
        <f>_xlfn.CONCAT("DBX",((L1584-1)*2)+1,".2")</f>
        <v>DBX197.2</v>
      </c>
      <c r="O1584" s="210" t="s">
        <v>782</v>
      </c>
      <c r="P1584" s="210"/>
      <c r="Q1584" s="210"/>
      <c r="R1584" s="210"/>
      <c r="S1584" s="210"/>
      <c r="T1584" s="210"/>
      <c r="U1584" s="210"/>
      <c r="V1584" s="210"/>
      <c r="W1584" s="210"/>
      <c r="X1584" s="210"/>
      <c r="Y1584" s="210"/>
      <c r="Z1584" s="210"/>
      <c r="AA1584" s="210"/>
      <c r="AB1584" s="210"/>
      <c r="AC1584" s="210"/>
      <c r="AD1584" s="210"/>
      <c r="AE1584" s="210"/>
    </row>
    <row r="1585" spans="1:31" x14ac:dyDescent="0.2">
      <c r="A1585" s="209"/>
      <c r="B1585" s="4" t="s">
        <v>34</v>
      </c>
      <c r="C1585" s="4">
        <v>1580</v>
      </c>
      <c r="D1585" s="210"/>
      <c r="E1585" s="210"/>
      <c r="F1585" s="210"/>
      <c r="G1585" s="210"/>
      <c r="H1585" s="210"/>
      <c r="I1585" s="210"/>
      <c r="J1585" s="4">
        <v>40780</v>
      </c>
      <c r="K1585" s="210"/>
      <c r="L1585" s="210">
        <v>99</v>
      </c>
      <c r="M1585" s="4">
        <v>11</v>
      </c>
      <c r="N1585" s="4" t="str">
        <f>_xlfn.CONCAT("DBX",((L1585-1)*2)+1,".3")</f>
        <v>DBX197.3</v>
      </c>
      <c r="O1585" s="210" t="s">
        <v>782</v>
      </c>
      <c r="P1585" s="210"/>
      <c r="Q1585" s="210"/>
      <c r="R1585" s="210"/>
      <c r="S1585" s="210"/>
      <c r="T1585" s="210"/>
      <c r="U1585" s="210"/>
      <c r="V1585" s="210"/>
      <c r="W1585" s="210"/>
      <c r="X1585" s="210"/>
      <c r="Y1585" s="210"/>
      <c r="Z1585" s="210"/>
      <c r="AA1585" s="210"/>
      <c r="AB1585" s="210"/>
      <c r="AC1585" s="210"/>
      <c r="AD1585" s="210"/>
      <c r="AE1585" s="210"/>
    </row>
    <row r="1586" spans="1:31" x14ac:dyDescent="0.2">
      <c r="A1586" s="209"/>
      <c r="B1586" s="4" t="s">
        <v>34</v>
      </c>
      <c r="C1586" s="4">
        <v>1581</v>
      </c>
      <c r="D1586" s="210"/>
      <c r="E1586" s="210"/>
      <c r="F1586" s="210"/>
      <c r="G1586" s="210"/>
      <c r="H1586" s="210"/>
      <c r="I1586" s="210"/>
      <c r="J1586" s="4">
        <v>40781</v>
      </c>
      <c r="K1586" s="210"/>
      <c r="L1586" s="210">
        <v>99</v>
      </c>
      <c r="M1586" s="4">
        <v>12</v>
      </c>
      <c r="N1586" s="4" t="str">
        <f>_xlfn.CONCAT("DBX",((L1586-1)*2)+1,".4")</f>
        <v>DBX197.4</v>
      </c>
      <c r="O1586" s="210" t="s">
        <v>782</v>
      </c>
      <c r="P1586" s="210"/>
      <c r="Q1586" s="210"/>
      <c r="R1586" s="210"/>
      <c r="S1586" s="210"/>
      <c r="T1586" s="210"/>
      <c r="U1586" s="210"/>
      <c r="V1586" s="210"/>
      <c r="W1586" s="210"/>
      <c r="X1586" s="210"/>
      <c r="Y1586" s="210"/>
      <c r="Z1586" s="210"/>
      <c r="AA1586" s="210"/>
      <c r="AB1586" s="210"/>
      <c r="AC1586" s="210"/>
      <c r="AD1586" s="210"/>
      <c r="AE1586" s="210"/>
    </row>
    <row r="1587" spans="1:31" x14ac:dyDescent="0.2">
      <c r="A1587" s="209"/>
      <c r="B1587" s="4" t="s">
        <v>34</v>
      </c>
      <c r="C1587" s="4">
        <v>1582</v>
      </c>
      <c r="D1587" s="210"/>
      <c r="E1587" s="210"/>
      <c r="F1587" s="210"/>
      <c r="G1587" s="210"/>
      <c r="H1587" s="210"/>
      <c r="I1587" s="210"/>
      <c r="J1587" s="4">
        <v>40782</v>
      </c>
      <c r="K1587" s="210"/>
      <c r="L1587" s="210">
        <v>99</v>
      </c>
      <c r="M1587" s="4">
        <v>13</v>
      </c>
      <c r="N1587" s="4" t="str">
        <f>_xlfn.CONCAT("DBX",((L1587-1)*2)+1,".5")</f>
        <v>DBX197.5</v>
      </c>
      <c r="O1587" s="210" t="s">
        <v>782</v>
      </c>
      <c r="P1587" s="210"/>
      <c r="Q1587" s="210"/>
      <c r="R1587" s="210"/>
      <c r="S1587" s="210"/>
      <c r="T1587" s="210"/>
      <c r="U1587" s="210"/>
      <c r="V1587" s="210"/>
      <c r="W1587" s="210"/>
      <c r="X1587" s="210"/>
      <c r="Y1587" s="210"/>
      <c r="Z1587" s="210"/>
      <c r="AA1587" s="210"/>
      <c r="AB1587" s="210"/>
      <c r="AC1587" s="210"/>
      <c r="AD1587" s="210"/>
      <c r="AE1587" s="210"/>
    </row>
    <row r="1588" spans="1:31" x14ac:dyDescent="0.2">
      <c r="A1588" s="209"/>
      <c r="B1588" s="4" t="s">
        <v>34</v>
      </c>
      <c r="C1588" s="4">
        <v>1583</v>
      </c>
      <c r="D1588" s="210"/>
      <c r="E1588" s="210"/>
      <c r="F1588" s="210"/>
      <c r="G1588" s="210"/>
      <c r="H1588" s="210"/>
      <c r="I1588" s="210"/>
      <c r="J1588" s="4">
        <v>40783</v>
      </c>
      <c r="K1588" s="210"/>
      <c r="L1588" s="210">
        <v>99</v>
      </c>
      <c r="M1588" s="4">
        <v>14</v>
      </c>
      <c r="N1588" s="4" t="str">
        <f>_xlfn.CONCAT("DBX",((L1588-1)*2)+1,".6")</f>
        <v>DBX197.6</v>
      </c>
      <c r="O1588" s="210" t="s">
        <v>782</v>
      </c>
      <c r="P1588" s="210"/>
      <c r="Q1588" s="210"/>
      <c r="R1588" s="210"/>
      <c r="S1588" s="210"/>
      <c r="T1588" s="210"/>
      <c r="U1588" s="210"/>
      <c r="V1588" s="210"/>
      <c r="W1588" s="210"/>
      <c r="X1588" s="210"/>
      <c r="Y1588" s="210"/>
      <c r="Z1588" s="210"/>
      <c r="AA1588" s="210"/>
      <c r="AB1588" s="210"/>
      <c r="AC1588" s="210"/>
      <c r="AD1588" s="210"/>
      <c r="AE1588" s="210"/>
    </row>
    <row r="1589" spans="1:31" x14ac:dyDescent="0.2">
      <c r="A1589" s="209"/>
      <c r="B1589" s="4" t="s">
        <v>34</v>
      </c>
      <c r="C1589" s="4">
        <v>1584</v>
      </c>
      <c r="D1589" s="210"/>
      <c r="E1589" s="210"/>
      <c r="F1589" s="210"/>
      <c r="G1589" s="210"/>
      <c r="H1589" s="210"/>
      <c r="I1589" s="210"/>
      <c r="J1589" s="4">
        <v>40784</v>
      </c>
      <c r="K1589" s="210"/>
      <c r="L1589" s="210">
        <v>99</v>
      </c>
      <c r="M1589" s="4">
        <v>15</v>
      </c>
      <c r="N1589" s="4" t="str">
        <f>_xlfn.CONCAT("DBX",((L1589-1)*2)+1,".7")</f>
        <v>DBX197.7</v>
      </c>
      <c r="O1589" s="210" t="s">
        <v>782</v>
      </c>
      <c r="P1589" s="210"/>
      <c r="Q1589" s="210"/>
      <c r="R1589" s="210"/>
      <c r="S1589" s="210"/>
      <c r="T1589" s="210"/>
      <c r="U1589" s="210"/>
      <c r="V1589" s="210"/>
      <c r="W1589" s="210"/>
      <c r="X1589" s="210"/>
      <c r="Y1589" s="210"/>
      <c r="Z1589" s="210"/>
      <c r="AA1589" s="210"/>
      <c r="AB1589" s="210"/>
      <c r="AC1589" s="210"/>
      <c r="AD1589" s="210"/>
      <c r="AE1589" s="210"/>
    </row>
    <row r="1590" spans="1:31" x14ac:dyDescent="0.2">
      <c r="A1590" s="209"/>
      <c r="B1590" s="4" t="s">
        <v>34</v>
      </c>
      <c r="C1590" s="4">
        <v>1585</v>
      </c>
      <c r="D1590" s="210"/>
      <c r="E1590" s="210"/>
      <c r="F1590" s="210"/>
      <c r="G1590" s="210"/>
      <c r="H1590" s="210"/>
      <c r="I1590" s="210"/>
      <c r="J1590" s="4">
        <v>40785</v>
      </c>
      <c r="K1590" s="210"/>
      <c r="L1590" s="210">
        <v>100</v>
      </c>
      <c r="M1590" s="4">
        <f t="shared" ref="M1590:M1605" si="30">M1574</f>
        <v>0</v>
      </c>
      <c r="N1590" s="4" t="str">
        <f>_xlfn.CONCAT("DBX",((L1590-1)*2),".0")</f>
        <v>DBX198.0</v>
      </c>
      <c r="O1590" s="210" t="s">
        <v>782</v>
      </c>
      <c r="P1590" s="210"/>
      <c r="Q1590" s="210"/>
      <c r="R1590" s="210"/>
      <c r="S1590" s="210"/>
      <c r="T1590" s="210"/>
      <c r="U1590" s="210"/>
      <c r="V1590" s="210"/>
      <c r="W1590" s="210"/>
      <c r="X1590" s="210"/>
      <c r="Y1590" s="210"/>
      <c r="Z1590" s="210"/>
      <c r="AA1590" s="210"/>
      <c r="AB1590" s="210"/>
      <c r="AC1590" s="210"/>
      <c r="AD1590" s="210"/>
      <c r="AE1590" s="210"/>
    </row>
    <row r="1591" spans="1:31" x14ac:dyDescent="0.2">
      <c r="A1591" s="209"/>
      <c r="B1591" s="4" t="s">
        <v>34</v>
      </c>
      <c r="C1591" s="4">
        <v>1586</v>
      </c>
      <c r="D1591" s="210"/>
      <c r="E1591" s="210"/>
      <c r="F1591" s="210"/>
      <c r="G1591" s="210"/>
      <c r="H1591" s="210"/>
      <c r="I1591" s="210"/>
      <c r="J1591" s="4">
        <v>40786</v>
      </c>
      <c r="K1591" s="210"/>
      <c r="L1591" s="210">
        <v>100</v>
      </c>
      <c r="M1591" s="4">
        <f t="shared" si="30"/>
        <v>1</v>
      </c>
      <c r="N1591" s="4" t="str">
        <f>_xlfn.CONCAT("DBX",((L1591-1)*2),".1")</f>
        <v>DBX198.1</v>
      </c>
      <c r="O1591" s="210" t="s">
        <v>782</v>
      </c>
      <c r="P1591" s="210"/>
      <c r="Q1591" s="210"/>
      <c r="R1591" s="210"/>
      <c r="S1591" s="210"/>
      <c r="T1591" s="210"/>
      <c r="U1591" s="210"/>
      <c r="V1591" s="210"/>
      <c r="W1591" s="210"/>
      <c r="X1591" s="210"/>
      <c r="Y1591" s="210"/>
      <c r="Z1591" s="210"/>
      <c r="AA1591" s="210"/>
      <c r="AB1591" s="210"/>
      <c r="AC1591" s="210"/>
      <c r="AD1591" s="210"/>
      <c r="AE1591" s="210"/>
    </row>
    <row r="1592" spans="1:31" x14ac:dyDescent="0.2">
      <c r="A1592" s="209"/>
      <c r="B1592" s="4" t="s">
        <v>34</v>
      </c>
      <c r="C1592" s="4">
        <v>1587</v>
      </c>
      <c r="D1592" s="210"/>
      <c r="E1592" s="210"/>
      <c r="F1592" s="210"/>
      <c r="G1592" s="210"/>
      <c r="H1592" s="210"/>
      <c r="I1592" s="210"/>
      <c r="J1592" s="4">
        <v>40787</v>
      </c>
      <c r="K1592" s="210"/>
      <c r="L1592" s="210">
        <v>100</v>
      </c>
      <c r="M1592" s="4">
        <f t="shared" si="30"/>
        <v>2</v>
      </c>
      <c r="N1592" s="4" t="str">
        <f>_xlfn.CONCAT("DBX",((L1592-1)*2),".2")</f>
        <v>DBX198.2</v>
      </c>
      <c r="O1592" s="210" t="s">
        <v>782</v>
      </c>
      <c r="P1592" s="210"/>
      <c r="Q1592" s="210"/>
      <c r="R1592" s="210"/>
      <c r="S1592" s="210"/>
      <c r="T1592" s="210"/>
      <c r="U1592" s="210"/>
      <c r="V1592" s="210"/>
      <c r="W1592" s="210"/>
      <c r="X1592" s="210"/>
      <c r="Y1592" s="210"/>
      <c r="Z1592" s="210"/>
      <c r="AA1592" s="210"/>
      <c r="AB1592" s="210"/>
      <c r="AC1592" s="210"/>
      <c r="AD1592" s="210"/>
      <c r="AE1592" s="210"/>
    </row>
    <row r="1593" spans="1:31" x14ac:dyDescent="0.2">
      <c r="A1593" s="209"/>
      <c r="B1593" s="4" t="s">
        <v>34</v>
      </c>
      <c r="C1593" s="4">
        <v>1588</v>
      </c>
      <c r="D1593" s="210"/>
      <c r="E1593" s="210"/>
      <c r="F1593" s="210"/>
      <c r="G1593" s="210"/>
      <c r="H1593" s="210"/>
      <c r="I1593" s="210"/>
      <c r="J1593" s="4">
        <v>40788</v>
      </c>
      <c r="K1593" s="210"/>
      <c r="L1593" s="210">
        <v>100</v>
      </c>
      <c r="M1593" s="4">
        <f t="shared" si="30"/>
        <v>3</v>
      </c>
      <c r="N1593" s="4" t="str">
        <f>_xlfn.CONCAT("DBX",((L1593-1)*2),".3")</f>
        <v>DBX198.3</v>
      </c>
      <c r="O1593" s="210" t="s">
        <v>782</v>
      </c>
      <c r="P1593" s="210"/>
      <c r="Q1593" s="210"/>
      <c r="R1593" s="210"/>
      <c r="S1593" s="210"/>
      <c r="T1593" s="210"/>
      <c r="U1593" s="210"/>
      <c r="V1593" s="210"/>
      <c r="W1593" s="210"/>
      <c r="X1593" s="210"/>
      <c r="Y1593" s="210"/>
      <c r="Z1593" s="210"/>
      <c r="AA1593" s="210"/>
      <c r="AB1593" s="210"/>
      <c r="AC1593" s="210"/>
      <c r="AD1593" s="210"/>
      <c r="AE1593" s="210"/>
    </row>
    <row r="1594" spans="1:31" x14ac:dyDescent="0.2">
      <c r="A1594" s="209"/>
      <c r="B1594" s="4" t="s">
        <v>34</v>
      </c>
      <c r="C1594" s="4">
        <v>1589</v>
      </c>
      <c r="D1594" s="210"/>
      <c r="E1594" s="210"/>
      <c r="F1594" s="210"/>
      <c r="G1594" s="210"/>
      <c r="H1594" s="210"/>
      <c r="I1594" s="210"/>
      <c r="J1594" s="4">
        <v>40789</v>
      </c>
      <c r="K1594" s="210"/>
      <c r="L1594" s="210">
        <v>100</v>
      </c>
      <c r="M1594" s="4">
        <f t="shared" si="30"/>
        <v>4</v>
      </c>
      <c r="N1594" s="4" t="str">
        <f>_xlfn.CONCAT("DBX",((L1594-1)*2),".4")</f>
        <v>DBX198.4</v>
      </c>
      <c r="O1594" s="210" t="s">
        <v>782</v>
      </c>
      <c r="P1594" s="210"/>
      <c r="Q1594" s="210"/>
      <c r="R1594" s="210"/>
      <c r="S1594" s="210"/>
      <c r="T1594" s="210"/>
      <c r="U1594" s="210"/>
      <c r="V1594" s="210"/>
      <c r="W1594" s="210"/>
      <c r="X1594" s="210"/>
      <c r="Y1594" s="210"/>
      <c r="Z1594" s="210"/>
      <c r="AA1594" s="210"/>
      <c r="AB1594" s="210"/>
      <c r="AC1594" s="210"/>
      <c r="AD1594" s="210"/>
      <c r="AE1594" s="210"/>
    </row>
    <row r="1595" spans="1:31" x14ac:dyDescent="0.2">
      <c r="A1595" s="209"/>
      <c r="B1595" s="4" t="s">
        <v>34</v>
      </c>
      <c r="C1595" s="4">
        <v>1590</v>
      </c>
      <c r="D1595" s="210"/>
      <c r="E1595" s="210"/>
      <c r="F1595" s="210"/>
      <c r="G1595" s="210"/>
      <c r="H1595" s="210"/>
      <c r="I1595" s="210"/>
      <c r="J1595" s="4">
        <v>40790</v>
      </c>
      <c r="K1595" s="210"/>
      <c r="L1595" s="210">
        <v>100</v>
      </c>
      <c r="M1595" s="4">
        <f t="shared" si="30"/>
        <v>5</v>
      </c>
      <c r="N1595" s="4" t="str">
        <f>_xlfn.CONCAT("DBX",((L1595-1)*2),".5")</f>
        <v>DBX198.5</v>
      </c>
      <c r="O1595" s="210" t="s">
        <v>782</v>
      </c>
      <c r="P1595" s="210"/>
      <c r="Q1595" s="210"/>
      <c r="R1595" s="210"/>
      <c r="S1595" s="210"/>
      <c r="T1595" s="210"/>
      <c r="U1595" s="210"/>
      <c r="V1595" s="210"/>
      <c r="W1595" s="210"/>
      <c r="X1595" s="210"/>
      <c r="Y1595" s="210"/>
      <c r="Z1595" s="210"/>
      <c r="AA1595" s="210"/>
      <c r="AB1595" s="210"/>
      <c r="AC1595" s="210"/>
      <c r="AD1595" s="210"/>
      <c r="AE1595" s="210"/>
    </row>
    <row r="1596" spans="1:31" x14ac:dyDescent="0.2">
      <c r="A1596" s="209"/>
      <c r="B1596" s="4" t="s">
        <v>34</v>
      </c>
      <c r="C1596" s="4">
        <v>1591</v>
      </c>
      <c r="D1596" s="210"/>
      <c r="E1596" s="210"/>
      <c r="F1596" s="210"/>
      <c r="G1596" s="210"/>
      <c r="H1596" s="210"/>
      <c r="I1596" s="210"/>
      <c r="J1596" s="4">
        <v>40791</v>
      </c>
      <c r="K1596" s="210"/>
      <c r="L1596" s="210">
        <v>100</v>
      </c>
      <c r="M1596" s="4">
        <f t="shared" si="30"/>
        <v>6</v>
      </c>
      <c r="N1596" s="4" t="str">
        <f>_xlfn.CONCAT("DBX",((L1596-1)*2),".6")</f>
        <v>DBX198.6</v>
      </c>
      <c r="O1596" s="210" t="s">
        <v>782</v>
      </c>
      <c r="P1596" s="210"/>
      <c r="Q1596" s="210"/>
      <c r="R1596" s="210"/>
      <c r="S1596" s="210"/>
      <c r="T1596" s="210"/>
      <c r="U1596" s="210"/>
      <c r="V1596" s="210"/>
      <c r="W1596" s="210"/>
      <c r="X1596" s="210"/>
      <c r="Y1596" s="210"/>
      <c r="Z1596" s="210"/>
      <c r="AA1596" s="210"/>
      <c r="AB1596" s="210"/>
      <c r="AC1596" s="210"/>
      <c r="AD1596" s="210"/>
      <c r="AE1596" s="210"/>
    </row>
    <row r="1597" spans="1:31" x14ac:dyDescent="0.2">
      <c r="A1597" s="209"/>
      <c r="B1597" s="4" t="s">
        <v>34</v>
      </c>
      <c r="C1597" s="4">
        <v>1592</v>
      </c>
      <c r="D1597" s="210"/>
      <c r="E1597" s="210"/>
      <c r="F1597" s="210"/>
      <c r="G1597" s="210"/>
      <c r="H1597" s="210"/>
      <c r="I1597" s="210"/>
      <c r="J1597" s="4">
        <v>40792</v>
      </c>
      <c r="K1597" s="210"/>
      <c r="L1597" s="210">
        <v>100</v>
      </c>
      <c r="M1597" s="4">
        <f t="shared" si="30"/>
        <v>7</v>
      </c>
      <c r="N1597" s="4" t="str">
        <f>_xlfn.CONCAT("DBX",((L1597-1)*2),".7")</f>
        <v>DBX198.7</v>
      </c>
      <c r="O1597" s="210" t="s">
        <v>782</v>
      </c>
      <c r="P1597" s="210"/>
      <c r="Q1597" s="210"/>
      <c r="R1597" s="210"/>
      <c r="S1597" s="210"/>
      <c r="T1597" s="210"/>
      <c r="U1597" s="210"/>
      <c r="V1597" s="210"/>
      <c r="W1597" s="210"/>
      <c r="X1597" s="210"/>
      <c r="Y1597" s="210"/>
      <c r="Z1597" s="210"/>
      <c r="AA1597" s="210"/>
      <c r="AB1597" s="210"/>
      <c r="AC1597" s="210"/>
      <c r="AD1597" s="210"/>
      <c r="AE1597" s="210"/>
    </row>
    <row r="1598" spans="1:31" x14ac:dyDescent="0.2">
      <c r="A1598" s="209"/>
      <c r="B1598" s="4" t="s">
        <v>34</v>
      </c>
      <c r="C1598" s="4">
        <v>1593</v>
      </c>
      <c r="D1598" s="210"/>
      <c r="E1598" s="210"/>
      <c r="F1598" s="210"/>
      <c r="G1598" s="210"/>
      <c r="H1598" s="210"/>
      <c r="I1598" s="210"/>
      <c r="J1598" s="4">
        <v>40793</v>
      </c>
      <c r="K1598" s="210"/>
      <c r="L1598" s="210">
        <v>100</v>
      </c>
      <c r="M1598" s="4">
        <f t="shared" si="30"/>
        <v>8</v>
      </c>
      <c r="N1598" s="4" t="str">
        <f>_xlfn.CONCAT("DBX",((L1598-1)*2)+1,".0")</f>
        <v>DBX199.0</v>
      </c>
      <c r="O1598" s="210" t="s">
        <v>782</v>
      </c>
      <c r="P1598" s="210"/>
      <c r="Q1598" s="210"/>
      <c r="R1598" s="210"/>
      <c r="S1598" s="210"/>
      <c r="T1598" s="210"/>
      <c r="U1598" s="210"/>
      <c r="V1598" s="210"/>
      <c r="W1598" s="210"/>
      <c r="X1598" s="210"/>
      <c r="Y1598" s="210"/>
      <c r="Z1598" s="210"/>
      <c r="AA1598" s="210"/>
      <c r="AB1598" s="210"/>
      <c r="AC1598" s="210"/>
      <c r="AD1598" s="210"/>
      <c r="AE1598" s="210"/>
    </row>
    <row r="1599" spans="1:31" x14ac:dyDescent="0.2">
      <c r="A1599" s="209"/>
      <c r="B1599" s="4" t="s">
        <v>34</v>
      </c>
      <c r="C1599" s="4">
        <v>1594</v>
      </c>
      <c r="D1599" s="210"/>
      <c r="E1599" s="210"/>
      <c r="F1599" s="210"/>
      <c r="G1599" s="210"/>
      <c r="H1599" s="210"/>
      <c r="I1599" s="210"/>
      <c r="J1599" s="4">
        <v>40794</v>
      </c>
      <c r="K1599" s="210"/>
      <c r="L1599" s="210">
        <v>100</v>
      </c>
      <c r="M1599" s="4">
        <f t="shared" si="30"/>
        <v>9</v>
      </c>
      <c r="N1599" s="4" t="str">
        <f>_xlfn.CONCAT("DBX",((L1599-1)*2)+1,".1")</f>
        <v>DBX199.1</v>
      </c>
      <c r="O1599" s="210" t="s">
        <v>782</v>
      </c>
      <c r="P1599" s="210"/>
      <c r="Q1599" s="210"/>
      <c r="R1599" s="210"/>
      <c r="S1599" s="210"/>
      <c r="T1599" s="210"/>
      <c r="U1599" s="210"/>
      <c r="V1599" s="210"/>
      <c r="W1599" s="210"/>
      <c r="X1599" s="210"/>
      <c r="Y1599" s="210"/>
      <c r="Z1599" s="210"/>
      <c r="AA1599" s="210"/>
      <c r="AB1599" s="210"/>
      <c r="AC1599" s="210"/>
      <c r="AD1599" s="210"/>
      <c r="AE1599" s="210"/>
    </row>
    <row r="1600" spans="1:31" x14ac:dyDescent="0.2">
      <c r="A1600" s="209"/>
      <c r="B1600" s="4" t="s">
        <v>34</v>
      </c>
      <c r="C1600" s="4">
        <v>1595</v>
      </c>
      <c r="D1600" s="210"/>
      <c r="E1600" s="210"/>
      <c r="F1600" s="210"/>
      <c r="G1600" s="210"/>
      <c r="H1600" s="210"/>
      <c r="I1600" s="210"/>
      <c r="J1600" s="4">
        <v>40795</v>
      </c>
      <c r="K1600" s="210"/>
      <c r="L1600" s="210">
        <v>100</v>
      </c>
      <c r="M1600" s="4">
        <f t="shared" si="30"/>
        <v>10</v>
      </c>
      <c r="N1600" s="4" t="str">
        <f>_xlfn.CONCAT("DBX",((L1600-1)*2)+1,".2")</f>
        <v>DBX199.2</v>
      </c>
      <c r="O1600" s="210" t="s">
        <v>782</v>
      </c>
      <c r="P1600" s="210"/>
      <c r="Q1600" s="210"/>
      <c r="R1600" s="210"/>
      <c r="S1600" s="210"/>
      <c r="T1600" s="210"/>
      <c r="U1600" s="210"/>
      <c r="V1600" s="210"/>
      <c r="W1600" s="210"/>
      <c r="X1600" s="210"/>
      <c r="Y1600" s="210"/>
      <c r="Z1600" s="210"/>
      <c r="AA1600" s="210"/>
      <c r="AB1600" s="210"/>
      <c r="AC1600" s="210"/>
      <c r="AD1600" s="210"/>
      <c r="AE1600" s="210"/>
    </row>
    <row r="1601" spans="1:31" x14ac:dyDescent="0.2">
      <c r="A1601" s="209"/>
      <c r="B1601" s="4" t="s">
        <v>34</v>
      </c>
      <c r="C1601" s="4">
        <v>1596</v>
      </c>
      <c r="D1601" s="210"/>
      <c r="E1601" s="210"/>
      <c r="F1601" s="210"/>
      <c r="G1601" s="210"/>
      <c r="H1601" s="210"/>
      <c r="I1601" s="210"/>
      <c r="J1601" s="4">
        <v>40796</v>
      </c>
      <c r="K1601" s="210"/>
      <c r="L1601" s="210">
        <v>100</v>
      </c>
      <c r="M1601" s="4">
        <f t="shared" si="30"/>
        <v>11</v>
      </c>
      <c r="N1601" s="4" t="str">
        <f>_xlfn.CONCAT("DBX",((L1601-1)*2)+1,".3")</f>
        <v>DBX199.3</v>
      </c>
      <c r="O1601" s="210" t="s">
        <v>782</v>
      </c>
      <c r="P1601" s="210"/>
      <c r="Q1601" s="210"/>
      <c r="R1601" s="210"/>
      <c r="S1601" s="210"/>
      <c r="T1601" s="210"/>
      <c r="U1601" s="210"/>
      <c r="V1601" s="210"/>
      <c r="W1601" s="210"/>
      <c r="X1601" s="210"/>
      <c r="Y1601" s="210"/>
      <c r="Z1601" s="210"/>
      <c r="AA1601" s="210"/>
      <c r="AB1601" s="210"/>
      <c r="AC1601" s="210"/>
      <c r="AD1601" s="210"/>
      <c r="AE1601" s="210"/>
    </row>
    <row r="1602" spans="1:31" x14ac:dyDescent="0.2">
      <c r="A1602" s="209"/>
      <c r="B1602" s="4" t="s">
        <v>34</v>
      </c>
      <c r="C1602" s="4">
        <v>1597</v>
      </c>
      <c r="D1602" s="210"/>
      <c r="E1602" s="210"/>
      <c r="F1602" s="210"/>
      <c r="G1602" s="210"/>
      <c r="H1602" s="210"/>
      <c r="I1602" s="210"/>
      <c r="J1602" s="4">
        <v>40797</v>
      </c>
      <c r="K1602" s="210"/>
      <c r="L1602" s="210">
        <v>100</v>
      </c>
      <c r="M1602" s="4">
        <f t="shared" si="30"/>
        <v>12</v>
      </c>
      <c r="N1602" s="4" t="str">
        <f>_xlfn.CONCAT("DBX",((L1602-1)*2)+1,".4")</f>
        <v>DBX199.4</v>
      </c>
      <c r="O1602" s="210" t="s">
        <v>782</v>
      </c>
      <c r="P1602" s="210"/>
      <c r="Q1602" s="210"/>
      <c r="R1602" s="210"/>
      <c r="S1602" s="210"/>
      <c r="T1602" s="210"/>
      <c r="U1602" s="210"/>
      <c r="V1602" s="210"/>
      <c r="W1602" s="210"/>
      <c r="X1602" s="210"/>
      <c r="Y1602" s="210"/>
      <c r="Z1602" s="210"/>
      <c r="AA1602" s="210"/>
      <c r="AB1602" s="210"/>
      <c r="AC1602" s="210"/>
      <c r="AD1602" s="210"/>
      <c r="AE1602" s="210"/>
    </row>
    <row r="1603" spans="1:31" x14ac:dyDescent="0.2">
      <c r="A1603" s="209"/>
      <c r="B1603" s="4" t="s">
        <v>34</v>
      </c>
      <c r="C1603" s="4">
        <v>1598</v>
      </c>
      <c r="D1603" s="210"/>
      <c r="E1603" s="210"/>
      <c r="F1603" s="210"/>
      <c r="G1603" s="210"/>
      <c r="H1603" s="210"/>
      <c r="I1603" s="210"/>
      <c r="J1603" s="4">
        <v>40798</v>
      </c>
      <c r="K1603" s="210"/>
      <c r="L1603" s="210">
        <v>100</v>
      </c>
      <c r="M1603" s="4">
        <f t="shared" si="30"/>
        <v>13</v>
      </c>
      <c r="N1603" s="4" t="str">
        <f>_xlfn.CONCAT("DBX",((L1603-1)*2)+1,".5")</f>
        <v>DBX199.5</v>
      </c>
      <c r="O1603" s="210" t="s">
        <v>782</v>
      </c>
      <c r="P1603" s="210"/>
      <c r="Q1603" s="210"/>
      <c r="R1603" s="210"/>
      <c r="S1603" s="210"/>
      <c r="T1603" s="210"/>
      <c r="U1603" s="210"/>
      <c r="V1603" s="210"/>
      <c r="W1603" s="210"/>
      <c r="X1603" s="210"/>
      <c r="Y1603" s="210"/>
      <c r="Z1603" s="210"/>
      <c r="AA1603" s="210"/>
      <c r="AB1603" s="210"/>
      <c r="AC1603" s="210"/>
      <c r="AD1603" s="210"/>
      <c r="AE1603" s="210"/>
    </row>
    <row r="1604" spans="1:31" x14ac:dyDescent="0.2">
      <c r="A1604" s="209"/>
      <c r="B1604" s="4" t="s">
        <v>34</v>
      </c>
      <c r="C1604" s="4">
        <v>1599</v>
      </c>
      <c r="D1604" s="210"/>
      <c r="E1604" s="210"/>
      <c r="F1604" s="210"/>
      <c r="G1604" s="210"/>
      <c r="H1604" s="210"/>
      <c r="I1604" s="210"/>
      <c r="J1604" s="4">
        <v>40799</v>
      </c>
      <c r="K1604" s="210"/>
      <c r="L1604" s="210">
        <v>100</v>
      </c>
      <c r="M1604" s="4">
        <f t="shared" si="30"/>
        <v>14</v>
      </c>
      <c r="N1604" s="4" t="str">
        <f>_xlfn.CONCAT("DBX",((L1604-1)*2)+1,".6")</f>
        <v>DBX199.6</v>
      </c>
      <c r="O1604" s="210" t="s">
        <v>782</v>
      </c>
      <c r="P1604" s="210"/>
      <c r="Q1604" s="210"/>
      <c r="R1604" s="210"/>
      <c r="S1604" s="210"/>
      <c r="T1604" s="210"/>
      <c r="U1604" s="210"/>
      <c r="V1604" s="210"/>
      <c r="W1604" s="210"/>
      <c r="X1604" s="210"/>
      <c r="Y1604" s="210"/>
      <c r="Z1604" s="210"/>
      <c r="AA1604" s="210"/>
      <c r="AB1604" s="210"/>
      <c r="AC1604" s="210"/>
      <c r="AD1604" s="210"/>
      <c r="AE1604" s="210"/>
    </row>
    <row r="1605" spans="1:31" x14ac:dyDescent="0.2">
      <c r="A1605" s="209"/>
      <c r="B1605" s="4" t="s">
        <v>34</v>
      </c>
      <c r="C1605" s="4">
        <v>1600</v>
      </c>
      <c r="D1605" s="210"/>
      <c r="E1605" s="210"/>
      <c r="F1605" s="210"/>
      <c r="G1605" s="210"/>
      <c r="H1605" s="210"/>
      <c r="I1605" s="210"/>
      <c r="J1605" s="4">
        <v>40800</v>
      </c>
      <c r="K1605" s="210"/>
      <c r="L1605" s="210">
        <v>100</v>
      </c>
      <c r="M1605" s="4">
        <f t="shared" si="30"/>
        <v>15</v>
      </c>
      <c r="N1605" s="4" t="str">
        <f>_xlfn.CONCAT("DBX",((L1605-1)*2)+1,".7")</f>
        <v>DBX199.7</v>
      </c>
      <c r="O1605" s="210" t="s">
        <v>782</v>
      </c>
      <c r="P1605" s="210"/>
      <c r="Q1605" s="210"/>
      <c r="R1605" s="210"/>
      <c r="S1605" s="210"/>
      <c r="T1605" s="210"/>
      <c r="U1605" s="210"/>
      <c r="V1605" s="210"/>
      <c r="W1605" s="210"/>
      <c r="X1605" s="210"/>
      <c r="Y1605" s="210"/>
      <c r="Z1605" s="210"/>
      <c r="AA1605" s="210"/>
      <c r="AB1605" s="210"/>
      <c r="AC1605" s="210"/>
      <c r="AD1605" s="210"/>
      <c r="AE1605" s="210"/>
    </row>
    <row r="1606" spans="1:31" ht="12" thickBot="1" x14ac:dyDescent="0.25">
      <c r="A1606" s="59"/>
      <c r="B1606" s="5"/>
      <c r="C1606" s="5" t="s">
        <v>37</v>
      </c>
      <c r="D1606" s="5"/>
      <c r="E1606" s="5"/>
      <c r="F1606" s="5"/>
      <c r="G1606" s="5"/>
      <c r="H1606" s="5"/>
      <c r="I1606" s="5"/>
      <c r="J1606" s="5"/>
      <c r="K1606" s="5"/>
      <c r="L1606" s="5"/>
      <c r="M1606" s="5"/>
      <c r="N1606" s="5"/>
      <c r="O1606" s="5"/>
      <c r="P1606" s="5"/>
      <c r="Q1606" s="5"/>
      <c r="R1606" s="5"/>
      <c r="S1606" s="5"/>
      <c r="T1606" s="5"/>
      <c r="U1606" s="5"/>
      <c r="V1606" s="5"/>
      <c r="W1606" s="5"/>
      <c r="X1606" s="5"/>
      <c r="Y1606" s="5"/>
      <c r="Z1606" s="5"/>
      <c r="AA1606" s="5"/>
      <c r="AB1606" s="5"/>
      <c r="AC1606" s="5"/>
      <c r="AD1606" s="5"/>
      <c r="AE1606" s="5"/>
    </row>
    <row r="1607" spans="1:31" ht="12" thickBot="1" x14ac:dyDescent="0.25"/>
    <row r="1608" spans="1:31" s="9" customFormat="1" ht="22.5" x14ac:dyDescent="0.2">
      <c r="A1608" s="19"/>
      <c r="B1608" s="8"/>
      <c r="C1608" s="8"/>
      <c r="D1608" s="8"/>
      <c r="E1608" s="8"/>
      <c r="F1608" s="8" t="s">
        <v>38</v>
      </c>
      <c r="G1608" s="8" t="s">
        <v>38</v>
      </c>
      <c r="H1608" s="8" t="s">
        <v>38</v>
      </c>
      <c r="I1608" s="8" t="s">
        <v>38</v>
      </c>
      <c r="J1608" s="8"/>
      <c r="K1608" s="8" t="s">
        <v>38</v>
      </c>
      <c r="L1608" s="8"/>
      <c r="M1608" s="8"/>
      <c r="N1608" s="8"/>
      <c r="O1608" s="8" t="s">
        <v>38</v>
      </c>
      <c r="P1608" s="8" t="s">
        <v>38</v>
      </c>
      <c r="Q1608" s="8" t="s">
        <v>39</v>
      </c>
      <c r="R1608" s="8"/>
      <c r="S1608" s="8"/>
      <c r="T1608" s="8"/>
      <c r="U1608" s="19"/>
      <c r="V1608" s="167"/>
      <c r="W1608" s="30"/>
      <c r="X1608" s="29" t="s">
        <v>116</v>
      </c>
      <c r="Y1608" s="8"/>
      <c r="Z1608" s="18" t="s">
        <v>39</v>
      </c>
      <c r="AA1608" s="18" t="s">
        <v>39</v>
      </c>
      <c r="AB1608" s="18"/>
      <c r="AC1608" s="6"/>
      <c r="AD1608" s="18"/>
      <c r="AE1608" s="8"/>
    </row>
    <row r="1609" spans="1:31" s="11" customFormat="1" x14ac:dyDescent="0.2">
      <c r="A1609" s="20"/>
      <c r="B1609" s="10"/>
      <c r="C1609" s="10"/>
      <c r="D1609" s="10"/>
      <c r="E1609" s="10"/>
      <c r="F1609" s="10" t="s">
        <v>42</v>
      </c>
      <c r="G1609" s="10" t="s">
        <v>40</v>
      </c>
      <c r="H1609" s="10" t="s">
        <v>41</v>
      </c>
      <c r="I1609" s="10" t="s">
        <v>40</v>
      </c>
      <c r="J1609" s="10"/>
      <c r="K1609" s="10" t="s">
        <v>11</v>
      </c>
      <c r="L1609" s="10"/>
      <c r="M1609" s="10"/>
      <c r="N1609" s="10"/>
      <c r="O1609" s="10" t="s">
        <v>179</v>
      </c>
      <c r="P1609" s="10" t="s">
        <v>11</v>
      </c>
      <c r="Q1609" s="10" t="s">
        <v>33</v>
      </c>
      <c r="R1609" s="10"/>
      <c r="S1609" s="10">
        <v>3922</v>
      </c>
      <c r="T1609" s="10"/>
      <c r="U1609" s="20"/>
      <c r="W1609" s="23" t="s">
        <v>117</v>
      </c>
      <c r="X1609" s="22">
        <v>1</v>
      </c>
      <c r="Y1609" s="10"/>
      <c r="Z1609" s="17">
        <v>1</v>
      </c>
      <c r="AA1609" s="17" t="s">
        <v>107</v>
      </c>
      <c r="AB1609" s="17"/>
      <c r="AC1609" s="6"/>
      <c r="AD1609" s="17"/>
      <c r="AE1609" s="10"/>
    </row>
    <row r="1610" spans="1:31" s="11" customFormat="1" x14ac:dyDescent="0.2">
      <c r="A1610" s="20"/>
      <c r="B1610" s="10"/>
      <c r="C1610" s="10"/>
      <c r="D1610" s="10"/>
      <c r="E1610" s="10"/>
      <c r="F1610" s="10" t="s">
        <v>43</v>
      </c>
      <c r="G1610" s="10" t="s">
        <v>72</v>
      </c>
      <c r="H1610" s="10" t="s">
        <v>77</v>
      </c>
      <c r="I1610" s="10" t="s">
        <v>82</v>
      </c>
      <c r="J1610" s="10"/>
      <c r="K1610" s="10" t="s">
        <v>98</v>
      </c>
      <c r="L1610" s="10"/>
      <c r="M1610" s="10"/>
      <c r="N1610" s="10"/>
      <c r="O1610" s="10" t="s">
        <v>180</v>
      </c>
      <c r="P1610" s="10" t="s">
        <v>98</v>
      </c>
      <c r="Q1610" s="10" t="s">
        <v>87</v>
      </c>
      <c r="R1610" s="10"/>
      <c r="S1610" s="10">
        <v>3923</v>
      </c>
      <c r="T1610" s="10"/>
      <c r="U1610" s="20"/>
      <c r="W1610" s="25" t="s">
        <v>118</v>
      </c>
      <c r="X1610" s="24">
        <v>2</v>
      </c>
      <c r="Y1610" s="10"/>
      <c r="Z1610" s="17"/>
      <c r="AA1610" s="17" t="s">
        <v>41</v>
      </c>
      <c r="AB1610" s="17"/>
      <c r="AC1610" s="6"/>
      <c r="AD1610" s="17"/>
      <c r="AE1610" s="10"/>
    </row>
    <row r="1611" spans="1:31" s="11" customFormat="1" x14ac:dyDescent="0.2">
      <c r="A1611" s="20"/>
      <c r="B1611" s="10"/>
      <c r="C1611" s="10"/>
      <c r="D1611" s="10"/>
      <c r="E1611" s="10"/>
      <c r="F1611" s="10" t="s">
        <v>44</v>
      </c>
      <c r="G1611" s="10" t="s">
        <v>73</v>
      </c>
      <c r="H1611" s="10" t="s">
        <v>78</v>
      </c>
      <c r="I1611" s="10" t="s">
        <v>83</v>
      </c>
      <c r="J1611" s="10"/>
      <c r="K1611" s="10" t="s">
        <v>99</v>
      </c>
      <c r="L1611" s="10"/>
      <c r="M1611" s="10"/>
      <c r="N1611" s="10"/>
      <c r="O1611" s="10"/>
      <c r="P1611" s="10" t="s">
        <v>99</v>
      </c>
      <c r="Q1611" s="10" t="s">
        <v>88</v>
      </c>
      <c r="R1611" s="10"/>
      <c r="S1611" s="10"/>
      <c r="T1611" s="10"/>
      <c r="U1611" s="20"/>
      <c r="W1611" s="25" t="s">
        <v>119</v>
      </c>
      <c r="X1611" s="22">
        <v>3</v>
      </c>
      <c r="Y1611" s="10"/>
      <c r="Z1611" s="10"/>
      <c r="AA1611" s="10"/>
      <c r="AB1611" s="10"/>
      <c r="AC1611" s="6"/>
      <c r="AD1611" s="10"/>
      <c r="AE1611" s="10"/>
    </row>
    <row r="1612" spans="1:31" s="11" customFormat="1" x14ac:dyDescent="0.2">
      <c r="A1612" s="20"/>
      <c r="B1612" s="10"/>
      <c r="C1612" s="10"/>
      <c r="D1612" s="10"/>
      <c r="E1612" s="10"/>
      <c r="F1612" s="10" t="s">
        <v>45</v>
      </c>
      <c r="G1612" s="10" t="s">
        <v>74</v>
      </c>
      <c r="H1612" s="10" t="s">
        <v>79</v>
      </c>
      <c r="I1612" s="10" t="s">
        <v>84</v>
      </c>
      <c r="J1612" s="10"/>
      <c r="K1612" s="10"/>
      <c r="L1612" s="10"/>
      <c r="M1612" s="10"/>
      <c r="N1612" s="10"/>
      <c r="O1612" s="10"/>
      <c r="P1612" s="10"/>
      <c r="Q1612" s="10" t="s">
        <v>89</v>
      </c>
      <c r="R1612" s="10"/>
      <c r="S1612" s="10"/>
      <c r="T1612" s="10"/>
      <c r="U1612" s="20"/>
      <c r="W1612" s="25" t="s">
        <v>120</v>
      </c>
      <c r="X1612" s="24">
        <v>4</v>
      </c>
      <c r="Y1612" s="10"/>
      <c r="Z1612" s="10"/>
      <c r="AA1612" s="10"/>
      <c r="AB1612" s="10"/>
      <c r="AC1612" s="6"/>
      <c r="AD1612" s="10"/>
      <c r="AE1612" s="10"/>
    </row>
    <row r="1613" spans="1:31" s="11" customFormat="1" x14ac:dyDescent="0.2">
      <c r="A1613" s="20"/>
      <c r="B1613" s="10"/>
      <c r="C1613" s="10"/>
      <c r="D1613" s="10"/>
      <c r="E1613" s="10"/>
      <c r="F1613" s="10" t="s">
        <v>46</v>
      </c>
      <c r="G1613" s="10" t="s">
        <v>75</v>
      </c>
      <c r="H1613" s="10" t="s">
        <v>80</v>
      </c>
      <c r="I1613" s="10" t="s">
        <v>85</v>
      </c>
      <c r="J1613" s="10"/>
      <c r="K1613" s="10"/>
      <c r="L1613" s="10"/>
      <c r="M1613" s="10"/>
      <c r="N1613" s="10"/>
      <c r="O1613" s="10"/>
      <c r="P1613" s="10"/>
      <c r="Q1613" s="10" t="s">
        <v>90</v>
      </c>
      <c r="R1613" s="10"/>
      <c r="S1613" s="10"/>
      <c r="T1613" s="10"/>
      <c r="U1613" s="20"/>
      <c r="W1613" s="25" t="s">
        <v>121</v>
      </c>
      <c r="X1613" s="22">
        <v>5</v>
      </c>
      <c r="Y1613" s="10"/>
      <c r="Z1613" s="10"/>
      <c r="AA1613" s="10"/>
      <c r="AB1613" s="10"/>
      <c r="AC1613" s="6"/>
      <c r="AD1613" s="10"/>
      <c r="AE1613" s="10"/>
    </row>
    <row r="1614" spans="1:31" s="11" customFormat="1" x14ac:dyDescent="0.2">
      <c r="A1614" s="20"/>
      <c r="B1614" s="10"/>
      <c r="C1614" s="10"/>
      <c r="D1614" s="10"/>
      <c r="E1614" s="10"/>
      <c r="F1614" s="10" t="s">
        <v>47</v>
      </c>
      <c r="G1614" s="10" t="s">
        <v>76</v>
      </c>
      <c r="H1614" s="10" t="s">
        <v>81</v>
      </c>
      <c r="I1614" s="10" t="s">
        <v>86</v>
      </c>
      <c r="J1614" s="10"/>
      <c r="K1614" s="10"/>
      <c r="L1614" s="10"/>
      <c r="M1614" s="10"/>
      <c r="N1614" s="10"/>
      <c r="O1614" s="10"/>
      <c r="P1614" s="10"/>
      <c r="Q1614" s="10" t="s">
        <v>91</v>
      </c>
      <c r="R1614" s="10"/>
      <c r="S1614" s="10"/>
      <c r="T1614" s="10"/>
      <c r="U1614" s="20"/>
      <c r="W1614" s="25" t="s">
        <v>122</v>
      </c>
      <c r="X1614" s="24">
        <v>6</v>
      </c>
      <c r="Y1614" s="10"/>
      <c r="Z1614" s="10"/>
      <c r="AA1614" s="10"/>
      <c r="AB1614" s="10"/>
      <c r="AC1614" s="6"/>
      <c r="AD1614" s="10"/>
      <c r="AE1614" s="10"/>
    </row>
    <row r="1615" spans="1:31" s="11" customFormat="1" x14ac:dyDescent="0.2">
      <c r="A1615" s="20"/>
      <c r="B1615" s="10"/>
      <c r="C1615" s="10"/>
      <c r="D1615" s="10"/>
      <c r="E1615" s="10"/>
      <c r="F1615" s="10" t="s">
        <v>48</v>
      </c>
      <c r="G1615" s="10"/>
      <c r="H1615" s="10"/>
      <c r="I1615" s="10"/>
      <c r="J1615" s="10"/>
      <c r="K1615" s="10"/>
      <c r="L1615" s="10"/>
      <c r="M1615" s="10"/>
      <c r="N1615" s="10"/>
      <c r="O1615" s="10"/>
      <c r="P1615" s="10"/>
      <c r="Q1615" s="10" t="s">
        <v>92</v>
      </c>
      <c r="R1615" s="10"/>
      <c r="S1615" s="10"/>
      <c r="T1615" s="10"/>
      <c r="U1615" s="20"/>
      <c r="W1615" s="25" t="s">
        <v>123</v>
      </c>
      <c r="X1615" s="22">
        <v>7</v>
      </c>
      <c r="Y1615" s="10"/>
      <c r="Z1615" s="10"/>
      <c r="AA1615" s="10"/>
      <c r="AB1615" s="10"/>
      <c r="AC1615" s="6"/>
      <c r="AD1615" s="10"/>
      <c r="AE1615" s="10"/>
    </row>
    <row r="1616" spans="1:31" s="11" customFormat="1" x14ac:dyDescent="0.2">
      <c r="A1616" s="20"/>
      <c r="B1616" s="10"/>
      <c r="C1616" s="10"/>
      <c r="D1616" s="10"/>
      <c r="E1616" s="10"/>
      <c r="F1616" s="10" t="s">
        <v>49</v>
      </c>
      <c r="G1616" s="10"/>
      <c r="H1616" s="10"/>
      <c r="I1616" s="10"/>
      <c r="J1616" s="10"/>
      <c r="K1616" s="10"/>
      <c r="L1616" s="10"/>
      <c r="M1616" s="10"/>
      <c r="N1616" s="10"/>
      <c r="O1616" s="10"/>
      <c r="P1616" s="10"/>
      <c r="Q1616" s="10" t="s">
        <v>93</v>
      </c>
      <c r="R1616" s="10"/>
      <c r="S1616" s="10"/>
      <c r="T1616" s="10"/>
      <c r="U1616" s="20"/>
      <c r="W1616" s="25" t="s">
        <v>124</v>
      </c>
      <c r="X1616" s="24">
        <v>8</v>
      </c>
      <c r="Y1616" s="10"/>
      <c r="Z1616" s="10"/>
      <c r="AA1616" s="10"/>
      <c r="AB1616" s="10"/>
      <c r="AC1616" s="6"/>
      <c r="AD1616" s="10"/>
      <c r="AE1616" s="10"/>
    </row>
    <row r="1617" spans="1:31" s="11" customFormat="1" x14ac:dyDescent="0.2">
      <c r="A1617" s="20"/>
      <c r="B1617" s="10"/>
      <c r="C1617" s="10"/>
      <c r="D1617" s="10"/>
      <c r="E1617" s="10"/>
      <c r="F1617" s="10" t="s">
        <v>50</v>
      </c>
      <c r="G1617" s="10"/>
      <c r="H1617" s="10"/>
      <c r="I1617" s="10"/>
      <c r="J1617" s="10"/>
      <c r="K1617" s="10"/>
      <c r="L1617" s="10"/>
      <c r="M1617" s="10"/>
      <c r="N1617" s="10"/>
      <c r="O1617" s="10"/>
      <c r="P1617" s="10"/>
      <c r="Q1617" s="10" t="s">
        <v>12</v>
      </c>
      <c r="R1617" s="10"/>
      <c r="S1617" s="10"/>
      <c r="T1617" s="10"/>
      <c r="U1617" s="20"/>
      <c r="W1617" s="25" t="s">
        <v>125</v>
      </c>
      <c r="X1617" s="22">
        <v>9</v>
      </c>
      <c r="Y1617" s="10"/>
      <c r="Z1617" s="10"/>
      <c r="AA1617" s="10"/>
      <c r="AB1617" s="10"/>
      <c r="AC1617" s="6"/>
      <c r="AD1617" s="10"/>
      <c r="AE1617" s="10"/>
    </row>
    <row r="1618" spans="1:31" s="11" customFormat="1" x14ac:dyDescent="0.2">
      <c r="A1618" s="20"/>
      <c r="B1618" s="10"/>
      <c r="C1618" s="10"/>
      <c r="D1618" s="10"/>
      <c r="E1618" s="10"/>
      <c r="F1618" s="10" t="s">
        <v>51</v>
      </c>
      <c r="G1618" s="10"/>
      <c r="H1618" s="10"/>
      <c r="I1618" s="10"/>
      <c r="J1618" s="10"/>
      <c r="K1618" s="10"/>
      <c r="L1618" s="10"/>
      <c r="M1618" s="10"/>
      <c r="N1618" s="10"/>
      <c r="O1618" s="10"/>
      <c r="P1618" s="10"/>
      <c r="Q1618" s="10" t="s">
        <v>94</v>
      </c>
      <c r="R1618" s="10"/>
      <c r="S1618" s="10"/>
      <c r="T1618" s="10"/>
      <c r="U1618" s="20"/>
      <c r="W1618" s="25" t="s">
        <v>126</v>
      </c>
      <c r="X1618" s="24">
        <v>10</v>
      </c>
      <c r="Y1618" s="10"/>
      <c r="Z1618" s="10"/>
      <c r="AA1618" s="10"/>
      <c r="AB1618" s="10"/>
      <c r="AC1618" s="6"/>
      <c r="AD1618" s="10"/>
      <c r="AE1618" s="10"/>
    </row>
    <row r="1619" spans="1:31" s="11" customFormat="1" x14ac:dyDescent="0.2">
      <c r="A1619" s="20"/>
      <c r="B1619" s="10"/>
      <c r="C1619" s="10"/>
      <c r="D1619" s="10"/>
      <c r="E1619" s="10"/>
      <c r="F1619" s="10" t="s">
        <v>52</v>
      </c>
      <c r="G1619" s="10"/>
      <c r="H1619" s="10"/>
      <c r="I1619" s="10"/>
      <c r="J1619" s="10"/>
      <c r="K1619" s="10"/>
      <c r="L1619" s="10"/>
      <c r="M1619" s="10"/>
      <c r="N1619" s="10"/>
      <c r="O1619" s="10"/>
      <c r="P1619" s="10"/>
      <c r="Q1619" s="10"/>
      <c r="R1619" s="10"/>
      <c r="S1619" s="10"/>
      <c r="T1619" s="10"/>
      <c r="U1619" s="20"/>
      <c r="W1619" s="25" t="s">
        <v>127</v>
      </c>
      <c r="X1619" s="22">
        <v>11</v>
      </c>
      <c r="Y1619" s="10"/>
      <c r="Z1619" s="10"/>
      <c r="AA1619" s="10"/>
      <c r="AB1619" s="10"/>
      <c r="AC1619" s="6"/>
      <c r="AD1619" s="10"/>
      <c r="AE1619" s="10"/>
    </row>
    <row r="1620" spans="1:31" s="11" customFormat="1" x14ac:dyDescent="0.2">
      <c r="A1620" s="20"/>
      <c r="B1620" s="10"/>
      <c r="C1620" s="10"/>
      <c r="D1620" s="10"/>
      <c r="E1620" s="10"/>
      <c r="F1620" s="10" t="s">
        <v>53</v>
      </c>
      <c r="G1620" s="10"/>
      <c r="H1620" s="10"/>
      <c r="I1620" s="10"/>
      <c r="J1620" s="10"/>
      <c r="K1620" s="10"/>
      <c r="L1620" s="10"/>
      <c r="M1620" s="10"/>
      <c r="N1620" s="10"/>
      <c r="O1620" s="10"/>
      <c r="P1620" s="10"/>
      <c r="Q1620" s="10"/>
      <c r="R1620" s="10"/>
      <c r="S1620" s="10"/>
      <c r="T1620" s="10"/>
      <c r="U1620" s="20"/>
      <c r="W1620" s="25" t="s">
        <v>128</v>
      </c>
      <c r="X1620" s="24">
        <v>12</v>
      </c>
      <c r="Y1620" s="10"/>
      <c r="Z1620" s="10"/>
      <c r="AA1620" s="10"/>
      <c r="AB1620" s="10"/>
      <c r="AC1620" s="6"/>
      <c r="AD1620" s="10"/>
      <c r="AE1620" s="10"/>
    </row>
    <row r="1621" spans="1:31" s="11" customFormat="1" x14ac:dyDescent="0.2">
      <c r="A1621" s="20"/>
      <c r="B1621" s="10"/>
      <c r="C1621" s="10"/>
      <c r="D1621" s="10"/>
      <c r="E1621" s="10"/>
      <c r="F1621" s="10" t="s">
        <v>54</v>
      </c>
      <c r="G1621" s="10"/>
      <c r="H1621" s="10"/>
      <c r="I1621" s="10"/>
      <c r="J1621" s="10"/>
      <c r="K1621" s="10"/>
      <c r="L1621" s="10"/>
      <c r="M1621" s="10"/>
      <c r="N1621" s="10"/>
      <c r="O1621" s="10"/>
      <c r="P1621" s="10"/>
      <c r="Q1621" s="10"/>
      <c r="R1621" s="10"/>
      <c r="S1621" s="10"/>
      <c r="T1621" s="10"/>
      <c r="U1621" s="20"/>
      <c r="W1621" s="25" t="s">
        <v>129</v>
      </c>
      <c r="X1621" s="22">
        <v>13</v>
      </c>
      <c r="Y1621" s="10"/>
      <c r="Z1621" s="10"/>
      <c r="AA1621" s="10"/>
      <c r="AB1621" s="10"/>
      <c r="AC1621" s="6"/>
      <c r="AD1621" s="10"/>
      <c r="AE1621" s="10"/>
    </row>
    <row r="1622" spans="1:31" s="11" customFormat="1" x14ac:dyDescent="0.2">
      <c r="A1622" s="20"/>
      <c r="B1622" s="10"/>
      <c r="C1622" s="10"/>
      <c r="D1622" s="10"/>
      <c r="E1622" s="10"/>
      <c r="F1622" s="10" t="s">
        <v>55</v>
      </c>
      <c r="G1622" s="10"/>
      <c r="H1622" s="10"/>
      <c r="I1622" s="10"/>
      <c r="J1622" s="10"/>
      <c r="K1622" s="10"/>
      <c r="L1622" s="10"/>
      <c r="M1622" s="10"/>
      <c r="N1622" s="10"/>
      <c r="O1622" s="10"/>
      <c r="P1622" s="10"/>
      <c r="Q1622" s="10"/>
      <c r="R1622" s="10"/>
      <c r="S1622" s="10"/>
      <c r="T1622" s="10"/>
      <c r="U1622" s="20"/>
      <c r="W1622" s="26" t="s">
        <v>163</v>
      </c>
      <c r="X1622" s="20">
        <v>0</v>
      </c>
      <c r="Y1622" s="10"/>
      <c r="Z1622" s="10"/>
      <c r="AA1622" s="10"/>
      <c r="AB1622" s="10"/>
      <c r="AC1622" s="6"/>
      <c r="AD1622" s="10"/>
      <c r="AE1622" s="10"/>
    </row>
    <row r="1623" spans="1:31" s="11" customFormat="1" x14ac:dyDescent="0.2">
      <c r="A1623" s="20"/>
      <c r="B1623" s="10"/>
      <c r="C1623" s="10"/>
      <c r="D1623" s="10"/>
      <c r="E1623" s="10"/>
      <c r="F1623" s="10" t="s">
        <v>56</v>
      </c>
      <c r="G1623" s="10"/>
      <c r="H1623" s="10"/>
      <c r="I1623" s="10"/>
      <c r="J1623" s="10"/>
      <c r="K1623" s="10"/>
      <c r="L1623" s="10"/>
      <c r="M1623" s="10"/>
      <c r="N1623" s="10"/>
      <c r="O1623" s="10"/>
      <c r="P1623" s="10"/>
      <c r="Q1623" s="10"/>
      <c r="R1623" s="10"/>
      <c r="S1623" s="10"/>
      <c r="T1623" s="10"/>
      <c r="U1623" s="20"/>
      <c r="W1623" s="26"/>
      <c r="X1623" s="20"/>
      <c r="Y1623" s="10"/>
      <c r="Z1623" s="10"/>
      <c r="AA1623" s="10"/>
      <c r="AB1623" s="10"/>
      <c r="AC1623" s="6"/>
      <c r="AD1623" s="10"/>
      <c r="AE1623" s="10"/>
    </row>
    <row r="1624" spans="1:31" s="11" customFormat="1" x14ac:dyDescent="0.2">
      <c r="A1624" s="20"/>
      <c r="B1624" s="10"/>
      <c r="C1624" s="10"/>
      <c r="D1624" s="10"/>
      <c r="E1624" s="10"/>
      <c r="F1624" s="10" t="s">
        <v>57</v>
      </c>
      <c r="G1624" s="10"/>
      <c r="H1624" s="10"/>
      <c r="I1624" s="10"/>
      <c r="J1624" s="10"/>
      <c r="K1624" s="10"/>
      <c r="L1624" s="10"/>
      <c r="M1624" s="10"/>
      <c r="N1624" s="10"/>
      <c r="O1624" s="10"/>
      <c r="P1624" s="10"/>
      <c r="Q1624" s="10"/>
      <c r="R1624" s="10"/>
      <c r="S1624" s="10"/>
      <c r="T1624" s="10"/>
      <c r="U1624" s="20"/>
      <c r="W1624" s="26"/>
      <c r="X1624" s="20"/>
      <c r="Y1624" s="10"/>
      <c r="Z1624" s="10"/>
      <c r="AA1624" s="10"/>
      <c r="AB1624" s="10"/>
      <c r="AC1624" s="6"/>
      <c r="AD1624" s="10"/>
      <c r="AE1624" s="10"/>
    </row>
    <row r="1625" spans="1:31" s="11" customFormat="1" x14ac:dyDescent="0.2">
      <c r="A1625" s="20"/>
      <c r="B1625" s="10"/>
      <c r="C1625" s="10"/>
      <c r="D1625" s="10"/>
      <c r="E1625" s="10"/>
      <c r="F1625" s="10" t="s">
        <v>58</v>
      </c>
      <c r="G1625" s="10"/>
      <c r="H1625" s="10"/>
      <c r="I1625" s="10"/>
      <c r="J1625" s="10"/>
      <c r="K1625" s="10"/>
      <c r="L1625" s="10"/>
      <c r="M1625" s="10"/>
      <c r="N1625" s="10"/>
      <c r="O1625" s="10"/>
      <c r="P1625" s="10"/>
      <c r="Q1625" s="10"/>
      <c r="R1625" s="10"/>
      <c r="S1625" s="10"/>
      <c r="T1625" s="10"/>
      <c r="U1625" s="20"/>
      <c r="W1625" s="26"/>
      <c r="X1625" s="20"/>
      <c r="Y1625" s="10"/>
      <c r="Z1625" s="10"/>
      <c r="AA1625" s="10"/>
      <c r="AB1625" s="10"/>
      <c r="AC1625" s="6"/>
      <c r="AD1625" s="10"/>
      <c r="AE1625" s="10"/>
    </row>
    <row r="1626" spans="1:31" s="11" customFormat="1" x14ac:dyDescent="0.2">
      <c r="A1626" s="20"/>
      <c r="B1626" s="10"/>
      <c r="C1626" s="10"/>
      <c r="D1626" s="10"/>
      <c r="E1626" s="10"/>
      <c r="F1626" s="10" t="s">
        <v>59</v>
      </c>
      <c r="G1626" s="10"/>
      <c r="H1626" s="10"/>
      <c r="I1626" s="10"/>
      <c r="J1626" s="10"/>
      <c r="K1626" s="10"/>
      <c r="L1626" s="10"/>
      <c r="M1626" s="10"/>
      <c r="N1626" s="10"/>
      <c r="O1626" s="10"/>
      <c r="P1626" s="10"/>
      <c r="Q1626" s="10"/>
      <c r="R1626" s="10"/>
      <c r="S1626" s="10"/>
      <c r="T1626" s="10"/>
      <c r="U1626" s="20"/>
      <c r="W1626" s="26"/>
      <c r="X1626" s="20"/>
      <c r="Y1626" s="10"/>
      <c r="Z1626" s="10"/>
      <c r="AA1626" s="10"/>
      <c r="AB1626" s="10"/>
      <c r="AC1626" s="6"/>
      <c r="AD1626" s="10"/>
      <c r="AE1626" s="10"/>
    </row>
    <row r="1627" spans="1:31" s="11" customFormat="1" x14ac:dyDescent="0.2">
      <c r="A1627" s="20"/>
      <c r="B1627" s="10"/>
      <c r="C1627" s="10"/>
      <c r="D1627" s="10"/>
      <c r="E1627" s="10"/>
      <c r="F1627" s="10" t="s">
        <v>60</v>
      </c>
      <c r="G1627" s="10"/>
      <c r="H1627" s="10"/>
      <c r="I1627" s="10"/>
      <c r="J1627" s="10"/>
      <c r="K1627" s="10"/>
      <c r="L1627" s="10"/>
      <c r="M1627" s="10"/>
      <c r="N1627" s="10"/>
      <c r="O1627" s="10"/>
      <c r="P1627" s="10"/>
      <c r="Q1627" s="10"/>
      <c r="R1627" s="10"/>
      <c r="S1627" s="10"/>
      <c r="T1627" s="10"/>
      <c r="U1627" s="20"/>
      <c r="W1627" s="26"/>
      <c r="X1627" s="20"/>
      <c r="Y1627" s="10"/>
      <c r="Z1627" s="10"/>
      <c r="AA1627" s="10"/>
      <c r="AB1627" s="10"/>
      <c r="AC1627" s="6"/>
      <c r="AD1627" s="10"/>
      <c r="AE1627" s="10"/>
    </row>
    <row r="1628" spans="1:31" s="11" customFormat="1" x14ac:dyDescent="0.2">
      <c r="A1628" s="20"/>
      <c r="B1628" s="10"/>
      <c r="C1628" s="10"/>
      <c r="D1628" s="10"/>
      <c r="E1628" s="10"/>
      <c r="F1628" s="10" t="s">
        <v>61</v>
      </c>
      <c r="G1628" s="10"/>
      <c r="H1628" s="10"/>
      <c r="I1628" s="10"/>
      <c r="J1628" s="10"/>
      <c r="K1628" s="10"/>
      <c r="L1628" s="10"/>
      <c r="M1628" s="10"/>
      <c r="N1628" s="10"/>
      <c r="O1628" s="10"/>
      <c r="P1628" s="10"/>
      <c r="Q1628" s="10"/>
      <c r="R1628" s="10"/>
      <c r="S1628" s="10"/>
      <c r="T1628" s="10"/>
      <c r="U1628" s="20"/>
      <c r="W1628" s="26"/>
      <c r="X1628" s="20"/>
      <c r="Y1628" s="10"/>
      <c r="Z1628" s="10"/>
      <c r="AA1628" s="10"/>
      <c r="AB1628" s="10"/>
      <c r="AC1628" s="6"/>
      <c r="AD1628" s="10"/>
      <c r="AE1628" s="10"/>
    </row>
    <row r="1629" spans="1:31" s="11" customFormat="1" x14ac:dyDescent="0.2">
      <c r="A1629" s="20"/>
      <c r="B1629" s="10"/>
      <c r="C1629" s="10"/>
      <c r="D1629" s="10"/>
      <c r="E1629" s="10"/>
      <c r="F1629" s="10" t="s">
        <v>62</v>
      </c>
      <c r="G1629" s="10"/>
      <c r="H1629" s="10"/>
      <c r="I1629" s="10"/>
      <c r="J1629" s="10"/>
      <c r="K1629" s="10"/>
      <c r="L1629" s="10"/>
      <c r="M1629" s="10"/>
      <c r="N1629" s="10"/>
      <c r="O1629" s="10"/>
      <c r="P1629" s="10"/>
      <c r="Q1629" s="10"/>
      <c r="R1629" s="10"/>
      <c r="S1629" s="10"/>
      <c r="T1629" s="10"/>
      <c r="U1629" s="20"/>
      <c r="W1629" s="26"/>
      <c r="X1629" s="20"/>
      <c r="Y1629" s="10"/>
      <c r="Z1629" s="10"/>
      <c r="AA1629" s="10"/>
      <c r="AB1629" s="10"/>
      <c r="AC1629" s="6"/>
      <c r="AD1629" s="10"/>
      <c r="AE1629" s="10"/>
    </row>
    <row r="1630" spans="1:31" s="11" customFormat="1" x14ac:dyDescent="0.2">
      <c r="A1630" s="20"/>
      <c r="B1630" s="10"/>
      <c r="C1630" s="10"/>
      <c r="D1630" s="10"/>
      <c r="E1630" s="10"/>
      <c r="F1630" s="10" t="s">
        <v>63</v>
      </c>
      <c r="G1630" s="10"/>
      <c r="H1630" s="10"/>
      <c r="I1630" s="10"/>
      <c r="J1630" s="10"/>
      <c r="K1630" s="10"/>
      <c r="L1630" s="10"/>
      <c r="M1630" s="10"/>
      <c r="N1630" s="10"/>
      <c r="O1630" s="10"/>
      <c r="P1630" s="10"/>
      <c r="Q1630" s="10"/>
      <c r="R1630" s="10"/>
      <c r="S1630" s="10"/>
      <c r="T1630" s="10"/>
      <c r="U1630" s="20"/>
      <c r="W1630" s="26"/>
      <c r="X1630" s="20"/>
      <c r="Y1630" s="10"/>
      <c r="Z1630" s="10"/>
      <c r="AA1630" s="10"/>
      <c r="AB1630" s="10"/>
      <c r="AC1630" s="6"/>
      <c r="AD1630" s="10"/>
      <c r="AE1630" s="10"/>
    </row>
    <row r="1631" spans="1:31" s="11" customFormat="1" x14ac:dyDescent="0.2">
      <c r="A1631" s="20"/>
      <c r="B1631" s="10"/>
      <c r="C1631" s="10"/>
      <c r="D1631" s="10"/>
      <c r="E1631" s="10"/>
      <c r="F1631" s="10" t="s">
        <v>64</v>
      </c>
      <c r="G1631" s="10"/>
      <c r="H1631" s="10"/>
      <c r="I1631" s="10"/>
      <c r="J1631" s="10"/>
      <c r="K1631" s="10"/>
      <c r="L1631" s="10"/>
      <c r="M1631" s="10"/>
      <c r="N1631" s="10"/>
      <c r="O1631" s="10"/>
      <c r="P1631" s="10"/>
      <c r="Q1631" s="10"/>
      <c r="R1631" s="10"/>
      <c r="S1631" s="10"/>
      <c r="T1631" s="10"/>
      <c r="U1631" s="20"/>
      <c r="W1631" s="26"/>
      <c r="X1631" s="20"/>
      <c r="Y1631" s="10"/>
      <c r="Z1631" s="10"/>
      <c r="AA1631" s="10"/>
      <c r="AB1631" s="10"/>
      <c r="AC1631" s="6"/>
      <c r="AD1631" s="10"/>
      <c r="AE1631" s="10"/>
    </row>
    <row r="1632" spans="1:31" s="11" customFormat="1" x14ac:dyDescent="0.2">
      <c r="A1632" s="20"/>
      <c r="B1632" s="10"/>
      <c r="C1632" s="10"/>
      <c r="D1632" s="10"/>
      <c r="E1632" s="10"/>
      <c r="F1632" s="10" t="s">
        <v>65</v>
      </c>
      <c r="G1632" s="10"/>
      <c r="H1632" s="10"/>
      <c r="I1632" s="10"/>
      <c r="J1632" s="10"/>
      <c r="K1632" s="10"/>
      <c r="L1632" s="10"/>
      <c r="M1632" s="10"/>
      <c r="N1632" s="10"/>
      <c r="O1632" s="10"/>
      <c r="P1632" s="10"/>
      <c r="Q1632" s="10"/>
      <c r="R1632" s="10"/>
      <c r="S1632" s="10"/>
      <c r="T1632" s="10"/>
      <c r="U1632" s="20"/>
      <c r="W1632" s="26"/>
      <c r="X1632" s="20"/>
      <c r="Y1632" s="10"/>
      <c r="Z1632" s="10"/>
      <c r="AA1632" s="10"/>
      <c r="AB1632" s="10"/>
      <c r="AC1632" s="6"/>
      <c r="AD1632" s="10"/>
      <c r="AE1632" s="10"/>
    </row>
    <row r="1633" spans="1:31" s="11" customFormat="1" x14ac:dyDescent="0.2">
      <c r="A1633" s="20"/>
      <c r="B1633" s="10"/>
      <c r="C1633" s="10"/>
      <c r="D1633" s="10"/>
      <c r="E1633" s="10"/>
      <c r="F1633" s="10" t="s">
        <v>66</v>
      </c>
      <c r="G1633" s="10"/>
      <c r="H1633" s="10"/>
      <c r="I1633" s="10"/>
      <c r="J1633" s="10"/>
      <c r="K1633" s="10"/>
      <c r="L1633" s="10"/>
      <c r="M1633" s="10"/>
      <c r="N1633" s="10"/>
      <c r="O1633" s="10"/>
      <c r="P1633" s="10"/>
      <c r="Q1633" s="10"/>
      <c r="R1633" s="10"/>
      <c r="S1633" s="10"/>
      <c r="T1633" s="10"/>
      <c r="U1633" s="20"/>
      <c r="W1633" s="26"/>
      <c r="X1633" s="20"/>
      <c r="Y1633" s="10"/>
      <c r="Z1633" s="10"/>
      <c r="AA1633" s="10"/>
      <c r="AB1633" s="10"/>
      <c r="AC1633" s="6"/>
      <c r="AD1633" s="10"/>
      <c r="AE1633" s="10"/>
    </row>
    <row r="1634" spans="1:31" s="11" customFormat="1" x14ac:dyDescent="0.2">
      <c r="A1634" s="20"/>
      <c r="B1634" s="10"/>
      <c r="C1634" s="10"/>
      <c r="D1634" s="10"/>
      <c r="E1634" s="10"/>
      <c r="F1634" s="10" t="s">
        <v>67</v>
      </c>
      <c r="G1634" s="10"/>
      <c r="H1634" s="10"/>
      <c r="I1634" s="10"/>
      <c r="J1634" s="10"/>
      <c r="K1634" s="10"/>
      <c r="L1634" s="10"/>
      <c r="M1634" s="10"/>
      <c r="N1634" s="10"/>
      <c r="O1634" s="10"/>
      <c r="P1634" s="10"/>
      <c r="Q1634" s="10"/>
      <c r="R1634" s="10"/>
      <c r="S1634" s="10"/>
      <c r="T1634" s="10"/>
      <c r="U1634" s="20"/>
      <c r="W1634" s="26"/>
      <c r="X1634" s="20"/>
      <c r="Y1634" s="10"/>
      <c r="Z1634" s="10"/>
      <c r="AA1634" s="10"/>
      <c r="AB1634" s="10"/>
      <c r="AC1634" s="6"/>
      <c r="AD1634" s="10"/>
      <c r="AE1634" s="10"/>
    </row>
    <row r="1635" spans="1:31" s="11" customFormat="1" x14ac:dyDescent="0.2">
      <c r="A1635" s="20"/>
      <c r="B1635" s="10"/>
      <c r="C1635" s="10"/>
      <c r="D1635" s="10"/>
      <c r="E1635" s="10"/>
      <c r="F1635" s="10" t="s">
        <v>68</v>
      </c>
      <c r="G1635" s="10"/>
      <c r="H1635" s="10"/>
      <c r="I1635" s="10"/>
      <c r="J1635" s="10"/>
      <c r="K1635" s="10"/>
      <c r="L1635" s="10"/>
      <c r="M1635" s="10"/>
      <c r="N1635" s="10"/>
      <c r="O1635" s="10"/>
      <c r="P1635" s="10"/>
      <c r="Q1635" s="10"/>
      <c r="R1635" s="10"/>
      <c r="S1635" s="10"/>
      <c r="T1635" s="10"/>
      <c r="U1635" s="20"/>
      <c r="W1635" s="26"/>
      <c r="X1635" s="20"/>
      <c r="Y1635" s="10"/>
      <c r="Z1635" s="10"/>
      <c r="AA1635" s="10"/>
      <c r="AB1635" s="10"/>
      <c r="AC1635" s="6"/>
      <c r="AD1635" s="10"/>
      <c r="AE1635" s="10"/>
    </row>
    <row r="1636" spans="1:31" s="11" customFormat="1" x14ac:dyDescent="0.2">
      <c r="A1636" s="20"/>
      <c r="B1636" s="10"/>
      <c r="C1636" s="10"/>
      <c r="D1636" s="10"/>
      <c r="E1636" s="10"/>
      <c r="F1636" s="10" t="s">
        <v>69</v>
      </c>
      <c r="G1636" s="10"/>
      <c r="H1636" s="10"/>
      <c r="I1636" s="10"/>
      <c r="J1636" s="10"/>
      <c r="K1636" s="10"/>
      <c r="L1636" s="10"/>
      <c r="M1636" s="10"/>
      <c r="N1636" s="10"/>
      <c r="O1636" s="10"/>
      <c r="P1636" s="10"/>
      <c r="Q1636" s="10"/>
      <c r="R1636" s="10"/>
      <c r="S1636" s="10"/>
      <c r="T1636" s="10"/>
      <c r="U1636" s="20"/>
      <c r="W1636" s="26"/>
      <c r="X1636" s="20"/>
      <c r="Y1636" s="10"/>
      <c r="Z1636" s="10"/>
      <c r="AA1636" s="10"/>
      <c r="AB1636" s="10"/>
      <c r="AC1636" s="6"/>
      <c r="AD1636" s="10"/>
      <c r="AE1636" s="10"/>
    </row>
    <row r="1637" spans="1:31" s="11" customFormat="1" x14ac:dyDescent="0.2">
      <c r="A1637" s="20"/>
      <c r="B1637" s="10"/>
      <c r="C1637" s="10"/>
      <c r="D1637" s="10"/>
      <c r="E1637" s="10"/>
      <c r="F1637" s="10" t="s">
        <v>70</v>
      </c>
      <c r="G1637" s="10"/>
      <c r="H1637" s="10"/>
      <c r="I1637" s="10"/>
      <c r="J1637" s="10"/>
      <c r="K1637" s="10"/>
      <c r="L1637" s="10"/>
      <c r="M1637" s="10"/>
      <c r="N1637" s="10"/>
      <c r="O1637" s="10"/>
      <c r="P1637" s="10"/>
      <c r="Q1637" s="10"/>
      <c r="R1637" s="10"/>
      <c r="S1637" s="10"/>
      <c r="T1637" s="10"/>
      <c r="U1637" s="20"/>
      <c r="W1637" s="26"/>
      <c r="X1637" s="20"/>
      <c r="Y1637" s="10"/>
      <c r="Z1637" s="10"/>
      <c r="AA1637" s="10"/>
      <c r="AB1637" s="10"/>
      <c r="AC1637" s="6"/>
      <c r="AD1637" s="10"/>
      <c r="AE1637" s="10"/>
    </row>
    <row r="1638" spans="1:31" s="11" customFormat="1" x14ac:dyDescent="0.2">
      <c r="A1638" s="20"/>
      <c r="B1638" s="10"/>
      <c r="C1638" s="10"/>
      <c r="D1638" s="10"/>
      <c r="E1638" s="10"/>
      <c r="F1638" s="10" t="s">
        <v>71</v>
      </c>
      <c r="G1638" s="10"/>
      <c r="H1638" s="10"/>
      <c r="I1638" s="10"/>
      <c r="J1638" s="10"/>
      <c r="K1638" s="10"/>
      <c r="L1638" s="10"/>
      <c r="M1638" s="10"/>
      <c r="N1638" s="10"/>
      <c r="O1638" s="10"/>
      <c r="P1638" s="10"/>
      <c r="Q1638" s="10"/>
      <c r="R1638" s="10"/>
      <c r="S1638" s="10"/>
      <c r="T1638" s="10"/>
      <c r="U1638" s="20"/>
      <c r="W1638" s="26"/>
      <c r="X1638" s="20"/>
      <c r="Y1638" s="10"/>
      <c r="Z1638" s="10"/>
      <c r="AA1638" s="10"/>
      <c r="AB1638" s="10"/>
      <c r="AC1638" s="6"/>
      <c r="AD1638" s="10"/>
      <c r="AE1638" s="10"/>
    </row>
    <row r="1639" spans="1:31" s="14" customFormat="1" ht="12" thickBot="1" x14ac:dyDescent="0.25">
      <c r="A1639" s="27"/>
      <c r="B1639" s="12"/>
      <c r="C1639" s="12"/>
      <c r="D1639" s="12"/>
      <c r="E1639" s="12"/>
      <c r="F1639" s="13"/>
      <c r="G1639" s="13"/>
      <c r="H1639" s="13"/>
      <c r="I1639" s="13"/>
      <c r="J1639" s="12"/>
      <c r="K1639" s="12"/>
      <c r="L1639" s="12"/>
      <c r="M1639" s="12"/>
      <c r="N1639" s="12"/>
      <c r="O1639" s="12"/>
      <c r="P1639" s="12"/>
      <c r="Q1639" s="13"/>
      <c r="R1639" s="13"/>
      <c r="S1639" s="13"/>
      <c r="T1639" s="12"/>
      <c r="U1639" s="21"/>
      <c r="V1639" s="168"/>
      <c r="W1639" s="28"/>
      <c r="X1639" s="27"/>
      <c r="Y1639" s="12"/>
      <c r="Z1639" s="12"/>
      <c r="AA1639" s="12"/>
      <c r="AB1639" s="12"/>
      <c r="AC1639" s="6"/>
      <c r="AD1639" s="12"/>
      <c r="AE1639" s="12"/>
    </row>
  </sheetData>
  <autoFilter ref="A3:AH1606" xr:uid="{00000000-0001-0000-0100-000000000000}"/>
  <mergeCells count="3">
    <mergeCell ref="L2:M2"/>
    <mergeCell ref="A4:AE4"/>
    <mergeCell ref="A805:AE805"/>
  </mergeCells>
  <phoneticPr fontId="0" type="noConversion"/>
  <dataValidations count="23">
    <dataValidation type="list" allowBlank="1" showErrorMessage="1" sqref="P29:P46 P830:P847 K806:K853 K1606" xr:uid="{00000000-0002-0000-0100-000000000000}">
      <formula1>$K$1609:$K$1611</formula1>
    </dataValidation>
    <dataValidation type="list" allowBlank="1" sqref="P5:P28 P806:P829 P1606" xr:uid="{00000000-0002-0000-0100-000001000000}">
      <formula1>$P$1609:$P$1611</formula1>
    </dataValidation>
    <dataValidation allowBlank="1" showErrorMessage="1" errorTitle="Wrong value" error="Please fill in one of the values below!" sqref="U3:Y3" xr:uid="{00000000-0002-0000-0100-000002000000}"/>
    <dataValidation type="list" allowBlank="1" showErrorMessage="1" errorTitle="Wrong value" error="Please fill in one of the values below!" sqref="S1606 Q806:R1606 Q669:Q670 Q677:Q804 R5:R804 Q5:Q629" xr:uid="{00000000-0002-0000-0100-000004000000}">
      <formula1>$Q$1609:$Q$1618</formula1>
    </dataValidation>
    <dataValidation type="list" allowBlank="1" sqref="I677:I804 I806:I1606 I669:I670 I5:I629" xr:uid="{00000000-0002-0000-0100-000005000000}">
      <formula1>$I$1609:$I$1614</formula1>
    </dataValidation>
    <dataValidation type="list" allowBlank="1" sqref="F5:F30 F838:F1606 F806:F831 F677:F804 F669:F670 F37:F629" xr:uid="{00000000-0002-0000-0100-000006000000}">
      <formula1>$F$1609:$F$1638</formula1>
    </dataValidation>
    <dataValidation type="list" allowBlank="1" sqref="H677:H804 H806:H1606 H669:H670 H5:H629" xr:uid="{00000000-0002-0000-0100-000007000000}">
      <formula1>$H$1609:$H$1614</formula1>
    </dataValidation>
    <dataValidation type="list" allowBlank="1" sqref="E832:F837 D31:D32 G677:G804 E31:F36 G806:G1606 G669:G670 G5:G629" xr:uid="{00000000-0002-0000-0100-000008000000}">
      <formula1>$G$1609:$G$1614</formula1>
    </dataValidation>
    <dataValidation type="list" allowBlank="1" showInputMessage="1" showErrorMessage="1" sqref="W5:W53 W861:W1606 W806:W859 W574 W59" xr:uid="{00000000-0002-0000-0100-000009000000}">
      <formula1>$W$1609:$W$1639</formula1>
    </dataValidation>
    <dataValidation type="list" allowBlank="1" showInputMessage="1" showErrorMessage="1" sqref="Z806:Z1606 Z5:Z804" xr:uid="{00000000-0002-0000-0100-00000A000000}">
      <formula1>$Z$1609:$Z$1639</formula1>
    </dataValidation>
    <dataValidation type="list" allowBlank="1" showInputMessage="1" showErrorMessage="1" sqref="AA5:AB804 AD669:AD804 AD5:AD629 AA806:AB1606 AD806:AD1606" xr:uid="{00000000-0002-0000-0100-00000B000000}">
      <formula1>$AA$1609:$AA$1610</formula1>
    </dataValidation>
    <dataValidation type="list" allowBlank="1" showErrorMessage="1" errorTitle="Wrong value" error="Please fill in one of the values below!" sqref="S806:S1605 S5:S804" xr:uid="{244C3D82-43F4-43DD-AD44-0B6CEF3CF568}">
      <formula1>$S$1609:$S$1618</formula1>
    </dataValidation>
    <dataValidation allowBlank="1" showErrorMessage="1" sqref="P274 P278:P282 P286:P307 P591:P592 K5:K60 K62:K65 P856:P859 K854:K1605 K67:K332 U694:V695 P710 K335:K804" xr:uid="{37D361E8-D391-4518-89E4-1C1EF2905E5A}"/>
    <dataValidation type="list" allowBlank="1" showInputMessage="1" showErrorMessage="1" sqref="W98:W104 W660:W684 W647:W655 W634:W642 W575:W629 W860 W690:W691 W688 W286:W298 W694:W804 W335:W573" xr:uid="{28BD64D5-D1B0-4F58-AE3A-761A33F5DAE3}">
      <formula1>$W$1609:$W$1622</formula1>
    </dataValidation>
    <dataValidation type="list" allowBlank="1" sqref="F990:F991" xr:uid="{02239696-709C-4EB8-BA3E-6C551EA2E1D2}">
      <formula1>$F$808:$F$837</formula1>
    </dataValidation>
    <dataValidation type="list" allowBlank="1" sqref="I641:I649 I630:I636 I654:I662 I667:I668 I671:I676" xr:uid="{FB8D5859-56A0-40EB-8FD5-FBE5F5309579}">
      <formula1>$G$857:$G$862</formula1>
    </dataValidation>
    <dataValidation type="list" allowBlank="1" sqref="F630:F638 F643:F651 F656:F664 F671:F676" xr:uid="{067293EB-D86D-4E22-AB45-5531D6FE85C8}">
      <formula1>$D$857:$D$886</formula1>
    </dataValidation>
    <dataValidation type="list" allowBlank="1" sqref="H630:H668 H671:H676" xr:uid="{D8C6C15A-8281-4606-9B6D-B087DCAB31DC}">
      <formula1>$F$857:$F$862</formula1>
    </dataValidation>
    <dataValidation type="list" allowBlank="1" sqref="G630:G668 G671:G676" xr:uid="{051AECF4-594D-48E6-9412-2303E90634A4}">
      <formula1>$E$857:$E$862</formula1>
    </dataValidation>
    <dataValidation type="list" allowBlank="1" showErrorMessage="1" errorTitle="Wrong value" error="Please fill in one of the values below!" sqref="Q641:Q649 Q630:Q636 Q654:Q662 Q667:Q668" xr:uid="{39B4309B-BE66-48BC-B8F4-C27E6D8EF6DA}">
      <formula1>$O$857:$O$866</formula1>
    </dataValidation>
    <dataValidation type="list" allowBlank="1" sqref="I637:I640 I650:I653 I663:I666" xr:uid="{0E90FF8F-B504-4500-B3E4-13B8E3FB775A}">
      <formula1>$G$808:$G$828</formula1>
    </dataValidation>
    <dataValidation type="list" allowBlank="1" showErrorMessage="1" errorTitle="Wrong value" error="Please fill in one of the values below!" sqref="Q637:Q640 Q650:Q653 Q663:Q666" xr:uid="{A89CEF03-8769-42E7-83BD-C9020E66F437}">
      <formula1>$O$808:$O$832</formula1>
    </dataValidation>
    <dataValidation type="list" allowBlank="1" showInputMessage="1" showErrorMessage="1" sqref="W630:W633 W656:W659 W643:W646" xr:uid="{F32C5F77-34AD-4710-A2E9-4057811EF011}">
      <formula1>$W$808:$W$838</formula1>
    </dataValidation>
  </dataValidations>
  <pageMargins left="0.23622047244094491" right="0.23622047244094491" top="0.74803149606299213" bottom="0.74803149606299213" header="0.31496062992125984" footer="0.31496062992125984"/>
  <pageSetup paperSize="8" scale="29" fitToHeight="0" orientation="landscape" r:id="rId1"/>
  <headerFooter alignWithMargins="0">
    <oddHeader>&amp;L&amp;9Machine Number : 84130003, 84130004
Machine Name : IFC - VL1 - Filling Machine &amp; Capper
CU Number : 7002
VU Number : 3922, 3923&amp;C&amp;14ALARMLIST&amp;RFilename: &amp;F
Date : &amp;D</oddHeader>
    <oddFooter>&amp;LBased on template : &amp;CAlarmList_CUxxxx_A3&amp;RPage &amp;P/&amp;N</oddFooter>
  </headerFooter>
  <cellWatches>
    <cellWatch r="U5"/>
  </cellWatche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22C9A-FDBC-44BD-8125-6790CC62FEEA}">
  <sheetPr codeName="Sheet11">
    <tabColor rgb="FFFF0000"/>
  </sheetPr>
  <dimension ref="A1:U170"/>
  <sheetViews>
    <sheetView zoomScaleNormal="100" workbookViewId="0">
      <selection activeCell="I20" sqref="I20"/>
    </sheetView>
  </sheetViews>
  <sheetFormatPr defaultColWidth="14.1640625" defaultRowHeight="12.75" x14ac:dyDescent="0.2"/>
  <cols>
    <col min="1" max="1" width="9.5" style="153" customWidth="1"/>
    <col min="2" max="2" width="9.33203125" style="153" customWidth="1"/>
    <col min="3" max="3" width="10.5" style="155" customWidth="1"/>
    <col min="4" max="4" width="22.33203125" style="153" customWidth="1"/>
    <col min="5" max="5" width="18.1640625" style="153" customWidth="1"/>
    <col min="6" max="6" width="40.5" style="153" customWidth="1"/>
    <col min="7" max="7" width="28.83203125" style="153" customWidth="1"/>
    <col min="8" max="8" width="22.5" style="153" customWidth="1"/>
    <col min="9" max="9" width="83.1640625" style="153" customWidth="1"/>
    <col min="10" max="10" width="75.6640625" style="153" bestFit="1" customWidth="1"/>
    <col min="11" max="21" width="14.1640625" style="154"/>
    <col min="22" max="16384" width="14.1640625" style="153"/>
  </cols>
  <sheetData>
    <row r="1" spans="1:18" ht="23.25" customHeight="1" x14ac:dyDescent="0.25">
      <c r="D1" s="166" t="s">
        <v>2871</v>
      </c>
    </row>
    <row r="2" spans="1:18" ht="25.5" customHeight="1" thickBot="1" x14ac:dyDescent="0.25">
      <c r="D2" s="165" t="s">
        <v>2870</v>
      </c>
    </row>
    <row r="3" spans="1:18" s="156" customFormat="1" ht="30" customHeight="1" thickBot="1" x14ac:dyDescent="0.25">
      <c r="A3" s="164" t="s">
        <v>257</v>
      </c>
      <c r="B3" s="163" t="s">
        <v>8</v>
      </c>
      <c r="C3" s="162" t="s">
        <v>100</v>
      </c>
      <c r="D3" s="159" t="s">
        <v>2869</v>
      </c>
      <c r="E3" s="161" t="s">
        <v>2868</v>
      </c>
      <c r="F3" s="159" t="s">
        <v>103</v>
      </c>
      <c r="G3" s="160" t="s">
        <v>2867</v>
      </c>
      <c r="H3" s="159" t="s">
        <v>2866</v>
      </c>
      <c r="I3" s="159" t="s">
        <v>303</v>
      </c>
      <c r="J3" s="158" t="s">
        <v>96</v>
      </c>
      <c r="K3" s="157" t="s">
        <v>310</v>
      </c>
    </row>
    <row r="4" spans="1:18" x14ac:dyDescent="0.2">
      <c r="A4" s="234"/>
      <c r="B4" s="191" t="s">
        <v>2857</v>
      </c>
      <c r="C4" s="220">
        <v>1</v>
      </c>
      <c r="D4" s="221" t="s">
        <v>2996</v>
      </c>
      <c r="E4" s="153" t="s">
        <v>2856</v>
      </c>
      <c r="F4" s="222" t="s">
        <v>2878</v>
      </c>
      <c r="G4" s="192" t="s">
        <v>3154</v>
      </c>
      <c r="H4" s="190" t="s">
        <v>3171</v>
      </c>
      <c r="I4" s="193"/>
      <c r="J4" s="223" t="s">
        <v>3226</v>
      </c>
      <c r="K4" s="235"/>
      <c r="L4" s="175"/>
      <c r="M4" s="153"/>
      <c r="N4" s="153" t="s">
        <v>109</v>
      </c>
      <c r="O4" s="175"/>
      <c r="P4" s="175"/>
      <c r="Q4" s="175"/>
      <c r="R4" s="175"/>
    </row>
    <row r="5" spans="1:18" x14ac:dyDescent="0.2">
      <c r="A5" s="234"/>
      <c r="B5" s="191" t="s">
        <v>2857</v>
      </c>
      <c r="C5" s="155">
        <v>2</v>
      </c>
      <c r="D5" s="221" t="s">
        <v>2997</v>
      </c>
      <c r="E5" s="153" t="s">
        <v>2856</v>
      </c>
      <c r="F5" s="171" t="s">
        <v>2879</v>
      </c>
      <c r="G5" s="192" t="s">
        <v>3154</v>
      </c>
      <c r="H5" s="190" t="s">
        <v>3172</v>
      </c>
      <c r="I5" s="193"/>
      <c r="J5" s="223" t="s">
        <v>3226</v>
      </c>
      <c r="K5" s="235"/>
      <c r="L5" s="175"/>
      <c r="M5" s="153"/>
      <c r="N5" s="153" t="s">
        <v>97</v>
      </c>
      <c r="O5" s="175"/>
      <c r="P5" s="175"/>
      <c r="Q5" s="175"/>
      <c r="R5" s="175"/>
    </row>
    <row r="6" spans="1:18" x14ac:dyDescent="0.2">
      <c r="A6" s="234"/>
      <c r="B6" s="191" t="s">
        <v>2857</v>
      </c>
      <c r="C6" s="220">
        <v>3</v>
      </c>
      <c r="D6" s="221" t="s">
        <v>2998</v>
      </c>
      <c r="E6" s="153" t="s">
        <v>2856</v>
      </c>
      <c r="F6" s="190" t="s">
        <v>2880</v>
      </c>
      <c r="G6" s="192" t="s">
        <v>3154</v>
      </c>
      <c r="H6" s="190" t="s">
        <v>3173</v>
      </c>
      <c r="I6" s="193"/>
      <c r="J6" s="223" t="s">
        <v>3226</v>
      </c>
      <c r="K6" s="235"/>
      <c r="L6" s="175"/>
      <c r="M6" s="175"/>
      <c r="N6" s="175"/>
      <c r="O6" s="175"/>
      <c r="P6" s="175"/>
      <c r="Q6" s="175"/>
      <c r="R6" s="175"/>
    </row>
    <row r="7" spans="1:18" x14ac:dyDescent="0.2">
      <c r="A7" s="234"/>
      <c r="B7" s="191" t="s">
        <v>2857</v>
      </c>
      <c r="C7" s="155">
        <v>4</v>
      </c>
      <c r="D7" s="221" t="s">
        <v>2999</v>
      </c>
      <c r="E7" s="153" t="s">
        <v>2856</v>
      </c>
      <c r="F7" s="171" t="s">
        <v>2881</v>
      </c>
      <c r="G7" s="192" t="s">
        <v>3154</v>
      </c>
      <c r="H7" s="190" t="s">
        <v>3174</v>
      </c>
      <c r="I7" s="193"/>
      <c r="J7" s="223" t="s">
        <v>3226</v>
      </c>
      <c r="K7" s="235"/>
      <c r="L7" s="175"/>
      <c r="M7" s="236"/>
      <c r="N7" s="153" t="s">
        <v>176</v>
      </c>
      <c r="O7" s="175"/>
      <c r="P7" s="175"/>
      <c r="Q7" s="175"/>
      <c r="R7" s="175"/>
    </row>
    <row r="8" spans="1:18" x14ac:dyDescent="0.2">
      <c r="A8" s="234"/>
      <c r="B8" s="191" t="s">
        <v>2857</v>
      </c>
      <c r="C8" s="220">
        <v>5</v>
      </c>
      <c r="D8" s="221" t="s">
        <v>3000</v>
      </c>
      <c r="E8" s="153" t="s">
        <v>2856</v>
      </c>
      <c r="F8" s="171" t="s">
        <v>2882</v>
      </c>
      <c r="G8" s="192" t="s">
        <v>3154</v>
      </c>
      <c r="H8" s="190" t="s">
        <v>3175</v>
      </c>
      <c r="I8" s="193"/>
      <c r="J8" s="223" t="s">
        <v>3226</v>
      </c>
      <c r="K8" s="235"/>
      <c r="L8" s="175"/>
      <c r="M8" s="175"/>
      <c r="N8" s="153" t="s">
        <v>177</v>
      </c>
      <c r="O8" s="175"/>
      <c r="P8" s="175"/>
      <c r="Q8" s="175"/>
      <c r="R8" s="175"/>
    </row>
    <row r="9" spans="1:18" x14ac:dyDescent="0.2">
      <c r="A9" s="234"/>
      <c r="B9" s="191" t="s">
        <v>2857</v>
      </c>
      <c r="C9" s="155">
        <v>6</v>
      </c>
      <c r="D9" s="221" t="s">
        <v>3001</v>
      </c>
      <c r="E9" s="153" t="s">
        <v>2856</v>
      </c>
      <c r="F9" s="171" t="s">
        <v>2883</v>
      </c>
      <c r="G9" s="192" t="s">
        <v>3154</v>
      </c>
      <c r="H9" s="190" t="s">
        <v>3176</v>
      </c>
      <c r="I9" s="193"/>
      <c r="J9" s="223" t="s">
        <v>3226</v>
      </c>
      <c r="K9" s="235"/>
      <c r="L9" s="175"/>
      <c r="M9" s="175"/>
      <c r="N9" s="175"/>
      <c r="O9" s="175"/>
      <c r="P9" s="175"/>
      <c r="Q9" s="175"/>
      <c r="R9" s="175"/>
    </row>
    <row r="10" spans="1:18" x14ac:dyDescent="0.2">
      <c r="A10" s="234"/>
      <c r="B10" s="191" t="s">
        <v>2857</v>
      </c>
      <c r="C10" s="220">
        <v>7</v>
      </c>
      <c r="D10" s="221" t="s">
        <v>3002</v>
      </c>
      <c r="E10" s="153" t="s">
        <v>2856</v>
      </c>
      <c r="F10" s="171" t="s">
        <v>2884</v>
      </c>
      <c r="G10" s="192" t="s">
        <v>3154</v>
      </c>
      <c r="H10" s="190" t="s">
        <v>3177</v>
      </c>
      <c r="I10" s="193"/>
      <c r="J10" s="223" t="s">
        <v>3226</v>
      </c>
      <c r="K10" s="235"/>
      <c r="L10" s="175"/>
    </row>
    <row r="11" spans="1:18" x14ac:dyDescent="0.2">
      <c r="A11" s="234"/>
      <c r="B11" s="191" t="s">
        <v>2857</v>
      </c>
      <c r="C11" s="155">
        <v>8</v>
      </c>
      <c r="D11" s="221" t="s">
        <v>3003</v>
      </c>
      <c r="E11" s="153" t="s">
        <v>2856</v>
      </c>
      <c r="F11" s="171" t="s">
        <v>2885</v>
      </c>
      <c r="G11" s="192" t="s">
        <v>3154</v>
      </c>
      <c r="H11" s="190" t="s">
        <v>3178</v>
      </c>
      <c r="I11" s="193"/>
      <c r="J11" s="223" t="s">
        <v>3226</v>
      </c>
      <c r="K11" s="235"/>
      <c r="L11" s="175"/>
    </row>
    <row r="12" spans="1:18" x14ac:dyDescent="0.2">
      <c r="A12" s="234"/>
      <c r="B12" s="191" t="s">
        <v>2857</v>
      </c>
      <c r="C12" s="220">
        <v>9</v>
      </c>
      <c r="D12" s="221" t="s">
        <v>3004</v>
      </c>
      <c r="E12" s="153" t="s">
        <v>2856</v>
      </c>
      <c r="F12" s="171" t="s">
        <v>2886</v>
      </c>
      <c r="G12" s="192" t="s">
        <v>3154</v>
      </c>
      <c r="H12" s="190" t="s">
        <v>3179</v>
      </c>
      <c r="I12" s="193"/>
      <c r="J12" s="223" t="s">
        <v>3226</v>
      </c>
      <c r="K12" s="235"/>
      <c r="L12" s="175"/>
    </row>
    <row r="13" spans="1:18" x14ac:dyDescent="0.2">
      <c r="A13" s="234"/>
      <c r="B13" s="191" t="s">
        <v>2857</v>
      </c>
      <c r="C13" s="155">
        <v>10</v>
      </c>
      <c r="D13" s="221" t="s">
        <v>3005</v>
      </c>
      <c r="E13" s="153" t="s">
        <v>2856</v>
      </c>
      <c r="F13" s="171" t="s">
        <v>2887</v>
      </c>
      <c r="G13" s="192" t="s">
        <v>3154</v>
      </c>
      <c r="H13" s="190" t="s">
        <v>3180</v>
      </c>
      <c r="I13" s="193"/>
      <c r="J13" s="223" t="s">
        <v>3226</v>
      </c>
      <c r="K13" s="235"/>
      <c r="L13" s="175"/>
    </row>
    <row r="14" spans="1:18" x14ac:dyDescent="0.2">
      <c r="A14" s="234"/>
      <c r="B14" s="191" t="s">
        <v>2857</v>
      </c>
      <c r="C14" s="220">
        <v>11</v>
      </c>
      <c r="D14" s="221" t="s">
        <v>3006</v>
      </c>
      <c r="E14" s="153" t="s">
        <v>2856</v>
      </c>
      <c r="F14" s="171" t="s">
        <v>2888</v>
      </c>
      <c r="G14" s="192" t="s">
        <v>3154</v>
      </c>
      <c r="H14" s="190" t="s">
        <v>3181</v>
      </c>
      <c r="I14" s="193"/>
      <c r="J14" s="223" t="s">
        <v>3226</v>
      </c>
      <c r="K14" s="235"/>
      <c r="L14" s="175"/>
    </row>
    <row r="15" spans="1:18" x14ac:dyDescent="0.2">
      <c r="A15" s="234"/>
      <c r="B15" s="191" t="s">
        <v>2857</v>
      </c>
      <c r="C15" s="155">
        <v>12</v>
      </c>
      <c r="D15" s="221" t="s">
        <v>3007</v>
      </c>
      <c r="E15" s="153" t="s">
        <v>2856</v>
      </c>
      <c r="F15" s="171" t="s">
        <v>2889</v>
      </c>
      <c r="G15" s="192" t="s">
        <v>3154</v>
      </c>
      <c r="H15" s="190" t="s">
        <v>3182</v>
      </c>
      <c r="I15" s="193"/>
      <c r="J15" s="223" t="s">
        <v>3226</v>
      </c>
      <c r="K15" s="235"/>
      <c r="L15" s="175"/>
    </row>
    <row r="16" spans="1:18" x14ac:dyDescent="0.2">
      <c r="A16" s="234"/>
      <c r="B16" s="191" t="s">
        <v>2857</v>
      </c>
      <c r="C16" s="220">
        <v>13</v>
      </c>
      <c r="D16" s="221" t="s">
        <v>3008</v>
      </c>
      <c r="E16" s="153" t="s">
        <v>2856</v>
      </c>
      <c r="F16" s="171" t="s">
        <v>2890</v>
      </c>
      <c r="G16" s="192" t="s">
        <v>2859</v>
      </c>
      <c r="H16" s="190" t="s">
        <v>1308</v>
      </c>
      <c r="I16" s="221" t="s">
        <v>2952</v>
      </c>
      <c r="J16" s="223" t="s">
        <v>3227</v>
      </c>
      <c r="K16" s="235"/>
      <c r="L16" s="175"/>
    </row>
    <row r="17" spans="1:21" x14ac:dyDescent="0.2">
      <c r="A17" s="234"/>
      <c r="B17" s="191" t="s">
        <v>2857</v>
      </c>
      <c r="C17" s="155">
        <v>14</v>
      </c>
      <c r="D17" s="221" t="s">
        <v>3009</v>
      </c>
      <c r="E17" s="153" t="s">
        <v>2856</v>
      </c>
      <c r="F17" s="171" t="s">
        <v>2891</v>
      </c>
      <c r="G17" s="192" t="s">
        <v>2859</v>
      </c>
      <c r="H17" s="190" t="s">
        <v>1309</v>
      </c>
      <c r="I17" s="221" t="s">
        <v>2953</v>
      </c>
      <c r="J17" s="223" t="s">
        <v>3227</v>
      </c>
      <c r="K17" s="235"/>
      <c r="L17" s="175"/>
    </row>
    <row r="18" spans="1:21" x14ac:dyDescent="0.2">
      <c r="A18" s="234"/>
      <c r="B18" s="191" t="s">
        <v>2857</v>
      </c>
      <c r="C18" s="220">
        <v>15</v>
      </c>
      <c r="D18" s="221" t="s">
        <v>3010</v>
      </c>
      <c r="E18" s="153" t="s">
        <v>2856</v>
      </c>
      <c r="F18" s="171" t="s">
        <v>2892</v>
      </c>
      <c r="G18" s="192" t="s">
        <v>2859</v>
      </c>
      <c r="H18" s="190" t="s">
        <v>1313</v>
      </c>
      <c r="I18" s="221" t="s">
        <v>2954</v>
      </c>
      <c r="J18" s="223" t="s">
        <v>3227</v>
      </c>
      <c r="K18" s="235"/>
      <c r="L18" s="175"/>
    </row>
    <row r="19" spans="1:21" x14ac:dyDescent="0.2">
      <c r="A19" s="234"/>
      <c r="B19" s="191" t="s">
        <v>2857</v>
      </c>
      <c r="C19" s="155">
        <v>16</v>
      </c>
      <c r="D19" s="221" t="s">
        <v>3011</v>
      </c>
      <c r="E19" s="153" t="s">
        <v>2856</v>
      </c>
      <c r="F19" s="171" t="s">
        <v>2893</v>
      </c>
      <c r="G19" s="192" t="s">
        <v>2859</v>
      </c>
      <c r="H19" s="190" t="s">
        <v>1313</v>
      </c>
      <c r="I19" s="221" t="s">
        <v>2955</v>
      </c>
      <c r="J19" s="223" t="s">
        <v>3227</v>
      </c>
      <c r="K19" s="235"/>
      <c r="L19" s="175"/>
    </row>
    <row r="20" spans="1:21" ht="25.5" x14ac:dyDescent="0.2">
      <c r="A20" s="234"/>
      <c r="B20" s="191" t="s">
        <v>2857</v>
      </c>
      <c r="C20" s="220">
        <v>17</v>
      </c>
      <c r="D20" s="221" t="s">
        <v>3012</v>
      </c>
      <c r="E20" s="153" t="s">
        <v>2856</v>
      </c>
      <c r="F20" s="171" t="s">
        <v>2894</v>
      </c>
      <c r="G20" s="192" t="s">
        <v>2859</v>
      </c>
      <c r="H20" s="190" t="s">
        <v>2285</v>
      </c>
      <c r="I20" s="224" t="s">
        <v>3228</v>
      </c>
      <c r="J20" s="223" t="s">
        <v>3227</v>
      </c>
      <c r="K20" s="235"/>
      <c r="L20" s="175"/>
    </row>
    <row r="21" spans="1:21" ht="25.5" x14ac:dyDescent="0.2">
      <c r="A21" s="234"/>
      <c r="B21" s="191" t="s">
        <v>2857</v>
      </c>
      <c r="C21" s="155">
        <v>18</v>
      </c>
      <c r="D21" s="221" t="s">
        <v>3013</v>
      </c>
      <c r="E21" s="153" t="s">
        <v>2856</v>
      </c>
      <c r="F21" s="171" t="s">
        <v>2895</v>
      </c>
      <c r="G21" s="192" t="s">
        <v>2859</v>
      </c>
      <c r="H21" s="190" t="s">
        <v>2285</v>
      </c>
      <c r="I21" s="224" t="s">
        <v>3229</v>
      </c>
      <c r="J21" s="223" t="s">
        <v>3227</v>
      </c>
      <c r="K21" s="235"/>
      <c r="L21" s="175"/>
    </row>
    <row r="22" spans="1:21" ht="25.5" x14ac:dyDescent="0.2">
      <c r="A22" s="234"/>
      <c r="B22" s="191" t="s">
        <v>2857</v>
      </c>
      <c r="C22" s="220">
        <v>19</v>
      </c>
      <c r="D22" s="221" t="s">
        <v>3014</v>
      </c>
      <c r="E22" s="153" t="s">
        <v>2856</v>
      </c>
      <c r="F22" s="171" t="s">
        <v>2896</v>
      </c>
      <c r="G22" s="192" t="s">
        <v>2859</v>
      </c>
      <c r="H22" s="190" t="s">
        <v>2285</v>
      </c>
      <c r="I22" s="224" t="s">
        <v>3230</v>
      </c>
      <c r="J22" s="223" t="s">
        <v>3227</v>
      </c>
      <c r="K22" s="235"/>
      <c r="L22" s="175"/>
    </row>
    <row r="23" spans="1:21" ht="25.5" x14ac:dyDescent="0.2">
      <c r="A23" s="234"/>
      <c r="B23" s="191" t="s">
        <v>2857</v>
      </c>
      <c r="C23" s="155">
        <v>20</v>
      </c>
      <c r="D23" s="221" t="s">
        <v>3015</v>
      </c>
      <c r="E23" s="153" t="s">
        <v>2856</v>
      </c>
      <c r="F23" s="190" t="s">
        <v>2897</v>
      </c>
      <c r="G23" s="192" t="s">
        <v>2859</v>
      </c>
      <c r="H23" s="190" t="s">
        <v>2285</v>
      </c>
      <c r="I23" s="224" t="s">
        <v>3231</v>
      </c>
      <c r="J23" s="223" t="s">
        <v>3227</v>
      </c>
      <c r="K23" s="235"/>
      <c r="L23" s="175"/>
    </row>
    <row r="24" spans="1:21" ht="25.5" x14ac:dyDescent="0.2">
      <c r="A24" s="234"/>
      <c r="B24" s="191" t="s">
        <v>2857</v>
      </c>
      <c r="C24" s="220">
        <v>21</v>
      </c>
      <c r="D24" s="221" t="s">
        <v>3016</v>
      </c>
      <c r="E24" s="153" t="s">
        <v>2856</v>
      </c>
      <c r="F24" s="190" t="s">
        <v>2898</v>
      </c>
      <c r="G24" s="192" t="s">
        <v>2859</v>
      </c>
      <c r="H24" s="190" t="s">
        <v>2285</v>
      </c>
      <c r="I24" s="224" t="s">
        <v>3232</v>
      </c>
      <c r="J24" s="223" t="s">
        <v>3227</v>
      </c>
      <c r="K24" s="235"/>
      <c r="L24" s="175"/>
    </row>
    <row r="25" spans="1:21" ht="25.5" x14ac:dyDescent="0.2">
      <c r="A25" s="234"/>
      <c r="B25" s="191" t="s">
        <v>2857</v>
      </c>
      <c r="C25" s="155">
        <v>22</v>
      </c>
      <c r="D25" s="221" t="s">
        <v>3017</v>
      </c>
      <c r="E25" s="153" t="s">
        <v>2856</v>
      </c>
      <c r="F25" s="190" t="s">
        <v>2899</v>
      </c>
      <c r="G25" s="192" t="s">
        <v>2859</v>
      </c>
      <c r="H25" s="190" t="s">
        <v>2285</v>
      </c>
      <c r="I25" s="224" t="s">
        <v>3233</v>
      </c>
      <c r="J25" s="223" t="s">
        <v>3227</v>
      </c>
      <c r="K25" s="235"/>
      <c r="L25" s="175"/>
    </row>
    <row r="26" spans="1:21" x14ac:dyDescent="0.2">
      <c r="A26" s="234"/>
      <c r="B26" s="191" t="s">
        <v>2857</v>
      </c>
      <c r="C26" s="220">
        <v>23</v>
      </c>
      <c r="D26" s="221" t="s">
        <v>3018</v>
      </c>
      <c r="E26" s="153" t="s">
        <v>2856</v>
      </c>
      <c r="F26" s="190" t="s">
        <v>2900</v>
      </c>
      <c r="G26" s="192" t="s">
        <v>2859</v>
      </c>
      <c r="H26" s="190" t="s">
        <v>1305</v>
      </c>
      <c r="I26" s="221" t="s">
        <v>2956</v>
      </c>
      <c r="J26" s="223" t="s">
        <v>3227</v>
      </c>
      <c r="K26" s="235"/>
      <c r="L26" s="175"/>
    </row>
    <row r="27" spans="1:21" ht="25.5" x14ac:dyDescent="0.2">
      <c r="A27" s="234"/>
      <c r="B27" s="191" t="s">
        <v>2857</v>
      </c>
      <c r="C27" s="155">
        <v>24</v>
      </c>
      <c r="D27" s="221" t="s">
        <v>3019</v>
      </c>
      <c r="E27" s="153" t="s">
        <v>2856</v>
      </c>
      <c r="F27" s="190" t="s">
        <v>2901</v>
      </c>
      <c r="G27" s="192"/>
      <c r="H27" s="190"/>
      <c r="I27" s="224" t="s">
        <v>3234</v>
      </c>
      <c r="J27" s="223" t="s">
        <v>3227</v>
      </c>
      <c r="K27" s="235"/>
      <c r="L27" s="175"/>
    </row>
    <row r="28" spans="1:21" ht="25.5" x14ac:dyDescent="0.2">
      <c r="A28" s="234"/>
      <c r="B28" s="191" t="s">
        <v>2857</v>
      </c>
      <c r="C28" s="220">
        <v>25</v>
      </c>
      <c r="D28" s="221" t="s">
        <v>3020</v>
      </c>
      <c r="E28" s="153" t="s">
        <v>2856</v>
      </c>
      <c r="F28" s="190" t="s">
        <v>2902</v>
      </c>
      <c r="G28" s="192"/>
      <c r="H28" s="190"/>
      <c r="I28" s="224" t="s">
        <v>3235</v>
      </c>
      <c r="J28" s="223" t="s">
        <v>3227</v>
      </c>
      <c r="K28" s="235"/>
      <c r="L28" s="175"/>
    </row>
    <row r="29" spans="1:21" ht="25.5" x14ac:dyDescent="0.2">
      <c r="A29" s="234"/>
      <c r="B29" s="191" t="s">
        <v>2857</v>
      </c>
      <c r="C29" s="155">
        <v>26</v>
      </c>
      <c r="D29" s="221" t="s">
        <v>3021</v>
      </c>
      <c r="E29" s="153" t="s">
        <v>2856</v>
      </c>
      <c r="F29" s="190" t="s">
        <v>2903</v>
      </c>
      <c r="G29" s="192" t="s">
        <v>2859</v>
      </c>
      <c r="H29" s="190" t="s">
        <v>2285</v>
      </c>
      <c r="I29" s="224" t="s">
        <v>3236</v>
      </c>
      <c r="J29" s="223" t="s">
        <v>3227</v>
      </c>
      <c r="K29" s="235"/>
      <c r="L29" s="175"/>
    </row>
    <row r="30" spans="1:21" s="239" customFormat="1" ht="25.5" x14ac:dyDescent="0.2">
      <c r="A30" s="237"/>
      <c r="B30" s="191" t="s">
        <v>2857</v>
      </c>
      <c r="C30" s="220">
        <v>27</v>
      </c>
      <c r="D30" s="221" t="s">
        <v>3022</v>
      </c>
      <c r="E30" s="153" t="s">
        <v>2856</v>
      </c>
      <c r="F30" s="190" t="s">
        <v>2904</v>
      </c>
      <c r="G30" s="192" t="s">
        <v>2859</v>
      </c>
      <c r="H30" s="190" t="s">
        <v>2285</v>
      </c>
      <c r="I30" s="224" t="s">
        <v>3237</v>
      </c>
      <c r="J30" s="223" t="s">
        <v>3227</v>
      </c>
      <c r="K30" s="235"/>
      <c r="L30" s="175"/>
      <c r="M30" s="238"/>
      <c r="N30" s="238"/>
      <c r="O30" s="238"/>
      <c r="P30" s="238"/>
      <c r="Q30" s="238"/>
      <c r="R30" s="238"/>
      <c r="S30" s="238"/>
      <c r="T30" s="238"/>
      <c r="U30" s="238"/>
    </row>
    <row r="31" spans="1:21" ht="25.5" x14ac:dyDescent="0.2">
      <c r="A31" s="234"/>
      <c r="B31" s="191" t="s">
        <v>2857</v>
      </c>
      <c r="C31" s="155">
        <v>28</v>
      </c>
      <c r="D31" s="221" t="s">
        <v>3023</v>
      </c>
      <c r="E31" s="153" t="s">
        <v>2856</v>
      </c>
      <c r="F31" s="190" t="s">
        <v>2905</v>
      </c>
      <c r="G31" s="192" t="s">
        <v>2859</v>
      </c>
      <c r="H31" s="190" t="s">
        <v>2285</v>
      </c>
      <c r="I31" s="224" t="s">
        <v>3238</v>
      </c>
      <c r="J31" s="223" t="s">
        <v>3227</v>
      </c>
      <c r="K31" s="235"/>
      <c r="L31" s="175"/>
    </row>
    <row r="32" spans="1:21" x14ac:dyDescent="0.2">
      <c r="A32" s="234"/>
      <c r="B32" s="191" t="s">
        <v>2857</v>
      </c>
      <c r="C32" s="220">
        <v>29</v>
      </c>
      <c r="D32" s="221" t="s">
        <v>3024</v>
      </c>
      <c r="E32" s="153" t="s">
        <v>2856</v>
      </c>
      <c r="F32" s="190" t="s">
        <v>2906</v>
      </c>
      <c r="G32" s="192" t="s">
        <v>3155</v>
      </c>
      <c r="H32" s="240" t="s">
        <v>2875</v>
      </c>
      <c r="I32" s="221" t="s">
        <v>2957</v>
      </c>
      <c r="J32" s="223" t="s">
        <v>3227</v>
      </c>
      <c r="K32" s="235"/>
      <c r="L32" s="175"/>
    </row>
    <row r="33" spans="1:12" x14ac:dyDescent="0.2">
      <c r="A33" s="234"/>
      <c r="B33" s="191" t="s">
        <v>2857</v>
      </c>
      <c r="C33" s="155">
        <v>30</v>
      </c>
      <c r="D33" s="221" t="s">
        <v>3025</v>
      </c>
      <c r="E33" s="153" t="s">
        <v>2856</v>
      </c>
      <c r="F33" s="190" t="s">
        <v>2907</v>
      </c>
      <c r="G33" s="192" t="s">
        <v>3155</v>
      </c>
      <c r="H33" s="240" t="s">
        <v>2876</v>
      </c>
      <c r="I33" s="221" t="s">
        <v>2958</v>
      </c>
      <c r="J33" s="223" t="s">
        <v>3227</v>
      </c>
      <c r="K33" s="235"/>
      <c r="L33" s="175"/>
    </row>
    <row r="34" spans="1:12" ht="51" x14ac:dyDescent="0.2">
      <c r="A34" s="234"/>
      <c r="B34" s="191" t="s">
        <v>2857</v>
      </c>
      <c r="C34" s="220">
        <v>31</v>
      </c>
      <c r="D34" s="221" t="s">
        <v>3026</v>
      </c>
      <c r="E34" s="153" t="s">
        <v>2856</v>
      </c>
      <c r="F34" s="190" t="s">
        <v>2908</v>
      </c>
      <c r="G34" s="192" t="s">
        <v>2859</v>
      </c>
      <c r="H34" s="190" t="s">
        <v>2285</v>
      </c>
      <c r="I34" s="224" t="s">
        <v>3239</v>
      </c>
      <c r="J34" s="223" t="s">
        <v>3227</v>
      </c>
      <c r="K34" s="235"/>
      <c r="L34" s="175"/>
    </row>
    <row r="35" spans="1:12" x14ac:dyDescent="0.2">
      <c r="A35" s="234"/>
      <c r="B35" s="191" t="s">
        <v>2857</v>
      </c>
      <c r="C35" s="155">
        <v>32</v>
      </c>
      <c r="D35" s="221" t="s">
        <v>3027</v>
      </c>
      <c r="E35" s="153" t="s">
        <v>2856</v>
      </c>
      <c r="F35" s="190" t="s">
        <v>2909</v>
      </c>
      <c r="G35" s="192"/>
      <c r="H35" s="171"/>
      <c r="I35" s="169" t="s">
        <v>2964</v>
      </c>
      <c r="J35" s="223" t="s">
        <v>3227</v>
      </c>
      <c r="K35" s="235"/>
      <c r="L35" s="175"/>
    </row>
    <row r="36" spans="1:12" x14ac:dyDescent="0.2">
      <c r="A36" s="234"/>
      <c r="B36" s="191" t="s">
        <v>2857</v>
      </c>
      <c r="C36" s="220">
        <v>33</v>
      </c>
      <c r="D36" s="221" t="s">
        <v>3028</v>
      </c>
      <c r="E36" s="153" t="s">
        <v>2856</v>
      </c>
      <c r="F36" s="190" t="s">
        <v>2910</v>
      </c>
      <c r="G36" s="192"/>
      <c r="H36" s="171"/>
      <c r="I36" s="169" t="s">
        <v>2965</v>
      </c>
      <c r="J36" s="223" t="s">
        <v>3227</v>
      </c>
      <c r="K36" s="235"/>
      <c r="L36" s="175"/>
    </row>
    <row r="37" spans="1:12" x14ac:dyDescent="0.2">
      <c r="A37" s="234"/>
      <c r="B37" s="191" t="s">
        <v>2857</v>
      </c>
      <c r="C37" s="155">
        <v>34</v>
      </c>
      <c r="D37" s="221" t="s">
        <v>3029</v>
      </c>
      <c r="E37" s="153" t="s">
        <v>2856</v>
      </c>
      <c r="F37" s="190" t="s">
        <v>2911</v>
      </c>
      <c r="G37" s="192"/>
      <c r="H37" s="171"/>
      <c r="I37" s="169" t="s">
        <v>2966</v>
      </c>
      <c r="J37" s="223" t="s">
        <v>3227</v>
      </c>
      <c r="K37" s="235"/>
      <c r="L37" s="175"/>
    </row>
    <row r="38" spans="1:12" x14ac:dyDescent="0.2">
      <c r="A38" s="234"/>
      <c r="B38" s="191" t="s">
        <v>2857</v>
      </c>
      <c r="C38" s="220">
        <v>35</v>
      </c>
      <c r="D38" s="221" t="s">
        <v>3030</v>
      </c>
      <c r="E38" s="153" t="s">
        <v>2856</v>
      </c>
      <c r="F38" s="190" t="s">
        <v>2912</v>
      </c>
      <c r="G38" s="192"/>
      <c r="H38" s="171"/>
      <c r="I38" s="169" t="s">
        <v>2967</v>
      </c>
      <c r="J38" s="223" t="s">
        <v>3227</v>
      </c>
      <c r="K38" s="235"/>
      <c r="L38" s="175"/>
    </row>
    <row r="39" spans="1:12" x14ac:dyDescent="0.2">
      <c r="A39" s="234"/>
      <c r="B39" s="191" t="s">
        <v>2857</v>
      </c>
      <c r="C39" s="155">
        <v>36</v>
      </c>
      <c r="D39" s="221" t="s">
        <v>3031</v>
      </c>
      <c r="E39" s="153" t="s">
        <v>2856</v>
      </c>
      <c r="F39" s="190" t="s">
        <v>2913</v>
      </c>
      <c r="G39" s="192"/>
      <c r="H39" s="171"/>
      <c r="I39" s="169" t="s">
        <v>2968</v>
      </c>
      <c r="J39" s="223" t="s">
        <v>3227</v>
      </c>
      <c r="K39" s="235"/>
      <c r="L39" s="175"/>
    </row>
    <row r="40" spans="1:12" x14ac:dyDescent="0.2">
      <c r="A40" s="234"/>
      <c r="B40" s="191" t="s">
        <v>2857</v>
      </c>
      <c r="C40" s="220">
        <v>37</v>
      </c>
      <c r="D40" s="221" t="s">
        <v>3032</v>
      </c>
      <c r="E40" s="153" t="s">
        <v>2856</v>
      </c>
      <c r="F40" s="190" t="s">
        <v>2914</v>
      </c>
      <c r="G40" s="192"/>
      <c r="H40" s="171"/>
      <c r="I40" s="169" t="s">
        <v>2969</v>
      </c>
      <c r="J40" s="223" t="s">
        <v>3227</v>
      </c>
      <c r="K40" s="235"/>
      <c r="L40" s="175"/>
    </row>
    <row r="41" spans="1:12" x14ac:dyDescent="0.2">
      <c r="A41" s="234"/>
      <c r="B41" s="191" t="s">
        <v>2857</v>
      </c>
      <c r="C41" s="155">
        <v>38</v>
      </c>
      <c r="D41" s="221" t="s">
        <v>3033</v>
      </c>
      <c r="E41" s="153" t="s">
        <v>2856</v>
      </c>
      <c r="F41" s="190" t="s">
        <v>2915</v>
      </c>
      <c r="G41" s="192"/>
      <c r="H41" s="171"/>
      <c r="I41" s="169" t="s">
        <v>2970</v>
      </c>
      <c r="J41" s="223" t="s">
        <v>3227</v>
      </c>
      <c r="K41" s="235"/>
      <c r="L41" s="175"/>
    </row>
    <row r="42" spans="1:12" x14ac:dyDescent="0.2">
      <c r="A42" s="234"/>
      <c r="B42" s="191" t="s">
        <v>2857</v>
      </c>
      <c r="C42" s="220">
        <v>39</v>
      </c>
      <c r="D42" s="221" t="s">
        <v>3034</v>
      </c>
      <c r="E42" s="153" t="s">
        <v>2856</v>
      </c>
      <c r="F42" s="190" t="s">
        <v>2916</v>
      </c>
      <c r="G42" s="192"/>
      <c r="H42" s="171"/>
      <c r="I42" s="169" t="s">
        <v>2971</v>
      </c>
      <c r="J42" s="223" t="s">
        <v>3227</v>
      </c>
      <c r="K42" s="235"/>
      <c r="L42" s="175"/>
    </row>
    <row r="43" spans="1:12" x14ac:dyDescent="0.2">
      <c r="A43" s="234"/>
      <c r="B43" s="191" t="s">
        <v>2857</v>
      </c>
      <c r="C43" s="155">
        <v>40</v>
      </c>
      <c r="D43" s="221" t="s">
        <v>3035</v>
      </c>
      <c r="E43" s="153" t="s">
        <v>2856</v>
      </c>
      <c r="F43" s="190" t="s">
        <v>2917</v>
      </c>
      <c r="G43" s="192"/>
      <c r="H43" s="171"/>
      <c r="I43" s="169" t="s">
        <v>2972</v>
      </c>
      <c r="J43" s="223" t="s">
        <v>3227</v>
      </c>
      <c r="K43" s="235"/>
      <c r="L43" s="175"/>
    </row>
    <row r="44" spans="1:12" s="154" customFormat="1" x14ac:dyDescent="0.2">
      <c r="A44" s="234"/>
      <c r="B44" s="191" t="s">
        <v>2857</v>
      </c>
      <c r="C44" s="220">
        <v>41</v>
      </c>
      <c r="D44" s="221" t="s">
        <v>3036</v>
      </c>
      <c r="E44" s="153" t="s">
        <v>2856</v>
      </c>
      <c r="F44" s="190" t="s">
        <v>2918</v>
      </c>
      <c r="G44" s="192"/>
      <c r="H44" s="171"/>
      <c r="I44" s="169" t="s">
        <v>2973</v>
      </c>
      <c r="J44" s="223" t="s">
        <v>3227</v>
      </c>
      <c r="K44" s="235"/>
      <c r="L44" s="175"/>
    </row>
    <row r="45" spans="1:12" s="154" customFormat="1" x14ac:dyDescent="0.2">
      <c r="A45" s="234"/>
      <c r="B45" s="191" t="s">
        <v>2857</v>
      </c>
      <c r="C45" s="155">
        <v>42</v>
      </c>
      <c r="D45" s="221" t="s">
        <v>3037</v>
      </c>
      <c r="E45" s="153" t="s">
        <v>2856</v>
      </c>
      <c r="F45" s="190" t="s">
        <v>2919</v>
      </c>
      <c r="G45" s="192"/>
      <c r="H45" s="171"/>
      <c r="I45" s="169" t="s">
        <v>2974</v>
      </c>
      <c r="J45" s="223" t="s">
        <v>3227</v>
      </c>
      <c r="K45" s="235"/>
      <c r="L45" s="175"/>
    </row>
    <row r="46" spans="1:12" s="154" customFormat="1" x14ac:dyDescent="0.2">
      <c r="A46" s="234"/>
      <c r="B46" s="191" t="s">
        <v>2857</v>
      </c>
      <c r="C46" s="220">
        <v>43</v>
      </c>
      <c r="D46" s="221" t="s">
        <v>3038</v>
      </c>
      <c r="E46" s="153" t="s">
        <v>2856</v>
      </c>
      <c r="F46" s="190" t="s">
        <v>2920</v>
      </c>
      <c r="G46" s="192"/>
      <c r="H46" s="171"/>
      <c r="I46" s="169" t="s">
        <v>2975</v>
      </c>
      <c r="J46" s="223" t="s">
        <v>3227</v>
      </c>
      <c r="K46" s="235"/>
      <c r="L46" s="175"/>
    </row>
    <row r="47" spans="1:12" s="154" customFormat="1" x14ac:dyDescent="0.2">
      <c r="A47" s="234"/>
      <c r="B47" s="191" t="s">
        <v>2857</v>
      </c>
      <c r="C47" s="155">
        <v>44</v>
      </c>
      <c r="D47" s="221" t="s">
        <v>3039</v>
      </c>
      <c r="E47" s="153" t="s">
        <v>2856</v>
      </c>
      <c r="F47" s="190" t="s">
        <v>2921</v>
      </c>
      <c r="G47" s="192"/>
      <c r="H47" s="171"/>
      <c r="I47" s="169" t="s">
        <v>2976</v>
      </c>
      <c r="J47" s="223" t="s">
        <v>3227</v>
      </c>
      <c r="K47" s="235"/>
      <c r="L47" s="175"/>
    </row>
    <row r="48" spans="1:12" s="154" customFormat="1" x14ac:dyDescent="0.2">
      <c r="A48" s="234"/>
      <c r="B48" s="191" t="s">
        <v>2857</v>
      </c>
      <c r="C48" s="220">
        <v>45</v>
      </c>
      <c r="D48" s="221" t="s">
        <v>3040</v>
      </c>
      <c r="E48" s="153" t="s">
        <v>2856</v>
      </c>
      <c r="F48" s="190" t="s">
        <v>2922</v>
      </c>
      <c r="G48" s="192"/>
      <c r="H48" s="171"/>
      <c r="I48" s="169" t="s">
        <v>2977</v>
      </c>
      <c r="J48" s="223" t="s">
        <v>3227</v>
      </c>
      <c r="K48" s="235"/>
      <c r="L48" s="175"/>
    </row>
    <row r="49" spans="1:12" s="154" customFormat="1" x14ac:dyDescent="0.2">
      <c r="A49" s="234"/>
      <c r="B49" s="191" t="s">
        <v>2857</v>
      </c>
      <c r="C49" s="155">
        <v>46</v>
      </c>
      <c r="D49" s="221" t="s">
        <v>3041</v>
      </c>
      <c r="E49" s="153" t="s">
        <v>2856</v>
      </c>
      <c r="F49" s="190" t="s">
        <v>2923</v>
      </c>
      <c r="G49" s="192"/>
      <c r="H49" s="171"/>
      <c r="I49" s="169" t="s">
        <v>2978</v>
      </c>
      <c r="J49" s="223" t="s">
        <v>3227</v>
      </c>
      <c r="K49" s="235"/>
      <c r="L49" s="175"/>
    </row>
    <row r="50" spans="1:12" s="154" customFormat="1" x14ac:dyDescent="0.2">
      <c r="A50" s="234"/>
      <c r="B50" s="191" t="s">
        <v>2857</v>
      </c>
      <c r="C50" s="220">
        <v>47</v>
      </c>
      <c r="D50" s="221" t="s">
        <v>3042</v>
      </c>
      <c r="E50" s="153" t="s">
        <v>2856</v>
      </c>
      <c r="F50" s="190" t="s">
        <v>2924</v>
      </c>
      <c r="G50" s="192"/>
      <c r="H50" s="171"/>
      <c r="I50" s="169" t="s">
        <v>2979</v>
      </c>
      <c r="J50" s="223" t="s">
        <v>3227</v>
      </c>
      <c r="K50" s="235"/>
      <c r="L50" s="175"/>
    </row>
    <row r="51" spans="1:12" s="154" customFormat="1" ht="25.5" x14ac:dyDescent="0.2">
      <c r="A51" s="234"/>
      <c r="B51" s="191" t="s">
        <v>2857</v>
      </c>
      <c r="C51" s="155">
        <v>48</v>
      </c>
      <c r="D51" s="221" t="s">
        <v>3043</v>
      </c>
      <c r="E51" s="153" t="s">
        <v>2856</v>
      </c>
      <c r="F51" s="190" t="s">
        <v>2925</v>
      </c>
      <c r="G51" s="192"/>
      <c r="H51" s="171"/>
      <c r="I51" s="193" t="s">
        <v>3240</v>
      </c>
      <c r="J51" s="223" t="s">
        <v>3227</v>
      </c>
      <c r="K51" s="235"/>
      <c r="L51" s="175"/>
    </row>
    <row r="52" spans="1:12" s="154" customFormat="1" ht="13.5" thickBot="1" x14ac:dyDescent="0.25">
      <c r="A52" s="225"/>
      <c r="B52" s="191" t="s">
        <v>2857</v>
      </c>
      <c r="C52" s="220">
        <v>49</v>
      </c>
      <c r="D52" s="221" t="s">
        <v>3044</v>
      </c>
      <c r="E52" s="153" t="s">
        <v>2856</v>
      </c>
      <c r="F52" s="190" t="s">
        <v>984</v>
      </c>
      <c r="G52" s="192"/>
      <c r="H52" s="171"/>
      <c r="I52" s="169" t="s">
        <v>2980</v>
      </c>
      <c r="J52" s="223" t="s">
        <v>3227</v>
      </c>
      <c r="K52" s="226"/>
    </row>
    <row r="53" spans="1:12" s="154" customFormat="1" ht="13.5" thickBot="1" x14ac:dyDescent="0.25">
      <c r="A53" s="153"/>
      <c r="B53" s="191" t="s">
        <v>2857</v>
      </c>
      <c r="C53" s="155">
        <v>50</v>
      </c>
      <c r="D53" s="221" t="s">
        <v>3045</v>
      </c>
      <c r="E53" s="153" t="s">
        <v>2856</v>
      </c>
      <c r="F53" s="190" t="s">
        <v>985</v>
      </c>
      <c r="G53" s="192"/>
      <c r="H53" s="171"/>
      <c r="I53" s="169" t="s">
        <v>2981</v>
      </c>
      <c r="J53" s="223" t="s">
        <v>3227</v>
      </c>
    </row>
    <row r="54" spans="1:12" s="154" customFormat="1" x14ac:dyDescent="0.2">
      <c r="A54" s="227"/>
      <c r="B54" s="191" t="s">
        <v>2857</v>
      </c>
      <c r="C54" s="220">
        <v>51</v>
      </c>
      <c r="D54" s="221" t="s">
        <v>3046</v>
      </c>
      <c r="E54" s="153" t="s">
        <v>2856</v>
      </c>
      <c r="F54" s="190" t="s">
        <v>986</v>
      </c>
      <c r="G54" s="192"/>
      <c r="H54" s="171"/>
      <c r="I54" s="169" t="s">
        <v>2982</v>
      </c>
      <c r="J54" s="223" t="s">
        <v>3227</v>
      </c>
      <c r="K54" s="228"/>
    </row>
    <row r="55" spans="1:12" s="154" customFormat="1" ht="13.5" thickBot="1" x14ac:dyDescent="0.25">
      <c r="A55" s="229"/>
      <c r="B55" s="191" t="s">
        <v>2857</v>
      </c>
      <c r="C55" s="155">
        <v>52</v>
      </c>
      <c r="D55" s="221" t="s">
        <v>3047</v>
      </c>
      <c r="E55" s="153" t="s">
        <v>2856</v>
      </c>
      <c r="F55" s="190" t="s">
        <v>987</v>
      </c>
      <c r="G55" s="192"/>
      <c r="H55" s="171"/>
      <c r="I55" s="169" t="s">
        <v>2983</v>
      </c>
      <c r="J55" s="223" t="s">
        <v>3227</v>
      </c>
      <c r="K55" s="230"/>
    </row>
    <row r="56" spans="1:12" x14ac:dyDescent="0.2">
      <c r="B56" s="191" t="s">
        <v>2857</v>
      </c>
      <c r="C56" s="220">
        <v>53</v>
      </c>
      <c r="D56" s="221" t="s">
        <v>3048</v>
      </c>
      <c r="E56" s="153" t="s">
        <v>2856</v>
      </c>
      <c r="F56" s="190" t="s">
        <v>996</v>
      </c>
      <c r="G56" s="192"/>
      <c r="H56" s="171"/>
      <c r="I56" s="169" t="s">
        <v>2984</v>
      </c>
      <c r="J56" s="223" t="s">
        <v>3227</v>
      </c>
    </row>
    <row r="57" spans="1:12" x14ac:dyDescent="0.2">
      <c r="B57" s="191" t="s">
        <v>2857</v>
      </c>
      <c r="C57" s="155">
        <v>54</v>
      </c>
      <c r="D57" s="221" t="s">
        <v>3049</v>
      </c>
      <c r="E57" s="153" t="s">
        <v>2856</v>
      </c>
      <c r="F57" s="190" t="s">
        <v>997</v>
      </c>
      <c r="G57" s="192"/>
      <c r="H57" s="171"/>
      <c r="I57" s="169" t="s">
        <v>2985</v>
      </c>
      <c r="J57" s="223" t="s">
        <v>3227</v>
      </c>
    </row>
    <row r="58" spans="1:12" x14ac:dyDescent="0.2">
      <c r="B58" s="191" t="s">
        <v>2857</v>
      </c>
      <c r="C58" s="220">
        <v>55</v>
      </c>
      <c r="D58" s="221" t="s">
        <v>3050</v>
      </c>
      <c r="E58" s="153" t="s">
        <v>2856</v>
      </c>
      <c r="F58" s="190" t="s">
        <v>2926</v>
      </c>
      <c r="G58" s="192"/>
      <c r="H58" s="171"/>
      <c r="I58" s="169" t="s">
        <v>2986</v>
      </c>
      <c r="J58" s="223" t="s">
        <v>3227</v>
      </c>
    </row>
    <row r="59" spans="1:12" x14ac:dyDescent="0.2">
      <c r="B59" s="191" t="s">
        <v>2857</v>
      </c>
      <c r="C59" s="155">
        <v>56</v>
      </c>
      <c r="D59" s="221" t="s">
        <v>3051</v>
      </c>
      <c r="E59" s="153" t="s">
        <v>2856</v>
      </c>
      <c r="F59" s="190" t="s">
        <v>998</v>
      </c>
      <c r="G59" s="192"/>
      <c r="H59" s="171"/>
      <c r="I59" s="169" t="s">
        <v>2987</v>
      </c>
      <c r="J59" s="223" t="s">
        <v>3227</v>
      </c>
    </row>
    <row r="60" spans="1:12" x14ac:dyDescent="0.2">
      <c r="B60" s="191" t="s">
        <v>2857</v>
      </c>
      <c r="C60" s="220">
        <v>57</v>
      </c>
      <c r="D60" s="221" t="s">
        <v>3052</v>
      </c>
      <c r="E60" s="153" t="s">
        <v>2856</v>
      </c>
      <c r="F60" s="190" t="s">
        <v>999</v>
      </c>
      <c r="G60" s="192"/>
      <c r="H60" s="171"/>
      <c r="I60" s="169" t="s">
        <v>2988</v>
      </c>
      <c r="J60" s="223" t="s">
        <v>3227</v>
      </c>
    </row>
    <row r="61" spans="1:12" x14ac:dyDescent="0.2">
      <c r="B61" s="191" t="s">
        <v>2857</v>
      </c>
      <c r="C61" s="155">
        <v>58</v>
      </c>
      <c r="D61" s="221" t="s">
        <v>3053</v>
      </c>
      <c r="E61" s="153" t="s">
        <v>2856</v>
      </c>
      <c r="F61" s="190" t="s">
        <v>2927</v>
      </c>
      <c r="G61" s="192"/>
      <c r="H61" s="171"/>
      <c r="I61" s="169" t="s">
        <v>2989</v>
      </c>
      <c r="J61" s="223" t="s">
        <v>3227</v>
      </c>
    </row>
    <row r="62" spans="1:12" x14ac:dyDescent="0.2">
      <c r="B62" s="191" t="s">
        <v>2857</v>
      </c>
      <c r="C62" s="220">
        <v>59</v>
      </c>
      <c r="D62" s="221" t="s">
        <v>3054</v>
      </c>
      <c r="E62" s="153" t="s">
        <v>2856</v>
      </c>
      <c r="F62" s="190" t="s">
        <v>2928</v>
      </c>
      <c r="G62" s="192"/>
      <c r="H62" s="171"/>
      <c r="I62" s="169" t="s">
        <v>2990</v>
      </c>
      <c r="J62" s="223" t="s">
        <v>3227</v>
      </c>
    </row>
    <row r="63" spans="1:12" x14ac:dyDescent="0.2">
      <c r="B63" s="191" t="s">
        <v>2857</v>
      </c>
      <c r="C63" s="155">
        <v>60</v>
      </c>
      <c r="D63" s="221" t="s">
        <v>3055</v>
      </c>
      <c r="E63" s="153" t="s">
        <v>2856</v>
      </c>
      <c r="F63" s="190" t="s">
        <v>2929</v>
      </c>
      <c r="G63" s="192"/>
      <c r="H63" s="171"/>
      <c r="I63" s="169" t="s">
        <v>2991</v>
      </c>
      <c r="J63" s="223" t="s">
        <v>3227</v>
      </c>
    </row>
    <row r="64" spans="1:12" x14ac:dyDescent="0.2">
      <c r="B64" s="191" t="s">
        <v>2857</v>
      </c>
      <c r="C64" s="220">
        <v>61</v>
      </c>
      <c r="D64" s="221" t="s">
        <v>3056</v>
      </c>
      <c r="E64" s="153" t="s">
        <v>2856</v>
      </c>
      <c r="F64" s="190" t="s">
        <v>2930</v>
      </c>
      <c r="G64" s="192"/>
      <c r="H64" s="190"/>
      <c r="I64" s="169" t="s">
        <v>2992</v>
      </c>
      <c r="J64" s="223" t="s">
        <v>3227</v>
      </c>
    </row>
    <row r="65" spans="2:21" x14ac:dyDescent="0.2">
      <c r="B65" s="191" t="s">
        <v>2857</v>
      </c>
      <c r="C65" s="155">
        <v>62</v>
      </c>
      <c r="D65" s="221" t="s">
        <v>3057</v>
      </c>
      <c r="E65" s="153" t="s">
        <v>2856</v>
      </c>
      <c r="F65" s="190" t="s">
        <v>2931</v>
      </c>
      <c r="G65" s="192"/>
      <c r="H65" s="190"/>
      <c r="I65" s="169" t="s">
        <v>2993</v>
      </c>
      <c r="J65" s="223" t="s">
        <v>3227</v>
      </c>
    </row>
    <row r="66" spans="2:21" x14ac:dyDescent="0.2">
      <c r="B66" s="191" t="s">
        <v>2857</v>
      </c>
      <c r="C66" s="220">
        <v>63</v>
      </c>
      <c r="D66" s="221" t="s">
        <v>3058</v>
      </c>
      <c r="E66" s="153" t="s">
        <v>2856</v>
      </c>
      <c r="F66" s="190" t="s">
        <v>2932</v>
      </c>
      <c r="G66" s="192"/>
      <c r="H66" s="190"/>
      <c r="I66" s="169" t="s">
        <v>2994</v>
      </c>
      <c r="J66" s="223" t="s">
        <v>3227</v>
      </c>
      <c r="L66" s="231"/>
      <c r="M66" s="231"/>
      <c r="N66" s="231"/>
      <c r="O66" s="231"/>
      <c r="P66" s="231"/>
      <c r="Q66" s="231"/>
      <c r="R66" s="231"/>
      <c r="S66" s="231"/>
      <c r="T66" s="231"/>
      <c r="U66" s="231"/>
    </row>
    <row r="67" spans="2:21" ht="25.5" x14ac:dyDescent="0.2">
      <c r="B67" s="191" t="s">
        <v>2857</v>
      </c>
      <c r="C67" s="155">
        <v>64</v>
      </c>
      <c r="D67" s="221" t="s">
        <v>3059</v>
      </c>
      <c r="E67" s="153" t="s">
        <v>2856</v>
      </c>
      <c r="F67" s="190" t="s">
        <v>2933</v>
      </c>
      <c r="G67" s="192"/>
      <c r="H67" s="190"/>
      <c r="I67" s="193" t="s">
        <v>3241</v>
      </c>
      <c r="J67" s="223" t="s">
        <v>3227</v>
      </c>
    </row>
    <row r="68" spans="2:21" ht="25.5" x14ac:dyDescent="0.2">
      <c r="B68" s="191" t="s">
        <v>2857</v>
      </c>
      <c r="C68" s="220">
        <v>65</v>
      </c>
      <c r="D68" s="221" t="s">
        <v>3060</v>
      </c>
      <c r="E68" s="153" t="s">
        <v>2856</v>
      </c>
      <c r="F68" s="190" t="s">
        <v>2934</v>
      </c>
      <c r="G68" s="192"/>
      <c r="H68" s="190"/>
      <c r="I68" s="193" t="s">
        <v>3242</v>
      </c>
      <c r="J68" s="223" t="s">
        <v>3227</v>
      </c>
      <c r="L68" s="232"/>
      <c r="M68" s="232"/>
      <c r="N68" s="232"/>
      <c r="O68" s="232"/>
      <c r="P68" s="232"/>
      <c r="Q68" s="232"/>
      <c r="R68" s="232"/>
      <c r="S68" s="232"/>
      <c r="T68" s="232"/>
      <c r="U68" s="232"/>
    </row>
    <row r="69" spans="2:21" ht="25.5" x14ac:dyDescent="0.2">
      <c r="B69" s="191" t="s">
        <v>2857</v>
      </c>
      <c r="C69" s="155">
        <v>66</v>
      </c>
      <c r="D69" s="221" t="s">
        <v>3061</v>
      </c>
      <c r="E69" s="153" t="s">
        <v>2856</v>
      </c>
      <c r="F69" s="190" t="s">
        <v>2935</v>
      </c>
      <c r="G69" s="192"/>
      <c r="H69" s="190"/>
      <c r="I69" s="193" t="s">
        <v>3243</v>
      </c>
      <c r="J69" s="223" t="s">
        <v>3227</v>
      </c>
      <c r="L69" s="233"/>
      <c r="M69" s="233"/>
      <c r="N69" s="233"/>
      <c r="O69" s="233"/>
      <c r="P69" s="233"/>
      <c r="Q69" s="233"/>
      <c r="R69" s="233"/>
      <c r="S69" s="233"/>
      <c r="T69" s="233"/>
      <c r="U69" s="233"/>
    </row>
    <row r="70" spans="2:21" ht="25.5" x14ac:dyDescent="0.2">
      <c r="B70" s="191" t="s">
        <v>2857</v>
      </c>
      <c r="C70" s="220">
        <v>67</v>
      </c>
      <c r="D70" s="221" t="s">
        <v>3062</v>
      </c>
      <c r="E70" s="153" t="s">
        <v>2856</v>
      </c>
      <c r="F70" s="190" t="s">
        <v>2936</v>
      </c>
      <c r="G70" s="192"/>
      <c r="H70" s="190"/>
      <c r="I70" s="193" t="s">
        <v>3244</v>
      </c>
      <c r="J70" s="223" t="s">
        <v>3227</v>
      </c>
      <c r="L70" s="233"/>
      <c r="M70" s="233"/>
      <c r="N70" s="233"/>
      <c r="O70" s="233"/>
      <c r="P70" s="233"/>
      <c r="Q70" s="233"/>
      <c r="R70" s="233"/>
      <c r="S70" s="233"/>
      <c r="T70" s="233"/>
      <c r="U70" s="233"/>
    </row>
    <row r="71" spans="2:21" ht="25.5" x14ac:dyDescent="0.2">
      <c r="B71" s="191" t="s">
        <v>2857</v>
      </c>
      <c r="C71" s="155">
        <v>68</v>
      </c>
      <c r="D71" s="221" t="s">
        <v>3063</v>
      </c>
      <c r="E71" s="153" t="s">
        <v>2856</v>
      </c>
      <c r="F71" s="190" t="s">
        <v>2937</v>
      </c>
      <c r="G71" s="192"/>
      <c r="H71" s="190"/>
      <c r="I71" s="193" t="s">
        <v>3245</v>
      </c>
      <c r="J71" s="223" t="s">
        <v>3227</v>
      </c>
      <c r="L71" s="233"/>
      <c r="M71" s="233"/>
      <c r="N71" s="233"/>
      <c r="O71" s="233"/>
      <c r="P71" s="233"/>
      <c r="Q71" s="233"/>
      <c r="R71" s="233"/>
      <c r="S71" s="233"/>
      <c r="T71" s="233"/>
      <c r="U71" s="233"/>
    </row>
    <row r="72" spans="2:21" ht="25.5" x14ac:dyDescent="0.2">
      <c r="B72" s="191" t="s">
        <v>2857</v>
      </c>
      <c r="C72" s="220">
        <v>69</v>
      </c>
      <c r="D72" s="221" t="s">
        <v>3064</v>
      </c>
      <c r="E72" s="153" t="s">
        <v>2856</v>
      </c>
      <c r="F72" s="190" t="s">
        <v>2938</v>
      </c>
      <c r="G72" s="192"/>
      <c r="H72" s="171"/>
      <c r="I72" s="193" t="s">
        <v>3246</v>
      </c>
      <c r="J72" s="223" t="s">
        <v>3227</v>
      </c>
      <c r="L72" s="233"/>
      <c r="M72" s="233"/>
      <c r="N72" s="233"/>
      <c r="O72" s="233"/>
      <c r="P72" s="233"/>
      <c r="Q72" s="233"/>
      <c r="R72" s="233"/>
      <c r="S72" s="233"/>
      <c r="T72" s="233"/>
      <c r="U72" s="233"/>
    </row>
    <row r="73" spans="2:21" ht="25.5" x14ac:dyDescent="0.2">
      <c r="B73" s="191" t="s">
        <v>2857</v>
      </c>
      <c r="C73" s="155">
        <v>70</v>
      </c>
      <c r="D73" s="221" t="s">
        <v>3065</v>
      </c>
      <c r="E73" s="153" t="s">
        <v>2856</v>
      </c>
      <c r="F73" s="190" t="s">
        <v>2939</v>
      </c>
      <c r="G73" s="192" t="s">
        <v>2859</v>
      </c>
      <c r="H73" s="171" t="s">
        <v>2549</v>
      </c>
      <c r="I73" s="224" t="s">
        <v>3247</v>
      </c>
      <c r="J73" s="223" t="s">
        <v>3227</v>
      </c>
      <c r="L73" s="233"/>
      <c r="M73" s="233"/>
      <c r="N73" s="233"/>
      <c r="O73" s="233"/>
      <c r="P73" s="233"/>
      <c r="Q73" s="233"/>
      <c r="R73" s="233"/>
      <c r="S73" s="233"/>
      <c r="T73" s="233"/>
      <c r="U73" s="233"/>
    </row>
    <row r="74" spans="2:21" ht="25.5" x14ac:dyDescent="0.2">
      <c r="B74" s="191" t="s">
        <v>2857</v>
      </c>
      <c r="C74" s="220">
        <v>71</v>
      </c>
      <c r="D74" s="221" t="s">
        <v>3066</v>
      </c>
      <c r="E74" s="153" t="s">
        <v>2856</v>
      </c>
      <c r="F74" s="190" t="s">
        <v>2940</v>
      </c>
      <c r="G74" s="192" t="s">
        <v>2859</v>
      </c>
      <c r="H74" s="171" t="s">
        <v>2548</v>
      </c>
      <c r="I74" s="224" t="s">
        <v>3248</v>
      </c>
      <c r="J74" s="223" t="s">
        <v>3227</v>
      </c>
      <c r="L74" s="233"/>
      <c r="M74" s="233"/>
      <c r="N74" s="233"/>
      <c r="O74" s="233"/>
      <c r="P74" s="233"/>
      <c r="Q74" s="233"/>
      <c r="R74" s="233"/>
      <c r="S74" s="233"/>
      <c r="T74" s="233"/>
      <c r="U74" s="233"/>
    </row>
    <row r="75" spans="2:21" ht="25.5" x14ac:dyDescent="0.2">
      <c r="B75" s="191" t="s">
        <v>2857</v>
      </c>
      <c r="C75" s="155">
        <v>72</v>
      </c>
      <c r="D75" s="221" t="s">
        <v>3067</v>
      </c>
      <c r="E75" s="153" t="s">
        <v>2856</v>
      </c>
      <c r="F75" s="190" t="s">
        <v>2941</v>
      </c>
      <c r="G75" s="192"/>
      <c r="H75" s="171"/>
      <c r="I75" s="194" t="s">
        <v>3249</v>
      </c>
      <c r="J75" s="223" t="s">
        <v>3227</v>
      </c>
      <c r="L75" s="233"/>
      <c r="M75" s="233"/>
      <c r="N75" s="233"/>
      <c r="O75" s="233"/>
      <c r="P75" s="233"/>
      <c r="Q75" s="233"/>
      <c r="R75" s="233"/>
      <c r="S75" s="233"/>
      <c r="T75" s="233"/>
      <c r="U75" s="233"/>
    </row>
    <row r="76" spans="2:21" x14ac:dyDescent="0.2">
      <c r="B76" s="191" t="s">
        <v>2857</v>
      </c>
      <c r="C76" s="220">
        <v>73</v>
      </c>
      <c r="D76" s="221" t="s">
        <v>3068</v>
      </c>
      <c r="E76" s="153" t="s">
        <v>2856</v>
      </c>
      <c r="F76" s="190" t="s">
        <v>2942</v>
      </c>
      <c r="G76" s="192"/>
      <c r="H76" s="171"/>
      <c r="I76" s="221" t="s">
        <v>2959</v>
      </c>
      <c r="J76" s="223" t="s">
        <v>3227</v>
      </c>
      <c r="L76" s="233"/>
      <c r="M76" s="233"/>
      <c r="N76" s="233"/>
      <c r="O76" s="233"/>
      <c r="P76" s="233"/>
      <c r="Q76" s="233"/>
      <c r="R76" s="233"/>
      <c r="S76" s="233"/>
      <c r="T76" s="233"/>
      <c r="U76" s="233"/>
    </row>
    <row r="77" spans="2:21" x14ac:dyDescent="0.2">
      <c r="B77" s="191" t="s">
        <v>2857</v>
      </c>
      <c r="C77" s="155">
        <v>74</v>
      </c>
      <c r="D77" s="221"/>
      <c r="E77" s="153" t="s">
        <v>2856</v>
      </c>
      <c r="F77" s="190"/>
      <c r="G77" s="192"/>
      <c r="H77" s="171"/>
      <c r="I77" s="194"/>
      <c r="J77" s="223" t="s">
        <v>3227</v>
      </c>
      <c r="L77" s="233"/>
      <c r="M77" s="233"/>
      <c r="N77" s="233"/>
      <c r="O77" s="233"/>
      <c r="P77" s="233"/>
      <c r="Q77" s="233"/>
      <c r="R77" s="233"/>
      <c r="S77" s="233"/>
      <c r="T77" s="233"/>
      <c r="U77" s="233"/>
    </row>
    <row r="78" spans="2:21" ht="25.5" x14ac:dyDescent="0.2">
      <c r="B78" s="191" t="s">
        <v>2857</v>
      </c>
      <c r="C78" s="220">
        <v>75</v>
      </c>
      <c r="D78" s="221" t="s">
        <v>3069</v>
      </c>
      <c r="E78" s="153" t="s">
        <v>2856</v>
      </c>
      <c r="F78" s="190" t="s">
        <v>2943</v>
      </c>
      <c r="G78" s="192"/>
      <c r="H78" s="171"/>
      <c r="I78" s="193" t="s">
        <v>3250</v>
      </c>
      <c r="J78" s="223" t="s">
        <v>3227</v>
      </c>
      <c r="L78" s="233"/>
      <c r="M78" s="233"/>
      <c r="N78" s="233"/>
      <c r="O78" s="233"/>
      <c r="P78" s="233"/>
      <c r="Q78" s="233"/>
      <c r="R78" s="233"/>
      <c r="S78" s="233"/>
      <c r="T78" s="233"/>
      <c r="U78" s="233"/>
    </row>
    <row r="79" spans="2:21" ht="25.5" x14ac:dyDescent="0.2">
      <c r="B79" s="191" t="s">
        <v>2857</v>
      </c>
      <c r="C79" s="155">
        <v>76</v>
      </c>
      <c r="D79" s="221" t="s">
        <v>3070</v>
      </c>
      <c r="E79" s="153" t="s">
        <v>2856</v>
      </c>
      <c r="F79" s="190" t="s">
        <v>2944</v>
      </c>
      <c r="G79" s="192" t="s">
        <v>2859</v>
      </c>
      <c r="H79" s="171" t="s">
        <v>1756</v>
      </c>
      <c r="I79" s="224" t="s">
        <v>3251</v>
      </c>
      <c r="J79" s="223" t="s">
        <v>3227</v>
      </c>
    </row>
    <row r="80" spans="2:21" ht="25.5" x14ac:dyDescent="0.2">
      <c r="B80" s="191" t="s">
        <v>2857</v>
      </c>
      <c r="C80" s="220">
        <v>77</v>
      </c>
      <c r="D80" s="221" t="s">
        <v>3071</v>
      </c>
      <c r="E80" s="153" t="s">
        <v>2856</v>
      </c>
      <c r="F80" s="190" t="s">
        <v>2945</v>
      </c>
      <c r="G80" s="192" t="s">
        <v>2859</v>
      </c>
      <c r="H80" s="171" t="s">
        <v>1757</v>
      </c>
      <c r="I80" s="224" t="s">
        <v>3252</v>
      </c>
      <c r="J80" s="223" t="s">
        <v>3227</v>
      </c>
    </row>
    <row r="81" spans="2:21" x14ac:dyDescent="0.2">
      <c r="B81" s="191" t="s">
        <v>2857</v>
      </c>
      <c r="C81" s="155">
        <v>78</v>
      </c>
      <c r="D81" s="221" t="s">
        <v>3072</v>
      </c>
      <c r="E81" s="153" t="s">
        <v>2856</v>
      </c>
      <c r="F81" s="190" t="s">
        <v>2946</v>
      </c>
      <c r="G81" s="192"/>
      <c r="H81" s="171"/>
      <c r="I81" s="221" t="s">
        <v>2960</v>
      </c>
      <c r="J81" s="223" t="s">
        <v>3227</v>
      </c>
    </row>
    <row r="82" spans="2:21" x14ac:dyDescent="0.2">
      <c r="B82" s="191" t="s">
        <v>2857</v>
      </c>
      <c r="C82" s="220">
        <v>79</v>
      </c>
      <c r="D82" s="221" t="s">
        <v>3073</v>
      </c>
      <c r="E82" s="153" t="s">
        <v>2856</v>
      </c>
      <c r="F82" s="190" t="s">
        <v>2947</v>
      </c>
      <c r="G82" s="192"/>
      <c r="H82" s="171"/>
      <c r="I82" s="221" t="s">
        <v>2961</v>
      </c>
      <c r="J82" s="223" t="s">
        <v>3227</v>
      </c>
    </row>
    <row r="83" spans="2:21" x14ac:dyDescent="0.2">
      <c r="B83" s="191" t="s">
        <v>2857</v>
      </c>
      <c r="C83" s="155">
        <v>80</v>
      </c>
      <c r="D83" s="221" t="s">
        <v>3074</v>
      </c>
      <c r="E83" s="153" t="s">
        <v>2856</v>
      </c>
      <c r="F83" s="190" t="s">
        <v>2948</v>
      </c>
      <c r="G83" s="192"/>
      <c r="H83" s="171"/>
      <c r="I83" s="221" t="s">
        <v>2962</v>
      </c>
      <c r="J83" s="223" t="s">
        <v>3227</v>
      </c>
    </row>
    <row r="84" spans="2:21" x14ac:dyDescent="0.2">
      <c r="B84" s="191" t="s">
        <v>2857</v>
      </c>
      <c r="C84" s="220">
        <v>81</v>
      </c>
      <c r="D84" s="221" t="s">
        <v>3075</v>
      </c>
      <c r="E84" s="153" t="s">
        <v>2856</v>
      </c>
      <c r="F84" s="190" t="s">
        <v>2949</v>
      </c>
      <c r="G84" s="192" t="s">
        <v>3155</v>
      </c>
      <c r="H84" s="171" t="s">
        <v>2877</v>
      </c>
      <c r="I84" s="221" t="s">
        <v>2963</v>
      </c>
      <c r="J84" s="223" t="s">
        <v>3227</v>
      </c>
    </row>
    <row r="85" spans="2:21" x14ac:dyDescent="0.2">
      <c r="B85" s="191" t="s">
        <v>2857</v>
      </c>
      <c r="C85" s="155">
        <v>82</v>
      </c>
      <c r="D85" s="221" t="s">
        <v>3076</v>
      </c>
      <c r="E85" s="153" t="s">
        <v>2856</v>
      </c>
      <c r="F85" s="190" t="s">
        <v>2950</v>
      </c>
      <c r="G85" s="192"/>
      <c r="H85" s="171"/>
      <c r="I85" s="194" t="s">
        <v>2995</v>
      </c>
      <c r="J85" s="223" t="s">
        <v>3227</v>
      </c>
    </row>
    <row r="86" spans="2:21" x14ac:dyDescent="0.2">
      <c r="B86" s="191" t="s">
        <v>2857</v>
      </c>
      <c r="C86" s="220">
        <v>83</v>
      </c>
      <c r="D86" s="221"/>
      <c r="F86" s="190"/>
      <c r="G86" s="192"/>
      <c r="H86" s="171"/>
      <c r="I86" s="194"/>
      <c r="J86" s="223" t="s">
        <v>3227</v>
      </c>
    </row>
    <row r="87" spans="2:21" x14ac:dyDescent="0.2">
      <c r="B87" s="191" t="s">
        <v>3208</v>
      </c>
      <c r="C87" s="155">
        <v>84</v>
      </c>
      <c r="D87" s="221" t="s">
        <v>3219</v>
      </c>
      <c r="E87" s="153" t="s">
        <v>2856</v>
      </c>
      <c r="F87" s="190" t="s">
        <v>3220</v>
      </c>
      <c r="G87" s="192"/>
      <c r="H87" s="171"/>
      <c r="I87" s="194" t="s">
        <v>3221</v>
      </c>
      <c r="J87" s="223" t="s">
        <v>3227</v>
      </c>
    </row>
    <row r="88" spans="2:21" x14ac:dyDescent="0.2">
      <c r="B88" s="191" t="s">
        <v>2857</v>
      </c>
      <c r="C88" s="220">
        <v>85</v>
      </c>
      <c r="D88" s="221" t="s">
        <v>3077</v>
      </c>
      <c r="E88" s="153" t="s">
        <v>2856</v>
      </c>
      <c r="F88" s="190" t="s">
        <v>2951</v>
      </c>
      <c r="G88" s="192"/>
      <c r="H88" s="171"/>
      <c r="I88" s="194" t="s">
        <v>2873</v>
      </c>
      <c r="J88" s="223" t="s">
        <v>3227</v>
      </c>
    </row>
    <row r="89" spans="2:21" s="253" customFormat="1" x14ac:dyDescent="0.2">
      <c r="B89" s="253" t="s">
        <v>3349</v>
      </c>
      <c r="C89" s="254">
        <v>86</v>
      </c>
      <c r="D89" s="260" t="s">
        <v>3357</v>
      </c>
      <c r="E89" s="260" t="s">
        <v>2856</v>
      </c>
      <c r="F89" s="261" t="s">
        <v>3358</v>
      </c>
      <c r="G89" s="255"/>
      <c r="H89" s="256"/>
      <c r="I89" s="257"/>
      <c r="J89" s="258" t="s">
        <v>3227</v>
      </c>
      <c r="K89" s="259"/>
      <c r="L89" s="259"/>
      <c r="M89" s="259"/>
      <c r="N89" s="259"/>
      <c r="O89" s="259"/>
      <c r="P89" s="259"/>
      <c r="Q89" s="259"/>
      <c r="R89" s="259"/>
      <c r="S89" s="259"/>
      <c r="T89" s="259"/>
      <c r="U89" s="259"/>
    </row>
    <row r="90" spans="2:21" x14ac:dyDescent="0.2">
      <c r="C90" s="220">
        <v>87</v>
      </c>
      <c r="F90" s="190"/>
      <c r="G90" s="192"/>
      <c r="H90" s="171"/>
      <c r="I90" s="169"/>
      <c r="J90" s="223" t="s">
        <v>3227</v>
      </c>
    </row>
    <row r="91" spans="2:21" x14ac:dyDescent="0.2">
      <c r="C91" s="220">
        <v>88</v>
      </c>
      <c r="F91" s="190"/>
      <c r="G91" s="192"/>
      <c r="H91" s="171"/>
      <c r="I91" s="169"/>
      <c r="J91" s="223" t="s">
        <v>3227</v>
      </c>
    </row>
    <row r="92" spans="2:21" x14ac:dyDescent="0.2">
      <c r="C92" s="155">
        <v>89</v>
      </c>
      <c r="F92" s="190"/>
      <c r="G92" s="192"/>
      <c r="H92" s="171"/>
      <c r="I92" s="169"/>
      <c r="J92" s="223" t="s">
        <v>3227</v>
      </c>
    </row>
    <row r="93" spans="2:21" x14ac:dyDescent="0.2">
      <c r="C93" s="220">
        <v>90</v>
      </c>
      <c r="F93" s="190"/>
      <c r="G93" s="192"/>
      <c r="H93" s="171"/>
      <c r="I93" s="169"/>
      <c r="J93" s="223" t="s">
        <v>3227</v>
      </c>
    </row>
    <row r="94" spans="2:21" x14ac:dyDescent="0.2">
      <c r="C94" s="155">
        <v>91</v>
      </c>
      <c r="F94" s="190"/>
      <c r="G94" s="192"/>
      <c r="H94" s="171"/>
      <c r="I94" s="169"/>
      <c r="J94" s="223" t="s">
        <v>3227</v>
      </c>
    </row>
    <row r="95" spans="2:21" x14ac:dyDescent="0.2">
      <c r="C95" s="220">
        <v>92</v>
      </c>
      <c r="F95" s="190"/>
      <c r="G95" s="192"/>
      <c r="H95" s="171"/>
      <c r="I95" s="169"/>
      <c r="J95" s="223" t="s">
        <v>3227</v>
      </c>
    </row>
    <row r="96" spans="2:21" x14ac:dyDescent="0.2">
      <c r="C96" s="155">
        <v>93</v>
      </c>
      <c r="F96" s="190"/>
      <c r="G96" s="192"/>
      <c r="H96" s="171"/>
      <c r="I96" s="169"/>
      <c r="J96" s="223" t="s">
        <v>3227</v>
      </c>
    </row>
    <row r="97" spans="1:12" x14ac:dyDescent="0.2">
      <c r="C97" s="220">
        <v>94</v>
      </c>
      <c r="F97" s="190"/>
      <c r="G97" s="192"/>
      <c r="H97" s="171"/>
      <c r="I97" s="169"/>
      <c r="J97" s="223" t="s">
        <v>3227</v>
      </c>
    </row>
    <row r="98" spans="1:12" x14ac:dyDescent="0.2">
      <c r="C98" s="155">
        <v>95</v>
      </c>
      <c r="F98" s="190"/>
      <c r="G98" s="192"/>
      <c r="H98" s="171"/>
      <c r="I98" s="169"/>
      <c r="J98" s="223" t="s">
        <v>3227</v>
      </c>
    </row>
    <row r="99" spans="1:12" x14ac:dyDescent="0.2">
      <c r="C99" s="220">
        <v>96</v>
      </c>
      <c r="F99" s="190"/>
      <c r="G99" s="192"/>
      <c r="H99" s="171"/>
      <c r="I99" s="169"/>
      <c r="J99" s="223" t="s">
        <v>3227</v>
      </c>
    </row>
    <row r="100" spans="1:12" x14ac:dyDescent="0.2">
      <c r="C100" s="155">
        <v>97</v>
      </c>
      <c r="F100" s="190"/>
      <c r="G100" s="192"/>
      <c r="H100" s="171"/>
      <c r="I100" s="169"/>
      <c r="J100" s="223" t="s">
        <v>3227</v>
      </c>
    </row>
    <row r="101" spans="1:12" x14ac:dyDescent="0.2">
      <c r="C101" s="220">
        <v>98</v>
      </c>
      <c r="F101" s="190"/>
      <c r="G101" s="192"/>
      <c r="H101" s="171"/>
      <c r="I101" s="169"/>
      <c r="J101" s="223" t="s">
        <v>3227</v>
      </c>
    </row>
    <row r="102" spans="1:12" x14ac:dyDescent="0.2">
      <c r="C102" s="155">
        <v>99</v>
      </c>
      <c r="F102" s="190"/>
      <c r="G102" s="192"/>
      <c r="H102" s="171"/>
      <c r="I102" s="169"/>
      <c r="J102" s="223" t="s">
        <v>3227</v>
      </c>
    </row>
    <row r="103" spans="1:12" x14ac:dyDescent="0.2">
      <c r="C103" s="220">
        <v>100</v>
      </c>
      <c r="G103" s="192"/>
      <c r="H103" s="171"/>
      <c r="I103" s="169"/>
    </row>
    <row r="104" spans="1:12" x14ac:dyDescent="0.2">
      <c r="C104" s="155">
        <v>101</v>
      </c>
      <c r="G104" s="192"/>
    </row>
    <row r="105" spans="1:12" s="170" customFormat="1" ht="20.25" x14ac:dyDescent="0.2">
      <c r="A105" s="307" t="s">
        <v>2874</v>
      </c>
      <c r="B105" s="307"/>
      <c r="C105" s="307"/>
      <c r="D105" s="307"/>
      <c r="E105" s="307"/>
      <c r="F105" s="307"/>
      <c r="G105" s="307"/>
      <c r="H105" s="307"/>
      <c r="I105" s="307"/>
      <c r="J105" s="307"/>
      <c r="K105" s="307"/>
      <c r="L105" s="307"/>
    </row>
    <row r="106" spans="1:12" x14ac:dyDescent="0.2">
      <c r="B106" s="191" t="s">
        <v>2857</v>
      </c>
      <c r="C106" s="173">
        <v>1001</v>
      </c>
      <c r="D106" s="195" t="s">
        <v>3145</v>
      </c>
      <c r="E106" s="153" t="s">
        <v>2856</v>
      </c>
      <c r="F106" s="190" t="s">
        <v>3096</v>
      </c>
      <c r="G106" s="192"/>
      <c r="H106" s="171"/>
      <c r="I106" s="194" t="s">
        <v>3086</v>
      </c>
      <c r="J106" s="172" t="s">
        <v>3253</v>
      </c>
    </row>
    <row r="107" spans="1:12" ht="25.5" x14ac:dyDescent="0.2">
      <c r="B107" s="191" t="s">
        <v>2857</v>
      </c>
      <c r="C107" s="173">
        <v>1002</v>
      </c>
      <c r="D107" s="195" t="s">
        <v>3146</v>
      </c>
      <c r="E107" s="153" t="s">
        <v>2856</v>
      </c>
      <c r="F107" s="190" t="s">
        <v>3097</v>
      </c>
      <c r="G107" s="192"/>
      <c r="H107" s="190" t="s">
        <v>2539</v>
      </c>
      <c r="I107" s="196" t="s">
        <v>3254</v>
      </c>
      <c r="J107" s="172" t="s">
        <v>3253</v>
      </c>
    </row>
    <row r="108" spans="1:12" ht="25.5" x14ac:dyDescent="0.2">
      <c r="B108" s="191" t="s">
        <v>2857</v>
      </c>
      <c r="C108" s="173">
        <v>1003</v>
      </c>
      <c r="D108" s="195" t="s">
        <v>3147</v>
      </c>
      <c r="E108" s="153" t="s">
        <v>2856</v>
      </c>
      <c r="F108" s="190" t="s">
        <v>3098</v>
      </c>
      <c r="G108" s="192"/>
      <c r="H108" s="190" t="s">
        <v>2539</v>
      </c>
      <c r="I108" s="196" t="s">
        <v>3255</v>
      </c>
      <c r="J108" s="172" t="s">
        <v>3253</v>
      </c>
    </row>
    <row r="109" spans="1:12" ht="25.5" x14ac:dyDescent="0.2">
      <c r="B109" s="191" t="s">
        <v>2857</v>
      </c>
      <c r="C109" s="173">
        <v>1004</v>
      </c>
      <c r="D109" s="195" t="s">
        <v>3148</v>
      </c>
      <c r="E109" s="153" t="s">
        <v>2856</v>
      </c>
      <c r="F109" s="190" t="s">
        <v>3099</v>
      </c>
      <c r="G109" s="192"/>
      <c r="H109" s="190" t="s">
        <v>2539</v>
      </c>
      <c r="I109" s="196" t="s">
        <v>3256</v>
      </c>
      <c r="J109" s="172" t="s">
        <v>3253</v>
      </c>
    </row>
    <row r="110" spans="1:12" ht="25.5" x14ac:dyDescent="0.2">
      <c r="B110" s="191" t="s">
        <v>2857</v>
      </c>
      <c r="C110" s="173">
        <v>1005</v>
      </c>
      <c r="D110" s="195" t="s">
        <v>3149</v>
      </c>
      <c r="E110" s="153" t="s">
        <v>2856</v>
      </c>
      <c r="F110" s="190" t="s">
        <v>3100</v>
      </c>
      <c r="G110" s="192"/>
      <c r="H110" s="190" t="s">
        <v>2539</v>
      </c>
      <c r="I110" s="193" t="s">
        <v>3257</v>
      </c>
      <c r="J110" s="172" t="s">
        <v>3253</v>
      </c>
    </row>
    <row r="111" spans="1:12" ht="25.5" x14ac:dyDescent="0.2">
      <c r="B111" s="191" t="s">
        <v>2857</v>
      </c>
      <c r="C111" s="173">
        <v>1006</v>
      </c>
      <c r="D111" s="195" t="s">
        <v>3150</v>
      </c>
      <c r="E111" s="153" t="s">
        <v>2856</v>
      </c>
      <c r="F111" s="190" t="s">
        <v>3101</v>
      </c>
      <c r="G111" s="192"/>
      <c r="H111" s="190" t="s">
        <v>2539</v>
      </c>
      <c r="I111" s="196" t="s">
        <v>3258</v>
      </c>
      <c r="J111" s="172" t="s">
        <v>3253</v>
      </c>
    </row>
    <row r="112" spans="1:12" ht="25.5" x14ac:dyDescent="0.2">
      <c r="B112" s="191" t="s">
        <v>2857</v>
      </c>
      <c r="C112" s="173">
        <v>1007</v>
      </c>
      <c r="D112" s="195" t="s">
        <v>3151</v>
      </c>
      <c r="E112" s="153" t="s">
        <v>2856</v>
      </c>
      <c r="F112" s="190" t="s">
        <v>3102</v>
      </c>
      <c r="G112" s="192"/>
      <c r="H112" s="190" t="s">
        <v>2539</v>
      </c>
      <c r="I112" s="196" t="s">
        <v>3259</v>
      </c>
      <c r="J112" s="172" t="s">
        <v>3253</v>
      </c>
    </row>
    <row r="113" spans="2:10" ht="25.5" x14ac:dyDescent="0.2">
      <c r="B113" s="191" t="s">
        <v>2857</v>
      </c>
      <c r="C113" s="173">
        <v>1008</v>
      </c>
      <c r="D113" s="195" t="s">
        <v>3152</v>
      </c>
      <c r="E113" s="153" t="s">
        <v>2856</v>
      </c>
      <c r="F113" s="190" t="s">
        <v>3103</v>
      </c>
      <c r="G113" s="192"/>
      <c r="H113" s="190" t="s">
        <v>2539</v>
      </c>
      <c r="I113" s="196" t="s">
        <v>3260</v>
      </c>
      <c r="J113" s="172" t="s">
        <v>3253</v>
      </c>
    </row>
    <row r="114" spans="2:10" ht="25.5" x14ac:dyDescent="0.2">
      <c r="B114" s="191" t="s">
        <v>2857</v>
      </c>
      <c r="C114" s="173">
        <v>1009</v>
      </c>
      <c r="D114" s="195" t="s">
        <v>3153</v>
      </c>
      <c r="E114" s="153" t="s">
        <v>2856</v>
      </c>
      <c r="F114" s="190" t="s">
        <v>3104</v>
      </c>
      <c r="G114" s="192"/>
      <c r="H114" s="190" t="s">
        <v>2539</v>
      </c>
      <c r="I114" s="196" t="s">
        <v>3261</v>
      </c>
      <c r="J114" s="172" t="s">
        <v>3253</v>
      </c>
    </row>
    <row r="115" spans="2:10" ht="25.5" x14ac:dyDescent="0.2">
      <c r="B115" s="191" t="s">
        <v>2857</v>
      </c>
      <c r="C115" s="173">
        <v>1010</v>
      </c>
      <c r="D115" s="195" t="s">
        <v>3121</v>
      </c>
      <c r="E115" s="153" t="s">
        <v>2856</v>
      </c>
      <c r="F115" s="190" t="s">
        <v>3105</v>
      </c>
      <c r="G115" s="192"/>
      <c r="H115" s="190" t="s">
        <v>2539</v>
      </c>
      <c r="I115" s="196" t="s">
        <v>3262</v>
      </c>
      <c r="J115" s="172" t="s">
        <v>3253</v>
      </c>
    </row>
    <row r="116" spans="2:10" x14ac:dyDescent="0.2">
      <c r="B116" s="191" t="s">
        <v>2857</v>
      </c>
      <c r="C116" s="173">
        <v>1011</v>
      </c>
      <c r="D116" s="195" t="s">
        <v>3122</v>
      </c>
      <c r="E116" s="153" t="s">
        <v>2856</v>
      </c>
      <c r="F116" s="190" t="s">
        <v>3106</v>
      </c>
      <c r="G116" s="192"/>
      <c r="H116" s="190" t="s">
        <v>2189</v>
      </c>
      <c r="I116" s="195" t="s">
        <v>3078</v>
      </c>
      <c r="J116" s="172" t="s">
        <v>3253</v>
      </c>
    </row>
    <row r="117" spans="2:10" x14ac:dyDescent="0.2">
      <c r="B117" s="191" t="s">
        <v>2857</v>
      </c>
      <c r="C117" s="173">
        <v>1012</v>
      </c>
      <c r="D117" s="195" t="s">
        <v>3123</v>
      </c>
      <c r="E117" s="153" t="s">
        <v>2856</v>
      </c>
      <c r="F117" s="190" t="s">
        <v>3107</v>
      </c>
      <c r="G117" s="192"/>
      <c r="H117" s="190" t="s">
        <v>2191</v>
      </c>
      <c r="I117" s="195" t="s">
        <v>3079</v>
      </c>
      <c r="J117" s="172" t="s">
        <v>3253</v>
      </c>
    </row>
    <row r="118" spans="2:10" x14ac:dyDescent="0.2">
      <c r="B118" s="191" t="s">
        <v>2857</v>
      </c>
      <c r="C118" s="173">
        <v>1013</v>
      </c>
      <c r="D118" s="195" t="s">
        <v>3124</v>
      </c>
      <c r="E118" s="153" t="s">
        <v>2856</v>
      </c>
      <c r="F118" s="190" t="s">
        <v>3108</v>
      </c>
      <c r="G118" s="192"/>
      <c r="H118" s="190" t="s">
        <v>2199</v>
      </c>
      <c r="I118" s="195" t="s">
        <v>3080</v>
      </c>
      <c r="J118" s="172" t="s">
        <v>3253</v>
      </c>
    </row>
    <row r="119" spans="2:10" x14ac:dyDescent="0.2">
      <c r="B119" s="191" t="s">
        <v>2857</v>
      </c>
      <c r="C119" s="173">
        <v>1014</v>
      </c>
      <c r="D119" s="195" t="s">
        <v>3125</v>
      </c>
      <c r="E119" s="153" t="s">
        <v>2856</v>
      </c>
      <c r="F119" s="190" t="s">
        <v>3109</v>
      </c>
      <c r="G119" s="192"/>
      <c r="H119" s="190" t="s">
        <v>2200</v>
      </c>
      <c r="I119" s="195" t="s">
        <v>3081</v>
      </c>
      <c r="J119" s="172" t="s">
        <v>3253</v>
      </c>
    </row>
    <row r="120" spans="2:10" x14ac:dyDescent="0.2">
      <c r="B120" s="191" t="s">
        <v>2857</v>
      </c>
      <c r="C120" s="173">
        <v>1015</v>
      </c>
      <c r="D120" s="195" t="s">
        <v>3126</v>
      </c>
      <c r="E120" s="153" t="s">
        <v>2856</v>
      </c>
      <c r="F120" s="190" t="s">
        <v>3110</v>
      </c>
      <c r="G120" s="192"/>
      <c r="H120" s="190" t="s">
        <v>2204</v>
      </c>
      <c r="I120" s="195" t="s">
        <v>3082</v>
      </c>
      <c r="J120" s="172" t="s">
        <v>3253</v>
      </c>
    </row>
    <row r="121" spans="2:10" ht="25.5" x14ac:dyDescent="0.2">
      <c r="B121" s="191" t="s">
        <v>2857</v>
      </c>
      <c r="C121" s="173">
        <v>1016</v>
      </c>
      <c r="D121" s="195" t="s">
        <v>3127</v>
      </c>
      <c r="E121" s="153" t="s">
        <v>2856</v>
      </c>
      <c r="F121" s="190" t="s">
        <v>3111</v>
      </c>
      <c r="G121" s="192"/>
      <c r="H121" s="190"/>
      <c r="I121" s="194" t="s">
        <v>3263</v>
      </c>
      <c r="J121" s="172" t="s">
        <v>3253</v>
      </c>
    </row>
    <row r="122" spans="2:10" ht="25.5" x14ac:dyDescent="0.2">
      <c r="B122" s="191" t="s">
        <v>2857</v>
      </c>
      <c r="C122" s="173">
        <v>1017</v>
      </c>
      <c r="D122" s="195" t="s">
        <v>3128</v>
      </c>
      <c r="E122" s="153" t="s">
        <v>2856</v>
      </c>
      <c r="F122" s="190" t="s">
        <v>3112</v>
      </c>
      <c r="G122" s="192"/>
      <c r="H122" s="190"/>
      <c r="I122" s="194" t="s">
        <v>3264</v>
      </c>
      <c r="J122" s="172" t="s">
        <v>3253</v>
      </c>
    </row>
    <row r="123" spans="2:10" x14ac:dyDescent="0.2">
      <c r="B123" s="191" t="s">
        <v>2857</v>
      </c>
      <c r="C123" s="173">
        <v>1018</v>
      </c>
      <c r="D123" s="195" t="s">
        <v>3129</v>
      </c>
      <c r="E123" s="153" t="s">
        <v>2856</v>
      </c>
      <c r="F123" s="190" t="s">
        <v>3113</v>
      </c>
      <c r="G123" s="192"/>
      <c r="H123" s="171"/>
      <c r="I123" s="195" t="s">
        <v>3083</v>
      </c>
      <c r="J123" s="172" t="s">
        <v>3253</v>
      </c>
    </row>
    <row r="124" spans="2:10" x14ac:dyDescent="0.2">
      <c r="B124" s="191" t="s">
        <v>2857</v>
      </c>
      <c r="C124" s="173">
        <v>1019</v>
      </c>
      <c r="D124" s="195" t="s">
        <v>3130</v>
      </c>
      <c r="E124" s="153" t="s">
        <v>2856</v>
      </c>
      <c r="F124" s="190" t="s">
        <v>3114</v>
      </c>
      <c r="G124" s="192"/>
      <c r="H124" s="190"/>
      <c r="I124" s="195" t="s">
        <v>3084</v>
      </c>
      <c r="J124" s="172" t="s">
        <v>3253</v>
      </c>
    </row>
    <row r="125" spans="2:10" x14ac:dyDescent="0.2">
      <c r="B125" s="191" t="s">
        <v>2857</v>
      </c>
      <c r="C125" s="173">
        <v>1020</v>
      </c>
      <c r="D125" s="195" t="s">
        <v>3131</v>
      </c>
      <c r="E125" s="153" t="s">
        <v>2856</v>
      </c>
      <c r="F125" s="190" t="s">
        <v>2865</v>
      </c>
      <c r="G125" s="192"/>
      <c r="H125" s="190"/>
      <c r="I125" s="194" t="s">
        <v>3087</v>
      </c>
      <c r="J125" s="172" t="s">
        <v>3253</v>
      </c>
    </row>
    <row r="126" spans="2:10" x14ac:dyDescent="0.2">
      <c r="B126" s="191" t="s">
        <v>2857</v>
      </c>
      <c r="C126" s="173">
        <v>1021</v>
      </c>
      <c r="D126" s="195" t="s">
        <v>3132</v>
      </c>
      <c r="E126" s="153" t="s">
        <v>2856</v>
      </c>
      <c r="F126" s="190" t="s">
        <v>2864</v>
      </c>
      <c r="G126" s="192"/>
      <c r="H126" s="190"/>
      <c r="I126" s="194" t="s">
        <v>3088</v>
      </c>
      <c r="J126" s="172" t="s">
        <v>3253</v>
      </c>
    </row>
    <row r="127" spans="2:10" x14ac:dyDescent="0.2">
      <c r="B127" s="191" t="s">
        <v>2857</v>
      </c>
      <c r="C127" s="173">
        <v>1022</v>
      </c>
      <c r="D127" s="195" t="s">
        <v>3133</v>
      </c>
      <c r="E127" s="153" t="s">
        <v>2856</v>
      </c>
      <c r="F127" s="190" t="s">
        <v>2863</v>
      </c>
      <c r="G127" s="192"/>
      <c r="H127" s="171"/>
      <c r="I127" s="194" t="s">
        <v>3089</v>
      </c>
      <c r="J127" s="172" t="s">
        <v>3253</v>
      </c>
    </row>
    <row r="128" spans="2:10" x14ac:dyDescent="0.2">
      <c r="B128" s="191" t="s">
        <v>2857</v>
      </c>
      <c r="C128" s="173">
        <v>1023</v>
      </c>
      <c r="D128" s="195" t="s">
        <v>3134</v>
      </c>
      <c r="E128" s="153" t="s">
        <v>2856</v>
      </c>
      <c r="F128" s="190" t="s">
        <v>2862</v>
      </c>
      <c r="G128" s="192"/>
      <c r="H128" s="171"/>
      <c r="I128" s="194" t="s">
        <v>3090</v>
      </c>
      <c r="J128" s="172" t="s">
        <v>3253</v>
      </c>
    </row>
    <row r="129" spans="2:10" x14ac:dyDescent="0.2">
      <c r="B129" s="191" t="s">
        <v>2857</v>
      </c>
      <c r="C129" s="173">
        <v>1024</v>
      </c>
      <c r="D129" s="195" t="s">
        <v>3135</v>
      </c>
      <c r="E129" s="153" t="s">
        <v>2856</v>
      </c>
      <c r="F129" s="190" t="s">
        <v>2861</v>
      </c>
      <c r="G129" s="192"/>
      <c r="H129" s="171"/>
      <c r="I129" s="194" t="s">
        <v>3091</v>
      </c>
      <c r="J129" s="172" t="s">
        <v>3253</v>
      </c>
    </row>
    <row r="130" spans="2:10" x14ac:dyDescent="0.2">
      <c r="B130" s="191" t="s">
        <v>2857</v>
      </c>
      <c r="C130" s="173">
        <v>1025</v>
      </c>
      <c r="D130" s="195" t="s">
        <v>3136</v>
      </c>
      <c r="E130" s="153" t="s">
        <v>2856</v>
      </c>
      <c r="F130" s="190" t="s">
        <v>2860</v>
      </c>
      <c r="G130" s="192"/>
      <c r="H130" s="171"/>
      <c r="I130" s="194" t="s">
        <v>3092</v>
      </c>
      <c r="J130" s="172" t="s">
        <v>3253</v>
      </c>
    </row>
    <row r="131" spans="2:10" x14ac:dyDescent="0.2">
      <c r="B131" s="191" t="s">
        <v>2857</v>
      </c>
      <c r="C131" s="173">
        <v>1026</v>
      </c>
      <c r="D131" s="195" t="s">
        <v>3137</v>
      </c>
      <c r="E131" s="153" t="s">
        <v>2856</v>
      </c>
      <c r="F131" s="197" t="s">
        <v>3115</v>
      </c>
      <c r="G131" s="192"/>
      <c r="H131" s="197"/>
      <c r="I131" s="194" t="s">
        <v>3093</v>
      </c>
      <c r="J131" s="172" t="s">
        <v>3253</v>
      </c>
    </row>
    <row r="132" spans="2:10" x14ac:dyDescent="0.2">
      <c r="B132" s="191" t="s">
        <v>2857</v>
      </c>
      <c r="C132" s="173">
        <v>1027</v>
      </c>
      <c r="D132" s="195" t="s">
        <v>3138</v>
      </c>
      <c r="E132" s="153" t="s">
        <v>2856</v>
      </c>
      <c r="F132" s="197" t="s">
        <v>3116</v>
      </c>
      <c r="G132" s="192"/>
      <c r="H132" s="197"/>
      <c r="I132" s="194" t="s">
        <v>3094</v>
      </c>
      <c r="J132" s="172" t="s">
        <v>3253</v>
      </c>
    </row>
    <row r="133" spans="2:10" x14ac:dyDescent="0.2">
      <c r="B133" s="191" t="s">
        <v>2857</v>
      </c>
      <c r="C133" s="173">
        <v>1028</v>
      </c>
      <c r="D133" s="195" t="s">
        <v>3139</v>
      </c>
      <c r="E133" s="153" t="s">
        <v>2856</v>
      </c>
      <c r="F133" s="190" t="s">
        <v>3117</v>
      </c>
      <c r="G133" s="192"/>
      <c r="H133" s="171"/>
      <c r="I133" s="195" t="s">
        <v>3085</v>
      </c>
      <c r="J133" s="172" t="s">
        <v>3253</v>
      </c>
    </row>
    <row r="134" spans="2:10" ht="25.5" x14ac:dyDescent="0.2">
      <c r="B134" s="191" t="s">
        <v>2857</v>
      </c>
      <c r="C134" s="173">
        <v>1029</v>
      </c>
      <c r="D134" s="195" t="s">
        <v>3140</v>
      </c>
      <c r="E134" s="153" t="s">
        <v>2856</v>
      </c>
      <c r="F134" s="190" t="s">
        <v>2939</v>
      </c>
      <c r="G134" s="192"/>
      <c r="H134" s="171"/>
      <c r="I134" s="194" t="s">
        <v>3265</v>
      </c>
      <c r="J134" s="172" t="s">
        <v>3253</v>
      </c>
    </row>
    <row r="135" spans="2:10" ht="25.5" x14ac:dyDescent="0.2">
      <c r="B135" s="191" t="s">
        <v>2857</v>
      </c>
      <c r="C135" s="173">
        <v>1030</v>
      </c>
      <c r="D135" s="195" t="s">
        <v>3141</v>
      </c>
      <c r="E135" s="153" t="s">
        <v>2856</v>
      </c>
      <c r="F135" s="190" t="s">
        <v>3118</v>
      </c>
      <c r="G135" s="192"/>
      <c r="H135" s="171"/>
      <c r="I135" s="194" t="s">
        <v>3266</v>
      </c>
      <c r="J135" s="172" t="s">
        <v>3253</v>
      </c>
    </row>
    <row r="136" spans="2:10" ht="38.25" x14ac:dyDescent="0.2">
      <c r="B136" s="191" t="s">
        <v>2857</v>
      </c>
      <c r="C136" s="173">
        <v>1031</v>
      </c>
      <c r="D136" s="195" t="s">
        <v>3142</v>
      </c>
      <c r="E136" s="153" t="s">
        <v>2856</v>
      </c>
      <c r="F136" s="190" t="s">
        <v>2940</v>
      </c>
      <c r="G136" s="192"/>
      <c r="H136" s="171"/>
      <c r="I136" s="194" t="s">
        <v>3267</v>
      </c>
      <c r="J136" s="172" t="s">
        <v>3253</v>
      </c>
    </row>
    <row r="137" spans="2:10" ht="25.5" x14ac:dyDescent="0.2">
      <c r="B137" s="191" t="s">
        <v>2857</v>
      </c>
      <c r="C137" s="173">
        <v>1032</v>
      </c>
      <c r="D137" s="195" t="s">
        <v>3143</v>
      </c>
      <c r="E137" s="153" t="s">
        <v>2856</v>
      </c>
      <c r="F137" s="190" t="s">
        <v>3119</v>
      </c>
      <c r="G137" s="192"/>
      <c r="H137" s="171"/>
      <c r="I137" s="194" t="s">
        <v>3268</v>
      </c>
      <c r="J137" s="172" t="s">
        <v>3253</v>
      </c>
    </row>
    <row r="138" spans="2:10" x14ac:dyDescent="0.2">
      <c r="B138" s="191" t="s">
        <v>2857</v>
      </c>
      <c r="C138" s="173">
        <v>1033</v>
      </c>
      <c r="D138" s="195" t="s">
        <v>3144</v>
      </c>
      <c r="E138" s="153" t="s">
        <v>2856</v>
      </c>
      <c r="F138" s="190" t="s">
        <v>3120</v>
      </c>
      <c r="G138" s="192"/>
      <c r="H138" s="171"/>
      <c r="I138" s="194" t="s">
        <v>3095</v>
      </c>
      <c r="J138" s="172" t="s">
        <v>3253</v>
      </c>
    </row>
    <row r="139" spans="2:10" x14ac:dyDescent="0.2">
      <c r="C139" s="173">
        <v>1034</v>
      </c>
      <c r="H139" s="171"/>
      <c r="I139" s="169"/>
      <c r="J139" s="172"/>
    </row>
    <row r="140" spans="2:10" x14ac:dyDescent="0.2">
      <c r="C140" s="173">
        <v>1035</v>
      </c>
      <c r="H140" s="171"/>
      <c r="I140" s="169"/>
      <c r="J140" s="172"/>
    </row>
    <row r="141" spans="2:10" x14ac:dyDescent="0.2">
      <c r="C141" s="173">
        <v>1036</v>
      </c>
      <c r="H141" s="171"/>
      <c r="I141" s="169"/>
      <c r="J141" s="172"/>
    </row>
    <row r="142" spans="2:10" x14ac:dyDescent="0.2">
      <c r="C142" s="173">
        <v>1037</v>
      </c>
      <c r="H142" s="171"/>
      <c r="I142" s="169"/>
      <c r="J142" s="172"/>
    </row>
    <row r="143" spans="2:10" x14ac:dyDescent="0.2">
      <c r="C143" s="173">
        <v>1038</v>
      </c>
      <c r="H143" s="171"/>
      <c r="I143" s="169"/>
      <c r="J143" s="172"/>
    </row>
    <row r="144" spans="2:10" x14ac:dyDescent="0.2">
      <c r="C144" s="173">
        <v>1039</v>
      </c>
      <c r="H144" s="171"/>
      <c r="I144" s="169"/>
      <c r="J144" s="172"/>
    </row>
    <row r="145" spans="3:10" x14ac:dyDescent="0.2">
      <c r="C145" s="173">
        <v>1040</v>
      </c>
      <c r="H145" s="171"/>
      <c r="I145" s="169"/>
      <c r="J145" s="172"/>
    </row>
    <row r="146" spans="3:10" x14ac:dyDescent="0.2">
      <c r="C146" s="173">
        <v>1041</v>
      </c>
      <c r="H146" s="171"/>
      <c r="I146" s="169"/>
      <c r="J146" s="172"/>
    </row>
    <row r="147" spans="3:10" x14ac:dyDescent="0.2">
      <c r="C147" s="173">
        <v>1042</v>
      </c>
      <c r="H147" s="171"/>
      <c r="I147" s="169"/>
      <c r="J147" s="172"/>
    </row>
    <row r="148" spans="3:10" x14ac:dyDescent="0.2">
      <c r="C148" s="173">
        <v>1043</v>
      </c>
      <c r="H148" s="171"/>
      <c r="I148" s="169"/>
      <c r="J148" s="172"/>
    </row>
    <row r="149" spans="3:10" x14ac:dyDescent="0.2">
      <c r="C149" s="173">
        <v>1044</v>
      </c>
      <c r="H149" s="171"/>
      <c r="I149" s="169"/>
      <c r="J149" s="172"/>
    </row>
    <row r="150" spans="3:10" x14ac:dyDescent="0.2">
      <c r="C150" s="173">
        <v>1045</v>
      </c>
      <c r="H150" s="171"/>
      <c r="I150" s="169"/>
      <c r="J150" s="172"/>
    </row>
    <row r="151" spans="3:10" x14ac:dyDescent="0.2">
      <c r="C151" s="173">
        <v>1046</v>
      </c>
      <c r="H151" s="171"/>
      <c r="I151" s="169"/>
      <c r="J151" s="172"/>
    </row>
    <row r="152" spans="3:10" x14ac:dyDescent="0.2">
      <c r="C152" s="173">
        <v>1047</v>
      </c>
      <c r="H152" s="171"/>
      <c r="I152" s="169"/>
      <c r="J152" s="172"/>
    </row>
    <row r="153" spans="3:10" x14ac:dyDescent="0.2">
      <c r="C153" s="173">
        <v>1048</v>
      </c>
      <c r="H153" s="171"/>
      <c r="I153" s="169"/>
      <c r="J153" s="172"/>
    </row>
    <row r="154" spans="3:10" x14ac:dyDescent="0.2">
      <c r="C154" s="173">
        <v>1049</v>
      </c>
      <c r="H154" s="171"/>
      <c r="I154" s="169"/>
      <c r="J154" s="172"/>
    </row>
    <row r="155" spans="3:10" x14ac:dyDescent="0.2">
      <c r="C155" s="173">
        <v>1050</v>
      </c>
      <c r="H155" s="171"/>
      <c r="I155" s="169"/>
      <c r="J155" s="172"/>
    </row>
    <row r="156" spans="3:10" x14ac:dyDescent="0.2">
      <c r="C156" s="173">
        <v>1051</v>
      </c>
      <c r="H156" s="171"/>
      <c r="I156" s="169"/>
      <c r="J156" s="172"/>
    </row>
    <row r="157" spans="3:10" x14ac:dyDescent="0.2">
      <c r="C157" s="173">
        <v>1052</v>
      </c>
      <c r="H157" s="171"/>
      <c r="I157" s="169"/>
      <c r="J157" s="172"/>
    </row>
    <row r="158" spans="3:10" x14ac:dyDescent="0.2">
      <c r="C158" s="173">
        <v>1053</v>
      </c>
      <c r="H158" s="171"/>
      <c r="I158" s="169"/>
      <c r="J158" s="172"/>
    </row>
    <row r="159" spans="3:10" x14ac:dyDescent="0.2">
      <c r="C159" s="173">
        <v>1054</v>
      </c>
      <c r="H159" s="171"/>
      <c r="I159" s="169"/>
      <c r="J159" s="172"/>
    </row>
    <row r="160" spans="3:10" x14ac:dyDescent="0.2">
      <c r="C160" s="173">
        <v>1055</v>
      </c>
      <c r="H160" s="171"/>
      <c r="I160" s="169"/>
      <c r="J160" s="172"/>
    </row>
    <row r="161" spans="3:9" x14ac:dyDescent="0.2">
      <c r="C161" s="173">
        <v>1056</v>
      </c>
      <c r="H161" s="171"/>
      <c r="I161" s="169"/>
    </row>
    <row r="162" spans="3:9" x14ac:dyDescent="0.2">
      <c r="C162" s="173">
        <v>1057</v>
      </c>
      <c r="H162" s="171"/>
      <c r="I162" s="169"/>
    </row>
    <row r="163" spans="3:9" x14ac:dyDescent="0.2">
      <c r="C163" s="173">
        <v>1058</v>
      </c>
      <c r="H163" s="171"/>
      <c r="I163" s="169"/>
    </row>
    <row r="164" spans="3:9" x14ac:dyDescent="0.2">
      <c r="C164" s="173">
        <v>1059</v>
      </c>
      <c r="H164" s="171"/>
      <c r="I164" s="169"/>
    </row>
    <row r="165" spans="3:9" x14ac:dyDescent="0.2">
      <c r="C165" s="173">
        <v>1060</v>
      </c>
      <c r="H165" s="171"/>
      <c r="I165" s="169"/>
    </row>
    <row r="166" spans="3:9" x14ac:dyDescent="0.2">
      <c r="C166" s="173">
        <v>1061</v>
      </c>
      <c r="H166" s="171"/>
      <c r="I166" s="169"/>
    </row>
    <row r="167" spans="3:9" x14ac:dyDescent="0.2">
      <c r="C167" s="173">
        <v>1062</v>
      </c>
      <c r="H167" s="171"/>
    </row>
    <row r="168" spans="3:9" x14ac:dyDescent="0.2">
      <c r="C168" s="173">
        <v>1063</v>
      </c>
      <c r="H168" s="171"/>
    </row>
    <row r="169" spans="3:9" x14ac:dyDescent="0.2">
      <c r="C169" s="173">
        <v>1064</v>
      </c>
      <c r="H169" s="171"/>
    </row>
    <row r="170" spans="3:9" ht="13.5" thickBot="1" x14ac:dyDescent="0.25">
      <c r="C170" s="174" t="s">
        <v>37</v>
      </c>
    </row>
  </sheetData>
  <mergeCells count="1">
    <mergeCell ref="A105:L105"/>
  </mergeCells>
  <phoneticPr fontId="4" type="noConversion"/>
  <pageMargins left="0.7" right="0.7" top="0.75" bottom="0.75" header="0.3" footer="0.3"/>
  <pageSetup paperSize="9" orientation="portrait" r:id="rId1"/>
  <headerFooter>
    <oddHeader>&amp;LMachine Number : 84130003, 84130004
Machine Name : IFC - VL1 - Filling Machine &amp; Capper
CU Number : 7002
VU Number : 3922, 3923</oddHead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0659038-4D9B-4F92-86CD-CA16A2D399FF}">
          <x14:formula1>
            <xm:f>'Object type list'!$A$1:$A$4</xm:f>
          </x14:formula1>
          <xm:sqref>G106:G138 G4:G104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5A69A-3D0C-47FB-AB92-EF229B52C58C}">
  <sheetPr codeName="Sheet6">
    <pageSetUpPr fitToPage="1"/>
  </sheetPr>
  <dimension ref="A1:F45"/>
  <sheetViews>
    <sheetView showGridLines="0" zoomScaleNormal="100" zoomScaleSheetLayoutView="100" workbookViewId="0">
      <selection activeCell="D40" sqref="D40:E40"/>
    </sheetView>
  </sheetViews>
  <sheetFormatPr defaultColWidth="9.33203125" defaultRowHeight="11.25" x14ac:dyDescent="0.2"/>
  <cols>
    <col min="1" max="1" width="7.6640625" style="46" customWidth="1"/>
    <col min="2" max="2" width="53.5" style="46" customWidth="1"/>
    <col min="3" max="3" width="54.1640625" style="46" customWidth="1"/>
    <col min="4" max="4" width="89.83203125" style="46" customWidth="1"/>
    <col min="5" max="5" width="30" style="47" customWidth="1"/>
    <col min="6" max="6" width="7.83203125" style="46" customWidth="1"/>
    <col min="7" max="7" width="10.5" style="46" customWidth="1"/>
    <col min="8" max="8" width="16" style="46" customWidth="1"/>
    <col min="9" max="9" width="20.5" style="46" customWidth="1"/>
    <col min="10" max="10" width="11.6640625" style="46" customWidth="1"/>
    <col min="11" max="11" width="17.5" style="46" customWidth="1"/>
    <col min="12" max="12" width="7.1640625" style="46" customWidth="1"/>
    <col min="13" max="13" width="12.5" style="46" bestFit="1" customWidth="1"/>
    <col min="14" max="14" width="17.6640625" style="46" bestFit="1" customWidth="1"/>
    <col min="15" max="15" width="20.83203125" style="46" customWidth="1"/>
    <col min="16" max="16" width="20" style="46" customWidth="1"/>
    <col min="17" max="17" width="12.33203125" style="46" bestFit="1" customWidth="1"/>
    <col min="18" max="18" width="41.33203125" style="46" customWidth="1"/>
    <col min="19" max="22" width="12.5" style="46" customWidth="1"/>
    <col min="23" max="24" width="9.5" style="46" customWidth="1"/>
    <col min="25" max="25" width="13" style="46" bestFit="1" customWidth="1"/>
    <col min="26" max="26" width="9.83203125" style="46" customWidth="1"/>
    <col min="27" max="16384" width="9.33203125" style="46"/>
  </cols>
  <sheetData>
    <row r="1" spans="1:6" ht="30" x14ac:dyDescent="0.4">
      <c r="A1" s="310" t="s">
        <v>246</v>
      </c>
      <c r="B1" s="311"/>
      <c r="C1" s="311"/>
      <c r="D1" s="311"/>
      <c r="E1" s="312"/>
    </row>
    <row r="2" spans="1:6" s="56" customFormat="1" hidden="1" x14ac:dyDescent="0.2">
      <c r="B2" s="56" t="s">
        <v>235</v>
      </c>
      <c r="C2" s="56">
        <v>1</v>
      </c>
    </row>
    <row r="3" spans="1:6" s="56" customFormat="1" hidden="1" x14ac:dyDescent="0.2">
      <c r="B3" s="56" t="s">
        <v>245</v>
      </c>
      <c r="C3" s="56">
        <v>0</v>
      </c>
    </row>
    <row r="4" spans="1:6" s="56" customFormat="1" hidden="1" x14ac:dyDescent="0.2">
      <c r="B4" s="56" t="s">
        <v>244</v>
      </c>
      <c r="C4" s="56">
        <v>0</v>
      </c>
    </row>
    <row r="5" spans="1:6" s="56" customFormat="1" hidden="1" x14ac:dyDescent="0.2">
      <c r="B5" s="56" t="s">
        <v>232</v>
      </c>
      <c r="C5" s="56">
        <v>1</v>
      </c>
    </row>
    <row r="6" spans="1:6" s="56" customFormat="1" hidden="1" x14ac:dyDescent="0.2">
      <c r="B6" s="56" t="s">
        <v>243</v>
      </c>
      <c r="C6" s="56">
        <v>0</v>
      </c>
    </row>
    <row r="7" spans="1:6" s="56" customFormat="1" hidden="1" x14ac:dyDescent="0.2">
      <c r="B7" s="56" t="s">
        <v>242</v>
      </c>
      <c r="C7" s="56">
        <v>1</v>
      </c>
    </row>
    <row r="8" spans="1:6" s="56" customFormat="1" hidden="1" x14ac:dyDescent="0.2">
      <c r="B8" s="56" t="s">
        <v>229</v>
      </c>
      <c r="C8" s="56">
        <v>2</v>
      </c>
    </row>
    <row r="9" spans="1:6" s="56" customFormat="1" ht="12" thickBot="1" x14ac:dyDescent="0.25">
      <c r="A9" s="57"/>
      <c r="B9" s="57"/>
      <c r="C9" s="57"/>
      <c r="D9" s="57"/>
      <c r="E9" s="57"/>
    </row>
    <row r="10" spans="1:6" ht="21.75" customHeight="1" thickBot="1" x14ac:dyDescent="0.25">
      <c r="A10" s="315" t="s">
        <v>241</v>
      </c>
      <c r="B10" s="316"/>
      <c r="C10" s="316"/>
      <c r="D10" s="316"/>
      <c r="E10" s="317"/>
      <c r="F10" s="48"/>
    </row>
    <row r="11" spans="1:6" ht="21.75" customHeight="1" x14ac:dyDescent="0.2">
      <c r="A11" s="318" t="s">
        <v>240</v>
      </c>
      <c r="B11" s="319"/>
      <c r="C11" s="53" t="s">
        <v>239</v>
      </c>
      <c r="D11" s="53"/>
      <c r="E11" s="52"/>
    </row>
    <row r="12" spans="1:6" ht="29.25" customHeight="1" x14ac:dyDescent="0.2">
      <c r="A12" s="49" t="s">
        <v>8</v>
      </c>
      <c r="B12" s="49" t="s">
        <v>221</v>
      </c>
      <c r="C12" s="49" t="s">
        <v>220</v>
      </c>
      <c r="D12" s="49" t="s">
        <v>238</v>
      </c>
      <c r="E12" s="49" t="s">
        <v>219</v>
      </c>
    </row>
    <row r="13" spans="1:6" x14ac:dyDescent="0.2">
      <c r="A13" s="46" t="s">
        <v>34</v>
      </c>
      <c r="B13" s="56" t="s">
        <v>237</v>
      </c>
      <c r="C13" s="56" t="s">
        <v>236</v>
      </c>
      <c r="D13" s="46" t="s">
        <v>235</v>
      </c>
      <c r="E13" s="54">
        <f>VLOOKUP(D13,B2:C3,2,FALSE)</f>
        <v>1</v>
      </c>
    </row>
    <row r="14" spans="1:6" x14ac:dyDescent="0.2">
      <c r="A14" s="46" t="s">
        <v>34</v>
      </c>
      <c r="B14" s="56" t="s">
        <v>234</v>
      </c>
      <c r="C14" s="56" t="s">
        <v>233</v>
      </c>
      <c r="D14" s="46" t="s">
        <v>232</v>
      </c>
      <c r="E14" s="54">
        <f>VLOOKUP(D14,B4:C5,2,FALSE)</f>
        <v>1</v>
      </c>
    </row>
    <row r="15" spans="1:6" x14ac:dyDescent="0.2">
      <c r="A15" s="46" t="s">
        <v>34</v>
      </c>
      <c r="B15" s="56" t="s">
        <v>231</v>
      </c>
      <c r="C15" s="56" t="s">
        <v>230</v>
      </c>
      <c r="D15" s="46" t="s">
        <v>229</v>
      </c>
      <c r="E15" s="54">
        <f>VLOOKUP(D15,B6:C8,2,FALSE)</f>
        <v>2</v>
      </c>
    </row>
    <row r="16" spans="1:6" x14ac:dyDescent="0.2">
      <c r="A16" s="46" t="s">
        <v>34</v>
      </c>
      <c r="B16" s="56" t="s">
        <v>228</v>
      </c>
      <c r="C16" s="56" t="s">
        <v>227</v>
      </c>
      <c r="D16" s="55"/>
      <c r="E16" s="54">
        <v>4</v>
      </c>
    </row>
    <row r="17" spans="1:6" ht="12" thickBot="1" x14ac:dyDescent="0.25">
      <c r="A17" s="51"/>
      <c r="B17" s="51"/>
      <c r="C17" s="51"/>
      <c r="D17" s="51"/>
      <c r="E17" s="50"/>
    </row>
    <row r="18" spans="1:6" ht="24.75" customHeight="1" thickBot="1" x14ac:dyDescent="0.25">
      <c r="A18" s="315" t="s">
        <v>226</v>
      </c>
      <c r="B18" s="316"/>
      <c r="C18" s="316"/>
      <c r="D18" s="316"/>
      <c r="E18" s="317"/>
      <c r="F18" s="48"/>
    </row>
    <row r="19" spans="1:6" ht="24.75" customHeight="1" x14ac:dyDescent="0.2">
      <c r="A19" s="320" t="s">
        <v>225</v>
      </c>
      <c r="B19" s="321"/>
      <c r="C19" s="53" t="s">
        <v>224</v>
      </c>
      <c r="D19" s="53"/>
      <c r="E19" s="52"/>
      <c r="F19" s="48"/>
    </row>
    <row r="20" spans="1:6" ht="24.75" customHeight="1" x14ac:dyDescent="0.2">
      <c r="A20" s="322" t="s">
        <v>223</v>
      </c>
      <c r="B20" s="322"/>
      <c r="C20" s="51" t="s">
        <v>222</v>
      </c>
      <c r="D20" s="51"/>
      <c r="E20" s="50"/>
      <c r="F20" s="48"/>
    </row>
    <row r="21" spans="1:6" ht="27" customHeight="1" x14ac:dyDescent="0.2">
      <c r="A21" s="49" t="s">
        <v>8</v>
      </c>
      <c r="B21" s="49" t="s">
        <v>221</v>
      </c>
      <c r="C21" s="49" t="s">
        <v>220</v>
      </c>
      <c r="D21" s="323" t="s">
        <v>219</v>
      </c>
      <c r="E21" s="323"/>
      <c r="F21" s="48"/>
    </row>
    <row r="22" spans="1:6" x14ac:dyDescent="0.2">
      <c r="A22" s="46" t="s">
        <v>34</v>
      </c>
      <c r="B22" s="46" t="str">
        <f>"VU"&amp;$C$19&amp;" Option Choice 1 text"</f>
        <v>VUzzz1 Option Choice 1 text</v>
      </c>
      <c r="C22" s="46" t="str">
        <f>$C$19&amp;"/OptionChoice1"</f>
        <v>zzz1/OptionChoice1</v>
      </c>
      <c r="D22" s="313" t="s">
        <v>218</v>
      </c>
      <c r="E22" s="314"/>
    </row>
    <row r="23" spans="1:6" x14ac:dyDescent="0.2">
      <c r="A23" s="46" t="s">
        <v>34</v>
      </c>
      <c r="B23" s="46" t="str">
        <f>"VU"&amp;$C$19&amp;" Option Choice 2 text"</f>
        <v>VUzzz1 Option Choice 2 text</v>
      </c>
      <c r="C23" s="46" t="str">
        <f>$C$19&amp;"/OptionChoice2"</f>
        <v>zzz1/OptionChoice2</v>
      </c>
      <c r="D23" s="308" t="s">
        <v>217</v>
      </c>
      <c r="E23" s="309"/>
    </row>
    <row r="24" spans="1:6" x14ac:dyDescent="0.2">
      <c r="A24" s="46" t="s">
        <v>34</v>
      </c>
      <c r="B24" s="46" t="str">
        <f>"VU"&amp;$C$19&amp;" Option Choice 3 text"</f>
        <v>VUzzz1 Option Choice 3 text</v>
      </c>
      <c r="C24" s="46" t="str">
        <f>$C$19&amp;"/OptionChoice3"</f>
        <v>zzz1/OptionChoice3</v>
      </c>
      <c r="D24" s="308" t="s">
        <v>216</v>
      </c>
      <c r="E24" s="309"/>
    </row>
    <row r="25" spans="1:6" x14ac:dyDescent="0.2">
      <c r="A25" s="46" t="s">
        <v>34</v>
      </c>
      <c r="B25" s="46" t="str">
        <f>"VU"&amp;$C$19&amp;" Option Choice 4 text"</f>
        <v>VUzzz1 Option Choice 4 text</v>
      </c>
      <c r="C25" s="46" t="str">
        <f>$C$19&amp;"/OptionChoice4"</f>
        <v>zzz1/OptionChoice4</v>
      </c>
      <c r="D25" s="308" t="s">
        <v>215</v>
      </c>
      <c r="E25" s="309"/>
    </row>
    <row r="26" spans="1:6" x14ac:dyDescent="0.2">
      <c r="A26" s="46" t="s">
        <v>34</v>
      </c>
      <c r="B26" s="46" t="str">
        <f>"VU"&amp;$C$19&amp;" Option Choice 5 text"</f>
        <v>VUzzz1 Option Choice 5 text</v>
      </c>
      <c r="C26" s="46" t="str">
        <f>$C$19&amp;"/OptionChoice5"</f>
        <v>zzz1/OptionChoice5</v>
      </c>
      <c r="D26" s="308" t="s">
        <v>214</v>
      </c>
      <c r="E26" s="309"/>
    </row>
    <row r="27" spans="1:6" x14ac:dyDescent="0.2">
      <c r="A27" s="46" t="s">
        <v>34</v>
      </c>
      <c r="B27" s="46" t="str">
        <f>"VU"&amp;$C$19&amp;" Option Choice 6 text"</f>
        <v>VUzzz1 Option Choice 6 text</v>
      </c>
      <c r="C27" s="46" t="str">
        <f>$C$19&amp;"/OptionChoice6"</f>
        <v>zzz1/OptionChoice6</v>
      </c>
      <c r="D27" s="308" t="s">
        <v>213</v>
      </c>
      <c r="E27" s="309"/>
    </row>
    <row r="28" spans="1:6" x14ac:dyDescent="0.2">
      <c r="A28" s="46" t="s">
        <v>34</v>
      </c>
      <c r="B28" s="46" t="str">
        <f>"VU"&amp;$C$19&amp;" Option Choice 7 text"</f>
        <v>VUzzz1 Option Choice 7 text</v>
      </c>
      <c r="C28" s="46" t="str">
        <f>$C$19&amp;"/OptionChoice7"</f>
        <v>zzz1/OptionChoice7</v>
      </c>
      <c r="D28" s="308" t="s">
        <v>212</v>
      </c>
      <c r="E28" s="309"/>
    </row>
    <row r="29" spans="1:6" x14ac:dyDescent="0.2">
      <c r="A29" s="46" t="s">
        <v>34</v>
      </c>
      <c r="B29" s="46" t="str">
        <f>"VU"&amp;$C$19&amp;" Option Choice 8 text"</f>
        <v>VUzzz1 Option Choice 8 text</v>
      </c>
      <c r="C29" s="46" t="str">
        <f>$C$19&amp;"/OptionChoice8"</f>
        <v>zzz1/OptionChoice8</v>
      </c>
      <c r="D29" s="308" t="s">
        <v>211</v>
      </c>
      <c r="E29" s="309"/>
    </row>
    <row r="30" spans="1:6" x14ac:dyDescent="0.2">
      <c r="A30" s="46" t="s">
        <v>34</v>
      </c>
      <c r="B30" s="46" t="str">
        <f>"VU"&amp;$C$19&amp;" Option Choice 9 text"</f>
        <v>VUzzz1 Option Choice 9 text</v>
      </c>
      <c r="C30" s="46" t="str">
        <f>$C$19&amp;"/OptionChoice9"</f>
        <v>zzz1/OptionChoice9</v>
      </c>
      <c r="D30" s="308" t="s">
        <v>210</v>
      </c>
      <c r="E30" s="309"/>
    </row>
    <row r="31" spans="1:6" x14ac:dyDescent="0.2">
      <c r="A31" s="46" t="s">
        <v>34</v>
      </c>
      <c r="B31" s="46" t="str">
        <f>"VU"&amp;$C$19&amp;" Option Choice 10 text"</f>
        <v>VUzzz1 Option Choice 10 text</v>
      </c>
      <c r="C31" s="46" t="str">
        <f>$C$19&amp;"/OptionChoice10"</f>
        <v>zzz1/OptionChoice10</v>
      </c>
      <c r="D31" s="308" t="s">
        <v>209</v>
      </c>
      <c r="E31" s="309"/>
    </row>
    <row r="32" spans="1:6" x14ac:dyDescent="0.2">
      <c r="A32" s="46" t="s">
        <v>34</v>
      </c>
      <c r="B32" s="46" t="str">
        <f>"VU"&amp;$C$20&amp;" Option Choice 1 text"</f>
        <v>VUzzz2 Option Choice 1 text</v>
      </c>
      <c r="C32" s="46" t="str">
        <f>$C$20&amp;"/OptionChoice1"</f>
        <v>zzz2/OptionChoice1</v>
      </c>
      <c r="D32" s="308" t="s">
        <v>218</v>
      </c>
      <c r="E32" s="309"/>
    </row>
    <row r="33" spans="1:5" x14ac:dyDescent="0.2">
      <c r="A33" s="46" t="s">
        <v>34</v>
      </c>
      <c r="B33" s="46" t="str">
        <f>"VU"&amp;$C$20&amp;" Option Choice 2 text"</f>
        <v>VUzzz2 Option Choice 2 text</v>
      </c>
      <c r="C33" s="46" t="str">
        <f>$C$20&amp;"/OptionChoice2"</f>
        <v>zzz2/OptionChoice2</v>
      </c>
      <c r="D33" s="308" t="s">
        <v>217</v>
      </c>
      <c r="E33" s="309"/>
    </row>
    <row r="34" spans="1:5" x14ac:dyDescent="0.2">
      <c r="A34" s="46" t="s">
        <v>34</v>
      </c>
      <c r="B34" s="46" t="str">
        <f>"VU"&amp;$C$20&amp;" Option Choice 3 text"</f>
        <v>VUzzz2 Option Choice 3 text</v>
      </c>
      <c r="C34" s="46" t="str">
        <f>$C$20&amp;"/OptionChoice3"</f>
        <v>zzz2/OptionChoice3</v>
      </c>
      <c r="D34" s="308" t="s">
        <v>216</v>
      </c>
      <c r="E34" s="309"/>
    </row>
    <row r="35" spans="1:5" x14ac:dyDescent="0.2">
      <c r="A35" s="46" t="s">
        <v>34</v>
      </c>
      <c r="B35" s="46" t="str">
        <f>"VU"&amp;$C$20&amp;" Option Choice 4 text"</f>
        <v>VUzzz2 Option Choice 4 text</v>
      </c>
      <c r="C35" s="46" t="str">
        <f>$C$20&amp;"/OptionChoice4"</f>
        <v>zzz2/OptionChoice4</v>
      </c>
      <c r="D35" s="308" t="s">
        <v>215</v>
      </c>
      <c r="E35" s="309"/>
    </row>
    <row r="36" spans="1:5" x14ac:dyDescent="0.2">
      <c r="A36" s="46" t="s">
        <v>34</v>
      </c>
      <c r="B36" s="46" t="str">
        <f>"VU"&amp;$C$20&amp;" Option Choice 5 text"</f>
        <v>VUzzz2 Option Choice 5 text</v>
      </c>
      <c r="C36" s="46" t="str">
        <f>$C$20&amp;"/OptionChoice5"</f>
        <v>zzz2/OptionChoice5</v>
      </c>
      <c r="D36" s="308" t="s">
        <v>214</v>
      </c>
      <c r="E36" s="309"/>
    </row>
    <row r="37" spans="1:5" x14ac:dyDescent="0.2">
      <c r="A37" s="46" t="s">
        <v>34</v>
      </c>
      <c r="B37" s="46" t="str">
        <f>"VU"&amp;$C$20&amp;" Option Choice 6 text"</f>
        <v>VUzzz2 Option Choice 6 text</v>
      </c>
      <c r="C37" s="46" t="str">
        <f>$C$20&amp;"/OptionChoice6"</f>
        <v>zzz2/OptionChoice6</v>
      </c>
      <c r="D37" s="308" t="s">
        <v>213</v>
      </c>
      <c r="E37" s="309"/>
    </row>
    <row r="38" spans="1:5" x14ac:dyDescent="0.2">
      <c r="A38" s="46" t="s">
        <v>34</v>
      </c>
      <c r="B38" s="46" t="str">
        <f>"VU"&amp;$C$20&amp;" Option Choice 7 text"</f>
        <v>VUzzz2 Option Choice 7 text</v>
      </c>
      <c r="C38" s="46" t="str">
        <f>$C$20&amp;"/OptionChoice7"</f>
        <v>zzz2/OptionChoice7</v>
      </c>
      <c r="D38" s="308" t="s">
        <v>212</v>
      </c>
      <c r="E38" s="309"/>
    </row>
    <row r="39" spans="1:5" x14ac:dyDescent="0.2">
      <c r="A39" s="46" t="s">
        <v>34</v>
      </c>
      <c r="B39" s="46" t="str">
        <f>"VU"&amp;$C$20&amp;" Option Choice 8 text"</f>
        <v>VUzzz2 Option Choice 8 text</v>
      </c>
      <c r="C39" s="46" t="str">
        <f>$C$20&amp;"/OptionChoice8"</f>
        <v>zzz2/OptionChoice8</v>
      </c>
      <c r="D39" s="308" t="s">
        <v>211</v>
      </c>
      <c r="E39" s="309"/>
    </row>
    <row r="40" spans="1:5" x14ac:dyDescent="0.2">
      <c r="A40" s="46" t="s">
        <v>34</v>
      </c>
      <c r="B40" s="46" t="str">
        <f>"VU"&amp;$C$20&amp;" Option Choice 9 text"</f>
        <v>VUzzz2 Option Choice 9 text</v>
      </c>
      <c r="C40" s="46" t="str">
        <f>$C$20&amp;"/OptionChoice9"</f>
        <v>zzz2/OptionChoice9</v>
      </c>
      <c r="D40" s="308" t="s">
        <v>210</v>
      </c>
      <c r="E40" s="309"/>
    </row>
    <row r="41" spans="1:5" x14ac:dyDescent="0.2">
      <c r="A41" s="46" t="s">
        <v>34</v>
      </c>
      <c r="B41" s="46" t="str">
        <f>"VU"&amp;$C$20&amp;" Option Choice 10 text"</f>
        <v>VUzzz2 Option Choice 10 text</v>
      </c>
      <c r="C41" s="46" t="str">
        <f>$C$20&amp;"/OptionChoice10"</f>
        <v>zzz2/OptionChoice10</v>
      </c>
      <c r="D41" s="308" t="s">
        <v>209</v>
      </c>
      <c r="E41" s="309"/>
    </row>
    <row r="42" spans="1:5" x14ac:dyDescent="0.2">
      <c r="D42" s="308"/>
      <c r="E42" s="309"/>
    </row>
    <row r="43" spans="1:5" x14ac:dyDescent="0.2">
      <c r="D43" s="308"/>
      <c r="E43" s="309"/>
    </row>
    <row r="44" spans="1:5" x14ac:dyDescent="0.2">
      <c r="D44" s="308"/>
      <c r="E44" s="309"/>
    </row>
    <row r="45" spans="1:5" x14ac:dyDescent="0.2">
      <c r="D45" s="308"/>
      <c r="E45" s="309"/>
    </row>
  </sheetData>
  <sheetProtection sheet="1" formatCells="0" formatColumns="0" formatRows="0" insertColumns="0" insertRows="0" insertHyperlinks="0" deleteColumns="0" deleteRows="0" sort="0" autoFilter="0" pivotTables="0"/>
  <mergeCells count="31">
    <mergeCell ref="D34:E34"/>
    <mergeCell ref="D35:E35"/>
    <mergeCell ref="D36:E36"/>
    <mergeCell ref="D37:E37"/>
    <mergeCell ref="A10:E10"/>
    <mergeCell ref="A18:E18"/>
    <mergeCell ref="D28:E28"/>
    <mergeCell ref="D29:E29"/>
    <mergeCell ref="D30:E30"/>
    <mergeCell ref="D27:E27"/>
    <mergeCell ref="D31:E31"/>
    <mergeCell ref="A11:B11"/>
    <mergeCell ref="A19:B19"/>
    <mergeCell ref="A20:B20"/>
    <mergeCell ref="D21:E21"/>
    <mergeCell ref="D45:E45"/>
    <mergeCell ref="A1:E1"/>
    <mergeCell ref="D38:E38"/>
    <mergeCell ref="D39:E39"/>
    <mergeCell ref="D40:E40"/>
    <mergeCell ref="D41:E41"/>
    <mergeCell ref="D42:E42"/>
    <mergeCell ref="D43:E43"/>
    <mergeCell ref="D32:E32"/>
    <mergeCell ref="D33:E33"/>
    <mergeCell ref="D22:E22"/>
    <mergeCell ref="D23:E23"/>
    <mergeCell ref="D24:E24"/>
    <mergeCell ref="D25:E25"/>
    <mergeCell ref="D26:E26"/>
    <mergeCell ref="D44:E44"/>
  </mergeCells>
  <dataValidations disablePrompts="1" count="3">
    <dataValidation type="list" allowBlank="1" showInputMessage="1" showErrorMessage="1" sqref="D15" xr:uid="{38205C41-7C32-4D7E-9CD3-8F8F994816F9}">
      <formula1>$B$6:$B$8</formula1>
    </dataValidation>
    <dataValidation type="list" allowBlank="1" showInputMessage="1" showErrorMessage="1" sqref="D14" xr:uid="{111AB15E-932B-472F-8C6E-958933A97F4E}">
      <formula1>$B$4:$B$5</formula1>
    </dataValidation>
    <dataValidation type="list" allowBlank="1" showInputMessage="1" showErrorMessage="1" sqref="D13" xr:uid="{987B723C-682E-4045-9A90-3D7F97E13129}">
      <formula1>$B$2:$B$3</formula1>
    </dataValidation>
  </dataValidations>
  <pageMargins left="0.78740157480314965" right="0.78740157480314965" top="0.98425196850393704" bottom="0.98425196850393704" header="0.51181102362204722" footer="0.51181102362204722"/>
  <pageSetup paperSize="8" scale="45" fitToHeight="8" orientation="landscape" horizontalDpi="4294967293" verticalDpi="4294967293" r:id="rId1"/>
  <headerFooter alignWithMargins="0">
    <oddHeader>&amp;L&amp;9Machine Number : 84130003, 84130004
Machine Name : IFC - VL1 - Filling Machine &amp; Capper
CU Number : 7002
VU Number : 3922, 3923&amp;C&amp;14ALARMLIST&amp;RFilename: &amp;F
Date : &amp;D</oddHeader>
    <oddFooter>&amp;LBased on template : 01000-S0000-DSA0-B8&amp;CPage &amp;P/&amp;N</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4:C6"/>
  <sheetViews>
    <sheetView showGridLines="0" workbookViewId="0">
      <selection sqref="A1:XFD1048576"/>
    </sheetView>
  </sheetViews>
  <sheetFormatPr defaultColWidth="9.33203125" defaultRowHeight="14.25" x14ac:dyDescent="0.2"/>
  <cols>
    <col min="1" max="1" width="1.6640625" style="1" customWidth="1"/>
    <col min="2" max="2" width="30" style="1" customWidth="1"/>
    <col min="3" max="3" width="13.33203125" style="1" customWidth="1"/>
    <col min="4" max="16384" width="9.33203125" style="1"/>
  </cols>
  <sheetData>
    <row r="4" spans="2:3" ht="15" x14ac:dyDescent="0.25">
      <c r="B4" s="2" t="s">
        <v>36</v>
      </c>
      <c r="C4" s="3">
        <f>COUNTA(Alarmlist!D5:D1606)-COUNTIF(Alarmlist!D5:D1606,"Reserved")</f>
        <v>745</v>
      </c>
    </row>
    <row r="5" spans="2:3" ht="7.5" customHeight="1" x14ac:dyDescent="0.2"/>
    <row r="6" spans="2:3" ht="22.5" customHeight="1" x14ac:dyDescent="0.2">
      <c r="B6" s="324" t="s">
        <v>95</v>
      </c>
      <c r="C6" s="324"/>
    </row>
  </sheetData>
  <mergeCells count="1">
    <mergeCell ref="B6:C6"/>
  </mergeCells>
  <phoneticPr fontId="4" type="noConversion"/>
  <pageMargins left="0.75" right="0.75" top="1" bottom="1" header="0.5" footer="0.5"/>
  <pageSetup paperSize="9" orientation="landscape" r:id="rId1"/>
  <headerFooter alignWithMargins="0">
    <oddHeader>&amp;C&amp;14ALARMLIST&amp;RFilename: &amp;F
Date : &amp;D&amp;L&amp;9Machine Number : xxxxxxxx
Machine Name : Machine Name
CU Number : yyyy
VU Number : zzzz</oddHeader>
    <oddFooter>&amp;LBased on template : 01000-S0000-DSA0-B5&amp;CPage &amp;P/&amp;N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5000"/>
  <sheetViews>
    <sheetView workbookViewId="0">
      <selection activeCell="D11" sqref="D11"/>
    </sheetView>
  </sheetViews>
  <sheetFormatPr defaultColWidth="9.33203125" defaultRowHeight="11.25" x14ac:dyDescent="0.2"/>
  <cols>
    <col min="1" max="1" width="14.6640625" style="6" customWidth="1"/>
    <col min="2" max="2" width="17.6640625" style="6" bestFit="1" customWidth="1"/>
    <col min="3" max="16384" width="9.33203125" style="6"/>
  </cols>
  <sheetData>
    <row r="1" spans="1:2" ht="18" x14ac:dyDescent="0.25">
      <c r="A1" s="32" t="s">
        <v>130</v>
      </c>
    </row>
    <row r="4" spans="1:2" x14ac:dyDescent="0.2">
      <c r="A4" s="6" t="s">
        <v>131</v>
      </c>
      <c r="B4" s="6" t="s">
        <v>132</v>
      </c>
    </row>
    <row r="6" spans="1:2" x14ac:dyDescent="0.2">
      <c r="A6" s="4"/>
      <c r="B6" s="4"/>
    </row>
    <row r="7" spans="1:2" x14ac:dyDescent="0.2">
      <c r="A7" s="4"/>
      <c r="B7" s="4"/>
    </row>
    <row r="8" spans="1:2" x14ac:dyDescent="0.2">
      <c r="A8" s="4"/>
      <c r="B8" s="4"/>
    </row>
    <row r="9" spans="1:2" x14ac:dyDescent="0.2">
      <c r="A9" s="4"/>
      <c r="B9" s="4"/>
    </row>
    <row r="10" spans="1:2" x14ac:dyDescent="0.2">
      <c r="A10" s="4"/>
      <c r="B10" s="4"/>
    </row>
    <row r="11" spans="1:2" x14ac:dyDescent="0.2">
      <c r="A11" s="4"/>
      <c r="B11" s="4"/>
    </row>
    <row r="12" spans="1:2" x14ac:dyDescent="0.2">
      <c r="A12" s="4"/>
      <c r="B12" s="4"/>
    </row>
    <row r="13" spans="1:2" x14ac:dyDescent="0.2">
      <c r="A13" s="4"/>
      <c r="B13" s="4"/>
    </row>
    <row r="14" spans="1:2" x14ac:dyDescent="0.2">
      <c r="A14" s="4"/>
      <c r="B14" s="4"/>
    </row>
    <row r="15" spans="1:2" x14ac:dyDescent="0.2">
      <c r="A15" s="4"/>
      <c r="B15" s="4"/>
    </row>
    <row r="16" spans="1:2" x14ac:dyDescent="0.2">
      <c r="A16" s="4"/>
      <c r="B16" s="4"/>
    </row>
    <row r="17" spans="1:2" x14ac:dyDescent="0.2">
      <c r="A17" s="4"/>
      <c r="B17" s="4"/>
    </row>
    <row r="18" spans="1:2" x14ac:dyDescent="0.2">
      <c r="A18" s="4"/>
      <c r="B18" s="4"/>
    </row>
    <row r="19" spans="1:2" x14ac:dyDescent="0.2">
      <c r="A19" s="4"/>
      <c r="B19" s="4"/>
    </row>
    <row r="20" spans="1:2" x14ac:dyDescent="0.2">
      <c r="A20" s="4"/>
      <c r="B20" s="4"/>
    </row>
    <row r="21" spans="1:2" x14ac:dyDescent="0.2">
      <c r="A21" s="4"/>
      <c r="B21" s="4"/>
    </row>
    <row r="22" spans="1:2" x14ac:dyDescent="0.2">
      <c r="A22" s="4"/>
      <c r="B22" s="4"/>
    </row>
    <row r="23" spans="1:2" x14ac:dyDescent="0.2">
      <c r="A23" s="4"/>
      <c r="B23" s="4"/>
    </row>
    <row r="24" spans="1:2" x14ac:dyDescent="0.2">
      <c r="A24" s="4"/>
      <c r="B24" s="4"/>
    </row>
    <row r="25" spans="1:2" x14ac:dyDescent="0.2">
      <c r="A25" s="4"/>
      <c r="B25" s="4"/>
    </row>
    <row r="26" spans="1:2" x14ac:dyDescent="0.2">
      <c r="A26" s="4"/>
      <c r="B26" s="4"/>
    </row>
    <row r="27" spans="1:2" x14ac:dyDescent="0.2">
      <c r="A27" s="4"/>
      <c r="B27" s="4"/>
    </row>
    <row r="28" spans="1:2" x14ac:dyDescent="0.2">
      <c r="A28" s="4"/>
      <c r="B28" s="4"/>
    </row>
    <row r="29" spans="1:2" x14ac:dyDescent="0.2">
      <c r="A29" s="4"/>
      <c r="B29" s="4"/>
    </row>
    <row r="30" spans="1:2" x14ac:dyDescent="0.2">
      <c r="A30" s="4"/>
      <c r="B30" s="4"/>
    </row>
    <row r="31" spans="1:2" x14ac:dyDescent="0.2">
      <c r="A31" s="4"/>
      <c r="B31" s="4"/>
    </row>
    <row r="32" spans="1:2" x14ac:dyDescent="0.2">
      <c r="A32" s="4"/>
      <c r="B32" s="4"/>
    </row>
    <row r="33" spans="1:2" x14ac:dyDescent="0.2">
      <c r="A33" s="4"/>
      <c r="B33" s="4"/>
    </row>
    <row r="34" spans="1:2" x14ac:dyDescent="0.2">
      <c r="A34" s="4"/>
      <c r="B34" s="4"/>
    </row>
    <row r="35" spans="1:2" x14ac:dyDescent="0.2">
      <c r="A35" s="4"/>
      <c r="B35" s="4"/>
    </row>
    <row r="36" spans="1:2" x14ac:dyDescent="0.2">
      <c r="A36" s="4"/>
      <c r="B36" s="4"/>
    </row>
    <row r="37" spans="1:2" x14ac:dyDescent="0.2">
      <c r="A37" s="4"/>
      <c r="B37" s="4"/>
    </row>
    <row r="38" spans="1:2" x14ac:dyDescent="0.2">
      <c r="A38" s="4"/>
      <c r="B38" s="4"/>
    </row>
    <row r="39" spans="1:2" x14ac:dyDescent="0.2">
      <c r="A39" s="4"/>
      <c r="B39" s="4"/>
    </row>
    <row r="40" spans="1:2" x14ac:dyDescent="0.2">
      <c r="A40" s="4"/>
      <c r="B40" s="4"/>
    </row>
    <row r="41" spans="1:2" x14ac:dyDescent="0.2">
      <c r="A41" s="4"/>
      <c r="B41" s="4"/>
    </row>
    <row r="42" spans="1:2" x14ac:dyDescent="0.2">
      <c r="A42" s="4"/>
      <c r="B42" s="4"/>
    </row>
    <row r="43" spans="1:2" x14ac:dyDescent="0.2">
      <c r="A43" s="4"/>
      <c r="B43" s="4"/>
    </row>
    <row r="44" spans="1:2" x14ac:dyDescent="0.2">
      <c r="A44" s="4"/>
      <c r="B44" s="4"/>
    </row>
    <row r="45" spans="1:2" x14ac:dyDescent="0.2">
      <c r="A45" s="4"/>
      <c r="B45" s="4"/>
    </row>
    <row r="46" spans="1:2" x14ac:dyDescent="0.2">
      <c r="A46" s="4"/>
      <c r="B46" s="4"/>
    </row>
    <row r="47" spans="1:2" x14ac:dyDescent="0.2">
      <c r="A47" s="4"/>
      <c r="B47" s="4"/>
    </row>
    <row r="48" spans="1:2" x14ac:dyDescent="0.2">
      <c r="A48" s="4"/>
      <c r="B48" s="4"/>
    </row>
    <row r="49" spans="1:2" x14ac:dyDescent="0.2">
      <c r="A49" s="4"/>
      <c r="B49" s="4"/>
    </row>
    <row r="50" spans="1:2" x14ac:dyDescent="0.2">
      <c r="A50" s="4"/>
      <c r="B50" s="4"/>
    </row>
    <row r="51" spans="1:2" x14ac:dyDescent="0.2">
      <c r="A51" s="4"/>
      <c r="B51" s="4"/>
    </row>
    <row r="52" spans="1:2" x14ac:dyDescent="0.2">
      <c r="A52" s="4"/>
      <c r="B52" s="4"/>
    </row>
    <row r="53" spans="1:2" x14ac:dyDescent="0.2">
      <c r="A53" s="4"/>
      <c r="B53" s="4"/>
    </row>
    <row r="54" spans="1:2" x14ac:dyDescent="0.2">
      <c r="A54" s="4"/>
      <c r="B54" s="4"/>
    </row>
    <row r="55" spans="1:2" x14ac:dyDescent="0.2">
      <c r="A55" s="4"/>
      <c r="B55" s="4"/>
    </row>
    <row r="56" spans="1:2" x14ac:dyDescent="0.2">
      <c r="A56" s="4"/>
      <c r="B56" s="4"/>
    </row>
    <row r="57" spans="1:2" x14ac:dyDescent="0.2">
      <c r="A57" s="4"/>
      <c r="B57" s="4"/>
    </row>
    <row r="58" spans="1:2" x14ac:dyDescent="0.2">
      <c r="A58" s="4"/>
      <c r="B58" s="4"/>
    </row>
    <row r="59" spans="1:2" x14ac:dyDescent="0.2">
      <c r="A59" s="4"/>
      <c r="B59" s="4"/>
    </row>
    <row r="60" spans="1:2" x14ac:dyDescent="0.2">
      <c r="A60" s="4"/>
      <c r="B60" s="4"/>
    </row>
    <row r="61" spans="1:2" x14ac:dyDescent="0.2">
      <c r="A61" s="4"/>
      <c r="B61" s="4"/>
    </row>
    <row r="62" spans="1:2" x14ac:dyDescent="0.2">
      <c r="A62" s="4"/>
      <c r="B62" s="4"/>
    </row>
    <row r="63" spans="1:2" x14ac:dyDescent="0.2">
      <c r="A63" s="4"/>
      <c r="B63" s="4"/>
    </row>
    <row r="64" spans="1:2" x14ac:dyDescent="0.2">
      <c r="A64" s="4"/>
      <c r="B64" s="4"/>
    </row>
    <row r="65" spans="1:2" x14ac:dyDescent="0.2">
      <c r="A65" s="4"/>
      <c r="B65" s="4"/>
    </row>
    <row r="66" spans="1:2" x14ac:dyDescent="0.2">
      <c r="A66" s="4"/>
      <c r="B66" s="4"/>
    </row>
    <row r="67" spans="1:2" x14ac:dyDescent="0.2">
      <c r="A67" s="4"/>
      <c r="B67" s="4"/>
    </row>
    <row r="68" spans="1:2" x14ac:dyDescent="0.2">
      <c r="A68" s="4"/>
      <c r="B68" s="4"/>
    </row>
    <row r="69" spans="1:2" x14ac:dyDescent="0.2">
      <c r="A69" s="4"/>
      <c r="B69" s="4"/>
    </row>
    <row r="70" spans="1:2" x14ac:dyDescent="0.2">
      <c r="A70" s="4"/>
      <c r="B70" s="4"/>
    </row>
    <row r="71" spans="1:2" x14ac:dyDescent="0.2">
      <c r="A71" s="4"/>
      <c r="B71" s="4"/>
    </row>
    <row r="72" spans="1:2" x14ac:dyDescent="0.2">
      <c r="A72" s="4"/>
      <c r="B72" s="4"/>
    </row>
    <row r="73" spans="1:2" x14ac:dyDescent="0.2">
      <c r="A73" s="4"/>
      <c r="B73" s="4"/>
    </row>
    <row r="74" spans="1:2" x14ac:dyDescent="0.2">
      <c r="A74" s="4"/>
      <c r="B74" s="4"/>
    </row>
    <row r="75" spans="1:2" x14ac:dyDescent="0.2">
      <c r="A75" s="4"/>
      <c r="B75" s="4"/>
    </row>
    <row r="76" spans="1:2" x14ac:dyDescent="0.2">
      <c r="A76" s="4"/>
      <c r="B76" s="4"/>
    </row>
    <row r="77" spans="1:2" x14ac:dyDescent="0.2">
      <c r="A77" s="4"/>
      <c r="B77" s="4"/>
    </row>
    <row r="78" spans="1:2" x14ac:dyDescent="0.2">
      <c r="A78" s="4"/>
      <c r="B78" s="4"/>
    </row>
    <row r="79" spans="1:2" x14ac:dyDescent="0.2">
      <c r="A79" s="4"/>
      <c r="B79" s="4"/>
    </row>
    <row r="80" spans="1:2" x14ac:dyDescent="0.2">
      <c r="A80" s="4"/>
      <c r="B80" s="4"/>
    </row>
    <row r="81" spans="1:2" x14ac:dyDescent="0.2">
      <c r="A81" s="4"/>
      <c r="B81" s="4"/>
    </row>
    <row r="82" spans="1:2" x14ac:dyDescent="0.2">
      <c r="A82" s="4"/>
      <c r="B82" s="4"/>
    </row>
    <row r="83" spans="1:2" x14ac:dyDescent="0.2">
      <c r="A83" s="4"/>
      <c r="B83" s="4"/>
    </row>
    <row r="84" spans="1:2" x14ac:dyDescent="0.2">
      <c r="A84" s="4"/>
      <c r="B84" s="4"/>
    </row>
    <row r="85" spans="1:2" x14ac:dyDescent="0.2">
      <c r="A85" s="4"/>
      <c r="B85" s="4"/>
    </row>
    <row r="86" spans="1:2" x14ac:dyDescent="0.2">
      <c r="A86" s="4"/>
      <c r="B86" s="4"/>
    </row>
    <row r="87" spans="1:2" x14ac:dyDescent="0.2">
      <c r="A87" s="4"/>
      <c r="B87" s="4"/>
    </row>
    <row r="88" spans="1:2" x14ac:dyDescent="0.2">
      <c r="A88" s="4"/>
      <c r="B88" s="4"/>
    </row>
    <row r="89" spans="1:2" x14ac:dyDescent="0.2">
      <c r="A89" s="4"/>
      <c r="B89" s="4"/>
    </row>
    <row r="90" spans="1:2" x14ac:dyDescent="0.2">
      <c r="A90" s="4"/>
      <c r="B90" s="4"/>
    </row>
    <row r="91" spans="1:2" x14ac:dyDescent="0.2">
      <c r="A91" s="4"/>
      <c r="B91" s="4"/>
    </row>
    <row r="92" spans="1:2" x14ac:dyDescent="0.2">
      <c r="A92" s="4"/>
      <c r="B92" s="4"/>
    </row>
    <row r="93" spans="1:2" x14ac:dyDescent="0.2">
      <c r="A93" s="4"/>
      <c r="B93" s="4"/>
    </row>
    <row r="94" spans="1:2" x14ac:dyDescent="0.2">
      <c r="A94" s="4"/>
      <c r="B94" s="4"/>
    </row>
    <row r="95" spans="1:2" x14ac:dyDescent="0.2">
      <c r="A95" s="4"/>
      <c r="B95" s="4"/>
    </row>
    <row r="96" spans="1:2" x14ac:dyDescent="0.2">
      <c r="A96" s="4"/>
      <c r="B96" s="4"/>
    </row>
    <row r="97" spans="1:2" x14ac:dyDescent="0.2">
      <c r="A97" s="4"/>
      <c r="B97" s="4"/>
    </row>
    <row r="98" spans="1:2" x14ac:dyDescent="0.2">
      <c r="A98" s="4"/>
      <c r="B98" s="4"/>
    </row>
    <row r="99" spans="1:2" x14ac:dyDescent="0.2">
      <c r="A99" s="4"/>
      <c r="B99" s="4"/>
    </row>
    <row r="100" spans="1:2" x14ac:dyDescent="0.2">
      <c r="A100" s="4"/>
      <c r="B100" s="4"/>
    </row>
    <row r="101" spans="1:2" x14ac:dyDescent="0.2">
      <c r="A101" s="4"/>
      <c r="B101" s="4"/>
    </row>
    <row r="102" spans="1:2" x14ac:dyDescent="0.2">
      <c r="A102" s="4"/>
      <c r="B102" s="4"/>
    </row>
    <row r="103" spans="1:2" x14ac:dyDescent="0.2">
      <c r="A103" s="4"/>
      <c r="B103" s="4"/>
    </row>
    <row r="104" spans="1:2" x14ac:dyDescent="0.2">
      <c r="A104" s="4"/>
      <c r="B104" s="4"/>
    </row>
    <row r="105" spans="1:2" x14ac:dyDescent="0.2">
      <c r="A105" s="4"/>
      <c r="B105" s="4"/>
    </row>
    <row r="106" spans="1:2" x14ac:dyDescent="0.2">
      <c r="A106" s="4"/>
      <c r="B106" s="4"/>
    </row>
    <row r="107" spans="1:2" x14ac:dyDescent="0.2">
      <c r="A107" s="4"/>
      <c r="B107" s="4"/>
    </row>
    <row r="108" spans="1:2" x14ac:dyDescent="0.2">
      <c r="A108" s="4"/>
      <c r="B108" s="4"/>
    </row>
    <row r="109" spans="1:2" x14ac:dyDescent="0.2">
      <c r="A109" s="4"/>
      <c r="B109" s="4"/>
    </row>
    <row r="110" spans="1:2" x14ac:dyDescent="0.2">
      <c r="A110" s="4"/>
      <c r="B110" s="4"/>
    </row>
    <row r="111" spans="1:2" x14ac:dyDescent="0.2">
      <c r="A111" s="4"/>
      <c r="B111" s="4"/>
    </row>
    <row r="112" spans="1:2" x14ac:dyDescent="0.2">
      <c r="A112" s="4"/>
      <c r="B112" s="4"/>
    </row>
    <row r="113" spans="1:2" x14ac:dyDescent="0.2">
      <c r="A113" s="4"/>
      <c r="B113" s="4"/>
    </row>
    <row r="114" spans="1:2" x14ac:dyDescent="0.2">
      <c r="A114" s="4"/>
      <c r="B114" s="4"/>
    </row>
    <row r="115" spans="1:2" x14ac:dyDescent="0.2">
      <c r="A115" s="4"/>
      <c r="B115" s="4"/>
    </row>
    <row r="116" spans="1:2" x14ac:dyDescent="0.2">
      <c r="A116" s="4"/>
      <c r="B116" s="4"/>
    </row>
    <row r="117" spans="1:2" x14ac:dyDescent="0.2">
      <c r="A117" s="4"/>
      <c r="B117" s="4"/>
    </row>
    <row r="118" spans="1:2" x14ac:dyDescent="0.2">
      <c r="A118" s="4"/>
      <c r="B118" s="4"/>
    </row>
    <row r="119" spans="1:2" x14ac:dyDescent="0.2">
      <c r="A119" s="4"/>
      <c r="B119" s="4"/>
    </row>
    <row r="120" spans="1:2" x14ac:dyDescent="0.2">
      <c r="A120" s="4"/>
      <c r="B120" s="4"/>
    </row>
    <row r="121" spans="1:2" x14ac:dyDescent="0.2">
      <c r="A121" s="4"/>
      <c r="B121" s="4"/>
    </row>
    <row r="122" spans="1:2" x14ac:dyDescent="0.2">
      <c r="A122" s="4"/>
      <c r="B122" s="4"/>
    </row>
    <row r="123" spans="1:2" x14ac:dyDescent="0.2">
      <c r="A123" s="4"/>
      <c r="B123" s="4"/>
    </row>
    <row r="124" spans="1:2" x14ac:dyDescent="0.2">
      <c r="A124" s="4"/>
      <c r="B124" s="4"/>
    </row>
    <row r="125" spans="1:2" x14ac:dyDescent="0.2">
      <c r="A125" s="4"/>
      <c r="B125" s="4"/>
    </row>
    <row r="126" spans="1:2" x14ac:dyDescent="0.2">
      <c r="A126" s="4"/>
      <c r="B126" s="4"/>
    </row>
    <row r="127" spans="1:2" x14ac:dyDescent="0.2">
      <c r="A127" s="4"/>
      <c r="B127" s="4"/>
    </row>
    <row r="128" spans="1:2" x14ac:dyDescent="0.2">
      <c r="A128" s="4"/>
      <c r="B128" s="4"/>
    </row>
    <row r="129" spans="1:2" x14ac:dyDescent="0.2">
      <c r="A129" s="4"/>
      <c r="B129" s="4"/>
    </row>
    <row r="130" spans="1:2" x14ac:dyDescent="0.2">
      <c r="A130" s="4"/>
      <c r="B130" s="4"/>
    </row>
    <row r="131" spans="1:2" x14ac:dyDescent="0.2">
      <c r="A131" s="4"/>
      <c r="B131" s="4"/>
    </row>
    <row r="132" spans="1:2" x14ac:dyDescent="0.2">
      <c r="A132" s="4"/>
      <c r="B132" s="4"/>
    </row>
    <row r="133" spans="1:2" x14ac:dyDescent="0.2">
      <c r="A133" s="4"/>
      <c r="B133" s="4"/>
    </row>
    <row r="134" spans="1:2" x14ac:dyDescent="0.2">
      <c r="A134" s="4"/>
      <c r="B134" s="4"/>
    </row>
    <row r="135" spans="1:2" x14ac:dyDescent="0.2">
      <c r="A135" s="4"/>
      <c r="B135" s="4"/>
    </row>
    <row r="136" spans="1:2" x14ac:dyDescent="0.2">
      <c r="A136" s="4"/>
      <c r="B136" s="4"/>
    </row>
    <row r="137" spans="1:2" x14ac:dyDescent="0.2">
      <c r="A137" s="4"/>
      <c r="B137" s="4"/>
    </row>
    <row r="138" spans="1:2" x14ac:dyDescent="0.2">
      <c r="A138" s="4"/>
      <c r="B138" s="4"/>
    </row>
    <row r="139" spans="1:2" x14ac:dyDescent="0.2">
      <c r="A139" s="4"/>
      <c r="B139" s="4"/>
    </row>
    <row r="140" spans="1:2" x14ac:dyDescent="0.2">
      <c r="A140" s="4"/>
      <c r="B140" s="4"/>
    </row>
    <row r="141" spans="1:2" x14ac:dyDescent="0.2">
      <c r="A141" s="4"/>
      <c r="B141" s="4"/>
    </row>
    <row r="142" spans="1:2" x14ac:dyDescent="0.2">
      <c r="A142" s="4"/>
      <c r="B142" s="4"/>
    </row>
    <row r="143" spans="1:2" x14ac:dyDescent="0.2">
      <c r="A143" s="4"/>
      <c r="B143" s="4"/>
    </row>
    <row r="144" spans="1:2" x14ac:dyDescent="0.2">
      <c r="A144" s="4"/>
      <c r="B144" s="4"/>
    </row>
    <row r="145" spans="1:2" x14ac:dyDescent="0.2">
      <c r="A145" s="4"/>
      <c r="B145" s="4"/>
    </row>
    <row r="146" spans="1:2" x14ac:dyDescent="0.2">
      <c r="A146" s="4"/>
      <c r="B146" s="4"/>
    </row>
    <row r="147" spans="1:2" x14ac:dyDescent="0.2">
      <c r="A147" s="4"/>
      <c r="B147" s="4"/>
    </row>
    <row r="148" spans="1:2" x14ac:dyDescent="0.2">
      <c r="A148" s="4"/>
      <c r="B148" s="4"/>
    </row>
    <row r="149" spans="1:2" x14ac:dyDescent="0.2">
      <c r="A149" s="4"/>
      <c r="B149" s="4"/>
    </row>
    <row r="150" spans="1:2" x14ac:dyDescent="0.2">
      <c r="A150" s="4"/>
      <c r="B150" s="4"/>
    </row>
    <row r="151" spans="1:2" x14ac:dyDescent="0.2">
      <c r="A151" s="4"/>
      <c r="B151" s="4"/>
    </row>
    <row r="152" spans="1:2" x14ac:dyDescent="0.2">
      <c r="A152" s="4"/>
      <c r="B152" s="4"/>
    </row>
    <row r="153" spans="1:2" x14ac:dyDescent="0.2">
      <c r="A153" s="4"/>
      <c r="B153" s="4"/>
    </row>
    <row r="154" spans="1:2" x14ac:dyDescent="0.2">
      <c r="A154" s="4"/>
      <c r="B154" s="4"/>
    </row>
    <row r="155" spans="1:2" x14ac:dyDescent="0.2">
      <c r="A155" s="4"/>
      <c r="B155" s="4"/>
    </row>
    <row r="156" spans="1:2" x14ac:dyDescent="0.2">
      <c r="A156" s="4"/>
      <c r="B156" s="4"/>
    </row>
    <row r="157" spans="1:2" x14ac:dyDescent="0.2">
      <c r="A157" s="4"/>
      <c r="B157" s="4"/>
    </row>
    <row r="158" spans="1:2" x14ac:dyDescent="0.2">
      <c r="A158" s="4"/>
      <c r="B158" s="4"/>
    </row>
    <row r="159" spans="1:2" x14ac:dyDescent="0.2">
      <c r="A159" s="4"/>
      <c r="B159" s="4"/>
    </row>
    <row r="160" spans="1:2" x14ac:dyDescent="0.2">
      <c r="A160" s="4"/>
      <c r="B160" s="4"/>
    </row>
    <row r="161" spans="1:2" x14ac:dyDescent="0.2">
      <c r="A161" s="4"/>
      <c r="B161" s="4"/>
    </row>
    <row r="162" spans="1:2" x14ac:dyDescent="0.2">
      <c r="A162" s="4"/>
      <c r="B162" s="4"/>
    </row>
    <row r="163" spans="1:2" x14ac:dyDescent="0.2">
      <c r="A163" s="4"/>
      <c r="B163" s="4"/>
    </row>
    <row r="164" spans="1:2" x14ac:dyDescent="0.2">
      <c r="A164" s="4"/>
      <c r="B164" s="4"/>
    </row>
    <row r="165" spans="1:2" x14ac:dyDescent="0.2">
      <c r="A165" s="4"/>
      <c r="B165" s="4"/>
    </row>
    <row r="166" spans="1:2" x14ac:dyDescent="0.2">
      <c r="A166" s="4"/>
      <c r="B166" s="4"/>
    </row>
    <row r="167" spans="1:2" x14ac:dyDescent="0.2">
      <c r="A167" s="4"/>
      <c r="B167" s="4"/>
    </row>
    <row r="168" spans="1:2" x14ac:dyDescent="0.2">
      <c r="A168" s="4"/>
      <c r="B168" s="4"/>
    </row>
    <row r="169" spans="1:2" x14ac:dyDescent="0.2">
      <c r="A169" s="4"/>
      <c r="B169" s="4"/>
    </row>
    <row r="170" spans="1:2" x14ac:dyDescent="0.2">
      <c r="A170" s="4"/>
      <c r="B170" s="4"/>
    </row>
    <row r="171" spans="1:2" x14ac:dyDescent="0.2">
      <c r="A171" s="4"/>
      <c r="B171" s="4"/>
    </row>
    <row r="172" spans="1:2" x14ac:dyDescent="0.2">
      <c r="A172" s="4"/>
      <c r="B172" s="4"/>
    </row>
    <row r="173" spans="1:2" x14ac:dyDescent="0.2">
      <c r="A173" s="4"/>
      <c r="B173" s="4"/>
    </row>
    <row r="174" spans="1:2" x14ac:dyDescent="0.2">
      <c r="A174" s="4"/>
      <c r="B174" s="4"/>
    </row>
    <row r="175" spans="1:2" x14ac:dyDescent="0.2">
      <c r="A175" s="4"/>
      <c r="B175" s="4"/>
    </row>
    <row r="176" spans="1:2" x14ac:dyDescent="0.2">
      <c r="A176" s="4"/>
      <c r="B176" s="4"/>
    </row>
    <row r="177" spans="1:2" x14ac:dyDescent="0.2">
      <c r="A177" s="4"/>
      <c r="B177" s="4"/>
    </row>
    <row r="178" spans="1:2" x14ac:dyDescent="0.2">
      <c r="A178" s="4"/>
      <c r="B178" s="4"/>
    </row>
    <row r="179" spans="1:2" x14ac:dyDescent="0.2">
      <c r="A179" s="4"/>
      <c r="B179" s="4"/>
    </row>
    <row r="180" spans="1:2" x14ac:dyDescent="0.2">
      <c r="A180" s="4"/>
      <c r="B180" s="4"/>
    </row>
    <row r="181" spans="1:2" x14ac:dyDescent="0.2">
      <c r="A181" s="4"/>
      <c r="B181" s="4"/>
    </row>
    <row r="182" spans="1:2" x14ac:dyDescent="0.2">
      <c r="A182" s="4"/>
      <c r="B182" s="4"/>
    </row>
    <row r="183" spans="1:2" x14ac:dyDescent="0.2">
      <c r="A183" s="4"/>
      <c r="B183" s="4"/>
    </row>
    <row r="184" spans="1:2" x14ac:dyDescent="0.2">
      <c r="A184" s="4"/>
      <c r="B184" s="4"/>
    </row>
    <row r="185" spans="1:2" x14ac:dyDescent="0.2">
      <c r="A185" s="4"/>
      <c r="B185" s="4"/>
    </row>
    <row r="186" spans="1:2" x14ac:dyDescent="0.2">
      <c r="A186" s="4"/>
      <c r="B186" s="4"/>
    </row>
    <row r="187" spans="1:2" x14ac:dyDescent="0.2">
      <c r="A187" s="4"/>
      <c r="B187" s="4"/>
    </row>
    <row r="188" spans="1:2" x14ac:dyDescent="0.2">
      <c r="A188" s="4"/>
      <c r="B188" s="4"/>
    </row>
    <row r="189" spans="1:2" x14ac:dyDescent="0.2">
      <c r="A189" s="4"/>
      <c r="B189" s="4"/>
    </row>
    <row r="190" spans="1:2" x14ac:dyDescent="0.2">
      <c r="A190" s="4"/>
      <c r="B190" s="4"/>
    </row>
    <row r="191" spans="1:2" x14ac:dyDescent="0.2">
      <c r="A191" s="4"/>
      <c r="B191" s="4"/>
    </row>
    <row r="192" spans="1:2" x14ac:dyDescent="0.2">
      <c r="A192" s="4"/>
      <c r="B192" s="4"/>
    </row>
    <row r="193" spans="1:2" x14ac:dyDescent="0.2">
      <c r="A193" s="4"/>
      <c r="B193" s="4"/>
    </row>
    <row r="194" spans="1:2" x14ac:dyDescent="0.2">
      <c r="A194" s="4"/>
      <c r="B194" s="4"/>
    </row>
    <row r="195" spans="1:2" x14ac:dyDescent="0.2">
      <c r="A195" s="4"/>
      <c r="B195" s="4"/>
    </row>
    <row r="196" spans="1:2" x14ac:dyDescent="0.2">
      <c r="A196" s="4"/>
      <c r="B196" s="4"/>
    </row>
    <row r="197" spans="1:2" x14ac:dyDescent="0.2">
      <c r="A197" s="4"/>
      <c r="B197" s="4"/>
    </row>
    <row r="198" spans="1:2" x14ac:dyDescent="0.2">
      <c r="A198" s="4"/>
      <c r="B198" s="4"/>
    </row>
    <row r="199" spans="1:2" x14ac:dyDescent="0.2">
      <c r="A199" s="4"/>
      <c r="B199" s="4"/>
    </row>
    <row r="200" spans="1:2" x14ac:dyDescent="0.2">
      <c r="A200" s="4"/>
      <c r="B200" s="4"/>
    </row>
    <row r="201" spans="1:2" x14ac:dyDescent="0.2">
      <c r="A201" s="4"/>
      <c r="B201" s="4"/>
    </row>
    <row r="202" spans="1:2" x14ac:dyDescent="0.2">
      <c r="A202" s="4"/>
      <c r="B202" s="4"/>
    </row>
    <row r="203" spans="1:2" x14ac:dyDescent="0.2">
      <c r="A203" s="4"/>
      <c r="B203" s="4"/>
    </row>
    <row r="204" spans="1:2" x14ac:dyDescent="0.2">
      <c r="A204" s="4"/>
      <c r="B204" s="4"/>
    </row>
    <row r="205" spans="1:2" x14ac:dyDescent="0.2">
      <c r="A205" s="4"/>
      <c r="B205" s="4"/>
    </row>
    <row r="206" spans="1:2" x14ac:dyDescent="0.2">
      <c r="A206" s="4"/>
      <c r="B206" s="4"/>
    </row>
    <row r="207" spans="1:2" x14ac:dyDescent="0.2">
      <c r="A207" s="4"/>
      <c r="B207" s="4"/>
    </row>
    <row r="208" spans="1:2" x14ac:dyDescent="0.2">
      <c r="A208" s="4"/>
      <c r="B208" s="4"/>
    </row>
    <row r="209" spans="1:2" x14ac:dyDescent="0.2">
      <c r="A209" s="4"/>
      <c r="B209" s="4"/>
    </row>
    <row r="210" spans="1:2" x14ac:dyDescent="0.2">
      <c r="A210" s="4"/>
      <c r="B210" s="4"/>
    </row>
    <row r="211" spans="1:2" x14ac:dyDescent="0.2">
      <c r="A211" s="4"/>
      <c r="B211" s="4"/>
    </row>
    <row r="212" spans="1:2" x14ac:dyDescent="0.2">
      <c r="A212" s="4"/>
      <c r="B212" s="4"/>
    </row>
    <row r="213" spans="1:2" x14ac:dyDescent="0.2">
      <c r="A213" s="4"/>
      <c r="B213" s="4"/>
    </row>
    <row r="214" spans="1:2" x14ac:dyDescent="0.2">
      <c r="A214" s="4"/>
      <c r="B214" s="4"/>
    </row>
    <row r="215" spans="1:2" x14ac:dyDescent="0.2">
      <c r="A215" s="4"/>
      <c r="B215" s="4"/>
    </row>
    <row r="216" spans="1:2" x14ac:dyDescent="0.2">
      <c r="A216" s="4"/>
      <c r="B216" s="4"/>
    </row>
    <row r="217" spans="1:2" x14ac:dyDescent="0.2">
      <c r="A217" s="4"/>
      <c r="B217" s="4"/>
    </row>
    <row r="218" spans="1:2" x14ac:dyDescent="0.2">
      <c r="A218" s="4"/>
      <c r="B218" s="4"/>
    </row>
    <row r="219" spans="1:2" x14ac:dyDescent="0.2">
      <c r="A219" s="4"/>
      <c r="B219" s="4"/>
    </row>
    <row r="220" spans="1:2" x14ac:dyDescent="0.2">
      <c r="A220" s="4"/>
      <c r="B220" s="4"/>
    </row>
    <row r="221" spans="1:2" x14ac:dyDescent="0.2">
      <c r="A221" s="4"/>
      <c r="B221" s="4"/>
    </row>
    <row r="222" spans="1:2" x14ac:dyDescent="0.2">
      <c r="A222" s="4"/>
      <c r="B222" s="4"/>
    </row>
    <row r="223" spans="1:2" x14ac:dyDescent="0.2">
      <c r="A223" s="4"/>
      <c r="B223" s="4"/>
    </row>
    <row r="224" spans="1:2" x14ac:dyDescent="0.2">
      <c r="A224" s="4"/>
      <c r="B224" s="4"/>
    </row>
    <row r="225" spans="1:2" x14ac:dyDescent="0.2">
      <c r="A225" s="4"/>
      <c r="B225" s="4"/>
    </row>
    <row r="226" spans="1:2" x14ac:dyDescent="0.2">
      <c r="A226" s="4"/>
      <c r="B226" s="4"/>
    </row>
    <row r="227" spans="1:2" x14ac:dyDescent="0.2">
      <c r="A227" s="4"/>
      <c r="B227" s="4"/>
    </row>
    <row r="228" spans="1:2" x14ac:dyDescent="0.2">
      <c r="A228" s="4"/>
      <c r="B228" s="4"/>
    </row>
    <row r="229" spans="1:2" x14ac:dyDescent="0.2">
      <c r="A229" s="4"/>
      <c r="B229" s="4"/>
    </row>
    <row r="230" spans="1:2" x14ac:dyDescent="0.2">
      <c r="A230" s="4"/>
      <c r="B230" s="4"/>
    </row>
    <row r="231" spans="1:2" x14ac:dyDescent="0.2">
      <c r="A231" s="4"/>
      <c r="B231" s="4"/>
    </row>
    <row r="232" spans="1:2" x14ac:dyDescent="0.2">
      <c r="A232" s="4"/>
      <c r="B232" s="4"/>
    </row>
    <row r="233" spans="1:2" x14ac:dyDescent="0.2">
      <c r="A233" s="4"/>
      <c r="B233" s="4"/>
    </row>
    <row r="234" spans="1:2" x14ac:dyDescent="0.2">
      <c r="A234" s="4"/>
      <c r="B234" s="4"/>
    </row>
    <row r="235" spans="1:2" x14ac:dyDescent="0.2">
      <c r="A235" s="4"/>
      <c r="B235" s="4"/>
    </row>
    <row r="236" spans="1:2" x14ac:dyDescent="0.2">
      <c r="A236" s="4"/>
      <c r="B236" s="4"/>
    </row>
    <row r="237" spans="1:2" x14ac:dyDescent="0.2">
      <c r="A237" s="4"/>
      <c r="B237" s="4"/>
    </row>
    <row r="238" spans="1:2" x14ac:dyDescent="0.2">
      <c r="A238" s="4"/>
      <c r="B238" s="4"/>
    </row>
    <row r="239" spans="1:2" x14ac:dyDescent="0.2">
      <c r="A239" s="4"/>
      <c r="B239" s="4"/>
    </row>
    <row r="240" spans="1:2" x14ac:dyDescent="0.2">
      <c r="A240" s="4"/>
      <c r="B240" s="4"/>
    </row>
    <row r="241" spans="1:2" x14ac:dyDescent="0.2">
      <c r="A241" s="4"/>
      <c r="B241" s="4"/>
    </row>
    <row r="242" spans="1:2" x14ac:dyDescent="0.2">
      <c r="A242" s="4"/>
      <c r="B242" s="4"/>
    </row>
    <row r="243" spans="1:2" x14ac:dyDescent="0.2">
      <c r="A243" s="4"/>
      <c r="B243" s="4"/>
    </row>
    <row r="244" spans="1:2" x14ac:dyDescent="0.2">
      <c r="A244" s="4"/>
      <c r="B244" s="4"/>
    </row>
    <row r="245" spans="1:2" x14ac:dyDescent="0.2">
      <c r="A245" s="4"/>
      <c r="B245" s="4"/>
    </row>
    <row r="246" spans="1:2" x14ac:dyDescent="0.2">
      <c r="A246" s="4"/>
      <c r="B246" s="4"/>
    </row>
    <row r="247" spans="1:2" x14ac:dyDescent="0.2">
      <c r="A247" s="4"/>
      <c r="B247" s="4"/>
    </row>
    <row r="248" spans="1:2" x14ac:dyDescent="0.2">
      <c r="A248" s="4"/>
      <c r="B248" s="4"/>
    </row>
    <row r="249" spans="1:2" x14ac:dyDescent="0.2">
      <c r="A249" s="4"/>
      <c r="B249" s="4"/>
    </row>
    <row r="250" spans="1:2" x14ac:dyDescent="0.2">
      <c r="A250" s="4"/>
      <c r="B250" s="4"/>
    </row>
    <row r="251" spans="1:2" x14ac:dyDescent="0.2">
      <c r="A251" s="4"/>
      <c r="B251" s="4"/>
    </row>
    <row r="252" spans="1:2" x14ac:dyDescent="0.2">
      <c r="A252" s="4"/>
      <c r="B252" s="4"/>
    </row>
    <row r="253" spans="1:2" x14ac:dyDescent="0.2">
      <c r="A253" s="4"/>
      <c r="B253" s="4"/>
    </row>
    <row r="254" spans="1:2" x14ac:dyDescent="0.2">
      <c r="A254" s="4"/>
      <c r="B254" s="4"/>
    </row>
    <row r="255" spans="1:2" x14ac:dyDescent="0.2">
      <c r="A255" s="4"/>
      <c r="B255" s="4"/>
    </row>
    <row r="256" spans="1:2" x14ac:dyDescent="0.2">
      <c r="A256" s="4"/>
      <c r="B256" s="4"/>
    </row>
    <row r="257" spans="1:2" x14ac:dyDescent="0.2">
      <c r="A257" s="4"/>
      <c r="B257" s="4"/>
    </row>
    <row r="258" spans="1:2" x14ac:dyDescent="0.2">
      <c r="A258" s="4"/>
      <c r="B258" s="4"/>
    </row>
    <row r="259" spans="1:2" x14ac:dyDescent="0.2">
      <c r="A259" s="4"/>
      <c r="B259" s="4"/>
    </row>
    <row r="260" spans="1:2" x14ac:dyDescent="0.2">
      <c r="A260" s="4"/>
      <c r="B260" s="4"/>
    </row>
    <row r="261" spans="1:2" x14ac:dyDescent="0.2">
      <c r="A261" s="4"/>
      <c r="B261" s="4"/>
    </row>
    <row r="262" spans="1:2" x14ac:dyDescent="0.2">
      <c r="A262" s="4"/>
      <c r="B262" s="4"/>
    </row>
    <row r="263" spans="1:2" x14ac:dyDescent="0.2">
      <c r="A263" s="4"/>
      <c r="B263" s="4"/>
    </row>
    <row r="264" spans="1:2" x14ac:dyDescent="0.2">
      <c r="A264" s="4"/>
      <c r="B264" s="4"/>
    </row>
    <row r="265" spans="1:2" x14ac:dyDescent="0.2">
      <c r="A265" s="4"/>
      <c r="B265" s="4"/>
    </row>
    <row r="266" spans="1:2" x14ac:dyDescent="0.2">
      <c r="A266" s="4"/>
      <c r="B266" s="4"/>
    </row>
    <row r="267" spans="1:2" x14ac:dyDescent="0.2">
      <c r="A267" s="4"/>
      <c r="B267" s="4"/>
    </row>
    <row r="268" spans="1:2" x14ac:dyDescent="0.2">
      <c r="A268" s="4"/>
      <c r="B268" s="4"/>
    </row>
    <row r="269" spans="1:2" x14ac:dyDescent="0.2">
      <c r="A269" s="4"/>
      <c r="B269" s="4"/>
    </row>
    <row r="270" spans="1:2" x14ac:dyDescent="0.2">
      <c r="A270" s="4"/>
      <c r="B270" s="4"/>
    </row>
    <row r="271" spans="1:2" x14ac:dyDescent="0.2">
      <c r="A271" s="4"/>
      <c r="B271" s="4"/>
    </row>
    <row r="272" spans="1:2" x14ac:dyDescent="0.2">
      <c r="A272" s="4"/>
      <c r="B272" s="4"/>
    </row>
    <row r="273" spans="1:2" x14ac:dyDescent="0.2">
      <c r="A273" s="4"/>
      <c r="B273" s="4"/>
    </row>
    <row r="274" spans="1:2" x14ac:dyDescent="0.2">
      <c r="A274" s="4"/>
      <c r="B274" s="4"/>
    </row>
    <row r="275" spans="1:2" x14ac:dyDescent="0.2">
      <c r="A275" s="4"/>
      <c r="B275" s="4"/>
    </row>
    <row r="276" spans="1:2" x14ac:dyDescent="0.2">
      <c r="A276" s="4"/>
      <c r="B276" s="4"/>
    </row>
    <row r="277" spans="1:2" x14ac:dyDescent="0.2">
      <c r="A277" s="4"/>
      <c r="B277" s="4"/>
    </row>
    <row r="278" spans="1:2" x14ac:dyDescent="0.2">
      <c r="A278" s="4"/>
      <c r="B278" s="4"/>
    </row>
    <row r="279" spans="1:2" x14ac:dyDescent="0.2">
      <c r="A279" s="4"/>
      <c r="B279" s="4"/>
    </row>
    <row r="280" spans="1:2" x14ac:dyDescent="0.2">
      <c r="A280" s="4"/>
      <c r="B280" s="4"/>
    </row>
    <row r="281" spans="1:2" x14ac:dyDescent="0.2">
      <c r="A281" s="4"/>
      <c r="B281" s="4"/>
    </row>
    <row r="282" spans="1:2" x14ac:dyDescent="0.2">
      <c r="A282" s="4"/>
      <c r="B282" s="4"/>
    </row>
    <row r="283" spans="1:2" x14ac:dyDescent="0.2">
      <c r="A283" s="4"/>
      <c r="B283" s="4"/>
    </row>
    <row r="284" spans="1:2" x14ac:dyDescent="0.2">
      <c r="A284" s="4"/>
      <c r="B284" s="4"/>
    </row>
    <row r="285" spans="1:2" x14ac:dyDescent="0.2">
      <c r="A285" s="4"/>
      <c r="B285" s="4"/>
    </row>
    <row r="286" spans="1:2" x14ac:dyDescent="0.2">
      <c r="A286" s="4"/>
      <c r="B286" s="4"/>
    </row>
    <row r="287" spans="1:2" x14ac:dyDescent="0.2">
      <c r="A287" s="4"/>
      <c r="B287" s="4"/>
    </row>
    <row r="288" spans="1:2" x14ac:dyDescent="0.2">
      <c r="A288" s="4"/>
      <c r="B288" s="4"/>
    </row>
    <row r="289" spans="1:2" x14ac:dyDescent="0.2">
      <c r="A289" s="4"/>
      <c r="B289" s="4"/>
    </row>
    <row r="290" spans="1:2" x14ac:dyDescent="0.2">
      <c r="A290" s="4"/>
      <c r="B290" s="4"/>
    </row>
    <row r="291" spans="1:2" x14ac:dyDescent="0.2">
      <c r="A291" s="4"/>
      <c r="B291" s="4"/>
    </row>
    <row r="292" spans="1:2" x14ac:dyDescent="0.2">
      <c r="A292" s="4"/>
      <c r="B292" s="4"/>
    </row>
    <row r="293" spans="1:2" x14ac:dyDescent="0.2">
      <c r="A293" s="4"/>
      <c r="B293" s="4"/>
    </row>
    <row r="294" spans="1:2" x14ac:dyDescent="0.2">
      <c r="A294" s="4"/>
      <c r="B294" s="4"/>
    </row>
    <row r="295" spans="1:2" x14ac:dyDescent="0.2">
      <c r="A295" s="4"/>
      <c r="B295" s="4"/>
    </row>
    <row r="296" spans="1:2" x14ac:dyDescent="0.2">
      <c r="A296" s="4"/>
      <c r="B296" s="4"/>
    </row>
    <row r="297" spans="1:2" x14ac:dyDescent="0.2">
      <c r="A297" s="4"/>
      <c r="B297" s="4"/>
    </row>
    <row r="298" spans="1:2" x14ac:dyDescent="0.2">
      <c r="A298" s="4"/>
      <c r="B298" s="4"/>
    </row>
    <row r="299" spans="1:2" x14ac:dyDescent="0.2">
      <c r="A299" s="4"/>
      <c r="B299" s="4"/>
    </row>
    <row r="300" spans="1:2" x14ac:dyDescent="0.2">
      <c r="A300" s="4"/>
      <c r="B300" s="4"/>
    </row>
    <row r="301" spans="1:2" x14ac:dyDescent="0.2">
      <c r="A301" s="4"/>
      <c r="B301" s="4"/>
    </row>
    <row r="302" spans="1:2" x14ac:dyDescent="0.2">
      <c r="A302" s="4"/>
      <c r="B302" s="4"/>
    </row>
    <row r="303" spans="1:2" x14ac:dyDescent="0.2">
      <c r="A303" s="4"/>
      <c r="B303" s="4"/>
    </row>
    <row r="304" spans="1:2" x14ac:dyDescent="0.2">
      <c r="A304" s="4"/>
      <c r="B304" s="4"/>
    </row>
    <row r="305" spans="1:2" x14ac:dyDescent="0.2">
      <c r="A305" s="4"/>
      <c r="B305" s="4"/>
    </row>
    <row r="306" spans="1:2" x14ac:dyDescent="0.2">
      <c r="A306" s="4"/>
      <c r="B306" s="4"/>
    </row>
    <row r="307" spans="1:2" x14ac:dyDescent="0.2">
      <c r="A307" s="4"/>
      <c r="B307" s="4"/>
    </row>
    <row r="308" spans="1:2" x14ac:dyDescent="0.2">
      <c r="A308" s="4"/>
      <c r="B308" s="4"/>
    </row>
    <row r="309" spans="1:2" x14ac:dyDescent="0.2">
      <c r="A309" s="4"/>
      <c r="B309" s="4"/>
    </row>
    <row r="310" spans="1:2" x14ac:dyDescent="0.2">
      <c r="A310" s="4"/>
      <c r="B310" s="4"/>
    </row>
    <row r="311" spans="1:2" x14ac:dyDescent="0.2">
      <c r="A311" s="4"/>
      <c r="B311" s="4"/>
    </row>
    <row r="312" spans="1:2" x14ac:dyDescent="0.2">
      <c r="A312" s="4"/>
      <c r="B312" s="4"/>
    </row>
    <row r="313" spans="1:2" x14ac:dyDescent="0.2">
      <c r="A313" s="4"/>
      <c r="B313" s="4"/>
    </row>
    <row r="314" spans="1:2" x14ac:dyDescent="0.2">
      <c r="A314" s="4"/>
      <c r="B314" s="4"/>
    </row>
    <row r="315" spans="1:2" x14ac:dyDescent="0.2">
      <c r="A315" s="4"/>
      <c r="B315" s="4"/>
    </row>
    <row r="316" spans="1:2" x14ac:dyDescent="0.2">
      <c r="A316" s="4"/>
      <c r="B316" s="4"/>
    </row>
    <row r="317" spans="1:2" x14ac:dyDescent="0.2">
      <c r="A317" s="4"/>
      <c r="B317" s="4"/>
    </row>
    <row r="318" spans="1:2" x14ac:dyDescent="0.2">
      <c r="A318" s="4"/>
      <c r="B318" s="4"/>
    </row>
    <row r="319" spans="1:2" x14ac:dyDescent="0.2">
      <c r="A319" s="4"/>
      <c r="B319" s="4"/>
    </row>
    <row r="320" spans="1:2" x14ac:dyDescent="0.2">
      <c r="A320" s="4"/>
      <c r="B320" s="4"/>
    </row>
    <row r="321" spans="1:2" x14ac:dyDescent="0.2">
      <c r="A321" s="4"/>
      <c r="B321" s="4"/>
    </row>
    <row r="322" spans="1:2" x14ac:dyDescent="0.2">
      <c r="A322" s="4"/>
      <c r="B322" s="4"/>
    </row>
    <row r="323" spans="1:2" x14ac:dyDescent="0.2">
      <c r="A323" s="4"/>
      <c r="B323" s="4"/>
    </row>
    <row r="324" spans="1:2" x14ac:dyDescent="0.2">
      <c r="A324" s="4"/>
      <c r="B324" s="4"/>
    </row>
    <row r="325" spans="1:2" x14ac:dyDescent="0.2">
      <c r="A325" s="4"/>
      <c r="B325" s="4"/>
    </row>
    <row r="326" spans="1:2" x14ac:dyDescent="0.2">
      <c r="A326" s="4"/>
      <c r="B326" s="4"/>
    </row>
    <row r="327" spans="1:2" x14ac:dyDescent="0.2">
      <c r="A327" s="4"/>
      <c r="B327" s="4"/>
    </row>
    <row r="328" spans="1:2" x14ac:dyDescent="0.2">
      <c r="A328" s="4"/>
      <c r="B328" s="4"/>
    </row>
    <row r="329" spans="1:2" x14ac:dyDescent="0.2">
      <c r="A329" s="4"/>
      <c r="B329" s="4"/>
    </row>
    <row r="330" spans="1:2" x14ac:dyDescent="0.2">
      <c r="A330" s="4"/>
      <c r="B330" s="4"/>
    </row>
    <row r="331" spans="1:2" x14ac:dyDescent="0.2">
      <c r="A331" s="4"/>
      <c r="B331" s="4"/>
    </row>
    <row r="332" spans="1:2" x14ac:dyDescent="0.2">
      <c r="A332" s="4"/>
      <c r="B332" s="4"/>
    </row>
    <row r="333" spans="1:2" x14ac:dyDescent="0.2">
      <c r="A333" s="4"/>
      <c r="B333" s="4"/>
    </row>
    <row r="334" spans="1:2" x14ac:dyDescent="0.2">
      <c r="A334" s="4"/>
      <c r="B334" s="4"/>
    </row>
    <row r="335" spans="1:2" x14ac:dyDescent="0.2">
      <c r="A335" s="4"/>
      <c r="B335" s="4"/>
    </row>
    <row r="336" spans="1:2" x14ac:dyDescent="0.2">
      <c r="A336" s="4"/>
      <c r="B336" s="4"/>
    </row>
    <row r="337" spans="1:2" x14ac:dyDescent="0.2">
      <c r="A337" s="4"/>
      <c r="B337" s="4"/>
    </row>
    <row r="338" spans="1:2" x14ac:dyDescent="0.2">
      <c r="A338" s="4"/>
      <c r="B338" s="4"/>
    </row>
    <row r="339" spans="1:2" x14ac:dyDescent="0.2">
      <c r="A339" s="4"/>
      <c r="B339" s="4"/>
    </row>
    <row r="340" spans="1:2" x14ac:dyDescent="0.2">
      <c r="A340" s="4"/>
      <c r="B340" s="4"/>
    </row>
    <row r="341" spans="1:2" x14ac:dyDescent="0.2">
      <c r="A341" s="4"/>
      <c r="B341" s="4"/>
    </row>
    <row r="342" spans="1:2" x14ac:dyDescent="0.2">
      <c r="A342" s="4"/>
      <c r="B342" s="4"/>
    </row>
    <row r="343" spans="1:2" x14ac:dyDescent="0.2">
      <c r="A343" s="4"/>
      <c r="B343" s="4"/>
    </row>
    <row r="344" spans="1:2" x14ac:dyDescent="0.2">
      <c r="A344" s="4"/>
      <c r="B344" s="4"/>
    </row>
    <row r="345" spans="1:2" x14ac:dyDescent="0.2">
      <c r="A345" s="4"/>
      <c r="B345" s="4"/>
    </row>
    <row r="346" spans="1:2" x14ac:dyDescent="0.2">
      <c r="A346" s="4"/>
      <c r="B346" s="4"/>
    </row>
    <row r="347" spans="1:2" x14ac:dyDescent="0.2">
      <c r="A347" s="4"/>
      <c r="B347" s="4"/>
    </row>
    <row r="348" spans="1:2" x14ac:dyDescent="0.2">
      <c r="A348" s="4"/>
      <c r="B348" s="4"/>
    </row>
    <row r="349" spans="1:2" x14ac:dyDescent="0.2">
      <c r="A349" s="4"/>
      <c r="B349" s="4"/>
    </row>
    <row r="350" spans="1:2" x14ac:dyDescent="0.2">
      <c r="A350" s="4"/>
      <c r="B350" s="4"/>
    </row>
    <row r="351" spans="1:2" x14ac:dyDescent="0.2">
      <c r="A351" s="4"/>
      <c r="B351" s="4"/>
    </row>
    <row r="352" spans="1:2" x14ac:dyDescent="0.2">
      <c r="A352" s="4"/>
      <c r="B352" s="4"/>
    </row>
    <row r="353" spans="1:2" x14ac:dyDescent="0.2">
      <c r="A353" s="4"/>
      <c r="B353" s="4"/>
    </row>
    <row r="354" spans="1:2" x14ac:dyDescent="0.2">
      <c r="A354" s="4"/>
      <c r="B354" s="4"/>
    </row>
    <row r="355" spans="1:2" x14ac:dyDescent="0.2">
      <c r="A355" s="4"/>
      <c r="B355" s="4"/>
    </row>
    <row r="356" spans="1:2" x14ac:dyDescent="0.2">
      <c r="A356" s="4"/>
      <c r="B356" s="4"/>
    </row>
    <row r="357" spans="1:2" x14ac:dyDescent="0.2">
      <c r="A357" s="4"/>
      <c r="B357" s="4"/>
    </row>
    <row r="358" spans="1:2" x14ac:dyDescent="0.2">
      <c r="A358" s="4"/>
      <c r="B358" s="4"/>
    </row>
    <row r="359" spans="1:2" x14ac:dyDescent="0.2">
      <c r="A359" s="4"/>
      <c r="B359" s="4"/>
    </row>
    <row r="360" spans="1:2" x14ac:dyDescent="0.2">
      <c r="A360" s="4"/>
      <c r="B360" s="4"/>
    </row>
    <row r="361" spans="1:2" x14ac:dyDescent="0.2">
      <c r="A361" s="4"/>
      <c r="B361" s="4"/>
    </row>
    <row r="362" spans="1:2" x14ac:dyDescent="0.2">
      <c r="A362" s="4"/>
      <c r="B362" s="4"/>
    </row>
    <row r="363" spans="1:2" x14ac:dyDescent="0.2">
      <c r="A363" s="4"/>
      <c r="B363" s="4"/>
    </row>
    <row r="364" spans="1:2" x14ac:dyDescent="0.2">
      <c r="A364" s="4"/>
      <c r="B364" s="4"/>
    </row>
    <row r="365" spans="1:2" x14ac:dyDescent="0.2">
      <c r="A365" s="4"/>
      <c r="B365" s="4"/>
    </row>
    <row r="366" spans="1:2" x14ac:dyDescent="0.2">
      <c r="A366" s="4"/>
      <c r="B366" s="4"/>
    </row>
    <row r="367" spans="1:2" x14ac:dyDescent="0.2">
      <c r="A367" s="4"/>
      <c r="B367" s="4"/>
    </row>
    <row r="368" spans="1:2" x14ac:dyDescent="0.2">
      <c r="A368" s="4"/>
      <c r="B368" s="4"/>
    </row>
    <row r="369" spans="1:2" x14ac:dyDescent="0.2">
      <c r="A369" s="4"/>
      <c r="B369" s="4"/>
    </row>
    <row r="370" spans="1:2" x14ac:dyDescent="0.2">
      <c r="A370" s="4"/>
      <c r="B370" s="4"/>
    </row>
    <row r="371" spans="1:2" x14ac:dyDescent="0.2">
      <c r="A371" s="4"/>
      <c r="B371" s="4"/>
    </row>
    <row r="372" spans="1:2" x14ac:dyDescent="0.2">
      <c r="A372" s="4"/>
      <c r="B372" s="4"/>
    </row>
    <row r="373" spans="1:2" x14ac:dyDescent="0.2">
      <c r="A373" s="4"/>
      <c r="B373" s="4"/>
    </row>
    <row r="374" spans="1:2" x14ac:dyDescent="0.2">
      <c r="A374" s="4"/>
      <c r="B374" s="4"/>
    </row>
    <row r="375" spans="1:2" x14ac:dyDescent="0.2">
      <c r="A375" s="4"/>
      <c r="B375" s="4"/>
    </row>
    <row r="376" spans="1:2" x14ac:dyDescent="0.2">
      <c r="A376" s="4"/>
      <c r="B376" s="4"/>
    </row>
    <row r="377" spans="1:2" x14ac:dyDescent="0.2">
      <c r="A377" s="4"/>
      <c r="B377" s="4"/>
    </row>
    <row r="378" spans="1:2" x14ac:dyDescent="0.2">
      <c r="A378" s="4"/>
      <c r="B378" s="4"/>
    </row>
    <row r="379" spans="1:2" x14ac:dyDescent="0.2">
      <c r="A379" s="4"/>
      <c r="B379" s="4"/>
    </row>
    <row r="380" spans="1:2" x14ac:dyDescent="0.2">
      <c r="A380" s="4"/>
      <c r="B380" s="4"/>
    </row>
    <row r="381" spans="1:2" x14ac:dyDescent="0.2">
      <c r="A381" s="4"/>
      <c r="B381" s="4"/>
    </row>
    <row r="382" spans="1:2" x14ac:dyDescent="0.2">
      <c r="A382" s="4"/>
      <c r="B382" s="4"/>
    </row>
    <row r="383" spans="1:2" x14ac:dyDescent="0.2">
      <c r="A383" s="4"/>
      <c r="B383" s="4"/>
    </row>
    <row r="384" spans="1:2" x14ac:dyDescent="0.2">
      <c r="A384" s="4"/>
      <c r="B384" s="4"/>
    </row>
    <row r="385" spans="1:2" x14ac:dyDescent="0.2">
      <c r="A385" s="4"/>
      <c r="B385" s="4"/>
    </row>
    <row r="386" spans="1:2" x14ac:dyDescent="0.2">
      <c r="A386" s="4"/>
      <c r="B386" s="4"/>
    </row>
    <row r="387" spans="1:2" x14ac:dyDescent="0.2">
      <c r="A387" s="4"/>
      <c r="B387" s="4"/>
    </row>
    <row r="388" spans="1:2" x14ac:dyDescent="0.2">
      <c r="A388" s="4"/>
      <c r="B388" s="4"/>
    </row>
    <row r="389" spans="1:2" x14ac:dyDescent="0.2">
      <c r="A389" s="4"/>
      <c r="B389" s="4"/>
    </row>
    <row r="390" spans="1:2" x14ac:dyDescent="0.2">
      <c r="A390" s="4"/>
      <c r="B390" s="4"/>
    </row>
    <row r="391" spans="1:2" x14ac:dyDescent="0.2">
      <c r="A391" s="4"/>
      <c r="B391" s="4"/>
    </row>
    <row r="392" spans="1:2" x14ac:dyDescent="0.2">
      <c r="A392" s="4"/>
      <c r="B392" s="4"/>
    </row>
    <row r="393" spans="1:2" x14ac:dyDescent="0.2">
      <c r="A393" s="4"/>
      <c r="B393" s="4"/>
    </row>
    <row r="394" spans="1:2" x14ac:dyDescent="0.2">
      <c r="A394" s="4"/>
      <c r="B394" s="4"/>
    </row>
    <row r="395" spans="1:2" x14ac:dyDescent="0.2">
      <c r="A395" s="4"/>
      <c r="B395" s="4"/>
    </row>
    <row r="396" spans="1:2" x14ac:dyDescent="0.2">
      <c r="A396" s="4"/>
      <c r="B396" s="4"/>
    </row>
    <row r="397" spans="1:2" x14ac:dyDescent="0.2">
      <c r="A397" s="4"/>
      <c r="B397" s="4"/>
    </row>
    <row r="398" spans="1:2" x14ac:dyDescent="0.2">
      <c r="A398" s="4"/>
      <c r="B398" s="4"/>
    </row>
    <row r="399" spans="1:2" x14ac:dyDescent="0.2">
      <c r="A399" s="4"/>
      <c r="B399" s="4"/>
    </row>
    <row r="400" spans="1:2" x14ac:dyDescent="0.2">
      <c r="A400" s="4"/>
      <c r="B400" s="4"/>
    </row>
    <row r="401" spans="1:2" x14ac:dyDescent="0.2">
      <c r="A401" s="4"/>
      <c r="B401" s="4"/>
    </row>
    <row r="402" spans="1:2" x14ac:dyDescent="0.2">
      <c r="A402" s="4"/>
      <c r="B402" s="4"/>
    </row>
    <row r="403" spans="1:2" x14ac:dyDescent="0.2">
      <c r="A403" s="4"/>
      <c r="B403" s="4"/>
    </row>
    <row r="404" spans="1:2" x14ac:dyDescent="0.2">
      <c r="A404" s="4"/>
      <c r="B404" s="4"/>
    </row>
    <row r="405" spans="1:2" x14ac:dyDescent="0.2">
      <c r="A405" s="4"/>
      <c r="B405" s="4"/>
    </row>
    <row r="406" spans="1:2" x14ac:dyDescent="0.2">
      <c r="A406" s="4"/>
      <c r="B406" s="4"/>
    </row>
    <row r="407" spans="1:2" x14ac:dyDescent="0.2">
      <c r="A407" s="4"/>
      <c r="B407" s="4"/>
    </row>
    <row r="408" spans="1:2" x14ac:dyDescent="0.2">
      <c r="A408" s="4"/>
      <c r="B408" s="4"/>
    </row>
    <row r="409" spans="1:2" x14ac:dyDescent="0.2">
      <c r="A409" s="4"/>
      <c r="B409" s="4"/>
    </row>
    <row r="410" spans="1:2" x14ac:dyDescent="0.2">
      <c r="A410" s="4"/>
      <c r="B410" s="4"/>
    </row>
    <row r="411" spans="1:2" x14ac:dyDescent="0.2">
      <c r="A411" s="4"/>
      <c r="B411" s="4"/>
    </row>
    <row r="412" spans="1:2" x14ac:dyDescent="0.2">
      <c r="A412" s="4"/>
      <c r="B412" s="4"/>
    </row>
    <row r="413" spans="1:2" x14ac:dyDescent="0.2">
      <c r="A413" s="4"/>
      <c r="B413" s="4"/>
    </row>
    <row r="414" spans="1:2" x14ac:dyDescent="0.2">
      <c r="A414" s="4"/>
      <c r="B414" s="4"/>
    </row>
    <row r="415" spans="1:2" x14ac:dyDescent="0.2">
      <c r="A415" s="4"/>
      <c r="B415" s="4"/>
    </row>
    <row r="416" spans="1:2" x14ac:dyDescent="0.2">
      <c r="A416" s="4"/>
      <c r="B416" s="4"/>
    </row>
    <row r="417" spans="1:2" x14ac:dyDescent="0.2">
      <c r="A417" s="4"/>
      <c r="B417" s="4"/>
    </row>
    <row r="418" spans="1:2" x14ac:dyDescent="0.2">
      <c r="A418" s="4"/>
      <c r="B418" s="4"/>
    </row>
    <row r="419" spans="1:2" x14ac:dyDescent="0.2">
      <c r="A419" s="4"/>
      <c r="B419" s="4"/>
    </row>
    <row r="420" spans="1:2" x14ac:dyDescent="0.2">
      <c r="A420" s="4"/>
      <c r="B420" s="4"/>
    </row>
    <row r="421" spans="1:2" x14ac:dyDescent="0.2">
      <c r="A421" s="4"/>
      <c r="B421" s="4"/>
    </row>
    <row r="422" spans="1:2" x14ac:dyDescent="0.2">
      <c r="A422" s="4"/>
      <c r="B422" s="4"/>
    </row>
    <row r="423" spans="1:2" x14ac:dyDescent="0.2">
      <c r="A423" s="4"/>
      <c r="B423" s="4"/>
    </row>
    <row r="424" spans="1:2" x14ac:dyDescent="0.2">
      <c r="A424" s="4"/>
      <c r="B424" s="4"/>
    </row>
    <row r="425" spans="1:2" x14ac:dyDescent="0.2">
      <c r="A425" s="4"/>
      <c r="B425" s="4"/>
    </row>
    <row r="426" spans="1:2" x14ac:dyDescent="0.2">
      <c r="A426" s="4"/>
      <c r="B426" s="4"/>
    </row>
    <row r="427" spans="1:2" x14ac:dyDescent="0.2">
      <c r="A427" s="4"/>
      <c r="B427" s="4"/>
    </row>
    <row r="428" spans="1:2" x14ac:dyDescent="0.2">
      <c r="A428" s="4"/>
      <c r="B428" s="4"/>
    </row>
    <row r="429" spans="1:2" x14ac:dyDescent="0.2">
      <c r="A429" s="4"/>
      <c r="B429" s="4"/>
    </row>
    <row r="430" spans="1:2" x14ac:dyDescent="0.2">
      <c r="A430" s="4"/>
      <c r="B430" s="4"/>
    </row>
    <row r="431" spans="1:2" x14ac:dyDescent="0.2">
      <c r="A431" s="4"/>
      <c r="B431" s="4"/>
    </row>
    <row r="432" spans="1:2" x14ac:dyDescent="0.2">
      <c r="A432" s="4"/>
      <c r="B432" s="4"/>
    </row>
    <row r="433" spans="1:2" x14ac:dyDescent="0.2">
      <c r="A433" s="4"/>
      <c r="B433" s="4"/>
    </row>
    <row r="434" spans="1:2" x14ac:dyDescent="0.2">
      <c r="A434" s="4"/>
      <c r="B434" s="4"/>
    </row>
    <row r="435" spans="1:2" x14ac:dyDescent="0.2">
      <c r="A435" s="4"/>
      <c r="B435" s="4"/>
    </row>
    <row r="436" spans="1:2" x14ac:dyDescent="0.2">
      <c r="A436" s="4"/>
      <c r="B436" s="4"/>
    </row>
    <row r="437" spans="1:2" x14ac:dyDescent="0.2">
      <c r="A437" s="4"/>
      <c r="B437" s="4"/>
    </row>
    <row r="438" spans="1:2" x14ac:dyDescent="0.2">
      <c r="A438" s="4"/>
      <c r="B438" s="4"/>
    </row>
    <row r="439" spans="1:2" x14ac:dyDescent="0.2">
      <c r="A439" s="4"/>
      <c r="B439" s="4"/>
    </row>
    <row r="440" spans="1:2" x14ac:dyDescent="0.2">
      <c r="A440" s="4"/>
      <c r="B440" s="4"/>
    </row>
    <row r="441" spans="1:2" x14ac:dyDescent="0.2">
      <c r="A441" s="4"/>
      <c r="B441" s="4"/>
    </row>
    <row r="442" spans="1:2" x14ac:dyDescent="0.2">
      <c r="A442" s="4"/>
      <c r="B442" s="4"/>
    </row>
    <row r="443" spans="1:2" x14ac:dyDescent="0.2">
      <c r="A443" s="4"/>
      <c r="B443" s="4"/>
    </row>
    <row r="444" spans="1:2" x14ac:dyDescent="0.2">
      <c r="A444" s="4"/>
      <c r="B444" s="4"/>
    </row>
    <row r="445" spans="1:2" x14ac:dyDescent="0.2">
      <c r="A445" s="4"/>
      <c r="B445" s="4"/>
    </row>
    <row r="446" spans="1:2" x14ac:dyDescent="0.2">
      <c r="A446" s="4"/>
      <c r="B446" s="4"/>
    </row>
    <row r="447" spans="1:2" x14ac:dyDescent="0.2">
      <c r="A447" s="4"/>
      <c r="B447" s="4"/>
    </row>
    <row r="448" spans="1:2" x14ac:dyDescent="0.2">
      <c r="A448" s="4"/>
      <c r="B448" s="4"/>
    </row>
    <row r="449" spans="1:2" x14ac:dyDescent="0.2">
      <c r="A449" s="4"/>
      <c r="B449" s="4"/>
    </row>
    <row r="450" spans="1:2" x14ac:dyDescent="0.2">
      <c r="A450" s="4"/>
      <c r="B450" s="4"/>
    </row>
    <row r="451" spans="1:2" x14ac:dyDescent="0.2">
      <c r="A451" s="4"/>
      <c r="B451" s="4"/>
    </row>
    <row r="452" spans="1:2" x14ac:dyDescent="0.2">
      <c r="A452" s="4"/>
      <c r="B452" s="4"/>
    </row>
    <row r="453" spans="1:2" x14ac:dyDescent="0.2">
      <c r="A453" s="4"/>
      <c r="B453" s="4"/>
    </row>
    <row r="454" spans="1:2" x14ac:dyDescent="0.2">
      <c r="A454" s="4"/>
      <c r="B454" s="4"/>
    </row>
    <row r="455" spans="1:2" x14ac:dyDescent="0.2">
      <c r="A455" s="4"/>
      <c r="B455" s="4"/>
    </row>
    <row r="456" spans="1:2" x14ac:dyDescent="0.2">
      <c r="A456" s="4"/>
      <c r="B456" s="4"/>
    </row>
    <row r="457" spans="1:2" x14ac:dyDescent="0.2">
      <c r="A457" s="4"/>
      <c r="B457" s="4"/>
    </row>
    <row r="458" spans="1:2" x14ac:dyDescent="0.2">
      <c r="A458" s="4"/>
      <c r="B458" s="4"/>
    </row>
    <row r="459" spans="1:2" x14ac:dyDescent="0.2">
      <c r="A459" s="4"/>
      <c r="B459" s="4"/>
    </row>
    <row r="460" spans="1:2" x14ac:dyDescent="0.2">
      <c r="A460" s="4"/>
      <c r="B460" s="4"/>
    </row>
    <row r="461" spans="1:2" x14ac:dyDescent="0.2">
      <c r="A461" s="4"/>
      <c r="B461" s="4"/>
    </row>
    <row r="462" spans="1:2" x14ac:dyDescent="0.2">
      <c r="A462" s="4"/>
      <c r="B462" s="4"/>
    </row>
    <row r="463" spans="1:2" x14ac:dyDescent="0.2">
      <c r="A463" s="4"/>
      <c r="B463" s="4"/>
    </row>
    <row r="464" spans="1:2" x14ac:dyDescent="0.2">
      <c r="A464" s="4"/>
      <c r="B464" s="4"/>
    </row>
    <row r="465" spans="1:2" x14ac:dyDescent="0.2">
      <c r="A465" s="4"/>
      <c r="B465" s="4"/>
    </row>
    <row r="466" spans="1:2" x14ac:dyDescent="0.2">
      <c r="A466" s="4"/>
      <c r="B466" s="4"/>
    </row>
    <row r="467" spans="1:2" x14ac:dyDescent="0.2">
      <c r="A467" s="4"/>
      <c r="B467" s="4"/>
    </row>
    <row r="468" spans="1:2" x14ac:dyDescent="0.2">
      <c r="A468" s="4"/>
      <c r="B468" s="4"/>
    </row>
    <row r="469" spans="1:2" x14ac:dyDescent="0.2">
      <c r="A469" s="4"/>
      <c r="B469" s="4"/>
    </row>
    <row r="470" spans="1:2" x14ac:dyDescent="0.2">
      <c r="A470" s="4"/>
      <c r="B470" s="4"/>
    </row>
    <row r="471" spans="1:2" x14ac:dyDescent="0.2">
      <c r="A471" s="4"/>
      <c r="B471" s="4"/>
    </row>
    <row r="472" spans="1:2" x14ac:dyDescent="0.2">
      <c r="A472" s="4"/>
      <c r="B472" s="4"/>
    </row>
    <row r="473" spans="1:2" x14ac:dyDescent="0.2">
      <c r="A473" s="4"/>
      <c r="B473" s="4"/>
    </row>
    <row r="474" spans="1:2" x14ac:dyDescent="0.2">
      <c r="A474" s="4"/>
      <c r="B474" s="4"/>
    </row>
    <row r="475" spans="1:2" x14ac:dyDescent="0.2">
      <c r="A475" s="4"/>
      <c r="B475" s="4"/>
    </row>
    <row r="476" spans="1:2" x14ac:dyDescent="0.2">
      <c r="A476" s="4"/>
      <c r="B476" s="4"/>
    </row>
    <row r="477" spans="1:2" x14ac:dyDescent="0.2">
      <c r="A477" s="4"/>
      <c r="B477" s="4"/>
    </row>
    <row r="478" spans="1:2" x14ac:dyDescent="0.2">
      <c r="A478" s="4"/>
      <c r="B478" s="4"/>
    </row>
    <row r="479" spans="1:2" x14ac:dyDescent="0.2">
      <c r="A479" s="4"/>
      <c r="B479" s="4"/>
    </row>
    <row r="480" spans="1:2" x14ac:dyDescent="0.2">
      <c r="A480" s="4"/>
      <c r="B480" s="4"/>
    </row>
    <row r="481" spans="1:2" x14ac:dyDescent="0.2">
      <c r="A481" s="4"/>
      <c r="B481" s="4"/>
    </row>
    <row r="482" spans="1:2" x14ac:dyDescent="0.2">
      <c r="A482" s="4"/>
      <c r="B482" s="4"/>
    </row>
    <row r="483" spans="1:2" x14ac:dyDescent="0.2">
      <c r="A483" s="4"/>
      <c r="B483" s="4"/>
    </row>
    <row r="484" spans="1:2" x14ac:dyDescent="0.2">
      <c r="A484" s="4"/>
      <c r="B484" s="4"/>
    </row>
    <row r="485" spans="1:2" x14ac:dyDescent="0.2">
      <c r="A485" s="4"/>
      <c r="B485" s="4"/>
    </row>
    <row r="486" spans="1:2" x14ac:dyDescent="0.2">
      <c r="A486" s="4"/>
      <c r="B486" s="4"/>
    </row>
    <row r="487" spans="1:2" x14ac:dyDescent="0.2">
      <c r="A487" s="4"/>
      <c r="B487" s="4"/>
    </row>
    <row r="488" spans="1:2" x14ac:dyDescent="0.2">
      <c r="A488" s="4"/>
      <c r="B488" s="4"/>
    </row>
    <row r="489" spans="1:2" x14ac:dyDescent="0.2">
      <c r="A489" s="4"/>
      <c r="B489" s="4"/>
    </row>
    <row r="490" spans="1:2" x14ac:dyDescent="0.2">
      <c r="A490" s="4"/>
      <c r="B490" s="4"/>
    </row>
    <row r="491" spans="1:2" x14ac:dyDescent="0.2">
      <c r="A491" s="4"/>
      <c r="B491" s="4"/>
    </row>
    <row r="492" spans="1:2" x14ac:dyDescent="0.2">
      <c r="A492" s="4"/>
      <c r="B492" s="4"/>
    </row>
    <row r="493" spans="1:2" x14ac:dyDescent="0.2">
      <c r="A493" s="4"/>
      <c r="B493" s="4"/>
    </row>
    <row r="494" spans="1:2" x14ac:dyDescent="0.2">
      <c r="A494" s="4"/>
      <c r="B494" s="4"/>
    </row>
    <row r="495" spans="1:2" x14ac:dyDescent="0.2">
      <c r="A495" s="4"/>
      <c r="B495" s="4"/>
    </row>
    <row r="496" spans="1:2" x14ac:dyDescent="0.2">
      <c r="A496" s="4"/>
      <c r="B496" s="4"/>
    </row>
    <row r="497" spans="1:2" x14ac:dyDescent="0.2">
      <c r="A497" s="4"/>
      <c r="B497" s="4"/>
    </row>
    <row r="498" spans="1:2" x14ac:dyDescent="0.2">
      <c r="A498" s="4"/>
      <c r="B498" s="4"/>
    </row>
    <row r="499" spans="1:2" x14ac:dyDescent="0.2">
      <c r="A499" s="4"/>
      <c r="B499" s="4"/>
    </row>
    <row r="500" spans="1:2" x14ac:dyDescent="0.2">
      <c r="A500" s="4"/>
      <c r="B500" s="4"/>
    </row>
    <row r="501" spans="1:2" x14ac:dyDescent="0.2">
      <c r="A501" s="4"/>
      <c r="B501" s="4"/>
    </row>
    <row r="502" spans="1:2" x14ac:dyDescent="0.2">
      <c r="A502" s="4"/>
      <c r="B502" s="4"/>
    </row>
    <row r="503" spans="1:2" x14ac:dyDescent="0.2">
      <c r="A503" s="4"/>
      <c r="B503" s="4"/>
    </row>
    <row r="504" spans="1:2" x14ac:dyDescent="0.2">
      <c r="A504" s="4"/>
      <c r="B504" s="4"/>
    </row>
    <row r="505" spans="1:2" x14ac:dyDescent="0.2">
      <c r="A505" s="4"/>
      <c r="B505" s="4"/>
    </row>
    <row r="506" spans="1:2" x14ac:dyDescent="0.2">
      <c r="A506" s="4"/>
      <c r="B506" s="4"/>
    </row>
    <row r="507" spans="1:2" x14ac:dyDescent="0.2">
      <c r="A507" s="4"/>
      <c r="B507" s="4"/>
    </row>
    <row r="508" spans="1:2" x14ac:dyDescent="0.2">
      <c r="A508" s="4"/>
      <c r="B508" s="4"/>
    </row>
    <row r="509" spans="1:2" x14ac:dyDescent="0.2">
      <c r="A509" s="4"/>
      <c r="B509" s="4"/>
    </row>
    <row r="510" spans="1:2" x14ac:dyDescent="0.2">
      <c r="A510" s="4"/>
      <c r="B510" s="4"/>
    </row>
    <row r="511" spans="1:2" x14ac:dyDescent="0.2">
      <c r="A511" s="4"/>
      <c r="B511" s="4"/>
    </row>
    <row r="512" spans="1:2" x14ac:dyDescent="0.2">
      <c r="A512" s="4"/>
      <c r="B512" s="4"/>
    </row>
    <row r="513" spans="1:2" x14ac:dyDescent="0.2">
      <c r="A513" s="4"/>
      <c r="B513" s="4"/>
    </row>
    <row r="514" spans="1:2" x14ac:dyDescent="0.2">
      <c r="A514" s="4"/>
      <c r="B514" s="4"/>
    </row>
    <row r="515" spans="1:2" x14ac:dyDescent="0.2">
      <c r="A515" s="4"/>
      <c r="B515" s="4"/>
    </row>
    <row r="516" spans="1:2" x14ac:dyDescent="0.2">
      <c r="A516" s="4"/>
      <c r="B516" s="4"/>
    </row>
    <row r="517" spans="1:2" x14ac:dyDescent="0.2">
      <c r="A517" s="4"/>
      <c r="B517" s="4"/>
    </row>
    <row r="518" spans="1:2" x14ac:dyDescent="0.2">
      <c r="A518" s="4"/>
      <c r="B518" s="4"/>
    </row>
    <row r="519" spans="1:2" x14ac:dyDescent="0.2">
      <c r="A519" s="4"/>
      <c r="B519" s="4"/>
    </row>
    <row r="520" spans="1:2" x14ac:dyDescent="0.2">
      <c r="A520" s="4"/>
      <c r="B520" s="4"/>
    </row>
    <row r="521" spans="1:2" x14ac:dyDescent="0.2">
      <c r="A521" s="4"/>
      <c r="B521" s="4"/>
    </row>
    <row r="522" spans="1:2" x14ac:dyDescent="0.2">
      <c r="A522" s="4"/>
      <c r="B522" s="4"/>
    </row>
    <row r="523" spans="1:2" x14ac:dyDescent="0.2">
      <c r="A523" s="4"/>
      <c r="B523" s="4"/>
    </row>
    <row r="524" spans="1:2" x14ac:dyDescent="0.2">
      <c r="A524" s="4"/>
      <c r="B524" s="4"/>
    </row>
    <row r="525" spans="1:2" x14ac:dyDescent="0.2">
      <c r="A525" s="4"/>
      <c r="B525" s="4"/>
    </row>
    <row r="526" spans="1:2" x14ac:dyDescent="0.2">
      <c r="A526" s="4"/>
      <c r="B526" s="4"/>
    </row>
    <row r="527" spans="1:2" x14ac:dyDescent="0.2">
      <c r="A527" s="4"/>
      <c r="B527" s="4"/>
    </row>
    <row r="528" spans="1:2" x14ac:dyDescent="0.2">
      <c r="A528" s="4"/>
      <c r="B528" s="4"/>
    </row>
    <row r="529" spans="1:2" x14ac:dyDescent="0.2">
      <c r="A529" s="4"/>
      <c r="B529" s="4"/>
    </row>
    <row r="530" spans="1:2" x14ac:dyDescent="0.2">
      <c r="A530" s="4"/>
      <c r="B530" s="4"/>
    </row>
    <row r="531" spans="1:2" x14ac:dyDescent="0.2">
      <c r="A531" s="4"/>
      <c r="B531" s="4"/>
    </row>
    <row r="532" spans="1:2" x14ac:dyDescent="0.2">
      <c r="A532" s="4"/>
      <c r="B532" s="4"/>
    </row>
    <row r="533" spans="1:2" x14ac:dyDescent="0.2">
      <c r="A533" s="4"/>
      <c r="B533" s="4"/>
    </row>
    <row r="534" spans="1:2" x14ac:dyDescent="0.2">
      <c r="A534" s="4"/>
      <c r="B534" s="4"/>
    </row>
    <row r="535" spans="1:2" x14ac:dyDescent="0.2">
      <c r="A535" s="4"/>
      <c r="B535" s="4"/>
    </row>
    <row r="536" spans="1:2" x14ac:dyDescent="0.2">
      <c r="A536" s="4"/>
      <c r="B536" s="4"/>
    </row>
    <row r="537" spans="1:2" x14ac:dyDescent="0.2">
      <c r="A537" s="4"/>
      <c r="B537" s="4"/>
    </row>
    <row r="538" spans="1:2" x14ac:dyDescent="0.2">
      <c r="A538" s="4"/>
      <c r="B538" s="4"/>
    </row>
    <row r="539" spans="1:2" x14ac:dyDescent="0.2">
      <c r="A539" s="4"/>
      <c r="B539" s="4"/>
    </row>
    <row r="540" spans="1:2" x14ac:dyDescent="0.2">
      <c r="A540" s="4"/>
      <c r="B540" s="4"/>
    </row>
    <row r="541" spans="1:2" x14ac:dyDescent="0.2">
      <c r="A541" s="4"/>
      <c r="B541" s="4"/>
    </row>
    <row r="542" spans="1:2" x14ac:dyDescent="0.2">
      <c r="A542" s="4"/>
      <c r="B542" s="4"/>
    </row>
    <row r="543" spans="1:2" x14ac:dyDescent="0.2">
      <c r="A543" s="4"/>
      <c r="B543" s="4"/>
    </row>
    <row r="544" spans="1:2" x14ac:dyDescent="0.2">
      <c r="A544" s="4"/>
      <c r="B544" s="4"/>
    </row>
    <row r="545" spans="1:2" x14ac:dyDescent="0.2">
      <c r="A545" s="4"/>
      <c r="B545" s="4"/>
    </row>
    <row r="546" spans="1:2" x14ac:dyDescent="0.2">
      <c r="A546" s="4"/>
      <c r="B546" s="4"/>
    </row>
    <row r="547" spans="1:2" x14ac:dyDescent="0.2">
      <c r="A547" s="4"/>
      <c r="B547" s="4"/>
    </row>
    <row r="548" spans="1:2" x14ac:dyDescent="0.2">
      <c r="A548" s="4"/>
      <c r="B548" s="4"/>
    </row>
    <row r="549" spans="1:2" x14ac:dyDescent="0.2">
      <c r="A549" s="4"/>
      <c r="B549" s="4"/>
    </row>
    <row r="550" spans="1:2" x14ac:dyDescent="0.2">
      <c r="A550" s="4"/>
      <c r="B550" s="4"/>
    </row>
    <row r="551" spans="1:2" x14ac:dyDescent="0.2">
      <c r="A551" s="4"/>
      <c r="B551" s="4"/>
    </row>
    <row r="552" spans="1:2" x14ac:dyDescent="0.2">
      <c r="A552" s="4"/>
      <c r="B552" s="4"/>
    </row>
    <row r="553" spans="1:2" x14ac:dyDescent="0.2">
      <c r="A553" s="4"/>
      <c r="B553" s="4"/>
    </row>
    <row r="554" spans="1:2" x14ac:dyDescent="0.2">
      <c r="A554" s="4"/>
      <c r="B554" s="4"/>
    </row>
    <row r="555" spans="1:2" x14ac:dyDescent="0.2">
      <c r="A555" s="4"/>
      <c r="B555" s="4"/>
    </row>
    <row r="556" spans="1:2" x14ac:dyDescent="0.2">
      <c r="A556" s="4"/>
      <c r="B556" s="4"/>
    </row>
    <row r="557" spans="1:2" x14ac:dyDescent="0.2">
      <c r="A557" s="4"/>
      <c r="B557" s="4"/>
    </row>
    <row r="558" spans="1:2" x14ac:dyDescent="0.2">
      <c r="A558" s="4"/>
      <c r="B558" s="4"/>
    </row>
    <row r="559" spans="1:2" x14ac:dyDescent="0.2">
      <c r="A559" s="4"/>
      <c r="B559" s="4"/>
    </row>
    <row r="560" spans="1:2" x14ac:dyDescent="0.2">
      <c r="A560" s="4"/>
      <c r="B560" s="4"/>
    </row>
    <row r="561" spans="1:2" x14ac:dyDescent="0.2">
      <c r="A561" s="4"/>
      <c r="B561" s="4"/>
    </row>
    <row r="562" spans="1:2" x14ac:dyDescent="0.2">
      <c r="A562" s="4"/>
      <c r="B562" s="4"/>
    </row>
    <row r="563" spans="1:2" x14ac:dyDescent="0.2">
      <c r="A563" s="4"/>
      <c r="B563" s="4"/>
    </row>
    <row r="564" spans="1:2" x14ac:dyDescent="0.2">
      <c r="A564" s="4"/>
      <c r="B564" s="4"/>
    </row>
    <row r="565" spans="1:2" x14ac:dyDescent="0.2">
      <c r="A565" s="4"/>
      <c r="B565" s="4"/>
    </row>
    <row r="566" spans="1:2" x14ac:dyDescent="0.2">
      <c r="A566" s="4"/>
      <c r="B566" s="4"/>
    </row>
    <row r="567" spans="1:2" x14ac:dyDescent="0.2">
      <c r="A567" s="4"/>
      <c r="B567" s="4"/>
    </row>
    <row r="568" spans="1:2" x14ac:dyDescent="0.2">
      <c r="A568" s="4"/>
      <c r="B568" s="4"/>
    </row>
    <row r="569" spans="1:2" x14ac:dyDescent="0.2">
      <c r="A569" s="4"/>
      <c r="B569" s="4"/>
    </row>
    <row r="570" spans="1:2" x14ac:dyDescent="0.2">
      <c r="A570" s="4"/>
      <c r="B570" s="4"/>
    </row>
    <row r="571" spans="1:2" x14ac:dyDescent="0.2">
      <c r="A571" s="4"/>
      <c r="B571" s="4"/>
    </row>
    <row r="572" spans="1:2" x14ac:dyDescent="0.2">
      <c r="A572" s="4"/>
      <c r="B572" s="4"/>
    </row>
    <row r="573" spans="1:2" x14ac:dyDescent="0.2">
      <c r="A573" s="4"/>
      <c r="B573" s="4"/>
    </row>
    <row r="574" spans="1:2" x14ac:dyDescent="0.2">
      <c r="A574" s="4"/>
      <c r="B574" s="4"/>
    </row>
    <row r="575" spans="1:2" x14ac:dyDescent="0.2">
      <c r="A575" s="4"/>
      <c r="B575" s="4"/>
    </row>
    <row r="576" spans="1:2" x14ac:dyDescent="0.2">
      <c r="A576" s="4"/>
      <c r="B576" s="4"/>
    </row>
    <row r="577" spans="1:2" x14ac:dyDescent="0.2">
      <c r="A577" s="4"/>
      <c r="B577" s="4"/>
    </row>
    <row r="578" spans="1:2" x14ac:dyDescent="0.2">
      <c r="A578" s="4"/>
      <c r="B578" s="4"/>
    </row>
    <row r="579" spans="1:2" x14ac:dyDescent="0.2">
      <c r="A579" s="4"/>
      <c r="B579" s="4"/>
    </row>
    <row r="580" spans="1:2" x14ac:dyDescent="0.2">
      <c r="A580" s="4"/>
      <c r="B580" s="4"/>
    </row>
    <row r="581" spans="1:2" x14ac:dyDescent="0.2">
      <c r="A581" s="4"/>
      <c r="B581" s="4"/>
    </row>
    <row r="582" spans="1:2" x14ac:dyDescent="0.2">
      <c r="A582" s="4"/>
      <c r="B582" s="4"/>
    </row>
    <row r="583" spans="1:2" x14ac:dyDescent="0.2">
      <c r="A583" s="4"/>
      <c r="B583" s="4"/>
    </row>
    <row r="584" spans="1:2" x14ac:dyDescent="0.2">
      <c r="A584" s="4"/>
      <c r="B584" s="4"/>
    </row>
    <row r="585" spans="1:2" x14ac:dyDescent="0.2">
      <c r="A585" s="4"/>
      <c r="B585" s="4"/>
    </row>
    <row r="586" spans="1:2" x14ac:dyDescent="0.2">
      <c r="A586" s="4"/>
      <c r="B586" s="4"/>
    </row>
    <row r="587" spans="1:2" x14ac:dyDescent="0.2">
      <c r="A587" s="4"/>
      <c r="B587" s="4"/>
    </row>
    <row r="588" spans="1:2" x14ac:dyDescent="0.2">
      <c r="A588" s="4"/>
      <c r="B588" s="4"/>
    </row>
    <row r="589" spans="1:2" x14ac:dyDescent="0.2">
      <c r="A589" s="4"/>
      <c r="B589" s="4"/>
    </row>
    <row r="590" spans="1:2" x14ac:dyDescent="0.2">
      <c r="A590" s="4"/>
      <c r="B590" s="4"/>
    </row>
    <row r="591" spans="1:2" x14ac:dyDescent="0.2">
      <c r="A591" s="4"/>
      <c r="B591" s="4"/>
    </row>
    <row r="592" spans="1:2" x14ac:dyDescent="0.2">
      <c r="A592" s="4"/>
      <c r="B592" s="4"/>
    </row>
    <row r="593" spans="1:2" x14ac:dyDescent="0.2">
      <c r="A593" s="4"/>
      <c r="B593" s="4"/>
    </row>
    <row r="594" spans="1:2" x14ac:dyDescent="0.2">
      <c r="A594" s="4"/>
      <c r="B594" s="4"/>
    </row>
    <row r="595" spans="1:2" x14ac:dyDescent="0.2">
      <c r="A595" s="4"/>
      <c r="B595" s="4"/>
    </row>
    <row r="596" spans="1:2" x14ac:dyDescent="0.2">
      <c r="A596" s="4"/>
      <c r="B596" s="4"/>
    </row>
    <row r="597" spans="1:2" x14ac:dyDescent="0.2">
      <c r="A597" s="4"/>
      <c r="B597" s="4"/>
    </row>
    <row r="598" spans="1:2" x14ac:dyDescent="0.2">
      <c r="A598" s="4"/>
      <c r="B598" s="4"/>
    </row>
    <row r="599" spans="1:2" x14ac:dyDescent="0.2">
      <c r="A599" s="4"/>
      <c r="B599" s="4"/>
    </row>
    <row r="600" spans="1:2" x14ac:dyDescent="0.2">
      <c r="A600" s="4"/>
      <c r="B600" s="4"/>
    </row>
    <row r="601" spans="1:2" x14ac:dyDescent="0.2">
      <c r="A601" s="4"/>
      <c r="B601" s="4"/>
    </row>
    <row r="602" spans="1:2" x14ac:dyDescent="0.2">
      <c r="A602" s="4"/>
      <c r="B602" s="4"/>
    </row>
    <row r="603" spans="1:2" x14ac:dyDescent="0.2">
      <c r="A603" s="4"/>
      <c r="B603" s="4"/>
    </row>
    <row r="604" spans="1:2" x14ac:dyDescent="0.2">
      <c r="A604" s="4"/>
      <c r="B604" s="4"/>
    </row>
    <row r="605" spans="1:2" x14ac:dyDescent="0.2">
      <c r="A605" s="4"/>
      <c r="B605" s="4"/>
    </row>
    <row r="606" spans="1:2" x14ac:dyDescent="0.2">
      <c r="A606" s="4"/>
      <c r="B606" s="4"/>
    </row>
    <row r="607" spans="1:2" x14ac:dyDescent="0.2">
      <c r="A607" s="4"/>
      <c r="B607" s="4"/>
    </row>
    <row r="608" spans="1:2" x14ac:dyDescent="0.2">
      <c r="A608" s="4"/>
      <c r="B608" s="4"/>
    </row>
    <row r="609" spans="1:2" x14ac:dyDescent="0.2">
      <c r="A609" s="4"/>
      <c r="B609" s="4"/>
    </row>
    <row r="610" spans="1:2" x14ac:dyDescent="0.2">
      <c r="A610" s="4"/>
      <c r="B610" s="4"/>
    </row>
    <row r="611" spans="1:2" x14ac:dyDescent="0.2">
      <c r="A611" s="4"/>
      <c r="B611" s="4"/>
    </row>
    <row r="612" spans="1:2" x14ac:dyDescent="0.2">
      <c r="A612" s="4"/>
      <c r="B612" s="4"/>
    </row>
    <row r="613" spans="1:2" x14ac:dyDescent="0.2">
      <c r="A613" s="4"/>
      <c r="B613" s="4"/>
    </row>
    <row r="614" spans="1:2" x14ac:dyDescent="0.2">
      <c r="A614" s="4"/>
      <c r="B614" s="4"/>
    </row>
    <row r="615" spans="1:2" x14ac:dyDescent="0.2">
      <c r="A615" s="4"/>
      <c r="B615" s="4"/>
    </row>
    <row r="616" spans="1:2" x14ac:dyDescent="0.2">
      <c r="A616" s="4"/>
      <c r="B616" s="4"/>
    </row>
    <row r="617" spans="1:2" x14ac:dyDescent="0.2">
      <c r="A617" s="4"/>
      <c r="B617" s="4"/>
    </row>
    <row r="618" spans="1:2" x14ac:dyDescent="0.2">
      <c r="A618" s="4"/>
      <c r="B618" s="4"/>
    </row>
    <row r="619" spans="1:2" x14ac:dyDescent="0.2">
      <c r="A619" s="4"/>
      <c r="B619" s="4"/>
    </row>
    <row r="620" spans="1:2" x14ac:dyDescent="0.2">
      <c r="A620" s="4"/>
      <c r="B620" s="4"/>
    </row>
    <row r="621" spans="1:2" x14ac:dyDescent="0.2">
      <c r="A621" s="4"/>
      <c r="B621" s="4"/>
    </row>
    <row r="622" spans="1:2" x14ac:dyDescent="0.2">
      <c r="A622" s="4"/>
      <c r="B622" s="4"/>
    </row>
    <row r="623" spans="1:2" x14ac:dyDescent="0.2">
      <c r="A623" s="4"/>
      <c r="B623" s="4"/>
    </row>
    <row r="624" spans="1:2" x14ac:dyDescent="0.2">
      <c r="A624" s="4"/>
      <c r="B624" s="4"/>
    </row>
    <row r="625" spans="1:2" x14ac:dyDescent="0.2">
      <c r="A625" s="4"/>
      <c r="B625" s="4"/>
    </row>
    <row r="626" spans="1:2" x14ac:dyDescent="0.2">
      <c r="A626" s="4"/>
      <c r="B626" s="4"/>
    </row>
    <row r="627" spans="1:2" x14ac:dyDescent="0.2">
      <c r="A627" s="4"/>
      <c r="B627" s="4"/>
    </row>
    <row r="628" spans="1:2" x14ac:dyDescent="0.2">
      <c r="A628" s="4"/>
      <c r="B628" s="4"/>
    </row>
    <row r="629" spans="1:2" x14ac:dyDescent="0.2">
      <c r="A629" s="4"/>
      <c r="B629" s="4"/>
    </row>
    <row r="630" spans="1:2" x14ac:dyDescent="0.2">
      <c r="A630" s="4"/>
      <c r="B630" s="4"/>
    </row>
    <row r="631" spans="1:2" x14ac:dyDescent="0.2">
      <c r="A631" s="4"/>
      <c r="B631" s="4"/>
    </row>
    <row r="632" spans="1:2" x14ac:dyDescent="0.2">
      <c r="A632" s="4"/>
      <c r="B632" s="4"/>
    </row>
    <row r="633" spans="1:2" x14ac:dyDescent="0.2">
      <c r="A633" s="4"/>
      <c r="B633" s="4"/>
    </row>
    <row r="634" spans="1:2" x14ac:dyDescent="0.2">
      <c r="A634" s="4"/>
      <c r="B634" s="4"/>
    </row>
    <row r="635" spans="1:2" x14ac:dyDescent="0.2">
      <c r="A635" s="4"/>
      <c r="B635" s="4"/>
    </row>
    <row r="636" spans="1:2" x14ac:dyDescent="0.2">
      <c r="A636" s="4"/>
      <c r="B636" s="4"/>
    </row>
    <row r="637" spans="1:2" x14ac:dyDescent="0.2">
      <c r="A637" s="4"/>
      <c r="B637" s="4"/>
    </row>
    <row r="638" spans="1:2" x14ac:dyDescent="0.2">
      <c r="A638" s="4"/>
      <c r="B638" s="4"/>
    </row>
    <row r="639" spans="1:2" x14ac:dyDescent="0.2">
      <c r="A639" s="4"/>
      <c r="B639" s="4"/>
    </row>
    <row r="640" spans="1:2" x14ac:dyDescent="0.2">
      <c r="A640" s="4"/>
      <c r="B640" s="4"/>
    </row>
    <row r="641" spans="1:2" x14ac:dyDescent="0.2">
      <c r="A641" s="4"/>
      <c r="B641" s="4"/>
    </row>
    <row r="642" spans="1:2" x14ac:dyDescent="0.2">
      <c r="A642" s="4"/>
      <c r="B642" s="4"/>
    </row>
    <row r="643" spans="1:2" x14ac:dyDescent="0.2">
      <c r="A643" s="4"/>
      <c r="B643" s="4"/>
    </row>
    <row r="644" spans="1:2" x14ac:dyDescent="0.2">
      <c r="A644" s="4"/>
      <c r="B644" s="4"/>
    </row>
    <row r="645" spans="1:2" x14ac:dyDescent="0.2">
      <c r="A645" s="4"/>
      <c r="B645" s="4"/>
    </row>
    <row r="646" spans="1:2" x14ac:dyDescent="0.2">
      <c r="A646" s="4"/>
      <c r="B646" s="4"/>
    </row>
    <row r="647" spans="1:2" x14ac:dyDescent="0.2">
      <c r="A647" s="4"/>
      <c r="B647" s="4"/>
    </row>
    <row r="648" spans="1:2" x14ac:dyDescent="0.2">
      <c r="A648" s="4"/>
      <c r="B648" s="4"/>
    </row>
    <row r="649" spans="1:2" x14ac:dyDescent="0.2">
      <c r="A649" s="4"/>
      <c r="B649" s="4"/>
    </row>
    <row r="650" spans="1:2" x14ac:dyDescent="0.2">
      <c r="A650" s="4"/>
      <c r="B650" s="4"/>
    </row>
    <row r="651" spans="1:2" x14ac:dyDescent="0.2">
      <c r="A651" s="4"/>
      <c r="B651" s="4"/>
    </row>
    <row r="652" spans="1:2" x14ac:dyDescent="0.2">
      <c r="A652" s="4"/>
      <c r="B652" s="4"/>
    </row>
    <row r="653" spans="1:2" x14ac:dyDescent="0.2">
      <c r="A653" s="4"/>
      <c r="B653" s="4"/>
    </row>
    <row r="654" spans="1:2" x14ac:dyDescent="0.2">
      <c r="A654" s="4"/>
      <c r="B654" s="4"/>
    </row>
    <row r="655" spans="1:2" x14ac:dyDescent="0.2">
      <c r="A655" s="4"/>
      <c r="B655" s="4"/>
    </row>
    <row r="656" spans="1:2" x14ac:dyDescent="0.2">
      <c r="A656" s="4"/>
      <c r="B656" s="4"/>
    </row>
    <row r="657" spans="1:2" x14ac:dyDescent="0.2">
      <c r="A657" s="4"/>
      <c r="B657" s="4"/>
    </row>
    <row r="658" spans="1:2" x14ac:dyDescent="0.2">
      <c r="A658" s="4"/>
      <c r="B658" s="4"/>
    </row>
    <row r="659" spans="1:2" x14ac:dyDescent="0.2">
      <c r="A659" s="4"/>
      <c r="B659" s="4"/>
    </row>
    <row r="660" spans="1:2" x14ac:dyDescent="0.2">
      <c r="A660" s="4"/>
      <c r="B660" s="4"/>
    </row>
    <row r="661" spans="1:2" x14ac:dyDescent="0.2">
      <c r="A661" s="4"/>
      <c r="B661" s="4"/>
    </row>
    <row r="662" spans="1:2" x14ac:dyDescent="0.2">
      <c r="A662" s="4"/>
      <c r="B662" s="4"/>
    </row>
    <row r="663" spans="1:2" x14ac:dyDescent="0.2">
      <c r="A663" s="4"/>
      <c r="B663" s="4"/>
    </row>
    <row r="664" spans="1:2" x14ac:dyDescent="0.2">
      <c r="A664" s="4"/>
      <c r="B664" s="4"/>
    </row>
    <row r="665" spans="1:2" x14ac:dyDescent="0.2">
      <c r="A665" s="4"/>
      <c r="B665" s="4"/>
    </row>
    <row r="666" spans="1:2" x14ac:dyDescent="0.2">
      <c r="A666" s="4"/>
      <c r="B666" s="4"/>
    </row>
    <row r="667" spans="1:2" x14ac:dyDescent="0.2">
      <c r="A667" s="4"/>
      <c r="B667" s="4"/>
    </row>
    <row r="668" spans="1:2" x14ac:dyDescent="0.2">
      <c r="A668" s="4"/>
      <c r="B668" s="4"/>
    </row>
    <row r="669" spans="1:2" x14ac:dyDescent="0.2">
      <c r="A669" s="4"/>
      <c r="B669" s="4"/>
    </row>
    <row r="670" spans="1:2" x14ac:dyDescent="0.2">
      <c r="A670" s="4"/>
      <c r="B670" s="4"/>
    </row>
    <row r="671" spans="1:2" x14ac:dyDescent="0.2">
      <c r="A671" s="4"/>
      <c r="B671" s="4"/>
    </row>
    <row r="672" spans="1:2" x14ac:dyDescent="0.2">
      <c r="A672" s="4"/>
      <c r="B672" s="4"/>
    </row>
    <row r="673" spans="1:2" x14ac:dyDescent="0.2">
      <c r="A673" s="4"/>
      <c r="B673" s="4"/>
    </row>
    <row r="674" spans="1:2" x14ac:dyDescent="0.2">
      <c r="A674" s="4"/>
      <c r="B674" s="4"/>
    </row>
    <row r="675" spans="1:2" x14ac:dyDescent="0.2">
      <c r="A675" s="4"/>
      <c r="B675" s="4"/>
    </row>
    <row r="676" spans="1:2" x14ac:dyDescent="0.2">
      <c r="A676" s="4"/>
      <c r="B676" s="4"/>
    </row>
    <row r="677" spans="1:2" x14ac:dyDescent="0.2">
      <c r="A677" s="4"/>
      <c r="B677" s="4"/>
    </row>
    <row r="678" spans="1:2" x14ac:dyDescent="0.2">
      <c r="A678" s="4"/>
      <c r="B678" s="4"/>
    </row>
    <row r="679" spans="1:2" x14ac:dyDescent="0.2">
      <c r="A679" s="4"/>
      <c r="B679" s="4"/>
    </row>
    <row r="680" spans="1:2" x14ac:dyDescent="0.2">
      <c r="A680" s="4"/>
      <c r="B680" s="4"/>
    </row>
    <row r="681" spans="1:2" x14ac:dyDescent="0.2">
      <c r="A681" s="4"/>
      <c r="B681" s="4"/>
    </row>
    <row r="682" spans="1:2" x14ac:dyDescent="0.2">
      <c r="A682" s="4"/>
      <c r="B682" s="4"/>
    </row>
    <row r="683" spans="1:2" x14ac:dyDescent="0.2">
      <c r="A683" s="4"/>
      <c r="B683" s="4"/>
    </row>
    <row r="684" spans="1:2" x14ac:dyDescent="0.2">
      <c r="A684" s="4"/>
      <c r="B684" s="4"/>
    </row>
    <row r="685" spans="1:2" x14ac:dyDescent="0.2">
      <c r="A685" s="4"/>
      <c r="B685" s="4"/>
    </row>
    <row r="686" spans="1:2" x14ac:dyDescent="0.2">
      <c r="A686" s="4"/>
      <c r="B686" s="4"/>
    </row>
    <row r="687" spans="1:2" x14ac:dyDescent="0.2">
      <c r="A687" s="4"/>
      <c r="B687" s="4"/>
    </row>
    <row r="688" spans="1:2" x14ac:dyDescent="0.2">
      <c r="A688" s="4"/>
      <c r="B688" s="4"/>
    </row>
    <row r="689" spans="1:2" x14ac:dyDescent="0.2">
      <c r="A689" s="4"/>
      <c r="B689" s="4"/>
    </row>
    <row r="690" spans="1:2" x14ac:dyDescent="0.2">
      <c r="A690" s="4"/>
      <c r="B690" s="4"/>
    </row>
    <row r="691" spans="1:2" x14ac:dyDescent="0.2">
      <c r="A691" s="4"/>
      <c r="B691" s="4"/>
    </row>
    <row r="692" spans="1:2" x14ac:dyDescent="0.2">
      <c r="A692" s="4"/>
      <c r="B692" s="4"/>
    </row>
    <row r="693" spans="1:2" x14ac:dyDescent="0.2">
      <c r="A693" s="4"/>
      <c r="B693" s="4"/>
    </row>
    <row r="694" spans="1:2" x14ac:dyDescent="0.2">
      <c r="A694" s="4"/>
      <c r="B694" s="4"/>
    </row>
    <row r="695" spans="1:2" x14ac:dyDescent="0.2">
      <c r="A695" s="4"/>
      <c r="B695" s="4"/>
    </row>
    <row r="696" spans="1:2" x14ac:dyDescent="0.2">
      <c r="A696" s="4"/>
      <c r="B696" s="4"/>
    </row>
    <row r="697" spans="1:2" x14ac:dyDescent="0.2">
      <c r="A697" s="4"/>
      <c r="B697" s="4"/>
    </row>
    <row r="698" spans="1:2" x14ac:dyDescent="0.2">
      <c r="A698" s="4"/>
      <c r="B698" s="4"/>
    </row>
    <row r="699" spans="1:2" x14ac:dyDescent="0.2">
      <c r="A699" s="4"/>
      <c r="B699" s="4"/>
    </row>
    <row r="700" spans="1:2" x14ac:dyDescent="0.2">
      <c r="A700" s="4"/>
      <c r="B700" s="4"/>
    </row>
    <row r="701" spans="1:2" x14ac:dyDescent="0.2">
      <c r="A701" s="4"/>
      <c r="B701" s="4"/>
    </row>
    <row r="702" spans="1:2" x14ac:dyDescent="0.2">
      <c r="A702" s="4"/>
      <c r="B702" s="4"/>
    </row>
    <row r="703" spans="1:2" x14ac:dyDescent="0.2">
      <c r="A703" s="4"/>
      <c r="B703" s="4"/>
    </row>
    <row r="704" spans="1:2" x14ac:dyDescent="0.2">
      <c r="A704" s="4"/>
      <c r="B704" s="4"/>
    </row>
    <row r="705" spans="1:2" x14ac:dyDescent="0.2">
      <c r="A705" s="4"/>
      <c r="B705" s="4"/>
    </row>
    <row r="706" spans="1:2" x14ac:dyDescent="0.2">
      <c r="A706" s="4"/>
      <c r="B706" s="4"/>
    </row>
    <row r="707" spans="1:2" x14ac:dyDescent="0.2">
      <c r="A707" s="4"/>
      <c r="B707" s="4"/>
    </row>
    <row r="708" spans="1:2" x14ac:dyDescent="0.2">
      <c r="A708" s="4"/>
      <c r="B708" s="4"/>
    </row>
    <row r="709" spans="1:2" x14ac:dyDescent="0.2">
      <c r="A709" s="4"/>
      <c r="B709" s="4"/>
    </row>
    <row r="710" spans="1:2" x14ac:dyDescent="0.2">
      <c r="A710" s="4"/>
      <c r="B710" s="4"/>
    </row>
    <row r="711" spans="1:2" x14ac:dyDescent="0.2">
      <c r="A711" s="4"/>
      <c r="B711" s="4"/>
    </row>
    <row r="712" spans="1:2" x14ac:dyDescent="0.2">
      <c r="A712" s="4"/>
      <c r="B712" s="4"/>
    </row>
    <row r="713" spans="1:2" x14ac:dyDescent="0.2">
      <c r="A713" s="4"/>
      <c r="B713" s="4"/>
    </row>
    <row r="714" spans="1:2" x14ac:dyDescent="0.2">
      <c r="A714" s="4"/>
      <c r="B714" s="4"/>
    </row>
    <row r="715" spans="1:2" x14ac:dyDescent="0.2">
      <c r="A715" s="4"/>
      <c r="B715" s="4"/>
    </row>
    <row r="716" spans="1:2" x14ac:dyDescent="0.2">
      <c r="A716" s="4"/>
      <c r="B716" s="4"/>
    </row>
    <row r="717" spans="1:2" x14ac:dyDescent="0.2">
      <c r="A717" s="4"/>
      <c r="B717" s="4"/>
    </row>
    <row r="718" spans="1:2" x14ac:dyDescent="0.2">
      <c r="A718" s="4"/>
      <c r="B718" s="4"/>
    </row>
    <row r="719" spans="1:2" x14ac:dyDescent="0.2">
      <c r="A719" s="4"/>
      <c r="B719" s="4"/>
    </row>
    <row r="720" spans="1:2" x14ac:dyDescent="0.2">
      <c r="A720" s="4"/>
      <c r="B720" s="4"/>
    </row>
    <row r="721" spans="1:2" x14ac:dyDescent="0.2">
      <c r="A721" s="4"/>
      <c r="B721" s="4"/>
    </row>
    <row r="722" spans="1:2" x14ac:dyDescent="0.2">
      <c r="A722" s="4"/>
      <c r="B722" s="4"/>
    </row>
    <row r="723" spans="1:2" x14ac:dyDescent="0.2">
      <c r="A723" s="4"/>
      <c r="B723" s="4"/>
    </row>
    <row r="724" spans="1:2" x14ac:dyDescent="0.2">
      <c r="A724" s="4"/>
      <c r="B724" s="4"/>
    </row>
    <row r="725" spans="1:2" x14ac:dyDescent="0.2">
      <c r="A725" s="4"/>
      <c r="B725" s="4"/>
    </row>
    <row r="726" spans="1:2" x14ac:dyDescent="0.2">
      <c r="A726" s="4"/>
      <c r="B726" s="4"/>
    </row>
    <row r="727" spans="1:2" x14ac:dyDescent="0.2">
      <c r="A727" s="4"/>
      <c r="B727" s="4"/>
    </row>
    <row r="728" spans="1:2" x14ac:dyDescent="0.2">
      <c r="A728" s="4"/>
      <c r="B728" s="4"/>
    </row>
    <row r="729" spans="1:2" x14ac:dyDescent="0.2">
      <c r="A729" s="4"/>
      <c r="B729" s="4"/>
    </row>
    <row r="730" spans="1:2" x14ac:dyDescent="0.2">
      <c r="A730" s="4"/>
      <c r="B730" s="4"/>
    </row>
    <row r="731" spans="1:2" x14ac:dyDescent="0.2">
      <c r="A731" s="4"/>
      <c r="B731" s="4"/>
    </row>
    <row r="732" spans="1:2" x14ac:dyDescent="0.2">
      <c r="A732" s="4"/>
      <c r="B732" s="4"/>
    </row>
    <row r="733" spans="1:2" x14ac:dyDescent="0.2">
      <c r="A733" s="4"/>
      <c r="B733" s="4"/>
    </row>
    <row r="734" spans="1:2" x14ac:dyDescent="0.2">
      <c r="A734" s="4"/>
      <c r="B734" s="4"/>
    </row>
    <row r="735" spans="1:2" x14ac:dyDescent="0.2">
      <c r="A735" s="4"/>
      <c r="B735" s="4"/>
    </row>
    <row r="736" spans="1:2" x14ac:dyDescent="0.2">
      <c r="A736" s="4"/>
      <c r="B736" s="4"/>
    </row>
    <row r="737" spans="1:2" x14ac:dyDescent="0.2">
      <c r="A737" s="4"/>
      <c r="B737" s="4"/>
    </row>
    <row r="738" spans="1:2" x14ac:dyDescent="0.2">
      <c r="A738" s="4"/>
      <c r="B738" s="4"/>
    </row>
    <row r="739" spans="1:2" x14ac:dyDescent="0.2">
      <c r="A739" s="4"/>
      <c r="B739" s="4"/>
    </row>
    <row r="740" spans="1:2" x14ac:dyDescent="0.2">
      <c r="A740" s="4"/>
      <c r="B740" s="4"/>
    </row>
    <row r="741" spans="1:2" x14ac:dyDescent="0.2">
      <c r="A741" s="4"/>
      <c r="B741" s="4"/>
    </row>
    <row r="742" spans="1:2" x14ac:dyDescent="0.2">
      <c r="A742" s="4"/>
      <c r="B742" s="4"/>
    </row>
    <row r="743" spans="1:2" x14ac:dyDescent="0.2">
      <c r="A743" s="4"/>
      <c r="B743" s="4"/>
    </row>
    <row r="744" spans="1:2" x14ac:dyDescent="0.2">
      <c r="A744" s="4"/>
      <c r="B744" s="4"/>
    </row>
    <row r="745" spans="1:2" x14ac:dyDescent="0.2">
      <c r="A745" s="4"/>
      <c r="B745" s="4"/>
    </row>
    <row r="746" spans="1:2" x14ac:dyDescent="0.2">
      <c r="A746" s="4"/>
      <c r="B746" s="4"/>
    </row>
    <row r="747" spans="1:2" x14ac:dyDescent="0.2">
      <c r="A747" s="4"/>
      <c r="B747" s="4"/>
    </row>
    <row r="748" spans="1:2" x14ac:dyDescent="0.2">
      <c r="A748" s="4"/>
      <c r="B748" s="4"/>
    </row>
    <row r="749" spans="1:2" x14ac:dyDescent="0.2">
      <c r="A749" s="4"/>
      <c r="B749" s="4"/>
    </row>
    <row r="750" spans="1:2" x14ac:dyDescent="0.2">
      <c r="A750" s="4"/>
      <c r="B750" s="4"/>
    </row>
    <row r="751" spans="1:2" x14ac:dyDescent="0.2">
      <c r="A751" s="4"/>
      <c r="B751" s="4"/>
    </row>
    <row r="752" spans="1:2" x14ac:dyDescent="0.2">
      <c r="A752" s="4"/>
      <c r="B752" s="4"/>
    </row>
    <row r="753" spans="1:2" x14ac:dyDescent="0.2">
      <c r="A753" s="4"/>
      <c r="B753" s="4"/>
    </row>
    <row r="754" spans="1:2" x14ac:dyDescent="0.2">
      <c r="A754" s="4"/>
      <c r="B754" s="4"/>
    </row>
    <row r="755" spans="1:2" x14ac:dyDescent="0.2">
      <c r="A755" s="4"/>
      <c r="B755" s="4"/>
    </row>
    <row r="756" spans="1:2" x14ac:dyDescent="0.2">
      <c r="A756" s="4"/>
      <c r="B756" s="4"/>
    </row>
    <row r="757" spans="1:2" x14ac:dyDescent="0.2">
      <c r="A757" s="4"/>
      <c r="B757" s="4"/>
    </row>
    <row r="758" spans="1:2" x14ac:dyDescent="0.2">
      <c r="A758" s="4"/>
      <c r="B758" s="4"/>
    </row>
    <row r="759" spans="1:2" x14ac:dyDescent="0.2">
      <c r="A759" s="4"/>
      <c r="B759" s="4"/>
    </row>
    <row r="760" spans="1:2" x14ac:dyDescent="0.2">
      <c r="A760" s="4"/>
      <c r="B760" s="4"/>
    </row>
    <row r="761" spans="1:2" x14ac:dyDescent="0.2">
      <c r="A761" s="4"/>
      <c r="B761" s="4"/>
    </row>
    <row r="762" spans="1:2" x14ac:dyDescent="0.2">
      <c r="A762" s="4"/>
      <c r="B762" s="4"/>
    </row>
    <row r="763" spans="1:2" x14ac:dyDescent="0.2">
      <c r="A763" s="4"/>
      <c r="B763" s="4"/>
    </row>
    <row r="764" spans="1:2" x14ac:dyDescent="0.2">
      <c r="A764" s="4"/>
      <c r="B764" s="4"/>
    </row>
    <row r="765" spans="1:2" x14ac:dyDescent="0.2">
      <c r="A765" s="4"/>
      <c r="B765" s="4"/>
    </row>
    <row r="766" spans="1:2" x14ac:dyDescent="0.2">
      <c r="A766" s="4"/>
      <c r="B766" s="4"/>
    </row>
    <row r="767" spans="1:2" x14ac:dyDescent="0.2">
      <c r="A767" s="4"/>
      <c r="B767" s="4"/>
    </row>
    <row r="768" spans="1:2" x14ac:dyDescent="0.2">
      <c r="A768" s="4"/>
      <c r="B768" s="4"/>
    </row>
    <row r="769" spans="1:2" x14ac:dyDescent="0.2">
      <c r="A769" s="4"/>
      <c r="B769" s="4"/>
    </row>
    <row r="770" spans="1:2" x14ac:dyDescent="0.2">
      <c r="A770" s="4"/>
      <c r="B770" s="4"/>
    </row>
    <row r="771" spans="1:2" x14ac:dyDescent="0.2">
      <c r="A771" s="4"/>
      <c r="B771" s="4"/>
    </row>
    <row r="772" spans="1:2" x14ac:dyDescent="0.2">
      <c r="A772" s="4"/>
      <c r="B772" s="4"/>
    </row>
    <row r="773" spans="1:2" x14ac:dyDescent="0.2">
      <c r="A773" s="4"/>
      <c r="B773" s="4"/>
    </row>
    <row r="774" spans="1:2" x14ac:dyDescent="0.2">
      <c r="A774" s="4"/>
      <c r="B774" s="4"/>
    </row>
    <row r="775" spans="1:2" x14ac:dyDescent="0.2">
      <c r="A775" s="4"/>
      <c r="B775" s="4"/>
    </row>
    <row r="776" spans="1:2" x14ac:dyDescent="0.2">
      <c r="A776" s="4"/>
      <c r="B776" s="4"/>
    </row>
    <row r="777" spans="1:2" x14ac:dyDescent="0.2">
      <c r="A777" s="4"/>
      <c r="B777" s="4"/>
    </row>
    <row r="778" spans="1:2" x14ac:dyDescent="0.2">
      <c r="A778" s="4"/>
      <c r="B778" s="4"/>
    </row>
    <row r="779" spans="1:2" x14ac:dyDescent="0.2">
      <c r="A779" s="4"/>
      <c r="B779" s="4"/>
    </row>
    <row r="780" spans="1:2" x14ac:dyDescent="0.2">
      <c r="A780" s="4"/>
      <c r="B780" s="4"/>
    </row>
    <row r="781" spans="1:2" x14ac:dyDescent="0.2">
      <c r="A781" s="4"/>
      <c r="B781" s="4"/>
    </row>
    <row r="782" spans="1:2" x14ac:dyDescent="0.2">
      <c r="A782" s="4"/>
      <c r="B782" s="4"/>
    </row>
    <row r="783" spans="1:2" x14ac:dyDescent="0.2">
      <c r="A783" s="4"/>
      <c r="B783" s="4"/>
    </row>
    <row r="784" spans="1:2" x14ac:dyDescent="0.2">
      <c r="A784" s="4"/>
      <c r="B784" s="4"/>
    </row>
    <row r="785" spans="1:2" x14ac:dyDescent="0.2">
      <c r="A785" s="4"/>
      <c r="B785" s="4"/>
    </row>
    <row r="786" spans="1:2" x14ac:dyDescent="0.2">
      <c r="A786" s="4"/>
      <c r="B786" s="4"/>
    </row>
    <row r="787" spans="1:2" x14ac:dyDescent="0.2">
      <c r="A787" s="4"/>
      <c r="B787" s="4"/>
    </row>
    <row r="788" spans="1:2" x14ac:dyDescent="0.2">
      <c r="A788" s="4"/>
      <c r="B788" s="4"/>
    </row>
    <row r="789" spans="1:2" x14ac:dyDescent="0.2">
      <c r="A789" s="4"/>
      <c r="B789" s="4"/>
    </row>
    <row r="790" spans="1:2" x14ac:dyDescent="0.2">
      <c r="A790" s="4"/>
      <c r="B790" s="4"/>
    </row>
    <row r="791" spans="1:2" x14ac:dyDescent="0.2">
      <c r="A791" s="4"/>
      <c r="B791" s="4"/>
    </row>
    <row r="792" spans="1:2" x14ac:dyDescent="0.2">
      <c r="A792" s="4"/>
      <c r="B792" s="4"/>
    </row>
    <row r="793" spans="1:2" x14ac:dyDescent="0.2">
      <c r="A793" s="4"/>
      <c r="B793" s="4"/>
    </row>
    <row r="794" spans="1:2" x14ac:dyDescent="0.2">
      <c r="A794" s="4"/>
      <c r="B794" s="4"/>
    </row>
    <row r="795" spans="1:2" x14ac:dyDescent="0.2">
      <c r="A795" s="4"/>
      <c r="B795" s="4"/>
    </row>
    <row r="796" spans="1:2" x14ac:dyDescent="0.2">
      <c r="A796" s="4"/>
      <c r="B796" s="4"/>
    </row>
    <row r="797" spans="1:2" x14ac:dyDescent="0.2">
      <c r="A797" s="4"/>
      <c r="B797" s="4"/>
    </row>
    <row r="798" spans="1:2" x14ac:dyDescent="0.2">
      <c r="A798" s="4"/>
      <c r="B798" s="4"/>
    </row>
    <row r="799" spans="1:2" x14ac:dyDescent="0.2">
      <c r="A799" s="4"/>
      <c r="B799" s="4"/>
    </row>
    <row r="800" spans="1:2" x14ac:dyDescent="0.2">
      <c r="A800" s="4"/>
      <c r="B800" s="4"/>
    </row>
    <row r="801" spans="1:2" x14ac:dyDescent="0.2">
      <c r="A801" s="4"/>
      <c r="B801" s="4"/>
    </row>
    <row r="802" spans="1:2" x14ac:dyDescent="0.2">
      <c r="A802" s="4"/>
      <c r="B802" s="4"/>
    </row>
    <row r="803" spans="1:2" x14ac:dyDescent="0.2">
      <c r="A803" s="4"/>
      <c r="B803" s="4"/>
    </row>
    <row r="804" spans="1:2" x14ac:dyDescent="0.2">
      <c r="A804" s="4"/>
      <c r="B804" s="4"/>
    </row>
    <row r="805" spans="1:2" x14ac:dyDescent="0.2">
      <c r="A805" s="4"/>
      <c r="B805" s="4"/>
    </row>
    <row r="806" spans="1:2" x14ac:dyDescent="0.2">
      <c r="A806" s="4"/>
      <c r="B806" s="4"/>
    </row>
    <row r="807" spans="1:2" x14ac:dyDescent="0.2">
      <c r="A807" s="4"/>
      <c r="B807" s="4"/>
    </row>
    <row r="808" spans="1:2" x14ac:dyDescent="0.2">
      <c r="A808" s="4"/>
      <c r="B808" s="4"/>
    </row>
    <row r="809" spans="1:2" x14ac:dyDescent="0.2">
      <c r="A809" s="4"/>
      <c r="B809" s="4"/>
    </row>
    <row r="810" spans="1:2" x14ac:dyDescent="0.2">
      <c r="A810" s="4"/>
      <c r="B810" s="4"/>
    </row>
    <row r="811" spans="1:2" x14ac:dyDescent="0.2">
      <c r="A811" s="4"/>
      <c r="B811" s="4"/>
    </row>
    <row r="812" spans="1:2" x14ac:dyDescent="0.2">
      <c r="A812" s="4"/>
      <c r="B812" s="4"/>
    </row>
    <row r="813" spans="1:2" x14ac:dyDescent="0.2">
      <c r="A813" s="4"/>
      <c r="B813" s="4"/>
    </row>
    <row r="814" spans="1:2" x14ac:dyDescent="0.2">
      <c r="A814" s="4"/>
      <c r="B814" s="4"/>
    </row>
    <row r="815" spans="1:2" x14ac:dyDescent="0.2">
      <c r="A815" s="4"/>
      <c r="B815" s="4"/>
    </row>
    <row r="816" spans="1:2" x14ac:dyDescent="0.2">
      <c r="A816" s="4"/>
      <c r="B816" s="4"/>
    </row>
    <row r="817" spans="1:2" x14ac:dyDescent="0.2">
      <c r="A817" s="4"/>
      <c r="B817" s="4"/>
    </row>
    <row r="818" spans="1:2" x14ac:dyDescent="0.2">
      <c r="A818" s="4"/>
      <c r="B818" s="4"/>
    </row>
    <row r="819" spans="1:2" x14ac:dyDescent="0.2">
      <c r="A819" s="4"/>
      <c r="B819" s="4"/>
    </row>
    <row r="820" spans="1:2" x14ac:dyDescent="0.2">
      <c r="A820" s="4"/>
      <c r="B820" s="4"/>
    </row>
    <row r="821" spans="1:2" x14ac:dyDescent="0.2">
      <c r="A821" s="4"/>
      <c r="B821" s="4"/>
    </row>
    <row r="822" spans="1:2" x14ac:dyDescent="0.2">
      <c r="A822" s="4"/>
      <c r="B822" s="4"/>
    </row>
    <row r="823" spans="1:2" x14ac:dyDescent="0.2">
      <c r="A823" s="4"/>
      <c r="B823" s="4"/>
    </row>
    <row r="824" spans="1:2" x14ac:dyDescent="0.2">
      <c r="A824" s="4"/>
      <c r="B824" s="4"/>
    </row>
    <row r="825" spans="1:2" x14ac:dyDescent="0.2">
      <c r="A825" s="4"/>
      <c r="B825" s="4"/>
    </row>
    <row r="826" spans="1:2" x14ac:dyDescent="0.2">
      <c r="A826" s="4"/>
      <c r="B826" s="4"/>
    </row>
    <row r="827" spans="1:2" x14ac:dyDescent="0.2">
      <c r="A827" s="4"/>
      <c r="B827" s="4"/>
    </row>
    <row r="828" spans="1:2" x14ac:dyDescent="0.2">
      <c r="A828" s="4"/>
      <c r="B828" s="4"/>
    </row>
    <row r="829" spans="1:2" x14ac:dyDescent="0.2">
      <c r="A829" s="4"/>
      <c r="B829" s="4"/>
    </row>
    <row r="830" spans="1:2" x14ac:dyDescent="0.2">
      <c r="A830" s="4"/>
      <c r="B830" s="4"/>
    </row>
    <row r="831" spans="1:2" x14ac:dyDescent="0.2">
      <c r="A831" s="4"/>
      <c r="B831" s="4"/>
    </row>
    <row r="832" spans="1:2" x14ac:dyDescent="0.2">
      <c r="A832" s="4"/>
      <c r="B832" s="4"/>
    </row>
    <row r="833" spans="1:2" x14ac:dyDescent="0.2">
      <c r="A833" s="4"/>
      <c r="B833" s="4"/>
    </row>
    <row r="834" spans="1:2" x14ac:dyDescent="0.2">
      <c r="A834" s="4"/>
      <c r="B834" s="4"/>
    </row>
    <row r="835" spans="1:2" x14ac:dyDescent="0.2">
      <c r="A835" s="4"/>
      <c r="B835" s="4"/>
    </row>
    <row r="836" spans="1:2" x14ac:dyDescent="0.2">
      <c r="A836" s="4"/>
      <c r="B836" s="4"/>
    </row>
    <row r="837" spans="1:2" x14ac:dyDescent="0.2">
      <c r="A837" s="4"/>
      <c r="B837" s="4"/>
    </row>
    <row r="838" spans="1:2" x14ac:dyDescent="0.2">
      <c r="A838" s="4"/>
      <c r="B838" s="4"/>
    </row>
    <row r="839" spans="1:2" x14ac:dyDescent="0.2">
      <c r="A839" s="4"/>
      <c r="B839" s="4"/>
    </row>
    <row r="840" spans="1:2" x14ac:dyDescent="0.2">
      <c r="A840" s="4"/>
      <c r="B840" s="4"/>
    </row>
    <row r="841" spans="1:2" x14ac:dyDescent="0.2">
      <c r="A841" s="4"/>
      <c r="B841" s="4"/>
    </row>
    <row r="842" spans="1:2" x14ac:dyDescent="0.2">
      <c r="A842" s="4"/>
      <c r="B842" s="4"/>
    </row>
    <row r="843" spans="1:2" x14ac:dyDescent="0.2">
      <c r="A843" s="4"/>
      <c r="B843" s="4"/>
    </row>
    <row r="844" spans="1:2" x14ac:dyDescent="0.2">
      <c r="A844" s="4"/>
      <c r="B844" s="4"/>
    </row>
    <row r="845" spans="1:2" x14ac:dyDescent="0.2">
      <c r="A845" s="4"/>
      <c r="B845" s="4"/>
    </row>
    <row r="846" spans="1:2" x14ac:dyDescent="0.2">
      <c r="A846" s="4"/>
      <c r="B846" s="4"/>
    </row>
    <row r="847" spans="1:2" x14ac:dyDescent="0.2">
      <c r="A847" s="4"/>
      <c r="B847" s="4"/>
    </row>
    <row r="848" spans="1:2" x14ac:dyDescent="0.2">
      <c r="A848" s="4"/>
      <c r="B848" s="4"/>
    </row>
    <row r="849" spans="1:2" x14ac:dyDescent="0.2">
      <c r="A849" s="4"/>
      <c r="B849" s="4"/>
    </row>
    <row r="850" spans="1:2" x14ac:dyDescent="0.2">
      <c r="A850" s="4"/>
      <c r="B850" s="4"/>
    </row>
    <row r="851" spans="1:2" x14ac:dyDescent="0.2">
      <c r="A851" s="4"/>
      <c r="B851" s="4"/>
    </row>
    <row r="852" spans="1:2" x14ac:dyDescent="0.2">
      <c r="A852" s="4"/>
      <c r="B852" s="4"/>
    </row>
    <row r="853" spans="1:2" x14ac:dyDescent="0.2">
      <c r="A853" s="4"/>
      <c r="B853" s="4"/>
    </row>
    <row r="854" spans="1:2" x14ac:dyDescent="0.2">
      <c r="A854" s="4"/>
      <c r="B854" s="4"/>
    </row>
    <row r="855" spans="1:2" x14ac:dyDescent="0.2">
      <c r="A855" s="4"/>
      <c r="B855" s="4"/>
    </row>
    <row r="856" spans="1:2" x14ac:dyDescent="0.2">
      <c r="A856" s="4"/>
      <c r="B856" s="4"/>
    </row>
    <row r="857" spans="1:2" x14ac:dyDescent="0.2">
      <c r="A857" s="4"/>
      <c r="B857" s="4"/>
    </row>
    <row r="858" spans="1:2" x14ac:dyDescent="0.2">
      <c r="A858" s="4"/>
      <c r="B858" s="4"/>
    </row>
    <row r="859" spans="1:2" x14ac:dyDescent="0.2">
      <c r="A859" s="4"/>
      <c r="B859" s="4"/>
    </row>
    <row r="860" spans="1:2" x14ac:dyDescent="0.2">
      <c r="A860" s="4"/>
      <c r="B860" s="4"/>
    </row>
    <row r="861" spans="1:2" x14ac:dyDescent="0.2">
      <c r="A861" s="4"/>
      <c r="B861" s="4"/>
    </row>
    <row r="862" spans="1:2" x14ac:dyDescent="0.2">
      <c r="A862" s="4"/>
      <c r="B862" s="4"/>
    </row>
    <row r="863" spans="1:2" x14ac:dyDescent="0.2">
      <c r="A863" s="4"/>
      <c r="B863" s="4"/>
    </row>
    <row r="864" spans="1:2" x14ac:dyDescent="0.2">
      <c r="A864" s="4"/>
      <c r="B864" s="4"/>
    </row>
    <row r="865" spans="1:2" x14ac:dyDescent="0.2">
      <c r="A865" s="4"/>
      <c r="B865" s="4"/>
    </row>
    <row r="866" spans="1:2" x14ac:dyDescent="0.2">
      <c r="A866" s="4"/>
      <c r="B866" s="4"/>
    </row>
    <row r="867" spans="1:2" x14ac:dyDescent="0.2">
      <c r="A867" s="4"/>
      <c r="B867" s="4"/>
    </row>
    <row r="868" spans="1:2" x14ac:dyDescent="0.2">
      <c r="A868" s="4"/>
      <c r="B868" s="4"/>
    </row>
    <row r="869" spans="1:2" x14ac:dyDescent="0.2">
      <c r="A869" s="4"/>
      <c r="B869" s="4"/>
    </row>
    <row r="870" spans="1:2" x14ac:dyDescent="0.2">
      <c r="A870" s="4"/>
      <c r="B870" s="4"/>
    </row>
    <row r="871" spans="1:2" x14ac:dyDescent="0.2">
      <c r="A871" s="4"/>
      <c r="B871" s="4"/>
    </row>
    <row r="872" spans="1:2" x14ac:dyDescent="0.2">
      <c r="A872" s="4"/>
      <c r="B872" s="4"/>
    </row>
    <row r="873" spans="1:2" x14ac:dyDescent="0.2">
      <c r="A873" s="4"/>
      <c r="B873" s="4"/>
    </row>
    <row r="874" spans="1:2" x14ac:dyDescent="0.2">
      <c r="A874" s="4"/>
      <c r="B874" s="4"/>
    </row>
    <row r="875" spans="1:2" x14ac:dyDescent="0.2">
      <c r="A875" s="4"/>
      <c r="B875" s="4"/>
    </row>
    <row r="876" spans="1:2" x14ac:dyDescent="0.2">
      <c r="A876" s="4"/>
      <c r="B876" s="4"/>
    </row>
    <row r="877" spans="1:2" x14ac:dyDescent="0.2">
      <c r="A877" s="4"/>
      <c r="B877" s="4"/>
    </row>
    <row r="878" spans="1:2" x14ac:dyDescent="0.2">
      <c r="A878" s="4"/>
      <c r="B878" s="4"/>
    </row>
    <row r="879" spans="1:2" x14ac:dyDescent="0.2">
      <c r="A879" s="4"/>
      <c r="B879" s="4"/>
    </row>
    <row r="880" spans="1:2" x14ac:dyDescent="0.2">
      <c r="A880" s="4"/>
      <c r="B880" s="4"/>
    </row>
    <row r="881" spans="1:2" x14ac:dyDescent="0.2">
      <c r="A881" s="4"/>
      <c r="B881" s="4"/>
    </row>
    <row r="882" spans="1:2" x14ac:dyDescent="0.2">
      <c r="A882" s="4"/>
      <c r="B882" s="4"/>
    </row>
    <row r="883" spans="1:2" x14ac:dyDescent="0.2">
      <c r="A883" s="4"/>
      <c r="B883" s="4"/>
    </row>
    <row r="884" spans="1:2" x14ac:dyDescent="0.2">
      <c r="A884" s="4"/>
      <c r="B884" s="4"/>
    </row>
    <row r="885" spans="1:2" x14ac:dyDescent="0.2">
      <c r="A885" s="4"/>
      <c r="B885" s="4"/>
    </row>
    <row r="886" spans="1:2" x14ac:dyDescent="0.2">
      <c r="A886" s="4"/>
      <c r="B886" s="4"/>
    </row>
    <row r="887" spans="1:2" x14ac:dyDescent="0.2">
      <c r="A887" s="4"/>
      <c r="B887" s="4"/>
    </row>
    <row r="888" spans="1:2" x14ac:dyDescent="0.2">
      <c r="A888" s="4"/>
      <c r="B888" s="4"/>
    </row>
    <row r="889" spans="1:2" x14ac:dyDescent="0.2">
      <c r="A889" s="4"/>
      <c r="B889" s="4"/>
    </row>
    <row r="890" spans="1:2" x14ac:dyDescent="0.2">
      <c r="A890" s="4"/>
      <c r="B890" s="4"/>
    </row>
    <row r="891" spans="1:2" x14ac:dyDescent="0.2">
      <c r="A891" s="4"/>
      <c r="B891" s="4"/>
    </row>
    <row r="892" spans="1:2" x14ac:dyDescent="0.2">
      <c r="A892" s="4"/>
      <c r="B892" s="4"/>
    </row>
    <row r="893" spans="1:2" x14ac:dyDescent="0.2">
      <c r="A893" s="4"/>
      <c r="B893" s="4"/>
    </row>
    <row r="894" spans="1:2" x14ac:dyDescent="0.2">
      <c r="A894" s="4"/>
      <c r="B894" s="4"/>
    </row>
    <row r="895" spans="1:2" x14ac:dyDescent="0.2">
      <c r="A895" s="4"/>
      <c r="B895" s="4"/>
    </row>
    <row r="896" spans="1:2" x14ac:dyDescent="0.2">
      <c r="A896" s="4"/>
      <c r="B896" s="4"/>
    </row>
    <row r="897" spans="1:2" x14ac:dyDescent="0.2">
      <c r="A897" s="4"/>
      <c r="B897" s="4"/>
    </row>
    <row r="898" spans="1:2" x14ac:dyDescent="0.2">
      <c r="A898" s="4"/>
      <c r="B898" s="4"/>
    </row>
    <row r="899" spans="1:2" x14ac:dyDescent="0.2">
      <c r="A899" s="4"/>
      <c r="B899" s="4"/>
    </row>
    <row r="900" spans="1:2" x14ac:dyDescent="0.2">
      <c r="A900" s="4"/>
      <c r="B900" s="4"/>
    </row>
    <row r="901" spans="1:2" x14ac:dyDescent="0.2">
      <c r="A901" s="4"/>
      <c r="B901" s="4"/>
    </row>
    <row r="902" spans="1:2" x14ac:dyDescent="0.2">
      <c r="A902" s="4"/>
      <c r="B902" s="4"/>
    </row>
    <row r="903" spans="1:2" x14ac:dyDescent="0.2">
      <c r="A903" s="4"/>
      <c r="B903" s="4"/>
    </row>
    <row r="904" spans="1:2" x14ac:dyDescent="0.2">
      <c r="A904" s="4"/>
      <c r="B904" s="4"/>
    </row>
    <row r="905" spans="1:2" x14ac:dyDescent="0.2">
      <c r="A905" s="4"/>
      <c r="B905" s="4"/>
    </row>
    <row r="906" spans="1:2" x14ac:dyDescent="0.2">
      <c r="A906" s="4"/>
      <c r="B906" s="4"/>
    </row>
    <row r="907" spans="1:2" x14ac:dyDescent="0.2">
      <c r="A907" s="4"/>
      <c r="B907" s="4"/>
    </row>
    <row r="908" spans="1:2" x14ac:dyDescent="0.2">
      <c r="A908" s="4"/>
      <c r="B908" s="4"/>
    </row>
    <row r="909" spans="1:2" x14ac:dyDescent="0.2">
      <c r="A909" s="4"/>
      <c r="B909" s="4"/>
    </row>
    <row r="910" spans="1:2" x14ac:dyDescent="0.2">
      <c r="A910" s="4"/>
      <c r="B910" s="4"/>
    </row>
    <row r="911" spans="1:2" x14ac:dyDescent="0.2">
      <c r="A911" s="4"/>
      <c r="B911" s="4"/>
    </row>
    <row r="912" spans="1:2" x14ac:dyDescent="0.2">
      <c r="A912" s="4"/>
      <c r="B912" s="4"/>
    </row>
    <row r="913" spans="1:2" x14ac:dyDescent="0.2">
      <c r="A913" s="4"/>
      <c r="B913" s="4"/>
    </row>
    <row r="914" spans="1:2" x14ac:dyDescent="0.2">
      <c r="A914" s="4"/>
      <c r="B914" s="4"/>
    </row>
    <row r="915" spans="1:2" x14ac:dyDescent="0.2">
      <c r="A915" s="4"/>
      <c r="B915" s="4"/>
    </row>
    <row r="916" spans="1:2" x14ac:dyDescent="0.2">
      <c r="A916" s="4"/>
      <c r="B916" s="4"/>
    </row>
    <row r="917" spans="1:2" x14ac:dyDescent="0.2">
      <c r="A917" s="4"/>
      <c r="B917" s="4"/>
    </row>
    <row r="918" spans="1:2" x14ac:dyDescent="0.2">
      <c r="A918" s="4"/>
      <c r="B918" s="4"/>
    </row>
    <row r="919" spans="1:2" x14ac:dyDescent="0.2">
      <c r="A919" s="4"/>
      <c r="B919" s="4"/>
    </row>
    <row r="920" spans="1:2" x14ac:dyDescent="0.2">
      <c r="A920" s="4"/>
      <c r="B920" s="4"/>
    </row>
    <row r="921" spans="1:2" x14ac:dyDescent="0.2">
      <c r="A921" s="4"/>
      <c r="B921" s="4"/>
    </row>
    <row r="922" spans="1:2" x14ac:dyDescent="0.2">
      <c r="A922" s="4"/>
      <c r="B922" s="4"/>
    </row>
    <row r="923" spans="1:2" x14ac:dyDescent="0.2">
      <c r="A923" s="4"/>
      <c r="B923" s="4"/>
    </row>
    <row r="924" spans="1:2" x14ac:dyDescent="0.2">
      <c r="A924" s="4"/>
      <c r="B924" s="4"/>
    </row>
    <row r="925" spans="1:2" x14ac:dyDescent="0.2">
      <c r="A925" s="4"/>
      <c r="B925" s="4"/>
    </row>
    <row r="926" spans="1:2" x14ac:dyDescent="0.2">
      <c r="A926" s="4"/>
      <c r="B926" s="4"/>
    </row>
    <row r="927" spans="1:2" x14ac:dyDescent="0.2">
      <c r="A927" s="4"/>
      <c r="B927" s="4"/>
    </row>
    <row r="928" spans="1:2" x14ac:dyDescent="0.2">
      <c r="A928" s="4"/>
      <c r="B928" s="4"/>
    </row>
    <row r="929" spans="1:2" x14ac:dyDescent="0.2">
      <c r="A929" s="4"/>
      <c r="B929" s="4"/>
    </row>
    <row r="930" spans="1:2" x14ac:dyDescent="0.2">
      <c r="A930" s="4"/>
      <c r="B930" s="4"/>
    </row>
    <row r="931" spans="1:2" x14ac:dyDescent="0.2">
      <c r="A931" s="4"/>
      <c r="B931" s="4"/>
    </row>
    <row r="932" spans="1:2" x14ac:dyDescent="0.2">
      <c r="A932" s="4"/>
      <c r="B932" s="4"/>
    </row>
    <row r="933" spans="1:2" x14ac:dyDescent="0.2">
      <c r="A933" s="4"/>
      <c r="B933" s="4"/>
    </row>
    <row r="934" spans="1:2" x14ac:dyDescent="0.2">
      <c r="A934" s="4"/>
      <c r="B934" s="4"/>
    </row>
    <row r="935" spans="1:2" x14ac:dyDescent="0.2">
      <c r="A935" s="4"/>
      <c r="B935" s="4"/>
    </row>
    <row r="936" spans="1:2" x14ac:dyDescent="0.2">
      <c r="A936" s="4"/>
      <c r="B936" s="4"/>
    </row>
    <row r="937" spans="1:2" x14ac:dyDescent="0.2">
      <c r="A937" s="4"/>
      <c r="B937" s="4"/>
    </row>
    <row r="938" spans="1:2" x14ac:dyDescent="0.2">
      <c r="A938" s="4"/>
      <c r="B938" s="4"/>
    </row>
    <row r="939" spans="1:2" x14ac:dyDescent="0.2">
      <c r="A939" s="4"/>
      <c r="B939" s="4"/>
    </row>
    <row r="940" spans="1:2" x14ac:dyDescent="0.2">
      <c r="A940" s="4"/>
      <c r="B940" s="4"/>
    </row>
    <row r="941" spans="1:2" x14ac:dyDescent="0.2">
      <c r="A941" s="4"/>
      <c r="B941" s="4"/>
    </row>
    <row r="942" spans="1:2" x14ac:dyDescent="0.2">
      <c r="A942" s="4"/>
      <c r="B942" s="4"/>
    </row>
    <row r="943" spans="1:2" x14ac:dyDescent="0.2">
      <c r="A943" s="4"/>
      <c r="B943" s="4"/>
    </row>
    <row r="944" spans="1:2" x14ac:dyDescent="0.2">
      <c r="A944" s="4"/>
      <c r="B944" s="4"/>
    </row>
    <row r="945" spans="1:2" x14ac:dyDescent="0.2">
      <c r="A945" s="4"/>
      <c r="B945" s="4"/>
    </row>
    <row r="946" spans="1:2" x14ac:dyDescent="0.2">
      <c r="A946" s="4"/>
      <c r="B946" s="4"/>
    </row>
    <row r="947" spans="1:2" x14ac:dyDescent="0.2">
      <c r="A947" s="4"/>
      <c r="B947" s="4"/>
    </row>
    <row r="948" spans="1:2" x14ac:dyDescent="0.2">
      <c r="A948" s="4"/>
      <c r="B948" s="4"/>
    </row>
    <row r="949" spans="1:2" x14ac:dyDescent="0.2">
      <c r="A949" s="4"/>
      <c r="B949" s="4"/>
    </row>
    <row r="950" spans="1:2" x14ac:dyDescent="0.2">
      <c r="A950" s="4"/>
      <c r="B950" s="4"/>
    </row>
    <row r="951" spans="1:2" x14ac:dyDescent="0.2">
      <c r="A951" s="4"/>
      <c r="B951" s="4"/>
    </row>
    <row r="952" spans="1:2" x14ac:dyDescent="0.2">
      <c r="A952" s="4"/>
      <c r="B952" s="4"/>
    </row>
    <row r="953" spans="1:2" x14ac:dyDescent="0.2">
      <c r="A953" s="4"/>
      <c r="B953" s="4"/>
    </row>
    <row r="954" spans="1:2" x14ac:dyDescent="0.2">
      <c r="A954" s="4"/>
      <c r="B954" s="4"/>
    </row>
    <row r="955" spans="1:2" x14ac:dyDescent="0.2">
      <c r="A955" s="4"/>
      <c r="B955" s="4"/>
    </row>
    <row r="956" spans="1:2" x14ac:dyDescent="0.2">
      <c r="A956" s="4"/>
      <c r="B956" s="4"/>
    </row>
    <row r="957" spans="1:2" x14ac:dyDescent="0.2">
      <c r="A957" s="4"/>
      <c r="B957" s="4"/>
    </row>
    <row r="958" spans="1:2" x14ac:dyDescent="0.2">
      <c r="A958" s="4"/>
      <c r="B958" s="4"/>
    </row>
    <row r="959" spans="1:2" x14ac:dyDescent="0.2">
      <c r="A959" s="4"/>
      <c r="B959" s="4"/>
    </row>
    <row r="960" spans="1:2" x14ac:dyDescent="0.2">
      <c r="A960" s="4"/>
      <c r="B960" s="4"/>
    </row>
    <row r="961" spans="1:2" x14ac:dyDescent="0.2">
      <c r="A961" s="4"/>
      <c r="B961" s="4"/>
    </row>
    <row r="962" spans="1:2" x14ac:dyDescent="0.2">
      <c r="A962" s="4"/>
      <c r="B962" s="4"/>
    </row>
    <row r="963" spans="1:2" x14ac:dyDescent="0.2">
      <c r="A963" s="4"/>
      <c r="B963" s="4"/>
    </row>
    <row r="964" spans="1:2" x14ac:dyDescent="0.2">
      <c r="A964" s="4"/>
      <c r="B964" s="4"/>
    </row>
    <row r="965" spans="1:2" x14ac:dyDescent="0.2">
      <c r="A965" s="4"/>
      <c r="B965" s="4"/>
    </row>
    <row r="966" spans="1:2" x14ac:dyDescent="0.2">
      <c r="A966" s="4"/>
      <c r="B966" s="4"/>
    </row>
    <row r="967" spans="1:2" x14ac:dyDescent="0.2">
      <c r="A967" s="4"/>
      <c r="B967" s="4"/>
    </row>
    <row r="968" spans="1:2" x14ac:dyDescent="0.2">
      <c r="A968" s="4"/>
      <c r="B968" s="4"/>
    </row>
    <row r="969" spans="1:2" x14ac:dyDescent="0.2">
      <c r="A969" s="4"/>
      <c r="B969" s="4"/>
    </row>
    <row r="970" spans="1:2" x14ac:dyDescent="0.2">
      <c r="A970" s="4"/>
      <c r="B970" s="4"/>
    </row>
    <row r="971" spans="1:2" x14ac:dyDescent="0.2">
      <c r="A971" s="4"/>
      <c r="B971" s="4"/>
    </row>
    <row r="972" spans="1:2" x14ac:dyDescent="0.2">
      <c r="A972" s="4"/>
      <c r="B972" s="4"/>
    </row>
    <row r="973" spans="1:2" x14ac:dyDescent="0.2">
      <c r="A973" s="4"/>
      <c r="B973" s="4"/>
    </row>
    <row r="974" spans="1:2" x14ac:dyDescent="0.2">
      <c r="A974" s="4"/>
      <c r="B974" s="4"/>
    </row>
    <row r="975" spans="1:2" x14ac:dyDescent="0.2">
      <c r="A975" s="4"/>
      <c r="B975" s="4"/>
    </row>
    <row r="976" spans="1:2" x14ac:dyDescent="0.2">
      <c r="A976" s="4"/>
      <c r="B976" s="4"/>
    </row>
    <row r="977" spans="1:2" x14ac:dyDescent="0.2">
      <c r="A977" s="4"/>
      <c r="B977" s="4"/>
    </row>
    <row r="978" spans="1:2" x14ac:dyDescent="0.2">
      <c r="A978" s="4"/>
      <c r="B978" s="4"/>
    </row>
    <row r="979" spans="1:2" x14ac:dyDescent="0.2">
      <c r="A979" s="4"/>
      <c r="B979" s="4"/>
    </row>
    <row r="980" spans="1:2" x14ac:dyDescent="0.2">
      <c r="A980" s="4"/>
      <c r="B980" s="4"/>
    </row>
    <row r="981" spans="1:2" x14ac:dyDescent="0.2">
      <c r="A981" s="4"/>
      <c r="B981" s="4"/>
    </row>
    <row r="982" spans="1:2" x14ac:dyDescent="0.2">
      <c r="A982" s="4"/>
      <c r="B982" s="4"/>
    </row>
    <row r="983" spans="1:2" x14ac:dyDescent="0.2">
      <c r="A983" s="4"/>
      <c r="B983" s="4"/>
    </row>
    <row r="984" spans="1:2" x14ac:dyDescent="0.2">
      <c r="A984" s="4"/>
      <c r="B984" s="4"/>
    </row>
    <row r="985" spans="1:2" x14ac:dyDescent="0.2">
      <c r="A985" s="4"/>
      <c r="B985" s="4"/>
    </row>
    <row r="986" spans="1:2" x14ac:dyDescent="0.2">
      <c r="A986" s="4"/>
      <c r="B986" s="4"/>
    </row>
    <row r="987" spans="1:2" x14ac:dyDescent="0.2">
      <c r="A987" s="4"/>
      <c r="B987" s="4"/>
    </row>
    <row r="988" spans="1:2" x14ac:dyDescent="0.2">
      <c r="A988" s="4"/>
      <c r="B988" s="4"/>
    </row>
    <row r="989" spans="1:2" x14ac:dyDescent="0.2">
      <c r="A989" s="4"/>
      <c r="B989" s="4"/>
    </row>
    <row r="990" spans="1:2" x14ac:dyDescent="0.2">
      <c r="A990" s="4"/>
      <c r="B990" s="4"/>
    </row>
    <row r="991" spans="1:2" x14ac:dyDescent="0.2">
      <c r="A991" s="4"/>
      <c r="B991" s="4"/>
    </row>
    <row r="992" spans="1:2" x14ac:dyDescent="0.2">
      <c r="A992" s="4"/>
      <c r="B992" s="4"/>
    </row>
    <row r="993" spans="1:2" x14ac:dyDescent="0.2">
      <c r="A993" s="4"/>
      <c r="B993" s="4"/>
    </row>
    <row r="994" spans="1:2" x14ac:dyDescent="0.2">
      <c r="A994" s="4"/>
      <c r="B994" s="4"/>
    </row>
    <row r="995" spans="1:2" x14ac:dyDescent="0.2">
      <c r="A995" s="4"/>
      <c r="B995" s="4"/>
    </row>
    <row r="996" spans="1:2" x14ac:dyDescent="0.2">
      <c r="A996" s="4"/>
      <c r="B996" s="4"/>
    </row>
    <row r="997" spans="1:2" x14ac:dyDescent="0.2">
      <c r="A997" s="4"/>
      <c r="B997" s="4"/>
    </row>
    <row r="998" spans="1:2" x14ac:dyDescent="0.2">
      <c r="A998" s="4"/>
      <c r="B998" s="4"/>
    </row>
    <row r="999" spans="1:2" x14ac:dyDescent="0.2">
      <c r="A999" s="4"/>
      <c r="B999" s="4"/>
    </row>
    <row r="1000" spans="1:2" x14ac:dyDescent="0.2">
      <c r="A1000" s="4"/>
      <c r="B1000" s="4"/>
    </row>
    <row r="1001" spans="1:2" x14ac:dyDescent="0.2">
      <c r="A1001" s="4"/>
      <c r="B1001" s="4"/>
    </row>
    <row r="1002" spans="1:2" x14ac:dyDescent="0.2">
      <c r="A1002" s="4"/>
      <c r="B1002" s="4"/>
    </row>
    <row r="1003" spans="1:2" x14ac:dyDescent="0.2">
      <c r="A1003" s="4"/>
      <c r="B1003" s="4"/>
    </row>
    <row r="1004" spans="1:2" x14ac:dyDescent="0.2">
      <c r="A1004" s="4"/>
      <c r="B1004" s="4"/>
    </row>
    <row r="1005" spans="1:2" x14ac:dyDescent="0.2">
      <c r="A1005" s="4"/>
      <c r="B1005" s="4"/>
    </row>
    <row r="1006" spans="1:2" x14ac:dyDescent="0.2">
      <c r="A1006" s="4"/>
      <c r="B1006" s="4"/>
    </row>
    <row r="1007" spans="1:2" x14ac:dyDescent="0.2">
      <c r="A1007" s="4"/>
      <c r="B1007" s="4"/>
    </row>
    <row r="1008" spans="1:2" x14ac:dyDescent="0.2">
      <c r="A1008" s="4"/>
      <c r="B1008" s="4"/>
    </row>
    <row r="1009" spans="1:2" x14ac:dyDescent="0.2">
      <c r="A1009" s="4"/>
      <c r="B1009" s="4"/>
    </row>
    <row r="1010" spans="1:2" x14ac:dyDescent="0.2">
      <c r="A1010" s="4"/>
      <c r="B1010" s="4"/>
    </row>
    <row r="1011" spans="1:2" x14ac:dyDescent="0.2">
      <c r="A1011" s="4"/>
      <c r="B1011" s="4"/>
    </row>
    <row r="1012" spans="1:2" x14ac:dyDescent="0.2">
      <c r="A1012" s="4"/>
      <c r="B1012" s="4"/>
    </row>
    <row r="1013" spans="1:2" x14ac:dyDescent="0.2">
      <c r="A1013" s="4"/>
      <c r="B1013" s="4"/>
    </row>
    <row r="1014" spans="1:2" x14ac:dyDescent="0.2">
      <c r="A1014" s="4"/>
      <c r="B1014" s="4"/>
    </row>
    <row r="1015" spans="1:2" x14ac:dyDescent="0.2">
      <c r="A1015" s="4"/>
      <c r="B1015" s="4"/>
    </row>
    <row r="1016" spans="1:2" x14ac:dyDescent="0.2">
      <c r="A1016" s="4"/>
      <c r="B1016" s="4"/>
    </row>
    <row r="1017" spans="1:2" x14ac:dyDescent="0.2">
      <c r="A1017" s="4"/>
      <c r="B1017" s="4"/>
    </row>
    <row r="1018" spans="1:2" x14ac:dyDescent="0.2">
      <c r="A1018" s="4"/>
      <c r="B1018" s="4"/>
    </row>
    <row r="1019" spans="1:2" x14ac:dyDescent="0.2">
      <c r="A1019" s="4"/>
      <c r="B1019" s="4"/>
    </row>
    <row r="1020" spans="1:2" x14ac:dyDescent="0.2">
      <c r="A1020" s="4"/>
      <c r="B1020" s="4"/>
    </row>
    <row r="1021" spans="1:2" x14ac:dyDescent="0.2">
      <c r="A1021" s="4"/>
      <c r="B1021" s="4"/>
    </row>
    <row r="1022" spans="1:2" x14ac:dyDescent="0.2">
      <c r="A1022" s="4"/>
      <c r="B1022" s="4"/>
    </row>
    <row r="1023" spans="1:2" x14ac:dyDescent="0.2">
      <c r="A1023" s="4"/>
      <c r="B1023" s="4"/>
    </row>
    <row r="1024" spans="1:2" x14ac:dyDescent="0.2">
      <c r="A1024" s="4"/>
      <c r="B1024" s="4"/>
    </row>
    <row r="1025" spans="1:2" x14ac:dyDescent="0.2">
      <c r="A1025" s="4"/>
      <c r="B1025" s="4"/>
    </row>
    <row r="1026" spans="1:2" x14ac:dyDescent="0.2">
      <c r="A1026" s="4"/>
      <c r="B1026" s="4"/>
    </row>
    <row r="1027" spans="1:2" x14ac:dyDescent="0.2">
      <c r="A1027" s="4"/>
      <c r="B1027" s="4"/>
    </row>
    <row r="1028" spans="1:2" x14ac:dyDescent="0.2">
      <c r="A1028" s="4"/>
      <c r="B1028" s="4"/>
    </row>
    <row r="1029" spans="1:2" x14ac:dyDescent="0.2">
      <c r="A1029" s="4"/>
      <c r="B1029" s="4"/>
    </row>
    <row r="1030" spans="1:2" x14ac:dyDescent="0.2">
      <c r="A1030" s="4"/>
      <c r="B1030" s="4"/>
    </row>
    <row r="1031" spans="1:2" x14ac:dyDescent="0.2">
      <c r="A1031" s="4"/>
      <c r="B1031" s="4"/>
    </row>
    <row r="1032" spans="1:2" x14ac:dyDescent="0.2">
      <c r="A1032" s="4"/>
      <c r="B1032" s="4"/>
    </row>
    <row r="1033" spans="1:2" x14ac:dyDescent="0.2">
      <c r="A1033" s="4"/>
      <c r="B1033" s="4"/>
    </row>
    <row r="1034" spans="1:2" x14ac:dyDescent="0.2">
      <c r="A1034" s="4"/>
      <c r="B1034" s="4"/>
    </row>
    <row r="1035" spans="1:2" x14ac:dyDescent="0.2">
      <c r="A1035" s="4"/>
      <c r="B1035" s="4"/>
    </row>
    <row r="1036" spans="1:2" x14ac:dyDescent="0.2">
      <c r="A1036" s="4"/>
      <c r="B1036" s="4"/>
    </row>
    <row r="1037" spans="1:2" x14ac:dyDescent="0.2">
      <c r="A1037" s="4"/>
      <c r="B1037" s="4"/>
    </row>
    <row r="1038" spans="1:2" x14ac:dyDescent="0.2">
      <c r="A1038" s="4"/>
      <c r="B1038" s="4"/>
    </row>
    <row r="1039" spans="1:2" x14ac:dyDescent="0.2">
      <c r="A1039" s="4"/>
      <c r="B1039" s="4"/>
    </row>
    <row r="1040" spans="1:2" x14ac:dyDescent="0.2">
      <c r="A1040" s="4"/>
      <c r="B1040" s="4"/>
    </row>
    <row r="1041" spans="1:2" x14ac:dyDescent="0.2">
      <c r="A1041" s="4"/>
      <c r="B1041" s="4"/>
    </row>
    <row r="1042" spans="1:2" x14ac:dyDescent="0.2">
      <c r="A1042" s="4"/>
      <c r="B1042" s="4"/>
    </row>
    <row r="1043" spans="1:2" x14ac:dyDescent="0.2">
      <c r="A1043" s="4"/>
      <c r="B1043" s="4"/>
    </row>
    <row r="1044" spans="1:2" x14ac:dyDescent="0.2">
      <c r="A1044" s="4"/>
      <c r="B1044" s="4"/>
    </row>
    <row r="1045" spans="1:2" x14ac:dyDescent="0.2">
      <c r="A1045" s="4"/>
      <c r="B1045" s="4"/>
    </row>
    <row r="1046" spans="1:2" x14ac:dyDescent="0.2">
      <c r="A1046" s="4"/>
      <c r="B1046" s="4"/>
    </row>
    <row r="1047" spans="1:2" x14ac:dyDescent="0.2">
      <c r="A1047" s="4"/>
      <c r="B1047" s="4"/>
    </row>
    <row r="1048" spans="1:2" x14ac:dyDescent="0.2">
      <c r="A1048" s="4"/>
      <c r="B1048" s="4"/>
    </row>
    <row r="1049" spans="1:2" x14ac:dyDescent="0.2">
      <c r="A1049" s="4"/>
      <c r="B1049" s="4"/>
    </row>
    <row r="1050" spans="1:2" x14ac:dyDescent="0.2">
      <c r="A1050" s="4"/>
      <c r="B1050" s="4"/>
    </row>
    <row r="1051" spans="1:2" x14ac:dyDescent="0.2">
      <c r="A1051" s="4"/>
      <c r="B1051" s="4"/>
    </row>
    <row r="1052" spans="1:2" x14ac:dyDescent="0.2">
      <c r="A1052" s="4"/>
      <c r="B1052" s="4"/>
    </row>
    <row r="1053" spans="1:2" x14ac:dyDescent="0.2">
      <c r="A1053" s="4"/>
      <c r="B1053" s="4"/>
    </row>
    <row r="1054" spans="1:2" x14ac:dyDescent="0.2">
      <c r="A1054" s="4"/>
      <c r="B1054" s="4"/>
    </row>
    <row r="1055" spans="1:2" x14ac:dyDescent="0.2">
      <c r="A1055" s="4"/>
      <c r="B1055" s="4"/>
    </row>
    <row r="1056" spans="1:2" x14ac:dyDescent="0.2">
      <c r="A1056" s="4"/>
      <c r="B1056" s="4"/>
    </row>
    <row r="1057" spans="1:2" x14ac:dyDescent="0.2">
      <c r="A1057" s="4"/>
      <c r="B1057" s="4"/>
    </row>
    <row r="1058" spans="1:2" x14ac:dyDescent="0.2">
      <c r="A1058" s="4"/>
      <c r="B1058" s="4"/>
    </row>
    <row r="1059" spans="1:2" x14ac:dyDescent="0.2">
      <c r="A1059" s="4"/>
      <c r="B1059" s="4"/>
    </row>
    <row r="1060" spans="1:2" x14ac:dyDescent="0.2">
      <c r="A1060" s="4"/>
      <c r="B1060" s="4"/>
    </row>
    <row r="1061" spans="1:2" x14ac:dyDescent="0.2">
      <c r="A1061" s="4"/>
      <c r="B1061" s="4"/>
    </row>
    <row r="1062" spans="1:2" x14ac:dyDescent="0.2">
      <c r="A1062" s="4"/>
      <c r="B1062" s="4"/>
    </row>
    <row r="1063" spans="1:2" x14ac:dyDescent="0.2">
      <c r="A1063" s="4"/>
      <c r="B1063" s="4"/>
    </row>
    <row r="1064" spans="1:2" x14ac:dyDescent="0.2">
      <c r="A1064" s="4"/>
      <c r="B1064" s="4"/>
    </row>
    <row r="1065" spans="1:2" x14ac:dyDescent="0.2">
      <c r="A1065" s="4"/>
      <c r="B1065" s="4"/>
    </row>
    <row r="1066" spans="1:2" x14ac:dyDescent="0.2">
      <c r="A1066" s="4"/>
      <c r="B1066" s="4"/>
    </row>
    <row r="1067" spans="1:2" x14ac:dyDescent="0.2">
      <c r="A1067" s="4"/>
      <c r="B1067" s="4"/>
    </row>
    <row r="1068" spans="1:2" x14ac:dyDescent="0.2">
      <c r="A1068" s="4"/>
      <c r="B1068" s="4"/>
    </row>
    <row r="1069" spans="1:2" x14ac:dyDescent="0.2">
      <c r="A1069" s="4"/>
      <c r="B1069" s="4"/>
    </row>
    <row r="1070" spans="1:2" x14ac:dyDescent="0.2">
      <c r="A1070" s="4"/>
      <c r="B1070" s="4"/>
    </row>
    <row r="1071" spans="1:2" x14ac:dyDescent="0.2">
      <c r="A1071" s="4"/>
      <c r="B1071" s="4"/>
    </row>
    <row r="1072" spans="1:2" x14ac:dyDescent="0.2">
      <c r="A1072" s="4"/>
      <c r="B1072" s="4"/>
    </row>
    <row r="1073" spans="1:2" x14ac:dyDescent="0.2">
      <c r="A1073" s="4"/>
      <c r="B1073" s="4"/>
    </row>
    <row r="1074" spans="1:2" x14ac:dyDescent="0.2">
      <c r="A1074" s="4"/>
      <c r="B1074" s="4"/>
    </row>
    <row r="1075" spans="1:2" x14ac:dyDescent="0.2">
      <c r="A1075" s="4"/>
      <c r="B1075" s="4"/>
    </row>
    <row r="1076" spans="1:2" x14ac:dyDescent="0.2">
      <c r="A1076" s="4"/>
      <c r="B1076" s="4"/>
    </row>
    <row r="1077" spans="1:2" x14ac:dyDescent="0.2">
      <c r="A1077" s="4"/>
      <c r="B1077" s="4"/>
    </row>
    <row r="1078" spans="1:2" x14ac:dyDescent="0.2">
      <c r="A1078" s="4"/>
      <c r="B1078" s="4"/>
    </row>
    <row r="1079" spans="1:2" x14ac:dyDescent="0.2">
      <c r="A1079" s="4"/>
      <c r="B1079" s="4"/>
    </row>
    <row r="1080" spans="1:2" x14ac:dyDescent="0.2">
      <c r="A1080" s="4"/>
      <c r="B1080" s="4"/>
    </row>
    <row r="1081" spans="1:2" x14ac:dyDescent="0.2">
      <c r="A1081" s="4"/>
      <c r="B1081" s="4"/>
    </row>
    <row r="1082" spans="1:2" x14ac:dyDescent="0.2">
      <c r="A1082" s="4"/>
      <c r="B1082" s="4"/>
    </row>
    <row r="1083" spans="1:2" x14ac:dyDescent="0.2">
      <c r="A1083" s="4"/>
      <c r="B1083" s="4"/>
    </row>
    <row r="1084" spans="1:2" x14ac:dyDescent="0.2">
      <c r="A1084" s="4"/>
      <c r="B1084" s="4"/>
    </row>
    <row r="1085" spans="1:2" x14ac:dyDescent="0.2">
      <c r="A1085" s="4"/>
      <c r="B1085" s="4"/>
    </row>
    <row r="1086" spans="1:2" x14ac:dyDescent="0.2">
      <c r="A1086" s="4"/>
      <c r="B1086" s="4"/>
    </row>
    <row r="1087" spans="1:2" x14ac:dyDescent="0.2">
      <c r="A1087" s="4"/>
      <c r="B1087" s="4"/>
    </row>
    <row r="1088" spans="1:2" x14ac:dyDescent="0.2">
      <c r="A1088" s="4"/>
      <c r="B1088" s="4"/>
    </row>
    <row r="1089" spans="1:2" x14ac:dyDescent="0.2">
      <c r="A1089" s="4"/>
      <c r="B1089" s="4"/>
    </row>
    <row r="1090" spans="1:2" x14ac:dyDescent="0.2">
      <c r="A1090" s="4"/>
      <c r="B1090" s="4"/>
    </row>
    <row r="1091" spans="1:2" x14ac:dyDescent="0.2">
      <c r="A1091" s="4"/>
      <c r="B1091" s="4"/>
    </row>
    <row r="1092" spans="1:2" x14ac:dyDescent="0.2">
      <c r="A1092" s="4"/>
      <c r="B1092" s="4"/>
    </row>
    <row r="1093" spans="1:2" x14ac:dyDescent="0.2">
      <c r="A1093" s="4"/>
      <c r="B1093" s="4"/>
    </row>
    <row r="1094" spans="1:2" x14ac:dyDescent="0.2">
      <c r="A1094" s="4"/>
      <c r="B1094" s="4"/>
    </row>
    <row r="1095" spans="1:2" x14ac:dyDescent="0.2">
      <c r="A1095" s="4"/>
      <c r="B1095" s="4"/>
    </row>
    <row r="1096" spans="1:2" x14ac:dyDescent="0.2">
      <c r="A1096" s="4"/>
      <c r="B1096" s="4"/>
    </row>
    <row r="1097" spans="1:2" x14ac:dyDescent="0.2">
      <c r="A1097" s="4"/>
      <c r="B1097" s="4"/>
    </row>
    <row r="1098" spans="1:2" x14ac:dyDescent="0.2">
      <c r="A1098" s="4"/>
      <c r="B1098" s="4"/>
    </row>
    <row r="1099" spans="1:2" x14ac:dyDescent="0.2">
      <c r="A1099" s="4"/>
      <c r="B1099" s="4"/>
    </row>
    <row r="1100" spans="1:2" x14ac:dyDescent="0.2">
      <c r="A1100" s="4"/>
      <c r="B1100" s="4"/>
    </row>
    <row r="1101" spans="1:2" x14ac:dyDescent="0.2">
      <c r="A1101" s="4"/>
      <c r="B1101" s="4"/>
    </row>
    <row r="1102" spans="1:2" x14ac:dyDescent="0.2">
      <c r="A1102" s="4"/>
      <c r="B1102" s="4"/>
    </row>
    <row r="1103" spans="1:2" x14ac:dyDescent="0.2">
      <c r="A1103" s="4"/>
      <c r="B1103" s="4"/>
    </row>
    <row r="1104" spans="1:2" x14ac:dyDescent="0.2">
      <c r="A1104" s="4"/>
      <c r="B1104" s="4"/>
    </row>
    <row r="1105" spans="1:2" x14ac:dyDescent="0.2">
      <c r="A1105" s="4"/>
      <c r="B1105" s="4"/>
    </row>
    <row r="1106" spans="1:2" x14ac:dyDescent="0.2">
      <c r="A1106" s="4"/>
      <c r="B1106" s="4"/>
    </row>
    <row r="1107" spans="1:2" x14ac:dyDescent="0.2">
      <c r="A1107" s="4"/>
      <c r="B1107" s="4"/>
    </row>
    <row r="1108" spans="1:2" x14ac:dyDescent="0.2">
      <c r="A1108" s="4"/>
      <c r="B1108" s="4"/>
    </row>
    <row r="1109" spans="1:2" x14ac:dyDescent="0.2">
      <c r="A1109" s="4"/>
      <c r="B1109" s="4"/>
    </row>
    <row r="1110" spans="1:2" x14ac:dyDescent="0.2">
      <c r="A1110" s="4"/>
      <c r="B1110" s="4"/>
    </row>
    <row r="1111" spans="1:2" x14ac:dyDescent="0.2">
      <c r="A1111" s="4"/>
      <c r="B1111" s="4"/>
    </row>
    <row r="1112" spans="1:2" x14ac:dyDescent="0.2">
      <c r="A1112" s="4"/>
      <c r="B1112" s="4"/>
    </row>
    <row r="1113" spans="1:2" x14ac:dyDescent="0.2">
      <c r="A1113" s="4"/>
      <c r="B1113" s="4"/>
    </row>
    <row r="1114" spans="1:2" x14ac:dyDescent="0.2">
      <c r="A1114" s="4"/>
      <c r="B1114" s="4"/>
    </row>
    <row r="1115" spans="1:2" x14ac:dyDescent="0.2">
      <c r="A1115" s="4"/>
      <c r="B1115" s="4"/>
    </row>
    <row r="1116" spans="1:2" x14ac:dyDescent="0.2">
      <c r="A1116" s="4"/>
      <c r="B1116" s="4"/>
    </row>
    <row r="1117" spans="1:2" x14ac:dyDescent="0.2">
      <c r="A1117" s="4"/>
      <c r="B1117" s="4"/>
    </row>
    <row r="1118" spans="1:2" x14ac:dyDescent="0.2">
      <c r="A1118" s="4"/>
      <c r="B1118" s="4"/>
    </row>
    <row r="1119" spans="1:2" x14ac:dyDescent="0.2">
      <c r="A1119" s="4"/>
      <c r="B1119" s="4"/>
    </row>
    <row r="1120" spans="1:2" x14ac:dyDescent="0.2">
      <c r="A1120" s="4"/>
      <c r="B1120" s="4"/>
    </row>
    <row r="1121" spans="1:2" x14ac:dyDescent="0.2">
      <c r="A1121" s="4"/>
      <c r="B1121" s="4"/>
    </row>
    <row r="1122" spans="1:2" x14ac:dyDescent="0.2">
      <c r="A1122" s="4"/>
      <c r="B1122" s="4"/>
    </row>
    <row r="1123" spans="1:2" x14ac:dyDescent="0.2">
      <c r="A1123" s="4"/>
      <c r="B1123" s="4"/>
    </row>
    <row r="1124" spans="1:2" x14ac:dyDescent="0.2">
      <c r="A1124" s="4"/>
      <c r="B1124" s="4"/>
    </row>
    <row r="1125" spans="1:2" x14ac:dyDescent="0.2">
      <c r="A1125" s="4"/>
      <c r="B1125" s="4"/>
    </row>
    <row r="1126" spans="1:2" x14ac:dyDescent="0.2">
      <c r="A1126" s="4"/>
      <c r="B1126" s="4"/>
    </row>
    <row r="1127" spans="1:2" x14ac:dyDescent="0.2">
      <c r="A1127" s="4"/>
      <c r="B1127" s="4"/>
    </row>
    <row r="1128" spans="1:2" x14ac:dyDescent="0.2">
      <c r="A1128" s="4"/>
      <c r="B1128" s="4"/>
    </row>
    <row r="1129" spans="1:2" x14ac:dyDescent="0.2">
      <c r="A1129" s="4"/>
      <c r="B1129" s="4"/>
    </row>
    <row r="1130" spans="1:2" x14ac:dyDescent="0.2">
      <c r="A1130" s="4"/>
      <c r="B1130" s="4"/>
    </row>
    <row r="1131" spans="1:2" x14ac:dyDescent="0.2">
      <c r="A1131" s="4"/>
      <c r="B1131" s="4"/>
    </row>
    <row r="1132" spans="1:2" x14ac:dyDescent="0.2">
      <c r="A1132" s="4"/>
      <c r="B1132" s="4"/>
    </row>
    <row r="1133" spans="1:2" x14ac:dyDescent="0.2">
      <c r="A1133" s="4"/>
      <c r="B1133" s="4"/>
    </row>
    <row r="1134" spans="1:2" x14ac:dyDescent="0.2">
      <c r="A1134" s="4"/>
      <c r="B1134" s="4"/>
    </row>
    <row r="1135" spans="1:2" x14ac:dyDescent="0.2">
      <c r="A1135" s="4"/>
      <c r="B1135" s="4"/>
    </row>
    <row r="1136" spans="1:2" x14ac:dyDescent="0.2">
      <c r="A1136" s="4"/>
      <c r="B1136" s="4"/>
    </row>
    <row r="1137" spans="1:2" x14ac:dyDescent="0.2">
      <c r="A1137" s="4"/>
      <c r="B1137" s="4"/>
    </row>
    <row r="1138" spans="1:2" x14ac:dyDescent="0.2">
      <c r="A1138" s="4"/>
      <c r="B1138" s="4"/>
    </row>
    <row r="1139" spans="1:2" x14ac:dyDescent="0.2">
      <c r="A1139" s="4"/>
      <c r="B1139" s="4"/>
    </row>
    <row r="1140" spans="1:2" x14ac:dyDescent="0.2">
      <c r="A1140" s="4"/>
      <c r="B1140" s="4"/>
    </row>
    <row r="1141" spans="1:2" x14ac:dyDescent="0.2">
      <c r="A1141" s="4"/>
      <c r="B1141" s="4"/>
    </row>
    <row r="1142" spans="1:2" x14ac:dyDescent="0.2">
      <c r="A1142" s="4"/>
      <c r="B1142" s="4"/>
    </row>
    <row r="1143" spans="1:2" x14ac:dyDescent="0.2">
      <c r="A1143" s="4"/>
      <c r="B1143" s="4"/>
    </row>
    <row r="1144" spans="1:2" x14ac:dyDescent="0.2">
      <c r="A1144" s="4"/>
      <c r="B1144" s="4"/>
    </row>
    <row r="1145" spans="1:2" x14ac:dyDescent="0.2">
      <c r="A1145" s="4"/>
      <c r="B1145" s="4"/>
    </row>
    <row r="1146" spans="1:2" x14ac:dyDescent="0.2">
      <c r="A1146" s="4"/>
      <c r="B1146" s="4"/>
    </row>
    <row r="1147" spans="1:2" x14ac:dyDescent="0.2">
      <c r="A1147" s="4"/>
      <c r="B1147" s="4"/>
    </row>
    <row r="1148" spans="1:2" x14ac:dyDescent="0.2">
      <c r="A1148" s="4"/>
      <c r="B1148" s="4"/>
    </row>
    <row r="1149" spans="1:2" x14ac:dyDescent="0.2">
      <c r="A1149" s="4"/>
      <c r="B1149" s="4"/>
    </row>
    <row r="1150" spans="1:2" x14ac:dyDescent="0.2">
      <c r="A1150" s="4"/>
      <c r="B1150" s="4"/>
    </row>
    <row r="1151" spans="1:2" x14ac:dyDescent="0.2">
      <c r="A1151" s="4"/>
      <c r="B1151" s="4"/>
    </row>
    <row r="1152" spans="1:2" x14ac:dyDescent="0.2">
      <c r="A1152" s="4"/>
      <c r="B1152" s="4"/>
    </row>
    <row r="1153" spans="1:2" x14ac:dyDescent="0.2">
      <c r="A1153" s="4"/>
      <c r="B1153" s="4"/>
    </row>
    <row r="1154" spans="1:2" x14ac:dyDescent="0.2">
      <c r="A1154" s="4"/>
      <c r="B1154" s="4"/>
    </row>
    <row r="1155" spans="1:2" x14ac:dyDescent="0.2">
      <c r="A1155" s="4"/>
      <c r="B1155" s="4"/>
    </row>
    <row r="1156" spans="1:2" x14ac:dyDescent="0.2">
      <c r="A1156" s="4"/>
      <c r="B1156" s="4"/>
    </row>
    <row r="1157" spans="1:2" x14ac:dyDescent="0.2">
      <c r="A1157" s="4"/>
      <c r="B1157" s="4"/>
    </row>
    <row r="1158" spans="1:2" x14ac:dyDescent="0.2">
      <c r="A1158" s="4"/>
      <c r="B1158" s="4"/>
    </row>
    <row r="1159" spans="1:2" x14ac:dyDescent="0.2">
      <c r="A1159" s="4"/>
      <c r="B1159" s="4"/>
    </row>
    <row r="1160" spans="1:2" x14ac:dyDescent="0.2">
      <c r="A1160" s="4"/>
      <c r="B1160" s="4"/>
    </row>
    <row r="1161" spans="1:2" x14ac:dyDescent="0.2">
      <c r="A1161" s="4"/>
      <c r="B1161" s="4"/>
    </row>
    <row r="1162" spans="1:2" x14ac:dyDescent="0.2">
      <c r="A1162" s="4"/>
      <c r="B1162" s="4"/>
    </row>
    <row r="1163" spans="1:2" x14ac:dyDescent="0.2">
      <c r="A1163" s="4"/>
      <c r="B1163" s="4"/>
    </row>
    <row r="1164" spans="1:2" x14ac:dyDescent="0.2">
      <c r="A1164" s="4"/>
      <c r="B1164" s="4"/>
    </row>
    <row r="1165" spans="1:2" x14ac:dyDescent="0.2">
      <c r="A1165" s="4"/>
      <c r="B1165" s="4"/>
    </row>
    <row r="1166" spans="1:2" x14ac:dyDescent="0.2">
      <c r="A1166" s="4"/>
      <c r="B1166" s="4"/>
    </row>
    <row r="1167" spans="1:2" x14ac:dyDescent="0.2">
      <c r="A1167" s="4"/>
      <c r="B1167" s="4"/>
    </row>
    <row r="1168" spans="1:2" x14ac:dyDescent="0.2">
      <c r="A1168" s="4"/>
      <c r="B1168" s="4"/>
    </row>
    <row r="1169" spans="1:2" x14ac:dyDescent="0.2">
      <c r="A1169" s="4"/>
      <c r="B1169" s="4"/>
    </row>
    <row r="1170" spans="1:2" x14ac:dyDescent="0.2">
      <c r="A1170" s="4"/>
      <c r="B1170" s="4"/>
    </row>
    <row r="1171" spans="1:2" x14ac:dyDescent="0.2">
      <c r="A1171" s="4"/>
      <c r="B1171" s="4"/>
    </row>
    <row r="1172" spans="1:2" x14ac:dyDescent="0.2">
      <c r="A1172" s="4"/>
      <c r="B1172" s="4"/>
    </row>
    <row r="1173" spans="1:2" x14ac:dyDescent="0.2">
      <c r="A1173" s="4"/>
      <c r="B1173" s="4"/>
    </row>
    <row r="1174" spans="1:2" x14ac:dyDescent="0.2">
      <c r="A1174" s="4"/>
      <c r="B1174" s="4"/>
    </row>
    <row r="1175" spans="1:2" x14ac:dyDescent="0.2">
      <c r="A1175" s="4"/>
      <c r="B1175" s="4"/>
    </row>
    <row r="1176" spans="1:2" x14ac:dyDescent="0.2">
      <c r="A1176" s="4"/>
      <c r="B1176" s="4"/>
    </row>
    <row r="1177" spans="1:2" x14ac:dyDescent="0.2">
      <c r="A1177" s="4"/>
      <c r="B1177" s="4"/>
    </row>
    <row r="1178" spans="1:2" x14ac:dyDescent="0.2">
      <c r="A1178" s="4"/>
      <c r="B1178" s="4"/>
    </row>
    <row r="1179" spans="1:2" x14ac:dyDescent="0.2">
      <c r="A1179" s="4"/>
      <c r="B1179" s="4"/>
    </row>
    <row r="1180" spans="1:2" x14ac:dyDescent="0.2">
      <c r="A1180" s="4"/>
      <c r="B1180" s="4"/>
    </row>
    <row r="1181" spans="1:2" x14ac:dyDescent="0.2">
      <c r="A1181" s="4"/>
      <c r="B1181" s="4"/>
    </row>
    <row r="1182" spans="1:2" x14ac:dyDescent="0.2">
      <c r="A1182" s="4"/>
      <c r="B1182" s="4"/>
    </row>
    <row r="1183" spans="1:2" x14ac:dyDescent="0.2">
      <c r="A1183" s="4"/>
      <c r="B1183" s="4"/>
    </row>
    <row r="1184" spans="1:2" x14ac:dyDescent="0.2">
      <c r="A1184" s="4"/>
      <c r="B1184" s="4"/>
    </row>
    <row r="1185" spans="1:2" x14ac:dyDescent="0.2">
      <c r="A1185" s="4"/>
      <c r="B1185" s="4"/>
    </row>
    <row r="1186" spans="1:2" x14ac:dyDescent="0.2">
      <c r="A1186" s="4"/>
      <c r="B1186" s="4"/>
    </row>
    <row r="1187" spans="1:2" x14ac:dyDescent="0.2">
      <c r="A1187" s="4"/>
      <c r="B1187" s="4"/>
    </row>
    <row r="1188" spans="1:2" x14ac:dyDescent="0.2">
      <c r="A1188" s="4"/>
      <c r="B1188" s="4"/>
    </row>
    <row r="1189" spans="1:2" x14ac:dyDescent="0.2">
      <c r="A1189" s="4"/>
      <c r="B1189" s="4"/>
    </row>
    <row r="1190" spans="1:2" x14ac:dyDescent="0.2">
      <c r="A1190" s="4"/>
      <c r="B1190" s="4"/>
    </row>
    <row r="1191" spans="1:2" x14ac:dyDescent="0.2">
      <c r="A1191" s="4"/>
      <c r="B1191" s="4"/>
    </row>
    <row r="1192" spans="1:2" x14ac:dyDescent="0.2">
      <c r="A1192" s="4"/>
      <c r="B1192" s="4"/>
    </row>
    <row r="1193" spans="1:2" x14ac:dyDescent="0.2">
      <c r="A1193" s="4"/>
      <c r="B1193" s="4"/>
    </row>
    <row r="1194" spans="1:2" x14ac:dyDescent="0.2">
      <c r="A1194" s="4"/>
      <c r="B1194" s="4"/>
    </row>
    <row r="1195" spans="1:2" x14ac:dyDescent="0.2">
      <c r="A1195" s="4"/>
      <c r="B1195" s="4"/>
    </row>
    <row r="1196" spans="1:2" x14ac:dyDescent="0.2">
      <c r="A1196" s="4"/>
      <c r="B1196" s="4"/>
    </row>
    <row r="1197" spans="1:2" x14ac:dyDescent="0.2">
      <c r="A1197" s="4"/>
      <c r="B1197" s="4"/>
    </row>
    <row r="1198" spans="1:2" x14ac:dyDescent="0.2">
      <c r="A1198" s="4"/>
      <c r="B1198" s="4"/>
    </row>
    <row r="1199" spans="1:2" x14ac:dyDescent="0.2">
      <c r="A1199" s="4"/>
      <c r="B1199" s="4"/>
    </row>
    <row r="1200" spans="1:2" x14ac:dyDescent="0.2">
      <c r="A1200" s="4"/>
      <c r="B1200" s="4"/>
    </row>
    <row r="1201" spans="1:2" x14ac:dyDescent="0.2">
      <c r="A1201" s="4"/>
      <c r="B1201" s="4"/>
    </row>
    <row r="1202" spans="1:2" x14ac:dyDescent="0.2">
      <c r="A1202" s="4"/>
      <c r="B1202" s="4"/>
    </row>
    <row r="1203" spans="1:2" x14ac:dyDescent="0.2">
      <c r="A1203" s="4"/>
      <c r="B1203" s="4"/>
    </row>
    <row r="1204" spans="1:2" x14ac:dyDescent="0.2">
      <c r="A1204" s="4"/>
      <c r="B1204" s="4"/>
    </row>
    <row r="1205" spans="1:2" x14ac:dyDescent="0.2">
      <c r="A1205" s="4"/>
      <c r="B1205" s="4"/>
    </row>
    <row r="1206" spans="1:2" x14ac:dyDescent="0.2">
      <c r="A1206" s="4"/>
      <c r="B1206" s="4"/>
    </row>
    <row r="1207" spans="1:2" x14ac:dyDescent="0.2">
      <c r="A1207" s="4"/>
      <c r="B1207" s="4"/>
    </row>
    <row r="1208" spans="1:2" x14ac:dyDescent="0.2">
      <c r="A1208" s="4"/>
      <c r="B1208" s="4"/>
    </row>
    <row r="1209" spans="1:2" x14ac:dyDescent="0.2">
      <c r="A1209" s="4"/>
      <c r="B1209" s="4"/>
    </row>
    <row r="1210" spans="1:2" x14ac:dyDescent="0.2">
      <c r="A1210" s="4"/>
      <c r="B1210" s="4"/>
    </row>
    <row r="1211" spans="1:2" x14ac:dyDescent="0.2">
      <c r="A1211" s="4"/>
      <c r="B1211" s="4"/>
    </row>
    <row r="1212" spans="1:2" x14ac:dyDescent="0.2">
      <c r="A1212" s="4"/>
      <c r="B1212" s="4"/>
    </row>
    <row r="1213" spans="1:2" x14ac:dyDescent="0.2">
      <c r="A1213" s="4"/>
      <c r="B1213" s="4"/>
    </row>
    <row r="1214" spans="1:2" x14ac:dyDescent="0.2">
      <c r="A1214" s="4"/>
      <c r="B1214" s="4"/>
    </row>
    <row r="1215" spans="1:2" x14ac:dyDescent="0.2">
      <c r="A1215" s="4"/>
      <c r="B1215" s="4"/>
    </row>
    <row r="1216" spans="1:2" x14ac:dyDescent="0.2">
      <c r="A1216" s="4"/>
      <c r="B1216" s="4"/>
    </row>
    <row r="1217" spans="1:2" x14ac:dyDescent="0.2">
      <c r="A1217" s="4"/>
      <c r="B1217" s="4"/>
    </row>
    <row r="1218" spans="1:2" x14ac:dyDescent="0.2">
      <c r="A1218" s="4"/>
      <c r="B1218" s="4"/>
    </row>
    <row r="1219" spans="1:2" x14ac:dyDescent="0.2">
      <c r="A1219" s="4"/>
      <c r="B1219" s="4"/>
    </row>
    <row r="1220" spans="1:2" x14ac:dyDescent="0.2">
      <c r="A1220" s="4"/>
      <c r="B1220" s="4"/>
    </row>
    <row r="1221" spans="1:2" x14ac:dyDescent="0.2">
      <c r="A1221" s="4"/>
      <c r="B1221" s="4"/>
    </row>
    <row r="1222" spans="1:2" x14ac:dyDescent="0.2">
      <c r="A1222" s="4"/>
      <c r="B1222" s="4"/>
    </row>
    <row r="1223" spans="1:2" x14ac:dyDescent="0.2">
      <c r="A1223" s="4"/>
      <c r="B1223" s="4"/>
    </row>
    <row r="1224" spans="1:2" x14ac:dyDescent="0.2">
      <c r="A1224" s="4"/>
      <c r="B1224" s="4"/>
    </row>
    <row r="1225" spans="1:2" x14ac:dyDescent="0.2">
      <c r="A1225" s="4"/>
      <c r="B1225" s="4"/>
    </row>
    <row r="1226" spans="1:2" x14ac:dyDescent="0.2">
      <c r="A1226" s="4"/>
      <c r="B1226" s="4"/>
    </row>
    <row r="1227" spans="1:2" x14ac:dyDescent="0.2">
      <c r="A1227" s="4"/>
      <c r="B1227" s="4"/>
    </row>
    <row r="1228" spans="1:2" x14ac:dyDescent="0.2">
      <c r="A1228" s="4"/>
      <c r="B1228" s="4"/>
    </row>
    <row r="1229" spans="1:2" x14ac:dyDescent="0.2">
      <c r="A1229" s="4"/>
      <c r="B1229" s="4"/>
    </row>
    <row r="1230" spans="1:2" x14ac:dyDescent="0.2">
      <c r="A1230" s="4"/>
      <c r="B1230" s="4"/>
    </row>
    <row r="1231" spans="1:2" x14ac:dyDescent="0.2">
      <c r="A1231" s="4"/>
      <c r="B1231" s="4"/>
    </row>
    <row r="1232" spans="1:2" x14ac:dyDescent="0.2">
      <c r="A1232" s="4"/>
      <c r="B1232" s="4"/>
    </row>
    <row r="1233" spans="1:2" x14ac:dyDescent="0.2">
      <c r="A1233" s="4"/>
      <c r="B1233" s="4"/>
    </row>
    <row r="1234" spans="1:2" x14ac:dyDescent="0.2">
      <c r="A1234" s="4"/>
      <c r="B1234" s="4"/>
    </row>
    <row r="1235" spans="1:2" x14ac:dyDescent="0.2">
      <c r="A1235" s="4"/>
      <c r="B1235" s="4"/>
    </row>
    <row r="1236" spans="1:2" x14ac:dyDescent="0.2">
      <c r="A1236" s="4"/>
      <c r="B1236" s="4"/>
    </row>
    <row r="1237" spans="1:2" x14ac:dyDescent="0.2">
      <c r="A1237" s="4"/>
      <c r="B1237" s="4"/>
    </row>
    <row r="1238" spans="1:2" x14ac:dyDescent="0.2">
      <c r="A1238" s="4"/>
      <c r="B1238" s="4"/>
    </row>
    <row r="1239" spans="1:2" x14ac:dyDescent="0.2">
      <c r="A1239" s="4"/>
      <c r="B1239" s="4"/>
    </row>
    <row r="1240" spans="1:2" x14ac:dyDescent="0.2">
      <c r="A1240" s="4"/>
      <c r="B1240" s="4"/>
    </row>
    <row r="1241" spans="1:2" x14ac:dyDescent="0.2">
      <c r="A1241" s="4"/>
      <c r="B1241" s="4"/>
    </row>
    <row r="1242" spans="1:2" x14ac:dyDescent="0.2">
      <c r="A1242" s="4"/>
      <c r="B1242" s="4"/>
    </row>
    <row r="1243" spans="1:2" x14ac:dyDescent="0.2">
      <c r="A1243" s="4"/>
      <c r="B1243" s="4"/>
    </row>
    <row r="1244" spans="1:2" x14ac:dyDescent="0.2">
      <c r="A1244" s="4"/>
      <c r="B1244" s="4"/>
    </row>
    <row r="1245" spans="1:2" x14ac:dyDescent="0.2">
      <c r="A1245" s="4"/>
      <c r="B1245" s="4"/>
    </row>
    <row r="1246" spans="1:2" x14ac:dyDescent="0.2">
      <c r="A1246" s="4"/>
      <c r="B1246" s="4"/>
    </row>
    <row r="1247" spans="1:2" x14ac:dyDescent="0.2">
      <c r="A1247" s="4"/>
      <c r="B1247" s="4"/>
    </row>
    <row r="1248" spans="1:2" x14ac:dyDescent="0.2">
      <c r="A1248" s="4"/>
      <c r="B1248" s="4"/>
    </row>
    <row r="1249" spans="1:2" x14ac:dyDescent="0.2">
      <c r="A1249" s="4"/>
      <c r="B1249" s="4"/>
    </row>
    <row r="1250" spans="1:2" x14ac:dyDescent="0.2">
      <c r="A1250" s="4"/>
      <c r="B1250" s="4"/>
    </row>
    <row r="1251" spans="1:2" x14ac:dyDescent="0.2">
      <c r="A1251" s="4"/>
      <c r="B1251" s="4"/>
    </row>
    <row r="1252" spans="1:2" x14ac:dyDescent="0.2">
      <c r="A1252" s="4"/>
      <c r="B1252" s="4"/>
    </row>
    <row r="1253" spans="1:2" x14ac:dyDescent="0.2">
      <c r="A1253" s="4"/>
      <c r="B1253" s="4"/>
    </row>
    <row r="1254" spans="1:2" x14ac:dyDescent="0.2">
      <c r="A1254" s="4"/>
      <c r="B1254" s="4"/>
    </row>
    <row r="1255" spans="1:2" x14ac:dyDescent="0.2">
      <c r="A1255" s="4"/>
      <c r="B1255" s="4"/>
    </row>
    <row r="1256" spans="1:2" x14ac:dyDescent="0.2">
      <c r="A1256" s="4"/>
      <c r="B1256" s="4"/>
    </row>
    <row r="1257" spans="1:2" x14ac:dyDescent="0.2">
      <c r="A1257" s="4"/>
      <c r="B1257" s="4"/>
    </row>
    <row r="1258" spans="1:2" x14ac:dyDescent="0.2">
      <c r="A1258" s="4"/>
      <c r="B1258" s="4"/>
    </row>
    <row r="1259" spans="1:2" x14ac:dyDescent="0.2">
      <c r="A1259" s="4"/>
      <c r="B1259" s="4"/>
    </row>
    <row r="1260" spans="1:2" x14ac:dyDescent="0.2">
      <c r="A1260" s="4"/>
      <c r="B1260" s="4"/>
    </row>
    <row r="1261" spans="1:2" x14ac:dyDescent="0.2">
      <c r="A1261" s="4"/>
      <c r="B1261" s="4"/>
    </row>
    <row r="1262" spans="1:2" x14ac:dyDescent="0.2">
      <c r="A1262" s="4"/>
      <c r="B1262" s="4"/>
    </row>
    <row r="1263" spans="1:2" x14ac:dyDescent="0.2">
      <c r="A1263" s="4"/>
      <c r="B1263" s="4"/>
    </row>
    <row r="1264" spans="1:2" x14ac:dyDescent="0.2">
      <c r="A1264" s="4"/>
      <c r="B1264" s="4"/>
    </row>
    <row r="1265" spans="1:2" x14ac:dyDescent="0.2">
      <c r="A1265" s="4"/>
      <c r="B1265" s="4"/>
    </row>
    <row r="1266" spans="1:2" x14ac:dyDescent="0.2">
      <c r="A1266" s="4"/>
      <c r="B1266" s="4"/>
    </row>
    <row r="1267" spans="1:2" x14ac:dyDescent="0.2">
      <c r="A1267" s="4"/>
      <c r="B1267" s="4"/>
    </row>
    <row r="1268" spans="1:2" x14ac:dyDescent="0.2">
      <c r="A1268" s="4"/>
      <c r="B1268" s="4"/>
    </row>
    <row r="1269" spans="1:2" x14ac:dyDescent="0.2">
      <c r="A1269" s="4"/>
      <c r="B1269" s="4"/>
    </row>
    <row r="1270" spans="1:2" x14ac:dyDescent="0.2">
      <c r="A1270" s="4"/>
      <c r="B1270" s="4"/>
    </row>
    <row r="1271" spans="1:2" x14ac:dyDescent="0.2">
      <c r="A1271" s="4"/>
      <c r="B1271" s="4"/>
    </row>
    <row r="1272" spans="1:2" x14ac:dyDescent="0.2">
      <c r="A1272" s="4"/>
      <c r="B1272" s="4"/>
    </row>
    <row r="1273" spans="1:2" x14ac:dyDescent="0.2">
      <c r="A1273" s="4"/>
      <c r="B1273" s="4"/>
    </row>
    <row r="1274" spans="1:2" x14ac:dyDescent="0.2">
      <c r="A1274" s="4"/>
      <c r="B1274" s="4"/>
    </row>
    <row r="1275" spans="1:2" x14ac:dyDescent="0.2">
      <c r="A1275" s="4"/>
      <c r="B1275" s="4"/>
    </row>
    <row r="1276" spans="1:2" x14ac:dyDescent="0.2">
      <c r="A1276" s="4"/>
      <c r="B1276" s="4"/>
    </row>
    <row r="1277" spans="1:2" x14ac:dyDescent="0.2">
      <c r="A1277" s="4"/>
      <c r="B1277" s="4"/>
    </row>
    <row r="1278" spans="1:2" x14ac:dyDescent="0.2">
      <c r="A1278" s="4"/>
      <c r="B1278" s="4"/>
    </row>
    <row r="1279" spans="1:2" x14ac:dyDescent="0.2">
      <c r="A1279" s="4"/>
      <c r="B1279" s="4"/>
    </row>
    <row r="1280" spans="1:2" x14ac:dyDescent="0.2">
      <c r="A1280" s="4"/>
      <c r="B1280" s="4"/>
    </row>
    <row r="1281" spans="1:2" x14ac:dyDescent="0.2">
      <c r="A1281" s="4"/>
      <c r="B1281" s="4"/>
    </row>
    <row r="1282" spans="1:2" x14ac:dyDescent="0.2">
      <c r="A1282" s="4"/>
      <c r="B1282" s="4"/>
    </row>
    <row r="1283" spans="1:2" x14ac:dyDescent="0.2">
      <c r="A1283" s="4"/>
      <c r="B1283" s="4"/>
    </row>
    <row r="1284" spans="1:2" x14ac:dyDescent="0.2">
      <c r="A1284" s="4"/>
      <c r="B1284" s="4"/>
    </row>
    <row r="1285" spans="1:2" x14ac:dyDescent="0.2">
      <c r="A1285" s="4"/>
      <c r="B1285" s="4"/>
    </row>
    <row r="1286" spans="1:2" x14ac:dyDescent="0.2">
      <c r="A1286" s="4"/>
      <c r="B1286" s="4"/>
    </row>
    <row r="1287" spans="1:2" x14ac:dyDescent="0.2">
      <c r="A1287" s="4"/>
      <c r="B1287" s="4"/>
    </row>
    <row r="1288" spans="1:2" x14ac:dyDescent="0.2">
      <c r="A1288" s="4"/>
      <c r="B1288" s="4"/>
    </row>
    <row r="1289" spans="1:2" x14ac:dyDescent="0.2">
      <c r="A1289" s="4"/>
      <c r="B1289" s="4"/>
    </row>
    <row r="1290" spans="1:2" x14ac:dyDescent="0.2">
      <c r="A1290" s="4"/>
      <c r="B1290" s="4"/>
    </row>
    <row r="1291" spans="1:2" x14ac:dyDescent="0.2">
      <c r="A1291" s="4"/>
      <c r="B1291" s="4"/>
    </row>
    <row r="1292" spans="1:2" x14ac:dyDescent="0.2">
      <c r="A1292" s="4"/>
      <c r="B1292" s="4"/>
    </row>
    <row r="1293" spans="1:2" x14ac:dyDescent="0.2">
      <c r="A1293" s="4"/>
      <c r="B1293" s="4"/>
    </row>
    <row r="1294" spans="1:2" x14ac:dyDescent="0.2">
      <c r="A1294" s="4"/>
      <c r="B1294" s="4"/>
    </row>
    <row r="1295" spans="1:2" x14ac:dyDescent="0.2">
      <c r="A1295" s="4"/>
      <c r="B1295" s="4"/>
    </row>
    <row r="1296" spans="1:2" x14ac:dyDescent="0.2">
      <c r="A1296" s="4"/>
      <c r="B1296" s="4"/>
    </row>
    <row r="1297" spans="1:2" x14ac:dyDescent="0.2">
      <c r="A1297" s="4"/>
      <c r="B1297" s="4"/>
    </row>
    <row r="1298" spans="1:2" x14ac:dyDescent="0.2">
      <c r="A1298" s="4"/>
      <c r="B1298" s="4"/>
    </row>
    <row r="1299" spans="1:2" x14ac:dyDescent="0.2">
      <c r="A1299" s="4"/>
      <c r="B1299" s="4"/>
    </row>
    <row r="1300" spans="1:2" x14ac:dyDescent="0.2">
      <c r="A1300" s="4"/>
      <c r="B1300" s="4"/>
    </row>
    <row r="1301" spans="1:2" x14ac:dyDescent="0.2">
      <c r="A1301" s="4"/>
      <c r="B1301" s="4"/>
    </row>
    <row r="1302" spans="1:2" x14ac:dyDescent="0.2">
      <c r="A1302" s="4"/>
      <c r="B1302" s="4"/>
    </row>
    <row r="1303" spans="1:2" x14ac:dyDescent="0.2">
      <c r="A1303" s="4"/>
      <c r="B1303" s="4"/>
    </row>
    <row r="1304" spans="1:2" x14ac:dyDescent="0.2">
      <c r="A1304" s="4"/>
      <c r="B1304" s="4"/>
    </row>
    <row r="1305" spans="1:2" x14ac:dyDescent="0.2">
      <c r="A1305" s="4"/>
      <c r="B1305" s="4"/>
    </row>
    <row r="1306" spans="1:2" x14ac:dyDescent="0.2">
      <c r="A1306" s="4"/>
      <c r="B1306" s="4"/>
    </row>
    <row r="1307" spans="1:2" x14ac:dyDescent="0.2">
      <c r="A1307" s="4"/>
      <c r="B1307" s="4"/>
    </row>
    <row r="1308" spans="1:2" x14ac:dyDescent="0.2">
      <c r="A1308" s="4"/>
      <c r="B1308" s="4"/>
    </row>
    <row r="1309" spans="1:2" x14ac:dyDescent="0.2">
      <c r="A1309" s="4"/>
      <c r="B1309" s="4"/>
    </row>
    <row r="1310" spans="1:2" x14ac:dyDescent="0.2">
      <c r="A1310" s="4"/>
      <c r="B1310" s="4"/>
    </row>
    <row r="1311" spans="1:2" x14ac:dyDescent="0.2">
      <c r="A1311" s="4"/>
      <c r="B1311" s="4"/>
    </row>
    <row r="1312" spans="1:2" x14ac:dyDescent="0.2">
      <c r="A1312" s="4"/>
      <c r="B1312" s="4"/>
    </row>
    <row r="1313" spans="1:2" x14ac:dyDescent="0.2">
      <c r="A1313" s="4"/>
      <c r="B1313" s="4"/>
    </row>
    <row r="1314" spans="1:2" x14ac:dyDescent="0.2">
      <c r="A1314" s="4"/>
      <c r="B1314" s="4"/>
    </row>
    <row r="1315" spans="1:2" x14ac:dyDescent="0.2">
      <c r="A1315" s="4"/>
      <c r="B1315" s="4"/>
    </row>
    <row r="1316" spans="1:2" x14ac:dyDescent="0.2">
      <c r="A1316" s="4"/>
      <c r="B1316" s="4"/>
    </row>
    <row r="1317" spans="1:2" x14ac:dyDescent="0.2">
      <c r="A1317" s="4"/>
      <c r="B1317" s="4"/>
    </row>
    <row r="1318" spans="1:2" x14ac:dyDescent="0.2">
      <c r="A1318" s="4"/>
      <c r="B1318" s="4"/>
    </row>
    <row r="1319" spans="1:2" x14ac:dyDescent="0.2">
      <c r="A1319" s="4"/>
      <c r="B1319" s="4"/>
    </row>
    <row r="1320" spans="1:2" x14ac:dyDescent="0.2">
      <c r="A1320" s="4"/>
      <c r="B1320" s="4"/>
    </row>
    <row r="1321" spans="1:2" x14ac:dyDescent="0.2">
      <c r="A1321" s="4"/>
      <c r="B1321" s="4"/>
    </row>
    <row r="1322" spans="1:2" x14ac:dyDescent="0.2">
      <c r="A1322" s="4"/>
      <c r="B1322" s="4"/>
    </row>
    <row r="1323" spans="1:2" x14ac:dyDescent="0.2">
      <c r="A1323" s="4"/>
      <c r="B1323" s="4"/>
    </row>
    <row r="1324" spans="1:2" x14ac:dyDescent="0.2">
      <c r="A1324" s="4"/>
      <c r="B1324" s="4"/>
    </row>
    <row r="1325" spans="1:2" x14ac:dyDescent="0.2">
      <c r="A1325" s="4"/>
      <c r="B1325" s="4"/>
    </row>
    <row r="1326" spans="1:2" x14ac:dyDescent="0.2">
      <c r="A1326" s="4"/>
      <c r="B1326" s="4"/>
    </row>
    <row r="1327" spans="1:2" x14ac:dyDescent="0.2">
      <c r="A1327" s="4"/>
      <c r="B1327" s="4"/>
    </row>
    <row r="1328" spans="1:2" x14ac:dyDescent="0.2">
      <c r="A1328" s="4"/>
      <c r="B1328" s="4"/>
    </row>
    <row r="1329" spans="1:2" x14ac:dyDescent="0.2">
      <c r="A1329" s="4"/>
      <c r="B1329" s="4"/>
    </row>
    <row r="1330" spans="1:2" x14ac:dyDescent="0.2">
      <c r="A1330" s="4"/>
      <c r="B1330" s="4"/>
    </row>
    <row r="1331" spans="1:2" x14ac:dyDescent="0.2">
      <c r="A1331" s="4"/>
      <c r="B1331" s="4"/>
    </row>
    <row r="1332" spans="1:2" x14ac:dyDescent="0.2">
      <c r="A1332" s="4"/>
      <c r="B1332" s="4"/>
    </row>
    <row r="1333" spans="1:2" x14ac:dyDescent="0.2">
      <c r="A1333" s="4"/>
      <c r="B1333" s="4"/>
    </row>
    <row r="1334" spans="1:2" x14ac:dyDescent="0.2">
      <c r="A1334" s="4"/>
      <c r="B1334" s="4"/>
    </row>
    <row r="1335" spans="1:2" x14ac:dyDescent="0.2">
      <c r="A1335" s="4"/>
      <c r="B1335" s="4"/>
    </row>
    <row r="1336" spans="1:2" x14ac:dyDescent="0.2">
      <c r="A1336" s="4"/>
      <c r="B1336" s="4"/>
    </row>
    <row r="1337" spans="1:2" x14ac:dyDescent="0.2">
      <c r="A1337" s="4"/>
      <c r="B1337" s="4"/>
    </row>
    <row r="1338" spans="1:2" x14ac:dyDescent="0.2">
      <c r="A1338" s="4"/>
      <c r="B1338" s="4"/>
    </row>
    <row r="1339" spans="1:2" x14ac:dyDescent="0.2">
      <c r="A1339" s="4"/>
      <c r="B1339" s="4"/>
    </row>
    <row r="1340" spans="1:2" x14ac:dyDescent="0.2">
      <c r="A1340" s="4"/>
      <c r="B1340" s="4"/>
    </row>
    <row r="1341" spans="1:2" x14ac:dyDescent="0.2">
      <c r="A1341" s="4"/>
      <c r="B1341" s="4"/>
    </row>
    <row r="1342" spans="1:2" x14ac:dyDescent="0.2">
      <c r="A1342" s="4"/>
      <c r="B1342" s="4"/>
    </row>
    <row r="1343" spans="1:2" x14ac:dyDescent="0.2">
      <c r="A1343" s="4"/>
      <c r="B1343" s="4"/>
    </row>
    <row r="1344" spans="1:2" x14ac:dyDescent="0.2">
      <c r="A1344" s="4"/>
      <c r="B1344" s="4"/>
    </row>
    <row r="1345" spans="1:2" x14ac:dyDescent="0.2">
      <c r="A1345" s="4"/>
      <c r="B1345" s="4"/>
    </row>
    <row r="1346" spans="1:2" x14ac:dyDescent="0.2">
      <c r="A1346" s="4"/>
      <c r="B1346" s="4"/>
    </row>
    <row r="1347" spans="1:2" x14ac:dyDescent="0.2">
      <c r="A1347" s="4"/>
      <c r="B1347" s="4"/>
    </row>
    <row r="1348" spans="1:2" x14ac:dyDescent="0.2">
      <c r="A1348" s="4"/>
      <c r="B1348" s="4"/>
    </row>
    <row r="1349" spans="1:2" x14ac:dyDescent="0.2">
      <c r="A1349" s="4"/>
      <c r="B1349" s="4"/>
    </row>
    <row r="1350" spans="1:2" x14ac:dyDescent="0.2">
      <c r="A1350" s="4"/>
      <c r="B1350" s="4"/>
    </row>
    <row r="1351" spans="1:2" x14ac:dyDescent="0.2">
      <c r="A1351" s="4"/>
      <c r="B1351" s="4"/>
    </row>
    <row r="1352" spans="1:2" x14ac:dyDescent="0.2">
      <c r="A1352" s="4"/>
      <c r="B1352" s="4"/>
    </row>
    <row r="1353" spans="1:2" x14ac:dyDescent="0.2">
      <c r="A1353" s="4"/>
      <c r="B1353" s="4"/>
    </row>
    <row r="1354" spans="1:2" x14ac:dyDescent="0.2">
      <c r="A1354" s="4"/>
      <c r="B1354" s="4"/>
    </row>
    <row r="1355" spans="1:2" x14ac:dyDescent="0.2">
      <c r="A1355" s="4"/>
      <c r="B1355" s="4"/>
    </row>
    <row r="1356" spans="1:2" x14ac:dyDescent="0.2">
      <c r="A1356" s="4"/>
      <c r="B1356" s="4"/>
    </row>
    <row r="1357" spans="1:2" x14ac:dyDescent="0.2">
      <c r="A1357" s="4"/>
      <c r="B1357" s="4"/>
    </row>
    <row r="1358" spans="1:2" x14ac:dyDescent="0.2">
      <c r="A1358" s="4"/>
      <c r="B1358" s="4"/>
    </row>
    <row r="1359" spans="1:2" x14ac:dyDescent="0.2">
      <c r="A1359" s="4"/>
      <c r="B1359" s="4"/>
    </row>
    <row r="1360" spans="1:2" x14ac:dyDescent="0.2">
      <c r="A1360" s="4"/>
      <c r="B1360" s="4"/>
    </row>
    <row r="1361" spans="1:2" x14ac:dyDescent="0.2">
      <c r="A1361" s="4"/>
      <c r="B1361" s="4"/>
    </row>
    <row r="1362" spans="1:2" x14ac:dyDescent="0.2">
      <c r="A1362" s="4"/>
      <c r="B1362" s="4"/>
    </row>
    <row r="1363" spans="1:2" x14ac:dyDescent="0.2">
      <c r="A1363" s="4"/>
      <c r="B1363" s="4"/>
    </row>
    <row r="1364" spans="1:2" x14ac:dyDescent="0.2">
      <c r="A1364" s="4"/>
      <c r="B1364" s="4"/>
    </row>
    <row r="1365" spans="1:2" x14ac:dyDescent="0.2">
      <c r="A1365" s="4"/>
      <c r="B1365" s="4"/>
    </row>
    <row r="1366" spans="1:2" x14ac:dyDescent="0.2">
      <c r="A1366" s="4"/>
      <c r="B1366" s="4"/>
    </row>
    <row r="1367" spans="1:2" x14ac:dyDescent="0.2">
      <c r="A1367" s="4"/>
      <c r="B1367" s="4"/>
    </row>
    <row r="1368" spans="1:2" x14ac:dyDescent="0.2">
      <c r="A1368" s="4"/>
      <c r="B1368" s="4"/>
    </row>
    <row r="1369" spans="1:2" x14ac:dyDescent="0.2">
      <c r="A1369" s="4"/>
      <c r="B1369" s="4"/>
    </row>
    <row r="1370" spans="1:2" x14ac:dyDescent="0.2">
      <c r="A1370" s="4"/>
      <c r="B1370" s="4"/>
    </row>
    <row r="1371" spans="1:2" x14ac:dyDescent="0.2">
      <c r="A1371" s="4"/>
      <c r="B1371" s="4"/>
    </row>
    <row r="1372" spans="1:2" x14ac:dyDescent="0.2">
      <c r="A1372" s="4"/>
      <c r="B1372" s="4"/>
    </row>
    <row r="1373" spans="1:2" x14ac:dyDescent="0.2">
      <c r="A1373" s="4"/>
      <c r="B1373" s="4"/>
    </row>
    <row r="1374" spans="1:2" x14ac:dyDescent="0.2">
      <c r="A1374" s="4"/>
      <c r="B1374" s="4"/>
    </row>
    <row r="1375" spans="1:2" x14ac:dyDescent="0.2">
      <c r="A1375" s="4"/>
      <c r="B1375" s="4"/>
    </row>
    <row r="1376" spans="1:2" x14ac:dyDescent="0.2">
      <c r="A1376" s="4"/>
      <c r="B1376" s="4"/>
    </row>
    <row r="1377" spans="1:2" x14ac:dyDescent="0.2">
      <c r="A1377" s="4"/>
      <c r="B1377" s="4"/>
    </row>
    <row r="1378" spans="1:2" x14ac:dyDescent="0.2">
      <c r="A1378" s="4"/>
      <c r="B1378" s="4"/>
    </row>
    <row r="1379" spans="1:2" x14ac:dyDescent="0.2">
      <c r="A1379" s="4"/>
      <c r="B1379" s="4"/>
    </row>
    <row r="1380" spans="1:2" x14ac:dyDescent="0.2">
      <c r="A1380" s="4"/>
      <c r="B1380" s="4"/>
    </row>
    <row r="1381" spans="1:2" x14ac:dyDescent="0.2">
      <c r="A1381" s="4"/>
      <c r="B1381" s="4"/>
    </row>
    <row r="1382" spans="1:2" x14ac:dyDescent="0.2">
      <c r="A1382" s="4"/>
      <c r="B1382" s="4"/>
    </row>
    <row r="1383" spans="1:2" x14ac:dyDescent="0.2">
      <c r="A1383" s="4"/>
      <c r="B1383" s="4"/>
    </row>
    <row r="1384" spans="1:2" x14ac:dyDescent="0.2">
      <c r="A1384" s="4"/>
      <c r="B1384" s="4"/>
    </row>
    <row r="1385" spans="1:2" x14ac:dyDescent="0.2">
      <c r="A1385" s="4"/>
      <c r="B1385" s="4"/>
    </row>
    <row r="1386" spans="1:2" x14ac:dyDescent="0.2">
      <c r="A1386" s="4"/>
      <c r="B1386" s="4"/>
    </row>
    <row r="1387" spans="1:2" x14ac:dyDescent="0.2">
      <c r="A1387" s="4"/>
      <c r="B1387" s="4"/>
    </row>
    <row r="1388" spans="1:2" x14ac:dyDescent="0.2">
      <c r="A1388" s="4"/>
      <c r="B1388" s="4"/>
    </row>
    <row r="1389" spans="1:2" x14ac:dyDescent="0.2">
      <c r="A1389" s="4"/>
      <c r="B1389" s="4"/>
    </row>
    <row r="1390" spans="1:2" x14ac:dyDescent="0.2">
      <c r="A1390" s="4"/>
      <c r="B1390" s="4"/>
    </row>
    <row r="1391" spans="1:2" x14ac:dyDescent="0.2">
      <c r="A1391" s="4"/>
      <c r="B1391" s="4"/>
    </row>
    <row r="1392" spans="1:2" x14ac:dyDescent="0.2">
      <c r="A1392" s="4"/>
      <c r="B1392" s="4"/>
    </row>
    <row r="1393" spans="1:2" x14ac:dyDescent="0.2">
      <c r="A1393" s="4"/>
      <c r="B1393" s="4"/>
    </row>
    <row r="1394" spans="1:2" x14ac:dyDescent="0.2">
      <c r="A1394" s="4"/>
      <c r="B1394" s="4"/>
    </row>
    <row r="1395" spans="1:2" x14ac:dyDescent="0.2">
      <c r="A1395" s="4"/>
      <c r="B1395" s="4"/>
    </row>
    <row r="1396" spans="1:2" x14ac:dyDescent="0.2">
      <c r="A1396" s="4"/>
      <c r="B1396" s="4"/>
    </row>
    <row r="1397" spans="1:2" x14ac:dyDescent="0.2">
      <c r="A1397" s="4"/>
      <c r="B1397" s="4"/>
    </row>
    <row r="1398" spans="1:2" x14ac:dyDescent="0.2">
      <c r="A1398" s="4"/>
      <c r="B1398" s="4"/>
    </row>
    <row r="1399" spans="1:2" x14ac:dyDescent="0.2">
      <c r="A1399" s="4"/>
      <c r="B1399" s="4"/>
    </row>
    <row r="1400" spans="1:2" x14ac:dyDescent="0.2">
      <c r="A1400" s="4"/>
      <c r="B1400" s="4"/>
    </row>
    <row r="1401" spans="1:2" x14ac:dyDescent="0.2">
      <c r="A1401" s="4"/>
      <c r="B1401" s="4"/>
    </row>
    <row r="1402" spans="1:2" x14ac:dyDescent="0.2">
      <c r="A1402" s="4"/>
      <c r="B1402" s="4"/>
    </row>
    <row r="1403" spans="1:2" x14ac:dyDescent="0.2">
      <c r="A1403" s="4"/>
      <c r="B1403" s="4"/>
    </row>
    <row r="1404" spans="1:2" x14ac:dyDescent="0.2">
      <c r="A1404" s="4"/>
      <c r="B1404" s="4"/>
    </row>
    <row r="1405" spans="1:2" x14ac:dyDescent="0.2">
      <c r="A1405" s="4"/>
      <c r="B1405" s="4"/>
    </row>
    <row r="1406" spans="1:2" x14ac:dyDescent="0.2">
      <c r="A1406" s="4"/>
      <c r="B1406" s="4"/>
    </row>
    <row r="1407" spans="1:2" x14ac:dyDescent="0.2">
      <c r="A1407" s="4"/>
      <c r="B1407" s="4"/>
    </row>
    <row r="1408" spans="1:2" x14ac:dyDescent="0.2">
      <c r="A1408" s="4"/>
      <c r="B1408" s="4"/>
    </row>
    <row r="1409" spans="1:2" x14ac:dyDescent="0.2">
      <c r="A1409" s="4"/>
      <c r="B1409" s="4"/>
    </row>
    <row r="1410" spans="1:2" x14ac:dyDescent="0.2">
      <c r="A1410" s="4"/>
      <c r="B1410" s="4"/>
    </row>
    <row r="1411" spans="1:2" x14ac:dyDescent="0.2">
      <c r="A1411" s="4"/>
      <c r="B1411" s="4"/>
    </row>
    <row r="1412" spans="1:2" x14ac:dyDescent="0.2">
      <c r="A1412" s="4"/>
      <c r="B1412" s="4"/>
    </row>
    <row r="1413" spans="1:2" x14ac:dyDescent="0.2">
      <c r="A1413" s="4"/>
      <c r="B1413" s="4"/>
    </row>
    <row r="1414" spans="1:2" x14ac:dyDescent="0.2">
      <c r="A1414" s="4"/>
      <c r="B1414" s="4"/>
    </row>
    <row r="1415" spans="1:2" x14ac:dyDescent="0.2">
      <c r="A1415" s="4"/>
      <c r="B1415" s="4"/>
    </row>
    <row r="1416" spans="1:2" x14ac:dyDescent="0.2">
      <c r="A1416" s="4"/>
      <c r="B1416" s="4"/>
    </row>
    <row r="1417" spans="1:2" x14ac:dyDescent="0.2">
      <c r="A1417" s="4"/>
      <c r="B1417" s="4"/>
    </row>
    <row r="1418" spans="1:2" x14ac:dyDescent="0.2">
      <c r="A1418" s="4"/>
      <c r="B1418" s="4"/>
    </row>
    <row r="1419" spans="1:2" x14ac:dyDescent="0.2">
      <c r="A1419" s="4"/>
      <c r="B1419" s="4"/>
    </row>
    <row r="1420" spans="1:2" x14ac:dyDescent="0.2">
      <c r="A1420" s="4"/>
      <c r="B1420" s="4"/>
    </row>
    <row r="1421" spans="1:2" x14ac:dyDescent="0.2">
      <c r="A1421" s="4"/>
      <c r="B1421" s="4"/>
    </row>
    <row r="1422" spans="1:2" x14ac:dyDescent="0.2">
      <c r="A1422" s="4"/>
      <c r="B1422" s="4"/>
    </row>
    <row r="1423" spans="1:2" x14ac:dyDescent="0.2">
      <c r="A1423" s="4"/>
      <c r="B1423" s="4"/>
    </row>
    <row r="1424" spans="1:2" x14ac:dyDescent="0.2">
      <c r="A1424" s="4"/>
      <c r="B1424" s="4"/>
    </row>
    <row r="1425" spans="1:2" x14ac:dyDescent="0.2">
      <c r="A1425" s="4"/>
      <c r="B1425" s="4"/>
    </row>
    <row r="1426" spans="1:2" x14ac:dyDescent="0.2">
      <c r="A1426" s="4"/>
      <c r="B1426" s="4"/>
    </row>
    <row r="1427" spans="1:2" x14ac:dyDescent="0.2">
      <c r="A1427" s="4"/>
      <c r="B1427" s="4"/>
    </row>
    <row r="1428" spans="1:2" x14ac:dyDescent="0.2">
      <c r="A1428" s="4"/>
      <c r="B1428" s="4"/>
    </row>
    <row r="1429" spans="1:2" x14ac:dyDescent="0.2">
      <c r="A1429" s="4"/>
      <c r="B1429" s="4"/>
    </row>
    <row r="1430" spans="1:2" x14ac:dyDescent="0.2">
      <c r="A1430" s="4"/>
      <c r="B1430" s="4"/>
    </row>
    <row r="1431" spans="1:2" x14ac:dyDescent="0.2">
      <c r="A1431" s="4"/>
      <c r="B1431" s="4"/>
    </row>
    <row r="1432" spans="1:2" x14ac:dyDescent="0.2">
      <c r="A1432" s="4"/>
      <c r="B1432" s="4"/>
    </row>
    <row r="1433" spans="1:2" x14ac:dyDescent="0.2">
      <c r="A1433" s="4"/>
      <c r="B1433" s="4"/>
    </row>
    <row r="1434" spans="1:2" x14ac:dyDescent="0.2">
      <c r="A1434" s="4"/>
      <c r="B1434" s="4"/>
    </row>
    <row r="1435" spans="1:2" x14ac:dyDescent="0.2">
      <c r="A1435" s="4"/>
      <c r="B1435" s="4"/>
    </row>
    <row r="1436" spans="1:2" x14ac:dyDescent="0.2">
      <c r="A1436" s="4"/>
      <c r="B1436" s="4"/>
    </row>
    <row r="1437" spans="1:2" x14ac:dyDescent="0.2">
      <c r="A1437" s="4"/>
      <c r="B1437" s="4"/>
    </row>
    <row r="1438" spans="1:2" x14ac:dyDescent="0.2">
      <c r="A1438" s="4"/>
      <c r="B1438" s="4"/>
    </row>
    <row r="1439" spans="1:2" x14ac:dyDescent="0.2">
      <c r="A1439" s="4"/>
      <c r="B1439" s="4"/>
    </row>
    <row r="1440" spans="1:2" x14ac:dyDescent="0.2">
      <c r="A1440" s="4"/>
      <c r="B1440" s="4"/>
    </row>
    <row r="1441" spans="1:2" x14ac:dyDescent="0.2">
      <c r="A1441" s="4"/>
      <c r="B1441" s="4"/>
    </row>
    <row r="1442" spans="1:2" x14ac:dyDescent="0.2">
      <c r="A1442" s="4"/>
      <c r="B1442" s="4"/>
    </row>
    <row r="1443" spans="1:2" x14ac:dyDescent="0.2">
      <c r="A1443" s="4"/>
      <c r="B1443" s="4"/>
    </row>
    <row r="1444" spans="1:2" x14ac:dyDescent="0.2">
      <c r="A1444" s="4"/>
      <c r="B1444" s="4"/>
    </row>
    <row r="1445" spans="1:2" x14ac:dyDescent="0.2">
      <c r="A1445" s="4"/>
      <c r="B1445" s="4"/>
    </row>
    <row r="1446" spans="1:2" x14ac:dyDescent="0.2">
      <c r="A1446" s="4"/>
      <c r="B1446" s="4"/>
    </row>
    <row r="1447" spans="1:2" x14ac:dyDescent="0.2">
      <c r="A1447" s="4"/>
      <c r="B1447" s="4"/>
    </row>
    <row r="1448" spans="1:2" x14ac:dyDescent="0.2">
      <c r="A1448" s="4"/>
      <c r="B1448" s="4"/>
    </row>
    <row r="1449" spans="1:2" x14ac:dyDescent="0.2">
      <c r="A1449" s="4"/>
      <c r="B1449" s="4"/>
    </row>
    <row r="1450" spans="1:2" x14ac:dyDescent="0.2">
      <c r="A1450" s="4"/>
      <c r="B1450" s="4"/>
    </row>
    <row r="1451" spans="1:2" x14ac:dyDescent="0.2">
      <c r="A1451" s="4"/>
      <c r="B1451" s="4"/>
    </row>
    <row r="1452" spans="1:2" x14ac:dyDescent="0.2">
      <c r="A1452" s="4"/>
      <c r="B1452" s="4"/>
    </row>
    <row r="1453" spans="1:2" x14ac:dyDescent="0.2">
      <c r="A1453" s="4"/>
      <c r="B1453" s="4"/>
    </row>
    <row r="1454" spans="1:2" x14ac:dyDescent="0.2">
      <c r="A1454" s="4"/>
      <c r="B1454" s="4"/>
    </row>
    <row r="1455" spans="1:2" x14ac:dyDescent="0.2">
      <c r="A1455" s="4"/>
      <c r="B1455" s="4"/>
    </row>
    <row r="1456" spans="1:2" x14ac:dyDescent="0.2">
      <c r="A1456" s="4"/>
      <c r="B1456" s="4"/>
    </row>
    <row r="1457" spans="1:2" x14ac:dyDescent="0.2">
      <c r="A1457" s="4"/>
      <c r="B1457" s="4"/>
    </row>
    <row r="1458" spans="1:2" x14ac:dyDescent="0.2">
      <c r="A1458" s="4"/>
      <c r="B1458" s="4"/>
    </row>
    <row r="1459" spans="1:2" x14ac:dyDescent="0.2">
      <c r="A1459" s="4"/>
      <c r="B1459" s="4"/>
    </row>
    <row r="1460" spans="1:2" x14ac:dyDescent="0.2">
      <c r="A1460" s="4"/>
      <c r="B1460" s="4"/>
    </row>
    <row r="1461" spans="1:2" x14ac:dyDescent="0.2">
      <c r="A1461" s="4"/>
      <c r="B1461" s="4"/>
    </row>
    <row r="1462" spans="1:2" x14ac:dyDescent="0.2">
      <c r="A1462" s="4"/>
      <c r="B1462" s="4"/>
    </row>
    <row r="1463" spans="1:2" x14ac:dyDescent="0.2">
      <c r="A1463" s="4"/>
      <c r="B1463" s="4"/>
    </row>
    <row r="1464" spans="1:2" x14ac:dyDescent="0.2">
      <c r="A1464" s="4"/>
      <c r="B1464" s="4"/>
    </row>
    <row r="1465" spans="1:2" x14ac:dyDescent="0.2">
      <c r="A1465" s="4"/>
      <c r="B1465" s="4"/>
    </row>
    <row r="1466" spans="1:2" x14ac:dyDescent="0.2">
      <c r="A1466" s="4"/>
      <c r="B1466" s="4"/>
    </row>
    <row r="1467" spans="1:2" x14ac:dyDescent="0.2">
      <c r="A1467" s="4"/>
      <c r="B1467" s="4"/>
    </row>
    <row r="1468" spans="1:2" x14ac:dyDescent="0.2">
      <c r="A1468" s="4"/>
      <c r="B1468" s="4"/>
    </row>
    <row r="1469" spans="1:2" x14ac:dyDescent="0.2">
      <c r="A1469" s="4"/>
      <c r="B1469" s="4"/>
    </row>
    <row r="1470" spans="1:2" x14ac:dyDescent="0.2">
      <c r="A1470" s="4"/>
      <c r="B1470" s="4"/>
    </row>
    <row r="1471" spans="1:2" x14ac:dyDescent="0.2">
      <c r="A1471" s="4"/>
      <c r="B1471" s="4"/>
    </row>
    <row r="1472" spans="1:2" x14ac:dyDescent="0.2">
      <c r="A1472" s="4"/>
      <c r="B1472" s="4"/>
    </row>
    <row r="1473" spans="1:2" x14ac:dyDescent="0.2">
      <c r="A1473" s="4"/>
      <c r="B1473" s="4"/>
    </row>
    <row r="1474" spans="1:2" x14ac:dyDescent="0.2">
      <c r="A1474" s="4"/>
      <c r="B1474" s="4"/>
    </row>
    <row r="1475" spans="1:2" x14ac:dyDescent="0.2">
      <c r="A1475" s="4"/>
      <c r="B1475" s="4"/>
    </row>
    <row r="1476" spans="1:2" x14ac:dyDescent="0.2">
      <c r="A1476" s="4"/>
      <c r="B1476" s="4"/>
    </row>
    <row r="1477" spans="1:2" x14ac:dyDescent="0.2">
      <c r="A1477" s="4"/>
      <c r="B1477" s="4"/>
    </row>
    <row r="1478" spans="1:2" x14ac:dyDescent="0.2">
      <c r="A1478" s="4"/>
      <c r="B1478" s="4"/>
    </row>
    <row r="1479" spans="1:2" x14ac:dyDescent="0.2">
      <c r="A1479" s="4"/>
      <c r="B1479" s="4"/>
    </row>
    <row r="1480" spans="1:2" x14ac:dyDescent="0.2">
      <c r="A1480" s="4"/>
      <c r="B1480" s="4"/>
    </row>
    <row r="1481" spans="1:2" x14ac:dyDescent="0.2">
      <c r="A1481" s="4"/>
      <c r="B1481" s="4"/>
    </row>
    <row r="1482" spans="1:2" x14ac:dyDescent="0.2">
      <c r="A1482" s="4"/>
      <c r="B1482" s="4"/>
    </row>
    <row r="1483" spans="1:2" x14ac:dyDescent="0.2">
      <c r="A1483" s="4"/>
      <c r="B1483" s="4"/>
    </row>
    <row r="1484" spans="1:2" x14ac:dyDescent="0.2">
      <c r="A1484" s="4"/>
      <c r="B1484" s="4"/>
    </row>
    <row r="1485" spans="1:2" x14ac:dyDescent="0.2">
      <c r="A1485" s="4"/>
      <c r="B1485" s="4"/>
    </row>
    <row r="1486" spans="1:2" x14ac:dyDescent="0.2">
      <c r="A1486" s="4"/>
      <c r="B1486" s="4"/>
    </row>
    <row r="1487" spans="1:2" x14ac:dyDescent="0.2">
      <c r="A1487" s="4"/>
      <c r="B1487" s="4"/>
    </row>
    <row r="1488" spans="1:2" x14ac:dyDescent="0.2">
      <c r="A1488" s="4"/>
      <c r="B1488" s="4"/>
    </row>
    <row r="1489" spans="1:2" x14ac:dyDescent="0.2">
      <c r="A1489" s="4"/>
      <c r="B1489" s="4"/>
    </row>
    <row r="1490" spans="1:2" x14ac:dyDescent="0.2">
      <c r="A1490" s="4"/>
      <c r="B1490" s="4"/>
    </row>
    <row r="1491" spans="1:2" x14ac:dyDescent="0.2">
      <c r="A1491" s="4"/>
      <c r="B1491" s="4"/>
    </row>
    <row r="1492" spans="1:2" x14ac:dyDescent="0.2">
      <c r="A1492" s="4"/>
      <c r="B1492" s="4"/>
    </row>
    <row r="1493" spans="1:2" x14ac:dyDescent="0.2">
      <c r="A1493" s="4"/>
      <c r="B1493" s="4"/>
    </row>
    <row r="1494" spans="1:2" x14ac:dyDescent="0.2">
      <c r="A1494" s="4"/>
      <c r="B1494" s="4"/>
    </row>
    <row r="1495" spans="1:2" x14ac:dyDescent="0.2">
      <c r="A1495" s="4"/>
      <c r="B1495" s="4"/>
    </row>
    <row r="1496" spans="1:2" x14ac:dyDescent="0.2">
      <c r="A1496" s="4"/>
      <c r="B1496" s="4"/>
    </row>
    <row r="1497" spans="1:2" x14ac:dyDescent="0.2">
      <c r="A1497" s="4"/>
      <c r="B1497" s="4"/>
    </row>
    <row r="1498" spans="1:2" x14ac:dyDescent="0.2">
      <c r="A1498" s="4"/>
      <c r="B1498" s="4"/>
    </row>
    <row r="1499" spans="1:2" x14ac:dyDescent="0.2">
      <c r="A1499" s="4"/>
      <c r="B1499" s="4"/>
    </row>
    <row r="1500" spans="1:2" x14ac:dyDescent="0.2">
      <c r="A1500" s="4"/>
      <c r="B1500" s="4"/>
    </row>
    <row r="1501" spans="1:2" x14ac:dyDescent="0.2">
      <c r="A1501" s="4"/>
      <c r="B1501" s="4"/>
    </row>
    <row r="1502" spans="1:2" x14ac:dyDescent="0.2">
      <c r="A1502" s="4"/>
      <c r="B1502" s="4"/>
    </row>
    <row r="1503" spans="1:2" x14ac:dyDescent="0.2">
      <c r="A1503" s="4"/>
      <c r="B1503" s="4"/>
    </row>
    <row r="1504" spans="1:2" x14ac:dyDescent="0.2">
      <c r="A1504" s="4"/>
      <c r="B1504" s="4"/>
    </row>
    <row r="1505" spans="1:2" x14ac:dyDescent="0.2">
      <c r="A1505" s="4"/>
      <c r="B1505" s="4"/>
    </row>
    <row r="1506" spans="1:2" x14ac:dyDescent="0.2">
      <c r="A1506" s="4"/>
      <c r="B1506" s="4"/>
    </row>
    <row r="1507" spans="1:2" x14ac:dyDescent="0.2">
      <c r="A1507" s="4"/>
      <c r="B1507" s="4"/>
    </row>
    <row r="1508" spans="1:2" x14ac:dyDescent="0.2">
      <c r="A1508" s="4"/>
      <c r="B1508" s="4"/>
    </row>
    <row r="1509" spans="1:2" x14ac:dyDescent="0.2">
      <c r="A1509" s="4"/>
      <c r="B1509" s="4"/>
    </row>
    <row r="1510" spans="1:2" x14ac:dyDescent="0.2">
      <c r="A1510" s="4"/>
      <c r="B1510" s="4"/>
    </row>
    <row r="1511" spans="1:2" x14ac:dyDescent="0.2">
      <c r="A1511" s="4"/>
      <c r="B1511" s="4"/>
    </row>
    <row r="1512" spans="1:2" x14ac:dyDescent="0.2">
      <c r="A1512" s="4"/>
      <c r="B1512" s="4"/>
    </row>
    <row r="1513" spans="1:2" x14ac:dyDescent="0.2">
      <c r="A1513" s="4"/>
      <c r="B1513" s="4"/>
    </row>
    <row r="1514" spans="1:2" x14ac:dyDescent="0.2">
      <c r="A1514" s="4"/>
      <c r="B1514" s="4"/>
    </row>
    <row r="1515" spans="1:2" x14ac:dyDescent="0.2">
      <c r="A1515" s="4"/>
      <c r="B1515" s="4"/>
    </row>
    <row r="1516" spans="1:2" x14ac:dyDescent="0.2">
      <c r="A1516" s="4"/>
      <c r="B1516" s="4"/>
    </row>
    <row r="1517" spans="1:2" x14ac:dyDescent="0.2">
      <c r="A1517" s="4"/>
      <c r="B1517" s="4"/>
    </row>
    <row r="1518" spans="1:2" x14ac:dyDescent="0.2">
      <c r="A1518" s="4"/>
      <c r="B1518" s="4"/>
    </row>
    <row r="1519" spans="1:2" x14ac:dyDescent="0.2">
      <c r="A1519" s="4"/>
      <c r="B1519" s="4"/>
    </row>
    <row r="1520" spans="1:2" x14ac:dyDescent="0.2">
      <c r="A1520" s="4"/>
      <c r="B1520" s="4"/>
    </row>
    <row r="1521" spans="1:2" x14ac:dyDescent="0.2">
      <c r="A1521" s="4"/>
      <c r="B1521" s="4"/>
    </row>
    <row r="1522" spans="1:2" x14ac:dyDescent="0.2">
      <c r="A1522" s="4"/>
      <c r="B1522" s="4"/>
    </row>
    <row r="1523" spans="1:2" x14ac:dyDescent="0.2">
      <c r="A1523" s="4"/>
      <c r="B1523" s="4"/>
    </row>
    <row r="1524" spans="1:2" x14ac:dyDescent="0.2">
      <c r="A1524" s="4"/>
      <c r="B1524" s="4"/>
    </row>
    <row r="1525" spans="1:2" x14ac:dyDescent="0.2">
      <c r="A1525" s="4"/>
      <c r="B1525" s="4"/>
    </row>
    <row r="1526" spans="1:2" x14ac:dyDescent="0.2">
      <c r="A1526" s="4"/>
      <c r="B1526" s="4"/>
    </row>
    <row r="1527" spans="1:2" x14ac:dyDescent="0.2">
      <c r="A1527" s="4"/>
      <c r="B1527" s="4"/>
    </row>
    <row r="1528" spans="1:2" x14ac:dyDescent="0.2">
      <c r="A1528" s="4"/>
      <c r="B1528" s="4"/>
    </row>
    <row r="1529" spans="1:2" x14ac:dyDescent="0.2">
      <c r="A1529" s="4"/>
      <c r="B1529" s="4"/>
    </row>
    <row r="1530" spans="1:2" x14ac:dyDescent="0.2">
      <c r="A1530" s="4"/>
      <c r="B1530" s="4"/>
    </row>
    <row r="1531" spans="1:2" x14ac:dyDescent="0.2">
      <c r="A1531" s="4"/>
      <c r="B1531" s="4"/>
    </row>
    <row r="1532" spans="1:2" x14ac:dyDescent="0.2">
      <c r="A1532" s="4"/>
      <c r="B1532" s="4"/>
    </row>
    <row r="1533" spans="1:2" x14ac:dyDescent="0.2">
      <c r="A1533" s="4"/>
      <c r="B1533" s="4"/>
    </row>
    <row r="1534" spans="1:2" x14ac:dyDescent="0.2">
      <c r="A1534" s="4"/>
      <c r="B1534" s="4"/>
    </row>
    <row r="1535" spans="1:2" x14ac:dyDescent="0.2">
      <c r="A1535" s="4"/>
      <c r="B1535" s="4"/>
    </row>
    <row r="1536" spans="1:2" x14ac:dyDescent="0.2">
      <c r="A1536" s="4"/>
      <c r="B1536" s="4"/>
    </row>
    <row r="1537" spans="1:2" x14ac:dyDescent="0.2">
      <c r="A1537" s="4"/>
      <c r="B1537" s="4"/>
    </row>
    <row r="1538" spans="1:2" x14ac:dyDescent="0.2">
      <c r="A1538" s="4"/>
      <c r="B1538" s="4"/>
    </row>
    <row r="1539" spans="1:2" x14ac:dyDescent="0.2">
      <c r="A1539" s="4"/>
      <c r="B1539" s="4"/>
    </row>
    <row r="1540" spans="1:2" x14ac:dyDescent="0.2">
      <c r="A1540" s="4"/>
      <c r="B1540" s="4"/>
    </row>
    <row r="1541" spans="1:2" x14ac:dyDescent="0.2">
      <c r="A1541" s="4"/>
      <c r="B1541" s="4"/>
    </row>
    <row r="1542" spans="1:2" x14ac:dyDescent="0.2">
      <c r="A1542" s="4"/>
      <c r="B1542" s="4"/>
    </row>
    <row r="1543" spans="1:2" x14ac:dyDescent="0.2">
      <c r="A1543" s="4"/>
      <c r="B1543" s="4"/>
    </row>
    <row r="1544" spans="1:2" x14ac:dyDescent="0.2">
      <c r="A1544" s="4"/>
      <c r="B1544" s="4"/>
    </row>
    <row r="1545" spans="1:2" x14ac:dyDescent="0.2">
      <c r="A1545" s="4"/>
      <c r="B1545" s="4"/>
    </row>
    <row r="1546" spans="1:2" x14ac:dyDescent="0.2">
      <c r="A1546" s="4"/>
      <c r="B1546" s="4"/>
    </row>
    <row r="1547" spans="1:2" x14ac:dyDescent="0.2">
      <c r="A1547" s="4"/>
      <c r="B1547" s="4"/>
    </row>
    <row r="1548" spans="1:2" x14ac:dyDescent="0.2">
      <c r="A1548" s="4"/>
      <c r="B1548" s="4"/>
    </row>
    <row r="1549" spans="1:2" x14ac:dyDescent="0.2">
      <c r="A1549" s="4"/>
      <c r="B1549" s="4"/>
    </row>
    <row r="1550" spans="1:2" x14ac:dyDescent="0.2">
      <c r="A1550" s="4"/>
      <c r="B1550" s="4"/>
    </row>
    <row r="1551" spans="1:2" x14ac:dyDescent="0.2">
      <c r="A1551" s="4"/>
      <c r="B1551" s="4"/>
    </row>
    <row r="1552" spans="1:2" x14ac:dyDescent="0.2">
      <c r="A1552" s="4"/>
      <c r="B1552" s="4"/>
    </row>
    <row r="1553" spans="1:2" x14ac:dyDescent="0.2">
      <c r="A1553" s="4"/>
      <c r="B1553" s="4"/>
    </row>
    <row r="1554" spans="1:2" x14ac:dyDescent="0.2">
      <c r="A1554" s="4"/>
      <c r="B1554" s="4"/>
    </row>
    <row r="1555" spans="1:2" x14ac:dyDescent="0.2">
      <c r="A1555" s="4"/>
      <c r="B1555" s="4"/>
    </row>
    <row r="1556" spans="1:2" x14ac:dyDescent="0.2">
      <c r="A1556" s="4"/>
      <c r="B1556" s="4"/>
    </row>
    <row r="1557" spans="1:2" x14ac:dyDescent="0.2">
      <c r="A1557" s="4"/>
      <c r="B1557" s="4"/>
    </row>
    <row r="1558" spans="1:2" x14ac:dyDescent="0.2">
      <c r="A1558" s="4"/>
      <c r="B1558" s="4"/>
    </row>
    <row r="1559" spans="1:2" x14ac:dyDescent="0.2">
      <c r="A1559" s="4"/>
      <c r="B1559" s="4"/>
    </row>
    <row r="1560" spans="1:2" x14ac:dyDescent="0.2">
      <c r="A1560" s="4"/>
      <c r="B1560" s="4"/>
    </row>
    <row r="1561" spans="1:2" x14ac:dyDescent="0.2">
      <c r="A1561" s="4"/>
      <c r="B1561" s="4"/>
    </row>
    <row r="1562" spans="1:2" x14ac:dyDescent="0.2">
      <c r="A1562" s="4"/>
      <c r="B1562" s="4"/>
    </row>
    <row r="1563" spans="1:2" x14ac:dyDescent="0.2">
      <c r="A1563" s="4"/>
      <c r="B1563" s="4"/>
    </row>
    <row r="1564" spans="1:2" x14ac:dyDescent="0.2">
      <c r="A1564" s="4"/>
      <c r="B1564" s="4"/>
    </row>
    <row r="1565" spans="1:2" x14ac:dyDescent="0.2">
      <c r="A1565" s="4"/>
      <c r="B1565" s="4"/>
    </row>
    <row r="1566" spans="1:2" x14ac:dyDescent="0.2">
      <c r="A1566" s="4"/>
      <c r="B1566" s="4"/>
    </row>
    <row r="1567" spans="1:2" x14ac:dyDescent="0.2">
      <c r="A1567" s="4"/>
      <c r="B1567" s="4"/>
    </row>
    <row r="1568" spans="1:2" x14ac:dyDescent="0.2">
      <c r="A1568" s="4"/>
      <c r="B1568" s="4"/>
    </row>
    <row r="1569" spans="1:2" x14ac:dyDescent="0.2">
      <c r="A1569" s="4"/>
      <c r="B1569" s="4"/>
    </row>
    <row r="1570" spans="1:2" x14ac:dyDescent="0.2">
      <c r="A1570" s="4"/>
      <c r="B1570" s="4"/>
    </row>
    <row r="1571" spans="1:2" x14ac:dyDescent="0.2">
      <c r="A1571" s="4"/>
      <c r="B1571" s="4"/>
    </row>
    <row r="1572" spans="1:2" x14ac:dyDescent="0.2">
      <c r="A1572" s="4"/>
      <c r="B1572" s="4"/>
    </row>
    <row r="1573" spans="1:2" x14ac:dyDescent="0.2">
      <c r="A1573" s="4"/>
      <c r="B1573" s="4"/>
    </row>
    <row r="1574" spans="1:2" x14ac:dyDescent="0.2">
      <c r="A1574" s="4"/>
      <c r="B1574" s="4"/>
    </row>
    <row r="1575" spans="1:2" x14ac:dyDescent="0.2">
      <c r="A1575" s="4"/>
      <c r="B1575" s="4"/>
    </row>
    <row r="1576" spans="1:2" x14ac:dyDescent="0.2">
      <c r="A1576" s="4"/>
      <c r="B1576" s="4"/>
    </row>
    <row r="1577" spans="1:2" x14ac:dyDescent="0.2">
      <c r="A1577" s="4"/>
      <c r="B1577" s="4"/>
    </row>
    <row r="1578" spans="1:2" x14ac:dyDescent="0.2">
      <c r="A1578" s="4"/>
      <c r="B1578" s="4"/>
    </row>
    <row r="1579" spans="1:2" x14ac:dyDescent="0.2">
      <c r="A1579" s="4"/>
      <c r="B1579" s="4"/>
    </row>
    <row r="1580" spans="1:2" x14ac:dyDescent="0.2">
      <c r="A1580" s="4"/>
      <c r="B1580" s="4"/>
    </row>
    <row r="1581" spans="1:2" x14ac:dyDescent="0.2">
      <c r="A1581" s="4"/>
      <c r="B1581" s="4"/>
    </row>
    <row r="1582" spans="1:2" x14ac:dyDescent="0.2">
      <c r="A1582" s="4"/>
      <c r="B1582" s="4"/>
    </row>
    <row r="1583" spans="1:2" x14ac:dyDescent="0.2">
      <c r="A1583" s="4"/>
      <c r="B1583" s="4"/>
    </row>
    <row r="1584" spans="1:2" x14ac:dyDescent="0.2">
      <c r="A1584" s="4"/>
      <c r="B1584" s="4"/>
    </row>
    <row r="1585" spans="1:2" x14ac:dyDescent="0.2">
      <c r="A1585" s="4"/>
      <c r="B1585" s="4"/>
    </row>
    <row r="1586" spans="1:2" x14ac:dyDescent="0.2">
      <c r="A1586" s="4"/>
      <c r="B1586" s="4"/>
    </row>
    <row r="1587" spans="1:2" x14ac:dyDescent="0.2">
      <c r="A1587" s="4"/>
      <c r="B1587" s="4"/>
    </row>
    <row r="1588" spans="1:2" x14ac:dyDescent="0.2">
      <c r="A1588" s="4"/>
      <c r="B1588" s="4"/>
    </row>
    <row r="1589" spans="1:2" x14ac:dyDescent="0.2">
      <c r="A1589" s="4"/>
      <c r="B1589" s="4"/>
    </row>
    <row r="1590" spans="1:2" x14ac:dyDescent="0.2">
      <c r="A1590" s="4"/>
      <c r="B1590" s="4"/>
    </row>
    <row r="1591" spans="1:2" x14ac:dyDescent="0.2">
      <c r="A1591" s="4"/>
      <c r="B1591" s="4"/>
    </row>
    <row r="1592" spans="1:2" x14ac:dyDescent="0.2">
      <c r="A1592" s="4"/>
      <c r="B1592" s="4"/>
    </row>
    <row r="1593" spans="1:2" x14ac:dyDescent="0.2">
      <c r="A1593" s="4"/>
      <c r="B1593" s="4"/>
    </row>
    <row r="1594" spans="1:2" x14ac:dyDescent="0.2">
      <c r="A1594" s="4"/>
      <c r="B1594" s="4"/>
    </row>
    <row r="1595" spans="1:2" x14ac:dyDescent="0.2">
      <c r="A1595" s="4"/>
      <c r="B1595" s="4"/>
    </row>
    <row r="1596" spans="1:2" x14ac:dyDescent="0.2">
      <c r="A1596" s="4"/>
      <c r="B1596" s="4"/>
    </row>
    <row r="1597" spans="1:2" x14ac:dyDescent="0.2">
      <c r="A1597" s="4"/>
      <c r="B1597" s="4"/>
    </row>
    <row r="1598" spans="1:2" x14ac:dyDescent="0.2">
      <c r="A1598" s="4"/>
      <c r="B1598" s="4"/>
    </row>
    <row r="1599" spans="1:2" x14ac:dyDescent="0.2">
      <c r="A1599" s="4"/>
      <c r="B1599" s="4"/>
    </row>
    <row r="1600" spans="1:2" x14ac:dyDescent="0.2">
      <c r="A1600" s="4"/>
      <c r="B1600" s="4"/>
    </row>
    <row r="1601" spans="1:2" x14ac:dyDescent="0.2">
      <c r="A1601" s="4"/>
      <c r="B1601" s="4"/>
    </row>
    <row r="1602" spans="1:2" x14ac:dyDescent="0.2">
      <c r="A1602" s="4"/>
      <c r="B1602" s="4"/>
    </row>
    <row r="1603" spans="1:2" x14ac:dyDescent="0.2">
      <c r="A1603" s="4"/>
      <c r="B1603" s="4"/>
    </row>
    <row r="1604" spans="1:2" x14ac:dyDescent="0.2">
      <c r="A1604" s="4"/>
      <c r="B1604" s="4"/>
    </row>
    <row r="1605" spans="1:2" x14ac:dyDescent="0.2">
      <c r="A1605" s="4"/>
      <c r="B1605" s="4"/>
    </row>
    <row r="1606" spans="1:2" x14ac:dyDescent="0.2">
      <c r="A1606" s="4"/>
      <c r="B1606" s="4"/>
    </row>
    <row r="1607" spans="1:2" x14ac:dyDescent="0.2">
      <c r="A1607" s="4"/>
      <c r="B1607" s="4"/>
    </row>
    <row r="1608" spans="1:2" x14ac:dyDescent="0.2">
      <c r="A1608" s="4"/>
      <c r="B1608" s="4"/>
    </row>
    <row r="1609" spans="1:2" x14ac:dyDescent="0.2">
      <c r="A1609" s="4"/>
      <c r="B1609" s="4"/>
    </row>
    <row r="1610" spans="1:2" x14ac:dyDescent="0.2">
      <c r="A1610" s="4"/>
      <c r="B1610" s="4"/>
    </row>
    <row r="1611" spans="1:2" x14ac:dyDescent="0.2">
      <c r="A1611" s="4"/>
      <c r="B1611" s="4"/>
    </row>
    <row r="1612" spans="1:2" x14ac:dyDescent="0.2">
      <c r="A1612" s="4"/>
      <c r="B1612" s="4"/>
    </row>
    <row r="1613" spans="1:2" x14ac:dyDescent="0.2">
      <c r="A1613" s="4"/>
      <c r="B1613" s="4"/>
    </row>
    <row r="1614" spans="1:2" x14ac:dyDescent="0.2">
      <c r="A1614" s="4"/>
      <c r="B1614" s="4"/>
    </row>
    <row r="1615" spans="1:2" x14ac:dyDescent="0.2">
      <c r="A1615" s="4"/>
      <c r="B1615" s="4"/>
    </row>
    <row r="1616" spans="1:2" x14ac:dyDescent="0.2">
      <c r="A1616" s="4"/>
      <c r="B1616" s="4"/>
    </row>
    <row r="1617" spans="1:2" x14ac:dyDescent="0.2">
      <c r="A1617" s="4"/>
      <c r="B1617" s="4"/>
    </row>
    <row r="1618" spans="1:2" x14ac:dyDescent="0.2">
      <c r="A1618" s="4"/>
      <c r="B1618" s="4"/>
    </row>
    <row r="1619" spans="1:2" x14ac:dyDescent="0.2">
      <c r="A1619" s="4"/>
      <c r="B1619" s="4"/>
    </row>
    <row r="1620" spans="1:2" x14ac:dyDescent="0.2">
      <c r="A1620" s="4"/>
      <c r="B1620" s="4"/>
    </row>
    <row r="1621" spans="1:2" x14ac:dyDescent="0.2">
      <c r="A1621" s="4"/>
      <c r="B1621" s="4"/>
    </row>
    <row r="1622" spans="1:2" x14ac:dyDescent="0.2">
      <c r="A1622" s="4"/>
      <c r="B1622" s="4"/>
    </row>
    <row r="1623" spans="1:2" x14ac:dyDescent="0.2">
      <c r="A1623" s="4"/>
      <c r="B1623" s="4"/>
    </row>
    <row r="1624" spans="1:2" x14ac:dyDescent="0.2">
      <c r="A1624" s="4"/>
      <c r="B1624" s="4"/>
    </row>
    <row r="1625" spans="1:2" x14ac:dyDescent="0.2">
      <c r="A1625" s="4"/>
      <c r="B1625" s="4"/>
    </row>
    <row r="1626" spans="1:2" x14ac:dyDescent="0.2">
      <c r="A1626" s="4"/>
      <c r="B1626" s="4"/>
    </row>
    <row r="1627" spans="1:2" x14ac:dyDescent="0.2">
      <c r="A1627" s="4"/>
      <c r="B1627" s="4"/>
    </row>
    <row r="1628" spans="1:2" x14ac:dyDescent="0.2">
      <c r="A1628" s="4"/>
      <c r="B1628" s="4"/>
    </row>
    <row r="1629" spans="1:2" x14ac:dyDescent="0.2">
      <c r="A1629" s="4"/>
      <c r="B1629" s="4"/>
    </row>
    <row r="1630" spans="1:2" x14ac:dyDescent="0.2">
      <c r="A1630" s="4"/>
      <c r="B1630" s="4"/>
    </row>
    <row r="1631" spans="1:2" x14ac:dyDescent="0.2">
      <c r="A1631" s="4"/>
      <c r="B1631" s="4"/>
    </row>
    <row r="1632" spans="1:2" x14ac:dyDescent="0.2">
      <c r="A1632" s="4"/>
      <c r="B1632" s="4"/>
    </row>
    <row r="1633" spans="1:2" x14ac:dyDescent="0.2">
      <c r="A1633" s="4"/>
      <c r="B1633" s="4"/>
    </row>
    <row r="1634" spans="1:2" x14ac:dyDescent="0.2">
      <c r="A1634" s="4"/>
      <c r="B1634" s="4"/>
    </row>
    <row r="1635" spans="1:2" x14ac:dyDescent="0.2">
      <c r="A1635" s="4"/>
      <c r="B1635" s="4"/>
    </row>
    <row r="1636" spans="1:2" x14ac:dyDescent="0.2">
      <c r="A1636" s="4"/>
      <c r="B1636" s="4"/>
    </row>
    <row r="1637" spans="1:2" x14ac:dyDescent="0.2">
      <c r="A1637" s="4"/>
      <c r="B1637" s="4"/>
    </row>
    <row r="1638" spans="1:2" x14ac:dyDescent="0.2">
      <c r="A1638" s="4"/>
      <c r="B1638" s="4"/>
    </row>
    <row r="1639" spans="1:2" x14ac:dyDescent="0.2">
      <c r="A1639" s="4"/>
      <c r="B1639" s="4"/>
    </row>
    <row r="1640" spans="1:2" x14ac:dyDescent="0.2">
      <c r="A1640" s="4"/>
      <c r="B1640" s="4"/>
    </row>
    <row r="1641" spans="1:2" x14ac:dyDescent="0.2">
      <c r="A1641" s="4"/>
      <c r="B1641" s="4"/>
    </row>
    <row r="1642" spans="1:2" x14ac:dyDescent="0.2">
      <c r="A1642" s="4"/>
      <c r="B1642" s="4"/>
    </row>
    <row r="1643" spans="1:2" x14ac:dyDescent="0.2">
      <c r="A1643" s="4"/>
      <c r="B1643" s="4"/>
    </row>
    <row r="1644" spans="1:2" x14ac:dyDescent="0.2">
      <c r="A1644" s="4"/>
      <c r="B1644" s="4"/>
    </row>
    <row r="1645" spans="1:2" x14ac:dyDescent="0.2">
      <c r="A1645" s="4"/>
      <c r="B1645" s="4"/>
    </row>
    <row r="1646" spans="1:2" x14ac:dyDescent="0.2">
      <c r="A1646" s="4"/>
      <c r="B1646" s="4"/>
    </row>
    <row r="1647" spans="1:2" x14ac:dyDescent="0.2">
      <c r="A1647" s="4"/>
      <c r="B1647" s="4"/>
    </row>
    <row r="1648" spans="1:2" x14ac:dyDescent="0.2">
      <c r="A1648" s="4"/>
      <c r="B1648" s="4"/>
    </row>
    <row r="1649" spans="1:2" x14ac:dyDescent="0.2">
      <c r="A1649" s="4"/>
      <c r="B1649" s="4"/>
    </row>
    <row r="1650" spans="1:2" x14ac:dyDescent="0.2">
      <c r="A1650" s="4"/>
      <c r="B1650" s="4"/>
    </row>
    <row r="1651" spans="1:2" x14ac:dyDescent="0.2">
      <c r="A1651" s="4"/>
      <c r="B1651" s="4"/>
    </row>
    <row r="1652" spans="1:2" x14ac:dyDescent="0.2">
      <c r="A1652" s="4"/>
      <c r="B1652" s="4"/>
    </row>
    <row r="1653" spans="1:2" x14ac:dyDescent="0.2">
      <c r="A1653" s="4"/>
      <c r="B1653" s="4"/>
    </row>
    <row r="1654" spans="1:2" x14ac:dyDescent="0.2">
      <c r="A1654" s="4"/>
      <c r="B1654" s="4"/>
    </row>
    <row r="1655" spans="1:2" x14ac:dyDescent="0.2">
      <c r="A1655" s="4"/>
      <c r="B1655" s="4"/>
    </row>
    <row r="1656" spans="1:2" x14ac:dyDescent="0.2">
      <c r="A1656" s="4"/>
      <c r="B1656" s="4"/>
    </row>
    <row r="1657" spans="1:2" x14ac:dyDescent="0.2">
      <c r="A1657" s="4"/>
      <c r="B1657" s="4"/>
    </row>
    <row r="1658" spans="1:2" x14ac:dyDescent="0.2">
      <c r="A1658" s="4"/>
      <c r="B1658" s="4"/>
    </row>
    <row r="1659" spans="1:2" x14ac:dyDescent="0.2">
      <c r="A1659" s="4"/>
      <c r="B1659" s="4"/>
    </row>
    <row r="1660" spans="1:2" x14ac:dyDescent="0.2">
      <c r="A1660" s="4"/>
      <c r="B1660" s="4"/>
    </row>
    <row r="1661" spans="1:2" x14ac:dyDescent="0.2">
      <c r="A1661" s="4"/>
      <c r="B1661" s="4"/>
    </row>
    <row r="1662" spans="1:2" x14ac:dyDescent="0.2">
      <c r="A1662" s="4"/>
      <c r="B1662" s="4"/>
    </row>
    <row r="1663" spans="1:2" x14ac:dyDescent="0.2">
      <c r="A1663" s="4"/>
      <c r="B1663" s="4"/>
    </row>
    <row r="1664" spans="1:2" x14ac:dyDescent="0.2">
      <c r="A1664" s="4"/>
      <c r="B1664" s="4"/>
    </row>
    <row r="1665" spans="1:2" x14ac:dyDescent="0.2">
      <c r="A1665" s="4"/>
      <c r="B1665" s="4"/>
    </row>
    <row r="1666" spans="1:2" x14ac:dyDescent="0.2">
      <c r="A1666" s="4"/>
      <c r="B1666" s="4"/>
    </row>
    <row r="1667" spans="1:2" x14ac:dyDescent="0.2">
      <c r="A1667" s="4"/>
      <c r="B1667" s="4"/>
    </row>
    <row r="1668" spans="1:2" x14ac:dyDescent="0.2">
      <c r="A1668" s="4"/>
      <c r="B1668" s="4"/>
    </row>
    <row r="1669" spans="1:2" x14ac:dyDescent="0.2">
      <c r="A1669" s="4"/>
      <c r="B1669" s="4"/>
    </row>
    <row r="1670" spans="1:2" x14ac:dyDescent="0.2">
      <c r="A1670" s="4"/>
      <c r="B1670" s="4"/>
    </row>
    <row r="1671" spans="1:2" x14ac:dyDescent="0.2">
      <c r="A1671" s="4"/>
      <c r="B1671" s="4"/>
    </row>
    <row r="1672" spans="1:2" x14ac:dyDescent="0.2">
      <c r="A1672" s="4"/>
      <c r="B1672" s="4"/>
    </row>
    <row r="1673" spans="1:2" x14ac:dyDescent="0.2">
      <c r="A1673" s="4"/>
      <c r="B1673" s="4"/>
    </row>
    <row r="1674" spans="1:2" x14ac:dyDescent="0.2">
      <c r="A1674" s="4"/>
      <c r="B1674" s="4"/>
    </row>
    <row r="1675" spans="1:2" x14ac:dyDescent="0.2">
      <c r="A1675" s="4"/>
      <c r="B1675" s="4"/>
    </row>
    <row r="1676" spans="1:2" x14ac:dyDescent="0.2">
      <c r="A1676" s="4"/>
      <c r="B1676" s="4"/>
    </row>
    <row r="1677" spans="1:2" x14ac:dyDescent="0.2">
      <c r="A1677" s="4"/>
      <c r="B1677" s="4"/>
    </row>
    <row r="1678" spans="1:2" x14ac:dyDescent="0.2">
      <c r="A1678" s="4"/>
      <c r="B1678" s="4"/>
    </row>
    <row r="1679" spans="1:2" x14ac:dyDescent="0.2">
      <c r="A1679" s="4"/>
      <c r="B1679" s="4"/>
    </row>
    <row r="1680" spans="1:2" x14ac:dyDescent="0.2">
      <c r="A1680" s="4"/>
      <c r="B1680" s="4"/>
    </row>
    <row r="1681" spans="1:2" x14ac:dyDescent="0.2">
      <c r="A1681" s="4"/>
      <c r="B1681" s="4"/>
    </row>
    <row r="1682" spans="1:2" x14ac:dyDescent="0.2">
      <c r="A1682" s="4"/>
      <c r="B1682" s="4"/>
    </row>
    <row r="1683" spans="1:2" x14ac:dyDescent="0.2">
      <c r="A1683" s="4"/>
      <c r="B1683" s="4"/>
    </row>
    <row r="1684" spans="1:2" x14ac:dyDescent="0.2">
      <c r="A1684" s="4"/>
      <c r="B1684" s="4"/>
    </row>
    <row r="1685" spans="1:2" x14ac:dyDescent="0.2">
      <c r="A1685" s="4"/>
      <c r="B1685" s="4"/>
    </row>
    <row r="1686" spans="1:2" x14ac:dyDescent="0.2">
      <c r="A1686" s="4"/>
      <c r="B1686" s="4"/>
    </row>
    <row r="1687" spans="1:2" x14ac:dyDescent="0.2">
      <c r="A1687" s="4"/>
      <c r="B1687" s="4"/>
    </row>
    <row r="1688" spans="1:2" x14ac:dyDescent="0.2">
      <c r="A1688" s="4"/>
      <c r="B1688" s="4"/>
    </row>
    <row r="1689" spans="1:2" x14ac:dyDescent="0.2">
      <c r="A1689" s="4"/>
      <c r="B1689" s="4"/>
    </row>
    <row r="1690" spans="1:2" x14ac:dyDescent="0.2">
      <c r="A1690" s="4"/>
      <c r="B1690" s="4"/>
    </row>
    <row r="1691" spans="1:2" x14ac:dyDescent="0.2">
      <c r="A1691" s="4"/>
      <c r="B1691" s="4"/>
    </row>
    <row r="1692" spans="1:2" x14ac:dyDescent="0.2">
      <c r="A1692" s="4"/>
      <c r="B1692" s="4"/>
    </row>
    <row r="1693" spans="1:2" x14ac:dyDescent="0.2">
      <c r="A1693" s="4"/>
      <c r="B1693" s="4"/>
    </row>
    <row r="1694" spans="1:2" x14ac:dyDescent="0.2">
      <c r="A1694" s="4"/>
      <c r="B1694" s="4"/>
    </row>
    <row r="1695" spans="1:2" x14ac:dyDescent="0.2">
      <c r="A1695" s="4"/>
      <c r="B1695" s="4"/>
    </row>
    <row r="1696" spans="1:2" x14ac:dyDescent="0.2">
      <c r="A1696" s="4"/>
      <c r="B1696" s="4"/>
    </row>
    <row r="1697" spans="1:2" x14ac:dyDescent="0.2">
      <c r="A1697" s="4"/>
      <c r="B1697" s="4"/>
    </row>
    <row r="1698" spans="1:2" x14ac:dyDescent="0.2">
      <c r="A1698" s="4"/>
      <c r="B1698" s="4"/>
    </row>
    <row r="1699" spans="1:2" x14ac:dyDescent="0.2">
      <c r="A1699" s="4"/>
      <c r="B1699" s="4"/>
    </row>
    <row r="1700" spans="1:2" x14ac:dyDescent="0.2">
      <c r="A1700" s="4"/>
      <c r="B1700" s="4"/>
    </row>
    <row r="1701" spans="1:2" x14ac:dyDescent="0.2">
      <c r="A1701" s="4"/>
      <c r="B1701" s="4"/>
    </row>
    <row r="1702" spans="1:2" x14ac:dyDescent="0.2">
      <c r="A1702" s="4"/>
      <c r="B1702" s="4"/>
    </row>
    <row r="1703" spans="1:2" x14ac:dyDescent="0.2">
      <c r="A1703" s="4"/>
      <c r="B1703" s="4"/>
    </row>
    <row r="1704" spans="1:2" x14ac:dyDescent="0.2">
      <c r="A1704" s="4"/>
      <c r="B1704" s="4"/>
    </row>
    <row r="1705" spans="1:2" x14ac:dyDescent="0.2">
      <c r="A1705" s="4"/>
      <c r="B1705" s="4"/>
    </row>
    <row r="1706" spans="1:2" x14ac:dyDescent="0.2">
      <c r="A1706" s="4"/>
      <c r="B1706" s="4"/>
    </row>
    <row r="1707" spans="1:2" x14ac:dyDescent="0.2">
      <c r="A1707" s="4"/>
      <c r="B1707" s="4"/>
    </row>
    <row r="1708" spans="1:2" x14ac:dyDescent="0.2">
      <c r="A1708" s="4"/>
      <c r="B1708" s="4"/>
    </row>
    <row r="1709" spans="1:2" x14ac:dyDescent="0.2">
      <c r="A1709" s="4"/>
      <c r="B1709" s="4"/>
    </row>
    <row r="1710" spans="1:2" x14ac:dyDescent="0.2">
      <c r="A1710" s="4"/>
      <c r="B1710" s="4"/>
    </row>
    <row r="1711" spans="1:2" x14ac:dyDescent="0.2">
      <c r="A1711" s="4"/>
      <c r="B1711" s="4"/>
    </row>
    <row r="1712" spans="1:2" x14ac:dyDescent="0.2">
      <c r="A1712" s="4"/>
      <c r="B1712" s="4"/>
    </row>
    <row r="1713" spans="1:2" x14ac:dyDescent="0.2">
      <c r="A1713" s="4"/>
      <c r="B1713" s="4"/>
    </row>
    <row r="1714" spans="1:2" x14ac:dyDescent="0.2">
      <c r="A1714" s="4"/>
      <c r="B1714" s="4"/>
    </row>
    <row r="1715" spans="1:2" x14ac:dyDescent="0.2">
      <c r="A1715" s="4"/>
      <c r="B1715" s="4"/>
    </row>
    <row r="1716" spans="1:2" x14ac:dyDescent="0.2">
      <c r="A1716" s="4"/>
      <c r="B1716" s="4"/>
    </row>
    <row r="1717" spans="1:2" x14ac:dyDescent="0.2">
      <c r="A1717" s="4"/>
      <c r="B1717" s="4"/>
    </row>
    <row r="1718" spans="1:2" x14ac:dyDescent="0.2">
      <c r="A1718" s="4"/>
      <c r="B1718" s="4"/>
    </row>
    <row r="1719" spans="1:2" x14ac:dyDescent="0.2">
      <c r="A1719" s="4"/>
      <c r="B1719" s="4"/>
    </row>
    <row r="1720" spans="1:2" x14ac:dyDescent="0.2">
      <c r="A1720" s="4"/>
      <c r="B1720" s="4"/>
    </row>
    <row r="1721" spans="1:2" x14ac:dyDescent="0.2">
      <c r="A1721" s="4"/>
      <c r="B1721" s="4"/>
    </row>
    <row r="1722" spans="1:2" x14ac:dyDescent="0.2">
      <c r="A1722" s="4"/>
      <c r="B1722" s="4"/>
    </row>
    <row r="1723" spans="1:2" x14ac:dyDescent="0.2">
      <c r="A1723" s="4"/>
      <c r="B1723" s="4"/>
    </row>
    <row r="1724" spans="1:2" x14ac:dyDescent="0.2">
      <c r="A1724" s="4"/>
      <c r="B1724" s="4"/>
    </row>
    <row r="1725" spans="1:2" x14ac:dyDescent="0.2">
      <c r="A1725" s="4"/>
      <c r="B1725" s="4"/>
    </row>
    <row r="1726" spans="1:2" x14ac:dyDescent="0.2">
      <c r="A1726" s="4"/>
      <c r="B1726" s="4"/>
    </row>
    <row r="1727" spans="1:2" x14ac:dyDescent="0.2">
      <c r="A1727" s="4"/>
      <c r="B1727" s="4"/>
    </row>
    <row r="1728" spans="1:2" x14ac:dyDescent="0.2">
      <c r="A1728" s="4"/>
      <c r="B1728" s="4"/>
    </row>
    <row r="1729" spans="1:2" x14ac:dyDescent="0.2">
      <c r="A1729" s="4"/>
      <c r="B1729" s="4"/>
    </row>
    <row r="1730" spans="1:2" x14ac:dyDescent="0.2">
      <c r="A1730" s="4"/>
      <c r="B1730" s="4"/>
    </row>
    <row r="1731" spans="1:2" x14ac:dyDescent="0.2">
      <c r="A1731" s="4"/>
      <c r="B1731" s="4"/>
    </row>
    <row r="1732" spans="1:2" x14ac:dyDescent="0.2">
      <c r="A1732" s="4"/>
      <c r="B1732" s="4"/>
    </row>
    <row r="1733" spans="1:2" x14ac:dyDescent="0.2">
      <c r="A1733" s="4"/>
      <c r="B1733" s="4"/>
    </row>
    <row r="1734" spans="1:2" x14ac:dyDescent="0.2">
      <c r="A1734" s="4"/>
      <c r="B1734" s="4"/>
    </row>
    <row r="1735" spans="1:2" x14ac:dyDescent="0.2">
      <c r="A1735" s="4"/>
      <c r="B1735" s="4"/>
    </row>
    <row r="1736" spans="1:2" x14ac:dyDescent="0.2">
      <c r="A1736" s="4"/>
      <c r="B1736" s="4"/>
    </row>
    <row r="1737" spans="1:2" x14ac:dyDescent="0.2">
      <c r="A1737" s="4"/>
      <c r="B1737" s="4"/>
    </row>
    <row r="1738" spans="1:2" x14ac:dyDescent="0.2">
      <c r="A1738" s="4"/>
      <c r="B1738" s="4"/>
    </row>
    <row r="1739" spans="1:2" x14ac:dyDescent="0.2">
      <c r="A1739" s="4"/>
      <c r="B1739" s="4"/>
    </row>
    <row r="1740" spans="1:2" x14ac:dyDescent="0.2">
      <c r="A1740" s="4"/>
      <c r="B1740" s="4"/>
    </row>
    <row r="1741" spans="1:2" x14ac:dyDescent="0.2">
      <c r="A1741" s="4"/>
      <c r="B1741" s="4"/>
    </row>
    <row r="1742" spans="1:2" x14ac:dyDescent="0.2">
      <c r="A1742" s="4"/>
      <c r="B1742" s="4"/>
    </row>
    <row r="1743" spans="1:2" x14ac:dyDescent="0.2">
      <c r="A1743" s="4"/>
      <c r="B1743" s="4"/>
    </row>
    <row r="1744" spans="1:2" x14ac:dyDescent="0.2">
      <c r="A1744" s="4"/>
      <c r="B1744" s="4"/>
    </row>
    <row r="1745" spans="1:2" x14ac:dyDescent="0.2">
      <c r="A1745" s="4"/>
      <c r="B1745" s="4"/>
    </row>
    <row r="1746" spans="1:2" x14ac:dyDescent="0.2">
      <c r="A1746" s="4"/>
      <c r="B1746" s="4"/>
    </row>
    <row r="1747" spans="1:2" x14ac:dyDescent="0.2">
      <c r="A1747" s="4"/>
      <c r="B1747" s="4"/>
    </row>
    <row r="1748" spans="1:2" x14ac:dyDescent="0.2">
      <c r="A1748" s="4"/>
      <c r="B1748" s="4"/>
    </row>
    <row r="1749" spans="1:2" x14ac:dyDescent="0.2">
      <c r="A1749" s="4"/>
      <c r="B1749" s="4"/>
    </row>
    <row r="1750" spans="1:2" x14ac:dyDescent="0.2">
      <c r="A1750" s="4"/>
      <c r="B1750" s="4"/>
    </row>
    <row r="1751" spans="1:2" x14ac:dyDescent="0.2">
      <c r="A1751" s="4"/>
      <c r="B1751" s="4"/>
    </row>
    <row r="1752" spans="1:2" x14ac:dyDescent="0.2">
      <c r="A1752" s="4"/>
      <c r="B1752" s="4"/>
    </row>
    <row r="1753" spans="1:2" x14ac:dyDescent="0.2">
      <c r="A1753" s="4"/>
      <c r="B1753" s="4"/>
    </row>
    <row r="1754" spans="1:2" x14ac:dyDescent="0.2">
      <c r="A1754" s="4"/>
      <c r="B1754" s="4"/>
    </row>
    <row r="1755" spans="1:2" x14ac:dyDescent="0.2">
      <c r="A1755" s="4"/>
      <c r="B1755" s="4"/>
    </row>
    <row r="1756" spans="1:2" x14ac:dyDescent="0.2">
      <c r="A1756" s="4"/>
      <c r="B1756" s="4"/>
    </row>
    <row r="1757" spans="1:2" x14ac:dyDescent="0.2">
      <c r="A1757" s="4"/>
      <c r="B1757" s="4"/>
    </row>
    <row r="1758" spans="1:2" x14ac:dyDescent="0.2">
      <c r="A1758" s="4"/>
      <c r="B1758" s="4"/>
    </row>
    <row r="1759" spans="1:2" x14ac:dyDescent="0.2">
      <c r="A1759" s="4"/>
      <c r="B1759" s="4"/>
    </row>
    <row r="1760" spans="1:2" x14ac:dyDescent="0.2">
      <c r="A1760" s="4"/>
      <c r="B1760" s="4"/>
    </row>
    <row r="1761" spans="1:2" x14ac:dyDescent="0.2">
      <c r="A1761" s="4"/>
      <c r="B1761" s="4"/>
    </row>
    <row r="1762" spans="1:2" x14ac:dyDescent="0.2">
      <c r="A1762" s="4"/>
      <c r="B1762" s="4"/>
    </row>
    <row r="1763" spans="1:2" x14ac:dyDescent="0.2">
      <c r="A1763" s="4"/>
      <c r="B1763" s="4"/>
    </row>
    <row r="1764" spans="1:2" x14ac:dyDescent="0.2">
      <c r="A1764" s="4"/>
      <c r="B1764" s="4"/>
    </row>
    <row r="1765" spans="1:2" x14ac:dyDescent="0.2">
      <c r="A1765" s="4"/>
      <c r="B1765" s="4"/>
    </row>
    <row r="1766" spans="1:2" x14ac:dyDescent="0.2">
      <c r="A1766" s="4"/>
      <c r="B1766" s="4"/>
    </row>
    <row r="1767" spans="1:2" x14ac:dyDescent="0.2">
      <c r="A1767" s="4"/>
      <c r="B1767" s="4"/>
    </row>
    <row r="1768" spans="1:2" x14ac:dyDescent="0.2">
      <c r="A1768" s="4"/>
      <c r="B1768" s="4"/>
    </row>
    <row r="1769" spans="1:2" x14ac:dyDescent="0.2">
      <c r="A1769" s="4"/>
      <c r="B1769" s="4"/>
    </row>
    <row r="1770" spans="1:2" x14ac:dyDescent="0.2">
      <c r="A1770" s="4"/>
      <c r="B1770" s="4"/>
    </row>
    <row r="1771" spans="1:2" x14ac:dyDescent="0.2">
      <c r="A1771" s="4"/>
      <c r="B1771" s="4"/>
    </row>
    <row r="1772" spans="1:2" x14ac:dyDescent="0.2">
      <c r="A1772" s="4"/>
      <c r="B1772" s="4"/>
    </row>
    <row r="1773" spans="1:2" x14ac:dyDescent="0.2">
      <c r="A1773" s="4"/>
      <c r="B1773" s="4"/>
    </row>
    <row r="1774" spans="1:2" x14ac:dyDescent="0.2">
      <c r="A1774" s="4"/>
      <c r="B1774" s="4"/>
    </row>
    <row r="1775" spans="1:2" x14ac:dyDescent="0.2">
      <c r="A1775" s="4"/>
      <c r="B1775" s="4"/>
    </row>
    <row r="1776" spans="1:2" x14ac:dyDescent="0.2">
      <c r="A1776" s="4"/>
      <c r="B1776" s="4"/>
    </row>
    <row r="1777" spans="1:2" x14ac:dyDescent="0.2">
      <c r="A1777" s="4"/>
      <c r="B1777" s="4"/>
    </row>
    <row r="1778" spans="1:2" x14ac:dyDescent="0.2">
      <c r="A1778" s="4"/>
      <c r="B1778" s="4"/>
    </row>
    <row r="1779" spans="1:2" x14ac:dyDescent="0.2">
      <c r="A1779" s="4"/>
      <c r="B1779" s="4"/>
    </row>
    <row r="1780" spans="1:2" x14ac:dyDescent="0.2">
      <c r="A1780" s="4"/>
      <c r="B1780" s="4"/>
    </row>
    <row r="1781" spans="1:2" x14ac:dyDescent="0.2">
      <c r="A1781" s="4"/>
      <c r="B1781" s="4"/>
    </row>
    <row r="1782" spans="1:2" x14ac:dyDescent="0.2">
      <c r="A1782" s="4"/>
      <c r="B1782" s="4"/>
    </row>
    <row r="1783" spans="1:2" x14ac:dyDescent="0.2">
      <c r="A1783" s="4"/>
      <c r="B1783" s="4"/>
    </row>
    <row r="1784" spans="1:2" x14ac:dyDescent="0.2">
      <c r="A1784" s="4"/>
      <c r="B1784" s="4"/>
    </row>
    <row r="1785" spans="1:2" x14ac:dyDescent="0.2">
      <c r="A1785" s="4"/>
      <c r="B1785" s="4"/>
    </row>
    <row r="1786" spans="1:2" x14ac:dyDescent="0.2">
      <c r="A1786" s="4"/>
      <c r="B1786" s="4"/>
    </row>
    <row r="1787" spans="1:2" x14ac:dyDescent="0.2">
      <c r="A1787" s="4"/>
      <c r="B1787" s="4"/>
    </row>
    <row r="1788" spans="1:2" x14ac:dyDescent="0.2">
      <c r="A1788" s="4"/>
      <c r="B1788" s="4"/>
    </row>
    <row r="1789" spans="1:2" x14ac:dyDescent="0.2">
      <c r="A1789" s="4"/>
      <c r="B1789" s="4"/>
    </row>
    <row r="1790" spans="1:2" x14ac:dyDescent="0.2">
      <c r="A1790" s="4"/>
      <c r="B1790" s="4"/>
    </row>
    <row r="1791" spans="1:2" x14ac:dyDescent="0.2">
      <c r="A1791" s="4"/>
      <c r="B1791" s="4"/>
    </row>
    <row r="1792" spans="1:2" x14ac:dyDescent="0.2">
      <c r="A1792" s="4"/>
      <c r="B1792" s="4"/>
    </row>
    <row r="1793" spans="1:2" x14ac:dyDescent="0.2">
      <c r="A1793" s="4"/>
      <c r="B1793" s="4"/>
    </row>
    <row r="1794" spans="1:2" x14ac:dyDescent="0.2">
      <c r="A1794" s="4"/>
      <c r="B1794" s="4"/>
    </row>
    <row r="1795" spans="1:2" x14ac:dyDescent="0.2">
      <c r="A1795" s="4"/>
      <c r="B1795" s="4"/>
    </row>
    <row r="1796" spans="1:2" x14ac:dyDescent="0.2">
      <c r="A1796" s="4"/>
      <c r="B1796" s="4"/>
    </row>
    <row r="1797" spans="1:2" x14ac:dyDescent="0.2">
      <c r="A1797" s="4"/>
      <c r="B1797" s="4"/>
    </row>
    <row r="1798" spans="1:2" x14ac:dyDescent="0.2">
      <c r="A1798" s="4"/>
      <c r="B1798" s="4"/>
    </row>
    <row r="1799" spans="1:2" x14ac:dyDescent="0.2">
      <c r="A1799" s="4"/>
      <c r="B1799" s="4"/>
    </row>
    <row r="1800" spans="1:2" x14ac:dyDescent="0.2">
      <c r="A1800" s="4"/>
      <c r="B1800" s="4"/>
    </row>
    <row r="1801" spans="1:2" x14ac:dyDescent="0.2">
      <c r="A1801" s="4"/>
      <c r="B1801" s="4"/>
    </row>
    <row r="1802" spans="1:2" x14ac:dyDescent="0.2">
      <c r="A1802" s="4"/>
      <c r="B1802" s="4"/>
    </row>
    <row r="1803" spans="1:2" x14ac:dyDescent="0.2">
      <c r="A1803" s="4"/>
      <c r="B1803" s="4"/>
    </row>
    <row r="1804" spans="1:2" x14ac:dyDescent="0.2">
      <c r="A1804" s="4"/>
      <c r="B1804" s="4"/>
    </row>
    <row r="1805" spans="1:2" x14ac:dyDescent="0.2">
      <c r="A1805" s="4"/>
      <c r="B1805" s="4"/>
    </row>
    <row r="1806" spans="1:2" x14ac:dyDescent="0.2">
      <c r="A1806" s="4"/>
      <c r="B1806" s="4"/>
    </row>
    <row r="1807" spans="1:2" x14ac:dyDescent="0.2">
      <c r="A1807" s="4"/>
      <c r="B1807" s="4"/>
    </row>
    <row r="1808" spans="1:2" x14ac:dyDescent="0.2">
      <c r="A1808" s="4"/>
      <c r="B1808" s="4"/>
    </row>
    <row r="1809" spans="1:2" x14ac:dyDescent="0.2">
      <c r="A1809" s="4"/>
      <c r="B1809" s="4"/>
    </row>
    <row r="1810" spans="1:2" x14ac:dyDescent="0.2">
      <c r="A1810" s="4"/>
      <c r="B1810" s="4"/>
    </row>
    <row r="1811" spans="1:2" x14ac:dyDescent="0.2">
      <c r="A1811" s="4"/>
      <c r="B1811" s="4"/>
    </row>
    <row r="1812" spans="1:2" x14ac:dyDescent="0.2">
      <c r="A1812" s="4"/>
      <c r="B1812" s="4"/>
    </row>
    <row r="1813" spans="1:2" x14ac:dyDescent="0.2">
      <c r="A1813" s="4"/>
      <c r="B1813" s="4"/>
    </row>
    <row r="1814" spans="1:2" x14ac:dyDescent="0.2">
      <c r="A1814" s="4"/>
      <c r="B1814" s="4"/>
    </row>
    <row r="1815" spans="1:2" x14ac:dyDescent="0.2">
      <c r="A1815" s="4"/>
      <c r="B1815" s="4"/>
    </row>
    <row r="1816" spans="1:2" x14ac:dyDescent="0.2">
      <c r="A1816" s="4"/>
      <c r="B1816" s="4"/>
    </row>
    <row r="1817" spans="1:2" x14ac:dyDescent="0.2">
      <c r="A1817" s="4"/>
      <c r="B1817" s="4"/>
    </row>
    <row r="1818" spans="1:2" x14ac:dyDescent="0.2">
      <c r="A1818" s="4"/>
      <c r="B1818" s="4"/>
    </row>
    <row r="1819" spans="1:2" x14ac:dyDescent="0.2">
      <c r="A1819" s="4"/>
      <c r="B1819" s="4"/>
    </row>
    <row r="1820" spans="1:2" x14ac:dyDescent="0.2">
      <c r="A1820" s="4"/>
      <c r="B1820" s="4"/>
    </row>
    <row r="1821" spans="1:2" x14ac:dyDescent="0.2">
      <c r="A1821" s="4"/>
      <c r="B1821" s="4"/>
    </row>
    <row r="1822" spans="1:2" x14ac:dyDescent="0.2">
      <c r="A1822" s="4"/>
      <c r="B1822" s="4"/>
    </row>
    <row r="1823" spans="1:2" x14ac:dyDescent="0.2">
      <c r="A1823" s="4"/>
      <c r="B1823" s="4"/>
    </row>
    <row r="1824" spans="1:2" x14ac:dyDescent="0.2">
      <c r="A1824" s="4"/>
      <c r="B1824" s="4"/>
    </row>
    <row r="1825" spans="1:2" x14ac:dyDescent="0.2">
      <c r="A1825" s="4"/>
      <c r="B1825" s="4"/>
    </row>
    <row r="1826" spans="1:2" x14ac:dyDescent="0.2">
      <c r="A1826" s="4"/>
      <c r="B1826" s="4"/>
    </row>
    <row r="1827" spans="1:2" x14ac:dyDescent="0.2">
      <c r="A1827" s="4"/>
      <c r="B1827" s="4"/>
    </row>
    <row r="1828" spans="1:2" x14ac:dyDescent="0.2">
      <c r="A1828" s="4"/>
      <c r="B1828" s="4"/>
    </row>
    <row r="1829" spans="1:2" x14ac:dyDescent="0.2">
      <c r="A1829" s="4"/>
      <c r="B1829" s="4"/>
    </row>
    <row r="1830" spans="1:2" x14ac:dyDescent="0.2">
      <c r="A1830" s="4"/>
      <c r="B1830" s="4"/>
    </row>
    <row r="1831" spans="1:2" x14ac:dyDescent="0.2">
      <c r="A1831" s="4"/>
      <c r="B1831" s="4"/>
    </row>
    <row r="1832" spans="1:2" x14ac:dyDescent="0.2">
      <c r="A1832" s="4"/>
      <c r="B1832" s="4"/>
    </row>
    <row r="1833" spans="1:2" x14ac:dyDescent="0.2">
      <c r="A1833" s="4"/>
      <c r="B1833" s="4"/>
    </row>
    <row r="1834" spans="1:2" x14ac:dyDescent="0.2">
      <c r="A1834" s="4"/>
      <c r="B1834" s="4"/>
    </row>
    <row r="1835" spans="1:2" x14ac:dyDescent="0.2">
      <c r="A1835" s="4"/>
      <c r="B1835" s="4"/>
    </row>
    <row r="1836" spans="1:2" x14ac:dyDescent="0.2">
      <c r="A1836" s="4"/>
      <c r="B1836" s="4"/>
    </row>
    <row r="1837" spans="1:2" x14ac:dyDescent="0.2">
      <c r="A1837" s="4"/>
      <c r="B1837" s="4"/>
    </row>
    <row r="1838" spans="1:2" x14ac:dyDescent="0.2">
      <c r="A1838" s="4"/>
      <c r="B1838" s="4"/>
    </row>
    <row r="1839" spans="1:2" x14ac:dyDescent="0.2">
      <c r="A1839" s="4"/>
      <c r="B1839" s="4"/>
    </row>
    <row r="1840" spans="1:2" x14ac:dyDescent="0.2">
      <c r="A1840" s="4"/>
      <c r="B1840" s="4"/>
    </row>
    <row r="1841" spans="1:2" x14ac:dyDescent="0.2">
      <c r="A1841" s="4"/>
      <c r="B1841" s="4"/>
    </row>
    <row r="1842" spans="1:2" x14ac:dyDescent="0.2">
      <c r="A1842" s="4"/>
      <c r="B1842" s="4"/>
    </row>
    <row r="1843" spans="1:2" x14ac:dyDescent="0.2">
      <c r="A1843" s="4"/>
      <c r="B1843" s="4"/>
    </row>
    <row r="1844" spans="1:2" x14ac:dyDescent="0.2">
      <c r="A1844" s="4"/>
      <c r="B1844" s="4"/>
    </row>
    <row r="1845" spans="1:2" x14ac:dyDescent="0.2">
      <c r="A1845" s="4"/>
      <c r="B1845" s="4"/>
    </row>
    <row r="1846" spans="1:2" x14ac:dyDescent="0.2">
      <c r="A1846" s="4"/>
      <c r="B1846" s="4"/>
    </row>
    <row r="1847" spans="1:2" x14ac:dyDescent="0.2">
      <c r="A1847" s="4"/>
      <c r="B1847" s="4"/>
    </row>
    <row r="1848" spans="1:2" x14ac:dyDescent="0.2">
      <c r="A1848" s="4"/>
      <c r="B1848" s="4"/>
    </row>
    <row r="1849" spans="1:2" x14ac:dyDescent="0.2">
      <c r="A1849" s="4"/>
      <c r="B1849" s="4"/>
    </row>
    <row r="1850" spans="1:2" x14ac:dyDescent="0.2">
      <c r="A1850" s="4"/>
      <c r="B1850" s="4"/>
    </row>
    <row r="1851" spans="1:2" x14ac:dyDescent="0.2">
      <c r="A1851" s="4"/>
      <c r="B1851" s="4"/>
    </row>
    <row r="1852" spans="1:2" x14ac:dyDescent="0.2">
      <c r="A1852" s="4"/>
      <c r="B1852" s="4"/>
    </row>
    <row r="1853" spans="1:2" x14ac:dyDescent="0.2">
      <c r="A1853" s="4"/>
      <c r="B1853" s="4"/>
    </row>
    <row r="1854" spans="1:2" x14ac:dyDescent="0.2">
      <c r="A1854" s="4"/>
      <c r="B1854" s="4"/>
    </row>
    <row r="1855" spans="1:2" x14ac:dyDescent="0.2">
      <c r="A1855" s="4"/>
      <c r="B1855" s="4"/>
    </row>
    <row r="1856" spans="1:2" x14ac:dyDescent="0.2">
      <c r="A1856" s="4"/>
      <c r="B1856" s="4"/>
    </row>
    <row r="1857" spans="1:2" x14ac:dyDescent="0.2">
      <c r="A1857" s="4"/>
      <c r="B1857" s="4"/>
    </row>
    <row r="1858" spans="1:2" x14ac:dyDescent="0.2">
      <c r="A1858" s="4"/>
      <c r="B1858" s="4"/>
    </row>
    <row r="1859" spans="1:2" x14ac:dyDescent="0.2">
      <c r="A1859" s="4"/>
      <c r="B1859" s="4"/>
    </row>
    <row r="1860" spans="1:2" x14ac:dyDescent="0.2">
      <c r="A1860" s="4"/>
      <c r="B1860" s="4"/>
    </row>
    <row r="1861" spans="1:2" x14ac:dyDescent="0.2">
      <c r="A1861" s="4"/>
      <c r="B1861" s="4"/>
    </row>
    <row r="1862" spans="1:2" x14ac:dyDescent="0.2">
      <c r="A1862" s="4"/>
      <c r="B1862" s="4"/>
    </row>
    <row r="1863" spans="1:2" x14ac:dyDescent="0.2">
      <c r="A1863" s="4"/>
      <c r="B1863" s="4"/>
    </row>
    <row r="1864" spans="1:2" x14ac:dyDescent="0.2">
      <c r="A1864" s="4"/>
      <c r="B1864" s="4"/>
    </row>
    <row r="1865" spans="1:2" x14ac:dyDescent="0.2">
      <c r="A1865" s="4"/>
      <c r="B1865" s="4"/>
    </row>
    <row r="1866" spans="1:2" x14ac:dyDescent="0.2">
      <c r="A1866" s="4"/>
      <c r="B1866" s="4"/>
    </row>
    <row r="1867" spans="1:2" x14ac:dyDescent="0.2">
      <c r="A1867" s="4"/>
      <c r="B1867" s="4"/>
    </row>
    <row r="1868" spans="1:2" x14ac:dyDescent="0.2">
      <c r="A1868" s="4"/>
      <c r="B1868" s="4"/>
    </row>
    <row r="1869" spans="1:2" x14ac:dyDescent="0.2">
      <c r="A1869" s="4"/>
      <c r="B1869" s="4"/>
    </row>
    <row r="1870" spans="1:2" x14ac:dyDescent="0.2">
      <c r="A1870" s="4"/>
      <c r="B1870" s="4"/>
    </row>
    <row r="1871" spans="1:2" x14ac:dyDescent="0.2">
      <c r="A1871" s="4"/>
      <c r="B1871" s="4"/>
    </row>
    <row r="1872" spans="1:2" x14ac:dyDescent="0.2">
      <c r="A1872" s="4"/>
      <c r="B1872" s="4"/>
    </row>
    <row r="1873" spans="1:2" x14ac:dyDescent="0.2">
      <c r="A1873" s="4"/>
      <c r="B1873" s="4"/>
    </row>
    <row r="1874" spans="1:2" x14ac:dyDescent="0.2">
      <c r="A1874" s="4"/>
      <c r="B1874" s="4"/>
    </row>
    <row r="1875" spans="1:2" x14ac:dyDescent="0.2">
      <c r="A1875" s="4"/>
      <c r="B1875" s="4"/>
    </row>
    <row r="1876" spans="1:2" x14ac:dyDescent="0.2">
      <c r="A1876" s="4"/>
      <c r="B1876" s="4"/>
    </row>
    <row r="1877" spans="1:2" x14ac:dyDescent="0.2">
      <c r="A1877" s="4"/>
      <c r="B1877" s="4"/>
    </row>
    <row r="1878" spans="1:2" x14ac:dyDescent="0.2">
      <c r="A1878" s="4"/>
      <c r="B1878" s="4"/>
    </row>
    <row r="1879" spans="1:2" x14ac:dyDescent="0.2">
      <c r="A1879" s="4"/>
      <c r="B1879" s="4"/>
    </row>
    <row r="1880" spans="1:2" x14ac:dyDescent="0.2">
      <c r="A1880" s="4"/>
      <c r="B1880" s="4"/>
    </row>
    <row r="1881" spans="1:2" x14ac:dyDescent="0.2">
      <c r="A1881" s="4"/>
      <c r="B1881" s="4"/>
    </row>
    <row r="1882" spans="1:2" x14ac:dyDescent="0.2">
      <c r="A1882" s="4"/>
      <c r="B1882" s="4"/>
    </row>
    <row r="1883" spans="1:2" x14ac:dyDescent="0.2">
      <c r="A1883" s="4"/>
      <c r="B1883" s="4"/>
    </row>
    <row r="1884" spans="1:2" x14ac:dyDescent="0.2">
      <c r="A1884" s="4"/>
      <c r="B1884" s="4"/>
    </row>
    <row r="1885" spans="1:2" x14ac:dyDescent="0.2">
      <c r="A1885" s="4"/>
      <c r="B1885" s="4"/>
    </row>
    <row r="1886" spans="1:2" x14ac:dyDescent="0.2">
      <c r="A1886" s="4"/>
      <c r="B1886" s="4"/>
    </row>
    <row r="1887" spans="1:2" x14ac:dyDescent="0.2">
      <c r="A1887" s="4"/>
      <c r="B1887" s="4"/>
    </row>
    <row r="1888" spans="1:2" x14ac:dyDescent="0.2">
      <c r="A1888" s="4"/>
      <c r="B1888" s="4"/>
    </row>
    <row r="1889" spans="1:2" x14ac:dyDescent="0.2">
      <c r="A1889" s="4"/>
      <c r="B1889" s="4"/>
    </row>
    <row r="1890" spans="1:2" x14ac:dyDescent="0.2">
      <c r="A1890" s="4"/>
      <c r="B1890" s="4"/>
    </row>
    <row r="1891" spans="1:2" x14ac:dyDescent="0.2">
      <c r="A1891" s="4"/>
      <c r="B1891" s="4"/>
    </row>
    <row r="1892" spans="1:2" x14ac:dyDescent="0.2">
      <c r="A1892" s="4"/>
      <c r="B1892" s="4"/>
    </row>
    <row r="1893" spans="1:2" x14ac:dyDescent="0.2">
      <c r="A1893" s="4"/>
      <c r="B1893" s="4"/>
    </row>
    <row r="1894" spans="1:2" x14ac:dyDescent="0.2">
      <c r="A1894" s="4"/>
      <c r="B1894" s="4"/>
    </row>
    <row r="1895" spans="1:2" x14ac:dyDescent="0.2">
      <c r="A1895" s="4"/>
      <c r="B1895" s="4"/>
    </row>
    <row r="1896" spans="1:2" x14ac:dyDescent="0.2">
      <c r="A1896" s="4"/>
      <c r="B1896" s="4"/>
    </row>
    <row r="1897" spans="1:2" x14ac:dyDescent="0.2">
      <c r="A1897" s="4"/>
      <c r="B1897" s="4"/>
    </row>
    <row r="1898" spans="1:2" x14ac:dyDescent="0.2">
      <c r="A1898" s="4"/>
      <c r="B1898" s="4"/>
    </row>
    <row r="1899" spans="1:2" x14ac:dyDescent="0.2">
      <c r="A1899" s="4"/>
      <c r="B1899" s="4"/>
    </row>
    <row r="1900" spans="1:2" x14ac:dyDescent="0.2">
      <c r="A1900" s="4"/>
      <c r="B1900" s="4"/>
    </row>
    <row r="1901" spans="1:2" x14ac:dyDescent="0.2">
      <c r="A1901" s="4"/>
      <c r="B1901" s="4"/>
    </row>
    <row r="1902" spans="1:2" x14ac:dyDescent="0.2">
      <c r="A1902" s="4"/>
      <c r="B1902" s="4"/>
    </row>
    <row r="1903" spans="1:2" x14ac:dyDescent="0.2">
      <c r="A1903" s="4"/>
      <c r="B1903" s="4"/>
    </row>
    <row r="1904" spans="1:2" x14ac:dyDescent="0.2">
      <c r="A1904" s="4"/>
      <c r="B1904" s="4"/>
    </row>
    <row r="1905" spans="1:2" x14ac:dyDescent="0.2">
      <c r="A1905" s="4"/>
      <c r="B1905" s="4"/>
    </row>
    <row r="1906" spans="1:2" x14ac:dyDescent="0.2">
      <c r="A1906" s="4"/>
      <c r="B1906" s="4"/>
    </row>
    <row r="1907" spans="1:2" x14ac:dyDescent="0.2">
      <c r="A1907" s="4"/>
      <c r="B1907" s="4"/>
    </row>
    <row r="1908" spans="1:2" x14ac:dyDescent="0.2">
      <c r="A1908" s="4"/>
      <c r="B1908" s="4"/>
    </row>
    <row r="1909" spans="1:2" x14ac:dyDescent="0.2">
      <c r="A1909" s="4"/>
      <c r="B1909" s="4"/>
    </row>
    <row r="1910" spans="1:2" x14ac:dyDescent="0.2">
      <c r="A1910" s="4"/>
      <c r="B1910" s="4"/>
    </row>
    <row r="1911" spans="1:2" x14ac:dyDescent="0.2">
      <c r="A1911" s="4"/>
      <c r="B1911" s="4"/>
    </row>
    <row r="1912" spans="1:2" x14ac:dyDescent="0.2">
      <c r="A1912" s="4"/>
      <c r="B1912" s="4"/>
    </row>
    <row r="1913" spans="1:2" x14ac:dyDescent="0.2">
      <c r="A1913" s="4"/>
      <c r="B1913" s="4"/>
    </row>
    <row r="1914" spans="1:2" x14ac:dyDescent="0.2">
      <c r="A1914" s="4"/>
      <c r="B1914" s="4"/>
    </row>
    <row r="1915" spans="1:2" x14ac:dyDescent="0.2">
      <c r="A1915" s="4"/>
      <c r="B1915" s="4"/>
    </row>
    <row r="1916" spans="1:2" x14ac:dyDescent="0.2">
      <c r="A1916" s="4"/>
      <c r="B1916" s="4"/>
    </row>
    <row r="1917" spans="1:2" x14ac:dyDescent="0.2">
      <c r="A1917" s="4"/>
      <c r="B1917" s="4"/>
    </row>
    <row r="1918" spans="1:2" x14ac:dyDescent="0.2">
      <c r="A1918" s="4"/>
      <c r="B1918" s="4"/>
    </row>
    <row r="1919" spans="1:2" x14ac:dyDescent="0.2">
      <c r="A1919" s="4"/>
      <c r="B1919" s="4"/>
    </row>
    <row r="1920" spans="1:2" x14ac:dyDescent="0.2">
      <c r="A1920" s="4"/>
      <c r="B1920" s="4"/>
    </row>
    <row r="1921" spans="1:2" x14ac:dyDescent="0.2">
      <c r="A1921" s="4"/>
      <c r="B1921" s="4"/>
    </row>
    <row r="1922" spans="1:2" x14ac:dyDescent="0.2">
      <c r="A1922" s="4"/>
      <c r="B1922" s="4"/>
    </row>
    <row r="1923" spans="1:2" x14ac:dyDescent="0.2">
      <c r="A1923" s="4"/>
      <c r="B1923" s="4"/>
    </row>
    <row r="1924" spans="1:2" x14ac:dyDescent="0.2">
      <c r="A1924" s="4"/>
      <c r="B1924" s="4"/>
    </row>
    <row r="1925" spans="1:2" x14ac:dyDescent="0.2">
      <c r="A1925" s="4"/>
      <c r="B1925" s="4"/>
    </row>
    <row r="1926" spans="1:2" x14ac:dyDescent="0.2">
      <c r="A1926" s="4"/>
      <c r="B1926" s="4"/>
    </row>
    <row r="1927" spans="1:2" x14ac:dyDescent="0.2">
      <c r="A1927" s="4"/>
      <c r="B1927" s="4"/>
    </row>
    <row r="1928" spans="1:2" x14ac:dyDescent="0.2">
      <c r="A1928" s="4"/>
      <c r="B1928" s="4"/>
    </row>
    <row r="1929" spans="1:2" x14ac:dyDescent="0.2">
      <c r="A1929" s="4"/>
      <c r="B1929" s="4"/>
    </row>
    <row r="1930" spans="1:2" x14ac:dyDescent="0.2">
      <c r="A1930" s="4"/>
      <c r="B1930" s="4"/>
    </row>
    <row r="1931" spans="1:2" x14ac:dyDescent="0.2">
      <c r="A1931" s="4"/>
      <c r="B1931" s="4"/>
    </row>
    <row r="1932" spans="1:2" x14ac:dyDescent="0.2">
      <c r="A1932" s="4"/>
      <c r="B1932" s="4"/>
    </row>
    <row r="1933" spans="1:2" x14ac:dyDescent="0.2">
      <c r="A1933" s="4"/>
      <c r="B1933" s="4"/>
    </row>
    <row r="1934" spans="1:2" x14ac:dyDescent="0.2">
      <c r="A1934" s="4"/>
      <c r="B1934" s="4"/>
    </row>
    <row r="1935" spans="1:2" x14ac:dyDescent="0.2">
      <c r="A1935" s="4"/>
      <c r="B1935" s="4"/>
    </row>
    <row r="1936" spans="1:2" x14ac:dyDescent="0.2">
      <c r="A1936" s="4"/>
      <c r="B1936" s="4"/>
    </row>
    <row r="1937" spans="1:2" x14ac:dyDescent="0.2">
      <c r="A1937" s="4"/>
      <c r="B1937" s="4"/>
    </row>
    <row r="1938" spans="1:2" x14ac:dyDescent="0.2">
      <c r="A1938" s="4"/>
      <c r="B1938" s="4"/>
    </row>
    <row r="1939" spans="1:2" x14ac:dyDescent="0.2">
      <c r="A1939" s="4"/>
      <c r="B1939" s="4"/>
    </row>
    <row r="1940" spans="1:2" x14ac:dyDescent="0.2">
      <c r="A1940" s="4"/>
      <c r="B1940" s="4"/>
    </row>
    <row r="1941" spans="1:2" x14ac:dyDescent="0.2">
      <c r="A1941" s="4"/>
      <c r="B1941" s="4"/>
    </row>
    <row r="1942" spans="1:2" x14ac:dyDescent="0.2">
      <c r="A1942" s="4"/>
      <c r="B1942" s="4"/>
    </row>
    <row r="1943" spans="1:2" x14ac:dyDescent="0.2">
      <c r="A1943" s="4"/>
      <c r="B1943" s="4"/>
    </row>
    <row r="1944" spans="1:2" x14ac:dyDescent="0.2">
      <c r="A1944" s="4"/>
      <c r="B1944" s="4"/>
    </row>
    <row r="1945" spans="1:2" x14ac:dyDescent="0.2">
      <c r="A1945" s="4"/>
      <c r="B1945" s="4"/>
    </row>
    <row r="1946" spans="1:2" x14ac:dyDescent="0.2">
      <c r="A1946" s="4"/>
      <c r="B1946" s="4"/>
    </row>
    <row r="1947" spans="1:2" x14ac:dyDescent="0.2">
      <c r="A1947" s="4"/>
      <c r="B1947" s="4"/>
    </row>
    <row r="1948" spans="1:2" x14ac:dyDescent="0.2">
      <c r="A1948" s="4"/>
      <c r="B1948" s="4"/>
    </row>
    <row r="1949" spans="1:2" x14ac:dyDescent="0.2">
      <c r="A1949" s="4"/>
      <c r="B1949" s="4"/>
    </row>
    <row r="1950" spans="1:2" x14ac:dyDescent="0.2">
      <c r="A1950" s="4"/>
      <c r="B1950" s="4"/>
    </row>
    <row r="1951" spans="1:2" x14ac:dyDescent="0.2">
      <c r="A1951" s="4"/>
      <c r="B1951" s="4"/>
    </row>
    <row r="1952" spans="1:2" x14ac:dyDescent="0.2">
      <c r="A1952" s="4"/>
      <c r="B1952" s="4"/>
    </row>
    <row r="1953" spans="1:2" x14ac:dyDescent="0.2">
      <c r="A1953" s="4"/>
      <c r="B1953" s="4"/>
    </row>
    <row r="1954" spans="1:2" x14ac:dyDescent="0.2">
      <c r="A1954" s="4"/>
      <c r="B1954" s="4"/>
    </row>
    <row r="1955" spans="1:2" x14ac:dyDescent="0.2">
      <c r="A1955" s="4"/>
      <c r="B1955" s="4"/>
    </row>
    <row r="1956" spans="1:2" x14ac:dyDescent="0.2">
      <c r="A1956" s="4"/>
      <c r="B1956" s="4"/>
    </row>
    <row r="1957" spans="1:2" x14ac:dyDescent="0.2">
      <c r="A1957" s="4"/>
      <c r="B1957" s="4"/>
    </row>
    <row r="1958" spans="1:2" x14ac:dyDescent="0.2">
      <c r="A1958" s="4"/>
      <c r="B1958" s="4"/>
    </row>
    <row r="1959" spans="1:2" x14ac:dyDescent="0.2">
      <c r="A1959" s="4"/>
      <c r="B1959" s="4"/>
    </row>
    <row r="1960" spans="1:2" x14ac:dyDescent="0.2">
      <c r="A1960" s="4"/>
      <c r="B1960" s="4"/>
    </row>
    <row r="1961" spans="1:2" x14ac:dyDescent="0.2">
      <c r="A1961" s="4"/>
      <c r="B1961" s="4"/>
    </row>
    <row r="1962" spans="1:2" x14ac:dyDescent="0.2">
      <c r="A1962" s="4"/>
      <c r="B1962" s="4"/>
    </row>
    <row r="1963" spans="1:2" x14ac:dyDescent="0.2">
      <c r="A1963" s="4"/>
      <c r="B1963" s="4"/>
    </row>
    <row r="1964" spans="1:2" x14ac:dyDescent="0.2">
      <c r="A1964" s="4"/>
      <c r="B1964" s="4"/>
    </row>
    <row r="1965" spans="1:2" x14ac:dyDescent="0.2">
      <c r="A1965" s="4"/>
      <c r="B1965" s="4"/>
    </row>
    <row r="1966" spans="1:2" x14ac:dyDescent="0.2">
      <c r="A1966" s="4"/>
      <c r="B1966" s="4"/>
    </row>
    <row r="1967" spans="1:2" x14ac:dyDescent="0.2">
      <c r="A1967" s="4"/>
      <c r="B1967" s="4"/>
    </row>
    <row r="1968" spans="1:2" x14ac:dyDescent="0.2">
      <c r="A1968" s="4"/>
      <c r="B1968" s="4"/>
    </row>
    <row r="1969" spans="1:2" x14ac:dyDescent="0.2">
      <c r="A1969" s="4"/>
      <c r="B1969" s="4"/>
    </row>
    <row r="1970" spans="1:2" x14ac:dyDescent="0.2">
      <c r="A1970" s="4"/>
      <c r="B1970" s="4"/>
    </row>
    <row r="1971" spans="1:2" x14ac:dyDescent="0.2">
      <c r="A1971" s="4"/>
      <c r="B1971" s="4"/>
    </row>
    <row r="1972" spans="1:2" x14ac:dyDescent="0.2">
      <c r="A1972" s="4"/>
      <c r="B1972" s="4"/>
    </row>
    <row r="1973" spans="1:2" x14ac:dyDescent="0.2">
      <c r="A1973" s="4"/>
      <c r="B1973" s="4"/>
    </row>
    <row r="1974" spans="1:2" x14ac:dyDescent="0.2">
      <c r="A1974" s="4"/>
      <c r="B1974" s="4"/>
    </row>
    <row r="1975" spans="1:2" x14ac:dyDescent="0.2">
      <c r="A1975" s="4"/>
      <c r="B1975" s="4"/>
    </row>
    <row r="1976" spans="1:2" x14ac:dyDescent="0.2">
      <c r="A1976" s="4"/>
      <c r="B1976" s="4"/>
    </row>
    <row r="1977" spans="1:2" x14ac:dyDescent="0.2">
      <c r="A1977" s="4"/>
      <c r="B1977" s="4"/>
    </row>
    <row r="1978" spans="1:2" x14ac:dyDescent="0.2">
      <c r="A1978" s="4"/>
      <c r="B1978" s="4"/>
    </row>
    <row r="1979" spans="1:2" x14ac:dyDescent="0.2">
      <c r="A1979" s="4"/>
      <c r="B1979" s="4"/>
    </row>
    <row r="1980" spans="1:2" x14ac:dyDescent="0.2">
      <c r="A1980" s="4"/>
      <c r="B1980" s="4"/>
    </row>
    <row r="1981" spans="1:2" x14ac:dyDescent="0.2">
      <c r="A1981" s="4"/>
      <c r="B1981" s="4"/>
    </row>
    <row r="1982" spans="1:2" x14ac:dyDescent="0.2">
      <c r="A1982" s="4"/>
      <c r="B1982" s="4"/>
    </row>
    <row r="1983" spans="1:2" x14ac:dyDescent="0.2">
      <c r="A1983" s="4"/>
      <c r="B1983" s="4"/>
    </row>
    <row r="1984" spans="1:2" x14ac:dyDescent="0.2">
      <c r="A1984" s="4"/>
      <c r="B1984" s="4"/>
    </row>
    <row r="1985" spans="1:2" x14ac:dyDescent="0.2">
      <c r="A1985" s="4"/>
      <c r="B1985" s="4"/>
    </row>
    <row r="1986" spans="1:2" x14ac:dyDescent="0.2">
      <c r="A1986" s="4"/>
      <c r="B1986" s="4"/>
    </row>
    <row r="1987" spans="1:2" x14ac:dyDescent="0.2">
      <c r="A1987" s="4"/>
      <c r="B1987" s="4"/>
    </row>
    <row r="1988" spans="1:2" x14ac:dyDescent="0.2">
      <c r="A1988" s="4"/>
      <c r="B1988" s="4"/>
    </row>
    <row r="1989" spans="1:2" x14ac:dyDescent="0.2">
      <c r="A1989" s="4"/>
      <c r="B1989" s="4"/>
    </row>
    <row r="1990" spans="1:2" x14ac:dyDescent="0.2">
      <c r="A1990" s="4"/>
      <c r="B1990" s="4"/>
    </row>
    <row r="1991" spans="1:2" x14ac:dyDescent="0.2">
      <c r="A1991" s="4"/>
      <c r="B1991" s="4"/>
    </row>
    <row r="1992" spans="1:2" x14ac:dyDescent="0.2">
      <c r="A1992" s="4"/>
      <c r="B1992" s="4"/>
    </row>
    <row r="1993" spans="1:2" x14ac:dyDescent="0.2">
      <c r="A1993" s="4"/>
      <c r="B1993" s="4"/>
    </row>
    <row r="1994" spans="1:2" x14ac:dyDescent="0.2">
      <c r="A1994" s="4"/>
      <c r="B1994" s="4"/>
    </row>
    <row r="1995" spans="1:2" x14ac:dyDescent="0.2">
      <c r="A1995" s="4"/>
      <c r="B1995" s="4"/>
    </row>
    <row r="1996" spans="1:2" x14ac:dyDescent="0.2">
      <c r="A1996" s="4"/>
      <c r="B1996" s="4"/>
    </row>
    <row r="1997" spans="1:2" x14ac:dyDescent="0.2">
      <c r="A1997" s="4"/>
      <c r="B1997" s="4"/>
    </row>
    <row r="1998" spans="1:2" x14ac:dyDescent="0.2">
      <c r="A1998" s="4"/>
      <c r="B1998" s="4"/>
    </row>
    <row r="1999" spans="1:2" x14ac:dyDescent="0.2">
      <c r="A1999" s="4"/>
      <c r="B1999" s="4"/>
    </row>
    <row r="2000" spans="1:2" x14ac:dyDescent="0.2">
      <c r="A2000" s="4"/>
      <c r="B2000" s="4"/>
    </row>
    <row r="2001" spans="1:2" x14ac:dyDescent="0.2">
      <c r="A2001" s="4"/>
      <c r="B2001" s="4"/>
    </row>
    <row r="2002" spans="1:2" x14ac:dyDescent="0.2">
      <c r="A2002" s="4"/>
      <c r="B2002" s="4"/>
    </row>
    <row r="2003" spans="1:2" x14ac:dyDescent="0.2">
      <c r="A2003" s="4"/>
      <c r="B2003" s="4"/>
    </row>
    <row r="2004" spans="1:2" x14ac:dyDescent="0.2">
      <c r="A2004" s="4"/>
      <c r="B2004" s="4"/>
    </row>
    <row r="2005" spans="1:2" x14ac:dyDescent="0.2">
      <c r="A2005" s="4"/>
      <c r="B2005" s="4"/>
    </row>
    <row r="2006" spans="1:2" x14ac:dyDescent="0.2">
      <c r="A2006" s="4"/>
      <c r="B2006" s="4"/>
    </row>
    <row r="2007" spans="1:2" x14ac:dyDescent="0.2">
      <c r="A2007" s="4"/>
      <c r="B2007" s="4"/>
    </row>
    <row r="2008" spans="1:2" x14ac:dyDescent="0.2">
      <c r="A2008" s="4"/>
      <c r="B2008" s="4"/>
    </row>
    <row r="2009" spans="1:2" x14ac:dyDescent="0.2">
      <c r="A2009" s="4"/>
      <c r="B2009" s="4"/>
    </row>
    <row r="2010" spans="1:2" x14ac:dyDescent="0.2">
      <c r="A2010" s="4"/>
      <c r="B2010" s="4"/>
    </row>
    <row r="2011" spans="1:2" x14ac:dyDescent="0.2">
      <c r="A2011" s="4"/>
      <c r="B2011" s="4"/>
    </row>
    <row r="2012" spans="1:2" x14ac:dyDescent="0.2">
      <c r="A2012" s="4"/>
      <c r="B2012" s="4"/>
    </row>
    <row r="2013" spans="1:2" x14ac:dyDescent="0.2">
      <c r="A2013" s="4"/>
      <c r="B2013" s="4"/>
    </row>
    <row r="2014" spans="1:2" x14ac:dyDescent="0.2">
      <c r="A2014" s="4"/>
      <c r="B2014" s="4"/>
    </row>
    <row r="2015" spans="1:2" x14ac:dyDescent="0.2">
      <c r="A2015" s="4"/>
      <c r="B2015" s="4"/>
    </row>
    <row r="2016" spans="1:2" x14ac:dyDescent="0.2">
      <c r="A2016" s="4"/>
      <c r="B2016" s="4"/>
    </row>
    <row r="2017" spans="1:2" x14ac:dyDescent="0.2">
      <c r="A2017" s="4"/>
      <c r="B2017" s="4"/>
    </row>
    <row r="2018" spans="1:2" x14ac:dyDescent="0.2">
      <c r="A2018" s="4"/>
      <c r="B2018" s="4"/>
    </row>
    <row r="2019" spans="1:2" x14ac:dyDescent="0.2">
      <c r="A2019" s="4"/>
      <c r="B2019" s="4"/>
    </row>
    <row r="2020" spans="1:2" x14ac:dyDescent="0.2">
      <c r="A2020" s="4"/>
      <c r="B2020" s="4"/>
    </row>
    <row r="2021" spans="1:2" x14ac:dyDescent="0.2">
      <c r="A2021" s="4"/>
      <c r="B2021" s="4"/>
    </row>
    <row r="2022" spans="1:2" x14ac:dyDescent="0.2">
      <c r="A2022" s="4"/>
      <c r="B2022" s="4"/>
    </row>
    <row r="2023" spans="1:2" x14ac:dyDescent="0.2">
      <c r="A2023" s="4"/>
      <c r="B2023" s="4"/>
    </row>
    <row r="2024" spans="1:2" x14ac:dyDescent="0.2">
      <c r="A2024" s="4"/>
      <c r="B2024" s="4"/>
    </row>
    <row r="2025" spans="1:2" x14ac:dyDescent="0.2">
      <c r="A2025" s="4"/>
      <c r="B2025" s="4"/>
    </row>
    <row r="2026" spans="1:2" x14ac:dyDescent="0.2">
      <c r="A2026" s="4"/>
      <c r="B2026" s="4"/>
    </row>
    <row r="2027" spans="1:2" x14ac:dyDescent="0.2">
      <c r="A2027" s="4"/>
      <c r="B2027" s="4"/>
    </row>
    <row r="2028" spans="1:2" x14ac:dyDescent="0.2">
      <c r="A2028" s="4"/>
      <c r="B2028" s="4"/>
    </row>
    <row r="2029" spans="1:2" x14ac:dyDescent="0.2">
      <c r="A2029" s="4"/>
      <c r="B2029" s="4"/>
    </row>
    <row r="2030" spans="1:2" x14ac:dyDescent="0.2">
      <c r="A2030" s="4"/>
      <c r="B2030" s="4"/>
    </row>
    <row r="2031" spans="1:2" x14ac:dyDescent="0.2">
      <c r="A2031" s="4"/>
      <c r="B2031" s="4"/>
    </row>
    <row r="2032" spans="1:2" x14ac:dyDescent="0.2">
      <c r="A2032" s="4"/>
      <c r="B2032" s="4"/>
    </row>
    <row r="2033" spans="1:2" x14ac:dyDescent="0.2">
      <c r="A2033" s="4"/>
      <c r="B2033" s="4"/>
    </row>
    <row r="2034" spans="1:2" x14ac:dyDescent="0.2">
      <c r="A2034" s="4"/>
      <c r="B2034" s="4"/>
    </row>
    <row r="2035" spans="1:2" x14ac:dyDescent="0.2">
      <c r="A2035" s="4"/>
      <c r="B2035" s="4"/>
    </row>
    <row r="2036" spans="1:2" x14ac:dyDescent="0.2">
      <c r="A2036" s="4"/>
      <c r="B2036" s="4"/>
    </row>
    <row r="2037" spans="1:2" x14ac:dyDescent="0.2">
      <c r="A2037" s="4"/>
      <c r="B2037" s="4"/>
    </row>
    <row r="2038" spans="1:2" x14ac:dyDescent="0.2">
      <c r="A2038" s="4"/>
      <c r="B2038" s="4"/>
    </row>
    <row r="2039" spans="1:2" x14ac:dyDescent="0.2">
      <c r="A2039" s="4"/>
      <c r="B2039" s="4"/>
    </row>
    <row r="2040" spans="1:2" x14ac:dyDescent="0.2">
      <c r="A2040" s="4"/>
      <c r="B2040" s="4"/>
    </row>
    <row r="2041" spans="1:2" x14ac:dyDescent="0.2">
      <c r="A2041" s="4"/>
      <c r="B2041" s="4"/>
    </row>
    <row r="2042" spans="1:2" x14ac:dyDescent="0.2">
      <c r="A2042" s="4"/>
      <c r="B2042" s="4"/>
    </row>
    <row r="2043" spans="1:2" x14ac:dyDescent="0.2">
      <c r="A2043" s="4"/>
      <c r="B2043" s="4"/>
    </row>
    <row r="2044" spans="1:2" x14ac:dyDescent="0.2">
      <c r="A2044" s="4"/>
      <c r="B2044" s="4"/>
    </row>
    <row r="2045" spans="1:2" x14ac:dyDescent="0.2">
      <c r="A2045" s="4"/>
      <c r="B2045" s="4"/>
    </row>
    <row r="2046" spans="1:2" x14ac:dyDescent="0.2">
      <c r="A2046" s="4"/>
      <c r="B2046" s="4"/>
    </row>
    <row r="2047" spans="1:2" x14ac:dyDescent="0.2">
      <c r="A2047" s="4"/>
      <c r="B2047" s="4"/>
    </row>
    <row r="2048" spans="1:2" x14ac:dyDescent="0.2">
      <c r="A2048" s="4"/>
      <c r="B2048" s="4"/>
    </row>
    <row r="2049" spans="1:2" x14ac:dyDescent="0.2">
      <c r="A2049" s="4"/>
      <c r="B2049" s="4"/>
    </row>
    <row r="2050" spans="1:2" x14ac:dyDescent="0.2">
      <c r="A2050" s="4"/>
      <c r="B2050" s="4"/>
    </row>
    <row r="2051" spans="1:2" x14ac:dyDescent="0.2">
      <c r="A2051" s="4"/>
      <c r="B2051" s="4"/>
    </row>
    <row r="2052" spans="1:2" x14ac:dyDescent="0.2">
      <c r="A2052" s="4"/>
      <c r="B2052" s="4"/>
    </row>
    <row r="2053" spans="1:2" x14ac:dyDescent="0.2">
      <c r="A2053" s="4"/>
      <c r="B2053" s="4"/>
    </row>
    <row r="2054" spans="1:2" x14ac:dyDescent="0.2">
      <c r="A2054" s="4"/>
      <c r="B2054" s="4"/>
    </row>
    <row r="2055" spans="1:2" x14ac:dyDescent="0.2">
      <c r="A2055" s="4"/>
      <c r="B2055" s="4"/>
    </row>
    <row r="2056" spans="1:2" x14ac:dyDescent="0.2">
      <c r="A2056" s="4"/>
      <c r="B2056" s="4"/>
    </row>
    <row r="2057" spans="1:2" x14ac:dyDescent="0.2">
      <c r="A2057" s="4"/>
      <c r="B2057" s="4"/>
    </row>
    <row r="2058" spans="1:2" x14ac:dyDescent="0.2">
      <c r="A2058" s="4"/>
      <c r="B2058" s="4"/>
    </row>
    <row r="2059" spans="1:2" x14ac:dyDescent="0.2">
      <c r="A2059" s="4"/>
      <c r="B2059" s="4"/>
    </row>
    <row r="2060" spans="1:2" x14ac:dyDescent="0.2">
      <c r="A2060" s="4"/>
      <c r="B2060" s="4"/>
    </row>
    <row r="2061" spans="1:2" x14ac:dyDescent="0.2">
      <c r="A2061" s="4"/>
      <c r="B2061" s="4"/>
    </row>
    <row r="2062" spans="1:2" x14ac:dyDescent="0.2">
      <c r="A2062" s="4"/>
      <c r="B2062" s="4"/>
    </row>
    <row r="2063" spans="1:2" x14ac:dyDescent="0.2">
      <c r="A2063" s="4"/>
      <c r="B2063" s="4"/>
    </row>
    <row r="2064" spans="1:2" x14ac:dyDescent="0.2">
      <c r="A2064" s="4"/>
      <c r="B2064" s="4"/>
    </row>
    <row r="2065" spans="1:2" x14ac:dyDescent="0.2">
      <c r="A2065" s="4"/>
      <c r="B2065" s="4"/>
    </row>
    <row r="2066" spans="1:2" x14ac:dyDescent="0.2">
      <c r="A2066" s="4"/>
      <c r="B2066" s="4"/>
    </row>
    <row r="2067" spans="1:2" x14ac:dyDescent="0.2">
      <c r="A2067" s="4"/>
      <c r="B2067" s="4"/>
    </row>
    <row r="2068" spans="1:2" x14ac:dyDescent="0.2">
      <c r="A2068" s="4"/>
      <c r="B2068" s="4"/>
    </row>
    <row r="2069" spans="1:2" x14ac:dyDescent="0.2">
      <c r="A2069" s="4"/>
      <c r="B2069" s="4"/>
    </row>
    <row r="2070" spans="1:2" x14ac:dyDescent="0.2">
      <c r="A2070" s="4"/>
      <c r="B2070" s="4"/>
    </row>
    <row r="2071" spans="1:2" x14ac:dyDescent="0.2">
      <c r="A2071" s="4"/>
      <c r="B2071" s="4"/>
    </row>
    <row r="2072" spans="1:2" x14ac:dyDescent="0.2">
      <c r="A2072" s="4"/>
      <c r="B2072" s="4"/>
    </row>
    <row r="2073" spans="1:2" x14ac:dyDescent="0.2">
      <c r="A2073" s="4"/>
      <c r="B2073" s="4"/>
    </row>
    <row r="2074" spans="1:2" x14ac:dyDescent="0.2">
      <c r="A2074" s="4"/>
      <c r="B2074" s="4"/>
    </row>
    <row r="2075" spans="1:2" x14ac:dyDescent="0.2">
      <c r="A2075" s="4"/>
      <c r="B2075" s="4"/>
    </row>
    <row r="2076" spans="1:2" x14ac:dyDescent="0.2">
      <c r="A2076" s="4"/>
      <c r="B2076" s="4"/>
    </row>
    <row r="2077" spans="1:2" x14ac:dyDescent="0.2">
      <c r="A2077" s="4"/>
      <c r="B2077" s="4"/>
    </row>
    <row r="2078" spans="1:2" x14ac:dyDescent="0.2">
      <c r="A2078" s="4"/>
      <c r="B2078" s="4"/>
    </row>
    <row r="2079" spans="1:2" x14ac:dyDescent="0.2">
      <c r="A2079" s="4"/>
      <c r="B2079" s="4"/>
    </row>
    <row r="2080" spans="1:2" x14ac:dyDescent="0.2">
      <c r="A2080" s="4"/>
      <c r="B2080" s="4"/>
    </row>
    <row r="2081" spans="1:2" x14ac:dyDescent="0.2">
      <c r="A2081" s="4"/>
      <c r="B2081" s="4"/>
    </row>
    <row r="2082" spans="1:2" x14ac:dyDescent="0.2">
      <c r="A2082" s="4"/>
      <c r="B2082" s="4"/>
    </row>
    <row r="2083" spans="1:2" x14ac:dyDescent="0.2">
      <c r="A2083" s="4"/>
      <c r="B2083" s="4"/>
    </row>
    <row r="2084" spans="1:2" x14ac:dyDescent="0.2">
      <c r="A2084" s="4"/>
      <c r="B2084" s="4"/>
    </row>
    <row r="2085" spans="1:2" x14ac:dyDescent="0.2">
      <c r="A2085" s="4"/>
      <c r="B2085" s="4"/>
    </row>
    <row r="2086" spans="1:2" x14ac:dyDescent="0.2">
      <c r="A2086" s="4"/>
      <c r="B2086" s="4"/>
    </row>
    <row r="2087" spans="1:2" x14ac:dyDescent="0.2">
      <c r="A2087" s="4"/>
      <c r="B2087" s="4"/>
    </row>
    <row r="2088" spans="1:2" x14ac:dyDescent="0.2">
      <c r="A2088" s="4"/>
      <c r="B2088" s="4"/>
    </row>
    <row r="2089" spans="1:2" x14ac:dyDescent="0.2">
      <c r="A2089" s="4"/>
      <c r="B2089" s="4"/>
    </row>
    <row r="2090" spans="1:2" x14ac:dyDescent="0.2">
      <c r="A2090" s="4"/>
      <c r="B2090" s="4"/>
    </row>
    <row r="2091" spans="1:2" x14ac:dyDescent="0.2">
      <c r="A2091" s="4"/>
      <c r="B2091" s="4"/>
    </row>
    <row r="2092" spans="1:2" x14ac:dyDescent="0.2">
      <c r="A2092" s="4"/>
      <c r="B2092" s="4"/>
    </row>
    <row r="2093" spans="1:2" x14ac:dyDescent="0.2">
      <c r="A2093" s="4"/>
      <c r="B2093" s="4"/>
    </row>
    <row r="2094" spans="1:2" x14ac:dyDescent="0.2">
      <c r="A2094" s="4"/>
      <c r="B2094" s="4"/>
    </row>
    <row r="2095" spans="1:2" x14ac:dyDescent="0.2">
      <c r="A2095" s="4"/>
      <c r="B2095" s="4"/>
    </row>
    <row r="2096" spans="1:2" x14ac:dyDescent="0.2">
      <c r="A2096" s="4"/>
      <c r="B2096" s="4"/>
    </row>
    <row r="2097" spans="1:2" x14ac:dyDescent="0.2">
      <c r="A2097" s="4"/>
      <c r="B2097" s="4"/>
    </row>
    <row r="2098" spans="1:2" x14ac:dyDescent="0.2">
      <c r="A2098" s="4"/>
      <c r="B2098" s="4"/>
    </row>
    <row r="2099" spans="1:2" x14ac:dyDescent="0.2">
      <c r="A2099" s="4"/>
      <c r="B2099" s="4"/>
    </row>
    <row r="2100" spans="1:2" x14ac:dyDescent="0.2">
      <c r="A2100" s="4"/>
      <c r="B2100" s="4"/>
    </row>
    <row r="2101" spans="1:2" x14ac:dyDescent="0.2">
      <c r="A2101" s="4"/>
      <c r="B2101" s="4"/>
    </row>
    <row r="2102" spans="1:2" x14ac:dyDescent="0.2">
      <c r="A2102" s="4"/>
      <c r="B2102" s="4"/>
    </row>
    <row r="2103" spans="1:2" x14ac:dyDescent="0.2">
      <c r="A2103" s="4"/>
      <c r="B2103" s="4"/>
    </row>
    <row r="2104" spans="1:2" x14ac:dyDescent="0.2">
      <c r="A2104" s="4"/>
      <c r="B2104" s="4"/>
    </row>
    <row r="2105" spans="1:2" x14ac:dyDescent="0.2">
      <c r="A2105" s="4"/>
      <c r="B2105" s="4"/>
    </row>
    <row r="2106" spans="1:2" x14ac:dyDescent="0.2">
      <c r="A2106" s="4"/>
      <c r="B2106" s="4"/>
    </row>
    <row r="2107" spans="1:2" x14ac:dyDescent="0.2">
      <c r="A2107" s="4"/>
      <c r="B2107" s="4"/>
    </row>
    <row r="2108" spans="1:2" x14ac:dyDescent="0.2">
      <c r="A2108" s="4"/>
      <c r="B2108" s="4"/>
    </row>
    <row r="2109" spans="1:2" x14ac:dyDescent="0.2">
      <c r="A2109" s="4"/>
      <c r="B2109" s="4"/>
    </row>
    <row r="2110" spans="1:2" x14ac:dyDescent="0.2">
      <c r="A2110" s="4"/>
      <c r="B2110" s="4"/>
    </row>
    <row r="2111" spans="1:2" x14ac:dyDescent="0.2">
      <c r="A2111" s="4"/>
      <c r="B2111" s="4"/>
    </row>
    <row r="2112" spans="1:2" x14ac:dyDescent="0.2">
      <c r="A2112" s="4"/>
      <c r="B2112" s="4"/>
    </row>
    <row r="2113" spans="1:2" x14ac:dyDescent="0.2">
      <c r="A2113" s="4"/>
      <c r="B2113" s="4"/>
    </row>
    <row r="2114" spans="1:2" x14ac:dyDescent="0.2">
      <c r="A2114" s="4"/>
      <c r="B2114" s="4"/>
    </row>
    <row r="2115" spans="1:2" x14ac:dyDescent="0.2">
      <c r="A2115" s="4"/>
      <c r="B2115" s="4"/>
    </row>
    <row r="2116" spans="1:2" x14ac:dyDescent="0.2">
      <c r="A2116" s="4"/>
      <c r="B2116" s="4"/>
    </row>
    <row r="2117" spans="1:2" x14ac:dyDescent="0.2">
      <c r="A2117" s="4"/>
      <c r="B2117" s="4"/>
    </row>
    <row r="2118" spans="1:2" x14ac:dyDescent="0.2">
      <c r="A2118" s="4"/>
      <c r="B2118" s="4"/>
    </row>
    <row r="2119" spans="1:2" x14ac:dyDescent="0.2">
      <c r="A2119" s="4"/>
      <c r="B2119" s="4"/>
    </row>
    <row r="2120" spans="1:2" x14ac:dyDescent="0.2">
      <c r="A2120" s="4"/>
      <c r="B2120" s="4"/>
    </row>
    <row r="2121" spans="1:2" x14ac:dyDescent="0.2">
      <c r="A2121" s="4"/>
      <c r="B2121" s="4"/>
    </row>
    <row r="2122" spans="1:2" x14ac:dyDescent="0.2">
      <c r="A2122" s="4"/>
      <c r="B2122" s="4"/>
    </row>
    <row r="2123" spans="1:2" x14ac:dyDescent="0.2">
      <c r="A2123" s="4"/>
      <c r="B2123" s="4"/>
    </row>
    <row r="2124" spans="1:2" x14ac:dyDescent="0.2">
      <c r="A2124" s="4"/>
      <c r="B2124" s="4"/>
    </row>
    <row r="2125" spans="1:2" x14ac:dyDescent="0.2">
      <c r="A2125" s="4"/>
      <c r="B2125" s="4"/>
    </row>
    <row r="2126" spans="1:2" x14ac:dyDescent="0.2">
      <c r="A2126" s="4"/>
      <c r="B2126" s="4"/>
    </row>
    <row r="2127" spans="1:2" x14ac:dyDescent="0.2">
      <c r="A2127" s="4"/>
      <c r="B2127" s="4"/>
    </row>
    <row r="2128" spans="1:2" x14ac:dyDescent="0.2">
      <c r="A2128" s="4"/>
      <c r="B2128" s="4"/>
    </row>
    <row r="2129" spans="1:2" x14ac:dyDescent="0.2">
      <c r="A2129" s="4"/>
      <c r="B2129" s="4"/>
    </row>
    <row r="2130" spans="1:2" x14ac:dyDescent="0.2">
      <c r="A2130" s="4"/>
      <c r="B2130" s="4"/>
    </row>
    <row r="2131" spans="1:2" x14ac:dyDescent="0.2">
      <c r="A2131" s="4"/>
      <c r="B2131" s="4"/>
    </row>
    <row r="2132" spans="1:2" x14ac:dyDescent="0.2">
      <c r="A2132" s="4"/>
      <c r="B2132" s="4"/>
    </row>
    <row r="2133" spans="1:2" x14ac:dyDescent="0.2">
      <c r="A2133" s="4"/>
      <c r="B2133" s="4"/>
    </row>
    <row r="2134" spans="1:2" x14ac:dyDescent="0.2">
      <c r="A2134" s="4"/>
      <c r="B2134" s="4"/>
    </row>
    <row r="2135" spans="1:2" x14ac:dyDescent="0.2">
      <c r="A2135" s="4"/>
      <c r="B2135" s="4"/>
    </row>
    <row r="2136" spans="1:2" x14ac:dyDescent="0.2">
      <c r="A2136" s="4"/>
      <c r="B2136" s="4"/>
    </row>
    <row r="2137" spans="1:2" x14ac:dyDescent="0.2">
      <c r="A2137" s="4"/>
      <c r="B2137" s="4"/>
    </row>
    <row r="2138" spans="1:2" x14ac:dyDescent="0.2">
      <c r="A2138" s="4"/>
      <c r="B2138" s="4"/>
    </row>
    <row r="2139" spans="1:2" x14ac:dyDescent="0.2">
      <c r="A2139" s="4"/>
      <c r="B2139" s="4"/>
    </row>
    <row r="2140" spans="1:2" x14ac:dyDescent="0.2">
      <c r="A2140" s="4"/>
      <c r="B2140" s="4"/>
    </row>
    <row r="2141" spans="1:2" x14ac:dyDescent="0.2">
      <c r="A2141" s="4"/>
      <c r="B2141" s="4"/>
    </row>
    <row r="2142" spans="1:2" x14ac:dyDescent="0.2">
      <c r="A2142" s="4"/>
      <c r="B2142" s="4"/>
    </row>
    <row r="2143" spans="1:2" x14ac:dyDescent="0.2">
      <c r="A2143" s="4"/>
      <c r="B2143" s="4"/>
    </row>
    <row r="2144" spans="1:2" x14ac:dyDescent="0.2">
      <c r="A2144" s="4"/>
      <c r="B2144" s="4"/>
    </row>
    <row r="2145" spans="1:2" x14ac:dyDescent="0.2">
      <c r="A2145" s="4"/>
      <c r="B2145" s="4"/>
    </row>
    <row r="2146" spans="1:2" x14ac:dyDescent="0.2">
      <c r="A2146" s="4"/>
      <c r="B2146" s="4"/>
    </row>
    <row r="2147" spans="1:2" x14ac:dyDescent="0.2">
      <c r="A2147" s="4"/>
      <c r="B2147" s="4"/>
    </row>
    <row r="2148" spans="1:2" x14ac:dyDescent="0.2">
      <c r="A2148" s="4"/>
      <c r="B2148" s="4"/>
    </row>
    <row r="2149" spans="1:2" x14ac:dyDescent="0.2">
      <c r="A2149" s="4"/>
      <c r="B2149" s="4"/>
    </row>
    <row r="2150" spans="1:2" x14ac:dyDescent="0.2">
      <c r="A2150" s="4"/>
      <c r="B2150" s="4"/>
    </row>
    <row r="2151" spans="1:2" x14ac:dyDescent="0.2">
      <c r="A2151" s="4"/>
      <c r="B2151" s="4"/>
    </row>
    <row r="2152" spans="1:2" x14ac:dyDescent="0.2">
      <c r="A2152" s="4"/>
      <c r="B2152" s="4"/>
    </row>
    <row r="2153" spans="1:2" x14ac:dyDescent="0.2">
      <c r="A2153" s="4"/>
      <c r="B2153" s="4"/>
    </row>
    <row r="2154" spans="1:2" x14ac:dyDescent="0.2">
      <c r="A2154" s="4"/>
      <c r="B2154" s="4"/>
    </row>
    <row r="2155" spans="1:2" x14ac:dyDescent="0.2">
      <c r="A2155" s="4"/>
      <c r="B2155" s="4"/>
    </row>
    <row r="2156" spans="1:2" x14ac:dyDescent="0.2">
      <c r="A2156" s="4"/>
      <c r="B2156" s="4"/>
    </row>
    <row r="2157" spans="1:2" x14ac:dyDescent="0.2">
      <c r="A2157" s="4"/>
      <c r="B2157" s="4"/>
    </row>
    <row r="2158" spans="1:2" x14ac:dyDescent="0.2">
      <c r="A2158" s="4"/>
      <c r="B2158" s="4"/>
    </row>
    <row r="2159" spans="1:2" x14ac:dyDescent="0.2">
      <c r="A2159" s="4"/>
      <c r="B2159" s="4"/>
    </row>
    <row r="2160" spans="1:2" x14ac:dyDescent="0.2">
      <c r="A2160" s="4"/>
      <c r="B2160" s="4"/>
    </row>
    <row r="2161" spans="1:2" x14ac:dyDescent="0.2">
      <c r="A2161" s="4"/>
      <c r="B2161" s="4"/>
    </row>
    <row r="2162" spans="1:2" x14ac:dyDescent="0.2">
      <c r="A2162" s="4"/>
      <c r="B2162" s="4"/>
    </row>
    <row r="2163" spans="1:2" x14ac:dyDescent="0.2">
      <c r="A2163" s="4"/>
      <c r="B2163" s="4"/>
    </row>
    <row r="2164" spans="1:2" x14ac:dyDescent="0.2">
      <c r="A2164" s="4"/>
      <c r="B2164" s="4"/>
    </row>
    <row r="2165" spans="1:2" x14ac:dyDescent="0.2">
      <c r="A2165" s="4"/>
      <c r="B2165" s="4"/>
    </row>
    <row r="2166" spans="1:2" x14ac:dyDescent="0.2">
      <c r="A2166" s="4"/>
      <c r="B2166" s="4"/>
    </row>
    <row r="2167" spans="1:2" x14ac:dyDescent="0.2">
      <c r="A2167" s="4"/>
      <c r="B2167" s="4"/>
    </row>
    <row r="2168" spans="1:2" x14ac:dyDescent="0.2">
      <c r="A2168" s="4"/>
      <c r="B2168" s="4"/>
    </row>
    <row r="2169" spans="1:2" x14ac:dyDescent="0.2">
      <c r="A2169" s="4"/>
      <c r="B2169" s="4"/>
    </row>
    <row r="2170" spans="1:2" x14ac:dyDescent="0.2">
      <c r="A2170" s="4"/>
      <c r="B2170" s="4"/>
    </row>
    <row r="2171" spans="1:2" x14ac:dyDescent="0.2">
      <c r="A2171" s="4"/>
      <c r="B2171" s="4"/>
    </row>
    <row r="2172" spans="1:2" x14ac:dyDescent="0.2">
      <c r="A2172" s="4"/>
      <c r="B2172" s="4"/>
    </row>
    <row r="2173" spans="1:2" x14ac:dyDescent="0.2">
      <c r="A2173" s="4"/>
      <c r="B2173" s="4"/>
    </row>
    <row r="2174" spans="1:2" x14ac:dyDescent="0.2">
      <c r="A2174" s="4"/>
      <c r="B2174" s="4"/>
    </row>
    <row r="2175" spans="1:2" x14ac:dyDescent="0.2">
      <c r="A2175" s="4"/>
      <c r="B2175" s="4"/>
    </row>
    <row r="2176" spans="1:2" x14ac:dyDescent="0.2">
      <c r="A2176" s="4"/>
      <c r="B2176" s="4"/>
    </row>
    <row r="2177" spans="1:2" x14ac:dyDescent="0.2">
      <c r="A2177" s="4"/>
      <c r="B2177" s="4"/>
    </row>
    <row r="2178" spans="1:2" x14ac:dyDescent="0.2">
      <c r="A2178" s="4"/>
      <c r="B2178" s="4"/>
    </row>
    <row r="2179" spans="1:2" x14ac:dyDescent="0.2">
      <c r="A2179" s="4"/>
      <c r="B2179" s="4"/>
    </row>
    <row r="2180" spans="1:2" x14ac:dyDescent="0.2">
      <c r="A2180" s="4"/>
      <c r="B2180" s="4"/>
    </row>
    <row r="2181" spans="1:2" x14ac:dyDescent="0.2">
      <c r="A2181" s="4"/>
      <c r="B2181" s="4"/>
    </row>
    <row r="2182" spans="1:2" x14ac:dyDescent="0.2">
      <c r="A2182" s="4"/>
      <c r="B2182" s="4"/>
    </row>
    <row r="2183" spans="1:2" x14ac:dyDescent="0.2">
      <c r="A2183" s="4"/>
      <c r="B2183" s="4"/>
    </row>
    <row r="2184" spans="1:2" x14ac:dyDescent="0.2">
      <c r="A2184" s="4"/>
      <c r="B2184" s="4"/>
    </row>
    <row r="2185" spans="1:2" x14ac:dyDescent="0.2">
      <c r="A2185" s="4"/>
      <c r="B2185" s="4"/>
    </row>
    <row r="2186" spans="1:2" x14ac:dyDescent="0.2">
      <c r="A2186" s="4"/>
      <c r="B2186" s="4"/>
    </row>
    <row r="2187" spans="1:2" x14ac:dyDescent="0.2">
      <c r="A2187" s="4"/>
      <c r="B2187" s="4"/>
    </row>
    <row r="2188" spans="1:2" x14ac:dyDescent="0.2">
      <c r="A2188" s="4"/>
      <c r="B2188" s="4"/>
    </row>
    <row r="2189" spans="1:2" x14ac:dyDescent="0.2">
      <c r="A2189" s="4"/>
      <c r="B2189" s="4"/>
    </row>
    <row r="2190" spans="1:2" x14ac:dyDescent="0.2">
      <c r="A2190" s="4"/>
      <c r="B2190" s="4"/>
    </row>
    <row r="2191" spans="1:2" x14ac:dyDescent="0.2">
      <c r="A2191" s="4"/>
      <c r="B2191" s="4"/>
    </row>
    <row r="2192" spans="1:2" x14ac:dyDescent="0.2">
      <c r="A2192" s="4"/>
      <c r="B2192" s="4"/>
    </row>
    <row r="2193" spans="1:2" x14ac:dyDescent="0.2">
      <c r="A2193" s="4"/>
      <c r="B2193" s="4"/>
    </row>
    <row r="2194" spans="1:2" x14ac:dyDescent="0.2">
      <c r="A2194" s="4"/>
      <c r="B2194" s="4"/>
    </row>
    <row r="2195" spans="1:2" x14ac:dyDescent="0.2">
      <c r="A2195" s="4"/>
      <c r="B2195" s="4"/>
    </row>
    <row r="2196" spans="1:2" x14ac:dyDescent="0.2">
      <c r="A2196" s="4"/>
      <c r="B2196" s="4"/>
    </row>
    <row r="2197" spans="1:2" x14ac:dyDescent="0.2">
      <c r="A2197" s="4"/>
      <c r="B2197" s="4"/>
    </row>
    <row r="2198" spans="1:2" x14ac:dyDescent="0.2">
      <c r="A2198" s="4"/>
      <c r="B2198" s="4"/>
    </row>
    <row r="2199" spans="1:2" x14ac:dyDescent="0.2">
      <c r="A2199" s="4"/>
      <c r="B2199" s="4"/>
    </row>
    <row r="2200" spans="1:2" x14ac:dyDescent="0.2">
      <c r="A2200" s="4"/>
      <c r="B2200" s="4"/>
    </row>
    <row r="2201" spans="1:2" x14ac:dyDescent="0.2">
      <c r="A2201" s="4"/>
      <c r="B2201" s="4"/>
    </row>
    <row r="2202" spans="1:2" x14ac:dyDescent="0.2">
      <c r="A2202" s="4"/>
      <c r="B2202" s="4"/>
    </row>
    <row r="2203" spans="1:2" x14ac:dyDescent="0.2">
      <c r="A2203" s="4"/>
      <c r="B2203" s="4"/>
    </row>
    <row r="2204" spans="1:2" x14ac:dyDescent="0.2">
      <c r="A2204" s="4"/>
      <c r="B2204" s="4"/>
    </row>
    <row r="2205" spans="1:2" x14ac:dyDescent="0.2">
      <c r="A2205" s="4"/>
      <c r="B2205" s="4"/>
    </row>
    <row r="2206" spans="1:2" x14ac:dyDescent="0.2">
      <c r="A2206" s="4"/>
      <c r="B2206" s="4"/>
    </row>
    <row r="2207" spans="1:2" x14ac:dyDescent="0.2">
      <c r="A2207" s="4"/>
      <c r="B2207" s="4"/>
    </row>
    <row r="2208" spans="1:2" x14ac:dyDescent="0.2">
      <c r="A2208" s="4"/>
      <c r="B2208" s="4"/>
    </row>
    <row r="2209" spans="1:2" x14ac:dyDescent="0.2">
      <c r="A2209" s="4"/>
      <c r="B2209" s="4"/>
    </row>
    <row r="2210" spans="1:2" x14ac:dyDescent="0.2">
      <c r="A2210" s="4"/>
      <c r="B2210" s="4"/>
    </row>
    <row r="2211" spans="1:2" x14ac:dyDescent="0.2">
      <c r="A2211" s="4"/>
      <c r="B2211" s="4"/>
    </row>
    <row r="2212" spans="1:2" x14ac:dyDescent="0.2">
      <c r="A2212" s="4"/>
      <c r="B2212" s="4"/>
    </row>
    <row r="2213" spans="1:2" x14ac:dyDescent="0.2">
      <c r="A2213" s="4"/>
      <c r="B2213" s="4"/>
    </row>
    <row r="2214" spans="1:2" x14ac:dyDescent="0.2">
      <c r="A2214" s="4"/>
      <c r="B2214" s="4"/>
    </row>
    <row r="2215" spans="1:2" x14ac:dyDescent="0.2">
      <c r="A2215" s="4"/>
      <c r="B2215" s="4"/>
    </row>
    <row r="2216" spans="1:2" x14ac:dyDescent="0.2">
      <c r="A2216" s="4"/>
      <c r="B2216" s="4"/>
    </row>
    <row r="2217" spans="1:2" x14ac:dyDescent="0.2">
      <c r="A2217" s="4"/>
      <c r="B2217" s="4"/>
    </row>
    <row r="2218" spans="1:2" x14ac:dyDescent="0.2">
      <c r="A2218" s="4"/>
      <c r="B2218" s="4"/>
    </row>
    <row r="2219" spans="1:2" x14ac:dyDescent="0.2">
      <c r="A2219" s="4"/>
      <c r="B2219" s="4"/>
    </row>
    <row r="2220" spans="1:2" x14ac:dyDescent="0.2">
      <c r="A2220" s="4"/>
      <c r="B2220" s="4"/>
    </row>
    <row r="2221" spans="1:2" x14ac:dyDescent="0.2">
      <c r="A2221" s="4"/>
      <c r="B2221" s="4"/>
    </row>
    <row r="2222" spans="1:2" x14ac:dyDescent="0.2">
      <c r="A2222" s="4"/>
      <c r="B2222" s="4"/>
    </row>
    <row r="2223" spans="1:2" x14ac:dyDescent="0.2">
      <c r="A2223" s="4"/>
      <c r="B2223" s="4"/>
    </row>
    <row r="2224" spans="1:2" x14ac:dyDescent="0.2">
      <c r="A2224" s="4"/>
      <c r="B2224" s="4"/>
    </row>
    <row r="2225" spans="1:2" x14ac:dyDescent="0.2">
      <c r="A2225" s="4"/>
      <c r="B2225" s="4"/>
    </row>
    <row r="2226" spans="1:2" x14ac:dyDescent="0.2">
      <c r="A2226" s="4"/>
      <c r="B2226" s="4"/>
    </row>
    <row r="2227" spans="1:2" x14ac:dyDescent="0.2">
      <c r="A2227" s="4"/>
      <c r="B2227" s="4"/>
    </row>
    <row r="2228" spans="1:2" x14ac:dyDescent="0.2">
      <c r="A2228" s="4"/>
      <c r="B2228" s="4"/>
    </row>
    <row r="2229" spans="1:2" x14ac:dyDescent="0.2">
      <c r="A2229" s="4"/>
      <c r="B2229" s="4"/>
    </row>
    <row r="2230" spans="1:2" x14ac:dyDescent="0.2">
      <c r="A2230" s="4"/>
      <c r="B2230" s="4"/>
    </row>
    <row r="2231" spans="1:2" x14ac:dyDescent="0.2">
      <c r="A2231" s="4"/>
      <c r="B2231" s="4"/>
    </row>
    <row r="2232" spans="1:2" x14ac:dyDescent="0.2">
      <c r="A2232" s="4"/>
      <c r="B2232" s="4"/>
    </row>
    <row r="2233" spans="1:2" x14ac:dyDescent="0.2">
      <c r="A2233" s="4"/>
      <c r="B2233" s="4"/>
    </row>
    <row r="2234" spans="1:2" x14ac:dyDescent="0.2">
      <c r="A2234" s="4"/>
      <c r="B2234" s="4"/>
    </row>
    <row r="2235" spans="1:2" x14ac:dyDescent="0.2">
      <c r="A2235" s="4"/>
      <c r="B2235" s="4"/>
    </row>
    <row r="2236" spans="1:2" x14ac:dyDescent="0.2">
      <c r="A2236" s="4"/>
      <c r="B2236" s="4"/>
    </row>
    <row r="2237" spans="1:2" x14ac:dyDescent="0.2">
      <c r="A2237" s="4"/>
      <c r="B2237" s="4"/>
    </row>
    <row r="2238" spans="1:2" x14ac:dyDescent="0.2">
      <c r="A2238" s="4"/>
      <c r="B2238" s="4"/>
    </row>
    <row r="2239" spans="1:2" x14ac:dyDescent="0.2">
      <c r="A2239" s="4"/>
      <c r="B2239" s="4"/>
    </row>
    <row r="2240" spans="1:2" x14ac:dyDescent="0.2">
      <c r="A2240" s="4"/>
      <c r="B2240" s="4"/>
    </row>
    <row r="2241" spans="1:2" x14ac:dyDescent="0.2">
      <c r="A2241" s="4"/>
      <c r="B2241" s="4"/>
    </row>
    <row r="2242" spans="1:2" x14ac:dyDescent="0.2">
      <c r="A2242" s="4"/>
      <c r="B2242" s="4"/>
    </row>
    <row r="2243" spans="1:2" x14ac:dyDescent="0.2">
      <c r="A2243" s="4"/>
      <c r="B2243" s="4"/>
    </row>
    <row r="2244" spans="1:2" x14ac:dyDescent="0.2">
      <c r="A2244" s="4"/>
      <c r="B2244" s="4"/>
    </row>
    <row r="2245" spans="1:2" x14ac:dyDescent="0.2">
      <c r="A2245" s="4"/>
      <c r="B2245" s="4"/>
    </row>
    <row r="2246" spans="1:2" x14ac:dyDescent="0.2">
      <c r="A2246" s="4"/>
      <c r="B2246" s="4"/>
    </row>
    <row r="2247" spans="1:2" x14ac:dyDescent="0.2">
      <c r="A2247" s="4"/>
      <c r="B2247" s="4"/>
    </row>
    <row r="2248" spans="1:2" x14ac:dyDescent="0.2">
      <c r="A2248" s="4"/>
      <c r="B2248" s="4"/>
    </row>
    <row r="2249" spans="1:2" x14ac:dyDescent="0.2">
      <c r="A2249" s="4"/>
      <c r="B2249" s="4"/>
    </row>
    <row r="2250" spans="1:2" x14ac:dyDescent="0.2">
      <c r="A2250" s="4"/>
      <c r="B2250" s="4"/>
    </row>
    <row r="2251" spans="1:2" x14ac:dyDescent="0.2">
      <c r="A2251" s="4"/>
      <c r="B2251" s="4"/>
    </row>
    <row r="2252" spans="1:2" x14ac:dyDescent="0.2">
      <c r="A2252" s="4"/>
      <c r="B2252" s="4"/>
    </row>
    <row r="2253" spans="1:2" x14ac:dyDescent="0.2">
      <c r="A2253" s="4"/>
      <c r="B2253" s="4"/>
    </row>
    <row r="2254" spans="1:2" x14ac:dyDescent="0.2">
      <c r="A2254" s="4"/>
      <c r="B2254" s="4"/>
    </row>
    <row r="2255" spans="1:2" x14ac:dyDescent="0.2">
      <c r="A2255" s="4"/>
      <c r="B2255" s="4"/>
    </row>
    <row r="2256" spans="1:2" x14ac:dyDescent="0.2">
      <c r="A2256" s="4"/>
      <c r="B2256" s="4"/>
    </row>
    <row r="2257" spans="1:2" x14ac:dyDescent="0.2">
      <c r="A2257" s="4"/>
      <c r="B2257" s="4"/>
    </row>
    <row r="2258" spans="1:2" x14ac:dyDescent="0.2">
      <c r="A2258" s="4"/>
      <c r="B2258" s="4"/>
    </row>
    <row r="2259" spans="1:2" x14ac:dyDescent="0.2">
      <c r="A2259" s="4"/>
      <c r="B2259" s="4"/>
    </row>
    <row r="2260" spans="1:2" x14ac:dyDescent="0.2">
      <c r="A2260" s="4"/>
      <c r="B2260" s="4"/>
    </row>
    <row r="2261" spans="1:2" x14ac:dyDescent="0.2">
      <c r="A2261" s="4"/>
      <c r="B2261" s="4"/>
    </row>
    <row r="2262" spans="1:2" x14ac:dyDescent="0.2">
      <c r="A2262" s="4"/>
      <c r="B2262" s="4"/>
    </row>
    <row r="2263" spans="1:2" x14ac:dyDescent="0.2">
      <c r="A2263" s="4"/>
      <c r="B2263" s="4"/>
    </row>
    <row r="2264" spans="1:2" x14ac:dyDescent="0.2">
      <c r="A2264" s="4"/>
      <c r="B2264" s="4"/>
    </row>
    <row r="2265" spans="1:2" x14ac:dyDescent="0.2">
      <c r="A2265" s="4"/>
      <c r="B2265" s="4"/>
    </row>
    <row r="2266" spans="1:2" x14ac:dyDescent="0.2">
      <c r="A2266" s="4"/>
      <c r="B2266" s="4"/>
    </row>
    <row r="2267" spans="1:2" x14ac:dyDescent="0.2">
      <c r="A2267" s="4"/>
      <c r="B2267" s="4"/>
    </row>
    <row r="2268" spans="1:2" x14ac:dyDescent="0.2">
      <c r="A2268" s="4"/>
      <c r="B2268" s="4"/>
    </row>
    <row r="2269" spans="1:2" x14ac:dyDescent="0.2">
      <c r="A2269" s="4"/>
      <c r="B2269" s="4"/>
    </row>
    <row r="2270" spans="1:2" x14ac:dyDescent="0.2">
      <c r="A2270" s="4"/>
      <c r="B2270" s="4"/>
    </row>
    <row r="2271" spans="1:2" x14ac:dyDescent="0.2">
      <c r="A2271" s="4"/>
      <c r="B2271" s="4"/>
    </row>
    <row r="2272" spans="1:2" x14ac:dyDescent="0.2">
      <c r="A2272" s="4"/>
      <c r="B2272" s="4"/>
    </row>
    <row r="2273" spans="1:2" x14ac:dyDescent="0.2">
      <c r="A2273" s="4"/>
      <c r="B2273" s="4"/>
    </row>
    <row r="2274" spans="1:2" x14ac:dyDescent="0.2">
      <c r="A2274" s="4"/>
      <c r="B2274" s="4"/>
    </row>
    <row r="2275" spans="1:2" x14ac:dyDescent="0.2">
      <c r="A2275" s="4"/>
      <c r="B2275" s="4"/>
    </row>
    <row r="2276" spans="1:2" x14ac:dyDescent="0.2">
      <c r="A2276" s="4"/>
      <c r="B2276" s="4"/>
    </row>
    <row r="2277" spans="1:2" x14ac:dyDescent="0.2">
      <c r="A2277" s="4"/>
      <c r="B2277" s="4"/>
    </row>
    <row r="2278" spans="1:2" x14ac:dyDescent="0.2">
      <c r="A2278" s="4"/>
      <c r="B2278" s="4"/>
    </row>
    <row r="2279" spans="1:2" x14ac:dyDescent="0.2">
      <c r="A2279" s="4"/>
      <c r="B2279" s="4"/>
    </row>
    <row r="2280" spans="1:2" x14ac:dyDescent="0.2">
      <c r="A2280" s="4"/>
      <c r="B2280" s="4"/>
    </row>
    <row r="2281" spans="1:2" x14ac:dyDescent="0.2">
      <c r="A2281" s="4"/>
      <c r="B2281" s="4"/>
    </row>
    <row r="2282" spans="1:2" x14ac:dyDescent="0.2">
      <c r="A2282" s="4"/>
      <c r="B2282" s="4"/>
    </row>
    <row r="2283" spans="1:2" x14ac:dyDescent="0.2">
      <c r="A2283" s="4"/>
      <c r="B2283" s="4"/>
    </row>
    <row r="2284" spans="1:2" x14ac:dyDescent="0.2">
      <c r="A2284" s="4"/>
      <c r="B2284" s="4"/>
    </row>
    <row r="2285" spans="1:2" x14ac:dyDescent="0.2">
      <c r="A2285" s="4"/>
      <c r="B2285" s="4"/>
    </row>
    <row r="2286" spans="1:2" x14ac:dyDescent="0.2">
      <c r="A2286" s="4"/>
      <c r="B2286" s="4"/>
    </row>
    <row r="2287" spans="1:2" x14ac:dyDescent="0.2">
      <c r="A2287" s="4"/>
      <c r="B2287" s="4"/>
    </row>
    <row r="2288" spans="1:2" x14ac:dyDescent="0.2">
      <c r="A2288" s="4"/>
      <c r="B2288" s="4"/>
    </row>
    <row r="2289" spans="1:2" x14ac:dyDescent="0.2">
      <c r="A2289" s="4"/>
      <c r="B2289" s="4"/>
    </row>
    <row r="2290" spans="1:2" x14ac:dyDescent="0.2">
      <c r="A2290" s="4"/>
      <c r="B2290" s="4"/>
    </row>
    <row r="2291" spans="1:2" x14ac:dyDescent="0.2">
      <c r="A2291" s="4"/>
      <c r="B2291" s="4"/>
    </row>
    <row r="2292" spans="1:2" x14ac:dyDescent="0.2">
      <c r="A2292" s="4"/>
      <c r="B2292" s="4"/>
    </row>
    <row r="2293" spans="1:2" x14ac:dyDescent="0.2">
      <c r="A2293" s="4"/>
      <c r="B2293" s="4"/>
    </row>
    <row r="2294" spans="1:2" x14ac:dyDescent="0.2">
      <c r="A2294" s="4"/>
      <c r="B2294" s="4"/>
    </row>
    <row r="2295" spans="1:2" x14ac:dyDescent="0.2">
      <c r="A2295" s="4"/>
      <c r="B2295" s="4"/>
    </row>
    <row r="2296" spans="1:2" x14ac:dyDescent="0.2">
      <c r="A2296" s="4"/>
      <c r="B2296" s="4"/>
    </row>
    <row r="2297" spans="1:2" x14ac:dyDescent="0.2">
      <c r="A2297" s="4"/>
      <c r="B2297" s="4"/>
    </row>
    <row r="2298" spans="1:2" x14ac:dyDescent="0.2">
      <c r="A2298" s="4"/>
      <c r="B2298" s="4"/>
    </row>
    <row r="2299" spans="1:2" x14ac:dyDescent="0.2">
      <c r="A2299" s="4"/>
      <c r="B2299" s="4"/>
    </row>
    <row r="2300" spans="1:2" x14ac:dyDescent="0.2">
      <c r="A2300" s="4"/>
      <c r="B2300" s="4"/>
    </row>
    <row r="2301" spans="1:2" x14ac:dyDescent="0.2">
      <c r="A2301" s="4"/>
      <c r="B2301" s="4"/>
    </row>
    <row r="2302" spans="1:2" x14ac:dyDescent="0.2">
      <c r="A2302" s="4"/>
      <c r="B2302" s="4"/>
    </row>
    <row r="2303" spans="1:2" x14ac:dyDescent="0.2">
      <c r="A2303" s="4"/>
      <c r="B2303" s="4"/>
    </row>
    <row r="2304" spans="1:2" x14ac:dyDescent="0.2">
      <c r="A2304" s="4"/>
      <c r="B2304" s="4"/>
    </row>
    <row r="2305" spans="1:2" x14ac:dyDescent="0.2">
      <c r="A2305" s="4"/>
      <c r="B2305" s="4"/>
    </row>
    <row r="2306" spans="1:2" x14ac:dyDescent="0.2">
      <c r="A2306" s="4"/>
      <c r="B2306" s="4"/>
    </row>
    <row r="2307" spans="1:2" x14ac:dyDescent="0.2">
      <c r="A2307" s="4"/>
      <c r="B2307" s="4"/>
    </row>
    <row r="2308" spans="1:2" x14ac:dyDescent="0.2">
      <c r="A2308" s="4"/>
      <c r="B2308" s="4"/>
    </row>
    <row r="2309" spans="1:2" x14ac:dyDescent="0.2">
      <c r="A2309" s="4"/>
      <c r="B2309" s="4"/>
    </row>
    <row r="2310" spans="1:2" x14ac:dyDescent="0.2">
      <c r="A2310" s="4"/>
      <c r="B2310" s="4"/>
    </row>
    <row r="2311" spans="1:2" x14ac:dyDescent="0.2">
      <c r="A2311" s="4"/>
      <c r="B2311" s="4"/>
    </row>
    <row r="2312" spans="1:2" x14ac:dyDescent="0.2">
      <c r="A2312" s="4"/>
      <c r="B2312" s="4"/>
    </row>
    <row r="2313" spans="1:2" x14ac:dyDescent="0.2">
      <c r="A2313" s="4"/>
      <c r="B2313" s="4"/>
    </row>
    <row r="2314" spans="1:2" x14ac:dyDescent="0.2">
      <c r="A2314" s="4"/>
      <c r="B2314" s="4"/>
    </row>
    <row r="2315" spans="1:2" x14ac:dyDescent="0.2">
      <c r="A2315" s="4"/>
      <c r="B2315" s="4"/>
    </row>
    <row r="2316" spans="1:2" x14ac:dyDescent="0.2">
      <c r="A2316" s="4"/>
      <c r="B2316" s="4"/>
    </row>
    <row r="2317" spans="1:2" x14ac:dyDescent="0.2">
      <c r="A2317" s="4"/>
      <c r="B2317" s="4"/>
    </row>
    <row r="2318" spans="1:2" x14ac:dyDescent="0.2">
      <c r="A2318" s="4"/>
      <c r="B2318" s="4"/>
    </row>
    <row r="2319" spans="1:2" x14ac:dyDescent="0.2">
      <c r="A2319" s="4"/>
      <c r="B2319" s="4"/>
    </row>
    <row r="2320" spans="1:2" x14ac:dyDescent="0.2">
      <c r="A2320" s="4"/>
      <c r="B2320" s="4"/>
    </row>
    <row r="2321" spans="1:2" x14ac:dyDescent="0.2">
      <c r="A2321" s="4"/>
      <c r="B2321" s="4"/>
    </row>
    <row r="2322" spans="1:2" x14ac:dyDescent="0.2">
      <c r="A2322" s="4"/>
      <c r="B2322" s="4"/>
    </row>
    <row r="2323" spans="1:2" x14ac:dyDescent="0.2">
      <c r="A2323" s="4"/>
      <c r="B2323" s="4"/>
    </row>
    <row r="2324" spans="1:2" x14ac:dyDescent="0.2">
      <c r="A2324" s="4"/>
      <c r="B2324" s="4"/>
    </row>
    <row r="2325" spans="1:2" x14ac:dyDescent="0.2">
      <c r="A2325" s="4"/>
      <c r="B2325" s="4"/>
    </row>
    <row r="2326" spans="1:2" x14ac:dyDescent="0.2">
      <c r="A2326" s="4"/>
      <c r="B2326" s="4"/>
    </row>
    <row r="2327" spans="1:2" x14ac:dyDescent="0.2">
      <c r="A2327" s="4"/>
      <c r="B2327" s="4"/>
    </row>
    <row r="2328" spans="1:2" x14ac:dyDescent="0.2">
      <c r="A2328" s="4"/>
      <c r="B2328" s="4"/>
    </row>
    <row r="2329" spans="1:2" x14ac:dyDescent="0.2">
      <c r="A2329" s="4"/>
      <c r="B2329" s="4"/>
    </row>
    <row r="2330" spans="1:2" x14ac:dyDescent="0.2">
      <c r="A2330" s="4"/>
      <c r="B2330" s="4"/>
    </row>
    <row r="2331" spans="1:2" x14ac:dyDescent="0.2">
      <c r="A2331" s="4"/>
      <c r="B2331" s="4"/>
    </row>
    <row r="2332" spans="1:2" x14ac:dyDescent="0.2">
      <c r="A2332" s="4"/>
      <c r="B2332" s="4"/>
    </row>
    <row r="2333" spans="1:2" x14ac:dyDescent="0.2">
      <c r="A2333" s="4"/>
      <c r="B2333" s="4"/>
    </row>
    <row r="2334" spans="1:2" x14ac:dyDescent="0.2">
      <c r="A2334" s="4"/>
      <c r="B2334" s="4"/>
    </row>
    <row r="2335" spans="1:2" x14ac:dyDescent="0.2">
      <c r="A2335" s="4"/>
      <c r="B2335" s="4"/>
    </row>
    <row r="2336" spans="1:2" x14ac:dyDescent="0.2">
      <c r="A2336" s="4"/>
      <c r="B2336" s="4"/>
    </row>
    <row r="2337" spans="1:2" x14ac:dyDescent="0.2">
      <c r="A2337" s="4"/>
      <c r="B2337" s="4"/>
    </row>
    <row r="2338" spans="1:2" x14ac:dyDescent="0.2">
      <c r="A2338" s="4"/>
      <c r="B2338" s="4"/>
    </row>
    <row r="2339" spans="1:2" x14ac:dyDescent="0.2">
      <c r="A2339" s="4"/>
      <c r="B2339" s="4"/>
    </row>
    <row r="2340" spans="1:2" x14ac:dyDescent="0.2">
      <c r="A2340" s="4"/>
      <c r="B2340" s="4"/>
    </row>
    <row r="2341" spans="1:2" x14ac:dyDescent="0.2">
      <c r="A2341" s="4"/>
      <c r="B2341" s="4"/>
    </row>
    <row r="2342" spans="1:2" x14ac:dyDescent="0.2">
      <c r="A2342" s="4"/>
      <c r="B2342" s="4"/>
    </row>
    <row r="2343" spans="1:2" x14ac:dyDescent="0.2">
      <c r="A2343" s="4"/>
      <c r="B2343" s="4"/>
    </row>
    <row r="2344" spans="1:2" x14ac:dyDescent="0.2">
      <c r="A2344" s="4"/>
      <c r="B2344" s="4"/>
    </row>
    <row r="2345" spans="1:2" x14ac:dyDescent="0.2">
      <c r="A2345" s="4"/>
      <c r="B2345" s="4"/>
    </row>
    <row r="2346" spans="1:2" x14ac:dyDescent="0.2">
      <c r="A2346" s="4"/>
      <c r="B2346" s="4"/>
    </row>
    <row r="2347" spans="1:2" x14ac:dyDescent="0.2">
      <c r="A2347" s="4"/>
      <c r="B2347" s="4"/>
    </row>
    <row r="2348" spans="1:2" x14ac:dyDescent="0.2">
      <c r="A2348" s="4"/>
      <c r="B2348" s="4"/>
    </row>
    <row r="2349" spans="1:2" x14ac:dyDescent="0.2">
      <c r="A2349" s="4"/>
      <c r="B2349" s="4"/>
    </row>
    <row r="2350" spans="1:2" x14ac:dyDescent="0.2">
      <c r="A2350" s="4"/>
      <c r="B2350" s="4"/>
    </row>
    <row r="2351" spans="1:2" x14ac:dyDescent="0.2">
      <c r="A2351" s="4"/>
      <c r="B2351" s="4"/>
    </row>
    <row r="2352" spans="1:2" x14ac:dyDescent="0.2">
      <c r="A2352" s="4"/>
      <c r="B2352" s="4"/>
    </row>
    <row r="2353" spans="1:2" x14ac:dyDescent="0.2">
      <c r="A2353" s="4"/>
      <c r="B2353" s="4"/>
    </row>
    <row r="2354" spans="1:2" x14ac:dyDescent="0.2">
      <c r="A2354" s="4"/>
      <c r="B2354" s="4"/>
    </row>
    <row r="2355" spans="1:2" x14ac:dyDescent="0.2">
      <c r="A2355" s="4"/>
      <c r="B2355" s="4"/>
    </row>
    <row r="2356" spans="1:2" x14ac:dyDescent="0.2">
      <c r="A2356" s="4"/>
      <c r="B2356" s="4"/>
    </row>
    <row r="2357" spans="1:2" x14ac:dyDescent="0.2">
      <c r="A2357" s="4"/>
      <c r="B2357" s="4"/>
    </row>
    <row r="2358" spans="1:2" x14ac:dyDescent="0.2">
      <c r="A2358" s="4"/>
      <c r="B2358" s="4"/>
    </row>
    <row r="2359" spans="1:2" x14ac:dyDescent="0.2">
      <c r="A2359" s="4"/>
      <c r="B2359" s="4"/>
    </row>
    <row r="2360" spans="1:2" x14ac:dyDescent="0.2">
      <c r="A2360" s="4"/>
      <c r="B2360" s="4"/>
    </row>
    <row r="2361" spans="1:2" x14ac:dyDescent="0.2">
      <c r="A2361" s="4"/>
      <c r="B2361" s="4"/>
    </row>
    <row r="2362" spans="1:2" x14ac:dyDescent="0.2">
      <c r="A2362" s="4"/>
      <c r="B2362" s="4"/>
    </row>
    <row r="2363" spans="1:2" x14ac:dyDescent="0.2">
      <c r="A2363" s="4"/>
      <c r="B2363" s="4"/>
    </row>
    <row r="2364" spans="1:2" x14ac:dyDescent="0.2">
      <c r="A2364" s="4"/>
      <c r="B2364" s="4"/>
    </row>
    <row r="2365" spans="1:2" x14ac:dyDescent="0.2">
      <c r="A2365" s="4"/>
      <c r="B2365" s="4"/>
    </row>
    <row r="2366" spans="1:2" x14ac:dyDescent="0.2">
      <c r="A2366" s="4"/>
      <c r="B2366" s="4"/>
    </row>
    <row r="2367" spans="1:2" x14ac:dyDescent="0.2">
      <c r="A2367" s="4"/>
      <c r="B2367" s="4"/>
    </row>
    <row r="2368" spans="1:2" x14ac:dyDescent="0.2">
      <c r="A2368" s="4"/>
      <c r="B2368" s="4"/>
    </row>
    <row r="2369" spans="1:2" x14ac:dyDescent="0.2">
      <c r="A2369" s="4"/>
      <c r="B2369" s="4"/>
    </row>
    <row r="2370" spans="1:2" x14ac:dyDescent="0.2">
      <c r="A2370" s="4"/>
      <c r="B2370" s="4"/>
    </row>
    <row r="2371" spans="1:2" x14ac:dyDescent="0.2">
      <c r="A2371" s="4"/>
      <c r="B2371" s="4"/>
    </row>
    <row r="2372" spans="1:2" x14ac:dyDescent="0.2">
      <c r="A2372" s="4"/>
      <c r="B2372" s="4"/>
    </row>
    <row r="2373" spans="1:2" x14ac:dyDescent="0.2">
      <c r="A2373" s="4"/>
      <c r="B2373" s="4"/>
    </row>
    <row r="2374" spans="1:2" x14ac:dyDescent="0.2">
      <c r="A2374" s="4"/>
      <c r="B2374" s="4"/>
    </row>
    <row r="2375" spans="1:2" x14ac:dyDescent="0.2">
      <c r="A2375" s="4"/>
      <c r="B2375" s="4"/>
    </row>
    <row r="2376" spans="1:2" x14ac:dyDescent="0.2">
      <c r="A2376" s="4"/>
      <c r="B2376" s="4"/>
    </row>
    <row r="2377" spans="1:2" x14ac:dyDescent="0.2">
      <c r="A2377" s="4"/>
      <c r="B2377" s="4"/>
    </row>
    <row r="2378" spans="1:2" x14ac:dyDescent="0.2">
      <c r="A2378" s="4"/>
      <c r="B2378" s="4"/>
    </row>
    <row r="2379" spans="1:2" x14ac:dyDescent="0.2">
      <c r="A2379" s="4"/>
      <c r="B2379" s="4"/>
    </row>
    <row r="2380" spans="1:2" x14ac:dyDescent="0.2">
      <c r="A2380" s="4"/>
      <c r="B2380" s="4"/>
    </row>
    <row r="2381" spans="1:2" x14ac:dyDescent="0.2">
      <c r="A2381" s="4"/>
      <c r="B2381" s="4"/>
    </row>
    <row r="2382" spans="1:2" x14ac:dyDescent="0.2">
      <c r="A2382" s="4"/>
      <c r="B2382" s="4"/>
    </row>
    <row r="2383" spans="1:2" x14ac:dyDescent="0.2">
      <c r="A2383" s="4"/>
      <c r="B2383" s="4"/>
    </row>
    <row r="2384" spans="1:2" x14ac:dyDescent="0.2">
      <c r="A2384" s="4"/>
      <c r="B2384" s="4"/>
    </row>
    <row r="2385" spans="1:2" x14ac:dyDescent="0.2">
      <c r="A2385" s="4"/>
      <c r="B2385" s="4"/>
    </row>
    <row r="2386" spans="1:2" x14ac:dyDescent="0.2">
      <c r="A2386" s="4"/>
      <c r="B2386" s="4"/>
    </row>
    <row r="2387" spans="1:2" x14ac:dyDescent="0.2">
      <c r="A2387" s="4"/>
      <c r="B2387" s="4"/>
    </row>
    <row r="2388" spans="1:2" x14ac:dyDescent="0.2">
      <c r="A2388" s="4"/>
      <c r="B2388" s="4"/>
    </row>
    <row r="2389" spans="1:2" x14ac:dyDescent="0.2">
      <c r="A2389" s="4"/>
      <c r="B2389" s="4"/>
    </row>
    <row r="2390" spans="1:2" x14ac:dyDescent="0.2">
      <c r="A2390" s="4"/>
      <c r="B2390" s="4"/>
    </row>
    <row r="2391" spans="1:2" x14ac:dyDescent="0.2">
      <c r="A2391" s="4"/>
      <c r="B2391" s="4"/>
    </row>
    <row r="2392" spans="1:2" x14ac:dyDescent="0.2">
      <c r="A2392" s="4"/>
      <c r="B2392" s="4"/>
    </row>
    <row r="2393" spans="1:2" x14ac:dyDescent="0.2">
      <c r="A2393" s="4"/>
      <c r="B2393" s="4"/>
    </row>
    <row r="2394" spans="1:2" x14ac:dyDescent="0.2">
      <c r="A2394" s="4"/>
      <c r="B2394" s="4"/>
    </row>
    <row r="2395" spans="1:2" x14ac:dyDescent="0.2">
      <c r="A2395" s="4"/>
      <c r="B2395" s="4"/>
    </row>
    <row r="2396" spans="1:2" x14ac:dyDescent="0.2">
      <c r="A2396" s="4"/>
      <c r="B2396" s="4"/>
    </row>
    <row r="2397" spans="1:2" x14ac:dyDescent="0.2">
      <c r="A2397" s="4"/>
      <c r="B2397" s="4"/>
    </row>
    <row r="2398" spans="1:2" x14ac:dyDescent="0.2">
      <c r="A2398" s="4"/>
      <c r="B2398" s="4"/>
    </row>
    <row r="2399" spans="1:2" x14ac:dyDescent="0.2">
      <c r="A2399" s="4"/>
      <c r="B2399" s="4"/>
    </row>
    <row r="2400" spans="1:2" x14ac:dyDescent="0.2">
      <c r="A2400" s="4"/>
      <c r="B2400" s="4"/>
    </row>
    <row r="2401" spans="1:2" x14ac:dyDescent="0.2">
      <c r="A2401" s="4"/>
      <c r="B2401" s="4"/>
    </row>
    <row r="2402" spans="1:2" x14ac:dyDescent="0.2">
      <c r="A2402" s="4"/>
      <c r="B2402" s="4"/>
    </row>
    <row r="2403" spans="1:2" x14ac:dyDescent="0.2">
      <c r="A2403" s="4"/>
      <c r="B2403" s="4"/>
    </row>
    <row r="2404" spans="1:2" x14ac:dyDescent="0.2">
      <c r="A2404" s="4"/>
      <c r="B2404" s="4"/>
    </row>
    <row r="2405" spans="1:2" x14ac:dyDescent="0.2">
      <c r="A2405" s="4"/>
      <c r="B2405" s="4"/>
    </row>
    <row r="2406" spans="1:2" x14ac:dyDescent="0.2">
      <c r="A2406" s="4"/>
      <c r="B2406" s="4"/>
    </row>
    <row r="2407" spans="1:2" x14ac:dyDescent="0.2">
      <c r="A2407" s="4"/>
      <c r="B2407" s="4"/>
    </row>
    <row r="2408" spans="1:2" x14ac:dyDescent="0.2">
      <c r="A2408" s="4"/>
      <c r="B2408" s="4"/>
    </row>
    <row r="2409" spans="1:2" x14ac:dyDescent="0.2">
      <c r="A2409" s="4"/>
      <c r="B2409" s="4"/>
    </row>
    <row r="2410" spans="1:2" x14ac:dyDescent="0.2">
      <c r="A2410" s="4"/>
      <c r="B2410" s="4"/>
    </row>
    <row r="2411" spans="1:2" x14ac:dyDescent="0.2">
      <c r="A2411" s="4"/>
      <c r="B2411" s="4"/>
    </row>
    <row r="2412" spans="1:2" x14ac:dyDescent="0.2">
      <c r="A2412" s="4"/>
      <c r="B2412" s="4"/>
    </row>
    <row r="2413" spans="1:2" x14ac:dyDescent="0.2">
      <c r="A2413" s="4"/>
      <c r="B2413" s="4"/>
    </row>
    <row r="2414" spans="1:2" x14ac:dyDescent="0.2">
      <c r="A2414" s="4"/>
      <c r="B2414" s="4"/>
    </row>
    <row r="2415" spans="1:2" x14ac:dyDescent="0.2">
      <c r="A2415" s="4"/>
      <c r="B2415" s="4"/>
    </row>
    <row r="2416" spans="1:2" x14ac:dyDescent="0.2">
      <c r="A2416" s="4"/>
      <c r="B2416" s="4"/>
    </row>
    <row r="2417" spans="1:2" x14ac:dyDescent="0.2">
      <c r="A2417" s="4"/>
      <c r="B2417" s="4"/>
    </row>
    <row r="2418" spans="1:2" x14ac:dyDescent="0.2">
      <c r="A2418" s="4"/>
      <c r="B2418" s="4"/>
    </row>
    <row r="2419" spans="1:2" x14ac:dyDescent="0.2">
      <c r="A2419" s="4"/>
      <c r="B2419" s="4"/>
    </row>
    <row r="2420" spans="1:2" x14ac:dyDescent="0.2">
      <c r="A2420" s="4"/>
      <c r="B2420" s="4"/>
    </row>
    <row r="2421" spans="1:2" x14ac:dyDescent="0.2">
      <c r="A2421" s="4"/>
      <c r="B2421" s="4"/>
    </row>
    <row r="2422" spans="1:2" x14ac:dyDescent="0.2">
      <c r="A2422" s="4"/>
      <c r="B2422" s="4"/>
    </row>
    <row r="2423" spans="1:2" x14ac:dyDescent="0.2">
      <c r="A2423" s="4"/>
      <c r="B2423" s="4"/>
    </row>
    <row r="2424" spans="1:2" x14ac:dyDescent="0.2">
      <c r="A2424" s="4"/>
      <c r="B2424" s="4"/>
    </row>
    <row r="2425" spans="1:2" x14ac:dyDescent="0.2">
      <c r="A2425" s="4"/>
      <c r="B2425" s="4"/>
    </row>
    <row r="2426" spans="1:2" x14ac:dyDescent="0.2">
      <c r="A2426" s="4"/>
      <c r="B2426" s="4"/>
    </row>
    <row r="2427" spans="1:2" x14ac:dyDescent="0.2">
      <c r="A2427" s="4"/>
      <c r="B2427" s="4"/>
    </row>
    <row r="2428" spans="1:2" x14ac:dyDescent="0.2">
      <c r="A2428" s="4"/>
      <c r="B2428" s="4"/>
    </row>
    <row r="2429" spans="1:2" x14ac:dyDescent="0.2">
      <c r="A2429" s="4"/>
      <c r="B2429" s="4"/>
    </row>
    <row r="2430" spans="1:2" x14ac:dyDescent="0.2">
      <c r="A2430" s="4"/>
      <c r="B2430" s="4"/>
    </row>
    <row r="2431" spans="1:2" x14ac:dyDescent="0.2">
      <c r="A2431" s="4"/>
      <c r="B2431" s="4"/>
    </row>
    <row r="2432" spans="1:2" x14ac:dyDescent="0.2">
      <c r="A2432" s="4"/>
      <c r="B2432" s="4"/>
    </row>
    <row r="2433" spans="1:2" x14ac:dyDescent="0.2">
      <c r="A2433" s="4"/>
      <c r="B2433" s="4"/>
    </row>
    <row r="2434" spans="1:2" x14ac:dyDescent="0.2">
      <c r="A2434" s="4"/>
      <c r="B2434" s="4"/>
    </row>
    <row r="2435" spans="1:2" x14ac:dyDescent="0.2">
      <c r="A2435" s="4"/>
      <c r="B2435" s="4"/>
    </row>
    <row r="2436" spans="1:2" x14ac:dyDescent="0.2">
      <c r="A2436" s="4"/>
      <c r="B2436" s="4"/>
    </row>
    <row r="2437" spans="1:2" x14ac:dyDescent="0.2">
      <c r="A2437" s="4"/>
      <c r="B2437" s="4"/>
    </row>
    <row r="2438" spans="1:2" x14ac:dyDescent="0.2">
      <c r="A2438" s="4"/>
      <c r="B2438" s="4"/>
    </row>
    <row r="2439" spans="1:2" x14ac:dyDescent="0.2">
      <c r="A2439" s="4"/>
      <c r="B2439" s="4"/>
    </row>
    <row r="2440" spans="1:2" x14ac:dyDescent="0.2">
      <c r="A2440" s="4"/>
      <c r="B2440" s="4"/>
    </row>
    <row r="2441" spans="1:2" x14ac:dyDescent="0.2">
      <c r="A2441" s="4"/>
      <c r="B2441" s="4"/>
    </row>
    <row r="2442" spans="1:2" x14ac:dyDescent="0.2">
      <c r="A2442" s="4"/>
      <c r="B2442" s="4"/>
    </row>
    <row r="2443" spans="1:2" x14ac:dyDescent="0.2">
      <c r="A2443" s="4"/>
      <c r="B2443" s="4"/>
    </row>
    <row r="2444" spans="1:2" x14ac:dyDescent="0.2">
      <c r="A2444" s="4"/>
      <c r="B2444" s="4"/>
    </row>
    <row r="2445" spans="1:2" x14ac:dyDescent="0.2">
      <c r="A2445" s="4"/>
      <c r="B2445" s="4"/>
    </row>
    <row r="2446" spans="1:2" x14ac:dyDescent="0.2">
      <c r="A2446" s="4"/>
      <c r="B2446" s="4"/>
    </row>
    <row r="2447" spans="1:2" x14ac:dyDescent="0.2">
      <c r="A2447" s="4"/>
      <c r="B2447" s="4"/>
    </row>
    <row r="2448" spans="1:2" x14ac:dyDescent="0.2">
      <c r="A2448" s="4"/>
      <c r="B2448" s="4"/>
    </row>
    <row r="2449" spans="1:2" x14ac:dyDescent="0.2">
      <c r="A2449" s="4"/>
      <c r="B2449" s="4"/>
    </row>
    <row r="2450" spans="1:2" x14ac:dyDescent="0.2">
      <c r="A2450" s="4"/>
      <c r="B2450" s="4"/>
    </row>
    <row r="2451" spans="1:2" x14ac:dyDescent="0.2">
      <c r="A2451" s="4"/>
      <c r="B2451" s="4"/>
    </row>
    <row r="2452" spans="1:2" x14ac:dyDescent="0.2">
      <c r="A2452" s="4"/>
      <c r="B2452" s="4"/>
    </row>
    <row r="2453" spans="1:2" x14ac:dyDescent="0.2">
      <c r="A2453" s="4"/>
      <c r="B2453" s="4"/>
    </row>
    <row r="2454" spans="1:2" x14ac:dyDescent="0.2">
      <c r="A2454" s="4"/>
      <c r="B2454" s="4"/>
    </row>
    <row r="2455" spans="1:2" x14ac:dyDescent="0.2">
      <c r="A2455" s="4"/>
      <c r="B2455" s="4"/>
    </row>
    <row r="2456" spans="1:2" x14ac:dyDescent="0.2">
      <c r="A2456" s="4"/>
      <c r="B2456" s="4"/>
    </row>
    <row r="2457" spans="1:2" x14ac:dyDescent="0.2">
      <c r="A2457" s="4"/>
      <c r="B2457" s="4"/>
    </row>
    <row r="2458" spans="1:2" x14ac:dyDescent="0.2">
      <c r="A2458" s="4"/>
      <c r="B2458" s="4"/>
    </row>
    <row r="2459" spans="1:2" x14ac:dyDescent="0.2">
      <c r="A2459" s="4"/>
      <c r="B2459" s="4"/>
    </row>
    <row r="2460" spans="1:2" x14ac:dyDescent="0.2">
      <c r="A2460" s="4"/>
      <c r="B2460" s="4"/>
    </row>
    <row r="2461" spans="1:2" x14ac:dyDescent="0.2">
      <c r="A2461" s="4"/>
      <c r="B2461" s="4"/>
    </row>
    <row r="2462" spans="1:2" x14ac:dyDescent="0.2">
      <c r="A2462" s="4"/>
      <c r="B2462" s="4"/>
    </row>
    <row r="2463" spans="1:2" x14ac:dyDescent="0.2">
      <c r="A2463" s="4"/>
      <c r="B2463" s="4"/>
    </row>
    <row r="2464" spans="1:2" x14ac:dyDescent="0.2">
      <c r="A2464" s="4"/>
      <c r="B2464" s="4"/>
    </row>
    <row r="2465" spans="1:2" x14ac:dyDescent="0.2">
      <c r="A2465" s="4"/>
      <c r="B2465" s="4"/>
    </row>
    <row r="2466" spans="1:2" x14ac:dyDescent="0.2">
      <c r="A2466" s="4"/>
      <c r="B2466" s="4"/>
    </row>
    <row r="2467" spans="1:2" x14ac:dyDescent="0.2">
      <c r="A2467" s="4"/>
      <c r="B2467" s="4"/>
    </row>
    <row r="2468" spans="1:2" x14ac:dyDescent="0.2">
      <c r="A2468" s="4"/>
      <c r="B2468" s="4"/>
    </row>
    <row r="2469" spans="1:2" x14ac:dyDescent="0.2">
      <c r="A2469" s="4"/>
      <c r="B2469" s="4"/>
    </row>
    <row r="2470" spans="1:2" x14ac:dyDescent="0.2">
      <c r="A2470" s="4"/>
      <c r="B2470" s="4"/>
    </row>
    <row r="2471" spans="1:2" x14ac:dyDescent="0.2">
      <c r="A2471" s="4"/>
      <c r="B2471" s="4"/>
    </row>
    <row r="2472" spans="1:2" x14ac:dyDescent="0.2">
      <c r="A2472" s="4"/>
      <c r="B2472" s="4"/>
    </row>
    <row r="2473" spans="1:2" x14ac:dyDescent="0.2">
      <c r="A2473" s="4"/>
      <c r="B2473" s="4"/>
    </row>
    <row r="2474" spans="1:2" x14ac:dyDescent="0.2">
      <c r="A2474" s="4"/>
      <c r="B2474" s="4"/>
    </row>
    <row r="2475" spans="1:2" x14ac:dyDescent="0.2">
      <c r="A2475" s="4"/>
      <c r="B2475" s="4"/>
    </row>
    <row r="2476" spans="1:2" x14ac:dyDescent="0.2">
      <c r="A2476" s="4"/>
      <c r="B2476" s="4"/>
    </row>
    <row r="2477" spans="1:2" x14ac:dyDescent="0.2">
      <c r="A2477" s="4"/>
      <c r="B2477" s="4"/>
    </row>
    <row r="2478" spans="1:2" x14ac:dyDescent="0.2">
      <c r="A2478" s="4"/>
      <c r="B2478" s="4"/>
    </row>
    <row r="2479" spans="1:2" x14ac:dyDescent="0.2">
      <c r="A2479" s="4"/>
      <c r="B2479" s="4"/>
    </row>
    <row r="2480" spans="1:2" x14ac:dyDescent="0.2">
      <c r="A2480" s="4"/>
      <c r="B2480" s="4"/>
    </row>
    <row r="2481" spans="1:2" x14ac:dyDescent="0.2">
      <c r="A2481" s="4"/>
      <c r="B2481" s="4"/>
    </row>
    <row r="2482" spans="1:2" x14ac:dyDescent="0.2">
      <c r="A2482" s="4"/>
      <c r="B2482" s="4"/>
    </row>
    <row r="2483" spans="1:2" x14ac:dyDescent="0.2">
      <c r="A2483" s="4"/>
      <c r="B2483" s="4"/>
    </row>
    <row r="2484" spans="1:2" x14ac:dyDescent="0.2">
      <c r="A2484" s="4"/>
      <c r="B2484" s="4"/>
    </row>
    <row r="2485" spans="1:2" x14ac:dyDescent="0.2">
      <c r="A2485" s="4"/>
      <c r="B2485" s="4"/>
    </row>
    <row r="2486" spans="1:2" x14ac:dyDescent="0.2">
      <c r="A2486" s="4"/>
      <c r="B2486" s="4"/>
    </row>
    <row r="2487" spans="1:2" x14ac:dyDescent="0.2">
      <c r="A2487" s="4"/>
      <c r="B2487" s="4"/>
    </row>
    <row r="2488" spans="1:2" x14ac:dyDescent="0.2">
      <c r="A2488" s="4"/>
      <c r="B2488" s="4"/>
    </row>
    <row r="2489" spans="1:2" x14ac:dyDescent="0.2">
      <c r="A2489" s="4"/>
      <c r="B2489" s="4"/>
    </row>
    <row r="2490" spans="1:2" x14ac:dyDescent="0.2">
      <c r="A2490" s="4"/>
      <c r="B2490" s="4"/>
    </row>
    <row r="2491" spans="1:2" x14ac:dyDescent="0.2">
      <c r="A2491" s="4"/>
      <c r="B2491" s="4"/>
    </row>
    <row r="2492" spans="1:2" x14ac:dyDescent="0.2">
      <c r="A2492" s="4"/>
      <c r="B2492" s="4"/>
    </row>
    <row r="2493" spans="1:2" x14ac:dyDescent="0.2">
      <c r="A2493" s="4"/>
      <c r="B2493" s="4"/>
    </row>
    <row r="2494" spans="1:2" x14ac:dyDescent="0.2">
      <c r="A2494" s="4"/>
      <c r="B2494" s="4"/>
    </row>
    <row r="2495" spans="1:2" x14ac:dyDescent="0.2">
      <c r="A2495" s="4"/>
      <c r="B2495" s="4"/>
    </row>
    <row r="2496" spans="1:2" x14ac:dyDescent="0.2">
      <c r="A2496" s="4"/>
      <c r="B2496" s="4"/>
    </row>
    <row r="2497" spans="1:2" x14ac:dyDescent="0.2">
      <c r="A2497" s="4"/>
      <c r="B2497" s="4"/>
    </row>
    <row r="2498" spans="1:2" x14ac:dyDescent="0.2">
      <c r="A2498" s="4"/>
      <c r="B2498" s="4"/>
    </row>
    <row r="2499" spans="1:2" x14ac:dyDescent="0.2">
      <c r="A2499" s="4"/>
      <c r="B2499" s="4"/>
    </row>
    <row r="2500" spans="1:2" x14ac:dyDescent="0.2">
      <c r="A2500" s="4"/>
      <c r="B2500" s="4"/>
    </row>
    <row r="2501" spans="1:2" x14ac:dyDescent="0.2">
      <c r="A2501" s="4"/>
      <c r="B2501" s="4"/>
    </row>
    <row r="2502" spans="1:2" x14ac:dyDescent="0.2">
      <c r="A2502" s="4"/>
      <c r="B2502" s="4"/>
    </row>
    <row r="2503" spans="1:2" x14ac:dyDescent="0.2">
      <c r="A2503" s="4"/>
      <c r="B2503" s="4"/>
    </row>
    <row r="2504" spans="1:2" x14ac:dyDescent="0.2">
      <c r="A2504" s="4"/>
      <c r="B2504" s="4"/>
    </row>
    <row r="2505" spans="1:2" x14ac:dyDescent="0.2">
      <c r="A2505" s="4"/>
      <c r="B2505" s="4"/>
    </row>
    <row r="2506" spans="1:2" x14ac:dyDescent="0.2">
      <c r="A2506" s="4"/>
      <c r="B2506" s="4"/>
    </row>
    <row r="2507" spans="1:2" x14ac:dyDescent="0.2">
      <c r="A2507" s="4"/>
      <c r="B2507" s="4"/>
    </row>
    <row r="2508" spans="1:2" x14ac:dyDescent="0.2">
      <c r="A2508" s="4"/>
      <c r="B2508" s="4"/>
    </row>
    <row r="2509" spans="1:2" x14ac:dyDescent="0.2">
      <c r="A2509" s="4"/>
      <c r="B2509" s="4"/>
    </row>
    <row r="2510" spans="1:2" x14ac:dyDescent="0.2">
      <c r="A2510" s="4"/>
      <c r="B2510" s="4"/>
    </row>
    <row r="2511" spans="1:2" x14ac:dyDescent="0.2">
      <c r="A2511" s="4"/>
      <c r="B2511" s="4"/>
    </row>
    <row r="2512" spans="1:2" x14ac:dyDescent="0.2">
      <c r="A2512" s="4"/>
      <c r="B2512" s="4"/>
    </row>
    <row r="2513" spans="1:2" x14ac:dyDescent="0.2">
      <c r="A2513" s="4"/>
      <c r="B2513" s="4"/>
    </row>
    <row r="2514" spans="1:2" x14ac:dyDescent="0.2">
      <c r="A2514" s="4"/>
      <c r="B2514" s="4"/>
    </row>
    <row r="2515" spans="1:2" x14ac:dyDescent="0.2">
      <c r="A2515" s="4"/>
      <c r="B2515" s="4"/>
    </row>
    <row r="2516" spans="1:2" x14ac:dyDescent="0.2">
      <c r="A2516" s="4"/>
      <c r="B2516" s="4"/>
    </row>
    <row r="2517" spans="1:2" x14ac:dyDescent="0.2">
      <c r="A2517" s="4"/>
      <c r="B2517" s="4"/>
    </row>
    <row r="2518" spans="1:2" x14ac:dyDescent="0.2">
      <c r="A2518" s="4"/>
      <c r="B2518" s="4"/>
    </row>
    <row r="2519" spans="1:2" x14ac:dyDescent="0.2">
      <c r="A2519" s="4"/>
      <c r="B2519" s="4"/>
    </row>
    <row r="2520" spans="1:2" x14ac:dyDescent="0.2">
      <c r="A2520" s="4"/>
      <c r="B2520" s="4"/>
    </row>
    <row r="2521" spans="1:2" x14ac:dyDescent="0.2">
      <c r="A2521" s="4"/>
      <c r="B2521" s="4"/>
    </row>
    <row r="2522" spans="1:2" x14ac:dyDescent="0.2">
      <c r="A2522" s="4"/>
      <c r="B2522" s="4"/>
    </row>
    <row r="2523" spans="1:2" x14ac:dyDescent="0.2">
      <c r="A2523" s="4"/>
      <c r="B2523" s="4"/>
    </row>
    <row r="2524" spans="1:2" x14ac:dyDescent="0.2">
      <c r="A2524" s="4"/>
      <c r="B2524" s="4"/>
    </row>
    <row r="2525" spans="1:2" x14ac:dyDescent="0.2">
      <c r="A2525" s="4"/>
      <c r="B2525" s="4"/>
    </row>
    <row r="2526" spans="1:2" x14ac:dyDescent="0.2">
      <c r="A2526" s="4"/>
      <c r="B2526" s="4"/>
    </row>
    <row r="2527" spans="1:2" x14ac:dyDescent="0.2">
      <c r="A2527" s="4"/>
      <c r="B2527" s="4"/>
    </row>
    <row r="2528" spans="1:2" x14ac:dyDescent="0.2">
      <c r="A2528" s="4"/>
      <c r="B2528" s="4"/>
    </row>
    <row r="2529" spans="1:2" x14ac:dyDescent="0.2">
      <c r="A2529" s="4"/>
      <c r="B2529" s="4"/>
    </row>
    <row r="2530" spans="1:2" x14ac:dyDescent="0.2">
      <c r="A2530" s="4"/>
      <c r="B2530" s="4"/>
    </row>
    <row r="2531" spans="1:2" x14ac:dyDescent="0.2">
      <c r="A2531" s="4"/>
      <c r="B2531" s="4"/>
    </row>
    <row r="2532" spans="1:2" x14ac:dyDescent="0.2">
      <c r="A2532" s="4"/>
      <c r="B2532" s="4"/>
    </row>
    <row r="2533" spans="1:2" x14ac:dyDescent="0.2">
      <c r="A2533" s="4"/>
      <c r="B2533" s="4"/>
    </row>
    <row r="2534" spans="1:2" x14ac:dyDescent="0.2">
      <c r="A2534" s="4"/>
      <c r="B2534" s="4"/>
    </row>
    <row r="2535" spans="1:2" x14ac:dyDescent="0.2">
      <c r="A2535" s="4"/>
      <c r="B2535" s="4"/>
    </row>
    <row r="2536" spans="1:2" x14ac:dyDescent="0.2">
      <c r="A2536" s="4"/>
      <c r="B2536" s="4"/>
    </row>
    <row r="2537" spans="1:2" x14ac:dyDescent="0.2">
      <c r="A2537" s="4"/>
      <c r="B2537" s="4"/>
    </row>
    <row r="2538" spans="1:2" x14ac:dyDescent="0.2">
      <c r="A2538" s="4"/>
      <c r="B2538" s="4"/>
    </row>
    <row r="2539" spans="1:2" x14ac:dyDescent="0.2">
      <c r="A2539" s="4"/>
      <c r="B2539" s="4"/>
    </row>
    <row r="2540" spans="1:2" x14ac:dyDescent="0.2">
      <c r="A2540" s="4"/>
      <c r="B2540" s="4"/>
    </row>
    <row r="2541" spans="1:2" x14ac:dyDescent="0.2">
      <c r="A2541" s="4"/>
      <c r="B2541" s="4"/>
    </row>
    <row r="2542" spans="1:2" x14ac:dyDescent="0.2">
      <c r="A2542" s="4"/>
      <c r="B2542" s="4"/>
    </row>
    <row r="2543" spans="1:2" x14ac:dyDescent="0.2">
      <c r="A2543" s="4"/>
      <c r="B2543" s="4"/>
    </row>
    <row r="2544" spans="1:2" x14ac:dyDescent="0.2">
      <c r="A2544" s="4"/>
      <c r="B2544" s="4"/>
    </row>
    <row r="2545" spans="1:2" x14ac:dyDescent="0.2">
      <c r="A2545" s="4"/>
      <c r="B2545" s="4"/>
    </row>
    <row r="2546" spans="1:2" x14ac:dyDescent="0.2">
      <c r="A2546" s="4"/>
      <c r="B2546" s="4"/>
    </row>
    <row r="2547" spans="1:2" x14ac:dyDescent="0.2">
      <c r="A2547" s="4"/>
      <c r="B2547" s="4"/>
    </row>
    <row r="2548" spans="1:2" x14ac:dyDescent="0.2">
      <c r="A2548" s="4"/>
      <c r="B2548" s="4"/>
    </row>
    <row r="2549" spans="1:2" x14ac:dyDescent="0.2">
      <c r="A2549" s="4"/>
      <c r="B2549" s="4"/>
    </row>
    <row r="2550" spans="1:2" x14ac:dyDescent="0.2">
      <c r="A2550" s="4"/>
      <c r="B2550" s="4"/>
    </row>
    <row r="2551" spans="1:2" x14ac:dyDescent="0.2">
      <c r="A2551" s="4"/>
      <c r="B2551" s="4"/>
    </row>
    <row r="2552" spans="1:2" x14ac:dyDescent="0.2">
      <c r="A2552" s="4"/>
      <c r="B2552" s="4"/>
    </row>
    <row r="2553" spans="1:2" x14ac:dyDescent="0.2">
      <c r="A2553" s="4"/>
      <c r="B2553" s="4"/>
    </row>
    <row r="2554" spans="1:2" x14ac:dyDescent="0.2">
      <c r="A2554" s="4"/>
      <c r="B2554" s="4"/>
    </row>
    <row r="2555" spans="1:2" x14ac:dyDescent="0.2">
      <c r="A2555" s="4"/>
      <c r="B2555" s="4"/>
    </row>
    <row r="2556" spans="1:2" x14ac:dyDescent="0.2">
      <c r="A2556" s="4"/>
      <c r="B2556" s="4"/>
    </row>
    <row r="2557" spans="1:2" x14ac:dyDescent="0.2">
      <c r="A2557" s="4"/>
      <c r="B2557" s="4"/>
    </row>
    <row r="2558" spans="1:2" x14ac:dyDescent="0.2">
      <c r="A2558" s="4"/>
      <c r="B2558" s="4"/>
    </row>
    <row r="2559" spans="1:2" x14ac:dyDescent="0.2">
      <c r="A2559" s="4"/>
      <c r="B2559" s="4"/>
    </row>
    <row r="2560" spans="1:2" x14ac:dyDescent="0.2">
      <c r="A2560" s="4"/>
      <c r="B2560" s="4"/>
    </row>
    <row r="2561" spans="1:2" x14ac:dyDescent="0.2">
      <c r="A2561" s="4"/>
      <c r="B2561" s="4"/>
    </row>
    <row r="2562" spans="1:2" x14ac:dyDescent="0.2">
      <c r="A2562" s="4"/>
      <c r="B2562" s="4"/>
    </row>
    <row r="2563" spans="1:2" x14ac:dyDescent="0.2">
      <c r="A2563" s="4"/>
      <c r="B2563" s="4"/>
    </row>
    <row r="2564" spans="1:2" x14ac:dyDescent="0.2">
      <c r="A2564" s="4"/>
      <c r="B2564" s="4"/>
    </row>
    <row r="2565" spans="1:2" x14ac:dyDescent="0.2">
      <c r="A2565" s="4"/>
      <c r="B2565" s="4"/>
    </row>
    <row r="2566" spans="1:2" x14ac:dyDescent="0.2">
      <c r="A2566" s="4"/>
      <c r="B2566" s="4"/>
    </row>
    <row r="2567" spans="1:2" x14ac:dyDescent="0.2">
      <c r="A2567" s="4"/>
      <c r="B2567" s="4"/>
    </row>
    <row r="2568" spans="1:2" x14ac:dyDescent="0.2">
      <c r="A2568" s="4"/>
      <c r="B2568" s="4"/>
    </row>
    <row r="2569" spans="1:2" x14ac:dyDescent="0.2">
      <c r="A2569" s="4"/>
      <c r="B2569" s="4"/>
    </row>
    <row r="2570" spans="1:2" x14ac:dyDescent="0.2">
      <c r="A2570" s="4"/>
      <c r="B2570" s="4"/>
    </row>
    <row r="2571" spans="1:2" x14ac:dyDescent="0.2">
      <c r="A2571" s="4"/>
      <c r="B2571" s="4"/>
    </row>
    <row r="2572" spans="1:2" x14ac:dyDescent="0.2">
      <c r="A2572" s="4"/>
      <c r="B2572" s="4"/>
    </row>
    <row r="2573" spans="1:2" x14ac:dyDescent="0.2">
      <c r="A2573" s="4"/>
      <c r="B2573" s="4"/>
    </row>
    <row r="2574" spans="1:2" x14ac:dyDescent="0.2">
      <c r="A2574" s="4"/>
      <c r="B2574" s="4"/>
    </row>
    <row r="2575" spans="1:2" x14ac:dyDescent="0.2">
      <c r="A2575" s="4"/>
      <c r="B2575" s="4"/>
    </row>
    <row r="2576" spans="1:2" x14ac:dyDescent="0.2">
      <c r="A2576" s="4"/>
      <c r="B2576" s="4"/>
    </row>
    <row r="2577" spans="1:2" x14ac:dyDescent="0.2">
      <c r="A2577" s="4"/>
      <c r="B2577" s="4"/>
    </row>
    <row r="2578" spans="1:2" x14ac:dyDescent="0.2">
      <c r="A2578" s="4"/>
      <c r="B2578" s="4"/>
    </row>
    <row r="2579" spans="1:2" x14ac:dyDescent="0.2">
      <c r="A2579" s="4"/>
      <c r="B2579" s="4"/>
    </row>
    <row r="2580" spans="1:2" x14ac:dyDescent="0.2">
      <c r="A2580" s="4"/>
      <c r="B2580" s="4"/>
    </row>
    <row r="2581" spans="1:2" x14ac:dyDescent="0.2">
      <c r="A2581" s="4"/>
      <c r="B2581" s="4"/>
    </row>
    <row r="2582" spans="1:2" x14ac:dyDescent="0.2">
      <c r="A2582" s="4"/>
      <c r="B2582" s="4"/>
    </row>
    <row r="2583" spans="1:2" x14ac:dyDescent="0.2">
      <c r="A2583" s="4"/>
      <c r="B2583" s="4"/>
    </row>
    <row r="2584" spans="1:2" x14ac:dyDescent="0.2">
      <c r="A2584" s="4"/>
      <c r="B2584" s="4"/>
    </row>
    <row r="2585" spans="1:2" x14ac:dyDescent="0.2">
      <c r="A2585" s="4"/>
      <c r="B2585" s="4"/>
    </row>
    <row r="2586" spans="1:2" x14ac:dyDescent="0.2">
      <c r="A2586" s="4"/>
      <c r="B2586" s="4"/>
    </row>
    <row r="2587" spans="1:2" x14ac:dyDescent="0.2">
      <c r="A2587" s="4"/>
      <c r="B2587" s="4"/>
    </row>
    <row r="2588" spans="1:2" x14ac:dyDescent="0.2">
      <c r="A2588" s="4"/>
      <c r="B2588" s="4"/>
    </row>
    <row r="2589" spans="1:2" x14ac:dyDescent="0.2">
      <c r="A2589" s="4"/>
      <c r="B2589" s="4"/>
    </row>
    <row r="2590" spans="1:2" x14ac:dyDescent="0.2">
      <c r="A2590" s="4"/>
      <c r="B2590" s="4"/>
    </row>
    <row r="2591" spans="1:2" x14ac:dyDescent="0.2">
      <c r="A2591" s="4"/>
      <c r="B2591" s="4"/>
    </row>
    <row r="2592" spans="1:2" x14ac:dyDescent="0.2">
      <c r="A2592" s="4"/>
      <c r="B2592" s="4"/>
    </row>
    <row r="2593" spans="1:2" x14ac:dyDescent="0.2">
      <c r="A2593" s="4"/>
      <c r="B2593" s="4"/>
    </row>
    <row r="2594" spans="1:2" x14ac:dyDescent="0.2">
      <c r="A2594" s="4"/>
      <c r="B2594" s="4"/>
    </row>
    <row r="2595" spans="1:2" x14ac:dyDescent="0.2">
      <c r="A2595" s="4"/>
      <c r="B2595" s="4"/>
    </row>
    <row r="2596" spans="1:2" x14ac:dyDescent="0.2">
      <c r="A2596" s="4"/>
      <c r="B2596" s="4"/>
    </row>
    <row r="2597" spans="1:2" x14ac:dyDescent="0.2">
      <c r="A2597" s="4"/>
      <c r="B2597" s="4"/>
    </row>
    <row r="2598" spans="1:2" x14ac:dyDescent="0.2">
      <c r="A2598" s="4"/>
      <c r="B2598" s="4"/>
    </row>
    <row r="2599" spans="1:2" x14ac:dyDescent="0.2">
      <c r="A2599" s="4"/>
      <c r="B2599" s="4"/>
    </row>
    <row r="2600" spans="1:2" x14ac:dyDescent="0.2">
      <c r="A2600" s="4"/>
      <c r="B2600" s="4"/>
    </row>
    <row r="2601" spans="1:2" x14ac:dyDescent="0.2">
      <c r="A2601" s="4"/>
      <c r="B2601" s="4"/>
    </row>
    <row r="2602" spans="1:2" x14ac:dyDescent="0.2">
      <c r="A2602" s="4"/>
      <c r="B2602" s="4"/>
    </row>
    <row r="2603" spans="1:2" x14ac:dyDescent="0.2">
      <c r="A2603" s="4"/>
      <c r="B2603" s="4"/>
    </row>
    <row r="2604" spans="1:2" x14ac:dyDescent="0.2">
      <c r="A2604" s="4"/>
      <c r="B2604" s="4"/>
    </row>
    <row r="2605" spans="1:2" x14ac:dyDescent="0.2">
      <c r="A2605" s="4"/>
      <c r="B2605" s="4"/>
    </row>
    <row r="2606" spans="1:2" x14ac:dyDescent="0.2">
      <c r="A2606" s="4"/>
      <c r="B2606" s="4"/>
    </row>
    <row r="2607" spans="1:2" x14ac:dyDescent="0.2">
      <c r="A2607" s="4"/>
      <c r="B2607" s="4"/>
    </row>
    <row r="2608" spans="1:2" x14ac:dyDescent="0.2">
      <c r="A2608" s="4"/>
      <c r="B2608" s="4"/>
    </row>
    <row r="2609" spans="1:2" x14ac:dyDescent="0.2">
      <c r="A2609" s="4"/>
      <c r="B2609" s="4"/>
    </row>
    <row r="2610" spans="1:2" x14ac:dyDescent="0.2">
      <c r="A2610" s="4"/>
      <c r="B2610" s="4"/>
    </row>
    <row r="2611" spans="1:2" x14ac:dyDescent="0.2">
      <c r="A2611" s="4"/>
      <c r="B2611" s="4"/>
    </row>
    <row r="2612" spans="1:2" x14ac:dyDescent="0.2">
      <c r="A2612" s="4"/>
      <c r="B2612" s="4"/>
    </row>
    <row r="2613" spans="1:2" x14ac:dyDescent="0.2">
      <c r="A2613" s="4"/>
      <c r="B2613" s="4"/>
    </row>
    <row r="2614" spans="1:2" x14ac:dyDescent="0.2">
      <c r="A2614" s="4"/>
      <c r="B2614" s="4"/>
    </row>
    <row r="2615" spans="1:2" x14ac:dyDescent="0.2">
      <c r="A2615" s="4"/>
      <c r="B2615" s="4"/>
    </row>
    <row r="2616" spans="1:2" x14ac:dyDescent="0.2">
      <c r="A2616" s="4"/>
      <c r="B2616" s="4"/>
    </row>
    <row r="2617" spans="1:2" x14ac:dyDescent="0.2">
      <c r="A2617" s="4"/>
      <c r="B2617" s="4"/>
    </row>
    <row r="2618" spans="1:2" x14ac:dyDescent="0.2">
      <c r="A2618" s="4"/>
      <c r="B2618" s="4"/>
    </row>
    <row r="2619" spans="1:2" x14ac:dyDescent="0.2">
      <c r="A2619" s="4"/>
      <c r="B2619" s="4"/>
    </row>
    <row r="2620" spans="1:2" x14ac:dyDescent="0.2">
      <c r="A2620" s="4"/>
      <c r="B2620" s="4"/>
    </row>
    <row r="2621" spans="1:2" x14ac:dyDescent="0.2">
      <c r="A2621" s="4"/>
      <c r="B2621" s="4"/>
    </row>
    <row r="2622" spans="1:2" x14ac:dyDescent="0.2">
      <c r="A2622" s="4"/>
      <c r="B2622" s="4"/>
    </row>
    <row r="2623" spans="1:2" x14ac:dyDescent="0.2">
      <c r="A2623" s="4"/>
      <c r="B2623" s="4"/>
    </row>
    <row r="2624" spans="1:2" x14ac:dyDescent="0.2">
      <c r="A2624" s="4"/>
      <c r="B2624" s="4"/>
    </row>
    <row r="2625" spans="1:2" x14ac:dyDescent="0.2">
      <c r="A2625" s="4"/>
      <c r="B2625" s="4"/>
    </row>
    <row r="2626" spans="1:2" x14ac:dyDescent="0.2">
      <c r="A2626" s="4"/>
      <c r="B2626" s="4"/>
    </row>
    <row r="2627" spans="1:2" x14ac:dyDescent="0.2">
      <c r="A2627" s="4"/>
      <c r="B2627" s="4"/>
    </row>
    <row r="2628" spans="1:2" x14ac:dyDescent="0.2">
      <c r="A2628" s="4"/>
      <c r="B2628" s="4"/>
    </row>
    <row r="2629" spans="1:2" x14ac:dyDescent="0.2">
      <c r="A2629" s="4"/>
      <c r="B2629" s="4"/>
    </row>
    <row r="2630" spans="1:2" x14ac:dyDescent="0.2">
      <c r="A2630" s="4"/>
      <c r="B2630" s="4"/>
    </row>
    <row r="2631" spans="1:2" x14ac:dyDescent="0.2">
      <c r="A2631" s="4"/>
      <c r="B2631" s="4"/>
    </row>
    <row r="2632" spans="1:2" x14ac:dyDescent="0.2">
      <c r="A2632" s="4"/>
      <c r="B2632" s="4"/>
    </row>
    <row r="2633" spans="1:2" x14ac:dyDescent="0.2">
      <c r="A2633" s="4"/>
      <c r="B2633" s="4"/>
    </row>
    <row r="2634" spans="1:2" x14ac:dyDescent="0.2">
      <c r="A2634" s="4"/>
      <c r="B2634" s="4"/>
    </row>
    <row r="2635" spans="1:2" x14ac:dyDescent="0.2">
      <c r="A2635" s="4"/>
      <c r="B2635" s="4"/>
    </row>
    <row r="2636" spans="1:2" x14ac:dyDescent="0.2">
      <c r="A2636" s="4"/>
      <c r="B2636" s="4"/>
    </row>
    <row r="2637" spans="1:2" x14ac:dyDescent="0.2">
      <c r="A2637" s="4"/>
      <c r="B2637" s="4"/>
    </row>
    <row r="2638" spans="1:2" x14ac:dyDescent="0.2">
      <c r="A2638" s="4"/>
      <c r="B2638" s="4"/>
    </row>
    <row r="2639" spans="1:2" x14ac:dyDescent="0.2">
      <c r="A2639" s="4"/>
      <c r="B2639" s="4"/>
    </row>
    <row r="2640" spans="1:2" x14ac:dyDescent="0.2">
      <c r="A2640" s="4"/>
      <c r="B2640" s="4"/>
    </row>
    <row r="2641" spans="1:2" x14ac:dyDescent="0.2">
      <c r="A2641" s="4"/>
      <c r="B2641" s="4"/>
    </row>
    <row r="2642" spans="1:2" x14ac:dyDescent="0.2">
      <c r="A2642" s="4"/>
      <c r="B2642" s="4"/>
    </row>
    <row r="2643" spans="1:2" x14ac:dyDescent="0.2">
      <c r="A2643" s="4"/>
      <c r="B2643" s="4"/>
    </row>
    <row r="2644" spans="1:2" x14ac:dyDescent="0.2">
      <c r="A2644" s="4"/>
      <c r="B2644" s="4"/>
    </row>
    <row r="2645" spans="1:2" x14ac:dyDescent="0.2">
      <c r="A2645" s="4"/>
      <c r="B2645" s="4"/>
    </row>
    <row r="2646" spans="1:2" x14ac:dyDescent="0.2">
      <c r="A2646" s="4"/>
      <c r="B2646" s="4"/>
    </row>
    <row r="2647" spans="1:2" x14ac:dyDescent="0.2">
      <c r="A2647" s="4"/>
      <c r="B2647" s="4"/>
    </row>
    <row r="2648" spans="1:2" x14ac:dyDescent="0.2">
      <c r="A2648" s="4"/>
      <c r="B2648" s="4"/>
    </row>
    <row r="2649" spans="1:2" x14ac:dyDescent="0.2">
      <c r="A2649" s="4"/>
      <c r="B2649" s="4"/>
    </row>
    <row r="2650" spans="1:2" x14ac:dyDescent="0.2">
      <c r="A2650" s="4"/>
      <c r="B2650" s="4"/>
    </row>
    <row r="2651" spans="1:2" x14ac:dyDescent="0.2">
      <c r="A2651" s="4"/>
      <c r="B2651" s="4"/>
    </row>
    <row r="2652" spans="1:2" x14ac:dyDescent="0.2">
      <c r="A2652" s="4"/>
      <c r="B2652" s="4"/>
    </row>
    <row r="2653" spans="1:2" x14ac:dyDescent="0.2">
      <c r="A2653" s="4"/>
      <c r="B2653" s="4"/>
    </row>
    <row r="2654" spans="1:2" x14ac:dyDescent="0.2">
      <c r="A2654" s="4"/>
      <c r="B2654" s="4"/>
    </row>
    <row r="2655" spans="1:2" x14ac:dyDescent="0.2">
      <c r="A2655" s="4"/>
      <c r="B2655" s="4"/>
    </row>
    <row r="2656" spans="1:2" x14ac:dyDescent="0.2">
      <c r="A2656" s="4"/>
      <c r="B2656" s="4"/>
    </row>
    <row r="2657" spans="1:2" x14ac:dyDescent="0.2">
      <c r="A2657" s="4"/>
      <c r="B2657" s="4"/>
    </row>
    <row r="2658" spans="1:2" x14ac:dyDescent="0.2">
      <c r="A2658" s="4"/>
      <c r="B2658" s="4"/>
    </row>
    <row r="2659" spans="1:2" x14ac:dyDescent="0.2">
      <c r="A2659" s="4"/>
      <c r="B2659" s="4"/>
    </row>
    <row r="2660" spans="1:2" x14ac:dyDescent="0.2">
      <c r="A2660" s="4"/>
      <c r="B2660" s="4"/>
    </row>
    <row r="2661" spans="1:2" x14ac:dyDescent="0.2">
      <c r="A2661" s="4"/>
      <c r="B2661" s="4"/>
    </row>
    <row r="2662" spans="1:2" x14ac:dyDescent="0.2">
      <c r="A2662" s="4"/>
      <c r="B2662" s="4"/>
    </row>
    <row r="2663" spans="1:2" x14ac:dyDescent="0.2">
      <c r="A2663" s="4"/>
      <c r="B2663" s="4"/>
    </row>
    <row r="2664" spans="1:2" x14ac:dyDescent="0.2">
      <c r="A2664" s="4"/>
      <c r="B2664" s="4"/>
    </row>
    <row r="2665" spans="1:2" x14ac:dyDescent="0.2">
      <c r="A2665" s="4"/>
      <c r="B2665" s="4"/>
    </row>
    <row r="2666" spans="1:2" x14ac:dyDescent="0.2">
      <c r="A2666" s="4"/>
      <c r="B2666" s="4"/>
    </row>
    <row r="2667" spans="1:2" x14ac:dyDescent="0.2">
      <c r="A2667" s="4"/>
      <c r="B2667" s="4"/>
    </row>
    <row r="2668" spans="1:2" x14ac:dyDescent="0.2">
      <c r="A2668" s="4"/>
      <c r="B2668" s="4"/>
    </row>
    <row r="2669" spans="1:2" x14ac:dyDescent="0.2">
      <c r="A2669" s="4"/>
      <c r="B2669" s="4"/>
    </row>
    <row r="2670" spans="1:2" x14ac:dyDescent="0.2">
      <c r="A2670" s="4"/>
      <c r="B2670" s="4"/>
    </row>
    <row r="2671" spans="1:2" x14ac:dyDescent="0.2">
      <c r="A2671" s="4"/>
      <c r="B2671" s="4"/>
    </row>
    <row r="2672" spans="1:2" x14ac:dyDescent="0.2">
      <c r="A2672" s="4"/>
      <c r="B2672" s="4"/>
    </row>
    <row r="2673" spans="1:2" x14ac:dyDescent="0.2">
      <c r="A2673" s="4"/>
      <c r="B2673" s="4"/>
    </row>
    <row r="2674" spans="1:2" x14ac:dyDescent="0.2">
      <c r="A2674" s="4"/>
      <c r="B2674" s="4"/>
    </row>
    <row r="2675" spans="1:2" x14ac:dyDescent="0.2">
      <c r="A2675" s="4"/>
      <c r="B2675" s="4"/>
    </row>
    <row r="2676" spans="1:2" x14ac:dyDescent="0.2">
      <c r="A2676" s="4"/>
      <c r="B2676" s="4"/>
    </row>
    <row r="2677" spans="1:2" x14ac:dyDescent="0.2">
      <c r="A2677" s="4"/>
      <c r="B2677" s="4"/>
    </row>
    <row r="2678" spans="1:2" x14ac:dyDescent="0.2">
      <c r="A2678" s="4"/>
      <c r="B2678" s="4"/>
    </row>
    <row r="2679" spans="1:2" x14ac:dyDescent="0.2">
      <c r="A2679" s="4"/>
      <c r="B2679" s="4"/>
    </row>
    <row r="2680" spans="1:2" x14ac:dyDescent="0.2">
      <c r="A2680" s="4"/>
      <c r="B2680" s="4"/>
    </row>
    <row r="2681" spans="1:2" x14ac:dyDescent="0.2">
      <c r="A2681" s="4"/>
      <c r="B2681" s="4"/>
    </row>
    <row r="2682" spans="1:2" x14ac:dyDescent="0.2">
      <c r="A2682" s="4"/>
      <c r="B2682" s="4"/>
    </row>
    <row r="2683" spans="1:2" x14ac:dyDescent="0.2">
      <c r="A2683" s="4"/>
      <c r="B2683" s="4"/>
    </row>
    <row r="2684" spans="1:2" x14ac:dyDescent="0.2">
      <c r="A2684" s="4"/>
      <c r="B2684" s="4"/>
    </row>
    <row r="2685" spans="1:2" x14ac:dyDescent="0.2">
      <c r="A2685" s="4"/>
      <c r="B2685" s="4"/>
    </row>
    <row r="2686" spans="1:2" x14ac:dyDescent="0.2">
      <c r="A2686" s="4"/>
      <c r="B2686" s="4"/>
    </row>
    <row r="2687" spans="1:2" x14ac:dyDescent="0.2">
      <c r="A2687" s="4"/>
      <c r="B2687" s="4"/>
    </row>
    <row r="2688" spans="1:2" x14ac:dyDescent="0.2">
      <c r="A2688" s="4"/>
      <c r="B2688" s="4"/>
    </row>
    <row r="2689" spans="1:2" x14ac:dyDescent="0.2">
      <c r="A2689" s="4"/>
      <c r="B2689" s="4"/>
    </row>
    <row r="2690" spans="1:2" x14ac:dyDescent="0.2">
      <c r="A2690" s="4"/>
      <c r="B2690" s="4"/>
    </row>
    <row r="2691" spans="1:2" x14ac:dyDescent="0.2">
      <c r="A2691" s="4"/>
      <c r="B2691" s="4"/>
    </row>
    <row r="2692" spans="1:2" x14ac:dyDescent="0.2">
      <c r="A2692" s="4"/>
      <c r="B2692" s="4"/>
    </row>
    <row r="2693" spans="1:2" x14ac:dyDescent="0.2">
      <c r="A2693" s="4"/>
      <c r="B2693" s="4"/>
    </row>
    <row r="2694" spans="1:2" x14ac:dyDescent="0.2">
      <c r="A2694" s="4"/>
      <c r="B2694" s="4"/>
    </row>
    <row r="2695" spans="1:2" x14ac:dyDescent="0.2">
      <c r="A2695" s="4"/>
      <c r="B2695" s="4"/>
    </row>
    <row r="2696" spans="1:2" x14ac:dyDescent="0.2">
      <c r="A2696" s="4"/>
      <c r="B2696" s="4"/>
    </row>
    <row r="2697" spans="1:2" x14ac:dyDescent="0.2">
      <c r="A2697" s="4"/>
      <c r="B2697" s="4"/>
    </row>
    <row r="2698" spans="1:2" x14ac:dyDescent="0.2">
      <c r="A2698" s="4"/>
      <c r="B2698" s="4"/>
    </row>
    <row r="2699" spans="1:2" x14ac:dyDescent="0.2">
      <c r="A2699" s="4"/>
      <c r="B2699" s="4"/>
    </row>
    <row r="2700" spans="1:2" x14ac:dyDescent="0.2">
      <c r="A2700" s="4"/>
      <c r="B2700" s="4"/>
    </row>
    <row r="2701" spans="1:2" x14ac:dyDescent="0.2">
      <c r="A2701" s="4"/>
      <c r="B2701" s="4"/>
    </row>
    <row r="2702" spans="1:2" x14ac:dyDescent="0.2">
      <c r="A2702" s="4"/>
      <c r="B2702" s="4"/>
    </row>
    <row r="2703" spans="1:2" x14ac:dyDescent="0.2">
      <c r="A2703" s="4"/>
      <c r="B2703" s="4"/>
    </row>
    <row r="2704" spans="1:2" x14ac:dyDescent="0.2">
      <c r="A2704" s="4"/>
      <c r="B2704" s="4"/>
    </row>
    <row r="2705" spans="1:2" x14ac:dyDescent="0.2">
      <c r="A2705" s="4"/>
      <c r="B2705" s="4"/>
    </row>
    <row r="2706" spans="1:2" x14ac:dyDescent="0.2">
      <c r="A2706" s="4"/>
      <c r="B2706" s="4"/>
    </row>
    <row r="2707" spans="1:2" x14ac:dyDescent="0.2">
      <c r="A2707" s="4"/>
      <c r="B2707" s="4"/>
    </row>
    <row r="2708" spans="1:2" x14ac:dyDescent="0.2">
      <c r="A2708" s="4"/>
      <c r="B2708" s="4"/>
    </row>
    <row r="2709" spans="1:2" x14ac:dyDescent="0.2">
      <c r="A2709" s="4"/>
      <c r="B2709" s="4"/>
    </row>
    <row r="2710" spans="1:2" x14ac:dyDescent="0.2">
      <c r="A2710" s="4"/>
      <c r="B2710" s="4"/>
    </row>
    <row r="2711" spans="1:2" x14ac:dyDescent="0.2">
      <c r="A2711" s="4"/>
      <c r="B2711" s="4"/>
    </row>
    <row r="2712" spans="1:2" x14ac:dyDescent="0.2">
      <c r="A2712" s="4"/>
      <c r="B2712" s="4"/>
    </row>
    <row r="2713" spans="1:2" x14ac:dyDescent="0.2">
      <c r="A2713" s="4"/>
      <c r="B2713" s="4"/>
    </row>
    <row r="2714" spans="1:2" x14ac:dyDescent="0.2">
      <c r="A2714" s="4"/>
      <c r="B2714" s="4"/>
    </row>
    <row r="2715" spans="1:2" x14ac:dyDescent="0.2">
      <c r="A2715" s="4"/>
      <c r="B2715" s="4"/>
    </row>
    <row r="2716" spans="1:2" x14ac:dyDescent="0.2">
      <c r="A2716" s="4"/>
      <c r="B2716" s="4"/>
    </row>
    <row r="2717" spans="1:2" x14ac:dyDescent="0.2">
      <c r="A2717" s="4"/>
      <c r="B2717" s="4"/>
    </row>
    <row r="2718" spans="1:2" x14ac:dyDescent="0.2">
      <c r="A2718" s="4"/>
      <c r="B2718" s="4"/>
    </row>
    <row r="2719" spans="1:2" x14ac:dyDescent="0.2">
      <c r="A2719" s="4"/>
      <c r="B2719" s="4"/>
    </row>
    <row r="2720" spans="1:2" x14ac:dyDescent="0.2">
      <c r="A2720" s="4"/>
      <c r="B2720" s="4"/>
    </row>
    <row r="2721" spans="1:2" x14ac:dyDescent="0.2">
      <c r="A2721" s="4"/>
      <c r="B2721" s="4"/>
    </row>
    <row r="2722" spans="1:2" x14ac:dyDescent="0.2">
      <c r="A2722" s="4"/>
      <c r="B2722" s="4"/>
    </row>
    <row r="2723" spans="1:2" x14ac:dyDescent="0.2">
      <c r="A2723" s="4"/>
      <c r="B2723" s="4"/>
    </row>
    <row r="2724" spans="1:2" x14ac:dyDescent="0.2">
      <c r="A2724" s="4"/>
      <c r="B2724" s="4"/>
    </row>
    <row r="2725" spans="1:2" x14ac:dyDescent="0.2">
      <c r="A2725" s="4"/>
      <c r="B2725" s="4"/>
    </row>
    <row r="2726" spans="1:2" x14ac:dyDescent="0.2">
      <c r="A2726" s="4"/>
      <c r="B2726" s="4"/>
    </row>
    <row r="2727" spans="1:2" x14ac:dyDescent="0.2">
      <c r="A2727" s="4"/>
      <c r="B2727" s="4"/>
    </row>
    <row r="2728" spans="1:2" x14ac:dyDescent="0.2">
      <c r="A2728" s="4"/>
      <c r="B2728" s="4"/>
    </row>
    <row r="2729" spans="1:2" x14ac:dyDescent="0.2">
      <c r="A2729" s="4"/>
      <c r="B2729" s="4"/>
    </row>
    <row r="2730" spans="1:2" x14ac:dyDescent="0.2">
      <c r="A2730" s="4"/>
      <c r="B2730" s="4"/>
    </row>
    <row r="2731" spans="1:2" x14ac:dyDescent="0.2">
      <c r="A2731" s="4"/>
      <c r="B2731" s="4"/>
    </row>
    <row r="2732" spans="1:2" x14ac:dyDescent="0.2">
      <c r="A2732" s="4"/>
      <c r="B2732" s="4"/>
    </row>
    <row r="2733" spans="1:2" x14ac:dyDescent="0.2">
      <c r="A2733" s="4"/>
      <c r="B2733" s="4"/>
    </row>
    <row r="2734" spans="1:2" x14ac:dyDescent="0.2">
      <c r="A2734" s="4"/>
      <c r="B2734" s="4"/>
    </row>
    <row r="2735" spans="1:2" x14ac:dyDescent="0.2">
      <c r="A2735" s="4"/>
      <c r="B2735" s="4"/>
    </row>
    <row r="2736" spans="1:2" x14ac:dyDescent="0.2">
      <c r="A2736" s="4"/>
      <c r="B2736" s="4"/>
    </row>
    <row r="2737" spans="1:2" x14ac:dyDescent="0.2">
      <c r="A2737" s="4"/>
      <c r="B2737" s="4"/>
    </row>
    <row r="2738" spans="1:2" x14ac:dyDescent="0.2">
      <c r="A2738" s="4"/>
      <c r="B2738" s="4"/>
    </row>
    <row r="2739" spans="1:2" x14ac:dyDescent="0.2">
      <c r="A2739" s="4"/>
      <c r="B2739" s="4"/>
    </row>
    <row r="2740" spans="1:2" x14ac:dyDescent="0.2">
      <c r="A2740" s="4"/>
      <c r="B2740" s="4"/>
    </row>
    <row r="2741" spans="1:2" x14ac:dyDescent="0.2">
      <c r="A2741" s="4"/>
      <c r="B2741" s="4"/>
    </row>
    <row r="2742" spans="1:2" x14ac:dyDescent="0.2">
      <c r="A2742" s="4"/>
      <c r="B2742" s="4"/>
    </row>
    <row r="2743" spans="1:2" x14ac:dyDescent="0.2">
      <c r="A2743" s="4"/>
      <c r="B2743" s="4"/>
    </row>
    <row r="2744" spans="1:2" x14ac:dyDescent="0.2">
      <c r="A2744" s="4"/>
      <c r="B2744" s="4"/>
    </row>
    <row r="2745" spans="1:2" x14ac:dyDescent="0.2">
      <c r="A2745" s="4"/>
      <c r="B2745" s="4"/>
    </row>
    <row r="2746" spans="1:2" x14ac:dyDescent="0.2">
      <c r="A2746" s="4"/>
      <c r="B2746" s="4"/>
    </row>
    <row r="2747" spans="1:2" x14ac:dyDescent="0.2">
      <c r="A2747" s="4"/>
      <c r="B2747" s="4"/>
    </row>
    <row r="2748" spans="1:2" x14ac:dyDescent="0.2">
      <c r="A2748" s="4"/>
      <c r="B2748" s="4"/>
    </row>
    <row r="2749" spans="1:2" x14ac:dyDescent="0.2">
      <c r="A2749" s="4"/>
      <c r="B2749" s="4"/>
    </row>
    <row r="2750" spans="1:2" x14ac:dyDescent="0.2">
      <c r="A2750" s="4"/>
      <c r="B2750" s="4"/>
    </row>
    <row r="2751" spans="1:2" x14ac:dyDescent="0.2">
      <c r="A2751" s="4"/>
      <c r="B2751" s="4"/>
    </row>
    <row r="2752" spans="1:2" x14ac:dyDescent="0.2">
      <c r="A2752" s="4"/>
      <c r="B2752" s="4"/>
    </row>
    <row r="2753" spans="1:2" x14ac:dyDescent="0.2">
      <c r="A2753" s="4"/>
      <c r="B2753" s="4"/>
    </row>
    <row r="2754" spans="1:2" x14ac:dyDescent="0.2">
      <c r="A2754" s="4"/>
      <c r="B2754" s="4"/>
    </row>
    <row r="2755" spans="1:2" x14ac:dyDescent="0.2">
      <c r="A2755" s="4"/>
      <c r="B2755" s="4"/>
    </row>
    <row r="2756" spans="1:2" x14ac:dyDescent="0.2">
      <c r="A2756" s="4"/>
      <c r="B2756" s="4"/>
    </row>
    <row r="2757" spans="1:2" x14ac:dyDescent="0.2">
      <c r="A2757" s="4"/>
      <c r="B2757" s="4"/>
    </row>
    <row r="2758" spans="1:2" x14ac:dyDescent="0.2">
      <c r="A2758" s="4"/>
      <c r="B2758" s="4"/>
    </row>
    <row r="2759" spans="1:2" x14ac:dyDescent="0.2">
      <c r="A2759" s="4"/>
      <c r="B2759" s="4"/>
    </row>
    <row r="2760" spans="1:2" x14ac:dyDescent="0.2">
      <c r="A2760" s="4"/>
      <c r="B2760" s="4"/>
    </row>
    <row r="2761" spans="1:2" x14ac:dyDescent="0.2">
      <c r="A2761" s="4"/>
      <c r="B2761" s="4"/>
    </row>
    <row r="2762" spans="1:2" x14ac:dyDescent="0.2">
      <c r="A2762" s="4"/>
      <c r="B2762" s="4"/>
    </row>
    <row r="2763" spans="1:2" x14ac:dyDescent="0.2">
      <c r="A2763" s="4"/>
      <c r="B2763" s="4"/>
    </row>
    <row r="2764" spans="1:2" x14ac:dyDescent="0.2">
      <c r="A2764" s="4"/>
      <c r="B2764" s="4"/>
    </row>
    <row r="2765" spans="1:2" x14ac:dyDescent="0.2">
      <c r="A2765" s="4"/>
      <c r="B2765" s="4"/>
    </row>
    <row r="2766" spans="1:2" x14ac:dyDescent="0.2">
      <c r="A2766" s="4"/>
      <c r="B2766" s="4"/>
    </row>
    <row r="2767" spans="1:2" x14ac:dyDescent="0.2">
      <c r="A2767" s="4"/>
      <c r="B2767" s="4"/>
    </row>
    <row r="2768" spans="1:2" x14ac:dyDescent="0.2">
      <c r="A2768" s="4"/>
      <c r="B2768" s="4"/>
    </row>
    <row r="2769" spans="1:2" x14ac:dyDescent="0.2">
      <c r="A2769" s="4"/>
      <c r="B2769" s="4"/>
    </row>
    <row r="2770" spans="1:2" x14ac:dyDescent="0.2">
      <c r="A2770" s="4"/>
      <c r="B2770" s="4"/>
    </row>
    <row r="2771" spans="1:2" x14ac:dyDescent="0.2">
      <c r="A2771" s="4"/>
      <c r="B2771" s="4"/>
    </row>
    <row r="2772" spans="1:2" x14ac:dyDescent="0.2">
      <c r="A2772" s="4"/>
      <c r="B2772" s="4"/>
    </row>
    <row r="2773" spans="1:2" x14ac:dyDescent="0.2">
      <c r="A2773" s="4"/>
      <c r="B2773" s="4"/>
    </row>
    <row r="2774" spans="1:2" x14ac:dyDescent="0.2">
      <c r="A2774" s="4"/>
      <c r="B2774" s="4"/>
    </row>
    <row r="2775" spans="1:2" x14ac:dyDescent="0.2">
      <c r="A2775" s="4"/>
      <c r="B2775" s="4"/>
    </row>
    <row r="2776" spans="1:2" x14ac:dyDescent="0.2">
      <c r="A2776" s="4"/>
      <c r="B2776" s="4"/>
    </row>
    <row r="2777" spans="1:2" x14ac:dyDescent="0.2">
      <c r="A2777" s="4"/>
      <c r="B2777" s="4"/>
    </row>
    <row r="2778" spans="1:2" x14ac:dyDescent="0.2">
      <c r="A2778" s="4"/>
      <c r="B2778" s="4"/>
    </row>
    <row r="2779" spans="1:2" x14ac:dyDescent="0.2">
      <c r="A2779" s="4"/>
      <c r="B2779" s="4"/>
    </row>
    <row r="2780" spans="1:2" x14ac:dyDescent="0.2">
      <c r="A2780" s="4"/>
      <c r="B2780" s="4"/>
    </row>
    <row r="2781" spans="1:2" x14ac:dyDescent="0.2">
      <c r="A2781" s="4"/>
      <c r="B2781" s="4"/>
    </row>
    <row r="2782" spans="1:2" x14ac:dyDescent="0.2">
      <c r="A2782" s="4"/>
      <c r="B2782" s="4"/>
    </row>
    <row r="2783" spans="1:2" x14ac:dyDescent="0.2">
      <c r="A2783" s="4"/>
      <c r="B2783" s="4"/>
    </row>
    <row r="2784" spans="1:2" x14ac:dyDescent="0.2">
      <c r="A2784" s="4"/>
      <c r="B2784" s="4"/>
    </row>
    <row r="2785" spans="1:2" x14ac:dyDescent="0.2">
      <c r="A2785" s="4"/>
      <c r="B2785" s="4"/>
    </row>
    <row r="2786" spans="1:2" x14ac:dyDescent="0.2">
      <c r="A2786" s="4"/>
      <c r="B2786" s="4"/>
    </row>
    <row r="2787" spans="1:2" x14ac:dyDescent="0.2">
      <c r="A2787" s="4"/>
      <c r="B2787" s="4"/>
    </row>
    <row r="2788" spans="1:2" x14ac:dyDescent="0.2">
      <c r="A2788" s="4"/>
      <c r="B2788" s="4"/>
    </row>
    <row r="2789" spans="1:2" x14ac:dyDescent="0.2">
      <c r="A2789" s="4"/>
      <c r="B2789" s="4"/>
    </row>
    <row r="2790" spans="1:2" x14ac:dyDescent="0.2">
      <c r="A2790" s="4"/>
      <c r="B2790" s="4"/>
    </row>
    <row r="2791" spans="1:2" x14ac:dyDescent="0.2">
      <c r="A2791" s="4"/>
      <c r="B2791" s="4"/>
    </row>
    <row r="2792" spans="1:2" x14ac:dyDescent="0.2">
      <c r="A2792" s="4"/>
      <c r="B2792" s="4"/>
    </row>
    <row r="2793" spans="1:2" x14ac:dyDescent="0.2">
      <c r="A2793" s="4"/>
      <c r="B2793" s="4"/>
    </row>
    <row r="2794" spans="1:2" x14ac:dyDescent="0.2">
      <c r="A2794" s="4"/>
      <c r="B2794" s="4"/>
    </row>
    <row r="2795" spans="1:2" x14ac:dyDescent="0.2">
      <c r="A2795" s="4"/>
      <c r="B2795" s="4"/>
    </row>
    <row r="2796" spans="1:2" x14ac:dyDescent="0.2">
      <c r="A2796" s="4"/>
      <c r="B2796" s="4"/>
    </row>
    <row r="2797" spans="1:2" x14ac:dyDescent="0.2">
      <c r="A2797" s="4"/>
      <c r="B2797" s="4"/>
    </row>
    <row r="2798" spans="1:2" x14ac:dyDescent="0.2">
      <c r="A2798" s="4"/>
      <c r="B2798" s="4"/>
    </row>
    <row r="2799" spans="1:2" x14ac:dyDescent="0.2">
      <c r="A2799" s="4"/>
      <c r="B2799" s="4"/>
    </row>
    <row r="2800" spans="1:2" x14ac:dyDescent="0.2">
      <c r="A2800" s="4"/>
      <c r="B2800" s="4"/>
    </row>
    <row r="2801" spans="1:2" x14ac:dyDescent="0.2">
      <c r="A2801" s="4"/>
      <c r="B2801" s="4"/>
    </row>
    <row r="2802" spans="1:2" x14ac:dyDescent="0.2">
      <c r="A2802" s="4"/>
      <c r="B2802" s="4"/>
    </row>
    <row r="2803" spans="1:2" x14ac:dyDescent="0.2">
      <c r="A2803" s="4"/>
      <c r="B2803" s="4"/>
    </row>
    <row r="2804" spans="1:2" x14ac:dyDescent="0.2">
      <c r="A2804" s="4"/>
      <c r="B2804" s="4"/>
    </row>
    <row r="2805" spans="1:2" x14ac:dyDescent="0.2">
      <c r="A2805" s="4"/>
      <c r="B2805" s="4"/>
    </row>
    <row r="2806" spans="1:2" x14ac:dyDescent="0.2">
      <c r="A2806" s="4"/>
      <c r="B2806" s="4"/>
    </row>
    <row r="2807" spans="1:2" x14ac:dyDescent="0.2">
      <c r="A2807" s="4"/>
      <c r="B2807" s="4"/>
    </row>
    <row r="2808" spans="1:2" x14ac:dyDescent="0.2">
      <c r="A2808" s="4"/>
      <c r="B2808" s="4"/>
    </row>
    <row r="2809" spans="1:2" x14ac:dyDescent="0.2">
      <c r="A2809" s="4"/>
      <c r="B2809" s="4"/>
    </row>
    <row r="2810" spans="1:2" x14ac:dyDescent="0.2">
      <c r="A2810" s="4"/>
      <c r="B2810" s="4"/>
    </row>
    <row r="2811" spans="1:2" x14ac:dyDescent="0.2">
      <c r="A2811" s="4"/>
      <c r="B2811" s="4"/>
    </row>
    <row r="2812" spans="1:2" x14ac:dyDescent="0.2">
      <c r="A2812" s="4"/>
      <c r="B2812" s="4"/>
    </row>
    <row r="2813" spans="1:2" x14ac:dyDescent="0.2">
      <c r="A2813" s="4"/>
      <c r="B2813" s="4"/>
    </row>
    <row r="2814" spans="1:2" x14ac:dyDescent="0.2">
      <c r="A2814" s="4"/>
      <c r="B2814" s="4"/>
    </row>
    <row r="2815" spans="1:2" x14ac:dyDescent="0.2">
      <c r="A2815" s="4"/>
      <c r="B2815" s="4"/>
    </row>
    <row r="2816" spans="1:2" x14ac:dyDescent="0.2">
      <c r="A2816" s="4"/>
      <c r="B2816" s="4"/>
    </row>
    <row r="2817" spans="1:2" x14ac:dyDescent="0.2">
      <c r="A2817" s="4"/>
      <c r="B2817" s="4"/>
    </row>
    <row r="2818" spans="1:2" x14ac:dyDescent="0.2">
      <c r="A2818" s="4"/>
      <c r="B2818" s="4"/>
    </row>
    <row r="2819" spans="1:2" x14ac:dyDescent="0.2">
      <c r="A2819" s="4"/>
      <c r="B2819" s="4"/>
    </row>
    <row r="2820" spans="1:2" x14ac:dyDescent="0.2">
      <c r="A2820" s="4"/>
      <c r="B2820" s="4"/>
    </row>
    <row r="2821" spans="1:2" x14ac:dyDescent="0.2">
      <c r="A2821" s="4"/>
      <c r="B2821" s="4"/>
    </row>
    <row r="2822" spans="1:2" x14ac:dyDescent="0.2">
      <c r="A2822" s="4"/>
      <c r="B2822" s="4"/>
    </row>
    <row r="2823" spans="1:2" x14ac:dyDescent="0.2">
      <c r="A2823" s="4"/>
      <c r="B2823" s="4"/>
    </row>
    <row r="2824" spans="1:2" x14ac:dyDescent="0.2">
      <c r="A2824" s="4"/>
      <c r="B2824" s="4"/>
    </row>
    <row r="2825" spans="1:2" x14ac:dyDescent="0.2">
      <c r="A2825" s="4"/>
      <c r="B2825" s="4"/>
    </row>
    <row r="2826" spans="1:2" x14ac:dyDescent="0.2">
      <c r="A2826" s="4"/>
      <c r="B2826" s="4"/>
    </row>
    <row r="2827" spans="1:2" x14ac:dyDescent="0.2">
      <c r="A2827" s="4"/>
      <c r="B2827" s="4"/>
    </row>
    <row r="2828" spans="1:2" x14ac:dyDescent="0.2">
      <c r="A2828" s="4"/>
      <c r="B2828" s="4"/>
    </row>
    <row r="2829" spans="1:2" x14ac:dyDescent="0.2">
      <c r="A2829" s="4"/>
      <c r="B2829" s="4"/>
    </row>
    <row r="2830" spans="1:2" x14ac:dyDescent="0.2">
      <c r="A2830" s="4"/>
      <c r="B2830" s="4"/>
    </row>
    <row r="2831" spans="1:2" x14ac:dyDescent="0.2">
      <c r="A2831" s="4"/>
      <c r="B2831" s="4"/>
    </row>
    <row r="2832" spans="1:2" x14ac:dyDescent="0.2">
      <c r="A2832" s="4"/>
      <c r="B2832" s="4"/>
    </row>
    <row r="2833" spans="1:2" x14ac:dyDescent="0.2">
      <c r="A2833" s="4"/>
      <c r="B2833" s="4"/>
    </row>
    <row r="2834" spans="1:2" x14ac:dyDescent="0.2">
      <c r="A2834" s="4"/>
      <c r="B2834" s="4"/>
    </row>
    <row r="2835" spans="1:2" x14ac:dyDescent="0.2">
      <c r="A2835" s="4"/>
      <c r="B2835" s="4"/>
    </row>
    <row r="2836" spans="1:2" x14ac:dyDescent="0.2">
      <c r="A2836" s="4"/>
      <c r="B2836" s="4"/>
    </row>
    <row r="2837" spans="1:2" x14ac:dyDescent="0.2">
      <c r="A2837" s="4"/>
      <c r="B2837" s="4"/>
    </row>
    <row r="2838" spans="1:2" x14ac:dyDescent="0.2">
      <c r="A2838" s="4"/>
      <c r="B2838" s="4"/>
    </row>
    <row r="2839" spans="1:2" x14ac:dyDescent="0.2">
      <c r="A2839" s="4"/>
      <c r="B2839" s="4"/>
    </row>
    <row r="2840" spans="1:2" x14ac:dyDescent="0.2">
      <c r="A2840" s="4"/>
      <c r="B2840" s="4"/>
    </row>
    <row r="2841" spans="1:2" x14ac:dyDescent="0.2">
      <c r="A2841" s="4"/>
      <c r="B2841" s="4"/>
    </row>
    <row r="2842" spans="1:2" x14ac:dyDescent="0.2">
      <c r="A2842" s="4"/>
      <c r="B2842" s="4"/>
    </row>
    <row r="2843" spans="1:2" x14ac:dyDescent="0.2">
      <c r="A2843" s="4"/>
      <c r="B2843" s="4"/>
    </row>
    <row r="2844" spans="1:2" x14ac:dyDescent="0.2">
      <c r="A2844" s="4"/>
      <c r="B2844" s="4"/>
    </row>
    <row r="2845" spans="1:2" x14ac:dyDescent="0.2">
      <c r="A2845" s="4"/>
      <c r="B2845" s="4"/>
    </row>
    <row r="2846" spans="1:2" x14ac:dyDescent="0.2">
      <c r="A2846" s="4"/>
      <c r="B2846" s="4"/>
    </row>
    <row r="2847" spans="1:2" x14ac:dyDescent="0.2">
      <c r="A2847" s="4"/>
      <c r="B2847" s="4"/>
    </row>
    <row r="2848" spans="1:2" x14ac:dyDescent="0.2">
      <c r="A2848" s="4"/>
      <c r="B2848" s="4"/>
    </row>
    <row r="2849" spans="1:2" x14ac:dyDescent="0.2">
      <c r="A2849" s="4"/>
      <c r="B2849" s="4"/>
    </row>
    <row r="2850" spans="1:2" x14ac:dyDescent="0.2">
      <c r="A2850" s="4"/>
      <c r="B2850" s="4"/>
    </row>
    <row r="2851" spans="1:2" x14ac:dyDescent="0.2">
      <c r="A2851" s="4"/>
      <c r="B2851" s="4"/>
    </row>
    <row r="2852" spans="1:2" x14ac:dyDescent="0.2">
      <c r="A2852" s="4"/>
      <c r="B2852" s="4"/>
    </row>
    <row r="2853" spans="1:2" x14ac:dyDescent="0.2">
      <c r="A2853" s="4"/>
      <c r="B2853" s="4"/>
    </row>
    <row r="2854" spans="1:2" x14ac:dyDescent="0.2">
      <c r="A2854" s="4"/>
      <c r="B2854" s="4"/>
    </row>
    <row r="2855" spans="1:2" x14ac:dyDescent="0.2">
      <c r="A2855" s="4"/>
      <c r="B2855" s="4"/>
    </row>
    <row r="2856" spans="1:2" x14ac:dyDescent="0.2">
      <c r="A2856" s="4"/>
      <c r="B2856" s="4"/>
    </row>
    <row r="2857" spans="1:2" x14ac:dyDescent="0.2">
      <c r="A2857" s="4"/>
      <c r="B2857" s="4"/>
    </row>
    <row r="2858" spans="1:2" x14ac:dyDescent="0.2">
      <c r="A2858" s="4"/>
      <c r="B2858" s="4"/>
    </row>
    <row r="2859" spans="1:2" x14ac:dyDescent="0.2">
      <c r="A2859" s="4"/>
      <c r="B2859" s="4"/>
    </row>
    <row r="2860" spans="1:2" x14ac:dyDescent="0.2">
      <c r="A2860" s="4"/>
      <c r="B2860" s="4"/>
    </row>
    <row r="2861" spans="1:2" x14ac:dyDescent="0.2">
      <c r="A2861" s="4"/>
      <c r="B2861" s="4"/>
    </row>
    <row r="2862" spans="1:2" x14ac:dyDescent="0.2">
      <c r="A2862" s="4"/>
      <c r="B2862" s="4"/>
    </row>
    <row r="2863" spans="1:2" x14ac:dyDescent="0.2">
      <c r="A2863" s="4"/>
      <c r="B2863" s="4"/>
    </row>
    <row r="2864" spans="1:2" x14ac:dyDescent="0.2">
      <c r="A2864" s="4"/>
      <c r="B2864" s="4"/>
    </row>
    <row r="2865" spans="1:2" x14ac:dyDescent="0.2">
      <c r="A2865" s="4"/>
      <c r="B2865" s="4"/>
    </row>
    <row r="2866" spans="1:2" x14ac:dyDescent="0.2">
      <c r="A2866" s="4"/>
      <c r="B2866" s="4"/>
    </row>
    <row r="2867" spans="1:2" x14ac:dyDescent="0.2">
      <c r="A2867" s="4"/>
      <c r="B2867" s="4"/>
    </row>
    <row r="2868" spans="1:2" x14ac:dyDescent="0.2">
      <c r="A2868" s="4"/>
      <c r="B2868" s="4"/>
    </row>
    <row r="2869" spans="1:2" x14ac:dyDescent="0.2">
      <c r="A2869" s="4"/>
      <c r="B2869" s="4"/>
    </row>
    <row r="2870" spans="1:2" x14ac:dyDescent="0.2">
      <c r="A2870" s="4"/>
      <c r="B2870" s="4"/>
    </row>
    <row r="2871" spans="1:2" x14ac:dyDescent="0.2">
      <c r="A2871" s="4"/>
      <c r="B2871" s="4"/>
    </row>
    <row r="2872" spans="1:2" x14ac:dyDescent="0.2">
      <c r="A2872" s="4"/>
      <c r="B2872" s="4"/>
    </row>
    <row r="2873" spans="1:2" x14ac:dyDescent="0.2">
      <c r="A2873" s="4"/>
      <c r="B2873" s="4"/>
    </row>
    <row r="2874" spans="1:2" x14ac:dyDescent="0.2">
      <c r="A2874" s="4"/>
      <c r="B2874" s="4"/>
    </row>
    <row r="2875" spans="1:2" x14ac:dyDescent="0.2">
      <c r="A2875" s="4"/>
      <c r="B2875" s="4"/>
    </row>
    <row r="2876" spans="1:2" x14ac:dyDescent="0.2">
      <c r="A2876" s="4"/>
      <c r="B2876" s="4"/>
    </row>
    <row r="2877" spans="1:2" x14ac:dyDescent="0.2">
      <c r="A2877" s="4"/>
      <c r="B2877" s="4"/>
    </row>
    <row r="2878" spans="1:2" x14ac:dyDescent="0.2">
      <c r="A2878" s="4"/>
      <c r="B2878" s="4"/>
    </row>
    <row r="2879" spans="1:2" x14ac:dyDescent="0.2">
      <c r="A2879" s="4"/>
      <c r="B2879" s="4"/>
    </row>
    <row r="2880" spans="1:2" x14ac:dyDescent="0.2">
      <c r="A2880" s="4"/>
      <c r="B2880" s="4"/>
    </row>
    <row r="2881" spans="1:2" x14ac:dyDescent="0.2">
      <c r="A2881" s="4"/>
      <c r="B2881" s="4"/>
    </row>
    <row r="2882" spans="1:2" x14ac:dyDescent="0.2">
      <c r="A2882" s="4"/>
      <c r="B2882" s="4"/>
    </row>
    <row r="2883" spans="1:2" x14ac:dyDescent="0.2">
      <c r="A2883" s="4"/>
      <c r="B2883" s="4"/>
    </row>
    <row r="2884" spans="1:2" x14ac:dyDescent="0.2">
      <c r="A2884" s="4"/>
      <c r="B2884" s="4"/>
    </row>
    <row r="2885" spans="1:2" x14ac:dyDescent="0.2">
      <c r="A2885" s="4"/>
      <c r="B2885" s="4"/>
    </row>
    <row r="2886" spans="1:2" x14ac:dyDescent="0.2">
      <c r="A2886" s="4"/>
      <c r="B2886" s="4"/>
    </row>
    <row r="2887" spans="1:2" x14ac:dyDescent="0.2">
      <c r="A2887" s="4"/>
      <c r="B2887" s="4"/>
    </row>
    <row r="2888" spans="1:2" x14ac:dyDescent="0.2">
      <c r="A2888" s="4"/>
      <c r="B2888" s="4"/>
    </row>
    <row r="2889" spans="1:2" x14ac:dyDescent="0.2">
      <c r="A2889" s="4"/>
      <c r="B2889" s="4"/>
    </row>
    <row r="2890" spans="1:2" x14ac:dyDescent="0.2">
      <c r="A2890" s="4"/>
      <c r="B2890" s="4"/>
    </row>
    <row r="2891" spans="1:2" x14ac:dyDescent="0.2">
      <c r="A2891" s="4"/>
      <c r="B2891" s="4"/>
    </row>
    <row r="2892" spans="1:2" x14ac:dyDescent="0.2">
      <c r="A2892" s="4"/>
      <c r="B2892" s="4"/>
    </row>
    <row r="2893" spans="1:2" x14ac:dyDescent="0.2">
      <c r="A2893" s="4"/>
      <c r="B2893" s="4"/>
    </row>
    <row r="2894" spans="1:2" x14ac:dyDescent="0.2">
      <c r="A2894" s="4"/>
      <c r="B2894" s="4"/>
    </row>
    <row r="2895" spans="1:2" x14ac:dyDescent="0.2">
      <c r="A2895" s="4"/>
      <c r="B2895" s="4"/>
    </row>
    <row r="2896" spans="1:2" x14ac:dyDescent="0.2">
      <c r="A2896" s="4"/>
      <c r="B2896" s="4"/>
    </row>
    <row r="2897" spans="1:2" x14ac:dyDescent="0.2">
      <c r="A2897" s="4"/>
      <c r="B2897" s="4"/>
    </row>
    <row r="2898" spans="1:2" x14ac:dyDescent="0.2">
      <c r="A2898" s="4"/>
      <c r="B2898" s="4"/>
    </row>
    <row r="2899" spans="1:2" x14ac:dyDescent="0.2">
      <c r="A2899" s="4"/>
      <c r="B2899" s="4"/>
    </row>
    <row r="2900" spans="1:2" x14ac:dyDescent="0.2">
      <c r="A2900" s="4"/>
      <c r="B2900" s="4"/>
    </row>
    <row r="2901" spans="1:2" x14ac:dyDescent="0.2">
      <c r="A2901" s="4"/>
      <c r="B2901" s="4"/>
    </row>
    <row r="2902" spans="1:2" x14ac:dyDescent="0.2">
      <c r="A2902" s="4"/>
      <c r="B2902" s="4"/>
    </row>
    <row r="2903" spans="1:2" x14ac:dyDescent="0.2">
      <c r="A2903" s="4"/>
      <c r="B2903" s="4"/>
    </row>
    <row r="2904" spans="1:2" x14ac:dyDescent="0.2">
      <c r="A2904" s="4"/>
      <c r="B2904" s="4"/>
    </row>
    <row r="2905" spans="1:2" x14ac:dyDescent="0.2">
      <c r="A2905" s="4"/>
      <c r="B2905" s="4"/>
    </row>
    <row r="2906" spans="1:2" x14ac:dyDescent="0.2">
      <c r="A2906" s="4"/>
      <c r="B2906" s="4"/>
    </row>
    <row r="2907" spans="1:2" x14ac:dyDescent="0.2">
      <c r="A2907" s="4"/>
      <c r="B2907" s="4"/>
    </row>
    <row r="2908" spans="1:2" x14ac:dyDescent="0.2">
      <c r="A2908" s="4"/>
      <c r="B2908" s="4"/>
    </row>
    <row r="2909" spans="1:2" x14ac:dyDescent="0.2">
      <c r="A2909" s="4"/>
      <c r="B2909" s="4"/>
    </row>
    <row r="2910" spans="1:2" x14ac:dyDescent="0.2">
      <c r="A2910" s="4"/>
      <c r="B2910" s="4"/>
    </row>
    <row r="2911" spans="1:2" x14ac:dyDescent="0.2">
      <c r="A2911" s="4"/>
      <c r="B2911" s="4"/>
    </row>
    <row r="2912" spans="1:2" x14ac:dyDescent="0.2">
      <c r="A2912" s="4"/>
      <c r="B2912" s="4"/>
    </row>
    <row r="2913" spans="1:2" x14ac:dyDescent="0.2">
      <c r="A2913" s="4"/>
      <c r="B2913" s="4"/>
    </row>
    <row r="2914" spans="1:2" x14ac:dyDescent="0.2">
      <c r="A2914" s="4"/>
      <c r="B2914" s="4"/>
    </row>
    <row r="2915" spans="1:2" x14ac:dyDescent="0.2">
      <c r="A2915" s="4"/>
      <c r="B2915" s="4"/>
    </row>
    <row r="2916" spans="1:2" x14ac:dyDescent="0.2">
      <c r="A2916" s="4"/>
      <c r="B2916" s="4"/>
    </row>
    <row r="2917" spans="1:2" x14ac:dyDescent="0.2">
      <c r="A2917" s="4"/>
      <c r="B2917" s="4"/>
    </row>
    <row r="2918" spans="1:2" x14ac:dyDescent="0.2">
      <c r="A2918" s="4"/>
      <c r="B2918" s="4"/>
    </row>
    <row r="2919" spans="1:2" x14ac:dyDescent="0.2">
      <c r="A2919" s="4"/>
      <c r="B2919" s="4"/>
    </row>
    <row r="2920" spans="1:2" x14ac:dyDescent="0.2">
      <c r="A2920" s="4"/>
      <c r="B2920" s="4"/>
    </row>
    <row r="2921" spans="1:2" x14ac:dyDescent="0.2">
      <c r="A2921" s="4"/>
      <c r="B2921" s="4"/>
    </row>
    <row r="2922" spans="1:2" x14ac:dyDescent="0.2">
      <c r="A2922" s="4"/>
      <c r="B2922" s="4"/>
    </row>
    <row r="2923" spans="1:2" x14ac:dyDescent="0.2">
      <c r="A2923" s="4"/>
      <c r="B2923" s="4"/>
    </row>
    <row r="2924" spans="1:2" x14ac:dyDescent="0.2">
      <c r="A2924" s="4"/>
      <c r="B2924" s="4"/>
    </row>
    <row r="2925" spans="1:2" x14ac:dyDescent="0.2">
      <c r="A2925" s="4"/>
      <c r="B2925" s="4"/>
    </row>
    <row r="2926" spans="1:2" x14ac:dyDescent="0.2">
      <c r="A2926" s="4"/>
      <c r="B2926" s="4"/>
    </row>
    <row r="2927" spans="1:2" x14ac:dyDescent="0.2">
      <c r="A2927" s="4"/>
      <c r="B2927" s="4"/>
    </row>
    <row r="2928" spans="1:2" x14ac:dyDescent="0.2">
      <c r="A2928" s="4"/>
      <c r="B2928" s="4"/>
    </row>
    <row r="2929" spans="1:2" x14ac:dyDescent="0.2">
      <c r="A2929" s="4"/>
      <c r="B2929" s="4"/>
    </row>
    <row r="2930" spans="1:2" x14ac:dyDescent="0.2">
      <c r="A2930" s="4"/>
      <c r="B2930" s="4"/>
    </row>
    <row r="2931" spans="1:2" x14ac:dyDescent="0.2">
      <c r="A2931" s="4"/>
      <c r="B2931" s="4"/>
    </row>
    <row r="2932" spans="1:2" x14ac:dyDescent="0.2">
      <c r="A2932" s="4"/>
      <c r="B2932" s="4"/>
    </row>
    <row r="2933" spans="1:2" x14ac:dyDescent="0.2">
      <c r="A2933" s="4"/>
      <c r="B2933" s="4"/>
    </row>
    <row r="2934" spans="1:2" x14ac:dyDescent="0.2">
      <c r="A2934" s="4"/>
      <c r="B2934" s="4"/>
    </row>
    <row r="2935" spans="1:2" x14ac:dyDescent="0.2">
      <c r="A2935" s="4"/>
      <c r="B2935" s="4"/>
    </row>
    <row r="2936" spans="1:2" x14ac:dyDescent="0.2">
      <c r="A2936" s="4"/>
      <c r="B2936" s="4"/>
    </row>
    <row r="2937" spans="1:2" x14ac:dyDescent="0.2">
      <c r="A2937" s="4"/>
      <c r="B2937" s="4"/>
    </row>
    <row r="2938" spans="1:2" x14ac:dyDescent="0.2">
      <c r="A2938" s="4"/>
      <c r="B2938" s="4"/>
    </row>
    <row r="2939" spans="1:2" x14ac:dyDescent="0.2">
      <c r="A2939" s="4"/>
      <c r="B2939" s="4"/>
    </row>
    <row r="2940" spans="1:2" x14ac:dyDescent="0.2">
      <c r="A2940" s="4"/>
      <c r="B2940" s="4"/>
    </row>
    <row r="2941" spans="1:2" x14ac:dyDescent="0.2">
      <c r="A2941" s="4"/>
      <c r="B2941" s="4"/>
    </row>
    <row r="2942" spans="1:2" x14ac:dyDescent="0.2">
      <c r="A2942" s="4"/>
      <c r="B2942" s="4"/>
    </row>
    <row r="2943" spans="1:2" x14ac:dyDescent="0.2">
      <c r="A2943" s="4"/>
      <c r="B2943" s="4"/>
    </row>
    <row r="2944" spans="1:2" x14ac:dyDescent="0.2">
      <c r="A2944" s="4"/>
      <c r="B2944" s="4"/>
    </row>
    <row r="2945" spans="1:2" x14ac:dyDescent="0.2">
      <c r="A2945" s="4"/>
      <c r="B2945" s="4"/>
    </row>
    <row r="2946" spans="1:2" x14ac:dyDescent="0.2">
      <c r="A2946" s="4"/>
      <c r="B2946" s="4"/>
    </row>
    <row r="2947" spans="1:2" x14ac:dyDescent="0.2">
      <c r="A2947" s="4"/>
      <c r="B2947" s="4"/>
    </row>
    <row r="2948" spans="1:2" x14ac:dyDescent="0.2">
      <c r="A2948" s="4"/>
      <c r="B2948" s="4"/>
    </row>
    <row r="2949" spans="1:2" x14ac:dyDescent="0.2">
      <c r="A2949" s="4"/>
      <c r="B2949" s="4"/>
    </row>
    <row r="2950" spans="1:2" x14ac:dyDescent="0.2">
      <c r="A2950" s="4"/>
      <c r="B2950" s="4"/>
    </row>
    <row r="2951" spans="1:2" x14ac:dyDescent="0.2">
      <c r="A2951" s="4"/>
      <c r="B2951" s="4"/>
    </row>
    <row r="2952" spans="1:2" x14ac:dyDescent="0.2">
      <c r="A2952" s="4"/>
      <c r="B2952" s="4"/>
    </row>
    <row r="2953" spans="1:2" x14ac:dyDescent="0.2">
      <c r="A2953" s="4"/>
      <c r="B2953" s="4"/>
    </row>
    <row r="2954" spans="1:2" x14ac:dyDescent="0.2">
      <c r="A2954" s="4"/>
      <c r="B2954" s="4"/>
    </row>
    <row r="2955" spans="1:2" x14ac:dyDescent="0.2">
      <c r="A2955" s="4"/>
      <c r="B2955" s="4"/>
    </row>
    <row r="2956" spans="1:2" x14ac:dyDescent="0.2">
      <c r="A2956" s="4"/>
      <c r="B2956" s="4"/>
    </row>
    <row r="2957" spans="1:2" x14ac:dyDescent="0.2">
      <c r="A2957" s="4"/>
      <c r="B2957" s="4"/>
    </row>
    <row r="2958" spans="1:2" x14ac:dyDescent="0.2">
      <c r="A2958" s="4"/>
      <c r="B2958" s="4"/>
    </row>
    <row r="2959" spans="1:2" x14ac:dyDescent="0.2">
      <c r="A2959" s="4"/>
      <c r="B2959" s="4"/>
    </row>
    <row r="2960" spans="1:2" x14ac:dyDescent="0.2">
      <c r="A2960" s="4"/>
      <c r="B2960" s="4"/>
    </row>
    <row r="2961" spans="1:2" x14ac:dyDescent="0.2">
      <c r="A2961" s="4"/>
      <c r="B2961" s="4"/>
    </row>
    <row r="2962" spans="1:2" x14ac:dyDescent="0.2">
      <c r="A2962" s="4"/>
      <c r="B2962" s="4"/>
    </row>
    <row r="2963" spans="1:2" x14ac:dyDescent="0.2">
      <c r="A2963" s="4"/>
      <c r="B2963" s="4"/>
    </row>
    <row r="2964" spans="1:2" x14ac:dyDescent="0.2">
      <c r="A2964" s="4"/>
      <c r="B2964" s="4"/>
    </row>
    <row r="2965" spans="1:2" x14ac:dyDescent="0.2">
      <c r="A2965" s="4"/>
      <c r="B2965" s="4"/>
    </row>
    <row r="2966" spans="1:2" x14ac:dyDescent="0.2">
      <c r="A2966" s="4"/>
      <c r="B2966" s="4"/>
    </row>
    <row r="2967" spans="1:2" x14ac:dyDescent="0.2">
      <c r="A2967" s="4"/>
      <c r="B2967" s="4"/>
    </row>
    <row r="2968" spans="1:2" x14ac:dyDescent="0.2">
      <c r="A2968" s="4"/>
      <c r="B2968" s="4"/>
    </row>
    <row r="2969" spans="1:2" x14ac:dyDescent="0.2">
      <c r="A2969" s="4"/>
      <c r="B2969" s="4"/>
    </row>
    <row r="2970" spans="1:2" x14ac:dyDescent="0.2">
      <c r="A2970" s="4"/>
      <c r="B2970" s="4"/>
    </row>
    <row r="2971" spans="1:2" x14ac:dyDescent="0.2">
      <c r="A2971" s="4"/>
      <c r="B2971" s="4"/>
    </row>
    <row r="2972" spans="1:2" x14ac:dyDescent="0.2">
      <c r="A2972" s="4"/>
      <c r="B2972" s="4"/>
    </row>
    <row r="2973" spans="1:2" x14ac:dyDescent="0.2">
      <c r="A2973" s="4"/>
      <c r="B2973" s="4"/>
    </row>
    <row r="2974" spans="1:2" x14ac:dyDescent="0.2">
      <c r="A2974" s="4"/>
      <c r="B2974" s="4"/>
    </row>
    <row r="2975" spans="1:2" x14ac:dyDescent="0.2">
      <c r="A2975" s="4"/>
      <c r="B2975" s="4"/>
    </row>
    <row r="2976" spans="1:2" x14ac:dyDescent="0.2">
      <c r="A2976" s="4"/>
      <c r="B2976" s="4"/>
    </row>
    <row r="2977" spans="1:2" x14ac:dyDescent="0.2">
      <c r="A2977" s="4"/>
      <c r="B2977" s="4"/>
    </row>
    <row r="2978" spans="1:2" x14ac:dyDescent="0.2">
      <c r="A2978" s="4"/>
      <c r="B2978" s="4"/>
    </row>
    <row r="2979" spans="1:2" x14ac:dyDescent="0.2">
      <c r="A2979" s="4"/>
      <c r="B2979" s="4"/>
    </row>
    <row r="2980" spans="1:2" x14ac:dyDescent="0.2">
      <c r="A2980" s="4"/>
      <c r="B2980" s="4"/>
    </row>
    <row r="2981" spans="1:2" x14ac:dyDescent="0.2">
      <c r="A2981" s="4"/>
      <c r="B2981" s="4"/>
    </row>
    <row r="2982" spans="1:2" x14ac:dyDescent="0.2">
      <c r="A2982" s="4"/>
      <c r="B2982" s="4"/>
    </row>
    <row r="2983" spans="1:2" x14ac:dyDescent="0.2">
      <c r="A2983" s="4"/>
      <c r="B2983" s="4"/>
    </row>
    <row r="2984" spans="1:2" x14ac:dyDescent="0.2">
      <c r="A2984" s="4"/>
      <c r="B2984" s="4"/>
    </row>
    <row r="2985" spans="1:2" x14ac:dyDescent="0.2">
      <c r="A2985" s="4"/>
      <c r="B2985" s="4"/>
    </row>
    <row r="2986" spans="1:2" x14ac:dyDescent="0.2">
      <c r="A2986" s="4"/>
      <c r="B2986" s="4"/>
    </row>
    <row r="2987" spans="1:2" x14ac:dyDescent="0.2">
      <c r="A2987" s="4"/>
      <c r="B2987" s="4"/>
    </row>
    <row r="2988" spans="1:2" x14ac:dyDescent="0.2">
      <c r="A2988" s="4"/>
      <c r="B2988" s="4"/>
    </row>
    <row r="2989" spans="1:2" x14ac:dyDescent="0.2">
      <c r="A2989" s="4"/>
      <c r="B2989" s="4"/>
    </row>
    <row r="2990" spans="1:2" x14ac:dyDescent="0.2">
      <c r="A2990" s="4"/>
      <c r="B2990" s="4"/>
    </row>
    <row r="2991" spans="1:2" x14ac:dyDescent="0.2">
      <c r="A2991" s="4"/>
      <c r="B2991" s="4"/>
    </row>
    <row r="2992" spans="1:2" x14ac:dyDescent="0.2">
      <c r="A2992" s="4"/>
      <c r="B2992" s="4"/>
    </row>
    <row r="2993" spans="1:2" x14ac:dyDescent="0.2">
      <c r="A2993" s="4"/>
      <c r="B2993" s="4"/>
    </row>
    <row r="2994" spans="1:2" x14ac:dyDescent="0.2">
      <c r="A2994" s="4"/>
      <c r="B2994" s="4"/>
    </row>
    <row r="2995" spans="1:2" x14ac:dyDescent="0.2">
      <c r="A2995" s="4"/>
      <c r="B2995" s="4"/>
    </row>
    <row r="2996" spans="1:2" x14ac:dyDescent="0.2">
      <c r="A2996" s="4"/>
      <c r="B2996" s="4"/>
    </row>
    <row r="2997" spans="1:2" x14ac:dyDescent="0.2">
      <c r="A2997" s="4"/>
      <c r="B2997" s="4"/>
    </row>
    <row r="2998" spans="1:2" x14ac:dyDescent="0.2">
      <c r="A2998" s="4"/>
      <c r="B2998" s="4"/>
    </row>
    <row r="2999" spans="1:2" x14ac:dyDescent="0.2">
      <c r="A2999" s="4"/>
      <c r="B2999" s="4"/>
    </row>
    <row r="3000" spans="1:2" x14ac:dyDescent="0.2">
      <c r="A3000" s="4"/>
      <c r="B3000" s="4"/>
    </row>
    <row r="3001" spans="1:2" x14ac:dyDescent="0.2">
      <c r="A3001" s="4"/>
      <c r="B3001" s="4"/>
    </row>
    <row r="3002" spans="1:2" x14ac:dyDescent="0.2">
      <c r="A3002" s="4"/>
      <c r="B3002" s="4"/>
    </row>
    <row r="3003" spans="1:2" x14ac:dyDescent="0.2">
      <c r="A3003" s="4"/>
      <c r="B3003" s="4"/>
    </row>
    <row r="3004" spans="1:2" x14ac:dyDescent="0.2">
      <c r="A3004" s="4"/>
      <c r="B3004" s="4"/>
    </row>
    <row r="3005" spans="1:2" x14ac:dyDescent="0.2">
      <c r="A3005" s="4"/>
      <c r="B3005" s="4"/>
    </row>
    <row r="3006" spans="1:2" x14ac:dyDescent="0.2">
      <c r="A3006" s="4"/>
      <c r="B3006" s="4"/>
    </row>
    <row r="3007" spans="1:2" x14ac:dyDescent="0.2">
      <c r="A3007" s="4"/>
      <c r="B3007" s="4"/>
    </row>
    <row r="3008" spans="1:2" x14ac:dyDescent="0.2">
      <c r="A3008" s="4"/>
      <c r="B3008" s="4"/>
    </row>
    <row r="3009" spans="1:2" x14ac:dyDescent="0.2">
      <c r="A3009" s="4"/>
      <c r="B3009" s="4"/>
    </row>
    <row r="3010" spans="1:2" x14ac:dyDescent="0.2">
      <c r="A3010" s="4"/>
      <c r="B3010" s="4"/>
    </row>
    <row r="3011" spans="1:2" x14ac:dyDescent="0.2">
      <c r="A3011" s="4"/>
      <c r="B3011" s="4"/>
    </row>
    <row r="3012" spans="1:2" x14ac:dyDescent="0.2">
      <c r="A3012" s="4"/>
      <c r="B3012" s="4"/>
    </row>
    <row r="3013" spans="1:2" x14ac:dyDescent="0.2">
      <c r="A3013" s="4"/>
      <c r="B3013" s="4"/>
    </row>
    <row r="3014" spans="1:2" x14ac:dyDescent="0.2">
      <c r="A3014" s="4"/>
      <c r="B3014" s="4"/>
    </row>
    <row r="3015" spans="1:2" x14ac:dyDescent="0.2">
      <c r="A3015" s="4"/>
      <c r="B3015" s="4"/>
    </row>
    <row r="3016" spans="1:2" x14ac:dyDescent="0.2">
      <c r="A3016" s="4"/>
      <c r="B3016" s="4"/>
    </row>
    <row r="3017" spans="1:2" x14ac:dyDescent="0.2">
      <c r="A3017" s="4"/>
      <c r="B3017" s="4"/>
    </row>
    <row r="3018" spans="1:2" x14ac:dyDescent="0.2">
      <c r="A3018" s="4"/>
      <c r="B3018" s="4"/>
    </row>
    <row r="3019" spans="1:2" x14ac:dyDescent="0.2">
      <c r="A3019" s="4"/>
      <c r="B3019" s="4"/>
    </row>
    <row r="3020" spans="1:2" x14ac:dyDescent="0.2">
      <c r="A3020" s="4"/>
      <c r="B3020" s="4"/>
    </row>
    <row r="3021" spans="1:2" x14ac:dyDescent="0.2">
      <c r="A3021" s="4"/>
      <c r="B3021" s="4"/>
    </row>
    <row r="3022" spans="1:2" x14ac:dyDescent="0.2">
      <c r="A3022" s="4"/>
      <c r="B3022" s="4"/>
    </row>
    <row r="3023" spans="1:2" x14ac:dyDescent="0.2">
      <c r="A3023" s="4"/>
      <c r="B3023" s="4"/>
    </row>
    <row r="3024" spans="1:2" x14ac:dyDescent="0.2">
      <c r="A3024" s="4"/>
      <c r="B3024" s="4"/>
    </row>
    <row r="3025" spans="1:2" x14ac:dyDescent="0.2">
      <c r="A3025" s="4"/>
      <c r="B3025" s="4"/>
    </row>
    <row r="3026" spans="1:2" x14ac:dyDescent="0.2">
      <c r="A3026" s="4"/>
      <c r="B3026" s="4"/>
    </row>
    <row r="3027" spans="1:2" x14ac:dyDescent="0.2">
      <c r="A3027" s="4"/>
      <c r="B3027" s="4"/>
    </row>
    <row r="3028" spans="1:2" x14ac:dyDescent="0.2">
      <c r="A3028" s="4"/>
      <c r="B3028" s="4"/>
    </row>
    <row r="3029" spans="1:2" x14ac:dyDescent="0.2">
      <c r="A3029" s="4"/>
      <c r="B3029" s="4"/>
    </row>
    <row r="3030" spans="1:2" x14ac:dyDescent="0.2">
      <c r="A3030" s="4"/>
      <c r="B3030" s="4"/>
    </row>
    <row r="3031" spans="1:2" x14ac:dyDescent="0.2">
      <c r="A3031" s="4"/>
      <c r="B3031" s="4"/>
    </row>
    <row r="3032" spans="1:2" x14ac:dyDescent="0.2">
      <c r="A3032" s="4"/>
      <c r="B3032" s="4"/>
    </row>
    <row r="3033" spans="1:2" x14ac:dyDescent="0.2">
      <c r="A3033" s="4"/>
      <c r="B3033" s="4"/>
    </row>
    <row r="3034" spans="1:2" x14ac:dyDescent="0.2">
      <c r="A3034" s="4"/>
      <c r="B3034" s="4"/>
    </row>
    <row r="3035" spans="1:2" x14ac:dyDescent="0.2">
      <c r="A3035" s="4"/>
      <c r="B3035" s="4"/>
    </row>
    <row r="3036" spans="1:2" x14ac:dyDescent="0.2">
      <c r="A3036" s="4"/>
      <c r="B3036" s="4"/>
    </row>
    <row r="3037" spans="1:2" x14ac:dyDescent="0.2">
      <c r="A3037" s="4"/>
      <c r="B3037" s="4"/>
    </row>
    <row r="3038" spans="1:2" x14ac:dyDescent="0.2">
      <c r="A3038" s="4"/>
      <c r="B3038" s="4"/>
    </row>
    <row r="3039" spans="1:2" x14ac:dyDescent="0.2">
      <c r="A3039" s="4"/>
      <c r="B3039" s="4"/>
    </row>
    <row r="3040" spans="1:2" x14ac:dyDescent="0.2">
      <c r="A3040" s="4"/>
      <c r="B3040" s="4"/>
    </row>
    <row r="3041" spans="1:2" x14ac:dyDescent="0.2">
      <c r="A3041" s="4"/>
      <c r="B3041" s="4"/>
    </row>
    <row r="3042" spans="1:2" x14ac:dyDescent="0.2">
      <c r="A3042" s="4"/>
      <c r="B3042" s="4"/>
    </row>
    <row r="3043" spans="1:2" x14ac:dyDescent="0.2">
      <c r="A3043" s="4"/>
      <c r="B3043" s="4"/>
    </row>
    <row r="3044" spans="1:2" x14ac:dyDescent="0.2">
      <c r="A3044" s="4"/>
      <c r="B3044" s="4"/>
    </row>
    <row r="3045" spans="1:2" x14ac:dyDescent="0.2">
      <c r="A3045" s="4"/>
      <c r="B3045" s="4"/>
    </row>
    <row r="3046" spans="1:2" x14ac:dyDescent="0.2">
      <c r="A3046" s="4"/>
      <c r="B3046" s="4"/>
    </row>
    <row r="3047" spans="1:2" x14ac:dyDescent="0.2">
      <c r="A3047" s="4"/>
      <c r="B3047" s="4"/>
    </row>
    <row r="3048" spans="1:2" x14ac:dyDescent="0.2">
      <c r="A3048" s="4"/>
      <c r="B3048" s="4"/>
    </row>
    <row r="3049" spans="1:2" x14ac:dyDescent="0.2">
      <c r="A3049" s="4"/>
      <c r="B3049" s="4"/>
    </row>
    <row r="3050" spans="1:2" x14ac:dyDescent="0.2">
      <c r="A3050" s="4"/>
      <c r="B3050" s="4"/>
    </row>
    <row r="3051" spans="1:2" x14ac:dyDescent="0.2">
      <c r="A3051" s="4"/>
      <c r="B3051" s="4"/>
    </row>
    <row r="3052" spans="1:2" x14ac:dyDescent="0.2">
      <c r="A3052" s="4"/>
      <c r="B3052" s="4"/>
    </row>
    <row r="3053" spans="1:2" x14ac:dyDescent="0.2">
      <c r="A3053" s="4"/>
      <c r="B3053" s="4"/>
    </row>
    <row r="3054" spans="1:2" x14ac:dyDescent="0.2">
      <c r="A3054" s="4"/>
      <c r="B3054" s="4"/>
    </row>
    <row r="3055" spans="1:2" x14ac:dyDescent="0.2">
      <c r="A3055" s="4"/>
      <c r="B3055" s="4"/>
    </row>
    <row r="3056" spans="1:2" x14ac:dyDescent="0.2">
      <c r="A3056" s="4"/>
      <c r="B3056" s="4"/>
    </row>
    <row r="3057" spans="1:2" x14ac:dyDescent="0.2">
      <c r="A3057" s="4"/>
      <c r="B3057" s="4"/>
    </row>
    <row r="3058" spans="1:2" x14ac:dyDescent="0.2">
      <c r="A3058" s="4"/>
      <c r="B3058" s="4"/>
    </row>
    <row r="3059" spans="1:2" x14ac:dyDescent="0.2">
      <c r="A3059" s="4"/>
      <c r="B3059" s="4"/>
    </row>
    <row r="3060" spans="1:2" x14ac:dyDescent="0.2">
      <c r="A3060" s="4"/>
      <c r="B3060" s="4"/>
    </row>
    <row r="3061" spans="1:2" x14ac:dyDescent="0.2">
      <c r="A3061" s="4"/>
      <c r="B3061" s="4"/>
    </row>
    <row r="3062" spans="1:2" x14ac:dyDescent="0.2">
      <c r="A3062" s="4"/>
      <c r="B3062" s="4"/>
    </row>
    <row r="3063" spans="1:2" x14ac:dyDescent="0.2">
      <c r="A3063" s="4"/>
      <c r="B3063" s="4"/>
    </row>
    <row r="3064" spans="1:2" x14ac:dyDescent="0.2">
      <c r="A3064" s="4"/>
      <c r="B3064" s="4"/>
    </row>
    <row r="3065" spans="1:2" x14ac:dyDescent="0.2">
      <c r="A3065" s="4"/>
      <c r="B3065" s="4"/>
    </row>
    <row r="3066" spans="1:2" x14ac:dyDescent="0.2">
      <c r="A3066" s="4"/>
      <c r="B3066" s="4"/>
    </row>
    <row r="3067" spans="1:2" x14ac:dyDescent="0.2">
      <c r="A3067" s="4"/>
      <c r="B3067" s="4"/>
    </row>
    <row r="3068" spans="1:2" x14ac:dyDescent="0.2">
      <c r="A3068" s="4"/>
      <c r="B3068" s="4"/>
    </row>
    <row r="3069" spans="1:2" x14ac:dyDescent="0.2">
      <c r="A3069" s="4"/>
      <c r="B3069" s="4"/>
    </row>
    <row r="3070" spans="1:2" x14ac:dyDescent="0.2">
      <c r="A3070" s="4"/>
      <c r="B3070" s="4"/>
    </row>
    <row r="3071" spans="1:2" x14ac:dyDescent="0.2">
      <c r="A3071" s="4"/>
      <c r="B3071" s="4"/>
    </row>
    <row r="3072" spans="1:2" x14ac:dyDescent="0.2">
      <c r="A3072" s="4"/>
      <c r="B3072" s="4"/>
    </row>
    <row r="3073" spans="1:2" x14ac:dyDescent="0.2">
      <c r="A3073" s="4"/>
      <c r="B3073" s="4"/>
    </row>
    <row r="3074" spans="1:2" x14ac:dyDescent="0.2">
      <c r="A3074" s="4"/>
      <c r="B3074" s="4"/>
    </row>
    <row r="3075" spans="1:2" x14ac:dyDescent="0.2">
      <c r="A3075" s="4"/>
      <c r="B3075" s="4"/>
    </row>
    <row r="3076" spans="1:2" x14ac:dyDescent="0.2">
      <c r="A3076" s="4"/>
      <c r="B3076" s="4"/>
    </row>
    <row r="3077" spans="1:2" x14ac:dyDescent="0.2">
      <c r="A3077" s="4"/>
      <c r="B3077" s="4"/>
    </row>
    <row r="3078" spans="1:2" x14ac:dyDescent="0.2">
      <c r="A3078" s="4"/>
      <c r="B3078" s="4"/>
    </row>
    <row r="3079" spans="1:2" x14ac:dyDescent="0.2">
      <c r="A3079" s="4"/>
      <c r="B3079" s="4"/>
    </row>
    <row r="3080" spans="1:2" x14ac:dyDescent="0.2">
      <c r="A3080" s="4"/>
      <c r="B3080" s="4"/>
    </row>
    <row r="3081" spans="1:2" x14ac:dyDescent="0.2">
      <c r="A3081" s="4"/>
      <c r="B3081" s="4"/>
    </row>
    <row r="3082" spans="1:2" x14ac:dyDescent="0.2">
      <c r="A3082" s="4"/>
      <c r="B3082" s="4"/>
    </row>
    <row r="3083" spans="1:2" x14ac:dyDescent="0.2">
      <c r="A3083" s="4"/>
      <c r="B3083" s="4"/>
    </row>
    <row r="3084" spans="1:2" x14ac:dyDescent="0.2">
      <c r="A3084" s="4"/>
      <c r="B3084" s="4"/>
    </row>
    <row r="3085" spans="1:2" x14ac:dyDescent="0.2">
      <c r="A3085" s="4"/>
      <c r="B3085" s="4"/>
    </row>
    <row r="3086" spans="1:2" x14ac:dyDescent="0.2">
      <c r="A3086" s="4"/>
      <c r="B3086" s="4"/>
    </row>
    <row r="3087" spans="1:2" x14ac:dyDescent="0.2">
      <c r="A3087" s="4"/>
      <c r="B3087" s="4"/>
    </row>
    <row r="3088" spans="1:2" x14ac:dyDescent="0.2">
      <c r="A3088" s="4"/>
      <c r="B3088" s="4"/>
    </row>
    <row r="3089" spans="1:2" x14ac:dyDescent="0.2">
      <c r="A3089" s="4"/>
      <c r="B3089" s="4"/>
    </row>
    <row r="3090" spans="1:2" x14ac:dyDescent="0.2">
      <c r="A3090" s="4"/>
      <c r="B3090" s="4"/>
    </row>
    <row r="3091" spans="1:2" x14ac:dyDescent="0.2">
      <c r="A3091" s="4"/>
      <c r="B3091" s="4"/>
    </row>
    <row r="3092" spans="1:2" x14ac:dyDescent="0.2">
      <c r="A3092" s="4"/>
      <c r="B3092" s="4"/>
    </row>
    <row r="3093" spans="1:2" x14ac:dyDescent="0.2">
      <c r="A3093" s="4"/>
      <c r="B3093" s="4"/>
    </row>
    <row r="3094" spans="1:2" x14ac:dyDescent="0.2">
      <c r="A3094" s="4"/>
      <c r="B3094" s="4"/>
    </row>
    <row r="3095" spans="1:2" x14ac:dyDescent="0.2">
      <c r="A3095" s="4"/>
      <c r="B3095" s="4"/>
    </row>
    <row r="3096" spans="1:2" x14ac:dyDescent="0.2">
      <c r="A3096" s="4"/>
      <c r="B3096" s="4"/>
    </row>
    <row r="3097" spans="1:2" x14ac:dyDescent="0.2">
      <c r="A3097" s="4"/>
      <c r="B3097" s="4"/>
    </row>
    <row r="3098" spans="1:2" x14ac:dyDescent="0.2">
      <c r="A3098" s="4"/>
      <c r="B3098" s="4"/>
    </row>
    <row r="3099" spans="1:2" x14ac:dyDescent="0.2">
      <c r="A3099" s="4"/>
      <c r="B3099" s="4"/>
    </row>
    <row r="3100" spans="1:2" x14ac:dyDescent="0.2">
      <c r="A3100" s="4"/>
      <c r="B3100" s="4"/>
    </row>
    <row r="3101" spans="1:2" x14ac:dyDescent="0.2">
      <c r="A3101" s="4"/>
      <c r="B3101" s="4"/>
    </row>
    <row r="3102" spans="1:2" x14ac:dyDescent="0.2">
      <c r="A3102" s="4"/>
      <c r="B3102" s="4"/>
    </row>
    <row r="3103" spans="1:2" x14ac:dyDescent="0.2">
      <c r="A3103" s="4"/>
      <c r="B3103" s="4"/>
    </row>
    <row r="3104" spans="1:2" x14ac:dyDescent="0.2">
      <c r="A3104" s="4"/>
      <c r="B3104" s="4"/>
    </row>
    <row r="3105" spans="1:2" x14ac:dyDescent="0.2">
      <c r="A3105" s="4"/>
      <c r="B3105" s="4"/>
    </row>
    <row r="3106" spans="1:2" x14ac:dyDescent="0.2">
      <c r="A3106" s="4"/>
      <c r="B3106" s="4"/>
    </row>
    <row r="3107" spans="1:2" x14ac:dyDescent="0.2">
      <c r="A3107" s="4"/>
      <c r="B3107" s="4"/>
    </row>
    <row r="3108" spans="1:2" x14ac:dyDescent="0.2">
      <c r="A3108" s="4"/>
      <c r="B3108" s="4"/>
    </row>
    <row r="3109" spans="1:2" x14ac:dyDescent="0.2">
      <c r="A3109" s="4"/>
      <c r="B3109" s="4"/>
    </row>
    <row r="3110" spans="1:2" x14ac:dyDescent="0.2">
      <c r="A3110" s="4"/>
      <c r="B3110" s="4"/>
    </row>
    <row r="3111" spans="1:2" x14ac:dyDescent="0.2">
      <c r="A3111" s="4"/>
      <c r="B3111" s="4"/>
    </row>
    <row r="3112" spans="1:2" x14ac:dyDescent="0.2">
      <c r="A3112" s="4"/>
      <c r="B3112" s="4"/>
    </row>
    <row r="3113" spans="1:2" x14ac:dyDescent="0.2">
      <c r="A3113" s="4"/>
      <c r="B3113" s="4"/>
    </row>
    <row r="3114" spans="1:2" x14ac:dyDescent="0.2">
      <c r="A3114" s="4"/>
      <c r="B3114" s="4"/>
    </row>
    <row r="3115" spans="1:2" x14ac:dyDescent="0.2">
      <c r="A3115" s="4"/>
      <c r="B3115" s="4"/>
    </row>
    <row r="3116" spans="1:2" x14ac:dyDescent="0.2">
      <c r="A3116" s="4"/>
      <c r="B3116" s="4"/>
    </row>
    <row r="3117" spans="1:2" x14ac:dyDescent="0.2">
      <c r="A3117" s="4"/>
      <c r="B3117" s="4"/>
    </row>
    <row r="3118" spans="1:2" x14ac:dyDescent="0.2">
      <c r="A3118" s="4"/>
      <c r="B3118" s="4"/>
    </row>
    <row r="3119" spans="1:2" x14ac:dyDescent="0.2">
      <c r="A3119" s="4"/>
      <c r="B3119" s="4"/>
    </row>
    <row r="3120" spans="1:2" x14ac:dyDescent="0.2">
      <c r="A3120" s="4"/>
      <c r="B3120" s="4"/>
    </row>
    <row r="3121" spans="1:2" x14ac:dyDescent="0.2">
      <c r="A3121" s="4"/>
      <c r="B3121" s="4"/>
    </row>
    <row r="3122" spans="1:2" x14ac:dyDescent="0.2">
      <c r="A3122" s="4"/>
      <c r="B3122" s="4"/>
    </row>
    <row r="3123" spans="1:2" x14ac:dyDescent="0.2">
      <c r="A3123" s="4"/>
      <c r="B3123" s="4"/>
    </row>
    <row r="3124" spans="1:2" x14ac:dyDescent="0.2">
      <c r="A3124" s="4"/>
      <c r="B3124" s="4"/>
    </row>
    <row r="3125" spans="1:2" x14ac:dyDescent="0.2">
      <c r="A3125" s="4"/>
      <c r="B3125" s="4"/>
    </row>
    <row r="3126" spans="1:2" x14ac:dyDescent="0.2">
      <c r="A3126" s="4"/>
      <c r="B3126" s="4"/>
    </row>
    <row r="3127" spans="1:2" x14ac:dyDescent="0.2">
      <c r="A3127" s="4"/>
      <c r="B3127" s="4"/>
    </row>
    <row r="3128" spans="1:2" x14ac:dyDescent="0.2">
      <c r="A3128" s="4"/>
      <c r="B3128" s="4"/>
    </row>
    <row r="3129" spans="1:2" x14ac:dyDescent="0.2">
      <c r="A3129" s="4"/>
      <c r="B3129" s="4"/>
    </row>
    <row r="3130" spans="1:2" x14ac:dyDescent="0.2">
      <c r="A3130" s="4"/>
      <c r="B3130" s="4"/>
    </row>
    <row r="3131" spans="1:2" x14ac:dyDescent="0.2">
      <c r="A3131" s="4"/>
      <c r="B3131" s="4"/>
    </row>
    <row r="3132" spans="1:2" x14ac:dyDescent="0.2">
      <c r="A3132" s="4"/>
      <c r="B3132" s="4"/>
    </row>
    <row r="3133" spans="1:2" x14ac:dyDescent="0.2">
      <c r="A3133" s="4"/>
      <c r="B3133" s="4"/>
    </row>
    <row r="3134" spans="1:2" x14ac:dyDescent="0.2">
      <c r="A3134" s="4"/>
      <c r="B3134" s="4"/>
    </row>
    <row r="3135" spans="1:2" x14ac:dyDescent="0.2">
      <c r="A3135" s="4"/>
      <c r="B3135" s="4"/>
    </row>
    <row r="3136" spans="1:2" x14ac:dyDescent="0.2">
      <c r="A3136" s="4"/>
      <c r="B3136" s="4"/>
    </row>
    <row r="3137" spans="1:2" x14ac:dyDescent="0.2">
      <c r="A3137" s="4"/>
      <c r="B3137" s="4"/>
    </row>
    <row r="3138" spans="1:2" x14ac:dyDescent="0.2">
      <c r="A3138" s="4"/>
      <c r="B3138" s="4"/>
    </row>
    <row r="3139" spans="1:2" x14ac:dyDescent="0.2">
      <c r="A3139" s="4"/>
      <c r="B3139" s="4"/>
    </row>
    <row r="3140" spans="1:2" x14ac:dyDescent="0.2">
      <c r="A3140" s="4"/>
      <c r="B3140" s="4"/>
    </row>
    <row r="3141" spans="1:2" x14ac:dyDescent="0.2">
      <c r="A3141" s="4"/>
      <c r="B3141" s="4"/>
    </row>
    <row r="3142" spans="1:2" x14ac:dyDescent="0.2">
      <c r="A3142" s="4"/>
      <c r="B3142" s="4"/>
    </row>
    <row r="3143" spans="1:2" x14ac:dyDescent="0.2">
      <c r="A3143" s="4"/>
      <c r="B3143" s="4"/>
    </row>
    <row r="3144" spans="1:2" x14ac:dyDescent="0.2">
      <c r="A3144" s="4"/>
      <c r="B3144" s="4"/>
    </row>
    <row r="3145" spans="1:2" x14ac:dyDescent="0.2">
      <c r="A3145" s="4"/>
      <c r="B3145" s="4"/>
    </row>
    <row r="3146" spans="1:2" x14ac:dyDescent="0.2">
      <c r="A3146" s="4"/>
      <c r="B3146" s="4"/>
    </row>
    <row r="3147" spans="1:2" x14ac:dyDescent="0.2">
      <c r="A3147" s="4"/>
      <c r="B3147" s="4"/>
    </row>
    <row r="3148" spans="1:2" x14ac:dyDescent="0.2">
      <c r="A3148" s="4"/>
      <c r="B3148" s="4"/>
    </row>
    <row r="3149" spans="1:2" x14ac:dyDescent="0.2">
      <c r="A3149" s="4"/>
      <c r="B3149" s="4"/>
    </row>
    <row r="3150" spans="1:2" x14ac:dyDescent="0.2">
      <c r="A3150" s="4"/>
      <c r="B3150" s="4"/>
    </row>
    <row r="3151" spans="1:2" x14ac:dyDescent="0.2">
      <c r="A3151" s="4"/>
      <c r="B3151" s="4"/>
    </row>
    <row r="3152" spans="1:2" x14ac:dyDescent="0.2">
      <c r="A3152" s="4"/>
      <c r="B3152" s="4"/>
    </row>
    <row r="3153" spans="1:2" x14ac:dyDescent="0.2">
      <c r="A3153" s="4"/>
      <c r="B3153" s="4"/>
    </row>
    <row r="3154" spans="1:2" x14ac:dyDescent="0.2">
      <c r="A3154" s="4"/>
      <c r="B3154" s="4"/>
    </row>
    <row r="3155" spans="1:2" x14ac:dyDescent="0.2">
      <c r="A3155" s="4"/>
      <c r="B3155" s="4"/>
    </row>
    <row r="3156" spans="1:2" x14ac:dyDescent="0.2">
      <c r="A3156" s="4"/>
      <c r="B3156" s="4"/>
    </row>
    <row r="3157" spans="1:2" x14ac:dyDescent="0.2">
      <c r="A3157" s="4"/>
      <c r="B3157" s="4"/>
    </row>
    <row r="3158" spans="1:2" x14ac:dyDescent="0.2">
      <c r="A3158" s="4"/>
      <c r="B3158" s="4"/>
    </row>
    <row r="3159" spans="1:2" x14ac:dyDescent="0.2">
      <c r="A3159" s="4"/>
      <c r="B3159" s="4"/>
    </row>
    <row r="3160" spans="1:2" x14ac:dyDescent="0.2">
      <c r="A3160" s="4"/>
      <c r="B3160" s="4"/>
    </row>
    <row r="3161" spans="1:2" x14ac:dyDescent="0.2">
      <c r="A3161" s="4"/>
      <c r="B3161" s="4"/>
    </row>
    <row r="3162" spans="1:2" x14ac:dyDescent="0.2">
      <c r="A3162" s="4"/>
      <c r="B3162" s="4"/>
    </row>
    <row r="3163" spans="1:2" x14ac:dyDescent="0.2">
      <c r="A3163" s="4"/>
      <c r="B3163" s="4"/>
    </row>
    <row r="3164" spans="1:2" x14ac:dyDescent="0.2">
      <c r="A3164" s="4"/>
      <c r="B3164" s="4"/>
    </row>
    <row r="3165" spans="1:2" x14ac:dyDescent="0.2">
      <c r="A3165" s="4"/>
      <c r="B3165" s="4"/>
    </row>
    <row r="3166" spans="1:2" x14ac:dyDescent="0.2">
      <c r="A3166" s="4"/>
      <c r="B3166" s="4"/>
    </row>
    <row r="3167" spans="1:2" x14ac:dyDescent="0.2">
      <c r="A3167" s="4"/>
      <c r="B3167" s="4"/>
    </row>
    <row r="3168" spans="1:2" x14ac:dyDescent="0.2">
      <c r="A3168" s="4"/>
      <c r="B3168" s="4"/>
    </row>
    <row r="3169" spans="1:2" x14ac:dyDescent="0.2">
      <c r="A3169" s="4"/>
      <c r="B3169" s="4"/>
    </row>
    <row r="3170" spans="1:2" x14ac:dyDescent="0.2">
      <c r="A3170" s="4"/>
      <c r="B3170" s="4"/>
    </row>
    <row r="3171" spans="1:2" x14ac:dyDescent="0.2">
      <c r="A3171" s="4"/>
      <c r="B3171" s="4"/>
    </row>
    <row r="3172" spans="1:2" x14ac:dyDescent="0.2">
      <c r="A3172" s="4"/>
      <c r="B3172" s="4"/>
    </row>
    <row r="3173" spans="1:2" x14ac:dyDescent="0.2">
      <c r="A3173" s="4"/>
      <c r="B3173" s="4"/>
    </row>
    <row r="3174" spans="1:2" x14ac:dyDescent="0.2">
      <c r="A3174" s="4"/>
      <c r="B3174" s="4"/>
    </row>
    <row r="3175" spans="1:2" x14ac:dyDescent="0.2">
      <c r="A3175" s="4"/>
      <c r="B3175" s="4"/>
    </row>
    <row r="3176" spans="1:2" x14ac:dyDescent="0.2">
      <c r="A3176" s="4"/>
      <c r="B3176" s="4"/>
    </row>
    <row r="3177" spans="1:2" x14ac:dyDescent="0.2">
      <c r="A3177" s="4"/>
      <c r="B3177" s="4"/>
    </row>
    <row r="3178" spans="1:2" x14ac:dyDescent="0.2">
      <c r="A3178" s="4"/>
      <c r="B3178" s="4"/>
    </row>
    <row r="3179" spans="1:2" x14ac:dyDescent="0.2">
      <c r="A3179" s="4"/>
      <c r="B3179" s="4"/>
    </row>
    <row r="3180" spans="1:2" x14ac:dyDescent="0.2">
      <c r="A3180" s="4"/>
      <c r="B3180" s="4"/>
    </row>
    <row r="3181" spans="1:2" x14ac:dyDescent="0.2">
      <c r="A3181" s="4"/>
      <c r="B3181" s="4"/>
    </row>
    <row r="3182" spans="1:2" x14ac:dyDescent="0.2">
      <c r="A3182" s="4"/>
      <c r="B3182" s="4"/>
    </row>
    <row r="3183" spans="1:2" x14ac:dyDescent="0.2">
      <c r="A3183" s="4"/>
      <c r="B3183" s="4"/>
    </row>
    <row r="3184" spans="1:2" x14ac:dyDescent="0.2">
      <c r="A3184" s="4"/>
      <c r="B3184" s="4"/>
    </row>
    <row r="3185" spans="1:2" x14ac:dyDescent="0.2">
      <c r="A3185" s="4"/>
      <c r="B3185" s="4"/>
    </row>
    <row r="3186" spans="1:2" x14ac:dyDescent="0.2">
      <c r="A3186" s="4"/>
      <c r="B3186" s="4"/>
    </row>
    <row r="3187" spans="1:2" x14ac:dyDescent="0.2">
      <c r="A3187" s="4"/>
      <c r="B3187" s="4"/>
    </row>
    <row r="3188" spans="1:2" x14ac:dyDescent="0.2">
      <c r="A3188" s="4"/>
      <c r="B3188" s="4"/>
    </row>
    <row r="3189" spans="1:2" x14ac:dyDescent="0.2">
      <c r="A3189" s="4"/>
      <c r="B3189" s="4"/>
    </row>
    <row r="3190" spans="1:2" x14ac:dyDescent="0.2">
      <c r="A3190" s="4"/>
      <c r="B3190" s="4"/>
    </row>
    <row r="3191" spans="1:2" x14ac:dyDescent="0.2">
      <c r="A3191" s="4"/>
      <c r="B3191" s="4"/>
    </row>
    <row r="3192" spans="1:2" x14ac:dyDescent="0.2">
      <c r="A3192" s="4"/>
      <c r="B3192" s="4"/>
    </row>
    <row r="3193" spans="1:2" x14ac:dyDescent="0.2">
      <c r="A3193" s="4"/>
      <c r="B3193" s="4"/>
    </row>
    <row r="3194" spans="1:2" x14ac:dyDescent="0.2">
      <c r="A3194" s="4"/>
      <c r="B3194" s="4"/>
    </row>
    <row r="3195" spans="1:2" x14ac:dyDescent="0.2">
      <c r="A3195" s="4"/>
      <c r="B3195" s="4"/>
    </row>
    <row r="3196" spans="1:2" x14ac:dyDescent="0.2">
      <c r="A3196" s="4"/>
      <c r="B3196" s="4"/>
    </row>
    <row r="3197" spans="1:2" x14ac:dyDescent="0.2">
      <c r="A3197" s="4"/>
      <c r="B3197" s="4"/>
    </row>
    <row r="3198" spans="1:2" x14ac:dyDescent="0.2">
      <c r="A3198" s="4"/>
      <c r="B3198" s="4"/>
    </row>
    <row r="3199" spans="1:2" x14ac:dyDescent="0.2">
      <c r="A3199" s="4"/>
      <c r="B3199" s="4"/>
    </row>
    <row r="3200" spans="1:2" x14ac:dyDescent="0.2">
      <c r="A3200" s="4"/>
      <c r="B3200" s="4"/>
    </row>
    <row r="3201" spans="1:2" x14ac:dyDescent="0.2">
      <c r="A3201" s="4"/>
      <c r="B3201" s="4"/>
    </row>
    <row r="3202" spans="1:2" x14ac:dyDescent="0.2">
      <c r="A3202" s="4"/>
      <c r="B3202" s="4"/>
    </row>
    <row r="3203" spans="1:2" x14ac:dyDescent="0.2">
      <c r="A3203" s="4"/>
      <c r="B3203" s="4"/>
    </row>
    <row r="3204" spans="1:2" x14ac:dyDescent="0.2">
      <c r="A3204" s="4"/>
      <c r="B3204" s="4"/>
    </row>
    <row r="3205" spans="1:2" x14ac:dyDescent="0.2">
      <c r="A3205" s="4"/>
      <c r="B3205" s="4"/>
    </row>
    <row r="3206" spans="1:2" x14ac:dyDescent="0.2">
      <c r="A3206" s="4"/>
      <c r="B3206" s="4"/>
    </row>
    <row r="3207" spans="1:2" x14ac:dyDescent="0.2">
      <c r="A3207" s="4"/>
      <c r="B3207" s="4"/>
    </row>
    <row r="3208" spans="1:2" x14ac:dyDescent="0.2">
      <c r="A3208" s="4"/>
      <c r="B3208" s="4"/>
    </row>
    <row r="3209" spans="1:2" x14ac:dyDescent="0.2">
      <c r="A3209" s="4"/>
      <c r="B3209" s="4"/>
    </row>
    <row r="3210" spans="1:2" x14ac:dyDescent="0.2">
      <c r="A3210" s="4"/>
      <c r="B3210" s="4"/>
    </row>
    <row r="3211" spans="1:2" x14ac:dyDescent="0.2">
      <c r="A3211" s="4"/>
      <c r="B3211" s="4"/>
    </row>
    <row r="3212" spans="1:2" x14ac:dyDescent="0.2">
      <c r="A3212" s="4"/>
      <c r="B3212" s="4"/>
    </row>
    <row r="3213" spans="1:2" x14ac:dyDescent="0.2">
      <c r="A3213" s="4"/>
      <c r="B3213" s="4"/>
    </row>
    <row r="3214" spans="1:2" x14ac:dyDescent="0.2">
      <c r="A3214" s="4"/>
      <c r="B3214" s="4"/>
    </row>
    <row r="3215" spans="1:2" x14ac:dyDescent="0.2">
      <c r="A3215" s="4"/>
      <c r="B3215" s="4"/>
    </row>
    <row r="3216" spans="1:2" x14ac:dyDescent="0.2">
      <c r="A3216" s="4"/>
      <c r="B3216" s="4"/>
    </row>
    <row r="3217" spans="1:2" x14ac:dyDescent="0.2">
      <c r="A3217" s="4"/>
      <c r="B3217" s="4"/>
    </row>
    <row r="3218" spans="1:2" x14ac:dyDescent="0.2">
      <c r="A3218" s="4"/>
      <c r="B3218" s="4"/>
    </row>
    <row r="3219" spans="1:2" x14ac:dyDescent="0.2">
      <c r="A3219" s="4"/>
      <c r="B3219" s="4"/>
    </row>
    <row r="3220" spans="1:2" x14ac:dyDescent="0.2">
      <c r="A3220" s="4"/>
      <c r="B3220" s="4"/>
    </row>
    <row r="3221" spans="1:2" x14ac:dyDescent="0.2">
      <c r="A3221" s="4"/>
      <c r="B3221" s="4"/>
    </row>
    <row r="3222" spans="1:2" x14ac:dyDescent="0.2">
      <c r="A3222" s="4"/>
      <c r="B3222" s="4"/>
    </row>
    <row r="3223" spans="1:2" x14ac:dyDescent="0.2">
      <c r="A3223" s="4"/>
      <c r="B3223" s="4"/>
    </row>
    <row r="3224" spans="1:2" x14ac:dyDescent="0.2">
      <c r="A3224" s="4"/>
      <c r="B3224" s="4"/>
    </row>
    <row r="3225" spans="1:2" x14ac:dyDescent="0.2">
      <c r="A3225" s="4"/>
      <c r="B3225" s="4"/>
    </row>
    <row r="3226" spans="1:2" x14ac:dyDescent="0.2">
      <c r="A3226" s="4"/>
      <c r="B3226" s="4"/>
    </row>
    <row r="3227" spans="1:2" x14ac:dyDescent="0.2">
      <c r="A3227" s="4"/>
      <c r="B3227" s="4"/>
    </row>
    <row r="3228" spans="1:2" x14ac:dyDescent="0.2">
      <c r="A3228" s="4"/>
      <c r="B3228" s="4"/>
    </row>
    <row r="3229" spans="1:2" x14ac:dyDescent="0.2">
      <c r="A3229" s="4"/>
      <c r="B3229" s="4"/>
    </row>
    <row r="3230" spans="1:2" x14ac:dyDescent="0.2">
      <c r="A3230" s="4"/>
      <c r="B3230" s="4"/>
    </row>
    <row r="3231" spans="1:2" x14ac:dyDescent="0.2">
      <c r="A3231" s="4"/>
      <c r="B3231" s="4"/>
    </row>
    <row r="3232" spans="1:2" x14ac:dyDescent="0.2">
      <c r="A3232" s="4"/>
      <c r="B3232" s="4"/>
    </row>
    <row r="3233" spans="1:2" x14ac:dyDescent="0.2">
      <c r="A3233" s="4"/>
      <c r="B3233" s="4"/>
    </row>
    <row r="3234" spans="1:2" x14ac:dyDescent="0.2">
      <c r="A3234" s="4"/>
      <c r="B3234" s="4"/>
    </row>
    <row r="3235" spans="1:2" x14ac:dyDescent="0.2">
      <c r="A3235" s="4"/>
      <c r="B3235" s="4"/>
    </row>
    <row r="3236" spans="1:2" x14ac:dyDescent="0.2">
      <c r="A3236" s="4"/>
      <c r="B3236" s="4"/>
    </row>
    <row r="3237" spans="1:2" x14ac:dyDescent="0.2">
      <c r="A3237" s="4"/>
      <c r="B3237" s="4"/>
    </row>
    <row r="3238" spans="1:2" x14ac:dyDescent="0.2">
      <c r="A3238" s="4"/>
      <c r="B3238" s="4"/>
    </row>
    <row r="3239" spans="1:2" x14ac:dyDescent="0.2">
      <c r="A3239" s="4"/>
      <c r="B3239" s="4"/>
    </row>
    <row r="3240" spans="1:2" x14ac:dyDescent="0.2">
      <c r="A3240" s="4"/>
      <c r="B3240" s="4"/>
    </row>
    <row r="3241" spans="1:2" x14ac:dyDescent="0.2">
      <c r="A3241" s="4"/>
      <c r="B3241" s="4"/>
    </row>
    <row r="3242" spans="1:2" x14ac:dyDescent="0.2">
      <c r="A3242" s="4"/>
      <c r="B3242" s="4"/>
    </row>
    <row r="3243" spans="1:2" x14ac:dyDescent="0.2">
      <c r="A3243" s="4"/>
      <c r="B3243" s="4"/>
    </row>
    <row r="3244" spans="1:2" x14ac:dyDescent="0.2">
      <c r="A3244" s="4"/>
      <c r="B3244" s="4"/>
    </row>
    <row r="3245" spans="1:2" x14ac:dyDescent="0.2">
      <c r="A3245" s="4"/>
      <c r="B3245" s="4"/>
    </row>
    <row r="3246" spans="1:2" x14ac:dyDescent="0.2">
      <c r="A3246" s="4"/>
      <c r="B3246" s="4"/>
    </row>
    <row r="3247" spans="1:2" x14ac:dyDescent="0.2">
      <c r="A3247" s="4"/>
      <c r="B3247" s="4"/>
    </row>
    <row r="3248" spans="1:2" x14ac:dyDescent="0.2">
      <c r="A3248" s="4"/>
      <c r="B3248" s="4"/>
    </row>
    <row r="3249" spans="1:2" x14ac:dyDescent="0.2">
      <c r="A3249" s="4"/>
      <c r="B3249" s="4"/>
    </row>
    <row r="3250" spans="1:2" x14ac:dyDescent="0.2">
      <c r="A3250" s="4"/>
      <c r="B3250" s="4"/>
    </row>
    <row r="3251" spans="1:2" x14ac:dyDescent="0.2">
      <c r="A3251" s="4"/>
      <c r="B3251" s="4"/>
    </row>
    <row r="3252" spans="1:2" x14ac:dyDescent="0.2">
      <c r="A3252" s="4"/>
      <c r="B3252" s="4"/>
    </row>
    <row r="3253" spans="1:2" x14ac:dyDescent="0.2">
      <c r="A3253" s="4"/>
      <c r="B3253" s="4"/>
    </row>
    <row r="3254" spans="1:2" x14ac:dyDescent="0.2">
      <c r="A3254" s="4"/>
      <c r="B3254" s="4"/>
    </row>
    <row r="3255" spans="1:2" x14ac:dyDescent="0.2">
      <c r="A3255" s="4"/>
      <c r="B3255" s="4"/>
    </row>
    <row r="3256" spans="1:2" x14ac:dyDescent="0.2">
      <c r="A3256" s="4"/>
      <c r="B3256" s="4"/>
    </row>
    <row r="3257" spans="1:2" x14ac:dyDescent="0.2">
      <c r="A3257" s="4"/>
      <c r="B3257" s="4"/>
    </row>
    <row r="3258" spans="1:2" x14ac:dyDescent="0.2">
      <c r="A3258" s="4"/>
      <c r="B3258" s="4"/>
    </row>
    <row r="3259" spans="1:2" x14ac:dyDescent="0.2">
      <c r="A3259" s="4"/>
      <c r="B3259" s="4"/>
    </row>
    <row r="3260" spans="1:2" x14ac:dyDescent="0.2">
      <c r="A3260" s="4"/>
      <c r="B3260" s="4"/>
    </row>
    <row r="3261" spans="1:2" x14ac:dyDescent="0.2">
      <c r="A3261" s="4"/>
      <c r="B3261" s="4"/>
    </row>
    <row r="3262" spans="1:2" x14ac:dyDescent="0.2">
      <c r="A3262" s="4"/>
      <c r="B3262" s="4"/>
    </row>
    <row r="3263" spans="1:2" x14ac:dyDescent="0.2">
      <c r="A3263" s="4"/>
      <c r="B3263" s="4"/>
    </row>
    <row r="3264" spans="1:2" x14ac:dyDescent="0.2">
      <c r="A3264" s="4"/>
      <c r="B3264" s="4"/>
    </row>
    <row r="3265" spans="1:2" x14ac:dyDescent="0.2">
      <c r="A3265" s="4"/>
      <c r="B3265" s="4"/>
    </row>
    <row r="3266" spans="1:2" x14ac:dyDescent="0.2">
      <c r="A3266" s="4"/>
      <c r="B3266" s="4"/>
    </row>
    <row r="3267" spans="1:2" x14ac:dyDescent="0.2">
      <c r="A3267" s="4"/>
      <c r="B3267" s="4"/>
    </row>
    <row r="3268" spans="1:2" x14ac:dyDescent="0.2">
      <c r="A3268" s="4"/>
      <c r="B3268" s="4"/>
    </row>
    <row r="3269" spans="1:2" x14ac:dyDescent="0.2">
      <c r="A3269" s="4"/>
      <c r="B3269" s="4"/>
    </row>
    <row r="3270" spans="1:2" x14ac:dyDescent="0.2">
      <c r="A3270" s="4"/>
      <c r="B3270" s="4"/>
    </row>
    <row r="3271" spans="1:2" x14ac:dyDescent="0.2">
      <c r="A3271" s="4"/>
      <c r="B3271" s="4"/>
    </row>
    <row r="3272" spans="1:2" x14ac:dyDescent="0.2">
      <c r="A3272" s="4"/>
      <c r="B3272" s="4"/>
    </row>
    <row r="3273" spans="1:2" x14ac:dyDescent="0.2">
      <c r="A3273" s="4"/>
      <c r="B3273" s="4"/>
    </row>
    <row r="3274" spans="1:2" x14ac:dyDescent="0.2">
      <c r="A3274" s="4"/>
      <c r="B3274" s="4"/>
    </row>
    <row r="3275" spans="1:2" x14ac:dyDescent="0.2">
      <c r="A3275" s="4"/>
      <c r="B3275" s="4"/>
    </row>
    <row r="3276" spans="1:2" x14ac:dyDescent="0.2">
      <c r="A3276" s="4"/>
      <c r="B3276" s="4"/>
    </row>
    <row r="3277" spans="1:2" x14ac:dyDescent="0.2">
      <c r="A3277" s="4"/>
      <c r="B3277" s="4"/>
    </row>
    <row r="3278" spans="1:2" x14ac:dyDescent="0.2">
      <c r="A3278" s="4"/>
      <c r="B3278" s="4"/>
    </row>
    <row r="3279" spans="1:2" x14ac:dyDescent="0.2">
      <c r="A3279" s="4"/>
      <c r="B3279" s="4"/>
    </row>
    <row r="3280" spans="1:2" x14ac:dyDescent="0.2">
      <c r="A3280" s="4"/>
      <c r="B3280" s="4"/>
    </row>
    <row r="3281" spans="1:2" x14ac:dyDescent="0.2">
      <c r="A3281" s="4"/>
      <c r="B3281" s="4"/>
    </row>
    <row r="3282" spans="1:2" x14ac:dyDescent="0.2">
      <c r="A3282" s="4"/>
      <c r="B3282" s="4"/>
    </row>
    <row r="3283" spans="1:2" x14ac:dyDescent="0.2">
      <c r="A3283" s="4"/>
      <c r="B3283" s="4"/>
    </row>
    <row r="3284" spans="1:2" x14ac:dyDescent="0.2">
      <c r="A3284" s="4"/>
      <c r="B3284" s="4"/>
    </row>
    <row r="3285" spans="1:2" x14ac:dyDescent="0.2">
      <c r="A3285" s="4"/>
      <c r="B3285" s="4"/>
    </row>
    <row r="3286" spans="1:2" x14ac:dyDescent="0.2">
      <c r="A3286" s="4"/>
      <c r="B3286" s="4"/>
    </row>
    <row r="3287" spans="1:2" x14ac:dyDescent="0.2">
      <c r="A3287" s="4"/>
      <c r="B3287" s="4"/>
    </row>
    <row r="3288" spans="1:2" x14ac:dyDescent="0.2">
      <c r="A3288" s="4"/>
      <c r="B3288" s="4"/>
    </row>
    <row r="3289" spans="1:2" x14ac:dyDescent="0.2">
      <c r="A3289" s="4"/>
      <c r="B3289" s="4"/>
    </row>
    <row r="3290" spans="1:2" x14ac:dyDescent="0.2">
      <c r="A3290" s="4"/>
      <c r="B3290" s="4"/>
    </row>
    <row r="3291" spans="1:2" x14ac:dyDescent="0.2">
      <c r="A3291" s="4"/>
      <c r="B3291" s="4"/>
    </row>
    <row r="3292" spans="1:2" x14ac:dyDescent="0.2">
      <c r="A3292" s="4"/>
      <c r="B3292" s="4"/>
    </row>
    <row r="3293" spans="1:2" x14ac:dyDescent="0.2">
      <c r="A3293" s="4"/>
      <c r="B3293" s="4"/>
    </row>
    <row r="3294" spans="1:2" x14ac:dyDescent="0.2">
      <c r="A3294" s="4"/>
      <c r="B3294" s="4"/>
    </row>
    <row r="3295" spans="1:2" x14ac:dyDescent="0.2">
      <c r="A3295" s="4"/>
      <c r="B3295" s="4"/>
    </row>
    <row r="3296" spans="1:2" x14ac:dyDescent="0.2">
      <c r="A3296" s="4"/>
      <c r="B3296" s="4"/>
    </row>
    <row r="3297" spans="1:2" x14ac:dyDescent="0.2">
      <c r="A3297" s="4"/>
      <c r="B3297" s="4"/>
    </row>
    <row r="3298" spans="1:2" x14ac:dyDescent="0.2">
      <c r="A3298" s="4"/>
      <c r="B3298" s="4"/>
    </row>
    <row r="3299" spans="1:2" x14ac:dyDescent="0.2">
      <c r="A3299" s="4"/>
      <c r="B3299" s="4"/>
    </row>
    <row r="3300" spans="1:2" x14ac:dyDescent="0.2">
      <c r="A3300" s="4"/>
      <c r="B3300" s="4"/>
    </row>
    <row r="3301" spans="1:2" x14ac:dyDescent="0.2">
      <c r="A3301" s="4"/>
      <c r="B3301" s="4"/>
    </row>
    <row r="3302" spans="1:2" x14ac:dyDescent="0.2">
      <c r="A3302" s="4"/>
      <c r="B3302" s="4"/>
    </row>
    <row r="3303" spans="1:2" x14ac:dyDescent="0.2">
      <c r="A3303" s="4"/>
      <c r="B3303" s="4"/>
    </row>
    <row r="3304" spans="1:2" x14ac:dyDescent="0.2">
      <c r="A3304" s="4"/>
      <c r="B3304" s="4"/>
    </row>
    <row r="3305" spans="1:2" x14ac:dyDescent="0.2">
      <c r="A3305" s="4"/>
      <c r="B3305" s="4"/>
    </row>
    <row r="3306" spans="1:2" x14ac:dyDescent="0.2">
      <c r="A3306" s="4"/>
      <c r="B3306" s="4"/>
    </row>
    <row r="3307" spans="1:2" x14ac:dyDescent="0.2">
      <c r="A3307" s="4"/>
      <c r="B3307" s="4"/>
    </row>
    <row r="3308" spans="1:2" x14ac:dyDescent="0.2">
      <c r="A3308" s="4"/>
      <c r="B3308" s="4"/>
    </row>
    <row r="3309" spans="1:2" x14ac:dyDescent="0.2">
      <c r="A3309" s="4"/>
      <c r="B3309" s="4"/>
    </row>
    <row r="3310" spans="1:2" x14ac:dyDescent="0.2">
      <c r="A3310" s="4"/>
      <c r="B3310" s="4"/>
    </row>
    <row r="3311" spans="1:2" x14ac:dyDescent="0.2">
      <c r="A3311" s="4"/>
      <c r="B3311" s="4"/>
    </row>
    <row r="3312" spans="1:2" x14ac:dyDescent="0.2">
      <c r="A3312" s="4"/>
      <c r="B3312" s="4"/>
    </row>
    <row r="3313" spans="1:2" x14ac:dyDescent="0.2">
      <c r="A3313" s="4"/>
      <c r="B3313" s="4"/>
    </row>
    <row r="3314" spans="1:2" x14ac:dyDescent="0.2">
      <c r="A3314" s="4"/>
      <c r="B3314" s="4"/>
    </row>
    <row r="3315" spans="1:2" x14ac:dyDescent="0.2">
      <c r="A3315" s="4"/>
      <c r="B3315" s="4"/>
    </row>
    <row r="3316" spans="1:2" x14ac:dyDescent="0.2">
      <c r="A3316" s="4"/>
      <c r="B3316" s="4"/>
    </row>
    <row r="3317" spans="1:2" x14ac:dyDescent="0.2">
      <c r="A3317" s="4"/>
      <c r="B3317" s="4"/>
    </row>
    <row r="3318" spans="1:2" x14ac:dyDescent="0.2">
      <c r="A3318" s="4"/>
      <c r="B3318" s="4"/>
    </row>
    <row r="3319" spans="1:2" x14ac:dyDescent="0.2">
      <c r="A3319" s="4"/>
      <c r="B3319" s="4"/>
    </row>
    <row r="3320" spans="1:2" x14ac:dyDescent="0.2">
      <c r="A3320" s="4"/>
      <c r="B3320" s="4"/>
    </row>
    <row r="3321" spans="1:2" x14ac:dyDescent="0.2">
      <c r="A3321" s="4"/>
      <c r="B3321" s="4"/>
    </row>
    <row r="3322" spans="1:2" x14ac:dyDescent="0.2">
      <c r="A3322" s="4"/>
      <c r="B3322" s="4"/>
    </row>
    <row r="3323" spans="1:2" x14ac:dyDescent="0.2">
      <c r="A3323" s="4"/>
      <c r="B3323" s="4"/>
    </row>
    <row r="3324" spans="1:2" x14ac:dyDescent="0.2">
      <c r="A3324" s="4"/>
      <c r="B3324" s="4"/>
    </row>
    <row r="3325" spans="1:2" x14ac:dyDescent="0.2">
      <c r="A3325" s="4"/>
      <c r="B3325" s="4"/>
    </row>
    <row r="3326" spans="1:2" x14ac:dyDescent="0.2">
      <c r="A3326" s="4"/>
      <c r="B3326" s="4"/>
    </row>
    <row r="3327" spans="1:2" x14ac:dyDescent="0.2">
      <c r="A3327" s="4"/>
      <c r="B3327" s="4"/>
    </row>
    <row r="3328" spans="1:2" x14ac:dyDescent="0.2">
      <c r="A3328" s="4"/>
      <c r="B3328" s="4"/>
    </row>
    <row r="3329" spans="1:2" x14ac:dyDescent="0.2">
      <c r="A3329" s="4"/>
      <c r="B3329" s="4"/>
    </row>
    <row r="3330" spans="1:2" x14ac:dyDescent="0.2">
      <c r="A3330" s="4"/>
      <c r="B3330" s="4"/>
    </row>
    <row r="3331" spans="1:2" x14ac:dyDescent="0.2">
      <c r="A3331" s="4"/>
      <c r="B3331" s="4"/>
    </row>
    <row r="3332" spans="1:2" x14ac:dyDescent="0.2">
      <c r="A3332" s="4"/>
      <c r="B3332" s="4"/>
    </row>
    <row r="3333" spans="1:2" x14ac:dyDescent="0.2">
      <c r="A3333" s="4"/>
      <c r="B3333" s="4"/>
    </row>
    <row r="3334" spans="1:2" x14ac:dyDescent="0.2">
      <c r="A3334" s="4"/>
      <c r="B3334" s="4"/>
    </row>
    <row r="3335" spans="1:2" x14ac:dyDescent="0.2">
      <c r="A3335" s="4"/>
      <c r="B3335" s="4"/>
    </row>
    <row r="3336" spans="1:2" x14ac:dyDescent="0.2">
      <c r="A3336" s="4"/>
      <c r="B3336" s="4"/>
    </row>
    <row r="3337" spans="1:2" x14ac:dyDescent="0.2">
      <c r="A3337" s="4"/>
      <c r="B3337" s="4"/>
    </row>
    <row r="3338" spans="1:2" x14ac:dyDescent="0.2">
      <c r="A3338" s="4"/>
      <c r="B3338" s="4"/>
    </row>
    <row r="3339" spans="1:2" x14ac:dyDescent="0.2">
      <c r="A3339" s="4"/>
      <c r="B3339" s="4"/>
    </row>
    <row r="3340" spans="1:2" x14ac:dyDescent="0.2">
      <c r="A3340" s="4"/>
      <c r="B3340" s="4"/>
    </row>
    <row r="3341" spans="1:2" x14ac:dyDescent="0.2">
      <c r="A3341" s="4"/>
      <c r="B3341" s="4"/>
    </row>
    <row r="3342" spans="1:2" x14ac:dyDescent="0.2">
      <c r="A3342" s="4"/>
      <c r="B3342" s="4"/>
    </row>
    <row r="3343" spans="1:2" x14ac:dyDescent="0.2">
      <c r="A3343" s="4"/>
      <c r="B3343" s="4"/>
    </row>
    <row r="3344" spans="1:2" x14ac:dyDescent="0.2">
      <c r="A3344" s="4"/>
      <c r="B3344" s="4"/>
    </row>
    <row r="3345" spans="1:2" x14ac:dyDescent="0.2">
      <c r="A3345" s="4"/>
      <c r="B3345" s="4"/>
    </row>
    <row r="3346" spans="1:2" x14ac:dyDescent="0.2">
      <c r="A3346" s="4"/>
      <c r="B3346" s="4"/>
    </row>
    <row r="3347" spans="1:2" x14ac:dyDescent="0.2">
      <c r="A3347" s="4"/>
      <c r="B3347" s="4"/>
    </row>
    <row r="3348" spans="1:2" x14ac:dyDescent="0.2">
      <c r="A3348" s="4"/>
      <c r="B3348" s="4"/>
    </row>
    <row r="3349" spans="1:2" x14ac:dyDescent="0.2">
      <c r="A3349" s="4"/>
      <c r="B3349" s="4"/>
    </row>
    <row r="3350" spans="1:2" x14ac:dyDescent="0.2">
      <c r="A3350" s="4"/>
      <c r="B3350" s="4"/>
    </row>
    <row r="3351" spans="1:2" x14ac:dyDescent="0.2">
      <c r="A3351" s="4"/>
      <c r="B3351" s="4"/>
    </row>
    <row r="3352" spans="1:2" x14ac:dyDescent="0.2">
      <c r="A3352" s="4"/>
      <c r="B3352" s="4"/>
    </row>
    <row r="3353" spans="1:2" x14ac:dyDescent="0.2">
      <c r="A3353" s="4"/>
      <c r="B3353" s="4"/>
    </row>
    <row r="3354" spans="1:2" x14ac:dyDescent="0.2">
      <c r="A3354" s="4"/>
      <c r="B3354" s="4"/>
    </row>
    <row r="3355" spans="1:2" x14ac:dyDescent="0.2">
      <c r="A3355" s="4"/>
      <c r="B3355" s="4"/>
    </row>
    <row r="3356" spans="1:2" x14ac:dyDescent="0.2">
      <c r="A3356" s="4"/>
      <c r="B3356" s="4"/>
    </row>
    <row r="3357" spans="1:2" x14ac:dyDescent="0.2">
      <c r="A3357" s="4"/>
      <c r="B3357" s="4"/>
    </row>
    <row r="3358" spans="1:2" x14ac:dyDescent="0.2">
      <c r="A3358" s="4"/>
      <c r="B3358" s="4"/>
    </row>
    <row r="3359" spans="1:2" x14ac:dyDescent="0.2">
      <c r="A3359" s="4"/>
      <c r="B3359" s="4"/>
    </row>
    <row r="3360" spans="1:2" x14ac:dyDescent="0.2">
      <c r="A3360" s="4"/>
      <c r="B3360" s="4"/>
    </row>
    <row r="3361" spans="1:2" x14ac:dyDescent="0.2">
      <c r="A3361" s="4"/>
      <c r="B3361" s="4"/>
    </row>
    <row r="3362" spans="1:2" x14ac:dyDescent="0.2">
      <c r="A3362" s="4"/>
      <c r="B3362" s="4"/>
    </row>
    <row r="3363" spans="1:2" x14ac:dyDescent="0.2">
      <c r="A3363" s="4"/>
      <c r="B3363" s="4"/>
    </row>
    <row r="3364" spans="1:2" x14ac:dyDescent="0.2">
      <c r="A3364" s="4"/>
      <c r="B3364" s="4"/>
    </row>
    <row r="3365" spans="1:2" x14ac:dyDescent="0.2">
      <c r="A3365" s="4"/>
      <c r="B3365" s="4"/>
    </row>
    <row r="3366" spans="1:2" x14ac:dyDescent="0.2">
      <c r="A3366" s="4"/>
      <c r="B3366" s="4"/>
    </row>
    <row r="3367" spans="1:2" x14ac:dyDescent="0.2">
      <c r="A3367" s="4"/>
      <c r="B3367" s="4"/>
    </row>
    <row r="3368" spans="1:2" x14ac:dyDescent="0.2">
      <c r="A3368" s="4"/>
      <c r="B3368" s="4"/>
    </row>
    <row r="3369" spans="1:2" x14ac:dyDescent="0.2">
      <c r="A3369" s="4"/>
      <c r="B3369" s="4"/>
    </row>
    <row r="3370" spans="1:2" x14ac:dyDescent="0.2">
      <c r="A3370" s="4"/>
      <c r="B3370" s="4"/>
    </row>
    <row r="3371" spans="1:2" x14ac:dyDescent="0.2">
      <c r="A3371" s="4"/>
      <c r="B3371" s="4"/>
    </row>
    <row r="3372" spans="1:2" x14ac:dyDescent="0.2">
      <c r="A3372" s="4"/>
      <c r="B3372" s="4"/>
    </row>
    <row r="3373" spans="1:2" x14ac:dyDescent="0.2">
      <c r="A3373" s="4"/>
      <c r="B3373" s="4"/>
    </row>
    <row r="3374" spans="1:2" x14ac:dyDescent="0.2">
      <c r="A3374" s="4"/>
      <c r="B3374" s="4"/>
    </row>
    <row r="3375" spans="1:2" x14ac:dyDescent="0.2">
      <c r="A3375" s="4"/>
      <c r="B3375" s="4"/>
    </row>
    <row r="3376" spans="1:2" x14ac:dyDescent="0.2">
      <c r="A3376" s="4"/>
      <c r="B3376" s="4"/>
    </row>
    <row r="3377" spans="1:2" x14ac:dyDescent="0.2">
      <c r="A3377" s="4"/>
      <c r="B3377" s="4"/>
    </row>
    <row r="3378" spans="1:2" x14ac:dyDescent="0.2">
      <c r="A3378" s="4"/>
      <c r="B3378" s="4"/>
    </row>
    <row r="3379" spans="1:2" x14ac:dyDescent="0.2">
      <c r="A3379" s="4"/>
      <c r="B3379" s="4"/>
    </row>
    <row r="3380" spans="1:2" x14ac:dyDescent="0.2">
      <c r="A3380" s="4"/>
      <c r="B3380" s="4"/>
    </row>
    <row r="3381" spans="1:2" x14ac:dyDescent="0.2">
      <c r="A3381" s="4"/>
      <c r="B3381" s="4"/>
    </row>
    <row r="3382" spans="1:2" x14ac:dyDescent="0.2">
      <c r="A3382" s="4"/>
      <c r="B3382" s="4"/>
    </row>
    <row r="3383" spans="1:2" x14ac:dyDescent="0.2">
      <c r="A3383" s="4"/>
      <c r="B3383" s="4"/>
    </row>
    <row r="3384" spans="1:2" x14ac:dyDescent="0.2">
      <c r="A3384" s="4"/>
      <c r="B3384" s="4"/>
    </row>
    <row r="3385" spans="1:2" x14ac:dyDescent="0.2">
      <c r="A3385" s="4"/>
      <c r="B3385" s="4"/>
    </row>
    <row r="3386" spans="1:2" x14ac:dyDescent="0.2">
      <c r="A3386" s="4"/>
      <c r="B3386" s="4"/>
    </row>
    <row r="3387" spans="1:2" x14ac:dyDescent="0.2">
      <c r="A3387" s="4"/>
      <c r="B3387" s="4"/>
    </row>
    <row r="3388" spans="1:2" x14ac:dyDescent="0.2">
      <c r="A3388" s="4"/>
      <c r="B3388" s="4"/>
    </row>
    <row r="3389" spans="1:2" x14ac:dyDescent="0.2">
      <c r="A3389" s="4"/>
      <c r="B3389" s="4"/>
    </row>
    <row r="3390" spans="1:2" x14ac:dyDescent="0.2">
      <c r="A3390" s="4"/>
      <c r="B3390" s="4"/>
    </row>
    <row r="3391" spans="1:2" x14ac:dyDescent="0.2">
      <c r="A3391" s="4"/>
      <c r="B3391" s="4"/>
    </row>
    <row r="3392" spans="1:2" x14ac:dyDescent="0.2">
      <c r="A3392" s="4"/>
      <c r="B3392" s="4"/>
    </row>
    <row r="3393" spans="1:2" x14ac:dyDescent="0.2">
      <c r="A3393" s="4"/>
      <c r="B3393" s="4"/>
    </row>
    <row r="3394" spans="1:2" x14ac:dyDescent="0.2">
      <c r="A3394" s="4"/>
      <c r="B3394" s="4"/>
    </row>
    <row r="3395" spans="1:2" x14ac:dyDescent="0.2">
      <c r="A3395" s="4"/>
      <c r="B3395" s="4"/>
    </row>
    <row r="3396" spans="1:2" x14ac:dyDescent="0.2">
      <c r="A3396" s="4"/>
      <c r="B3396" s="4"/>
    </row>
    <row r="3397" spans="1:2" x14ac:dyDescent="0.2">
      <c r="A3397" s="4"/>
      <c r="B3397" s="4"/>
    </row>
    <row r="3398" spans="1:2" x14ac:dyDescent="0.2">
      <c r="A3398" s="4"/>
      <c r="B3398" s="4"/>
    </row>
    <row r="3399" spans="1:2" x14ac:dyDescent="0.2">
      <c r="A3399" s="4"/>
      <c r="B3399" s="4"/>
    </row>
    <row r="3400" spans="1:2" x14ac:dyDescent="0.2">
      <c r="A3400" s="4"/>
      <c r="B3400" s="4"/>
    </row>
    <row r="3401" spans="1:2" x14ac:dyDescent="0.2">
      <c r="A3401" s="4"/>
      <c r="B3401" s="4"/>
    </row>
    <row r="3402" spans="1:2" x14ac:dyDescent="0.2">
      <c r="A3402" s="4"/>
      <c r="B3402" s="4"/>
    </row>
    <row r="3403" spans="1:2" x14ac:dyDescent="0.2">
      <c r="A3403" s="4"/>
      <c r="B3403" s="4"/>
    </row>
    <row r="3404" spans="1:2" x14ac:dyDescent="0.2">
      <c r="A3404" s="4"/>
      <c r="B3404" s="4"/>
    </row>
    <row r="3405" spans="1:2" x14ac:dyDescent="0.2">
      <c r="A3405" s="4"/>
      <c r="B3405" s="4"/>
    </row>
    <row r="3406" spans="1:2" x14ac:dyDescent="0.2">
      <c r="A3406" s="4"/>
      <c r="B3406" s="4"/>
    </row>
    <row r="3407" spans="1:2" x14ac:dyDescent="0.2">
      <c r="A3407" s="4"/>
      <c r="B3407" s="4"/>
    </row>
    <row r="3408" spans="1:2" x14ac:dyDescent="0.2">
      <c r="A3408" s="4"/>
      <c r="B3408" s="4"/>
    </row>
    <row r="3409" spans="1:2" x14ac:dyDescent="0.2">
      <c r="A3409" s="4"/>
      <c r="B3409" s="4"/>
    </row>
    <row r="3410" spans="1:2" x14ac:dyDescent="0.2">
      <c r="A3410" s="4"/>
      <c r="B3410" s="4"/>
    </row>
    <row r="3411" spans="1:2" x14ac:dyDescent="0.2">
      <c r="A3411" s="4"/>
      <c r="B3411" s="4"/>
    </row>
    <row r="3412" spans="1:2" x14ac:dyDescent="0.2">
      <c r="A3412" s="4"/>
      <c r="B3412" s="4"/>
    </row>
    <row r="3413" spans="1:2" x14ac:dyDescent="0.2">
      <c r="A3413" s="4"/>
      <c r="B3413" s="4"/>
    </row>
    <row r="3414" spans="1:2" x14ac:dyDescent="0.2">
      <c r="A3414" s="4"/>
      <c r="B3414" s="4"/>
    </row>
    <row r="3415" spans="1:2" x14ac:dyDescent="0.2">
      <c r="A3415" s="4"/>
      <c r="B3415" s="4"/>
    </row>
    <row r="3416" spans="1:2" x14ac:dyDescent="0.2">
      <c r="A3416" s="4"/>
      <c r="B3416" s="4"/>
    </row>
    <row r="3417" spans="1:2" x14ac:dyDescent="0.2">
      <c r="A3417" s="4"/>
      <c r="B3417" s="4"/>
    </row>
    <row r="3418" spans="1:2" x14ac:dyDescent="0.2">
      <c r="A3418" s="4"/>
      <c r="B3418" s="4"/>
    </row>
    <row r="3419" spans="1:2" x14ac:dyDescent="0.2">
      <c r="A3419" s="4"/>
      <c r="B3419" s="4"/>
    </row>
    <row r="3420" spans="1:2" x14ac:dyDescent="0.2">
      <c r="A3420" s="4"/>
      <c r="B3420" s="4"/>
    </row>
    <row r="3421" spans="1:2" x14ac:dyDescent="0.2">
      <c r="A3421" s="4"/>
      <c r="B3421" s="4"/>
    </row>
    <row r="3422" spans="1:2" x14ac:dyDescent="0.2">
      <c r="A3422" s="4"/>
      <c r="B3422" s="4"/>
    </row>
    <row r="3423" spans="1:2" x14ac:dyDescent="0.2">
      <c r="A3423" s="4"/>
      <c r="B3423" s="4"/>
    </row>
    <row r="3424" spans="1:2" x14ac:dyDescent="0.2">
      <c r="A3424" s="4"/>
      <c r="B3424" s="4"/>
    </row>
    <row r="3425" spans="1:2" x14ac:dyDescent="0.2">
      <c r="A3425" s="4"/>
      <c r="B3425" s="4"/>
    </row>
    <row r="3426" spans="1:2" x14ac:dyDescent="0.2">
      <c r="A3426" s="4"/>
      <c r="B3426" s="4"/>
    </row>
    <row r="3427" spans="1:2" x14ac:dyDescent="0.2">
      <c r="A3427" s="4"/>
      <c r="B3427" s="4"/>
    </row>
    <row r="3428" spans="1:2" x14ac:dyDescent="0.2">
      <c r="A3428" s="4"/>
      <c r="B3428" s="4"/>
    </row>
    <row r="3429" spans="1:2" x14ac:dyDescent="0.2">
      <c r="A3429" s="4"/>
      <c r="B3429" s="4"/>
    </row>
    <row r="3430" spans="1:2" x14ac:dyDescent="0.2">
      <c r="A3430" s="4"/>
      <c r="B3430" s="4"/>
    </row>
    <row r="3431" spans="1:2" x14ac:dyDescent="0.2">
      <c r="A3431" s="4"/>
      <c r="B3431" s="4"/>
    </row>
    <row r="3432" spans="1:2" x14ac:dyDescent="0.2">
      <c r="A3432" s="4"/>
      <c r="B3432" s="4"/>
    </row>
    <row r="3433" spans="1:2" x14ac:dyDescent="0.2">
      <c r="A3433" s="4"/>
      <c r="B3433" s="4"/>
    </row>
    <row r="3434" spans="1:2" x14ac:dyDescent="0.2">
      <c r="A3434" s="4"/>
      <c r="B3434" s="4"/>
    </row>
    <row r="3435" spans="1:2" x14ac:dyDescent="0.2">
      <c r="A3435" s="4"/>
      <c r="B3435" s="4"/>
    </row>
    <row r="3436" spans="1:2" x14ac:dyDescent="0.2">
      <c r="A3436" s="4"/>
      <c r="B3436" s="4"/>
    </row>
    <row r="3437" spans="1:2" x14ac:dyDescent="0.2">
      <c r="A3437" s="4"/>
      <c r="B3437" s="4"/>
    </row>
    <row r="3438" spans="1:2" x14ac:dyDescent="0.2">
      <c r="A3438" s="4"/>
      <c r="B3438" s="4"/>
    </row>
    <row r="3439" spans="1:2" x14ac:dyDescent="0.2">
      <c r="A3439" s="4"/>
      <c r="B3439" s="4"/>
    </row>
    <row r="3440" spans="1:2" x14ac:dyDescent="0.2">
      <c r="A3440" s="4"/>
      <c r="B3440" s="4"/>
    </row>
    <row r="3441" spans="1:2" x14ac:dyDescent="0.2">
      <c r="A3441" s="4"/>
      <c r="B3441" s="4"/>
    </row>
    <row r="3442" spans="1:2" x14ac:dyDescent="0.2">
      <c r="A3442" s="4"/>
      <c r="B3442" s="4"/>
    </row>
    <row r="3443" spans="1:2" x14ac:dyDescent="0.2">
      <c r="A3443" s="4"/>
      <c r="B3443" s="4"/>
    </row>
    <row r="3444" spans="1:2" x14ac:dyDescent="0.2">
      <c r="A3444" s="4"/>
      <c r="B3444" s="4"/>
    </row>
    <row r="3445" spans="1:2" x14ac:dyDescent="0.2">
      <c r="A3445" s="4"/>
      <c r="B3445" s="4"/>
    </row>
    <row r="3446" spans="1:2" x14ac:dyDescent="0.2">
      <c r="A3446" s="4"/>
      <c r="B3446" s="4"/>
    </row>
    <row r="3447" spans="1:2" x14ac:dyDescent="0.2">
      <c r="A3447" s="4"/>
      <c r="B3447" s="4"/>
    </row>
    <row r="3448" spans="1:2" x14ac:dyDescent="0.2">
      <c r="A3448" s="4"/>
      <c r="B3448" s="4"/>
    </row>
    <row r="3449" spans="1:2" x14ac:dyDescent="0.2">
      <c r="A3449" s="4"/>
      <c r="B3449" s="4"/>
    </row>
    <row r="3450" spans="1:2" x14ac:dyDescent="0.2">
      <c r="A3450" s="4"/>
      <c r="B3450" s="4"/>
    </row>
    <row r="3451" spans="1:2" x14ac:dyDescent="0.2">
      <c r="A3451" s="4"/>
      <c r="B3451" s="4"/>
    </row>
    <row r="3452" spans="1:2" x14ac:dyDescent="0.2">
      <c r="A3452" s="4"/>
      <c r="B3452" s="4"/>
    </row>
    <row r="3453" spans="1:2" x14ac:dyDescent="0.2">
      <c r="A3453" s="4"/>
      <c r="B3453" s="4"/>
    </row>
    <row r="3454" spans="1:2" x14ac:dyDescent="0.2">
      <c r="A3454" s="4"/>
      <c r="B3454" s="4"/>
    </row>
    <row r="3455" spans="1:2" x14ac:dyDescent="0.2">
      <c r="A3455" s="4"/>
      <c r="B3455" s="4"/>
    </row>
    <row r="3456" spans="1:2" x14ac:dyDescent="0.2">
      <c r="A3456" s="4"/>
      <c r="B3456" s="4"/>
    </row>
    <row r="3457" spans="1:2" x14ac:dyDescent="0.2">
      <c r="A3457" s="4"/>
      <c r="B3457" s="4"/>
    </row>
    <row r="3458" spans="1:2" x14ac:dyDescent="0.2">
      <c r="A3458" s="4"/>
      <c r="B3458" s="4"/>
    </row>
    <row r="3459" spans="1:2" x14ac:dyDescent="0.2">
      <c r="A3459" s="4"/>
      <c r="B3459" s="4"/>
    </row>
    <row r="3460" spans="1:2" x14ac:dyDescent="0.2">
      <c r="A3460" s="4"/>
      <c r="B3460" s="4"/>
    </row>
    <row r="3461" spans="1:2" x14ac:dyDescent="0.2">
      <c r="A3461" s="4"/>
      <c r="B3461" s="4"/>
    </row>
    <row r="3462" spans="1:2" x14ac:dyDescent="0.2">
      <c r="A3462" s="4"/>
      <c r="B3462" s="4"/>
    </row>
    <row r="3463" spans="1:2" x14ac:dyDescent="0.2">
      <c r="A3463" s="4"/>
      <c r="B3463" s="4"/>
    </row>
    <row r="3464" spans="1:2" x14ac:dyDescent="0.2">
      <c r="A3464" s="4"/>
      <c r="B3464" s="4"/>
    </row>
    <row r="3465" spans="1:2" x14ac:dyDescent="0.2">
      <c r="A3465" s="4"/>
      <c r="B3465" s="4"/>
    </row>
    <row r="3466" spans="1:2" x14ac:dyDescent="0.2">
      <c r="A3466" s="4"/>
      <c r="B3466" s="4"/>
    </row>
    <row r="3467" spans="1:2" x14ac:dyDescent="0.2">
      <c r="A3467" s="4"/>
      <c r="B3467" s="4"/>
    </row>
    <row r="3468" spans="1:2" x14ac:dyDescent="0.2">
      <c r="A3468" s="4"/>
      <c r="B3468" s="4"/>
    </row>
    <row r="3469" spans="1:2" x14ac:dyDescent="0.2">
      <c r="A3469" s="4"/>
      <c r="B3469" s="4"/>
    </row>
    <row r="3470" spans="1:2" x14ac:dyDescent="0.2">
      <c r="A3470" s="4"/>
      <c r="B3470" s="4"/>
    </row>
    <row r="3471" spans="1:2" x14ac:dyDescent="0.2">
      <c r="A3471" s="4"/>
      <c r="B3471" s="4"/>
    </row>
    <row r="3472" spans="1:2" x14ac:dyDescent="0.2">
      <c r="A3472" s="4"/>
      <c r="B3472" s="4"/>
    </row>
    <row r="3473" spans="1:2" x14ac:dyDescent="0.2">
      <c r="A3473" s="4"/>
      <c r="B3473" s="4"/>
    </row>
    <row r="3474" spans="1:2" x14ac:dyDescent="0.2">
      <c r="A3474" s="4"/>
      <c r="B3474" s="4"/>
    </row>
    <row r="3475" spans="1:2" x14ac:dyDescent="0.2">
      <c r="A3475" s="4"/>
      <c r="B3475" s="4"/>
    </row>
    <row r="3476" spans="1:2" x14ac:dyDescent="0.2">
      <c r="A3476" s="4"/>
      <c r="B3476" s="4"/>
    </row>
    <row r="3477" spans="1:2" x14ac:dyDescent="0.2">
      <c r="A3477" s="4"/>
      <c r="B3477" s="4"/>
    </row>
    <row r="3478" spans="1:2" x14ac:dyDescent="0.2">
      <c r="A3478" s="4"/>
      <c r="B3478" s="4"/>
    </row>
    <row r="3479" spans="1:2" x14ac:dyDescent="0.2">
      <c r="A3479" s="4"/>
      <c r="B3479" s="4"/>
    </row>
    <row r="3480" spans="1:2" x14ac:dyDescent="0.2">
      <c r="A3480" s="4"/>
      <c r="B3480" s="4"/>
    </row>
    <row r="3481" spans="1:2" x14ac:dyDescent="0.2">
      <c r="A3481" s="4"/>
      <c r="B3481" s="4"/>
    </row>
    <row r="3482" spans="1:2" x14ac:dyDescent="0.2">
      <c r="A3482" s="4"/>
      <c r="B3482" s="4"/>
    </row>
    <row r="3483" spans="1:2" x14ac:dyDescent="0.2">
      <c r="A3483" s="4"/>
      <c r="B3483" s="4"/>
    </row>
    <row r="3484" spans="1:2" x14ac:dyDescent="0.2">
      <c r="A3484" s="4"/>
      <c r="B3484" s="4"/>
    </row>
    <row r="3485" spans="1:2" x14ac:dyDescent="0.2">
      <c r="A3485" s="4"/>
      <c r="B3485" s="4"/>
    </row>
    <row r="3486" spans="1:2" x14ac:dyDescent="0.2">
      <c r="A3486" s="4"/>
      <c r="B3486" s="4"/>
    </row>
    <row r="3487" spans="1:2" x14ac:dyDescent="0.2">
      <c r="A3487" s="4"/>
      <c r="B3487" s="4"/>
    </row>
    <row r="3488" spans="1:2" x14ac:dyDescent="0.2">
      <c r="A3488" s="4"/>
      <c r="B3488" s="4"/>
    </row>
    <row r="3489" spans="1:2" x14ac:dyDescent="0.2">
      <c r="A3489" s="4"/>
      <c r="B3489" s="4"/>
    </row>
    <row r="3490" spans="1:2" x14ac:dyDescent="0.2">
      <c r="A3490" s="4"/>
      <c r="B3490" s="4"/>
    </row>
    <row r="3491" spans="1:2" x14ac:dyDescent="0.2">
      <c r="A3491" s="4"/>
      <c r="B3491" s="4"/>
    </row>
    <row r="3492" spans="1:2" x14ac:dyDescent="0.2">
      <c r="A3492" s="4"/>
      <c r="B3492" s="4"/>
    </row>
    <row r="3493" spans="1:2" x14ac:dyDescent="0.2">
      <c r="A3493" s="4"/>
      <c r="B3493" s="4"/>
    </row>
    <row r="3494" spans="1:2" x14ac:dyDescent="0.2">
      <c r="A3494" s="4"/>
      <c r="B3494" s="4"/>
    </row>
    <row r="3495" spans="1:2" x14ac:dyDescent="0.2">
      <c r="A3495" s="4"/>
      <c r="B3495" s="4"/>
    </row>
    <row r="3496" spans="1:2" x14ac:dyDescent="0.2">
      <c r="A3496" s="4"/>
      <c r="B3496" s="4"/>
    </row>
    <row r="3497" spans="1:2" x14ac:dyDescent="0.2">
      <c r="A3497" s="4"/>
      <c r="B3497" s="4"/>
    </row>
    <row r="3498" spans="1:2" x14ac:dyDescent="0.2">
      <c r="A3498" s="4"/>
      <c r="B3498" s="4"/>
    </row>
    <row r="3499" spans="1:2" x14ac:dyDescent="0.2">
      <c r="A3499" s="4"/>
      <c r="B3499" s="4"/>
    </row>
    <row r="3500" spans="1:2" x14ac:dyDescent="0.2">
      <c r="A3500" s="4"/>
      <c r="B3500" s="4"/>
    </row>
    <row r="3501" spans="1:2" x14ac:dyDescent="0.2">
      <c r="A3501" s="4"/>
      <c r="B3501" s="4"/>
    </row>
    <row r="3502" spans="1:2" x14ac:dyDescent="0.2">
      <c r="A3502" s="4"/>
      <c r="B3502" s="4"/>
    </row>
    <row r="3503" spans="1:2" x14ac:dyDescent="0.2">
      <c r="A3503" s="4"/>
      <c r="B3503" s="4"/>
    </row>
    <row r="3504" spans="1:2" x14ac:dyDescent="0.2">
      <c r="A3504" s="4"/>
      <c r="B3504" s="4"/>
    </row>
    <row r="3505" spans="1:2" x14ac:dyDescent="0.2">
      <c r="A3505" s="4"/>
      <c r="B3505" s="4"/>
    </row>
    <row r="3506" spans="1:2" x14ac:dyDescent="0.2">
      <c r="A3506" s="4"/>
      <c r="B3506" s="4"/>
    </row>
    <row r="3507" spans="1:2" x14ac:dyDescent="0.2">
      <c r="A3507" s="4"/>
      <c r="B3507" s="4"/>
    </row>
    <row r="3508" spans="1:2" x14ac:dyDescent="0.2">
      <c r="A3508" s="4"/>
      <c r="B3508" s="4"/>
    </row>
    <row r="3509" spans="1:2" x14ac:dyDescent="0.2">
      <c r="A3509" s="4"/>
      <c r="B3509" s="4"/>
    </row>
    <row r="3510" spans="1:2" x14ac:dyDescent="0.2">
      <c r="A3510" s="4"/>
      <c r="B3510" s="4"/>
    </row>
    <row r="3511" spans="1:2" x14ac:dyDescent="0.2">
      <c r="A3511" s="4"/>
      <c r="B3511" s="4"/>
    </row>
    <row r="3512" spans="1:2" x14ac:dyDescent="0.2">
      <c r="A3512" s="4"/>
      <c r="B3512" s="4"/>
    </row>
    <row r="3513" spans="1:2" x14ac:dyDescent="0.2">
      <c r="A3513" s="4"/>
      <c r="B3513" s="4"/>
    </row>
    <row r="3514" spans="1:2" x14ac:dyDescent="0.2">
      <c r="A3514" s="4"/>
      <c r="B3514" s="4"/>
    </row>
    <row r="3515" spans="1:2" x14ac:dyDescent="0.2">
      <c r="A3515" s="4"/>
      <c r="B3515" s="4"/>
    </row>
    <row r="3516" spans="1:2" x14ac:dyDescent="0.2">
      <c r="A3516" s="4"/>
      <c r="B3516" s="4"/>
    </row>
    <row r="3517" spans="1:2" x14ac:dyDescent="0.2">
      <c r="A3517" s="4"/>
      <c r="B3517" s="4"/>
    </row>
    <row r="3518" spans="1:2" x14ac:dyDescent="0.2">
      <c r="A3518" s="4"/>
      <c r="B3518" s="4"/>
    </row>
    <row r="3519" spans="1:2" x14ac:dyDescent="0.2">
      <c r="A3519" s="4"/>
      <c r="B3519" s="4"/>
    </row>
    <row r="3520" spans="1:2" x14ac:dyDescent="0.2">
      <c r="A3520" s="4"/>
      <c r="B3520" s="4"/>
    </row>
    <row r="3521" spans="1:2" x14ac:dyDescent="0.2">
      <c r="A3521" s="4"/>
      <c r="B3521" s="4"/>
    </row>
    <row r="3522" spans="1:2" x14ac:dyDescent="0.2">
      <c r="A3522" s="4"/>
      <c r="B3522" s="4"/>
    </row>
    <row r="3523" spans="1:2" x14ac:dyDescent="0.2">
      <c r="A3523" s="4"/>
      <c r="B3523" s="4"/>
    </row>
    <row r="3524" spans="1:2" x14ac:dyDescent="0.2">
      <c r="A3524" s="4"/>
      <c r="B3524" s="4"/>
    </row>
    <row r="3525" spans="1:2" x14ac:dyDescent="0.2">
      <c r="A3525" s="4"/>
      <c r="B3525" s="4"/>
    </row>
    <row r="3526" spans="1:2" x14ac:dyDescent="0.2">
      <c r="A3526" s="4"/>
      <c r="B3526" s="4"/>
    </row>
    <row r="3527" spans="1:2" x14ac:dyDescent="0.2">
      <c r="A3527" s="4"/>
      <c r="B3527" s="4"/>
    </row>
    <row r="3528" spans="1:2" x14ac:dyDescent="0.2">
      <c r="A3528" s="4"/>
      <c r="B3528" s="4"/>
    </row>
    <row r="3529" spans="1:2" x14ac:dyDescent="0.2">
      <c r="A3529" s="4"/>
      <c r="B3529" s="4"/>
    </row>
    <row r="3530" spans="1:2" x14ac:dyDescent="0.2">
      <c r="A3530" s="4"/>
      <c r="B3530" s="4"/>
    </row>
    <row r="3531" spans="1:2" x14ac:dyDescent="0.2">
      <c r="A3531" s="4"/>
      <c r="B3531" s="4"/>
    </row>
    <row r="3532" spans="1:2" x14ac:dyDescent="0.2">
      <c r="A3532" s="4"/>
      <c r="B3532" s="4"/>
    </row>
    <row r="3533" spans="1:2" x14ac:dyDescent="0.2">
      <c r="A3533" s="4"/>
      <c r="B3533" s="4"/>
    </row>
    <row r="3534" spans="1:2" x14ac:dyDescent="0.2">
      <c r="A3534" s="4"/>
      <c r="B3534" s="4"/>
    </row>
    <row r="3535" spans="1:2" x14ac:dyDescent="0.2">
      <c r="A3535" s="4"/>
      <c r="B3535" s="4"/>
    </row>
    <row r="3536" spans="1:2" x14ac:dyDescent="0.2">
      <c r="A3536" s="4"/>
      <c r="B3536" s="4"/>
    </row>
    <row r="3537" spans="1:2" x14ac:dyDescent="0.2">
      <c r="A3537" s="4"/>
      <c r="B3537" s="4"/>
    </row>
    <row r="3538" spans="1:2" x14ac:dyDescent="0.2">
      <c r="A3538" s="4"/>
      <c r="B3538" s="4"/>
    </row>
    <row r="3539" spans="1:2" x14ac:dyDescent="0.2">
      <c r="A3539" s="4"/>
      <c r="B3539" s="4"/>
    </row>
    <row r="3540" spans="1:2" x14ac:dyDescent="0.2">
      <c r="A3540" s="4"/>
      <c r="B3540" s="4"/>
    </row>
    <row r="3541" spans="1:2" x14ac:dyDescent="0.2">
      <c r="A3541" s="4"/>
      <c r="B3541" s="4"/>
    </row>
    <row r="3542" spans="1:2" x14ac:dyDescent="0.2">
      <c r="A3542" s="4"/>
      <c r="B3542" s="4"/>
    </row>
    <row r="3543" spans="1:2" x14ac:dyDescent="0.2">
      <c r="A3543" s="4"/>
      <c r="B3543" s="4"/>
    </row>
    <row r="3544" spans="1:2" x14ac:dyDescent="0.2">
      <c r="A3544" s="4"/>
      <c r="B3544" s="4"/>
    </row>
    <row r="3545" spans="1:2" x14ac:dyDescent="0.2">
      <c r="A3545" s="4"/>
      <c r="B3545" s="4"/>
    </row>
    <row r="3546" spans="1:2" x14ac:dyDescent="0.2">
      <c r="A3546" s="4"/>
      <c r="B3546" s="4"/>
    </row>
    <row r="3547" spans="1:2" x14ac:dyDescent="0.2">
      <c r="A3547" s="4"/>
      <c r="B3547" s="4"/>
    </row>
    <row r="3548" spans="1:2" x14ac:dyDescent="0.2">
      <c r="A3548" s="4"/>
      <c r="B3548" s="4"/>
    </row>
    <row r="3549" spans="1:2" x14ac:dyDescent="0.2">
      <c r="A3549" s="4"/>
      <c r="B3549" s="4"/>
    </row>
    <row r="3550" spans="1:2" x14ac:dyDescent="0.2">
      <c r="A3550" s="4"/>
      <c r="B3550" s="4"/>
    </row>
    <row r="3551" spans="1:2" x14ac:dyDescent="0.2">
      <c r="A3551" s="4"/>
      <c r="B3551" s="4"/>
    </row>
    <row r="3552" spans="1:2" x14ac:dyDescent="0.2">
      <c r="A3552" s="4"/>
      <c r="B3552" s="4"/>
    </row>
    <row r="3553" spans="1:2" x14ac:dyDescent="0.2">
      <c r="A3553" s="4"/>
      <c r="B3553" s="4"/>
    </row>
    <row r="3554" spans="1:2" x14ac:dyDescent="0.2">
      <c r="A3554" s="4"/>
      <c r="B3554" s="4"/>
    </row>
    <row r="3555" spans="1:2" x14ac:dyDescent="0.2">
      <c r="A3555" s="4"/>
      <c r="B3555" s="4"/>
    </row>
    <row r="3556" spans="1:2" x14ac:dyDescent="0.2">
      <c r="A3556" s="4"/>
      <c r="B3556" s="4"/>
    </row>
    <row r="3557" spans="1:2" x14ac:dyDescent="0.2">
      <c r="A3557" s="4"/>
      <c r="B3557" s="4"/>
    </row>
    <row r="3558" spans="1:2" x14ac:dyDescent="0.2">
      <c r="A3558" s="4"/>
      <c r="B3558" s="4"/>
    </row>
    <row r="3559" spans="1:2" x14ac:dyDescent="0.2">
      <c r="A3559" s="4"/>
      <c r="B3559" s="4"/>
    </row>
    <row r="3560" spans="1:2" x14ac:dyDescent="0.2">
      <c r="A3560" s="4"/>
      <c r="B3560" s="4"/>
    </row>
    <row r="3561" spans="1:2" x14ac:dyDescent="0.2">
      <c r="A3561" s="4"/>
      <c r="B3561" s="4"/>
    </row>
    <row r="3562" spans="1:2" x14ac:dyDescent="0.2">
      <c r="A3562" s="4"/>
      <c r="B3562" s="4"/>
    </row>
    <row r="3563" spans="1:2" x14ac:dyDescent="0.2">
      <c r="A3563" s="4"/>
      <c r="B3563" s="4"/>
    </row>
    <row r="3564" spans="1:2" x14ac:dyDescent="0.2">
      <c r="A3564" s="4"/>
      <c r="B3564" s="4"/>
    </row>
    <row r="3565" spans="1:2" x14ac:dyDescent="0.2">
      <c r="A3565" s="4"/>
      <c r="B3565" s="4"/>
    </row>
    <row r="3566" spans="1:2" x14ac:dyDescent="0.2">
      <c r="A3566" s="4"/>
      <c r="B3566" s="4"/>
    </row>
    <row r="3567" spans="1:2" x14ac:dyDescent="0.2">
      <c r="A3567" s="4"/>
      <c r="B3567" s="4"/>
    </row>
    <row r="3568" spans="1:2" x14ac:dyDescent="0.2">
      <c r="A3568" s="4"/>
      <c r="B3568" s="4"/>
    </row>
    <row r="3569" spans="1:2" x14ac:dyDescent="0.2">
      <c r="A3569" s="4"/>
      <c r="B3569" s="4"/>
    </row>
    <row r="3570" spans="1:2" x14ac:dyDescent="0.2">
      <c r="A3570" s="4"/>
      <c r="B3570" s="4"/>
    </row>
    <row r="3571" spans="1:2" x14ac:dyDescent="0.2">
      <c r="A3571" s="4"/>
      <c r="B3571" s="4"/>
    </row>
    <row r="3572" spans="1:2" x14ac:dyDescent="0.2">
      <c r="A3572" s="4"/>
      <c r="B3572" s="4"/>
    </row>
    <row r="3573" spans="1:2" x14ac:dyDescent="0.2">
      <c r="A3573" s="4"/>
      <c r="B3573" s="4"/>
    </row>
    <row r="3574" spans="1:2" x14ac:dyDescent="0.2">
      <c r="A3574" s="4"/>
      <c r="B3574" s="4"/>
    </row>
    <row r="3575" spans="1:2" x14ac:dyDescent="0.2">
      <c r="A3575" s="4"/>
      <c r="B3575" s="4"/>
    </row>
    <row r="3576" spans="1:2" x14ac:dyDescent="0.2">
      <c r="A3576" s="4"/>
      <c r="B3576" s="4"/>
    </row>
    <row r="3577" spans="1:2" x14ac:dyDescent="0.2">
      <c r="A3577" s="4"/>
      <c r="B3577" s="4"/>
    </row>
    <row r="3578" spans="1:2" x14ac:dyDescent="0.2">
      <c r="A3578" s="4"/>
      <c r="B3578" s="4"/>
    </row>
    <row r="3579" spans="1:2" x14ac:dyDescent="0.2">
      <c r="A3579" s="4"/>
      <c r="B3579" s="4"/>
    </row>
    <row r="3580" spans="1:2" x14ac:dyDescent="0.2">
      <c r="A3580" s="4"/>
      <c r="B3580" s="4"/>
    </row>
    <row r="3581" spans="1:2" x14ac:dyDescent="0.2">
      <c r="A3581" s="4"/>
      <c r="B3581" s="4"/>
    </row>
    <row r="3582" spans="1:2" x14ac:dyDescent="0.2">
      <c r="A3582" s="4"/>
      <c r="B3582" s="4"/>
    </row>
    <row r="3583" spans="1:2" x14ac:dyDescent="0.2">
      <c r="A3583" s="4"/>
      <c r="B3583" s="4"/>
    </row>
    <row r="3584" spans="1:2" x14ac:dyDescent="0.2">
      <c r="A3584" s="4"/>
      <c r="B3584" s="4"/>
    </row>
    <row r="3585" spans="1:2" x14ac:dyDescent="0.2">
      <c r="A3585" s="4"/>
      <c r="B3585" s="4"/>
    </row>
    <row r="3586" spans="1:2" x14ac:dyDescent="0.2">
      <c r="A3586" s="4"/>
      <c r="B3586" s="4"/>
    </row>
    <row r="3587" spans="1:2" x14ac:dyDescent="0.2">
      <c r="A3587" s="4"/>
      <c r="B3587" s="4"/>
    </row>
    <row r="3588" spans="1:2" x14ac:dyDescent="0.2">
      <c r="A3588" s="4"/>
      <c r="B3588" s="4"/>
    </row>
    <row r="3589" spans="1:2" x14ac:dyDescent="0.2">
      <c r="A3589" s="4"/>
      <c r="B3589" s="4"/>
    </row>
    <row r="3590" spans="1:2" x14ac:dyDescent="0.2">
      <c r="A3590" s="4"/>
      <c r="B3590" s="4"/>
    </row>
    <row r="3591" spans="1:2" x14ac:dyDescent="0.2">
      <c r="A3591" s="4"/>
      <c r="B3591" s="4"/>
    </row>
    <row r="3592" spans="1:2" x14ac:dyDescent="0.2">
      <c r="A3592" s="4"/>
      <c r="B3592" s="4"/>
    </row>
    <row r="3593" spans="1:2" x14ac:dyDescent="0.2">
      <c r="A3593" s="4"/>
      <c r="B3593" s="4"/>
    </row>
    <row r="3594" spans="1:2" x14ac:dyDescent="0.2">
      <c r="A3594" s="4"/>
      <c r="B3594" s="4"/>
    </row>
    <row r="3595" spans="1:2" x14ac:dyDescent="0.2">
      <c r="A3595" s="4"/>
      <c r="B3595" s="4"/>
    </row>
    <row r="3596" spans="1:2" x14ac:dyDescent="0.2">
      <c r="A3596" s="4"/>
      <c r="B3596" s="4"/>
    </row>
    <row r="3597" spans="1:2" x14ac:dyDescent="0.2">
      <c r="A3597" s="4"/>
      <c r="B3597" s="4"/>
    </row>
    <row r="3598" spans="1:2" x14ac:dyDescent="0.2">
      <c r="A3598" s="4"/>
      <c r="B3598" s="4"/>
    </row>
    <row r="3599" spans="1:2" x14ac:dyDescent="0.2">
      <c r="A3599" s="4"/>
      <c r="B3599" s="4"/>
    </row>
    <row r="3600" spans="1:2" x14ac:dyDescent="0.2">
      <c r="A3600" s="4"/>
      <c r="B3600" s="4"/>
    </row>
    <row r="3601" spans="1:2" x14ac:dyDescent="0.2">
      <c r="A3601" s="4"/>
      <c r="B3601" s="4"/>
    </row>
    <row r="3602" spans="1:2" x14ac:dyDescent="0.2">
      <c r="A3602" s="4"/>
      <c r="B3602" s="4"/>
    </row>
    <row r="3603" spans="1:2" x14ac:dyDescent="0.2">
      <c r="A3603" s="4"/>
      <c r="B3603" s="4"/>
    </row>
    <row r="3604" spans="1:2" x14ac:dyDescent="0.2">
      <c r="A3604" s="4"/>
      <c r="B3604" s="4"/>
    </row>
    <row r="3605" spans="1:2" x14ac:dyDescent="0.2">
      <c r="A3605" s="4"/>
      <c r="B3605" s="4"/>
    </row>
    <row r="3606" spans="1:2" x14ac:dyDescent="0.2">
      <c r="A3606" s="4"/>
      <c r="B3606" s="4"/>
    </row>
    <row r="3607" spans="1:2" x14ac:dyDescent="0.2">
      <c r="A3607" s="4"/>
      <c r="B3607" s="4"/>
    </row>
    <row r="3608" spans="1:2" x14ac:dyDescent="0.2">
      <c r="A3608" s="4"/>
      <c r="B3608" s="4"/>
    </row>
    <row r="3609" spans="1:2" x14ac:dyDescent="0.2">
      <c r="A3609" s="4"/>
      <c r="B3609" s="4"/>
    </row>
    <row r="3610" spans="1:2" x14ac:dyDescent="0.2">
      <c r="A3610" s="4"/>
      <c r="B3610" s="4"/>
    </row>
    <row r="3611" spans="1:2" x14ac:dyDescent="0.2">
      <c r="A3611" s="4"/>
      <c r="B3611" s="4"/>
    </row>
    <row r="3612" spans="1:2" x14ac:dyDescent="0.2">
      <c r="A3612" s="4"/>
      <c r="B3612" s="4"/>
    </row>
    <row r="3613" spans="1:2" x14ac:dyDescent="0.2">
      <c r="A3613" s="4"/>
      <c r="B3613" s="4"/>
    </row>
    <row r="3614" spans="1:2" x14ac:dyDescent="0.2">
      <c r="A3614" s="4"/>
      <c r="B3614" s="4"/>
    </row>
    <row r="3615" spans="1:2" x14ac:dyDescent="0.2">
      <c r="A3615" s="4"/>
      <c r="B3615" s="4"/>
    </row>
    <row r="3616" spans="1:2" x14ac:dyDescent="0.2">
      <c r="A3616" s="4"/>
      <c r="B3616" s="4"/>
    </row>
    <row r="3617" spans="1:2" x14ac:dyDescent="0.2">
      <c r="A3617" s="4"/>
      <c r="B3617" s="4"/>
    </row>
    <row r="3618" spans="1:2" x14ac:dyDescent="0.2">
      <c r="A3618" s="4"/>
      <c r="B3618" s="4"/>
    </row>
    <row r="3619" spans="1:2" x14ac:dyDescent="0.2">
      <c r="A3619" s="4"/>
      <c r="B3619" s="4"/>
    </row>
    <row r="3620" spans="1:2" x14ac:dyDescent="0.2">
      <c r="A3620" s="4"/>
      <c r="B3620" s="4"/>
    </row>
    <row r="3621" spans="1:2" x14ac:dyDescent="0.2">
      <c r="A3621" s="4"/>
      <c r="B3621" s="4"/>
    </row>
    <row r="3622" spans="1:2" x14ac:dyDescent="0.2">
      <c r="A3622" s="4"/>
      <c r="B3622" s="4"/>
    </row>
    <row r="3623" spans="1:2" x14ac:dyDescent="0.2">
      <c r="A3623" s="4"/>
      <c r="B3623" s="4"/>
    </row>
    <row r="3624" spans="1:2" x14ac:dyDescent="0.2">
      <c r="A3624" s="4"/>
      <c r="B3624" s="4"/>
    </row>
    <row r="3625" spans="1:2" x14ac:dyDescent="0.2">
      <c r="A3625" s="4"/>
      <c r="B3625" s="4"/>
    </row>
    <row r="3626" spans="1:2" x14ac:dyDescent="0.2">
      <c r="A3626" s="4"/>
      <c r="B3626" s="4"/>
    </row>
    <row r="3627" spans="1:2" x14ac:dyDescent="0.2">
      <c r="A3627" s="4"/>
      <c r="B3627" s="4"/>
    </row>
    <row r="3628" spans="1:2" x14ac:dyDescent="0.2">
      <c r="A3628" s="4"/>
      <c r="B3628" s="4"/>
    </row>
    <row r="3629" spans="1:2" x14ac:dyDescent="0.2">
      <c r="A3629" s="4"/>
      <c r="B3629" s="4"/>
    </row>
    <row r="3630" spans="1:2" x14ac:dyDescent="0.2">
      <c r="A3630" s="4"/>
      <c r="B3630" s="4"/>
    </row>
    <row r="3631" spans="1:2" x14ac:dyDescent="0.2">
      <c r="A3631" s="4"/>
      <c r="B3631" s="4"/>
    </row>
    <row r="3632" spans="1:2" x14ac:dyDescent="0.2">
      <c r="A3632" s="4"/>
      <c r="B3632" s="4"/>
    </row>
    <row r="3633" spans="1:2" x14ac:dyDescent="0.2">
      <c r="A3633" s="4"/>
      <c r="B3633" s="4"/>
    </row>
    <row r="3634" spans="1:2" x14ac:dyDescent="0.2">
      <c r="A3634" s="4"/>
      <c r="B3634" s="4"/>
    </row>
    <row r="3635" spans="1:2" x14ac:dyDescent="0.2">
      <c r="A3635" s="4"/>
      <c r="B3635" s="4"/>
    </row>
    <row r="3636" spans="1:2" x14ac:dyDescent="0.2">
      <c r="A3636" s="4"/>
      <c r="B3636" s="4"/>
    </row>
    <row r="3637" spans="1:2" x14ac:dyDescent="0.2">
      <c r="A3637" s="4"/>
      <c r="B3637" s="4"/>
    </row>
    <row r="3638" spans="1:2" x14ac:dyDescent="0.2">
      <c r="A3638" s="4"/>
      <c r="B3638" s="4"/>
    </row>
    <row r="3639" spans="1:2" x14ac:dyDescent="0.2">
      <c r="A3639" s="4"/>
      <c r="B3639" s="4"/>
    </row>
    <row r="3640" spans="1:2" x14ac:dyDescent="0.2">
      <c r="A3640" s="4"/>
      <c r="B3640" s="4"/>
    </row>
    <row r="3641" spans="1:2" x14ac:dyDescent="0.2">
      <c r="A3641" s="4"/>
      <c r="B3641" s="4"/>
    </row>
    <row r="3642" spans="1:2" x14ac:dyDescent="0.2">
      <c r="A3642" s="4"/>
      <c r="B3642" s="4"/>
    </row>
    <row r="3643" spans="1:2" x14ac:dyDescent="0.2">
      <c r="A3643" s="4"/>
      <c r="B3643" s="4"/>
    </row>
    <row r="3644" spans="1:2" x14ac:dyDescent="0.2">
      <c r="A3644" s="4"/>
      <c r="B3644" s="4"/>
    </row>
    <row r="3645" spans="1:2" x14ac:dyDescent="0.2">
      <c r="A3645" s="4"/>
      <c r="B3645" s="4"/>
    </row>
    <row r="3646" spans="1:2" x14ac:dyDescent="0.2">
      <c r="A3646" s="4"/>
      <c r="B3646" s="4"/>
    </row>
    <row r="3647" spans="1:2" x14ac:dyDescent="0.2">
      <c r="A3647" s="4"/>
      <c r="B3647" s="4"/>
    </row>
    <row r="3648" spans="1:2" x14ac:dyDescent="0.2">
      <c r="A3648" s="4"/>
      <c r="B3648" s="4"/>
    </row>
    <row r="3649" spans="1:2" x14ac:dyDescent="0.2">
      <c r="A3649" s="4"/>
      <c r="B3649" s="4"/>
    </row>
    <row r="3650" spans="1:2" x14ac:dyDescent="0.2">
      <c r="A3650" s="4"/>
      <c r="B3650" s="4"/>
    </row>
    <row r="3651" spans="1:2" x14ac:dyDescent="0.2">
      <c r="A3651" s="4"/>
      <c r="B3651" s="4"/>
    </row>
    <row r="3652" spans="1:2" x14ac:dyDescent="0.2">
      <c r="A3652" s="4"/>
      <c r="B3652" s="4"/>
    </row>
    <row r="3653" spans="1:2" x14ac:dyDescent="0.2">
      <c r="A3653" s="4"/>
      <c r="B3653" s="4"/>
    </row>
    <row r="3654" spans="1:2" x14ac:dyDescent="0.2">
      <c r="A3654" s="4"/>
      <c r="B3654" s="4"/>
    </row>
    <row r="3655" spans="1:2" x14ac:dyDescent="0.2">
      <c r="A3655" s="4"/>
      <c r="B3655" s="4"/>
    </row>
    <row r="3656" spans="1:2" x14ac:dyDescent="0.2">
      <c r="A3656" s="4"/>
      <c r="B3656" s="4"/>
    </row>
    <row r="3657" spans="1:2" x14ac:dyDescent="0.2">
      <c r="A3657" s="4"/>
      <c r="B3657" s="4"/>
    </row>
    <row r="3658" spans="1:2" x14ac:dyDescent="0.2">
      <c r="A3658" s="4"/>
      <c r="B3658" s="4"/>
    </row>
    <row r="3659" spans="1:2" x14ac:dyDescent="0.2">
      <c r="A3659" s="4"/>
      <c r="B3659" s="4"/>
    </row>
    <row r="3660" spans="1:2" x14ac:dyDescent="0.2">
      <c r="A3660" s="4"/>
      <c r="B3660" s="4"/>
    </row>
    <row r="3661" spans="1:2" x14ac:dyDescent="0.2">
      <c r="A3661" s="4"/>
      <c r="B3661" s="4"/>
    </row>
    <row r="3662" spans="1:2" x14ac:dyDescent="0.2">
      <c r="A3662" s="4"/>
      <c r="B3662" s="4"/>
    </row>
    <row r="3663" spans="1:2" x14ac:dyDescent="0.2">
      <c r="A3663" s="4"/>
      <c r="B3663" s="4"/>
    </row>
    <row r="3664" spans="1:2" x14ac:dyDescent="0.2">
      <c r="A3664" s="4"/>
      <c r="B3664" s="4"/>
    </row>
    <row r="3665" spans="1:2" x14ac:dyDescent="0.2">
      <c r="A3665" s="4"/>
      <c r="B3665" s="4"/>
    </row>
    <row r="3666" spans="1:2" x14ac:dyDescent="0.2">
      <c r="A3666" s="4"/>
      <c r="B3666" s="4"/>
    </row>
    <row r="3667" spans="1:2" x14ac:dyDescent="0.2">
      <c r="A3667" s="4"/>
      <c r="B3667" s="4"/>
    </row>
    <row r="3668" spans="1:2" x14ac:dyDescent="0.2">
      <c r="A3668" s="4"/>
      <c r="B3668" s="4"/>
    </row>
    <row r="3669" spans="1:2" x14ac:dyDescent="0.2">
      <c r="A3669" s="4"/>
      <c r="B3669" s="4"/>
    </row>
    <row r="3670" spans="1:2" x14ac:dyDescent="0.2">
      <c r="A3670" s="4"/>
      <c r="B3670" s="4"/>
    </row>
    <row r="3671" spans="1:2" x14ac:dyDescent="0.2">
      <c r="A3671" s="4"/>
      <c r="B3671" s="4"/>
    </row>
    <row r="3672" spans="1:2" x14ac:dyDescent="0.2">
      <c r="A3672" s="4"/>
      <c r="B3672" s="4"/>
    </row>
    <row r="3673" spans="1:2" x14ac:dyDescent="0.2">
      <c r="A3673" s="4"/>
      <c r="B3673" s="4"/>
    </row>
    <row r="3674" spans="1:2" x14ac:dyDescent="0.2">
      <c r="A3674" s="4"/>
      <c r="B3674" s="4"/>
    </row>
    <row r="3675" spans="1:2" x14ac:dyDescent="0.2">
      <c r="A3675" s="4"/>
      <c r="B3675" s="4"/>
    </row>
    <row r="3676" spans="1:2" x14ac:dyDescent="0.2">
      <c r="A3676" s="4"/>
      <c r="B3676" s="4"/>
    </row>
    <row r="3677" spans="1:2" x14ac:dyDescent="0.2">
      <c r="A3677" s="4"/>
      <c r="B3677" s="4"/>
    </row>
    <row r="3678" spans="1:2" x14ac:dyDescent="0.2">
      <c r="A3678" s="4"/>
      <c r="B3678" s="4"/>
    </row>
    <row r="3679" spans="1:2" x14ac:dyDescent="0.2">
      <c r="A3679" s="4"/>
      <c r="B3679" s="4"/>
    </row>
    <row r="3680" spans="1:2" x14ac:dyDescent="0.2">
      <c r="A3680" s="4"/>
      <c r="B3680" s="4"/>
    </row>
    <row r="3681" spans="1:2" x14ac:dyDescent="0.2">
      <c r="A3681" s="4"/>
      <c r="B3681" s="4"/>
    </row>
    <row r="3682" spans="1:2" x14ac:dyDescent="0.2">
      <c r="A3682" s="4"/>
      <c r="B3682" s="4"/>
    </row>
    <row r="3683" spans="1:2" x14ac:dyDescent="0.2">
      <c r="A3683" s="4"/>
      <c r="B3683" s="4"/>
    </row>
    <row r="3684" spans="1:2" x14ac:dyDescent="0.2">
      <c r="A3684" s="4"/>
      <c r="B3684" s="4"/>
    </row>
    <row r="3685" spans="1:2" x14ac:dyDescent="0.2">
      <c r="A3685" s="4"/>
      <c r="B3685" s="4"/>
    </row>
    <row r="3686" spans="1:2" x14ac:dyDescent="0.2">
      <c r="A3686" s="4"/>
      <c r="B3686" s="4"/>
    </row>
    <row r="3687" spans="1:2" x14ac:dyDescent="0.2">
      <c r="A3687" s="4"/>
      <c r="B3687" s="4"/>
    </row>
    <row r="3688" spans="1:2" x14ac:dyDescent="0.2">
      <c r="A3688" s="4"/>
      <c r="B3688" s="4"/>
    </row>
    <row r="3689" spans="1:2" x14ac:dyDescent="0.2">
      <c r="A3689" s="4"/>
      <c r="B3689" s="4"/>
    </row>
    <row r="3690" spans="1:2" x14ac:dyDescent="0.2">
      <c r="A3690" s="4"/>
      <c r="B3690" s="4"/>
    </row>
    <row r="3691" spans="1:2" x14ac:dyDescent="0.2">
      <c r="A3691" s="4"/>
      <c r="B3691" s="4"/>
    </row>
    <row r="3692" spans="1:2" x14ac:dyDescent="0.2">
      <c r="A3692" s="4"/>
      <c r="B3692" s="4"/>
    </row>
    <row r="3693" spans="1:2" x14ac:dyDescent="0.2">
      <c r="A3693" s="4"/>
      <c r="B3693" s="4"/>
    </row>
    <row r="3694" spans="1:2" x14ac:dyDescent="0.2">
      <c r="A3694" s="4"/>
      <c r="B3694" s="4"/>
    </row>
    <row r="3695" spans="1:2" x14ac:dyDescent="0.2">
      <c r="A3695" s="4"/>
      <c r="B3695" s="4"/>
    </row>
    <row r="3696" spans="1:2" x14ac:dyDescent="0.2">
      <c r="A3696" s="4"/>
      <c r="B3696" s="4"/>
    </row>
    <row r="3697" spans="1:2" x14ac:dyDescent="0.2">
      <c r="A3697" s="4"/>
      <c r="B3697" s="4"/>
    </row>
    <row r="3698" spans="1:2" x14ac:dyDescent="0.2">
      <c r="A3698" s="4"/>
      <c r="B3698" s="4"/>
    </row>
    <row r="3699" spans="1:2" x14ac:dyDescent="0.2">
      <c r="A3699" s="4"/>
      <c r="B3699" s="4"/>
    </row>
    <row r="3700" spans="1:2" x14ac:dyDescent="0.2">
      <c r="A3700" s="4"/>
      <c r="B3700" s="4"/>
    </row>
    <row r="3701" spans="1:2" x14ac:dyDescent="0.2">
      <c r="A3701" s="4"/>
      <c r="B3701" s="4"/>
    </row>
    <row r="3702" spans="1:2" x14ac:dyDescent="0.2">
      <c r="A3702" s="4"/>
      <c r="B3702" s="4"/>
    </row>
    <row r="3703" spans="1:2" x14ac:dyDescent="0.2">
      <c r="A3703" s="4"/>
      <c r="B3703" s="4"/>
    </row>
    <row r="3704" spans="1:2" x14ac:dyDescent="0.2">
      <c r="A3704" s="4"/>
      <c r="B3704" s="4"/>
    </row>
    <row r="3705" spans="1:2" x14ac:dyDescent="0.2">
      <c r="A3705" s="4"/>
      <c r="B3705" s="4"/>
    </row>
    <row r="3706" spans="1:2" x14ac:dyDescent="0.2">
      <c r="A3706" s="4"/>
      <c r="B3706" s="4"/>
    </row>
    <row r="3707" spans="1:2" x14ac:dyDescent="0.2">
      <c r="A3707" s="4"/>
      <c r="B3707" s="4"/>
    </row>
    <row r="3708" spans="1:2" x14ac:dyDescent="0.2">
      <c r="A3708" s="4"/>
      <c r="B3708" s="4"/>
    </row>
    <row r="3709" spans="1:2" x14ac:dyDescent="0.2">
      <c r="A3709" s="4"/>
      <c r="B3709" s="4"/>
    </row>
    <row r="3710" spans="1:2" x14ac:dyDescent="0.2">
      <c r="A3710" s="4"/>
      <c r="B3710" s="4"/>
    </row>
    <row r="3711" spans="1:2" x14ac:dyDescent="0.2">
      <c r="A3711" s="4"/>
      <c r="B3711" s="4"/>
    </row>
    <row r="3712" spans="1:2" x14ac:dyDescent="0.2">
      <c r="A3712" s="4"/>
      <c r="B3712" s="4"/>
    </row>
    <row r="3713" spans="1:2" x14ac:dyDescent="0.2">
      <c r="A3713" s="4"/>
      <c r="B3713" s="4"/>
    </row>
    <row r="3714" spans="1:2" x14ac:dyDescent="0.2">
      <c r="A3714" s="4"/>
      <c r="B3714" s="4"/>
    </row>
    <row r="3715" spans="1:2" x14ac:dyDescent="0.2">
      <c r="A3715" s="4"/>
      <c r="B3715" s="4"/>
    </row>
    <row r="3716" spans="1:2" x14ac:dyDescent="0.2">
      <c r="A3716" s="4"/>
      <c r="B3716" s="4"/>
    </row>
    <row r="3717" spans="1:2" x14ac:dyDescent="0.2">
      <c r="A3717" s="4"/>
      <c r="B3717" s="4"/>
    </row>
    <row r="3718" spans="1:2" x14ac:dyDescent="0.2">
      <c r="A3718" s="4"/>
      <c r="B3718" s="4"/>
    </row>
    <row r="3719" spans="1:2" x14ac:dyDescent="0.2">
      <c r="A3719" s="4"/>
      <c r="B3719" s="4"/>
    </row>
    <row r="3720" spans="1:2" x14ac:dyDescent="0.2">
      <c r="A3720" s="4"/>
      <c r="B3720" s="4"/>
    </row>
    <row r="3721" spans="1:2" x14ac:dyDescent="0.2">
      <c r="A3721" s="4"/>
      <c r="B3721" s="4"/>
    </row>
    <row r="3722" spans="1:2" x14ac:dyDescent="0.2">
      <c r="A3722" s="4"/>
      <c r="B3722" s="4"/>
    </row>
    <row r="3723" spans="1:2" x14ac:dyDescent="0.2">
      <c r="A3723" s="4"/>
      <c r="B3723" s="4"/>
    </row>
    <row r="3724" spans="1:2" x14ac:dyDescent="0.2">
      <c r="A3724" s="4"/>
      <c r="B3724" s="4"/>
    </row>
    <row r="3725" spans="1:2" x14ac:dyDescent="0.2">
      <c r="A3725" s="4"/>
      <c r="B3725" s="4"/>
    </row>
    <row r="3726" spans="1:2" x14ac:dyDescent="0.2">
      <c r="A3726" s="4"/>
      <c r="B3726" s="4"/>
    </row>
    <row r="3727" spans="1:2" x14ac:dyDescent="0.2">
      <c r="A3727" s="4"/>
      <c r="B3727" s="4"/>
    </row>
    <row r="3728" spans="1:2" x14ac:dyDescent="0.2">
      <c r="A3728" s="4"/>
      <c r="B3728" s="4"/>
    </row>
    <row r="3729" spans="1:2" x14ac:dyDescent="0.2">
      <c r="A3729" s="4"/>
      <c r="B3729" s="4"/>
    </row>
    <row r="3730" spans="1:2" x14ac:dyDescent="0.2">
      <c r="A3730" s="4"/>
      <c r="B3730" s="4"/>
    </row>
    <row r="3731" spans="1:2" x14ac:dyDescent="0.2">
      <c r="A3731" s="4"/>
      <c r="B3731" s="4"/>
    </row>
    <row r="3732" spans="1:2" x14ac:dyDescent="0.2">
      <c r="A3732" s="4"/>
      <c r="B3732" s="4"/>
    </row>
    <row r="3733" spans="1:2" x14ac:dyDescent="0.2">
      <c r="A3733" s="4"/>
      <c r="B3733" s="4"/>
    </row>
    <row r="3734" spans="1:2" x14ac:dyDescent="0.2">
      <c r="A3734" s="4"/>
      <c r="B3734" s="4"/>
    </row>
    <row r="3735" spans="1:2" x14ac:dyDescent="0.2">
      <c r="A3735" s="4"/>
      <c r="B3735" s="4"/>
    </row>
    <row r="3736" spans="1:2" x14ac:dyDescent="0.2">
      <c r="A3736" s="4"/>
      <c r="B3736" s="4"/>
    </row>
    <row r="3737" spans="1:2" x14ac:dyDescent="0.2">
      <c r="A3737" s="4"/>
      <c r="B3737" s="4"/>
    </row>
    <row r="3738" spans="1:2" x14ac:dyDescent="0.2">
      <c r="A3738" s="4"/>
      <c r="B3738" s="4"/>
    </row>
    <row r="3739" spans="1:2" x14ac:dyDescent="0.2">
      <c r="A3739" s="4"/>
      <c r="B3739" s="4"/>
    </row>
    <row r="3740" spans="1:2" x14ac:dyDescent="0.2">
      <c r="A3740" s="4"/>
      <c r="B3740" s="4"/>
    </row>
    <row r="3741" spans="1:2" x14ac:dyDescent="0.2">
      <c r="A3741" s="4"/>
      <c r="B3741" s="4"/>
    </row>
    <row r="3742" spans="1:2" x14ac:dyDescent="0.2">
      <c r="A3742" s="4"/>
      <c r="B3742" s="4"/>
    </row>
    <row r="3743" spans="1:2" x14ac:dyDescent="0.2">
      <c r="A3743" s="4"/>
      <c r="B3743" s="4"/>
    </row>
    <row r="3744" spans="1:2" x14ac:dyDescent="0.2">
      <c r="A3744" s="4"/>
      <c r="B3744" s="4"/>
    </row>
    <row r="3745" spans="1:2" x14ac:dyDescent="0.2">
      <c r="A3745" s="4"/>
      <c r="B3745" s="4"/>
    </row>
    <row r="3746" spans="1:2" x14ac:dyDescent="0.2">
      <c r="A3746" s="4"/>
      <c r="B3746" s="4"/>
    </row>
    <row r="3747" spans="1:2" x14ac:dyDescent="0.2">
      <c r="A3747" s="4"/>
      <c r="B3747" s="4"/>
    </row>
    <row r="3748" spans="1:2" x14ac:dyDescent="0.2">
      <c r="A3748" s="4"/>
      <c r="B3748" s="4"/>
    </row>
    <row r="3749" spans="1:2" x14ac:dyDescent="0.2">
      <c r="A3749" s="4"/>
      <c r="B3749" s="4"/>
    </row>
    <row r="3750" spans="1:2" x14ac:dyDescent="0.2">
      <c r="A3750" s="4"/>
      <c r="B3750" s="4"/>
    </row>
    <row r="3751" spans="1:2" x14ac:dyDescent="0.2">
      <c r="A3751" s="4"/>
      <c r="B3751" s="4"/>
    </row>
    <row r="3752" spans="1:2" x14ac:dyDescent="0.2">
      <c r="A3752" s="4"/>
      <c r="B3752" s="4"/>
    </row>
    <row r="3753" spans="1:2" x14ac:dyDescent="0.2">
      <c r="A3753" s="4"/>
      <c r="B3753" s="4"/>
    </row>
    <row r="3754" spans="1:2" x14ac:dyDescent="0.2">
      <c r="A3754" s="4"/>
      <c r="B3754" s="4"/>
    </row>
    <row r="3755" spans="1:2" x14ac:dyDescent="0.2">
      <c r="A3755" s="4"/>
      <c r="B3755" s="4"/>
    </row>
    <row r="3756" spans="1:2" x14ac:dyDescent="0.2">
      <c r="A3756" s="4"/>
      <c r="B3756" s="4"/>
    </row>
    <row r="3757" spans="1:2" x14ac:dyDescent="0.2">
      <c r="A3757" s="4"/>
      <c r="B3757" s="4"/>
    </row>
    <row r="3758" spans="1:2" x14ac:dyDescent="0.2">
      <c r="A3758" s="4"/>
      <c r="B3758" s="4"/>
    </row>
    <row r="3759" spans="1:2" x14ac:dyDescent="0.2">
      <c r="A3759" s="4"/>
      <c r="B3759" s="4"/>
    </row>
    <row r="3760" spans="1:2" x14ac:dyDescent="0.2">
      <c r="A3760" s="4"/>
      <c r="B3760" s="4"/>
    </row>
    <row r="3761" spans="1:2" x14ac:dyDescent="0.2">
      <c r="A3761" s="4"/>
      <c r="B3761" s="4"/>
    </row>
    <row r="3762" spans="1:2" x14ac:dyDescent="0.2">
      <c r="A3762" s="4"/>
      <c r="B3762" s="4"/>
    </row>
    <row r="3763" spans="1:2" x14ac:dyDescent="0.2">
      <c r="A3763" s="4"/>
      <c r="B3763" s="4"/>
    </row>
    <row r="3764" spans="1:2" x14ac:dyDescent="0.2">
      <c r="A3764" s="4"/>
      <c r="B3764" s="4"/>
    </row>
    <row r="3765" spans="1:2" x14ac:dyDescent="0.2">
      <c r="A3765" s="4"/>
      <c r="B3765" s="4"/>
    </row>
    <row r="3766" spans="1:2" x14ac:dyDescent="0.2">
      <c r="A3766" s="4"/>
      <c r="B3766" s="4"/>
    </row>
    <row r="3767" spans="1:2" x14ac:dyDescent="0.2">
      <c r="A3767" s="4"/>
      <c r="B3767" s="4"/>
    </row>
    <row r="3768" spans="1:2" x14ac:dyDescent="0.2">
      <c r="A3768" s="4"/>
      <c r="B3768" s="4"/>
    </row>
    <row r="3769" spans="1:2" x14ac:dyDescent="0.2">
      <c r="A3769" s="4"/>
      <c r="B3769" s="4"/>
    </row>
    <row r="3770" spans="1:2" x14ac:dyDescent="0.2">
      <c r="A3770" s="4"/>
      <c r="B3770" s="4"/>
    </row>
    <row r="3771" spans="1:2" x14ac:dyDescent="0.2">
      <c r="A3771" s="4"/>
      <c r="B3771" s="4"/>
    </row>
    <row r="3772" spans="1:2" x14ac:dyDescent="0.2">
      <c r="A3772" s="4"/>
      <c r="B3772" s="4"/>
    </row>
    <row r="3773" spans="1:2" x14ac:dyDescent="0.2">
      <c r="A3773" s="4"/>
      <c r="B3773" s="4"/>
    </row>
    <row r="3774" spans="1:2" x14ac:dyDescent="0.2">
      <c r="A3774" s="4"/>
      <c r="B3774" s="4"/>
    </row>
    <row r="3775" spans="1:2" x14ac:dyDescent="0.2">
      <c r="A3775" s="4"/>
      <c r="B3775" s="4"/>
    </row>
    <row r="3776" spans="1:2" x14ac:dyDescent="0.2">
      <c r="A3776" s="4"/>
      <c r="B3776" s="4"/>
    </row>
    <row r="3777" spans="1:2" x14ac:dyDescent="0.2">
      <c r="A3777" s="4"/>
      <c r="B3777" s="4"/>
    </row>
    <row r="3778" spans="1:2" x14ac:dyDescent="0.2">
      <c r="A3778" s="4"/>
      <c r="B3778" s="4"/>
    </row>
    <row r="3779" spans="1:2" x14ac:dyDescent="0.2">
      <c r="A3779" s="4"/>
      <c r="B3779" s="4"/>
    </row>
    <row r="3780" spans="1:2" x14ac:dyDescent="0.2">
      <c r="A3780" s="4"/>
      <c r="B3780" s="4"/>
    </row>
    <row r="3781" spans="1:2" x14ac:dyDescent="0.2">
      <c r="A3781" s="4"/>
      <c r="B3781" s="4"/>
    </row>
    <row r="3782" spans="1:2" x14ac:dyDescent="0.2">
      <c r="A3782" s="4"/>
      <c r="B3782" s="4"/>
    </row>
    <row r="3783" spans="1:2" x14ac:dyDescent="0.2">
      <c r="A3783" s="4"/>
      <c r="B3783" s="4"/>
    </row>
    <row r="3784" spans="1:2" x14ac:dyDescent="0.2">
      <c r="A3784" s="4"/>
      <c r="B3784" s="4"/>
    </row>
    <row r="3785" spans="1:2" x14ac:dyDescent="0.2">
      <c r="A3785" s="4"/>
      <c r="B3785" s="4"/>
    </row>
    <row r="3786" spans="1:2" x14ac:dyDescent="0.2">
      <c r="A3786" s="4"/>
      <c r="B3786" s="4"/>
    </row>
    <row r="3787" spans="1:2" x14ac:dyDescent="0.2">
      <c r="A3787" s="4"/>
      <c r="B3787" s="4"/>
    </row>
    <row r="3788" spans="1:2" x14ac:dyDescent="0.2">
      <c r="A3788" s="4"/>
      <c r="B3788" s="4"/>
    </row>
    <row r="3789" spans="1:2" x14ac:dyDescent="0.2">
      <c r="A3789" s="4"/>
      <c r="B3789" s="4"/>
    </row>
    <row r="3790" spans="1:2" x14ac:dyDescent="0.2">
      <c r="A3790" s="4"/>
      <c r="B3790" s="4"/>
    </row>
    <row r="3791" spans="1:2" x14ac:dyDescent="0.2">
      <c r="A3791" s="4"/>
      <c r="B3791" s="4"/>
    </row>
    <row r="3792" spans="1:2" x14ac:dyDescent="0.2">
      <c r="A3792" s="4"/>
      <c r="B3792" s="4"/>
    </row>
    <row r="3793" spans="1:2" x14ac:dyDescent="0.2">
      <c r="A3793" s="4"/>
      <c r="B3793" s="4"/>
    </row>
    <row r="3794" spans="1:2" x14ac:dyDescent="0.2">
      <c r="A3794" s="4"/>
      <c r="B3794" s="4"/>
    </row>
    <row r="3795" spans="1:2" x14ac:dyDescent="0.2">
      <c r="A3795" s="4"/>
      <c r="B3795" s="4"/>
    </row>
    <row r="3796" spans="1:2" x14ac:dyDescent="0.2">
      <c r="A3796" s="4"/>
      <c r="B3796" s="4"/>
    </row>
    <row r="3797" spans="1:2" x14ac:dyDescent="0.2">
      <c r="A3797" s="4"/>
      <c r="B3797" s="4"/>
    </row>
    <row r="3798" spans="1:2" x14ac:dyDescent="0.2">
      <c r="A3798" s="4"/>
      <c r="B3798" s="4"/>
    </row>
    <row r="3799" spans="1:2" x14ac:dyDescent="0.2">
      <c r="A3799" s="4"/>
      <c r="B3799" s="4"/>
    </row>
    <row r="3800" spans="1:2" x14ac:dyDescent="0.2">
      <c r="A3800" s="4"/>
      <c r="B3800" s="4"/>
    </row>
    <row r="3801" spans="1:2" x14ac:dyDescent="0.2">
      <c r="A3801" s="4"/>
      <c r="B3801" s="4"/>
    </row>
    <row r="3802" spans="1:2" x14ac:dyDescent="0.2">
      <c r="A3802" s="4"/>
      <c r="B3802" s="4"/>
    </row>
    <row r="3803" spans="1:2" x14ac:dyDescent="0.2">
      <c r="A3803" s="4"/>
      <c r="B3803" s="4"/>
    </row>
    <row r="3804" spans="1:2" x14ac:dyDescent="0.2">
      <c r="A3804" s="4"/>
      <c r="B3804" s="4"/>
    </row>
    <row r="3805" spans="1:2" x14ac:dyDescent="0.2">
      <c r="A3805" s="4"/>
      <c r="B3805" s="4"/>
    </row>
    <row r="3806" spans="1:2" x14ac:dyDescent="0.2">
      <c r="A3806" s="4"/>
      <c r="B3806" s="4"/>
    </row>
    <row r="3807" spans="1:2" x14ac:dyDescent="0.2">
      <c r="A3807" s="4"/>
      <c r="B3807" s="4"/>
    </row>
    <row r="3808" spans="1:2" x14ac:dyDescent="0.2">
      <c r="A3808" s="4"/>
      <c r="B3808" s="4"/>
    </row>
    <row r="3809" spans="1:2" x14ac:dyDescent="0.2">
      <c r="A3809" s="4"/>
      <c r="B3809" s="4"/>
    </row>
    <row r="3810" spans="1:2" x14ac:dyDescent="0.2">
      <c r="A3810" s="4"/>
      <c r="B3810" s="4"/>
    </row>
    <row r="3811" spans="1:2" x14ac:dyDescent="0.2">
      <c r="A3811" s="4"/>
      <c r="B3811" s="4"/>
    </row>
    <row r="3812" spans="1:2" x14ac:dyDescent="0.2">
      <c r="A3812" s="4"/>
      <c r="B3812" s="4"/>
    </row>
    <row r="3813" spans="1:2" x14ac:dyDescent="0.2">
      <c r="A3813" s="4"/>
      <c r="B3813" s="4"/>
    </row>
    <row r="3814" spans="1:2" x14ac:dyDescent="0.2">
      <c r="A3814" s="4"/>
      <c r="B3814" s="4"/>
    </row>
    <row r="3815" spans="1:2" x14ac:dyDescent="0.2">
      <c r="A3815" s="4"/>
      <c r="B3815" s="4"/>
    </row>
    <row r="3816" spans="1:2" x14ac:dyDescent="0.2">
      <c r="A3816" s="4"/>
      <c r="B3816" s="4"/>
    </row>
    <row r="3817" spans="1:2" x14ac:dyDescent="0.2">
      <c r="A3817" s="4"/>
      <c r="B3817" s="4"/>
    </row>
    <row r="3818" spans="1:2" x14ac:dyDescent="0.2">
      <c r="A3818" s="4"/>
      <c r="B3818" s="4"/>
    </row>
    <row r="3819" spans="1:2" x14ac:dyDescent="0.2">
      <c r="A3819" s="4"/>
      <c r="B3819" s="4"/>
    </row>
    <row r="3820" spans="1:2" x14ac:dyDescent="0.2">
      <c r="A3820" s="4"/>
      <c r="B3820" s="4"/>
    </row>
    <row r="3821" spans="1:2" x14ac:dyDescent="0.2">
      <c r="A3821" s="4"/>
      <c r="B3821" s="4"/>
    </row>
    <row r="3822" spans="1:2" x14ac:dyDescent="0.2">
      <c r="A3822" s="4"/>
      <c r="B3822" s="4"/>
    </row>
    <row r="3823" spans="1:2" x14ac:dyDescent="0.2">
      <c r="A3823" s="4"/>
      <c r="B3823" s="4"/>
    </row>
    <row r="3824" spans="1:2" x14ac:dyDescent="0.2">
      <c r="A3824" s="4"/>
      <c r="B3824" s="4"/>
    </row>
    <row r="3825" spans="1:2" x14ac:dyDescent="0.2">
      <c r="A3825" s="4"/>
      <c r="B3825" s="4"/>
    </row>
    <row r="3826" spans="1:2" x14ac:dyDescent="0.2">
      <c r="A3826" s="4"/>
      <c r="B3826" s="4"/>
    </row>
    <row r="3827" spans="1:2" x14ac:dyDescent="0.2">
      <c r="A3827" s="4"/>
      <c r="B3827" s="4"/>
    </row>
    <row r="3828" spans="1:2" x14ac:dyDescent="0.2">
      <c r="A3828" s="4"/>
      <c r="B3828" s="4"/>
    </row>
    <row r="3829" spans="1:2" x14ac:dyDescent="0.2">
      <c r="A3829" s="4"/>
      <c r="B3829" s="4"/>
    </row>
    <row r="3830" spans="1:2" x14ac:dyDescent="0.2">
      <c r="A3830" s="4"/>
      <c r="B3830" s="4"/>
    </row>
    <row r="3831" spans="1:2" x14ac:dyDescent="0.2">
      <c r="A3831" s="4"/>
      <c r="B3831" s="4"/>
    </row>
    <row r="3832" spans="1:2" x14ac:dyDescent="0.2">
      <c r="A3832" s="4"/>
      <c r="B3832" s="4"/>
    </row>
    <row r="3833" spans="1:2" x14ac:dyDescent="0.2">
      <c r="A3833" s="4"/>
      <c r="B3833" s="4"/>
    </row>
    <row r="3834" spans="1:2" x14ac:dyDescent="0.2">
      <c r="A3834" s="4"/>
      <c r="B3834" s="4"/>
    </row>
    <row r="3835" spans="1:2" x14ac:dyDescent="0.2">
      <c r="A3835" s="4"/>
      <c r="B3835" s="4"/>
    </row>
    <row r="3836" spans="1:2" x14ac:dyDescent="0.2">
      <c r="A3836" s="4"/>
      <c r="B3836" s="4"/>
    </row>
    <row r="3837" spans="1:2" x14ac:dyDescent="0.2">
      <c r="A3837" s="4"/>
      <c r="B3837" s="4"/>
    </row>
    <row r="3838" spans="1:2" x14ac:dyDescent="0.2">
      <c r="A3838" s="4"/>
      <c r="B3838" s="4"/>
    </row>
    <row r="3839" spans="1:2" x14ac:dyDescent="0.2">
      <c r="A3839" s="4"/>
      <c r="B3839" s="4"/>
    </row>
    <row r="3840" spans="1:2" x14ac:dyDescent="0.2">
      <c r="A3840" s="4"/>
      <c r="B3840" s="4"/>
    </row>
    <row r="3841" spans="1:2" x14ac:dyDescent="0.2">
      <c r="A3841" s="4"/>
      <c r="B3841" s="4"/>
    </row>
    <row r="3842" spans="1:2" x14ac:dyDescent="0.2">
      <c r="A3842" s="4"/>
      <c r="B3842" s="4"/>
    </row>
    <row r="3843" spans="1:2" x14ac:dyDescent="0.2">
      <c r="A3843" s="4"/>
      <c r="B3843" s="4"/>
    </row>
    <row r="3844" spans="1:2" x14ac:dyDescent="0.2">
      <c r="A3844" s="4"/>
      <c r="B3844" s="4"/>
    </row>
    <row r="3845" spans="1:2" x14ac:dyDescent="0.2">
      <c r="A3845" s="4"/>
      <c r="B3845" s="4"/>
    </row>
    <row r="3846" spans="1:2" x14ac:dyDescent="0.2">
      <c r="A3846" s="4"/>
      <c r="B3846" s="4"/>
    </row>
    <row r="3847" spans="1:2" x14ac:dyDescent="0.2">
      <c r="A3847" s="4"/>
      <c r="B3847" s="4"/>
    </row>
    <row r="3848" spans="1:2" x14ac:dyDescent="0.2">
      <c r="A3848" s="4"/>
      <c r="B3848" s="4"/>
    </row>
    <row r="3849" spans="1:2" x14ac:dyDescent="0.2">
      <c r="A3849" s="4"/>
      <c r="B3849" s="4"/>
    </row>
    <row r="3850" spans="1:2" x14ac:dyDescent="0.2">
      <c r="A3850" s="4"/>
      <c r="B3850" s="4"/>
    </row>
    <row r="3851" spans="1:2" x14ac:dyDescent="0.2">
      <c r="A3851" s="4"/>
      <c r="B3851" s="4"/>
    </row>
    <row r="3852" spans="1:2" x14ac:dyDescent="0.2">
      <c r="A3852" s="4"/>
      <c r="B3852" s="4"/>
    </row>
    <row r="3853" spans="1:2" x14ac:dyDescent="0.2">
      <c r="A3853" s="4"/>
      <c r="B3853" s="4"/>
    </row>
    <row r="3854" spans="1:2" x14ac:dyDescent="0.2">
      <c r="A3854" s="4"/>
      <c r="B3854" s="4"/>
    </row>
    <row r="3855" spans="1:2" x14ac:dyDescent="0.2">
      <c r="A3855" s="4"/>
      <c r="B3855" s="4"/>
    </row>
    <row r="3856" spans="1:2" x14ac:dyDescent="0.2">
      <c r="A3856" s="4"/>
      <c r="B3856" s="4"/>
    </row>
    <row r="3857" spans="1:2" x14ac:dyDescent="0.2">
      <c r="A3857" s="4"/>
      <c r="B3857" s="4"/>
    </row>
    <row r="3858" spans="1:2" x14ac:dyDescent="0.2">
      <c r="A3858" s="4"/>
      <c r="B3858" s="4"/>
    </row>
    <row r="3859" spans="1:2" x14ac:dyDescent="0.2">
      <c r="A3859" s="4"/>
      <c r="B3859" s="4"/>
    </row>
    <row r="3860" spans="1:2" x14ac:dyDescent="0.2">
      <c r="A3860" s="4"/>
      <c r="B3860" s="4"/>
    </row>
    <row r="3861" spans="1:2" x14ac:dyDescent="0.2">
      <c r="A3861" s="4"/>
      <c r="B3861" s="4"/>
    </row>
    <row r="3862" spans="1:2" x14ac:dyDescent="0.2">
      <c r="A3862" s="4"/>
      <c r="B3862" s="4"/>
    </row>
    <row r="3863" spans="1:2" x14ac:dyDescent="0.2">
      <c r="A3863" s="4"/>
      <c r="B3863" s="4"/>
    </row>
    <row r="3864" spans="1:2" x14ac:dyDescent="0.2">
      <c r="A3864" s="4"/>
      <c r="B3864" s="4"/>
    </row>
    <row r="3865" spans="1:2" x14ac:dyDescent="0.2">
      <c r="A3865" s="4"/>
      <c r="B3865" s="4"/>
    </row>
    <row r="3866" spans="1:2" x14ac:dyDescent="0.2">
      <c r="A3866" s="4"/>
      <c r="B3866" s="4"/>
    </row>
    <row r="3867" spans="1:2" x14ac:dyDescent="0.2">
      <c r="A3867" s="4"/>
      <c r="B3867" s="4"/>
    </row>
    <row r="3868" spans="1:2" x14ac:dyDescent="0.2">
      <c r="A3868" s="4"/>
      <c r="B3868" s="4"/>
    </row>
    <row r="3869" spans="1:2" x14ac:dyDescent="0.2">
      <c r="A3869" s="4"/>
      <c r="B3869" s="4"/>
    </row>
    <row r="3870" spans="1:2" x14ac:dyDescent="0.2">
      <c r="A3870" s="4"/>
      <c r="B3870" s="4"/>
    </row>
    <row r="3871" spans="1:2" x14ac:dyDescent="0.2">
      <c r="A3871" s="4"/>
      <c r="B3871" s="4"/>
    </row>
    <row r="3872" spans="1:2" x14ac:dyDescent="0.2">
      <c r="A3872" s="4"/>
      <c r="B3872" s="4"/>
    </row>
    <row r="3873" spans="1:2" x14ac:dyDescent="0.2">
      <c r="A3873" s="4"/>
      <c r="B3873" s="4"/>
    </row>
    <row r="3874" spans="1:2" x14ac:dyDescent="0.2">
      <c r="A3874" s="4"/>
      <c r="B3874" s="4"/>
    </row>
    <row r="3875" spans="1:2" x14ac:dyDescent="0.2">
      <c r="A3875" s="4"/>
      <c r="B3875" s="4"/>
    </row>
    <row r="3876" spans="1:2" x14ac:dyDescent="0.2">
      <c r="A3876" s="4"/>
      <c r="B3876" s="4"/>
    </row>
    <row r="3877" spans="1:2" x14ac:dyDescent="0.2">
      <c r="A3877" s="4"/>
      <c r="B3877" s="4"/>
    </row>
    <row r="3878" spans="1:2" x14ac:dyDescent="0.2">
      <c r="A3878" s="4"/>
      <c r="B3878" s="4"/>
    </row>
    <row r="3879" spans="1:2" x14ac:dyDescent="0.2">
      <c r="A3879" s="4"/>
      <c r="B3879" s="4"/>
    </row>
    <row r="3880" spans="1:2" x14ac:dyDescent="0.2">
      <c r="A3880" s="4"/>
      <c r="B3880" s="4"/>
    </row>
    <row r="3881" spans="1:2" x14ac:dyDescent="0.2">
      <c r="A3881" s="4"/>
      <c r="B3881" s="4"/>
    </row>
    <row r="3882" spans="1:2" x14ac:dyDescent="0.2">
      <c r="A3882" s="4"/>
      <c r="B3882" s="4"/>
    </row>
    <row r="3883" spans="1:2" x14ac:dyDescent="0.2">
      <c r="A3883" s="4"/>
      <c r="B3883" s="4"/>
    </row>
    <row r="3884" spans="1:2" x14ac:dyDescent="0.2">
      <c r="A3884" s="4"/>
      <c r="B3884" s="4"/>
    </row>
    <row r="3885" spans="1:2" x14ac:dyDescent="0.2">
      <c r="A3885" s="4"/>
      <c r="B3885" s="4"/>
    </row>
    <row r="3886" spans="1:2" x14ac:dyDescent="0.2">
      <c r="A3886" s="4"/>
      <c r="B3886" s="4"/>
    </row>
    <row r="3887" spans="1:2" x14ac:dyDescent="0.2">
      <c r="A3887" s="4"/>
      <c r="B3887" s="4"/>
    </row>
    <row r="3888" spans="1:2" x14ac:dyDescent="0.2">
      <c r="A3888" s="4"/>
      <c r="B3888" s="4"/>
    </row>
    <row r="3889" spans="1:2" x14ac:dyDescent="0.2">
      <c r="A3889" s="4"/>
      <c r="B3889" s="4"/>
    </row>
    <row r="3890" spans="1:2" x14ac:dyDescent="0.2">
      <c r="A3890" s="4"/>
      <c r="B3890" s="4"/>
    </row>
    <row r="3891" spans="1:2" x14ac:dyDescent="0.2">
      <c r="A3891" s="4"/>
      <c r="B3891" s="4"/>
    </row>
    <row r="3892" spans="1:2" x14ac:dyDescent="0.2">
      <c r="A3892" s="4"/>
      <c r="B3892" s="4"/>
    </row>
    <row r="3893" spans="1:2" x14ac:dyDescent="0.2">
      <c r="A3893" s="4"/>
      <c r="B3893" s="4"/>
    </row>
    <row r="3894" spans="1:2" x14ac:dyDescent="0.2">
      <c r="A3894" s="4"/>
      <c r="B3894" s="4"/>
    </row>
    <row r="3895" spans="1:2" x14ac:dyDescent="0.2">
      <c r="A3895" s="4"/>
      <c r="B3895" s="4"/>
    </row>
    <row r="3896" spans="1:2" x14ac:dyDescent="0.2">
      <c r="A3896" s="4"/>
      <c r="B3896" s="4"/>
    </row>
    <row r="3897" spans="1:2" x14ac:dyDescent="0.2">
      <c r="A3897" s="4"/>
      <c r="B3897" s="4"/>
    </row>
    <row r="3898" spans="1:2" x14ac:dyDescent="0.2">
      <c r="A3898" s="4"/>
      <c r="B3898" s="4"/>
    </row>
    <row r="3899" spans="1:2" x14ac:dyDescent="0.2">
      <c r="A3899" s="4"/>
      <c r="B3899" s="4"/>
    </row>
    <row r="3900" spans="1:2" x14ac:dyDescent="0.2">
      <c r="A3900" s="4"/>
      <c r="B3900" s="4"/>
    </row>
    <row r="3901" spans="1:2" x14ac:dyDescent="0.2">
      <c r="A3901" s="4"/>
      <c r="B3901" s="4"/>
    </row>
    <row r="3902" spans="1:2" x14ac:dyDescent="0.2">
      <c r="A3902" s="4"/>
      <c r="B3902" s="4"/>
    </row>
    <row r="3903" spans="1:2" x14ac:dyDescent="0.2">
      <c r="A3903" s="4"/>
      <c r="B3903" s="4"/>
    </row>
    <row r="3904" spans="1:2" x14ac:dyDescent="0.2">
      <c r="A3904" s="4"/>
      <c r="B3904" s="4"/>
    </row>
    <row r="3905" spans="1:2" x14ac:dyDescent="0.2">
      <c r="A3905" s="4"/>
      <c r="B3905" s="4"/>
    </row>
    <row r="3906" spans="1:2" x14ac:dyDescent="0.2">
      <c r="A3906" s="4"/>
      <c r="B3906" s="4"/>
    </row>
    <row r="3907" spans="1:2" x14ac:dyDescent="0.2">
      <c r="A3907" s="4"/>
      <c r="B3907" s="4"/>
    </row>
    <row r="3908" spans="1:2" x14ac:dyDescent="0.2">
      <c r="A3908" s="4"/>
      <c r="B3908" s="4"/>
    </row>
    <row r="3909" spans="1:2" x14ac:dyDescent="0.2">
      <c r="A3909" s="4"/>
      <c r="B3909" s="4"/>
    </row>
    <row r="3910" spans="1:2" x14ac:dyDescent="0.2">
      <c r="A3910" s="4"/>
      <c r="B3910" s="4"/>
    </row>
    <row r="3911" spans="1:2" x14ac:dyDescent="0.2">
      <c r="A3911" s="4"/>
      <c r="B3911" s="4"/>
    </row>
    <row r="3912" spans="1:2" x14ac:dyDescent="0.2">
      <c r="A3912" s="4"/>
      <c r="B3912" s="4"/>
    </row>
    <row r="3913" spans="1:2" x14ac:dyDescent="0.2">
      <c r="A3913" s="4"/>
      <c r="B3913" s="4"/>
    </row>
    <row r="3914" spans="1:2" x14ac:dyDescent="0.2">
      <c r="A3914" s="4"/>
      <c r="B3914" s="4"/>
    </row>
    <row r="3915" spans="1:2" x14ac:dyDescent="0.2">
      <c r="A3915" s="4"/>
      <c r="B3915" s="4"/>
    </row>
    <row r="3916" spans="1:2" x14ac:dyDescent="0.2">
      <c r="A3916" s="4"/>
      <c r="B3916" s="4"/>
    </row>
    <row r="3917" spans="1:2" x14ac:dyDescent="0.2">
      <c r="A3917" s="4"/>
      <c r="B3917" s="4"/>
    </row>
    <row r="3918" spans="1:2" x14ac:dyDescent="0.2">
      <c r="A3918" s="4"/>
      <c r="B3918" s="4"/>
    </row>
    <row r="3919" spans="1:2" x14ac:dyDescent="0.2">
      <c r="A3919" s="4"/>
      <c r="B3919" s="4"/>
    </row>
    <row r="3920" spans="1:2" x14ac:dyDescent="0.2">
      <c r="A3920" s="4"/>
      <c r="B3920" s="4"/>
    </row>
    <row r="3921" spans="1:2" x14ac:dyDescent="0.2">
      <c r="A3921" s="4"/>
      <c r="B3921" s="4"/>
    </row>
    <row r="3922" spans="1:2" x14ac:dyDescent="0.2">
      <c r="A3922" s="4"/>
      <c r="B3922" s="4"/>
    </row>
    <row r="3923" spans="1:2" x14ac:dyDescent="0.2">
      <c r="A3923" s="4"/>
      <c r="B3923" s="4"/>
    </row>
    <row r="3924" spans="1:2" x14ac:dyDescent="0.2">
      <c r="A3924" s="4"/>
      <c r="B3924" s="4"/>
    </row>
    <row r="3925" spans="1:2" x14ac:dyDescent="0.2">
      <c r="A3925" s="4"/>
      <c r="B3925" s="4"/>
    </row>
    <row r="3926" spans="1:2" x14ac:dyDescent="0.2">
      <c r="A3926" s="4"/>
      <c r="B3926" s="4"/>
    </row>
    <row r="3927" spans="1:2" x14ac:dyDescent="0.2">
      <c r="A3927" s="4"/>
      <c r="B3927" s="4"/>
    </row>
    <row r="3928" spans="1:2" x14ac:dyDescent="0.2">
      <c r="A3928" s="4"/>
      <c r="B3928" s="4"/>
    </row>
    <row r="3929" spans="1:2" x14ac:dyDescent="0.2">
      <c r="A3929" s="4"/>
      <c r="B3929" s="4"/>
    </row>
    <row r="3930" spans="1:2" x14ac:dyDescent="0.2">
      <c r="A3930" s="4"/>
      <c r="B3930" s="4"/>
    </row>
    <row r="3931" spans="1:2" x14ac:dyDescent="0.2">
      <c r="A3931" s="4"/>
      <c r="B3931" s="4"/>
    </row>
    <row r="3932" spans="1:2" x14ac:dyDescent="0.2">
      <c r="A3932" s="4"/>
      <c r="B3932" s="4"/>
    </row>
    <row r="3933" spans="1:2" x14ac:dyDescent="0.2">
      <c r="A3933" s="4"/>
      <c r="B3933" s="4"/>
    </row>
    <row r="3934" spans="1:2" x14ac:dyDescent="0.2">
      <c r="A3934" s="4"/>
      <c r="B3934" s="4"/>
    </row>
    <row r="3935" spans="1:2" x14ac:dyDescent="0.2">
      <c r="A3935" s="4"/>
      <c r="B3935" s="4"/>
    </row>
    <row r="3936" spans="1:2" x14ac:dyDescent="0.2">
      <c r="A3936" s="4"/>
      <c r="B3936" s="4"/>
    </row>
    <row r="3937" spans="1:2" x14ac:dyDescent="0.2">
      <c r="A3937" s="4"/>
      <c r="B3937" s="4"/>
    </row>
    <row r="3938" spans="1:2" x14ac:dyDescent="0.2">
      <c r="A3938" s="4"/>
      <c r="B3938" s="4"/>
    </row>
    <row r="3939" spans="1:2" x14ac:dyDescent="0.2">
      <c r="A3939" s="4"/>
      <c r="B3939" s="4"/>
    </row>
    <row r="3940" spans="1:2" x14ac:dyDescent="0.2">
      <c r="A3940" s="4"/>
      <c r="B3940" s="4"/>
    </row>
    <row r="3941" spans="1:2" x14ac:dyDescent="0.2">
      <c r="A3941" s="4"/>
      <c r="B3941" s="4"/>
    </row>
    <row r="3942" spans="1:2" x14ac:dyDescent="0.2">
      <c r="A3942" s="4"/>
      <c r="B3942" s="4"/>
    </row>
    <row r="3943" spans="1:2" x14ac:dyDescent="0.2">
      <c r="A3943" s="4"/>
      <c r="B3943" s="4"/>
    </row>
    <row r="3944" spans="1:2" x14ac:dyDescent="0.2">
      <c r="A3944" s="4"/>
      <c r="B3944" s="4"/>
    </row>
    <row r="3945" spans="1:2" x14ac:dyDescent="0.2">
      <c r="A3945" s="4"/>
      <c r="B3945" s="4"/>
    </row>
    <row r="3946" spans="1:2" x14ac:dyDescent="0.2">
      <c r="A3946" s="4"/>
      <c r="B3946" s="4"/>
    </row>
    <row r="3947" spans="1:2" x14ac:dyDescent="0.2">
      <c r="A3947" s="4"/>
      <c r="B3947" s="4"/>
    </row>
    <row r="3948" spans="1:2" x14ac:dyDescent="0.2">
      <c r="A3948" s="4"/>
      <c r="B3948" s="4"/>
    </row>
    <row r="3949" spans="1:2" x14ac:dyDescent="0.2">
      <c r="A3949" s="4"/>
      <c r="B3949" s="4"/>
    </row>
    <row r="3950" spans="1:2" x14ac:dyDescent="0.2">
      <c r="A3950" s="4"/>
      <c r="B3950" s="4"/>
    </row>
    <row r="3951" spans="1:2" x14ac:dyDescent="0.2">
      <c r="A3951" s="4"/>
      <c r="B3951" s="4"/>
    </row>
    <row r="3952" spans="1:2" x14ac:dyDescent="0.2">
      <c r="A3952" s="4"/>
      <c r="B3952" s="4"/>
    </row>
    <row r="3953" spans="1:2" x14ac:dyDescent="0.2">
      <c r="A3953" s="4"/>
      <c r="B3953" s="4"/>
    </row>
    <row r="3954" spans="1:2" x14ac:dyDescent="0.2">
      <c r="A3954" s="4"/>
      <c r="B3954" s="4"/>
    </row>
    <row r="3955" spans="1:2" x14ac:dyDescent="0.2">
      <c r="A3955" s="4"/>
      <c r="B3955" s="4"/>
    </row>
    <row r="3956" spans="1:2" x14ac:dyDescent="0.2">
      <c r="A3956" s="4"/>
      <c r="B3956" s="4"/>
    </row>
    <row r="3957" spans="1:2" x14ac:dyDescent="0.2">
      <c r="A3957" s="4"/>
      <c r="B3957" s="4"/>
    </row>
    <row r="3958" spans="1:2" x14ac:dyDescent="0.2">
      <c r="A3958" s="4"/>
      <c r="B3958" s="4"/>
    </row>
    <row r="3959" spans="1:2" x14ac:dyDescent="0.2">
      <c r="A3959" s="4"/>
      <c r="B3959" s="4"/>
    </row>
    <row r="3960" spans="1:2" x14ac:dyDescent="0.2">
      <c r="A3960" s="4"/>
      <c r="B3960" s="4"/>
    </row>
    <row r="3961" spans="1:2" x14ac:dyDescent="0.2">
      <c r="A3961" s="4"/>
      <c r="B3961" s="4"/>
    </row>
    <row r="3962" spans="1:2" x14ac:dyDescent="0.2">
      <c r="A3962" s="4"/>
      <c r="B3962" s="4"/>
    </row>
    <row r="3963" spans="1:2" x14ac:dyDescent="0.2">
      <c r="A3963" s="4"/>
      <c r="B3963" s="4"/>
    </row>
    <row r="3964" spans="1:2" x14ac:dyDescent="0.2">
      <c r="A3964" s="4"/>
      <c r="B3964" s="4"/>
    </row>
    <row r="3965" spans="1:2" x14ac:dyDescent="0.2">
      <c r="A3965" s="4"/>
      <c r="B3965" s="4"/>
    </row>
    <row r="3966" spans="1:2" x14ac:dyDescent="0.2">
      <c r="A3966" s="4"/>
      <c r="B3966" s="4"/>
    </row>
    <row r="3967" spans="1:2" x14ac:dyDescent="0.2">
      <c r="A3967" s="4"/>
      <c r="B3967" s="4"/>
    </row>
    <row r="3968" spans="1:2" x14ac:dyDescent="0.2">
      <c r="A3968" s="4"/>
      <c r="B3968" s="4"/>
    </row>
    <row r="3969" spans="1:2" x14ac:dyDescent="0.2">
      <c r="A3969" s="4"/>
      <c r="B3969" s="4"/>
    </row>
    <row r="3970" spans="1:2" x14ac:dyDescent="0.2">
      <c r="A3970" s="4"/>
      <c r="B3970" s="4"/>
    </row>
    <row r="3971" spans="1:2" x14ac:dyDescent="0.2">
      <c r="A3971" s="4"/>
      <c r="B3971" s="4"/>
    </row>
    <row r="3972" spans="1:2" x14ac:dyDescent="0.2">
      <c r="A3972" s="4"/>
      <c r="B3972" s="4"/>
    </row>
    <row r="3973" spans="1:2" x14ac:dyDescent="0.2">
      <c r="A3973" s="4"/>
      <c r="B3973" s="4"/>
    </row>
    <row r="3974" spans="1:2" x14ac:dyDescent="0.2">
      <c r="A3974" s="4"/>
      <c r="B3974" s="4"/>
    </row>
    <row r="3975" spans="1:2" x14ac:dyDescent="0.2">
      <c r="A3975" s="4"/>
      <c r="B3975" s="4"/>
    </row>
    <row r="3976" spans="1:2" x14ac:dyDescent="0.2">
      <c r="A3976" s="4"/>
      <c r="B3976" s="4"/>
    </row>
    <row r="3977" spans="1:2" x14ac:dyDescent="0.2">
      <c r="A3977" s="4"/>
      <c r="B3977" s="4"/>
    </row>
    <row r="3978" spans="1:2" x14ac:dyDescent="0.2">
      <c r="A3978" s="4"/>
      <c r="B3978" s="4"/>
    </row>
    <row r="3979" spans="1:2" x14ac:dyDescent="0.2">
      <c r="A3979" s="4"/>
      <c r="B3979" s="4"/>
    </row>
    <row r="3980" spans="1:2" x14ac:dyDescent="0.2">
      <c r="A3980" s="4"/>
      <c r="B3980" s="4"/>
    </row>
    <row r="3981" spans="1:2" x14ac:dyDescent="0.2">
      <c r="A3981" s="4"/>
      <c r="B3981" s="4"/>
    </row>
    <row r="3982" spans="1:2" x14ac:dyDescent="0.2">
      <c r="A3982" s="4"/>
      <c r="B3982" s="4"/>
    </row>
    <row r="3983" spans="1:2" x14ac:dyDescent="0.2">
      <c r="A3983" s="4"/>
      <c r="B3983" s="4"/>
    </row>
    <row r="3984" spans="1:2" x14ac:dyDescent="0.2">
      <c r="A3984" s="4"/>
      <c r="B3984" s="4"/>
    </row>
    <row r="3985" spans="1:2" x14ac:dyDescent="0.2">
      <c r="A3985" s="4"/>
      <c r="B3985" s="4"/>
    </row>
    <row r="3986" spans="1:2" x14ac:dyDescent="0.2">
      <c r="A3986" s="4"/>
      <c r="B3986" s="4"/>
    </row>
    <row r="3987" spans="1:2" x14ac:dyDescent="0.2">
      <c r="A3987" s="4"/>
      <c r="B3987" s="4"/>
    </row>
    <row r="3988" spans="1:2" x14ac:dyDescent="0.2">
      <c r="A3988" s="4"/>
      <c r="B3988" s="4"/>
    </row>
    <row r="3989" spans="1:2" x14ac:dyDescent="0.2">
      <c r="A3989" s="4"/>
      <c r="B3989" s="4"/>
    </row>
    <row r="3990" spans="1:2" x14ac:dyDescent="0.2">
      <c r="A3990" s="4"/>
      <c r="B3990" s="4"/>
    </row>
    <row r="3991" spans="1:2" x14ac:dyDescent="0.2">
      <c r="A3991" s="4"/>
      <c r="B3991" s="4"/>
    </row>
    <row r="3992" spans="1:2" x14ac:dyDescent="0.2">
      <c r="A3992" s="4"/>
      <c r="B3992" s="4"/>
    </row>
    <row r="3993" spans="1:2" x14ac:dyDescent="0.2">
      <c r="A3993" s="4"/>
      <c r="B3993" s="4"/>
    </row>
    <row r="3994" spans="1:2" x14ac:dyDescent="0.2">
      <c r="A3994" s="4"/>
      <c r="B3994" s="4"/>
    </row>
    <row r="3995" spans="1:2" x14ac:dyDescent="0.2">
      <c r="A3995" s="4"/>
      <c r="B3995" s="4"/>
    </row>
    <row r="3996" spans="1:2" x14ac:dyDescent="0.2">
      <c r="A3996" s="4"/>
      <c r="B3996" s="4"/>
    </row>
    <row r="3997" spans="1:2" x14ac:dyDescent="0.2">
      <c r="A3997" s="4"/>
      <c r="B3997" s="4"/>
    </row>
    <row r="3998" spans="1:2" x14ac:dyDescent="0.2">
      <c r="A3998" s="4"/>
      <c r="B3998" s="4"/>
    </row>
    <row r="3999" spans="1:2" x14ac:dyDescent="0.2">
      <c r="A3999" s="4"/>
      <c r="B3999" s="4"/>
    </row>
    <row r="4000" spans="1:2" x14ac:dyDescent="0.2">
      <c r="A4000" s="4"/>
      <c r="B4000" s="4"/>
    </row>
    <row r="4001" spans="1:2" x14ac:dyDescent="0.2">
      <c r="A4001" s="4"/>
      <c r="B4001" s="4"/>
    </row>
    <row r="4002" spans="1:2" x14ac:dyDescent="0.2">
      <c r="A4002" s="4"/>
      <c r="B4002" s="4"/>
    </row>
    <row r="4003" spans="1:2" x14ac:dyDescent="0.2">
      <c r="A4003" s="4"/>
      <c r="B4003" s="4"/>
    </row>
    <row r="4004" spans="1:2" x14ac:dyDescent="0.2">
      <c r="A4004" s="4"/>
      <c r="B4004" s="4"/>
    </row>
    <row r="4005" spans="1:2" x14ac:dyDescent="0.2">
      <c r="A4005" s="4"/>
      <c r="B4005" s="4"/>
    </row>
    <row r="4006" spans="1:2" x14ac:dyDescent="0.2">
      <c r="A4006" s="4"/>
      <c r="B4006" s="4"/>
    </row>
    <row r="4007" spans="1:2" x14ac:dyDescent="0.2">
      <c r="A4007" s="4"/>
      <c r="B4007" s="4"/>
    </row>
    <row r="4008" spans="1:2" x14ac:dyDescent="0.2">
      <c r="A4008" s="4"/>
      <c r="B4008" s="4"/>
    </row>
    <row r="4009" spans="1:2" x14ac:dyDescent="0.2">
      <c r="A4009" s="4"/>
      <c r="B4009" s="4"/>
    </row>
    <row r="4010" spans="1:2" x14ac:dyDescent="0.2">
      <c r="A4010" s="4"/>
      <c r="B4010" s="4"/>
    </row>
    <row r="4011" spans="1:2" x14ac:dyDescent="0.2">
      <c r="A4011" s="4"/>
      <c r="B4011" s="4"/>
    </row>
    <row r="4012" spans="1:2" x14ac:dyDescent="0.2">
      <c r="A4012" s="4"/>
      <c r="B4012" s="4"/>
    </row>
    <row r="4013" spans="1:2" x14ac:dyDescent="0.2">
      <c r="A4013" s="4"/>
      <c r="B4013" s="4"/>
    </row>
    <row r="4014" spans="1:2" x14ac:dyDescent="0.2">
      <c r="A4014" s="4"/>
      <c r="B4014" s="4"/>
    </row>
    <row r="4015" spans="1:2" x14ac:dyDescent="0.2">
      <c r="A4015" s="4"/>
      <c r="B4015" s="4"/>
    </row>
    <row r="4016" spans="1:2" x14ac:dyDescent="0.2">
      <c r="A4016" s="4"/>
      <c r="B4016" s="4"/>
    </row>
    <row r="4017" spans="1:2" x14ac:dyDescent="0.2">
      <c r="A4017" s="4"/>
      <c r="B4017" s="4"/>
    </row>
    <row r="4018" spans="1:2" x14ac:dyDescent="0.2">
      <c r="A4018" s="4"/>
      <c r="B4018" s="4"/>
    </row>
    <row r="4019" spans="1:2" x14ac:dyDescent="0.2">
      <c r="A4019" s="4"/>
      <c r="B4019" s="4"/>
    </row>
    <row r="4020" spans="1:2" x14ac:dyDescent="0.2">
      <c r="A4020" s="4"/>
      <c r="B4020" s="4"/>
    </row>
    <row r="4021" spans="1:2" x14ac:dyDescent="0.2">
      <c r="A4021" s="4"/>
      <c r="B4021" s="4"/>
    </row>
    <row r="4022" spans="1:2" x14ac:dyDescent="0.2">
      <c r="A4022" s="4"/>
      <c r="B4022" s="4"/>
    </row>
    <row r="4023" spans="1:2" x14ac:dyDescent="0.2">
      <c r="A4023" s="4"/>
      <c r="B4023" s="4"/>
    </row>
    <row r="4024" spans="1:2" x14ac:dyDescent="0.2">
      <c r="A4024" s="4"/>
      <c r="B4024" s="4"/>
    </row>
    <row r="4025" spans="1:2" x14ac:dyDescent="0.2">
      <c r="A4025" s="4"/>
      <c r="B4025" s="4"/>
    </row>
    <row r="4026" spans="1:2" x14ac:dyDescent="0.2">
      <c r="A4026" s="4"/>
      <c r="B4026" s="4"/>
    </row>
    <row r="4027" spans="1:2" x14ac:dyDescent="0.2">
      <c r="A4027" s="4"/>
      <c r="B4027" s="4"/>
    </row>
    <row r="4028" spans="1:2" x14ac:dyDescent="0.2">
      <c r="A4028" s="4"/>
      <c r="B4028" s="4"/>
    </row>
    <row r="4029" spans="1:2" x14ac:dyDescent="0.2">
      <c r="A4029" s="4"/>
      <c r="B4029" s="4"/>
    </row>
    <row r="4030" spans="1:2" x14ac:dyDescent="0.2">
      <c r="A4030" s="4"/>
      <c r="B4030" s="4"/>
    </row>
    <row r="4031" spans="1:2" x14ac:dyDescent="0.2">
      <c r="A4031" s="4"/>
      <c r="B4031" s="4"/>
    </row>
    <row r="4032" spans="1:2" x14ac:dyDescent="0.2">
      <c r="A4032" s="4"/>
      <c r="B4032" s="4"/>
    </row>
    <row r="4033" spans="1:2" x14ac:dyDescent="0.2">
      <c r="A4033" s="4"/>
      <c r="B4033" s="4"/>
    </row>
    <row r="4034" spans="1:2" x14ac:dyDescent="0.2">
      <c r="A4034" s="4"/>
      <c r="B4034" s="4"/>
    </row>
    <row r="4035" spans="1:2" x14ac:dyDescent="0.2">
      <c r="A4035" s="4"/>
      <c r="B4035" s="4"/>
    </row>
    <row r="4036" spans="1:2" x14ac:dyDescent="0.2">
      <c r="A4036" s="4"/>
      <c r="B4036" s="4"/>
    </row>
    <row r="4037" spans="1:2" x14ac:dyDescent="0.2">
      <c r="A4037" s="4"/>
      <c r="B4037" s="4"/>
    </row>
    <row r="4038" spans="1:2" x14ac:dyDescent="0.2">
      <c r="A4038" s="4"/>
      <c r="B4038" s="4"/>
    </row>
    <row r="4039" spans="1:2" x14ac:dyDescent="0.2">
      <c r="A4039" s="4"/>
      <c r="B4039" s="4"/>
    </row>
    <row r="4040" spans="1:2" x14ac:dyDescent="0.2">
      <c r="A4040" s="4"/>
      <c r="B4040" s="4"/>
    </row>
    <row r="4041" spans="1:2" x14ac:dyDescent="0.2">
      <c r="A4041" s="4"/>
      <c r="B4041" s="4"/>
    </row>
    <row r="4042" spans="1:2" x14ac:dyDescent="0.2">
      <c r="A4042" s="4"/>
      <c r="B4042" s="4"/>
    </row>
    <row r="4043" spans="1:2" x14ac:dyDescent="0.2">
      <c r="A4043" s="4"/>
      <c r="B4043" s="4"/>
    </row>
    <row r="4044" spans="1:2" x14ac:dyDescent="0.2">
      <c r="A4044" s="4"/>
      <c r="B4044" s="4"/>
    </row>
    <row r="4045" spans="1:2" x14ac:dyDescent="0.2">
      <c r="A4045" s="4"/>
      <c r="B4045" s="4"/>
    </row>
    <row r="4046" spans="1:2" x14ac:dyDescent="0.2">
      <c r="A4046" s="4"/>
      <c r="B4046" s="4"/>
    </row>
    <row r="4047" spans="1:2" x14ac:dyDescent="0.2">
      <c r="A4047" s="4"/>
      <c r="B4047" s="4"/>
    </row>
    <row r="4048" spans="1:2" x14ac:dyDescent="0.2">
      <c r="A4048" s="4"/>
      <c r="B4048" s="4"/>
    </row>
    <row r="4049" spans="1:2" x14ac:dyDescent="0.2">
      <c r="A4049" s="4"/>
      <c r="B4049" s="4"/>
    </row>
    <row r="4050" spans="1:2" x14ac:dyDescent="0.2">
      <c r="A4050" s="4"/>
      <c r="B4050" s="4"/>
    </row>
    <row r="4051" spans="1:2" x14ac:dyDescent="0.2">
      <c r="A4051" s="4"/>
      <c r="B4051" s="4"/>
    </row>
    <row r="4052" spans="1:2" x14ac:dyDescent="0.2">
      <c r="A4052" s="4"/>
      <c r="B4052" s="4"/>
    </row>
    <row r="4053" spans="1:2" x14ac:dyDescent="0.2">
      <c r="A4053" s="4"/>
      <c r="B4053" s="4"/>
    </row>
    <row r="4054" spans="1:2" x14ac:dyDescent="0.2">
      <c r="A4054" s="4"/>
      <c r="B4054" s="4"/>
    </row>
    <row r="4055" spans="1:2" x14ac:dyDescent="0.2">
      <c r="A4055" s="4"/>
      <c r="B4055" s="4"/>
    </row>
    <row r="4056" spans="1:2" x14ac:dyDescent="0.2">
      <c r="A4056" s="4"/>
      <c r="B4056" s="4"/>
    </row>
    <row r="4057" spans="1:2" x14ac:dyDescent="0.2">
      <c r="A4057" s="4"/>
      <c r="B4057" s="4"/>
    </row>
    <row r="4058" spans="1:2" x14ac:dyDescent="0.2">
      <c r="A4058" s="4"/>
      <c r="B4058" s="4"/>
    </row>
    <row r="4059" spans="1:2" x14ac:dyDescent="0.2">
      <c r="A4059" s="4"/>
      <c r="B4059" s="4"/>
    </row>
    <row r="4060" spans="1:2" x14ac:dyDescent="0.2">
      <c r="A4060" s="4"/>
      <c r="B4060" s="4"/>
    </row>
    <row r="4061" spans="1:2" x14ac:dyDescent="0.2">
      <c r="A4061" s="4"/>
      <c r="B4061" s="4"/>
    </row>
    <row r="4062" spans="1:2" x14ac:dyDescent="0.2">
      <c r="A4062" s="4"/>
      <c r="B4062" s="4"/>
    </row>
    <row r="4063" spans="1:2" x14ac:dyDescent="0.2">
      <c r="A4063" s="4"/>
      <c r="B4063" s="4"/>
    </row>
    <row r="4064" spans="1:2" x14ac:dyDescent="0.2">
      <c r="A4064" s="4"/>
      <c r="B4064" s="4"/>
    </row>
    <row r="4065" spans="1:2" x14ac:dyDescent="0.2">
      <c r="A4065" s="4"/>
      <c r="B4065" s="4"/>
    </row>
    <row r="4066" spans="1:2" x14ac:dyDescent="0.2">
      <c r="A4066" s="4"/>
      <c r="B4066" s="4"/>
    </row>
    <row r="4067" spans="1:2" x14ac:dyDescent="0.2">
      <c r="A4067" s="4"/>
      <c r="B4067" s="4"/>
    </row>
    <row r="4068" spans="1:2" x14ac:dyDescent="0.2">
      <c r="A4068" s="4"/>
      <c r="B4068" s="4"/>
    </row>
    <row r="4069" spans="1:2" x14ac:dyDescent="0.2">
      <c r="A4069" s="4"/>
      <c r="B4069" s="4"/>
    </row>
    <row r="4070" spans="1:2" x14ac:dyDescent="0.2">
      <c r="A4070" s="4"/>
      <c r="B4070" s="4"/>
    </row>
    <row r="4071" spans="1:2" x14ac:dyDescent="0.2">
      <c r="A4071" s="4"/>
      <c r="B4071" s="4"/>
    </row>
    <row r="4072" spans="1:2" x14ac:dyDescent="0.2">
      <c r="A4072" s="4"/>
      <c r="B4072" s="4"/>
    </row>
    <row r="4073" spans="1:2" x14ac:dyDescent="0.2">
      <c r="A4073" s="4"/>
      <c r="B4073" s="4"/>
    </row>
    <row r="4074" spans="1:2" x14ac:dyDescent="0.2">
      <c r="A4074" s="4"/>
      <c r="B4074" s="4"/>
    </row>
    <row r="4075" spans="1:2" x14ac:dyDescent="0.2">
      <c r="A4075" s="4"/>
      <c r="B4075" s="4"/>
    </row>
    <row r="4076" spans="1:2" x14ac:dyDescent="0.2">
      <c r="A4076" s="4"/>
      <c r="B4076" s="4"/>
    </row>
    <row r="4077" spans="1:2" x14ac:dyDescent="0.2">
      <c r="A4077" s="4"/>
      <c r="B4077" s="4"/>
    </row>
    <row r="4078" spans="1:2" x14ac:dyDescent="0.2">
      <c r="A4078" s="4"/>
      <c r="B4078" s="4"/>
    </row>
    <row r="4079" spans="1:2" x14ac:dyDescent="0.2">
      <c r="A4079" s="4"/>
      <c r="B4079" s="4"/>
    </row>
    <row r="4080" spans="1:2" x14ac:dyDescent="0.2">
      <c r="A4080" s="4"/>
      <c r="B4080" s="4"/>
    </row>
    <row r="4081" spans="1:2" x14ac:dyDescent="0.2">
      <c r="A4081" s="4"/>
      <c r="B4081" s="4"/>
    </row>
    <row r="4082" spans="1:2" x14ac:dyDescent="0.2">
      <c r="A4082" s="4"/>
      <c r="B4082" s="4"/>
    </row>
    <row r="4083" spans="1:2" x14ac:dyDescent="0.2">
      <c r="A4083" s="4"/>
      <c r="B4083" s="4"/>
    </row>
    <row r="4084" spans="1:2" x14ac:dyDescent="0.2">
      <c r="A4084" s="4"/>
      <c r="B4084" s="4"/>
    </row>
    <row r="4085" spans="1:2" x14ac:dyDescent="0.2">
      <c r="A4085" s="4"/>
      <c r="B4085" s="4"/>
    </row>
    <row r="4086" spans="1:2" x14ac:dyDescent="0.2">
      <c r="A4086" s="4"/>
      <c r="B4086" s="4"/>
    </row>
    <row r="4087" spans="1:2" x14ac:dyDescent="0.2">
      <c r="A4087" s="4"/>
      <c r="B4087" s="4"/>
    </row>
    <row r="4088" spans="1:2" x14ac:dyDescent="0.2">
      <c r="A4088" s="4"/>
      <c r="B4088" s="4"/>
    </row>
    <row r="4089" spans="1:2" x14ac:dyDescent="0.2">
      <c r="A4089" s="4"/>
      <c r="B4089" s="4"/>
    </row>
    <row r="4090" spans="1:2" x14ac:dyDescent="0.2">
      <c r="A4090" s="4"/>
      <c r="B4090" s="4"/>
    </row>
    <row r="4091" spans="1:2" x14ac:dyDescent="0.2">
      <c r="A4091" s="4"/>
      <c r="B4091" s="4"/>
    </row>
    <row r="4092" spans="1:2" x14ac:dyDescent="0.2">
      <c r="A4092" s="4"/>
      <c r="B4092" s="4"/>
    </row>
    <row r="4093" spans="1:2" x14ac:dyDescent="0.2">
      <c r="A4093" s="4"/>
      <c r="B4093" s="4"/>
    </row>
    <row r="4094" spans="1:2" x14ac:dyDescent="0.2">
      <c r="A4094" s="4"/>
      <c r="B4094" s="4"/>
    </row>
    <row r="4095" spans="1:2" x14ac:dyDescent="0.2">
      <c r="A4095" s="4"/>
      <c r="B4095" s="4"/>
    </row>
    <row r="4096" spans="1:2" x14ac:dyDescent="0.2">
      <c r="A4096" s="4"/>
      <c r="B4096" s="4"/>
    </row>
    <row r="4097" spans="1:2" x14ac:dyDescent="0.2">
      <c r="A4097" s="4"/>
      <c r="B4097" s="4"/>
    </row>
    <row r="4098" spans="1:2" x14ac:dyDescent="0.2">
      <c r="A4098" s="4"/>
      <c r="B4098" s="4"/>
    </row>
    <row r="4099" spans="1:2" x14ac:dyDescent="0.2">
      <c r="A4099" s="4"/>
      <c r="B4099" s="4"/>
    </row>
    <row r="4100" spans="1:2" x14ac:dyDescent="0.2">
      <c r="A4100" s="4"/>
      <c r="B4100" s="4"/>
    </row>
    <row r="4101" spans="1:2" x14ac:dyDescent="0.2">
      <c r="A4101" s="4"/>
      <c r="B4101" s="4"/>
    </row>
    <row r="4102" spans="1:2" x14ac:dyDescent="0.2">
      <c r="A4102" s="4"/>
      <c r="B4102" s="4"/>
    </row>
    <row r="4103" spans="1:2" x14ac:dyDescent="0.2">
      <c r="A4103" s="4"/>
      <c r="B4103" s="4"/>
    </row>
    <row r="4104" spans="1:2" x14ac:dyDescent="0.2">
      <c r="A4104" s="4"/>
      <c r="B4104" s="4"/>
    </row>
    <row r="4105" spans="1:2" x14ac:dyDescent="0.2">
      <c r="A4105" s="4"/>
      <c r="B4105" s="4"/>
    </row>
    <row r="4106" spans="1:2" x14ac:dyDescent="0.2">
      <c r="A4106" s="4"/>
      <c r="B4106" s="4"/>
    </row>
    <row r="4107" spans="1:2" x14ac:dyDescent="0.2">
      <c r="A4107" s="4"/>
      <c r="B4107" s="4"/>
    </row>
    <row r="4108" spans="1:2" x14ac:dyDescent="0.2">
      <c r="A4108" s="4"/>
      <c r="B4108" s="4"/>
    </row>
    <row r="4109" spans="1:2" x14ac:dyDescent="0.2">
      <c r="A4109" s="4"/>
      <c r="B4109" s="4"/>
    </row>
    <row r="4110" spans="1:2" x14ac:dyDescent="0.2">
      <c r="A4110" s="4"/>
      <c r="B4110" s="4"/>
    </row>
    <row r="4111" spans="1:2" x14ac:dyDescent="0.2">
      <c r="A4111" s="4"/>
      <c r="B4111" s="4"/>
    </row>
    <row r="4112" spans="1:2" x14ac:dyDescent="0.2">
      <c r="A4112" s="4"/>
      <c r="B4112" s="4"/>
    </row>
    <row r="4113" spans="1:2" x14ac:dyDescent="0.2">
      <c r="A4113" s="4"/>
      <c r="B4113" s="4"/>
    </row>
    <row r="4114" spans="1:2" x14ac:dyDescent="0.2">
      <c r="A4114" s="4"/>
      <c r="B4114" s="4"/>
    </row>
    <row r="4115" spans="1:2" x14ac:dyDescent="0.2">
      <c r="A4115" s="4"/>
      <c r="B4115" s="4"/>
    </row>
    <row r="4116" spans="1:2" x14ac:dyDescent="0.2">
      <c r="A4116" s="4"/>
      <c r="B4116" s="4"/>
    </row>
    <row r="4117" spans="1:2" x14ac:dyDescent="0.2">
      <c r="A4117" s="4"/>
      <c r="B4117" s="4"/>
    </row>
    <row r="4118" spans="1:2" x14ac:dyDescent="0.2">
      <c r="A4118" s="4"/>
      <c r="B4118" s="4"/>
    </row>
    <row r="4119" spans="1:2" x14ac:dyDescent="0.2">
      <c r="A4119" s="4"/>
      <c r="B4119" s="4"/>
    </row>
    <row r="4120" spans="1:2" x14ac:dyDescent="0.2">
      <c r="A4120" s="4"/>
      <c r="B4120" s="4"/>
    </row>
    <row r="4121" spans="1:2" x14ac:dyDescent="0.2">
      <c r="A4121" s="4"/>
      <c r="B4121" s="4"/>
    </row>
    <row r="4122" spans="1:2" x14ac:dyDescent="0.2">
      <c r="A4122" s="4"/>
      <c r="B4122" s="4"/>
    </row>
    <row r="4123" spans="1:2" x14ac:dyDescent="0.2">
      <c r="A4123" s="4"/>
      <c r="B4123" s="4"/>
    </row>
    <row r="4124" spans="1:2" x14ac:dyDescent="0.2">
      <c r="A4124" s="4"/>
      <c r="B4124" s="4"/>
    </row>
    <row r="4125" spans="1:2" x14ac:dyDescent="0.2">
      <c r="A4125" s="4"/>
      <c r="B4125" s="4"/>
    </row>
    <row r="4126" spans="1:2" x14ac:dyDescent="0.2">
      <c r="A4126" s="4"/>
      <c r="B4126" s="4"/>
    </row>
    <row r="4127" spans="1:2" x14ac:dyDescent="0.2">
      <c r="A4127" s="4"/>
      <c r="B4127" s="4"/>
    </row>
    <row r="4128" spans="1:2" x14ac:dyDescent="0.2">
      <c r="A4128" s="4"/>
      <c r="B4128" s="4"/>
    </row>
    <row r="4129" spans="1:2" x14ac:dyDescent="0.2">
      <c r="A4129" s="4"/>
      <c r="B4129" s="4"/>
    </row>
    <row r="4130" spans="1:2" x14ac:dyDescent="0.2">
      <c r="A4130" s="4"/>
      <c r="B4130" s="4"/>
    </row>
    <row r="4131" spans="1:2" x14ac:dyDescent="0.2">
      <c r="A4131" s="4"/>
      <c r="B4131" s="4"/>
    </row>
    <row r="4132" spans="1:2" x14ac:dyDescent="0.2">
      <c r="A4132" s="4"/>
      <c r="B4132" s="4"/>
    </row>
    <row r="4133" spans="1:2" x14ac:dyDescent="0.2">
      <c r="A4133" s="4"/>
      <c r="B4133" s="4"/>
    </row>
    <row r="4134" spans="1:2" x14ac:dyDescent="0.2">
      <c r="A4134" s="4"/>
      <c r="B4134" s="4"/>
    </row>
    <row r="4135" spans="1:2" x14ac:dyDescent="0.2">
      <c r="A4135" s="4"/>
      <c r="B4135" s="4"/>
    </row>
    <row r="4136" spans="1:2" x14ac:dyDescent="0.2">
      <c r="A4136" s="4"/>
      <c r="B4136" s="4"/>
    </row>
    <row r="4137" spans="1:2" x14ac:dyDescent="0.2">
      <c r="A4137" s="4"/>
      <c r="B4137" s="4"/>
    </row>
    <row r="4138" spans="1:2" x14ac:dyDescent="0.2">
      <c r="A4138" s="4"/>
      <c r="B4138" s="4"/>
    </row>
    <row r="4139" spans="1:2" x14ac:dyDescent="0.2">
      <c r="A4139" s="4"/>
      <c r="B4139" s="4"/>
    </row>
    <row r="4140" spans="1:2" x14ac:dyDescent="0.2">
      <c r="A4140" s="4"/>
      <c r="B4140" s="4"/>
    </row>
    <row r="4141" spans="1:2" x14ac:dyDescent="0.2">
      <c r="A4141" s="4"/>
      <c r="B4141" s="4"/>
    </row>
    <row r="4142" spans="1:2" x14ac:dyDescent="0.2">
      <c r="A4142" s="4"/>
      <c r="B4142" s="4"/>
    </row>
    <row r="4143" spans="1:2" x14ac:dyDescent="0.2">
      <c r="A4143" s="4"/>
      <c r="B4143" s="4"/>
    </row>
    <row r="4144" spans="1:2" x14ac:dyDescent="0.2">
      <c r="A4144" s="4"/>
      <c r="B4144" s="4"/>
    </row>
    <row r="4145" spans="1:2" x14ac:dyDescent="0.2">
      <c r="A4145" s="4"/>
      <c r="B4145" s="4"/>
    </row>
    <row r="4146" spans="1:2" x14ac:dyDescent="0.2">
      <c r="A4146" s="4"/>
      <c r="B4146" s="4"/>
    </row>
    <row r="4147" spans="1:2" x14ac:dyDescent="0.2">
      <c r="A4147" s="4"/>
      <c r="B4147" s="4"/>
    </row>
    <row r="4148" spans="1:2" x14ac:dyDescent="0.2">
      <c r="A4148" s="4"/>
      <c r="B4148" s="4"/>
    </row>
    <row r="4149" spans="1:2" x14ac:dyDescent="0.2">
      <c r="A4149" s="4"/>
      <c r="B4149" s="4"/>
    </row>
    <row r="4150" spans="1:2" x14ac:dyDescent="0.2">
      <c r="A4150" s="4"/>
      <c r="B4150" s="4"/>
    </row>
    <row r="4151" spans="1:2" x14ac:dyDescent="0.2">
      <c r="A4151" s="4"/>
      <c r="B4151" s="4"/>
    </row>
    <row r="4152" spans="1:2" x14ac:dyDescent="0.2">
      <c r="A4152" s="4"/>
      <c r="B4152" s="4"/>
    </row>
    <row r="4153" spans="1:2" x14ac:dyDescent="0.2">
      <c r="A4153" s="4"/>
      <c r="B4153" s="4"/>
    </row>
    <row r="4154" spans="1:2" x14ac:dyDescent="0.2">
      <c r="A4154" s="4"/>
      <c r="B4154" s="4"/>
    </row>
    <row r="4155" spans="1:2" x14ac:dyDescent="0.2">
      <c r="A4155" s="4"/>
      <c r="B4155" s="4"/>
    </row>
    <row r="4156" spans="1:2" x14ac:dyDescent="0.2">
      <c r="A4156" s="4"/>
      <c r="B4156" s="4"/>
    </row>
    <row r="4157" spans="1:2" x14ac:dyDescent="0.2">
      <c r="A4157" s="4"/>
      <c r="B4157" s="4"/>
    </row>
    <row r="4158" spans="1:2" x14ac:dyDescent="0.2">
      <c r="A4158" s="4"/>
      <c r="B4158" s="4"/>
    </row>
    <row r="4159" spans="1:2" x14ac:dyDescent="0.2">
      <c r="A4159" s="4"/>
      <c r="B4159" s="4"/>
    </row>
    <row r="4160" spans="1:2" x14ac:dyDescent="0.2">
      <c r="A4160" s="4"/>
      <c r="B4160" s="4"/>
    </row>
    <row r="4161" spans="1:2" x14ac:dyDescent="0.2">
      <c r="A4161" s="4"/>
      <c r="B4161" s="4"/>
    </row>
    <row r="4162" spans="1:2" x14ac:dyDescent="0.2">
      <c r="A4162" s="4"/>
      <c r="B4162" s="4"/>
    </row>
    <row r="4163" spans="1:2" x14ac:dyDescent="0.2">
      <c r="A4163" s="4"/>
      <c r="B4163" s="4"/>
    </row>
    <row r="4164" spans="1:2" x14ac:dyDescent="0.2">
      <c r="A4164" s="4"/>
      <c r="B4164" s="4"/>
    </row>
    <row r="4165" spans="1:2" x14ac:dyDescent="0.2">
      <c r="A4165" s="4"/>
      <c r="B4165" s="4"/>
    </row>
    <row r="4166" spans="1:2" x14ac:dyDescent="0.2">
      <c r="A4166" s="4"/>
      <c r="B4166" s="4"/>
    </row>
    <row r="4167" spans="1:2" x14ac:dyDescent="0.2">
      <c r="A4167" s="4"/>
      <c r="B4167" s="4"/>
    </row>
    <row r="4168" spans="1:2" x14ac:dyDescent="0.2">
      <c r="A4168" s="4"/>
      <c r="B4168" s="4"/>
    </row>
    <row r="4169" spans="1:2" x14ac:dyDescent="0.2">
      <c r="A4169" s="4"/>
      <c r="B4169" s="4"/>
    </row>
    <row r="4170" spans="1:2" x14ac:dyDescent="0.2">
      <c r="A4170" s="4"/>
      <c r="B4170" s="4"/>
    </row>
    <row r="4171" spans="1:2" x14ac:dyDescent="0.2">
      <c r="A4171" s="4"/>
      <c r="B4171" s="4"/>
    </row>
    <row r="4172" spans="1:2" x14ac:dyDescent="0.2">
      <c r="A4172" s="4"/>
      <c r="B4172" s="4"/>
    </row>
    <row r="4173" spans="1:2" x14ac:dyDescent="0.2">
      <c r="A4173" s="4"/>
      <c r="B4173" s="4"/>
    </row>
    <row r="4174" spans="1:2" x14ac:dyDescent="0.2">
      <c r="A4174" s="4"/>
      <c r="B4174" s="4"/>
    </row>
    <row r="4175" spans="1:2" x14ac:dyDescent="0.2">
      <c r="A4175" s="4"/>
      <c r="B4175" s="4"/>
    </row>
    <row r="4176" spans="1:2" x14ac:dyDescent="0.2">
      <c r="A4176" s="4"/>
      <c r="B4176" s="4"/>
    </row>
    <row r="4177" spans="1:2" x14ac:dyDescent="0.2">
      <c r="A4177" s="4"/>
      <c r="B4177" s="4"/>
    </row>
    <row r="4178" spans="1:2" x14ac:dyDescent="0.2">
      <c r="A4178" s="4"/>
      <c r="B4178" s="4"/>
    </row>
    <row r="4179" spans="1:2" x14ac:dyDescent="0.2">
      <c r="A4179" s="4"/>
      <c r="B4179" s="4"/>
    </row>
    <row r="4180" spans="1:2" x14ac:dyDescent="0.2">
      <c r="A4180" s="4"/>
      <c r="B4180" s="4"/>
    </row>
    <row r="4181" spans="1:2" x14ac:dyDescent="0.2">
      <c r="A4181" s="4"/>
      <c r="B4181" s="4"/>
    </row>
    <row r="4182" spans="1:2" x14ac:dyDescent="0.2">
      <c r="A4182" s="4"/>
      <c r="B4182" s="4"/>
    </row>
    <row r="4183" spans="1:2" x14ac:dyDescent="0.2">
      <c r="A4183" s="4"/>
      <c r="B4183" s="4"/>
    </row>
    <row r="4184" spans="1:2" x14ac:dyDescent="0.2">
      <c r="A4184" s="4"/>
      <c r="B4184" s="4"/>
    </row>
    <row r="4185" spans="1:2" x14ac:dyDescent="0.2">
      <c r="A4185" s="4"/>
      <c r="B4185" s="4"/>
    </row>
    <row r="4186" spans="1:2" x14ac:dyDescent="0.2">
      <c r="A4186" s="4"/>
      <c r="B4186" s="4"/>
    </row>
    <row r="4187" spans="1:2" x14ac:dyDescent="0.2">
      <c r="A4187" s="4"/>
      <c r="B4187" s="4"/>
    </row>
    <row r="4188" spans="1:2" x14ac:dyDescent="0.2">
      <c r="A4188" s="4"/>
      <c r="B4188" s="4"/>
    </row>
    <row r="4189" spans="1:2" x14ac:dyDescent="0.2">
      <c r="A4189" s="4"/>
      <c r="B4189" s="4"/>
    </row>
    <row r="4190" spans="1:2" x14ac:dyDescent="0.2">
      <c r="A4190" s="4"/>
      <c r="B4190" s="4"/>
    </row>
    <row r="4191" spans="1:2" x14ac:dyDescent="0.2">
      <c r="A4191" s="4"/>
      <c r="B4191" s="4"/>
    </row>
    <row r="4192" spans="1:2" x14ac:dyDescent="0.2">
      <c r="A4192" s="4"/>
      <c r="B4192" s="4"/>
    </row>
    <row r="4193" spans="1:2" x14ac:dyDescent="0.2">
      <c r="A4193" s="4"/>
      <c r="B4193" s="4"/>
    </row>
    <row r="4194" spans="1:2" x14ac:dyDescent="0.2">
      <c r="A4194" s="4"/>
      <c r="B4194" s="4"/>
    </row>
    <row r="4195" spans="1:2" x14ac:dyDescent="0.2">
      <c r="A4195" s="4"/>
      <c r="B4195" s="4"/>
    </row>
    <row r="4196" spans="1:2" x14ac:dyDescent="0.2">
      <c r="A4196" s="4"/>
      <c r="B4196" s="4"/>
    </row>
    <row r="4197" spans="1:2" x14ac:dyDescent="0.2">
      <c r="A4197" s="4"/>
      <c r="B4197" s="4"/>
    </row>
    <row r="4198" spans="1:2" x14ac:dyDescent="0.2">
      <c r="A4198" s="4"/>
      <c r="B4198" s="4"/>
    </row>
    <row r="4199" spans="1:2" x14ac:dyDescent="0.2">
      <c r="A4199" s="4"/>
      <c r="B4199" s="4"/>
    </row>
    <row r="4200" spans="1:2" x14ac:dyDescent="0.2">
      <c r="A4200" s="4"/>
      <c r="B4200" s="4"/>
    </row>
    <row r="4201" spans="1:2" x14ac:dyDescent="0.2">
      <c r="A4201" s="4"/>
      <c r="B4201" s="4"/>
    </row>
    <row r="4202" spans="1:2" x14ac:dyDescent="0.2">
      <c r="A4202" s="4"/>
      <c r="B4202" s="4"/>
    </row>
    <row r="4203" spans="1:2" x14ac:dyDescent="0.2">
      <c r="A4203" s="4"/>
      <c r="B4203" s="4"/>
    </row>
    <row r="4204" spans="1:2" x14ac:dyDescent="0.2">
      <c r="A4204" s="4"/>
      <c r="B4204" s="4"/>
    </row>
    <row r="4205" spans="1:2" x14ac:dyDescent="0.2">
      <c r="A4205" s="4"/>
      <c r="B4205" s="4"/>
    </row>
    <row r="4206" spans="1:2" x14ac:dyDescent="0.2">
      <c r="A4206" s="4"/>
      <c r="B4206" s="4"/>
    </row>
    <row r="4207" spans="1:2" x14ac:dyDescent="0.2">
      <c r="A4207" s="4"/>
      <c r="B4207" s="4"/>
    </row>
    <row r="4208" spans="1:2" x14ac:dyDescent="0.2">
      <c r="A4208" s="4"/>
      <c r="B4208" s="4"/>
    </row>
    <row r="4209" spans="1:2" x14ac:dyDescent="0.2">
      <c r="A4209" s="4"/>
      <c r="B4209" s="4"/>
    </row>
    <row r="4210" spans="1:2" x14ac:dyDescent="0.2">
      <c r="A4210" s="4"/>
      <c r="B4210" s="4"/>
    </row>
    <row r="4211" spans="1:2" x14ac:dyDescent="0.2">
      <c r="A4211" s="4"/>
      <c r="B4211" s="4"/>
    </row>
    <row r="4212" spans="1:2" x14ac:dyDescent="0.2">
      <c r="A4212" s="4"/>
      <c r="B4212" s="4"/>
    </row>
    <row r="4213" spans="1:2" x14ac:dyDescent="0.2">
      <c r="A4213" s="4"/>
      <c r="B4213" s="4"/>
    </row>
    <row r="4214" spans="1:2" x14ac:dyDescent="0.2">
      <c r="A4214" s="4"/>
      <c r="B4214" s="4"/>
    </row>
    <row r="4215" spans="1:2" x14ac:dyDescent="0.2">
      <c r="A4215" s="4"/>
      <c r="B4215" s="4"/>
    </row>
    <row r="4216" spans="1:2" x14ac:dyDescent="0.2">
      <c r="A4216" s="4"/>
      <c r="B4216" s="4"/>
    </row>
    <row r="4217" spans="1:2" x14ac:dyDescent="0.2">
      <c r="A4217" s="4"/>
      <c r="B4217" s="4"/>
    </row>
    <row r="4218" spans="1:2" x14ac:dyDescent="0.2">
      <c r="A4218" s="4"/>
      <c r="B4218" s="4"/>
    </row>
    <row r="4219" spans="1:2" x14ac:dyDescent="0.2">
      <c r="A4219" s="4"/>
      <c r="B4219" s="4"/>
    </row>
    <row r="4220" spans="1:2" x14ac:dyDescent="0.2">
      <c r="A4220" s="4"/>
      <c r="B4220" s="4"/>
    </row>
    <row r="4221" spans="1:2" x14ac:dyDescent="0.2">
      <c r="A4221" s="4"/>
      <c r="B4221" s="4"/>
    </row>
    <row r="4222" spans="1:2" x14ac:dyDescent="0.2">
      <c r="A4222" s="4"/>
      <c r="B4222" s="4"/>
    </row>
    <row r="4223" spans="1:2" x14ac:dyDescent="0.2">
      <c r="A4223" s="4"/>
      <c r="B4223" s="4"/>
    </row>
    <row r="4224" spans="1:2" x14ac:dyDescent="0.2">
      <c r="A4224" s="4"/>
      <c r="B4224" s="4"/>
    </row>
    <row r="4225" spans="1:2" x14ac:dyDescent="0.2">
      <c r="A4225" s="4"/>
      <c r="B4225" s="4"/>
    </row>
    <row r="4226" spans="1:2" x14ac:dyDescent="0.2">
      <c r="A4226" s="4"/>
      <c r="B4226" s="4"/>
    </row>
    <row r="4227" spans="1:2" x14ac:dyDescent="0.2">
      <c r="A4227" s="4"/>
      <c r="B4227" s="4"/>
    </row>
    <row r="4228" spans="1:2" x14ac:dyDescent="0.2">
      <c r="A4228" s="4"/>
      <c r="B4228" s="4"/>
    </row>
    <row r="4229" spans="1:2" x14ac:dyDescent="0.2">
      <c r="A4229" s="4"/>
      <c r="B4229" s="4"/>
    </row>
    <row r="4230" spans="1:2" x14ac:dyDescent="0.2">
      <c r="A4230" s="4"/>
      <c r="B4230" s="4"/>
    </row>
    <row r="4231" spans="1:2" x14ac:dyDescent="0.2">
      <c r="A4231" s="4"/>
      <c r="B4231" s="4"/>
    </row>
    <row r="4232" spans="1:2" x14ac:dyDescent="0.2">
      <c r="A4232" s="4"/>
      <c r="B4232" s="4"/>
    </row>
    <row r="4233" spans="1:2" x14ac:dyDescent="0.2">
      <c r="A4233" s="4"/>
      <c r="B4233" s="4"/>
    </row>
    <row r="4234" spans="1:2" x14ac:dyDescent="0.2">
      <c r="A4234" s="4"/>
      <c r="B4234" s="4"/>
    </row>
    <row r="4235" spans="1:2" x14ac:dyDescent="0.2">
      <c r="A4235" s="4"/>
      <c r="B4235" s="4"/>
    </row>
    <row r="4236" spans="1:2" x14ac:dyDescent="0.2">
      <c r="A4236" s="4"/>
      <c r="B4236" s="4"/>
    </row>
    <row r="4237" spans="1:2" x14ac:dyDescent="0.2">
      <c r="A4237" s="4"/>
      <c r="B4237" s="4"/>
    </row>
    <row r="4238" spans="1:2" x14ac:dyDescent="0.2">
      <c r="A4238" s="4"/>
      <c r="B4238" s="4"/>
    </row>
    <row r="4239" spans="1:2" x14ac:dyDescent="0.2">
      <c r="A4239" s="4"/>
      <c r="B4239" s="4"/>
    </row>
    <row r="4240" spans="1:2" x14ac:dyDescent="0.2">
      <c r="A4240" s="4"/>
      <c r="B4240" s="4"/>
    </row>
    <row r="4241" spans="1:2" x14ac:dyDescent="0.2">
      <c r="A4241" s="4"/>
      <c r="B4241" s="4"/>
    </row>
    <row r="4242" spans="1:2" x14ac:dyDescent="0.2">
      <c r="A4242" s="4"/>
      <c r="B4242" s="4"/>
    </row>
    <row r="4243" spans="1:2" x14ac:dyDescent="0.2">
      <c r="A4243" s="4"/>
      <c r="B4243" s="4"/>
    </row>
    <row r="4244" spans="1:2" x14ac:dyDescent="0.2">
      <c r="A4244" s="4"/>
      <c r="B4244" s="4"/>
    </row>
    <row r="4245" spans="1:2" x14ac:dyDescent="0.2">
      <c r="A4245" s="4"/>
      <c r="B4245" s="4"/>
    </row>
    <row r="4246" spans="1:2" x14ac:dyDescent="0.2">
      <c r="A4246" s="4"/>
      <c r="B4246" s="4"/>
    </row>
    <row r="4247" spans="1:2" x14ac:dyDescent="0.2">
      <c r="A4247" s="4"/>
      <c r="B4247" s="4"/>
    </row>
    <row r="4248" spans="1:2" x14ac:dyDescent="0.2">
      <c r="A4248" s="4"/>
      <c r="B4248" s="4"/>
    </row>
    <row r="4249" spans="1:2" x14ac:dyDescent="0.2">
      <c r="A4249" s="4"/>
      <c r="B4249" s="4"/>
    </row>
    <row r="4250" spans="1:2" x14ac:dyDescent="0.2">
      <c r="A4250" s="4"/>
      <c r="B4250" s="4"/>
    </row>
    <row r="4251" spans="1:2" x14ac:dyDescent="0.2">
      <c r="A4251" s="4"/>
      <c r="B4251" s="4"/>
    </row>
    <row r="4252" spans="1:2" x14ac:dyDescent="0.2">
      <c r="A4252" s="4"/>
      <c r="B4252" s="4"/>
    </row>
    <row r="4253" spans="1:2" x14ac:dyDescent="0.2">
      <c r="A4253" s="4"/>
      <c r="B4253" s="4"/>
    </row>
    <row r="4254" spans="1:2" x14ac:dyDescent="0.2">
      <c r="A4254" s="4"/>
      <c r="B4254" s="4"/>
    </row>
    <row r="4255" spans="1:2" x14ac:dyDescent="0.2">
      <c r="A4255" s="4"/>
      <c r="B4255" s="4"/>
    </row>
    <row r="4256" spans="1:2" x14ac:dyDescent="0.2">
      <c r="A4256" s="4"/>
      <c r="B4256" s="4"/>
    </row>
    <row r="4257" spans="1:2" x14ac:dyDescent="0.2">
      <c r="A4257" s="4"/>
      <c r="B4257" s="4"/>
    </row>
    <row r="4258" spans="1:2" x14ac:dyDescent="0.2">
      <c r="A4258" s="4"/>
      <c r="B4258" s="4"/>
    </row>
    <row r="4259" spans="1:2" x14ac:dyDescent="0.2">
      <c r="A4259" s="4"/>
      <c r="B4259" s="4"/>
    </row>
    <row r="4260" spans="1:2" x14ac:dyDescent="0.2">
      <c r="A4260" s="4"/>
      <c r="B4260" s="4"/>
    </row>
    <row r="4261" spans="1:2" x14ac:dyDescent="0.2">
      <c r="A4261" s="4"/>
      <c r="B4261" s="4"/>
    </row>
    <row r="4262" spans="1:2" x14ac:dyDescent="0.2">
      <c r="A4262" s="4"/>
      <c r="B4262" s="4"/>
    </row>
    <row r="4263" spans="1:2" x14ac:dyDescent="0.2">
      <c r="A4263" s="4"/>
      <c r="B4263" s="4"/>
    </row>
    <row r="4264" spans="1:2" x14ac:dyDescent="0.2">
      <c r="A4264" s="4"/>
      <c r="B4264" s="4"/>
    </row>
    <row r="4265" spans="1:2" x14ac:dyDescent="0.2">
      <c r="A4265" s="4"/>
      <c r="B4265" s="4"/>
    </row>
    <row r="4266" spans="1:2" x14ac:dyDescent="0.2">
      <c r="A4266" s="4"/>
      <c r="B4266" s="4"/>
    </row>
    <row r="4267" spans="1:2" x14ac:dyDescent="0.2">
      <c r="A4267" s="4"/>
      <c r="B4267" s="4"/>
    </row>
    <row r="4268" spans="1:2" x14ac:dyDescent="0.2">
      <c r="A4268" s="4"/>
      <c r="B4268" s="4"/>
    </row>
    <row r="4269" spans="1:2" x14ac:dyDescent="0.2">
      <c r="A4269" s="4"/>
      <c r="B4269" s="4"/>
    </row>
    <row r="4270" spans="1:2" x14ac:dyDescent="0.2">
      <c r="A4270" s="4"/>
      <c r="B4270" s="4"/>
    </row>
    <row r="4271" spans="1:2" x14ac:dyDescent="0.2">
      <c r="A4271" s="4"/>
      <c r="B4271" s="4"/>
    </row>
    <row r="4272" spans="1:2" x14ac:dyDescent="0.2">
      <c r="A4272" s="4"/>
      <c r="B4272" s="4"/>
    </row>
    <row r="4273" spans="1:2" x14ac:dyDescent="0.2">
      <c r="A4273" s="4"/>
      <c r="B4273" s="4"/>
    </row>
    <row r="4274" spans="1:2" x14ac:dyDescent="0.2">
      <c r="A4274" s="4"/>
      <c r="B4274" s="4"/>
    </row>
    <row r="4275" spans="1:2" x14ac:dyDescent="0.2">
      <c r="A4275" s="4"/>
      <c r="B4275" s="4"/>
    </row>
    <row r="4276" spans="1:2" x14ac:dyDescent="0.2">
      <c r="A4276" s="4"/>
      <c r="B4276" s="4"/>
    </row>
    <row r="4277" spans="1:2" x14ac:dyDescent="0.2">
      <c r="A4277" s="4"/>
      <c r="B4277" s="4"/>
    </row>
    <row r="4278" spans="1:2" x14ac:dyDescent="0.2">
      <c r="A4278" s="4"/>
      <c r="B4278" s="4"/>
    </row>
    <row r="4279" spans="1:2" x14ac:dyDescent="0.2">
      <c r="A4279" s="4"/>
      <c r="B4279" s="4"/>
    </row>
    <row r="4280" spans="1:2" x14ac:dyDescent="0.2">
      <c r="A4280" s="4"/>
      <c r="B4280" s="4"/>
    </row>
    <row r="4281" spans="1:2" x14ac:dyDescent="0.2">
      <c r="A4281" s="4"/>
      <c r="B4281" s="4"/>
    </row>
    <row r="4282" spans="1:2" x14ac:dyDescent="0.2">
      <c r="A4282" s="4"/>
      <c r="B4282" s="4"/>
    </row>
    <row r="4283" spans="1:2" x14ac:dyDescent="0.2">
      <c r="A4283" s="4"/>
      <c r="B4283" s="4"/>
    </row>
    <row r="4284" spans="1:2" x14ac:dyDescent="0.2">
      <c r="A4284" s="4"/>
      <c r="B4284" s="4"/>
    </row>
    <row r="4285" spans="1:2" x14ac:dyDescent="0.2">
      <c r="A4285" s="4"/>
      <c r="B4285" s="4"/>
    </row>
    <row r="4286" spans="1:2" x14ac:dyDescent="0.2">
      <c r="A4286" s="4"/>
      <c r="B4286" s="4"/>
    </row>
    <row r="4287" spans="1:2" x14ac:dyDescent="0.2">
      <c r="A4287" s="4"/>
      <c r="B4287" s="4"/>
    </row>
    <row r="4288" spans="1:2" x14ac:dyDescent="0.2">
      <c r="A4288" s="4"/>
      <c r="B4288" s="4"/>
    </row>
    <row r="4289" spans="1:2" x14ac:dyDescent="0.2">
      <c r="A4289" s="4"/>
      <c r="B4289" s="4"/>
    </row>
    <row r="4290" spans="1:2" x14ac:dyDescent="0.2">
      <c r="A4290" s="4"/>
      <c r="B4290" s="4"/>
    </row>
    <row r="4291" spans="1:2" x14ac:dyDescent="0.2">
      <c r="A4291" s="4"/>
      <c r="B4291" s="4"/>
    </row>
    <row r="4292" spans="1:2" x14ac:dyDescent="0.2">
      <c r="A4292" s="4"/>
      <c r="B4292" s="4"/>
    </row>
    <row r="4293" spans="1:2" x14ac:dyDescent="0.2">
      <c r="A4293" s="4"/>
      <c r="B4293" s="4"/>
    </row>
    <row r="4294" spans="1:2" x14ac:dyDescent="0.2">
      <c r="A4294" s="4"/>
      <c r="B4294" s="4"/>
    </row>
    <row r="4295" spans="1:2" x14ac:dyDescent="0.2">
      <c r="A4295" s="4"/>
      <c r="B4295" s="4"/>
    </row>
    <row r="4296" spans="1:2" x14ac:dyDescent="0.2">
      <c r="A4296" s="4"/>
      <c r="B4296" s="4"/>
    </row>
    <row r="4297" spans="1:2" x14ac:dyDescent="0.2">
      <c r="A4297" s="4"/>
      <c r="B4297" s="4"/>
    </row>
    <row r="4298" spans="1:2" x14ac:dyDescent="0.2">
      <c r="A4298" s="4"/>
      <c r="B4298" s="4"/>
    </row>
    <row r="4299" spans="1:2" x14ac:dyDescent="0.2">
      <c r="A4299" s="4"/>
      <c r="B4299" s="4"/>
    </row>
    <row r="4300" spans="1:2" x14ac:dyDescent="0.2">
      <c r="A4300" s="4"/>
      <c r="B4300" s="4"/>
    </row>
    <row r="4301" spans="1:2" x14ac:dyDescent="0.2">
      <c r="A4301" s="4"/>
      <c r="B4301" s="4"/>
    </row>
    <row r="4302" spans="1:2" x14ac:dyDescent="0.2">
      <c r="A4302" s="4"/>
      <c r="B4302" s="4"/>
    </row>
    <row r="4303" spans="1:2" x14ac:dyDescent="0.2">
      <c r="A4303" s="4"/>
      <c r="B4303" s="4"/>
    </row>
    <row r="4304" spans="1:2" x14ac:dyDescent="0.2">
      <c r="A4304" s="4"/>
      <c r="B4304" s="4"/>
    </row>
    <row r="4305" spans="1:2" x14ac:dyDescent="0.2">
      <c r="A4305" s="4"/>
      <c r="B4305" s="4"/>
    </row>
    <row r="4306" spans="1:2" x14ac:dyDescent="0.2">
      <c r="A4306" s="4"/>
      <c r="B4306" s="4"/>
    </row>
    <row r="4307" spans="1:2" x14ac:dyDescent="0.2">
      <c r="A4307" s="4"/>
      <c r="B4307" s="4"/>
    </row>
    <row r="4308" spans="1:2" x14ac:dyDescent="0.2">
      <c r="A4308" s="4"/>
      <c r="B4308" s="4"/>
    </row>
    <row r="4309" spans="1:2" x14ac:dyDescent="0.2">
      <c r="A4309" s="4"/>
      <c r="B4309" s="4"/>
    </row>
    <row r="4310" spans="1:2" x14ac:dyDescent="0.2">
      <c r="A4310" s="4"/>
      <c r="B4310" s="4"/>
    </row>
    <row r="4311" spans="1:2" x14ac:dyDescent="0.2">
      <c r="A4311" s="4"/>
      <c r="B4311" s="4"/>
    </row>
    <row r="4312" spans="1:2" x14ac:dyDescent="0.2">
      <c r="A4312" s="4"/>
      <c r="B4312" s="4"/>
    </row>
    <row r="4313" spans="1:2" x14ac:dyDescent="0.2">
      <c r="A4313" s="4"/>
      <c r="B4313" s="4"/>
    </row>
    <row r="4314" spans="1:2" x14ac:dyDescent="0.2">
      <c r="A4314" s="4"/>
      <c r="B4314" s="4"/>
    </row>
    <row r="4315" spans="1:2" x14ac:dyDescent="0.2">
      <c r="A4315" s="4"/>
      <c r="B4315" s="4"/>
    </row>
    <row r="4316" spans="1:2" x14ac:dyDescent="0.2">
      <c r="A4316" s="4"/>
      <c r="B4316" s="4"/>
    </row>
    <row r="4317" spans="1:2" x14ac:dyDescent="0.2">
      <c r="A4317" s="4"/>
      <c r="B4317" s="4"/>
    </row>
    <row r="4318" spans="1:2" x14ac:dyDescent="0.2">
      <c r="A4318" s="4"/>
      <c r="B4318" s="4"/>
    </row>
    <row r="4319" spans="1:2" x14ac:dyDescent="0.2">
      <c r="A4319" s="4"/>
      <c r="B4319" s="4"/>
    </row>
    <row r="4320" spans="1:2" x14ac:dyDescent="0.2">
      <c r="A4320" s="4"/>
      <c r="B4320" s="4"/>
    </row>
    <row r="4321" spans="1:2" x14ac:dyDescent="0.2">
      <c r="A4321" s="4"/>
      <c r="B4321" s="4"/>
    </row>
    <row r="4322" spans="1:2" x14ac:dyDescent="0.2">
      <c r="A4322" s="4"/>
      <c r="B4322" s="4"/>
    </row>
    <row r="4323" spans="1:2" x14ac:dyDescent="0.2">
      <c r="A4323" s="4"/>
      <c r="B4323" s="4"/>
    </row>
    <row r="4324" spans="1:2" x14ac:dyDescent="0.2">
      <c r="A4324" s="4"/>
      <c r="B4324" s="4"/>
    </row>
    <row r="4325" spans="1:2" x14ac:dyDescent="0.2">
      <c r="A4325" s="4"/>
      <c r="B4325" s="4"/>
    </row>
    <row r="4326" spans="1:2" x14ac:dyDescent="0.2">
      <c r="A4326" s="4"/>
      <c r="B4326" s="4"/>
    </row>
    <row r="4327" spans="1:2" x14ac:dyDescent="0.2">
      <c r="A4327" s="4"/>
      <c r="B4327" s="4"/>
    </row>
    <row r="4328" spans="1:2" x14ac:dyDescent="0.2">
      <c r="A4328" s="4"/>
      <c r="B4328" s="4"/>
    </row>
    <row r="4329" spans="1:2" x14ac:dyDescent="0.2">
      <c r="A4329" s="4"/>
      <c r="B4329" s="4"/>
    </row>
    <row r="4330" spans="1:2" x14ac:dyDescent="0.2">
      <c r="A4330" s="4"/>
      <c r="B4330" s="4"/>
    </row>
    <row r="4331" spans="1:2" x14ac:dyDescent="0.2">
      <c r="A4331" s="4"/>
      <c r="B4331" s="4"/>
    </row>
    <row r="4332" spans="1:2" x14ac:dyDescent="0.2">
      <c r="A4332" s="4"/>
      <c r="B4332" s="4"/>
    </row>
    <row r="4333" spans="1:2" x14ac:dyDescent="0.2">
      <c r="A4333" s="4"/>
      <c r="B4333" s="4"/>
    </row>
    <row r="4334" spans="1:2" x14ac:dyDescent="0.2">
      <c r="A4334" s="4"/>
      <c r="B4334" s="4"/>
    </row>
    <row r="4335" spans="1:2" x14ac:dyDescent="0.2">
      <c r="A4335" s="4"/>
      <c r="B4335" s="4"/>
    </row>
    <row r="4336" spans="1:2" x14ac:dyDescent="0.2">
      <c r="A4336" s="4"/>
      <c r="B4336" s="4"/>
    </row>
    <row r="4337" spans="1:2" x14ac:dyDescent="0.2">
      <c r="A4337" s="4"/>
      <c r="B4337" s="4"/>
    </row>
    <row r="4338" spans="1:2" x14ac:dyDescent="0.2">
      <c r="A4338" s="4"/>
      <c r="B4338" s="4"/>
    </row>
    <row r="4339" spans="1:2" x14ac:dyDescent="0.2">
      <c r="A4339" s="4"/>
      <c r="B4339" s="4"/>
    </row>
    <row r="4340" spans="1:2" x14ac:dyDescent="0.2">
      <c r="A4340" s="4"/>
      <c r="B4340" s="4"/>
    </row>
    <row r="4341" spans="1:2" x14ac:dyDescent="0.2">
      <c r="A4341" s="4"/>
      <c r="B4341" s="4"/>
    </row>
    <row r="4342" spans="1:2" x14ac:dyDescent="0.2">
      <c r="A4342" s="4"/>
      <c r="B4342" s="4"/>
    </row>
    <row r="4343" spans="1:2" x14ac:dyDescent="0.2">
      <c r="A4343" s="4"/>
      <c r="B4343" s="4"/>
    </row>
    <row r="4344" spans="1:2" x14ac:dyDescent="0.2">
      <c r="A4344" s="4"/>
      <c r="B4344" s="4"/>
    </row>
    <row r="4345" spans="1:2" x14ac:dyDescent="0.2">
      <c r="A4345" s="4"/>
      <c r="B4345" s="4"/>
    </row>
    <row r="4346" spans="1:2" x14ac:dyDescent="0.2">
      <c r="A4346" s="4"/>
      <c r="B4346" s="4"/>
    </row>
    <row r="4347" spans="1:2" x14ac:dyDescent="0.2">
      <c r="A4347" s="4"/>
      <c r="B4347" s="4"/>
    </row>
    <row r="4348" spans="1:2" x14ac:dyDescent="0.2">
      <c r="A4348" s="4"/>
      <c r="B4348" s="4"/>
    </row>
    <row r="4349" spans="1:2" x14ac:dyDescent="0.2">
      <c r="A4349" s="4"/>
      <c r="B4349" s="4"/>
    </row>
    <row r="4350" spans="1:2" x14ac:dyDescent="0.2">
      <c r="A4350" s="4"/>
      <c r="B4350" s="4"/>
    </row>
    <row r="4351" spans="1:2" x14ac:dyDescent="0.2">
      <c r="A4351" s="4"/>
      <c r="B4351" s="4"/>
    </row>
    <row r="4352" spans="1:2" x14ac:dyDescent="0.2">
      <c r="A4352" s="4"/>
      <c r="B4352" s="4"/>
    </row>
    <row r="4353" spans="1:2" x14ac:dyDescent="0.2">
      <c r="A4353" s="4"/>
      <c r="B4353" s="4"/>
    </row>
    <row r="4354" spans="1:2" x14ac:dyDescent="0.2">
      <c r="A4354" s="4"/>
      <c r="B4354" s="4"/>
    </row>
    <row r="4355" spans="1:2" x14ac:dyDescent="0.2">
      <c r="A4355" s="4"/>
      <c r="B4355" s="4"/>
    </row>
    <row r="4356" spans="1:2" x14ac:dyDescent="0.2">
      <c r="A4356" s="4"/>
      <c r="B4356" s="4"/>
    </row>
    <row r="4357" spans="1:2" x14ac:dyDescent="0.2">
      <c r="A4357" s="4"/>
      <c r="B4357" s="4"/>
    </row>
    <row r="4358" spans="1:2" x14ac:dyDescent="0.2">
      <c r="A4358" s="4"/>
      <c r="B4358" s="4"/>
    </row>
    <row r="4359" spans="1:2" x14ac:dyDescent="0.2">
      <c r="A4359" s="4"/>
      <c r="B4359" s="4"/>
    </row>
    <row r="4360" spans="1:2" x14ac:dyDescent="0.2">
      <c r="A4360" s="4"/>
      <c r="B4360" s="4"/>
    </row>
    <row r="4361" spans="1:2" x14ac:dyDescent="0.2">
      <c r="A4361" s="4"/>
      <c r="B4361" s="4"/>
    </row>
    <row r="4362" spans="1:2" x14ac:dyDescent="0.2">
      <c r="A4362" s="4"/>
      <c r="B4362" s="4"/>
    </row>
    <row r="4363" spans="1:2" x14ac:dyDescent="0.2">
      <c r="A4363" s="4"/>
      <c r="B4363" s="4"/>
    </row>
    <row r="4364" spans="1:2" x14ac:dyDescent="0.2">
      <c r="A4364" s="4"/>
      <c r="B4364" s="4"/>
    </row>
    <row r="4365" spans="1:2" x14ac:dyDescent="0.2">
      <c r="A4365" s="4"/>
      <c r="B4365" s="4"/>
    </row>
    <row r="4366" spans="1:2" x14ac:dyDescent="0.2">
      <c r="A4366" s="4"/>
      <c r="B4366" s="4"/>
    </row>
    <row r="4367" spans="1:2" x14ac:dyDescent="0.2">
      <c r="A4367" s="4"/>
      <c r="B4367" s="4"/>
    </row>
    <row r="4368" spans="1:2" x14ac:dyDescent="0.2">
      <c r="A4368" s="4"/>
      <c r="B4368" s="4"/>
    </row>
    <row r="4369" spans="1:2" x14ac:dyDescent="0.2">
      <c r="A4369" s="4"/>
      <c r="B4369" s="4"/>
    </row>
    <row r="4370" spans="1:2" x14ac:dyDescent="0.2">
      <c r="A4370" s="4"/>
      <c r="B4370" s="4"/>
    </row>
    <row r="4371" spans="1:2" x14ac:dyDescent="0.2">
      <c r="A4371" s="4"/>
      <c r="B4371" s="4"/>
    </row>
    <row r="4372" spans="1:2" x14ac:dyDescent="0.2">
      <c r="A4372" s="4"/>
      <c r="B4372" s="4"/>
    </row>
    <row r="4373" spans="1:2" x14ac:dyDescent="0.2">
      <c r="A4373" s="4"/>
      <c r="B4373" s="4"/>
    </row>
    <row r="4374" spans="1:2" x14ac:dyDescent="0.2">
      <c r="A4374" s="4"/>
      <c r="B4374" s="4"/>
    </row>
    <row r="4375" spans="1:2" x14ac:dyDescent="0.2">
      <c r="A4375" s="4"/>
      <c r="B4375" s="4"/>
    </row>
    <row r="4376" spans="1:2" x14ac:dyDescent="0.2">
      <c r="A4376" s="4"/>
      <c r="B4376" s="4"/>
    </row>
    <row r="4377" spans="1:2" x14ac:dyDescent="0.2">
      <c r="A4377" s="4"/>
      <c r="B4377" s="4"/>
    </row>
    <row r="4378" spans="1:2" x14ac:dyDescent="0.2">
      <c r="A4378" s="4"/>
      <c r="B4378" s="4"/>
    </row>
    <row r="4379" spans="1:2" x14ac:dyDescent="0.2">
      <c r="A4379" s="4"/>
      <c r="B4379" s="4"/>
    </row>
    <row r="4380" spans="1:2" x14ac:dyDescent="0.2">
      <c r="A4380" s="4"/>
      <c r="B4380" s="4"/>
    </row>
    <row r="4381" spans="1:2" x14ac:dyDescent="0.2">
      <c r="A4381" s="4"/>
      <c r="B4381" s="4"/>
    </row>
    <row r="4382" spans="1:2" x14ac:dyDescent="0.2">
      <c r="A4382" s="4"/>
      <c r="B4382" s="4"/>
    </row>
    <row r="4383" spans="1:2" x14ac:dyDescent="0.2">
      <c r="A4383" s="4"/>
      <c r="B4383" s="4"/>
    </row>
    <row r="4384" spans="1:2" x14ac:dyDescent="0.2">
      <c r="A4384" s="4"/>
      <c r="B4384" s="4"/>
    </row>
    <row r="4385" spans="1:2" x14ac:dyDescent="0.2">
      <c r="A4385" s="4"/>
      <c r="B4385" s="4"/>
    </row>
    <row r="4386" spans="1:2" x14ac:dyDescent="0.2">
      <c r="A4386" s="4"/>
      <c r="B4386" s="4"/>
    </row>
    <row r="4387" spans="1:2" x14ac:dyDescent="0.2">
      <c r="A4387" s="4"/>
      <c r="B4387" s="4"/>
    </row>
    <row r="4388" spans="1:2" x14ac:dyDescent="0.2">
      <c r="A4388" s="4"/>
      <c r="B4388" s="4"/>
    </row>
    <row r="4389" spans="1:2" x14ac:dyDescent="0.2">
      <c r="A4389" s="4"/>
      <c r="B4389" s="4"/>
    </row>
    <row r="4390" spans="1:2" x14ac:dyDescent="0.2">
      <c r="A4390" s="4"/>
      <c r="B4390" s="4"/>
    </row>
    <row r="4391" spans="1:2" x14ac:dyDescent="0.2">
      <c r="A4391" s="4"/>
      <c r="B4391" s="4"/>
    </row>
    <row r="4392" spans="1:2" x14ac:dyDescent="0.2">
      <c r="A4392" s="4"/>
      <c r="B4392" s="4"/>
    </row>
    <row r="4393" spans="1:2" x14ac:dyDescent="0.2">
      <c r="A4393" s="4"/>
      <c r="B4393" s="4"/>
    </row>
    <row r="4394" spans="1:2" x14ac:dyDescent="0.2">
      <c r="A4394" s="4"/>
      <c r="B4394" s="4"/>
    </row>
    <row r="4395" spans="1:2" x14ac:dyDescent="0.2">
      <c r="A4395" s="4"/>
      <c r="B4395" s="4"/>
    </row>
    <row r="4396" spans="1:2" x14ac:dyDescent="0.2">
      <c r="A4396" s="4"/>
      <c r="B4396" s="4"/>
    </row>
    <row r="4397" spans="1:2" x14ac:dyDescent="0.2">
      <c r="A4397" s="4"/>
      <c r="B4397" s="4"/>
    </row>
    <row r="4398" spans="1:2" x14ac:dyDescent="0.2">
      <c r="A4398" s="4"/>
      <c r="B4398" s="4"/>
    </row>
    <row r="4399" spans="1:2" x14ac:dyDescent="0.2">
      <c r="A4399" s="4"/>
      <c r="B4399" s="4"/>
    </row>
    <row r="4400" spans="1:2" x14ac:dyDescent="0.2">
      <c r="A4400" s="4"/>
      <c r="B4400" s="4"/>
    </row>
    <row r="4401" spans="1:2" x14ac:dyDescent="0.2">
      <c r="A4401" s="4"/>
      <c r="B4401" s="4"/>
    </row>
    <row r="4402" spans="1:2" x14ac:dyDescent="0.2">
      <c r="A4402" s="4"/>
      <c r="B4402" s="4"/>
    </row>
    <row r="4403" spans="1:2" x14ac:dyDescent="0.2">
      <c r="A4403" s="4"/>
      <c r="B4403" s="4"/>
    </row>
    <row r="4404" spans="1:2" x14ac:dyDescent="0.2">
      <c r="A4404" s="4"/>
      <c r="B4404" s="4"/>
    </row>
    <row r="4405" spans="1:2" x14ac:dyDescent="0.2">
      <c r="A4405" s="4"/>
      <c r="B4405" s="4"/>
    </row>
    <row r="4406" spans="1:2" x14ac:dyDescent="0.2">
      <c r="A4406" s="4"/>
      <c r="B4406" s="4"/>
    </row>
    <row r="4407" spans="1:2" x14ac:dyDescent="0.2">
      <c r="A4407" s="4"/>
      <c r="B4407" s="4"/>
    </row>
    <row r="4408" spans="1:2" x14ac:dyDescent="0.2">
      <c r="A4408" s="4"/>
      <c r="B4408" s="4"/>
    </row>
    <row r="4409" spans="1:2" x14ac:dyDescent="0.2">
      <c r="A4409" s="4"/>
      <c r="B4409" s="4"/>
    </row>
    <row r="4410" spans="1:2" x14ac:dyDescent="0.2">
      <c r="A4410" s="4"/>
      <c r="B4410" s="4"/>
    </row>
    <row r="4411" spans="1:2" x14ac:dyDescent="0.2">
      <c r="A4411" s="4"/>
      <c r="B4411" s="4"/>
    </row>
    <row r="4412" spans="1:2" x14ac:dyDescent="0.2">
      <c r="A4412" s="4"/>
      <c r="B4412" s="4"/>
    </row>
    <row r="4413" spans="1:2" x14ac:dyDescent="0.2">
      <c r="A4413" s="4"/>
      <c r="B4413" s="4"/>
    </row>
    <row r="4414" spans="1:2" x14ac:dyDescent="0.2">
      <c r="A4414" s="4"/>
      <c r="B4414" s="4"/>
    </row>
    <row r="4415" spans="1:2" x14ac:dyDescent="0.2">
      <c r="A4415" s="4"/>
      <c r="B4415" s="4"/>
    </row>
    <row r="4416" spans="1:2" x14ac:dyDescent="0.2">
      <c r="A4416" s="4"/>
      <c r="B4416" s="4"/>
    </row>
    <row r="4417" spans="1:2" x14ac:dyDescent="0.2">
      <c r="A4417" s="4"/>
      <c r="B4417" s="4"/>
    </row>
    <row r="4418" spans="1:2" x14ac:dyDescent="0.2">
      <c r="A4418" s="4"/>
      <c r="B4418" s="4"/>
    </row>
    <row r="4419" spans="1:2" x14ac:dyDescent="0.2">
      <c r="A4419" s="4"/>
      <c r="B4419" s="4"/>
    </row>
    <row r="4420" spans="1:2" x14ac:dyDescent="0.2">
      <c r="A4420" s="4"/>
      <c r="B4420" s="4"/>
    </row>
    <row r="4421" spans="1:2" x14ac:dyDescent="0.2">
      <c r="A4421" s="4"/>
      <c r="B4421" s="4"/>
    </row>
    <row r="4422" spans="1:2" x14ac:dyDescent="0.2">
      <c r="A4422" s="4"/>
      <c r="B4422" s="4"/>
    </row>
    <row r="4423" spans="1:2" x14ac:dyDescent="0.2">
      <c r="A4423" s="4"/>
      <c r="B4423" s="4"/>
    </row>
    <row r="4424" spans="1:2" x14ac:dyDescent="0.2">
      <c r="A4424" s="4"/>
      <c r="B4424" s="4"/>
    </row>
    <row r="4425" spans="1:2" x14ac:dyDescent="0.2">
      <c r="A4425" s="4"/>
      <c r="B4425" s="4"/>
    </row>
    <row r="4426" spans="1:2" x14ac:dyDescent="0.2">
      <c r="A4426" s="4"/>
      <c r="B4426" s="4"/>
    </row>
    <row r="4427" spans="1:2" x14ac:dyDescent="0.2">
      <c r="A4427" s="4"/>
      <c r="B4427" s="4"/>
    </row>
    <row r="4428" spans="1:2" x14ac:dyDescent="0.2">
      <c r="A4428" s="4"/>
      <c r="B4428" s="4"/>
    </row>
    <row r="4429" spans="1:2" x14ac:dyDescent="0.2">
      <c r="A4429" s="4"/>
      <c r="B4429" s="4"/>
    </row>
    <row r="4430" spans="1:2" x14ac:dyDescent="0.2">
      <c r="A4430" s="4"/>
      <c r="B4430" s="4"/>
    </row>
    <row r="4431" spans="1:2" x14ac:dyDescent="0.2">
      <c r="A4431" s="4"/>
      <c r="B4431" s="4"/>
    </row>
    <row r="4432" spans="1:2" x14ac:dyDescent="0.2">
      <c r="A4432" s="4"/>
      <c r="B4432" s="4"/>
    </row>
    <row r="4433" spans="1:2" x14ac:dyDescent="0.2">
      <c r="A4433" s="4"/>
      <c r="B4433" s="4"/>
    </row>
    <row r="4434" spans="1:2" x14ac:dyDescent="0.2">
      <c r="A4434" s="4"/>
      <c r="B4434" s="4"/>
    </row>
    <row r="4435" spans="1:2" x14ac:dyDescent="0.2">
      <c r="A4435" s="4"/>
      <c r="B4435" s="4"/>
    </row>
    <row r="4436" spans="1:2" x14ac:dyDescent="0.2">
      <c r="A4436" s="4"/>
      <c r="B4436" s="4"/>
    </row>
    <row r="4437" spans="1:2" x14ac:dyDescent="0.2">
      <c r="A4437" s="4"/>
      <c r="B4437" s="4"/>
    </row>
    <row r="4438" spans="1:2" x14ac:dyDescent="0.2">
      <c r="A4438" s="4"/>
      <c r="B4438" s="4"/>
    </row>
    <row r="4439" spans="1:2" x14ac:dyDescent="0.2">
      <c r="A4439" s="4"/>
      <c r="B4439" s="4"/>
    </row>
    <row r="4440" spans="1:2" x14ac:dyDescent="0.2">
      <c r="A4440" s="4"/>
      <c r="B4440" s="4"/>
    </row>
    <row r="4441" spans="1:2" x14ac:dyDescent="0.2">
      <c r="A4441" s="4"/>
      <c r="B4441" s="4"/>
    </row>
    <row r="4442" spans="1:2" x14ac:dyDescent="0.2">
      <c r="A4442" s="4"/>
      <c r="B4442" s="4"/>
    </row>
    <row r="4443" spans="1:2" x14ac:dyDescent="0.2">
      <c r="A4443" s="4"/>
      <c r="B4443" s="4"/>
    </row>
    <row r="4444" spans="1:2" x14ac:dyDescent="0.2">
      <c r="A4444" s="4"/>
      <c r="B4444" s="4"/>
    </row>
    <row r="4445" spans="1:2" x14ac:dyDescent="0.2">
      <c r="A4445" s="4"/>
      <c r="B4445" s="4"/>
    </row>
    <row r="4446" spans="1:2" x14ac:dyDescent="0.2">
      <c r="A4446" s="4"/>
      <c r="B4446" s="4"/>
    </row>
    <row r="4447" spans="1:2" x14ac:dyDescent="0.2">
      <c r="A4447" s="4"/>
      <c r="B4447" s="4"/>
    </row>
    <row r="4448" spans="1:2" x14ac:dyDescent="0.2">
      <c r="A4448" s="4"/>
      <c r="B4448" s="4"/>
    </row>
    <row r="4449" spans="1:2" x14ac:dyDescent="0.2">
      <c r="A4449" s="4"/>
      <c r="B4449" s="4"/>
    </row>
    <row r="4450" spans="1:2" x14ac:dyDescent="0.2">
      <c r="A4450" s="4"/>
      <c r="B4450" s="4"/>
    </row>
    <row r="4451" spans="1:2" x14ac:dyDescent="0.2">
      <c r="A4451" s="4"/>
      <c r="B4451" s="4"/>
    </row>
    <row r="4452" spans="1:2" x14ac:dyDescent="0.2">
      <c r="A4452" s="4"/>
      <c r="B4452" s="4"/>
    </row>
    <row r="4453" spans="1:2" x14ac:dyDescent="0.2">
      <c r="A4453" s="4"/>
      <c r="B4453" s="4"/>
    </row>
    <row r="4454" spans="1:2" x14ac:dyDescent="0.2">
      <c r="A4454" s="4"/>
      <c r="B4454" s="4"/>
    </row>
    <row r="4455" spans="1:2" x14ac:dyDescent="0.2">
      <c r="A4455" s="4"/>
      <c r="B4455" s="4"/>
    </row>
    <row r="4456" spans="1:2" x14ac:dyDescent="0.2">
      <c r="A4456" s="4"/>
      <c r="B4456" s="4"/>
    </row>
    <row r="4457" spans="1:2" x14ac:dyDescent="0.2">
      <c r="A4457" s="4"/>
      <c r="B4457" s="4"/>
    </row>
    <row r="4458" spans="1:2" x14ac:dyDescent="0.2">
      <c r="A4458" s="4"/>
      <c r="B4458" s="4"/>
    </row>
    <row r="4459" spans="1:2" x14ac:dyDescent="0.2">
      <c r="A4459" s="4"/>
      <c r="B4459" s="4"/>
    </row>
    <row r="4460" spans="1:2" x14ac:dyDescent="0.2">
      <c r="A4460" s="4"/>
      <c r="B4460" s="4"/>
    </row>
    <row r="4461" spans="1:2" x14ac:dyDescent="0.2">
      <c r="A4461" s="4"/>
      <c r="B4461" s="4"/>
    </row>
    <row r="4462" spans="1:2" x14ac:dyDescent="0.2">
      <c r="A4462" s="4"/>
      <c r="B4462" s="4"/>
    </row>
    <row r="4463" spans="1:2" x14ac:dyDescent="0.2">
      <c r="A4463" s="4"/>
      <c r="B4463" s="4"/>
    </row>
    <row r="4464" spans="1:2" x14ac:dyDescent="0.2">
      <c r="A4464" s="4"/>
      <c r="B4464" s="4"/>
    </row>
    <row r="4465" spans="1:2" x14ac:dyDescent="0.2">
      <c r="A4465" s="4"/>
      <c r="B4465" s="4"/>
    </row>
    <row r="4466" spans="1:2" x14ac:dyDescent="0.2">
      <c r="A4466" s="4"/>
      <c r="B4466" s="4"/>
    </row>
    <row r="4467" spans="1:2" x14ac:dyDescent="0.2">
      <c r="A4467" s="4"/>
      <c r="B4467" s="4"/>
    </row>
    <row r="4468" spans="1:2" x14ac:dyDescent="0.2">
      <c r="A4468" s="4"/>
      <c r="B4468" s="4"/>
    </row>
    <row r="4469" spans="1:2" x14ac:dyDescent="0.2">
      <c r="A4469" s="4"/>
      <c r="B4469" s="4"/>
    </row>
    <row r="4470" spans="1:2" x14ac:dyDescent="0.2">
      <c r="A4470" s="4"/>
      <c r="B4470" s="4"/>
    </row>
    <row r="4471" spans="1:2" x14ac:dyDescent="0.2">
      <c r="A4471" s="4"/>
      <c r="B4471" s="4"/>
    </row>
    <row r="4472" spans="1:2" x14ac:dyDescent="0.2">
      <c r="A4472" s="4"/>
      <c r="B4472" s="4"/>
    </row>
    <row r="4473" spans="1:2" x14ac:dyDescent="0.2">
      <c r="A4473" s="4"/>
      <c r="B4473" s="4"/>
    </row>
    <row r="4474" spans="1:2" x14ac:dyDescent="0.2">
      <c r="A4474" s="4"/>
      <c r="B4474" s="4"/>
    </row>
    <row r="4475" spans="1:2" x14ac:dyDescent="0.2">
      <c r="A4475" s="4"/>
      <c r="B4475" s="4"/>
    </row>
    <row r="4476" spans="1:2" x14ac:dyDescent="0.2">
      <c r="A4476" s="4"/>
      <c r="B4476" s="4"/>
    </row>
    <row r="4477" spans="1:2" x14ac:dyDescent="0.2">
      <c r="A4477" s="4"/>
      <c r="B4477" s="4"/>
    </row>
    <row r="4478" spans="1:2" x14ac:dyDescent="0.2">
      <c r="A4478" s="4"/>
      <c r="B4478" s="4"/>
    </row>
    <row r="4479" spans="1:2" x14ac:dyDescent="0.2">
      <c r="A4479" s="4"/>
      <c r="B4479" s="4"/>
    </row>
    <row r="4480" spans="1:2" x14ac:dyDescent="0.2">
      <c r="A4480" s="4"/>
      <c r="B4480" s="4"/>
    </row>
    <row r="4481" spans="1:2" x14ac:dyDescent="0.2">
      <c r="A4481" s="4"/>
      <c r="B4481" s="4"/>
    </row>
    <row r="4482" spans="1:2" x14ac:dyDescent="0.2">
      <c r="A4482" s="4"/>
      <c r="B4482" s="4"/>
    </row>
    <row r="4483" spans="1:2" x14ac:dyDescent="0.2">
      <c r="A4483" s="4"/>
      <c r="B4483" s="4"/>
    </row>
    <row r="4484" spans="1:2" x14ac:dyDescent="0.2">
      <c r="A4484" s="4"/>
      <c r="B4484" s="4"/>
    </row>
    <row r="4485" spans="1:2" x14ac:dyDescent="0.2">
      <c r="A4485" s="4"/>
      <c r="B4485" s="4"/>
    </row>
    <row r="4486" spans="1:2" x14ac:dyDescent="0.2">
      <c r="A4486" s="4"/>
      <c r="B4486" s="4"/>
    </row>
    <row r="4487" spans="1:2" x14ac:dyDescent="0.2">
      <c r="A4487" s="4"/>
      <c r="B4487" s="4"/>
    </row>
    <row r="4488" spans="1:2" x14ac:dyDescent="0.2">
      <c r="A4488" s="4"/>
      <c r="B4488" s="4"/>
    </row>
    <row r="4489" spans="1:2" x14ac:dyDescent="0.2">
      <c r="A4489" s="4"/>
      <c r="B4489" s="4"/>
    </row>
    <row r="4490" spans="1:2" x14ac:dyDescent="0.2">
      <c r="A4490" s="4"/>
      <c r="B4490" s="4"/>
    </row>
    <row r="4491" spans="1:2" x14ac:dyDescent="0.2">
      <c r="A4491" s="4"/>
      <c r="B4491" s="4"/>
    </row>
    <row r="4492" spans="1:2" x14ac:dyDescent="0.2">
      <c r="A4492" s="4"/>
      <c r="B4492" s="4"/>
    </row>
    <row r="4493" spans="1:2" x14ac:dyDescent="0.2">
      <c r="A4493" s="4"/>
      <c r="B4493" s="4"/>
    </row>
    <row r="4494" spans="1:2" x14ac:dyDescent="0.2">
      <c r="A4494" s="4"/>
      <c r="B4494" s="4"/>
    </row>
    <row r="4495" spans="1:2" x14ac:dyDescent="0.2">
      <c r="A4495" s="4"/>
      <c r="B4495" s="4"/>
    </row>
    <row r="4496" spans="1:2" x14ac:dyDescent="0.2">
      <c r="A4496" s="4"/>
      <c r="B4496" s="4"/>
    </row>
    <row r="4497" spans="1:2" x14ac:dyDescent="0.2">
      <c r="A4497" s="4"/>
      <c r="B4497" s="4"/>
    </row>
    <row r="4498" spans="1:2" x14ac:dyDescent="0.2">
      <c r="A4498" s="4"/>
      <c r="B4498" s="4"/>
    </row>
    <row r="4499" spans="1:2" x14ac:dyDescent="0.2">
      <c r="A4499" s="4"/>
      <c r="B4499" s="4"/>
    </row>
    <row r="4500" spans="1:2" x14ac:dyDescent="0.2">
      <c r="A4500" s="4"/>
      <c r="B4500" s="4"/>
    </row>
    <row r="4501" spans="1:2" x14ac:dyDescent="0.2">
      <c r="A4501" s="4"/>
      <c r="B4501" s="4"/>
    </row>
    <row r="4502" spans="1:2" x14ac:dyDescent="0.2">
      <c r="A4502" s="4"/>
      <c r="B4502" s="4"/>
    </row>
    <row r="4503" spans="1:2" x14ac:dyDescent="0.2">
      <c r="A4503" s="4"/>
      <c r="B4503" s="4"/>
    </row>
    <row r="4504" spans="1:2" x14ac:dyDescent="0.2">
      <c r="A4504" s="4"/>
      <c r="B4504" s="4"/>
    </row>
    <row r="4505" spans="1:2" x14ac:dyDescent="0.2">
      <c r="A4505" s="4"/>
      <c r="B4505" s="4"/>
    </row>
    <row r="4506" spans="1:2" x14ac:dyDescent="0.2">
      <c r="A4506" s="4"/>
      <c r="B4506" s="4"/>
    </row>
    <row r="4507" spans="1:2" x14ac:dyDescent="0.2">
      <c r="A4507" s="4"/>
      <c r="B4507" s="4"/>
    </row>
    <row r="4508" spans="1:2" x14ac:dyDescent="0.2">
      <c r="A4508" s="4"/>
      <c r="B4508" s="4"/>
    </row>
    <row r="4509" spans="1:2" x14ac:dyDescent="0.2">
      <c r="A4509" s="4"/>
      <c r="B4509" s="4"/>
    </row>
    <row r="4510" spans="1:2" x14ac:dyDescent="0.2">
      <c r="A4510" s="4"/>
      <c r="B4510" s="4"/>
    </row>
    <row r="4511" spans="1:2" x14ac:dyDescent="0.2">
      <c r="A4511" s="4"/>
      <c r="B4511" s="4"/>
    </row>
    <row r="4512" spans="1:2" x14ac:dyDescent="0.2">
      <c r="A4512" s="4"/>
      <c r="B4512" s="4"/>
    </row>
    <row r="4513" spans="1:2" x14ac:dyDescent="0.2">
      <c r="A4513" s="4"/>
      <c r="B4513" s="4"/>
    </row>
    <row r="4514" spans="1:2" x14ac:dyDescent="0.2">
      <c r="A4514" s="4"/>
      <c r="B4514" s="4"/>
    </row>
    <row r="4515" spans="1:2" x14ac:dyDescent="0.2">
      <c r="A4515" s="4"/>
      <c r="B4515" s="4"/>
    </row>
    <row r="4516" spans="1:2" x14ac:dyDescent="0.2">
      <c r="A4516" s="4"/>
      <c r="B4516" s="4"/>
    </row>
    <row r="4517" spans="1:2" x14ac:dyDescent="0.2">
      <c r="A4517" s="4"/>
      <c r="B4517" s="4"/>
    </row>
    <row r="4518" spans="1:2" x14ac:dyDescent="0.2">
      <c r="A4518" s="4"/>
      <c r="B4518" s="4"/>
    </row>
    <row r="4519" spans="1:2" x14ac:dyDescent="0.2">
      <c r="A4519" s="4"/>
      <c r="B4519" s="4"/>
    </row>
    <row r="4520" spans="1:2" x14ac:dyDescent="0.2">
      <c r="A4520" s="4"/>
      <c r="B4520" s="4"/>
    </row>
    <row r="4521" spans="1:2" x14ac:dyDescent="0.2">
      <c r="A4521" s="4"/>
      <c r="B4521" s="4"/>
    </row>
    <row r="4522" spans="1:2" x14ac:dyDescent="0.2">
      <c r="A4522" s="4"/>
      <c r="B4522" s="4"/>
    </row>
    <row r="4523" spans="1:2" x14ac:dyDescent="0.2">
      <c r="A4523" s="4"/>
      <c r="B4523" s="4"/>
    </row>
    <row r="4524" spans="1:2" x14ac:dyDescent="0.2">
      <c r="A4524" s="4"/>
      <c r="B4524" s="4"/>
    </row>
    <row r="4525" spans="1:2" x14ac:dyDescent="0.2">
      <c r="A4525" s="4"/>
      <c r="B4525" s="4"/>
    </row>
    <row r="4526" spans="1:2" x14ac:dyDescent="0.2">
      <c r="A4526" s="4"/>
      <c r="B4526" s="4"/>
    </row>
    <row r="4527" spans="1:2" x14ac:dyDescent="0.2">
      <c r="A4527" s="4"/>
      <c r="B4527" s="4"/>
    </row>
    <row r="4528" spans="1:2" x14ac:dyDescent="0.2">
      <c r="A4528" s="4"/>
      <c r="B4528" s="4"/>
    </row>
    <row r="4529" spans="1:2" x14ac:dyDescent="0.2">
      <c r="A4529" s="4"/>
      <c r="B4529" s="4"/>
    </row>
    <row r="4530" spans="1:2" x14ac:dyDescent="0.2">
      <c r="A4530" s="4"/>
      <c r="B4530" s="4"/>
    </row>
    <row r="4531" spans="1:2" x14ac:dyDescent="0.2">
      <c r="A4531" s="4"/>
      <c r="B4531" s="4"/>
    </row>
    <row r="4532" spans="1:2" x14ac:dyDescent="0.2">
      <c r="A4532" s="4"/>
      <c r="B4532" s="4"/>
    </row>
    <row r="4533" spans="1:2" x14ac:dyDescent="0.2">
      <c r="A4533" s="4"/>
      <c r="B4533" s="4"/>
    </row>
    <row r="4534" spans="1:2" x14ac:dyDescent="0.2">
      <c r="A4534" s="4"/>
      <c r="B4534" s="4"/>
    </row>
    <row r="4535" spans="1:2" x14ac:dyDescent="0.2">
      <c r="A4535" s="4"/>
      <c r="B4535" s="4"/>
    </row>
    <row r="4536" spans="1:2" x14ac:dyDescent="0.2">
      <c r="A4536" s="4"/>
      <c r="B4536" s="4"/>
    </row>
    <row r="4537" spans="1:2" x14ac:dyDescent="0.2">
      <c r="A4537" s="4"/>
      <c r="B4537" s="4"/>
    </row>
    <row r="4538" spans="1:2" x14ac:dyDescent="0.2">
      <c r="A4538" s="4"/>
      <c r="B4538" s="4"/>
    </row>
    <row r="4539" spans="1:2" x14ac:dyDescent="0.2">
      <c r="A4539" s="4"/>
      <c r="B4539" s="4"/>
    </row>
    <row r="4540" spans="1:2" x14ac:dyDescent="0.2">
      <c r="A4540" s="4"/>
      <c r="B4540" s="4"/>
    </row>
    <row r="4541" spans="1:2" x14ac:dyDescent="0.2">
      <c r="A4541" s="4"/>
      <c r="B4541" s="4"/>
    </row>
    <row r="4542" spans="1:2" x14ac:dyDescent="0.2">
      <c r="A4542" s="4"/>
      <c r="B4542" s="4"/>
    </row>
    <row r="4543" spans="1:2" x14ac:dyDescent="0.2">
      <c r="A4543" s="4"/>
      <c r="B4543" s="4"/>
    </row>
    <row r="4544" spans="1:2" x14ac:dyDescent="0.2">
      <c r="A4544" s="4"/>
      <c r="B4544" s="4"/>
    </row>
    <row r="4545" spans="1:2" x14ac:dyDescent="0.2">
      <c r="A4545" s="4"/>
      <c r="B4545" s="4"/>
    </row>
    <row r="4546" spans="1:2" x14ac:dyDescent="0.2">
      <c r="A4546" s="4"/>
      <c r="B4546" s="4"/>
    </row>
    <row r="4547" spans="1:2" x14ac:dyDescent="0.2">
      <c r="A4547" s="4"/>
      <c r="B4547" s="4"/>
    </row>
    <row r="4548" spans="1:2" x14ac:dyDescent="0.2">
      <c r="A4548" s="4"/>
      <c r="B4548" s="4"/>
    </row>
    <row r="4549" spans="1:2" x14ac:dyDescent="0.2">
      <c r="A4549" s="4"/>
      <c r="B4549" s="4"/>
    </row>
    <row r="4550" spans="1:2" x14ac:dyDescent="0.2">
      <c r="A4550" s="4"/>
      <c r="B4550" s="4"/>
    </row>
    <row r="4551" spans="1:2" x14ac:dyDescent="0.2">
      <c r="A4551" s="4"/>
      <c r="B4551" s="4"/>
    </row>
    <row r="4552" spans="1:2" x14ac:dyDescent="0.2">
      <c r="A4552" s="4"/>
      <c r="B4552" s="4"/>
    </row>
    <row r="4553" spans="1:2" x14ac:dyDescent="0.2">
      <c r="A4553" s="4"/>
      <c r="B4553" s="4"/>
    </row>
    <row r="4554" spans="1:2" x14ac:dyDescent="0.2">
      <c r="A4554" s="4"/>
      <c r="B4554" s="4"/>
    </row>
    <row r="4555" spans="1:2" x14ac:dyDescent="0.2">
      <c r="A4555" s="4"/>
      <c r="B4555" s="4"/>
    </row>
    <row r="4556" spans="1:2" x14ac:dyDescent="0.2">
      <c r="A4556" s="4"/>
      <c r="B4556" s="4"/>
    </row>
    <row r="4557" spans="1:2" x14ac:dyDescent="0.2">
      <c r="A4557" s="4"/>
      <c r="B4557" s="4"/>
    </row>
    <row r="4558" spans="1:2" x14ac:dyDescent="0.2">
      <c r="A4558" s="4"/>
      <c r="B4558" s="4"/>
    </row>
    <row r="4559" spans="1:2" x14ac:dyDescent="0.2">
      <c r="A4559" s="4"/>
      <c r="B4559" s="4"/>
    </row>
    <row r="4560" spans="1:2" x14ac:dyDescent="0.2">
      <c r="A4560" s="4"/>
      <c r="B4560" s="4"/>
    </row>
    <row r="4561" spans="1:2" x14ac:dyDescent="0.2">
      <c r="A4561" s="4"/>
      <c r="B4561" s="4"/>
    </row>
    <row r="4562" spans="1:2" x14ac:dyDescent="0.2">
      <c r="A4562" s="4"/>
      <c r="B4562" s="4"/>
    </row>
    <row r="4563" spans="1:2" x14ac:dyDescent="0.2">
      <c r="A4563" s="4"/>
      <c r="B4563" s="4"/>
    </row>
    <row r="4564" spans="1:2" x14ac:dyDescent="0.2">
      <c r="A4564" s="4"/>
      <c r="B4564" s="4"/>
    </row>
    <row r="4565" spans="1:2" x14ac:dyDescent="0.2">
      <c r="A4565" s="4"/>
      <c r="B4565" s="4"/>
    </row>
    <row r="4566" spans="1:2" x14ac:dyDescent="0.2">
      <c r="A4566" s="4"/>
      <c r="B4566" s="4"/>
    </row>
    <row r="4567" spans="1:2" x14ac:dyDescent="0.2">
      <c r="A4567" s="4"/>
      <c r="B4567" s="4"/>
    </row>
    <row r="4568" spans="1:2" x14ac:dyDescent="0.2">
      <c r="A4568" s="4"/>
      <c r="B4568" s="4"/>
    </row>
    <row r="4569" spans="1:2" x14ac:dyDescent="0.2">
      <c r="A4569" s="4"/>
      <c r="B4569" s="4"/>
    </row>
    <row r="4570" spans="1:2" x14ac:dyDescent="0.2">
      <c r="A4570" s="4"/>
      <c r="B4570" s="4"/>
    </row>
    <row r="4571" spans="1:2" x14ac:dyDescent="0.2">
      <c r="A4571" s="4"/>
      <c r="B4571" s="4"/>
    </row>
    <row r="4572" spans="1:2" x14ac:dyDescent="0.2">
      <c r="A4572" s="4"/>
      <c r="B4572" s="4"/>
    </row>
    <row r="4573" spans="1:2" x14ac:dyDescent="0.2">
      <c r="A4573" s="4"/>
      <c r="B4573" s="4"/>
    </row>
    <row r="4574" spans="1:2" x14ac:dyDescent="0.2">
      <c r="A4574" s="4"/>
      <c r="B4574" s="4"/>
    </row>
    <row r="4575" spans="1:2" x14ac:dyDescent="0.2">
      <c r="A4575" s="4"/>
      <c r="B4575" s="4"/>
    </row>
    <row r="4576" spans="1:2" x14ac:dyDescent="0.2">
      <c r="A4576" s="4"/>
      <c r="B4576" s="4"/>
    </row>
    <row r="4577" spans="1:2" x14ac:dyDescent="0.2">
      <c r="A4577" s="4"/>
      <c r="B4577" s="4"/>
    </row>
    <row r="4578" spans="1:2" x14ac:dyDescent="0.2">
      <c r="A4578" s="4"/>
      <c r="B4578" s="4"/>
    </row>
    <row r="4579" spans="1:2" x14ac:dyDescent="0.2">
      <c r="A4579" s="4"/>
      <c r="B4579" s="4"/>
    </row>
    <row r="4580" spans="1:2" x14ac:dyDescent="0.2">
      <c r="A4580" s="4"/>
      <c r="B4580" s="4"/>
    </row>
    <row r="4581" spans="1:2" x14ac:dyDescent="0.2">
      <c r="A4581" s="4"/>
      <c r="B4581" s="4"/>
    </row>
    <row r="4582" spans="1:2" x14ac:dyDescent="0.2">
      <c r="A4582" s="4"/>
      <c r="B4582" s="4"/>
    </row>
    <row r="4583" spans="1:2" x14ac:dyDescent="0.2">
      <c r="A4583" s="4"/>
      <c r="B4583" s="4"/>
    </row>
    <row r="4584" spans="1:2" x14ac:dyDescent="0.2">
      <c r="A4584" s="4"/>
      <c r="B4584" s="4"/>
    </row>
    <row r="4585" spans="1:2" x14ac:dyDescent="0.2">
      <c r="A4585" s="4"/>
      <c r="B4585" s="4"/>
    </row>
    <row r="4586" spans="1:2" x14ac:dyDescent="0.2">
      <c r="A4586" s="4"/>
      <c r="B4586" s="4"/>
    </row>
    <row r="4587" spans="1:2" x14ac:dyDescent="0.2">
      <c r="A4587" s="4"/>
      <c r="B4587" s="4"/>
    </row>
    <row r="4588" spans="1:2" x14ac:dyDescent="0.2">
      <c r="A4588" s="4"/>
      <c r="B4588" s="4"/>
    </row>
    <row r="4589" spans="1:2" x14ac:dyDescent="0.2">
      <c r="A4589" s="4"/>
      <c r="B4589" s="4"/>
    </row>
    <row r="4590" spans="1:2" x14ac:dyDescent="0.2">
      <c r="A4590" s="4"/>
      <c r="B4590" s="4"/>
    </row>
    <row r="4591" spans="1:2" x14ac:dyDescent="0.2">
      <c r="A4591" s="4"/>
      <c r="B4591" s="4"/>
    </row>
    <row r="4592" spans="1:2" x14ac:dyDescent="0.2">
      <c r="A4592" s="4"/>
      <c r="B4592" s="4"/>
    </row>
    <row r="4593" spans="1:2" x14ac:dyDescent="0.2">
      <c r="A4593" s="4"/>
      <c r="B4593" s="4"/>
    </row>
    <row r="4594" spans="1:2" x14ac:dyDescent="0.2">
      <c r="A4594" s="4"/>
      <c r="B4594" s="4"/>
    </row>
    <row r="4595" spans="1:2" x14ac:dyDescent="0.2">
      <c r="A4595" s="4"/>
      <c r="B4595" s="4"/>
    </row>
    <row r="4596" spans="1:2" x14ac:dyDescent="0.2">
      <c r="A4596" s="4"/>
      <c r="B4596" s="4"/>
    </row>
    <row r="4597" spans="1:2" x14ac:dyDescent="0.2">
      <c r="A4597" s="4"/>
      <c r="B4597" s="4"/>
    </row>
    <row r="4598" spans="1:2" x14ac:dyDescent="0.2">
      <c r="A4598" s="4"/>
      <c r="B4598" s="4"/>
    </row>
    <row r="4599" spans="1:2" x14ac:dyDescent="0.2">
      <c r="A4599" s="4"/>
      <c r="B4599" s="4"/>
    </row>
    <row r="4600" spans="1:2" x14ac:dyDescent="0.2">
      <c r="A4600" s="4"/>
      <c r="B4600" s="4"/>
    </row>
    <row r="4601" spans="1:2" x14ac:dyDescent="0.2">
      <c r="A4601" s="4"/>
      <c r="B4601" s="4"/>
    </row>
    <row r="4602" spans="1:2" x14ac:dyDescent="0.2">
      <c r="A4602" s="4"/>
      <c r="B4602" s="4"/>
    </row>
    <row r="4603" spans="1:2" x14ac:dyDescent="0.2">
      <c r="A4603" s="4"/>
      <c r="B4603" s="4"/>
    </row>
    <row r="4604" spans="1:2" x14ac:dyDescent="0.2">
      <c r="A4604" s="4"/>
      <c r="B4604" s="4"/>
    </row>
    <row r="4605" spans="1:2" x14ac:dyDescent="0.2">
      <c r="A4605" s="4"/>
      <c r="B4605" s="4"/>
    </row>
    <row r="4606" spans="1:2" x14ac:dyDescent="0.2">
      <c r="A4606" s="4"/>
      <c r="B4606" s="4"/>
    </row>
    <row r="4607" spans="1:2" x14ac:dyDescent="0.2">
      <c r="A4607" s="4"/>
      <c r="B4607" s="4"/>
    </row>
    <row r="4608" spans="1:2" x14ac:dyDescent="0.2">
      <c r="A4608" s="4"/>
      <c r="B4608" s="4"/>
    </row>
    <row r="4609" spans="1:2" x14ac:dyDescent="0.2">
      <c r="A4609" s="4"/>
      <c r="B4609" s="4"/>
    </row>
    <row r="4610" spans="1:2" x14ac:dyDescent="0.2">
      <c r="A4610" s="4"/>
      <c r="B4610" s="4"/>
    </row>
    <row r="4611" spans="1:2" x14ac:dyDescent="0.2">
      <c r="A4611" s="4"/>
      <c r="B4611" s="4"/>
    </row>
    <row r="4612" spans="1:2" x14ac:dyDescent="0.2">
      <c r="A4612" s="4"/>
      <c r="B4612" s="4"/>
    </row>
    <row r="4613" spans="1:2" x14ac:dyDescent="0.2">
      <c r="A4613" s="4"/>
      <c r="B4613" s="4"/>
    </row>
    <row r="4614" spans="1:2" x14ac:dyDescent="0.2">
      <c r="A4614" s="4"/>
      <c r="B4614" s="4"/>
    </row>
    <row r="4615" spans="1:2" x14ac:dyDescent="0.2">
      <c r="A4615" s="4"/>
      <c r="B4615" s="4"/>
    </row>
    <row r="4616" spans="1:2" x14ac:dyDescent="0.2">
      <c r="A4616" s="4"/>
      <c r="B4616" s="4"/>
    </row>
    <row r="4617" spans="1:2" x14ac:dyDescent="0.2">
      <c r="A4617" s="4"/>
      <c r="B4617" s="4"/>
    </row>
    <row r="4618" spans="1:2" x14ac:dyDescent="0.2">
      <c r="A4618" s="4"/>
      <c r="B4618" s="4"/>
    </row>
    <row r="4619" spans="1:2" x14ac:dyDescent="0.2">
      <c r="A4619" s="4"/>
      <c r="B4619" s="4"/>
    </row>
    <row r="4620" spans="1:2" x14ac:dyDescent="0.2">
      <c r="A4620" s="4"/>
      <c r="B4620" s="4"/>
    </row>
    <row r="4621" spans="1:2" x14ac:dyDescent="0.2">
      <c r="A4621" s="4"/>
      <c r="B4621" s="4"/>
    </row>
    <row r="4622" spans="1:2" x14ac:dyDescent="0.2">
      <c r="A4622" s="4"/>
      <c r="B4622" s="4"/>
    </row>
    <row r="4623" spans="1:2" x14ac:dyDescent="0.2">
      <c r="A4623" s="4"/>
      <c r="B4623" s="4"/>
    </row>
    <row r="4624" spans="1:2" x14ac:dyDescent="0.2">
      <c r="A4624" s="4"/>
      <c r="B4624" s="4"/>
    </row>
    <row r="4625" spans="1:2" x14ac:dyDescent="0.2">
      <c r="A4625" s="4"/>
      <c r="B4625" s="4"/>
    </row>
    <row r="4626" spans="1:2" x14ac:dyDescent="0.2">
      <c r="A4626" s="4"/>
      <c r="B4626" s="4"/>
    </row>
    <row r="4627" spans="1:2" x14ac:dyDescent="0.2">
      <c r="A4627" s="4"/>
      <c r="B4627" s="4"/>
    </row>
    <row r="4628" spans="1:2" x14ac:dyDescent="0.2">
      <c r="A4628" s="4"/>
      <c r="B4628" s="4"/>
    </row>
    <row r="4629" spans="1:2" x14ac:dyDescent="0.2">
      <c r="A4629" s="4"/>
      <c r="B4629" s="4"/>
    </row>
    <row r="4630" spans="1:2" x14ac:dyDescent="0.2">
      <c r="A4630" s="4"/>
      <c r="B4630" s="4"/>
    </row>
    <row r="4631" spans="1:2" x14ac:dyDescent="0.2">
      <c r="A4631" s="4"/>
      <c r="B4631" s="4"/>
    </row>
    <row r="4632" spans="1:2" x14ac:dyDescent="0.2">
      <c r="A4632" s="4"/>
      <c r="B4632" s="4"/>
    </row>
    <row r="4633" spans="1:2" x14ac:dyDescent="0.2">
      <c r="A4633" s="4"/>
      <c r="B4633" s="4"/>
    </row>
    <row r="4634" spans="1:2" x14ac:dyDescent="0.2">
      <c r="A4634" s="4"/>
      <c r="B4634" s="4"/>
    </row>
    <row r="4635" spans="1:2" x14ac:dyDescent="0.2">
      <c r="A4635" s="4"/>
      <c r="B4635" s="4"/>
    </row>
    <row r="4636" spans="1:2" x14ac:dyDescent="0.2">
      <c r="A4636" s="4"/>
      <c r="B4636" s="4"/>
    </row>
    <row r="4637" spans="1:2" x14ac:dyDescent="0.2">
      <c r="A4637" s="4"/>
      <c r="B4637" s="4"/>
    </row>
    <row r="4638" spans="1:2" x14ac:dyDescent="0.2">
      <c r="A4638" s="4"/>
      <c r="B4638" s="4"/>
    </row>
    <row r="4639" spans="1:2" x14ac:dyDescent="0.2">
      <c r="A4639" s="4"/>
      <c r="B4639" s="4"/>
    </row>
    <row r="4640" spans="1:2" x14ac:dyDescent="0.2">
      <c r="A4640" s="4"/>
      <c r="B4640" s="4"/>
    </row>
    <row r="4641" spans="1:2" x14ac:dyDescent="0.2">
      <c r="A4641" s="4"/>
      <c r="B4641" s="4"/>
    </row>
    <row r="4642" spans="1:2" x14ac:dyDescent="0.2">
      <c r="A4642" s="4"/>
      <c r="B4642" s="4"/>
    </row>
    <row r="4643" spans="1:2" x14ac:dyDescent="0.2">
      <c r="A4643" s="4"/>
      <c r="B4643" s="4"/>
    </row>
    <row r="4644" spans="1:2" x14ac:dyDescent="0.2">
      <c r="A4644" s="4"/>
      <c r="B4644" s="4"/>
    </row>
    <row r="4645" spans="1:2" x14ac:dyDescent="0.2">
      <c r="A4645" s="4"/>
      <c r="B4645" s="4"/>
    </row>
    <row r="4646" spans="1:2" x14ac:dyDescent="0.2">
      <c r="A4646" s="4"/>
      <c r="B4646" s="4"/>
    </row>
    <row r="4647" spans="1:2" x14ac:dyDescent="0.2">
      <c r="A4647" s="4"/>
      <c r="B4647" s="4"/>
    </row>
    <row r="4648" spans="1:2" x14ac:dyDescent="0.2">
      <c r="A4648" s="4"/>
      <c r="B4648" s="4"/>
    </row>
    <row r="4649" spans="1:2" x14ac:dyDescent="0.2">
      <c r="A4649" s="4"/>
      <c r="B4649" s="4"/>
    </row>
    <row r="4650" spans="1:2" x14ac:dyDescent="0.2">
      <c r="A4650" s="4"/>
      <c r="B4650" s="4"/>
    </row>
    <row r="4651" spans="1:2" x14ac:dyDescent="0.2">
      <c r="A4651" s="4"/>
      <c r="B4651" s="4"/>
    </row>
    <row r="4652" spans="1:2" x14ac:dyDescent="0.2">
      <c r="A4652" s="4"/>
      <c r="B4652" s="4"/>
    </row>
    <row r="4653" spans="1:2" x14ac:dyDescent="0.2">
      <c r="A4653" s="4"/>
      <c r="B4653" s="4"/>
    </row>
    <row r="4654" spans="1:2" x14ac:dyDescent="0.2">
      <c r="A4654" s="4"/>
      <c r="B4654" s="4"/>
    </row>
    <row r="4655" spans="1:2" x14ac:dyDescent="0.2">
      <c r="A4655" s="4"/>
      <c r="B4655" s="4"/>
    </row>
    <row r="4656" spans="1:2" x14ac:dyDescent="0.2">
      <c r="A4656" s="4"/>
      <c r="B4656" s="4"/>
    </row>
    <row r="4657" spans="1:2" x14ac:dyDescent="0.2">
      <c r="A4657" s="4"/>
      <c r="B4657" s="4"/>
    </row>
    <row r="4658" spans="1:2" x14ac:dyDescent="0.2">
      <c r="A4658" s="4"/>
      <c r="B4658" s="4"/>
    </row>
    <row r="4659" spans="1:2" x14ac:dyDescent="0.2">
      <c r="A4659" s="4"/>
      <c r="B4659" s="4"/>
    </row>
    <row r="4660" spans="1:2" x14ac:dyDescent="0.2">
      <c r="A4660" s="4"/>
      <c r="B4660" s="4"/>
    </row>
    <row r="4661" spans="1:2" x14ac:dyDescent="0.2">
      <c r="A4661" s="4"/>
      <c r="B4661" s="4"/>
    </row>
    <row r="4662" spans="1:2" x14ac:dyDescent="0.2">
      <c r="A4662" s="4"/>
      <c r="B4662" s="4"/>
    </row>
    <row r="4663" spans="1:2" x14ac:dyDescent="0.2">
      <c r="A4663" s="4"/>
      <c r="B4663" s="4"/>
    </row>
    <row r="4664" spans="1:2" x14ac:dyDescent="0.2">
      <c r="A4664" s="4"/>
      <c r="B4664" s="4"/>
    </row>
    <row r="4665" spans="1:2" x14ac:dyDescent="0.2">
      <c r="A4665" s="4"/>
      <c r="B4665" s="4"/>
    </row>
    <row r="4666" spans="1:2" x14ac:dyDescent="0.2">
      <c r="A4666" s="4"/>
      <c r="B4666" s="4"/>
    </row>
    <row r="4667" spans="1:2" x14ac:dyDescent="0.2">
      <c r="A4667" s="4"/>
      <c r="B4667" s="4"/>
    </row>
    <row r="4668" spans="1:2" x14ac:dyDescent="0.2">
      <c r="A4668" s="4"/>
      <c r="B4668" s="4"/>
    </row>
    <row r="4669" spans="1:2" x14ac:dyDescent="0.2">
      <c r="A4669" s="4"/>
      <c r="B4669" s="4"/>
    </row>
    <row r="4670" spans="1:2" x14ac:dyDescent="0.2">
      <c r="A4670" s="4"/>
      <c r="B4670" s="4"/>
    </row>
    <row r="4671" spans="1:2" x14ac:dyDescent="0.2">
      <c r="A4671" s="4"/>
      <c r="B4671" s="4"/>
    </row>
    <row r="4672" spans="1:2" x14ac:dyDescent="0.2">
      <c r="A4672" s="4"/>
      <c r="B4672" s="4"/>
    </row>
    <row r="4673" spans="1:2" x14ac:dyDescent="0.2">
      <c r="A4673" s="4"/>
      <c r="B4673" s="4"/>
    </row>
    <row r="4674" spans="1:2" x14ac:dyDescent="0.2">
      <c r="A4674" s="4"/>
      <c r="B4674" s="4"/>
    </row>
    <row r="4675" spans="1:2" x14ac:dyDescent="0.2">
      <c r="A4675" s="4"/>
      <c r="B4675" s="4"/>
    </row>
    <row r="4676" spans="1:2" x14ac:dyDescent="0.2">
      <c r="A4676" s="4"/>
      <c r="B4676" s="4"/>
    </row>
    <row r="4677" spans="1:2" x14ac:dyDescent="0.2">
      <c r="A4677" s="4"/>
      <c r="B4677" s="4"/>
    </row>
    <row r="4678" spans="1:2" x14ac:dyDescent="0.2">
      <c r="A4678" s="4"/>
      <c r="B4678" s="4"/>
    </row>
    <row r="4679" spans="1:2" x14ac:dyDescent="0.2">
      <c r="A4679" s="4"/>
      <c r="B4679" s="4"/>
    </row>
    <row r="4680" spans="1:2" x14ac:dyDescent="0.2">
      <c r="A4680" s="4"/>
      <c r="B4680" s="4"/>
    </row>
    <row r="4681" spans="1:2" x14ac:dyDescent="0.2">
      <c r="A4681" s="4"/>
      <c r="B4681" s="4"/>
    </row>
    <row r="4682" spans="1:2" x14ac:dyDescent="0.2">
      <c r="A4682" s="4"/>
      <c r="B4682" s="4"/>
    </row>
    <row r="4683" spans="1:2" x14ac:dyDescent="0.2">
      <c r="A4683" s="4"/>
      <c r="B4683" s="4"/>
    </row>
    <row r="4684" spans="1:2" x14ac:dyDescent="0.2">
      <c r="A4684" s="4"/>
      <c r="B4684" s="4"/>
    </row>
    <row r="4685" spans="1:2" x14ac:dyDescent="0.2">
      <c r="A4685" s="4"/>
      <c r="B4685" s="4"/>
    </row>
    <row r="4686" spans="1:2" x14ac:dyDescent="0.2">
      <c r="A4686" s="4"/>
      <c r="B4686" s="4"/>
    </row>
    <row r="4687" spans="1:2" x14ac:dyDescent="0.2">
      <c r="A4687" s="4"/>
      <c r="B4687" s="4"/>
    </row>
    <row r="4688" spans="1:2" x14ac:dyDescent="0.2">
      <c r="A4688" s="4"/>
      <c r="B4688" s="4"/>
    </row>
    <row r="4689" spans="1:2" x14ac:dyDescent="0.2">
      <c r="A4689" s="4"/>
      <c r="B4689" s="4"/>
    </row>
    <row r="4690" spans="1:2" x14ac:dyDescent="0.2">
      <c r="A4690" s="4"/>
      <c r="B4690" s="4"/>
    </row>
    <row r="4691" spans="1:2" x14ac:dyDescent="0.2">
      <c r="A4691" s="4"/>
      <c r="B4691" s="4"/>
    </row>
    <row r="4692" spans="1:2" x14ac:dyDescent="0.2">
      <c r="A4692" s="4"/>
      <c r="B4692" s="4"/>
    </row>
    <row r="4693" spans="1:2" x14ac:dyDescent="0.2">
      <c r="A4693" s="4"/>
      <c r="B4693" s="4"/>
    </row>
    <row r="4694" spans="1:2" x14ac:dyDescent="0.2">
      <c r="A4694" s="4"/>
      <c r="B4694" s="4"/>
    </row>
    <row r="4695" spans="1:2" x14ac:dyDescent="0.2">
      <c r="A4695" s="4"/>
      <c r="B4695" s="4"/>
    </row>
    <row r="4696" spans="1:2" x14ac:dyDescent="0.2">
      <c r="A4696" s="4"/>
      <c r="B4696" s="4"/>
    </row>
    <row r="4697" spans="1:2" x14ac:dyDescent="0.2">
      <c r="A4697" s="4"/>
      <c r="B4697" s="4"/>
    </row>
    <row r="4698" spans="1:2" x14ac:dyDescent="0.2">
      <c r="A4698" s="4"/>
      <c r="B4698" s="4"/>
    </row>
    <row r="4699" spans="1:2" x14ac:dyDescent="0.2">
      <c r="A4699" s="4"/>
      <c r="B4699" s="4"/>
    </row>
    <row r="4700" spans="1:2" x14ac:dyDescent="0.2">
      <c r="A4700" s="4"/>
      <c r="B4700" s="4"/>
    </row>
    <row r="4701" spans="1:2" x14ac:dyDescent="0.2">
      <c r="A4701" s="4"/>
      <c r="B4701" s="4"/>
    </row>
    <row r="4702" spans="1:2" x14ac:dyDescent="0.2">
      <c r="A4702" s="4"/>
      <c r="B4702" s="4"/>
    </row>
    <row r="4703" spans="1:2" x14ac:dyDescent="0.2">
      <c r="A4703" s="4"/>
      <c r="B4703" s="4"/>
    </row>
    <row r="4704" spans="1:2" x14ac:dyDescent="0.2">
      <c r="A4704" s="4"/>
      <c r="B4704" s="4"/>
    </row>
    <row r="4705" spans="1:2" x14ac:dyDescent="0.2">
      <c r="A4705" s="4"/>
      <c r="B4705" s="4"/>
    </row>
    <row r="4706" spans="1:2" x14ac:dyDescent="0.2">
      <c r="A4706" s="4"/>
      <c r="B4706" s="4"/>
    </row>
    <row r="4707" spans="1:2" x14ac:dyDescent="0.2">
      <c r="A4707" s="4"/>
      <c r="B4707" s="4"/>
    </row>
    <row r="4708" spans="1:2" x14ac:dyDescent="0.2">
      <c r="A4708" s="4"/>
      <c r="B4708" s="4"/>
    </row>
    <row r="4709" spans="1:2" x14ac:dyDescent="0.2">
      <c r="A4709" s="4"/>
      <c r="B4709" s="4"/>
    </row>
    <row r="4710" spans="1:2" x14ac:dyDescent="0.2">
      <c r="A4710" s="4"/>
      <c r="B4710" s="4"/>
    </row>
    <row r="4711" spans="1:2" x14ac:dyDescent="0.2">
      <c r="A4711" s="4"/>
      <c r="B4711" s="4"/>
    </row>
    <row r="4712" spans="1:2" x14ac:dyDescent="0.2">
      <c r="A4712" s="4"/>
      <c r="B4712" s="4"/>
    </row>
    <row r="4713" spans="1:2" x14ac:dyDescent="0.2">
      <c r="A4713" s="4"/>
      <c r="B4713" s="4"/>
    </row>
    <row r="4714" spans="1:2" x14ac:dyDescent="0.2">
      <c r="A4714" s="4"/>
      <c r="B4714" s="4"/>
    </row>
    <row r="4715" spans="1:2" x14ac:dyDescent="0.2">
      <c r="A4715" s="4"/>
      <c r="B4715" s="4"/>
    </row>
    <row r="4716" spans="1:2" x14ac:dyDescent="0.2">
      <c r="A4716" s="4"/>
      <c r="B4716" s="4"/>
    </row>
    <row r="4717" spans="1:2" x14ac:dyDescent="0.2">
      <c r="A4717" s="4"/>
      <c r="B4717" s="4"/>
    </row>
    <row r="4718" spans="1:2" x14ac:dyDescent="0.2">
      <c r="A4718" s="4"/>
      <c r="B4718" s="4"/>
    </row>
    <row r="4719" spans="1:2" x14ac:dyDescent="0.2">
      <c r="A4719" s="4"/>
      <c r="B4719" s="4"/>
    </row>
    <row r="4720" spans="1:2" x14ac:dyDescent="0.2">
      <c r="A4720" s="4"/>
      <c r="B4720" s="4"/>
    </row>
    <row r="4721" spans="1:2" x14ac:dyDescent="0.2">
      <c r="A4721" s="4"/>
      <c r="B4721" s="4"/>
    </row>
    <row r="4722" spans="1:2" x14ac:dyDescent="0.2">
      <c r="A4722" s="4"/>
      <c r="B4722" s="4"/>
    </row>
    <row r="4723" spans="1:2" x14ac:dyDescent="0.2">
      <c r="A4723" s="4"/>
      <c r="B4723" s="4"/>
    </row>
    <row r="4724" spans="1:2" x14ac:dyDescent="0.2">
      <c r="A4724" s="4"/>
      <c r="B4724" s="4"/>
    </row>
    <row r="4725" spans="1:2" x14ac:dyDescent="0.2">
      <c r="A4725" s="4"/>
      <c r="B4725" s="4"/>
    </row>
    <row r="4726" spans="1:2" x14ac:dyDescent="0.2">
      <c r="A4726" s="4"/>
      <c r="B4726" s="4"/>
    </row>
    <row r="4727" spans="1:2" x14ac:dyDescent="0.2">
      <c r="A4727" s="4"/>
      <c r="B4727" s="4"/>
    </row>
    <row r="4728" spans="1:2" x14ac:dyDescent="0.2">
      <c r="A4728" s="4"/>
      <c r="B4728" s="4"/>
    </row>
    <row r="4729" spans="1:2" x14ac:dyDescent="0.2">
      <c r="A4729" s="4"/>
      <c r="B4729" s="4"/>
    </row>
    <row r="4730" spans="1:2" x14ac:dyDescent="0.2">
      <c r="A4730" s="4"/>
      <c r="B4730" s="4"/>
    </row>
    <row r="4731" spans="1:2" x14ac:dyDescent="0.2">
      <c r="A4731" s="4"/>
      <c r="B4731" s="4"/>
    </row>
    <row r="4732" spans="1:2" x14ac:dyDescent="0.2">
      <c r="A4732" s="4"/>
      <c r="B4732" s="4"/>
    </row>
    <row r="4733" spans="1:2" x14ac:dyDescent="0.2">
      <c r="A4733" s="4"/>
      <c r="B4733" s="4"/>
    </row>
    <row r="4734" spans="1:2" x14ac:dyDescent="0.2">
      <c r="A4734" s="4"/>
      <c r="B4734" s="4"/>
    </row>
    <row r="4735" spans="1:2" x14ac:dyDescent="0.2">
      <c r="A4735" s="4"/>
      <c r="B4735" s="4"/>
    </row>
    <row r="4736" spans="1:2" x14ac:dyDescent="0.2">
      <c r="A4736" s="4"/>
      <c r="B4736" s="4"/>
    </row>
    <row r="4737" spans="1:2" x14ac:dyDescent="0.2">
      <c r="A4737" s="4"/>
      <c r="B4737" s="4"/>
    </row>
    <row r="4738" spans="1:2" x14ac:dyDescent="0.2">
      <c r="A4738" s="4"/>
      <c r="B4738" s="4"/>
    </row>
    <row r="4739" spans="1:2" x14ac:dyDescent="0.2">
      <c r="A4739" s="4"/>
      <c r="B4739" s="4"/>
    </row>
    <row r="4740" spans="1:2" x14ac:dyDescent="0.2">
      <c r="A4740" s="4"/>
      <c r="B4740" s="4"/>
    </row>
    <row r="4741" spans="1:2" x14ac:dyDescent="0.2">
      <c r="A4741" s="4"/>
      <c r="B4741" s="4"/>
    </row>
    <row r="4742" spans="1:2" x14ac:dyDescent="0.2">
      <c r="A4742" s="4"/>
      <c r="B4742" s="4"/>
    </row>
    <row r="4743" spans="1:2" x14ac:dyDescent="0.2">
      <c r="A4743" s="4"/>
      <c r="B4743" s="4"/>
    </row>
    <row r="4744" spans="1:2" x14ac:dyDescent="0.2">
      <c r="A4744" s="4"/>
      <c r="B4744" s="4"/>
    </row>
    <row r="4745" spans="1:2" x14ac:dyDescent="0.2">
      <c r="A4745" s="4"/>
      <c r="B4745" s="4"/>
    </row>
    <row r="4746" spans="1:2" x14ac:dyDescent="0.2">
      <c r="A4746" s="4"/>
      <c r="B4746" s="4"/>
    </row>
    <row r="4747" spans="1:2" x14ac:dyDescent="0.2">
      <c r="A4747" s="4"/>
      <c r="B4747" s="4"/>
    </row>
    <row r="4748" spans="1:2" x14ac:dyDescent="0.2">
      <c r="A4748" s="4"/>
      <c r="B4748" s="4"/>
    </row>
    <row r="4749" spans="1:2" x14ac:dyDescent="0.2">
      <c r="A4749" s="4"/>
      <c r="B4749" s="4"/>
    </row>
    <row r="4750" spans="1:2" x14ac:dyDescent="0.2">
      <c r="A4750" s="4"/>
      <c r="B4750" s="4"/>
    </row>
    <row r="4751" spans="1:2" x14ac:dyDescent="0.2">
      <c r="A4751" s="4"/>
      <c r="B4751" s="4"/>
    </row>
    <row r="4752" spans="1:2" x14ac:dyDescent="0.2">
      <c r="A4752" s="4"/>
      <c r="B4752" s="4"/>
    </row>
    <row r="4753" spans="1:2" x14ac:dyDescent="0.2">
      <c r="A4753" s="4"/>
      <c r="B4753" s="4"/>
    </row>
    <row r="4754" spans="1:2" x14ac:dyDescent="0.2">
      <c r="A4754" s="4"/>
      <c r="B4754" s="4"/>
    </row>
    <row r="4755" spans="1:2" x14ac:dyDescent="0.2">
      <c r="A4755" s="4"/>
      <c r="B4755" s="4"/>
    </row>
    <row r="4756" spans="1:2" x14ac:dyDescent="0.2">
      <c r="A4756" s="4"/>
      <c r="B4756" s="4"/>
    </row>
    <row r="4757" spans="1:2" x14ac:dyDescent="0.2">
      <c r="A4757" s="4"/>
      <c r="B4757" s="4"/>
    </row>
    <row r="4758" spans="1:2" x14ac:dyDescent="0.2">
      <c r="A4758" s="4"/>
      <c r="B4758" s="4"/>
    </row>
    <row r="4759" spans="1:2" x14ac:dyDescent="0.2">
      <c r="A4759" s="4"/>
      <c r="B4759" s="4"/>
    </row>
    <row r="4760" spans="1:2" x14ac:dyDescent="0.2">
      <c r="A4760" s="4"/>
      <c r="B4760" s="4"/>
    </row>
    <row r="4761" spans="1:2" x14ac:dyDescent="0.2">
      <c r="A4761" s="4"/>
      <c r="B4761" s="4"/>
    </row>
    <row r="4762" spans="1:2" x14ac:dyDescent="0.2">
      <c r="A4762" s="4"/>
      <c r="B4762" s="4"/>
    </row>
    <row r="4763" spans="1:2" x14ac:dyDescent="0.2">
      <c r="A4763" s="4"/>
      <c r="B4763" s="4"/>
    </row>
    <row r="4764" spans="1:2" x14ac:dyDescent="0.2">
      <c r="A4764" s="4"/>
      <c r="B4764" s="4"/>
    </row>
    <row r="4765" spans="1:2" x14ac:dyDescent="0.2">
      <c r="A4765" s="4"/>
      <c r="B4765" s="4"/>
    </row>
    <row r="4766" spans="1:2" x14ac:dyDescent="0.2">
      <c r="A4766" s="4"/>
      <c r="B4766" s="4"/>
    </row>
    <row r="4767" spans="1:2" x14ac:dyDescent="0.2">
      <c r="A4767" s="4"/>
      <c r="B4767" s="4"/>
    </row>
    <row r="4768" spans="1:2" x14ac:dyDescent="0.2">
      <c r="A4768" s="4"/>
      <c r="B4768" s="4"/>
    </row>
    <row r="4769" spans="1:2" x14ac:dyDescent="0.2">
      <c r="A4769" s="4"/>
      <c r="B4769" s="4"/>
    </row>
    <row r="4770" spans="1:2" x14ac:dyDescent="0.2">
      <c r="A4770" s="4"/>
      <c r="B4770" s="4"/>
    </row>
    <row r="4771" spans="1:2" x14ac:dyDescent="0.2">
      <c r="A4771" s="4"/>
      <c r="B4771" s="4"/>
    </row>
    <row r="4772" spans="1:2" x14ac:dyDescent="0.2">
      <c r="A4772" s="4"/>
      <c r="B4772" s="4"/>
    </row>
    <row r="4773" spans="1:2" x14ac:dyDescent="0.2">
      <c r="A4773" s="4"/>
      <c r="B4773" s="4"/>
    </row>
    <row r="4774" spans="1:2" x14ac:dyDescent="0.2">
      <c r="A4774" s="4"/>
      <c r="B4774" s="4"/>
    </row>
    <row r="4775" spans="1:2" x14ac:dyDescent="0.2">
      <c r="A4775" s="4"/>
      <c r="B4775" s="4"/>
    </row>
    <row r="4776" spans="1:2" x14ac:dyDescent="0.2">
      <c r="A4776" s="4"/>
      <c r="B4776" s="4"/>
    </row>
    <row r="4777" spans="1:2" x14ac:dyDescent="0.2">
      <c r="A4777" s="4"/>
      <c r="B4777" s="4"/>
    </row>
    <row r="4778" spans="1:2" x14ac:dyDescent="0.2">
      <c r="A4778" s="4"/>
      <c r="B4778" s="4"/>
    </row>
    <row r="4779" spans="1:2" x14ac:dyDescent="0.2">
      <c r="A4779" s="4"/>
      <c r="B4779" s="4"/>
    </row>
    <row r="4780" spans="1:2" x14ac:dyDescent="0.2">
      <c r="A4780" s="4"/>
      <c r="B4780" s="4"/>
    </row>
    <row r="4781" spans="1:2" x14ac:dyDescent="0.2">
      <c r="A4781" s="4"/>
      <c r="B4781" s="4"/>
    </row>
    <row r="4782" spans="1:2" x14ac:dyDescent="0.2">
      <c r="A4782" s="4"/>
      <c r="B4782" s="4"/>
    </row>
    <row r="4783" spans="1:2" x14ac:dyDescent="0.2">
      <c r="A4783" s="4"/>
      <c r="B4783" s="4"/>
    </row>
    <row r="4784" spans="1:2" x14ac:dyDescent="0.2">
      <c r="A4784" s="4"/>
      <c r="B4784" s="4"/>
    </row>
    <row r="4785" spans="1:2" x14ac:dyDescent="0.2">
      <c r="A4785" s="4"/>
      <c r="B4785" s="4"/>
    </row>
    <row r="4786" spans="1:2" x14ac:dyDescent="0.2">
      <c r="A4786" s="4"/>
      <c r="B4786" s="4"/>
    </row>
    <row r="4787" spans="1:2" x14ac:dyDescent="0.2">
      <c r="A4787" s="4"/>
      <c r="B4787" s="4"/>
    </row>
    <row r="4788" spans="1:2" x14ac:dyDescent="0.2">
      <c r="A4788" s="4"/>
      <c r="B4788" s="4"/>
    </row>
    <row r="4789" spans="1:2" x14ac:dyDescent="0.2">
      <c r="A4789" s="4"/>
      <c r="B4789" s="4"/>
    </row>
    <row r="4790" spans="1:2" x14ac:dyDescent="0.2">
      <c r="A4790" s="4"/>
      <c r="B4790" s="4"/>
    </row>
    <row r="4791" spans="1:2" x14ac:dyDescent="0.2">
      <c r="A4791" s="4"/>
      <c r="B4791" s="4"/>
    </row>
    <row r="4792" spans="1:2" x14ac:dyDescent="0.2">
      <c r="A4792" s="4"/>
      <c r="B4792" s="4"/>
    </row>
    <row r="4793" spans="1:2" x14ac:dyDescent="0.2">
      <c r="A4793" s="4"/>
      <c r="B4793" s="4"/>
    </row>
    <row r="4794" spans="1:2" x14ac:dyDescent="0.2">
      <c r="A4794" s="4"/>
      <c r="B4794" s="4"/>
    </row>
    <row r="4795" spans="1:2" x14ac:dyDescent="0.2">
      <c r="A4795" s="4"/>
      <c r="B4795" s="4"/>
    </row>
    <row r="4796" spans="1:2" x14ac:dyDescent="0.2">
      <c r="A4796" s="4"/>
      <c r="B4796" s="4"/>
    </row>
    <row r="4797" spans="1:2" x14ac:dyDescent="0.2">
      <c r="A4797" s="4"/>
      <c r="B4797" s="4"/>
    </row>
    <row r="4798" spans="1:2" x14ac:dyDescent="0.2">
      <c r="A4798" s="4"/>
      <c r="B4798" s="4"/>
    </row>
    <row r="4799" spans="1:2" x14ac:dyDescent="0.2">
      <c r="A4799" s="4"/>
      <c r="B4799" s="4"/>
    </row>
    <row r="4800" spans="1:2" x14ac:dyDescent="0.2">
      <c r="A4800" s="4"/>
      <c r="B4800" s="4"/>
    </row>
    <row r="4801" spans="1:2" x14ac:dyDescent="0.2">
      <c r="A4801" s="4"/>
      <c r="B4801" s="4"/>
    </row>
    <row r="4802" spans="1:2" x14ac:dyDescent="0.2">
      <c r="A4802" s="4"/>
      <c r="B4802" s="4"/>
    </row>
    <row r="4803" spans="1:2" x14ac:dyDescent="0.2">
      <c r="A4803" s="4"/>
      <c r="B4803" s="4"/>
    </row>
    <row r="4804" spans="1:2" x14ac:dyDescent="0.2">
      <c r="A4804" s="4"/>
      <c r="B4804" s="4"/>
    </row>
    <row r="4805" spans="1:2" x14ac:dyDescent="0.2">
      <c r="A4805" s="4"/>
      <c r="B4805" s="4"/>
    </row>
    <row r="4806" spans="1:2" x14ac:dyDescent="0.2">
      <c r="A4806" s="4"/>
      <c r="B4806" s="4"/>
    </row>
    <row r="4807" spans="1:2" x14ac:dyDescent="0.2">
      <c r="A4807" s="4"/>
      <c r="B4807" s="4"/>
    </row>
    <row r="4808" spans="1:2" x14ac:dyDescent="0.2">
      <c r="A4808" s="4"/>
      <c r="B4808" s="4"/>
    </row>
    <row r="4809" spans="1:2" x14ac:dyDescent="0.2">
      <c r="A4809" s="4"/>
      <c r="B4809" s="4"/>
    </row>
    <row r="4810" spans="1:2" x14ac:dyDescent="0.2">
      <c r="A4810" s="4"/>
      <c r="B4810" s="4"/>
    </row>
    <row r="4811" spans="1:2" x14ac:dyDescent="0.2">
      <c r="A4811" s="4"/>
      <c r="B4811" s="4"/>
    </row>
    <row r="4812" spans="1:2" x14ac:dyDescent="0.2">
      <c r="A4812" s="4"/>
      <c r="B4812" s="4"/>
    </row>
    <row r="4813" spans="1:2" x14ac:dyDescent="0.2">
      <c r="A4813" s="4"/>
      <c r="B4813" s="4"/>
    </row>
    <row r="4814" spans="1:2" x14ac:dyDescent="0.2">
      <c r="A4814" s="4"/>
      <c r="B4814" s="4"/>
    </row>
    <row r="4815" spans="1:2" x14ac:dyDescent="0.2">
      <c r="A4815" s="4"/>
      <c r="B4815" s="4"/>
    </row>
    <row r="4816" spans="1:2" x14ac:dyDescent="0.2">
      <c r="A4816" s="4"/>
      <c r="B4816" s="4"/>
    </row>
    <row r="4817" spans="1:2" x14ac:dyDescent="0.2">
      <c r="A4817" s="4"/>
      <c r="B4817" s="4"/>
    </row>
    <row r="4818" spans="1:2" x14ac:dyDescent="0.2">
      <c r="A4818" s="4"/>
      <c r="B4818" s="4"/>
    </row>
    <row r="4819" spans="1:2" x14ac:dyDescent="0.2">
      <c r="A4819" s="4"/>
      <c r="B4819" s="4"/>
    </row>
    <row r="4820" spans="1:2" x14ac:dyDescent="0.2">
      <c r="A4820" s="4"/>
      <c r="B4820" s="4"/>
    </row>
    <row r="4821" spans="1:2" x14ac:dyDescent="0.2">
      <c r="A4821" s="4"/>
      <c r="B4821" s="4"/>
    </row>
    <row r="4822" spans="1:2" x14ac:dyDescent="0.2">
      <c r="A4822" s="4"/>
      <c r="B4822" s="4"/>
    </row>
    <row r="4823" spans="1:2" x14ac:dyDescent="0.2">
      <c r="A4823" s="4"/>
      <c r="B4823" s="4"/>
    </row>
    <row r="4824" spans="1:2" x14ac:dyDescent="0.2">
      <c r="A4824" s="4"/>
      <c r="B4824" s="4"/>
    </row>
    <row r="4825" spans="1:2" x14ac:dyDescent="0.2">
      <c r="A4825" s="4"/>
      <c r="B4825" s="4"/>
    </row>
    <row r="4826" spans="1:2" x14ac:dyDescent="0.2">
      <c r="A4826" s="4"/>
      <c r="B4826" s="4"/>
    </row>
    <row r="4827" spans="1:2" x14ac:dyDescent="0.2">
      <c r="A4827" s="4"/>
      <c r="B4827" s="4"/>
    </row>
    <row r="4828" spans="1:2" x14ac:dyDescent="0.2">
      <c r="A4828" s="4"/>
      <c r="B4828" s="4"/>
    </row>
    <row r="4829" spans="1:2" x14ac:dyDescent="0.2">
      <c r="A4829" s="4"/>
      <c r="B4829" s="4"/>
    </row>
    <row r="4830" spans="1:2" x14ac:dyDescent="0.2">
      <c r="A4830" s="4"/>
      <c r="B4830" s="4"/>
    </row>
    <row r="4831" spans="1:2" x14ac:dyDescent="0.2">
      <c r="A4831" s="4"/>
      <c r="B4831" s="4"/>
    </row>
    <row r="4832" spans="1:2" x14ac:dyDescent="0.2">
      <c r="A4832" s="4"/>
      <c r="B4832" s="4"/>
    </row>
    <row r="4833" spans="1:2" x14ac:dyDescent="0.2">
      <c r="A4833" s="4"/>
      <c r="B4833" s="4"/>
    </row>
    <row r="4834" spans="1:2" x14ac:dyDescent="0.2">
      <c r="A4834" s="4"/>
      <c r="B4834" s="4"/>
    </row>
    <row r="4835" spans="1:2" x14ac:dyDescent="0.2">
      <c r="A4835" s="4"/>
      <c r="B4835" s="4"/>
    </row>
    <row r="4836" spans="1:2" x14ac:dyDescent="0.2">
      <c r="A4836" s="4"/>
      <c r="B4836" s="4"/>
    </row>
    <row r="4837" spans="1:2" x14ac:dyDescent="0.2">
      <c r="A4837" s="4"/>
      <c r="B4837" s="4"/>
    </row>
    <row r="4838" spans="1:2" x14ac:dyDescent="0.2">
      <c r="A4838" s="4"/>
      <c r="B4838" s="4"/>
    </row>
    <row r="4839" spans="1:2" x14ac:dyDescent="0.2">
      <c r="A4839" s="4"/>
      <c r="B4839" s="4"/>
    </row>
    <row r="4840" spans="1:2" x14ac:dyDescent="0.2">
      <c r="A4840" s="4"/>
      <c r="B4840" s="4"/>
    </row>
    <row r="4841" spans="1:2" x14ac:dyDescent="0.2">
      <c r="A4841" s="4"/>
      <c r="B4841" s="4"/>
    </row>
    <row r="4842" spans="1:2" x14ac:dyDescent="0.2">
      <c r="A4842" s="4"/>
      <c r="B4842" s="4"/>
    </row>
    <row r="4843" spans="1:2" x14ac:dyDescent="0.2">
      <c r="A4843" s="4"/>
      <c r="B4843" s="4"/>
    </row>
    <row r="4844" spans="1:2" x14ac:dyDescent="0.2">
      <c r="A4844" s="4"/>
      <c r="B4844" s="4"/>
    </row>
    <row r="4845" spans="1:2" x14ac:dyDescent="0.2">
      <c r="A4845" s="4"/>
      <c r="B4845" s="4"/>
    </row>
    <row r="4846" spans="1:2" x14ac:dyDescent="0.2">
      <c r="A4846" s="4"/>
      <c r="B4846" s="4"/>
    </row>
    <row r="4847" spans="1:2" x14ac:dyDescent="0.2">
      <c r="A4847" s="4"/>
      <c r="B4847" s="4"/>
    </row>
    <row r="4848" spans="1:2" x14ac:dyDescent="0.2">
      <c r="A4848" s="4"/>
      <c r="B4848" s="4"/>
    </row>
    <row r="4849" spans="1:2" x14ac:dyDescent="0.2">
      <c r="A4849" s="4"/>
      <c r="B4849" s="4"/>
    </row>
    <row r="4850" spans="1:2" x14ac:dyDescent="0.2">
      <c r="A4850" s="4"/>
      <c r="B4850" s="4"/>
    </row>
    <row r="4851" spans="1:2" x14ac:dyDescent="0.2">
      <c r="A4851" s="4"/>
      <c r="B4851" s="4"/>
    </row>
    <row r="4852" spans="1:2" x14ac:dyDescent="0.2">
      <c r="A4852" s="4"/>
      <c r="B4852" s="4"/>
    </row>
    <row r="4853" spans="1:2" x14ac:dyDescent="0.2">
      <c r="A4853" s="4"/>
      <c r="B4853" s="4"/>
    </row>
    <row r="4854" spans="1:2" x14ac:dyDescent="0.2">
      <c r="A4854" s="4"/>
      <c r="B4854" s="4"/>
    </row>
    <row r="4855" spans="1:2" x14ac:dyDescent="0.2">
      <c r="A4855" s="4"/>
      <c r="B4855" s="4"/>
    </row>
    <row r="4856" spans="1:2" x14ac:dyDescent="0.2">
      <c r="A4856" s="4"/>
      <c r="B4856" s="4"/>
    </row>
    <row r="4857" spans="1:2" x14ac:dyDescent="0.2">
      <c r="A4857" s="4"/>
      <c r="B4857" s="4"/>
    </row>
    <row r="4858" spans="1:2" x14ac:dyDescent="0.2">
      <c r="A4858" s="4"/>
      <c r="B4858" s="4"/>
    </row>
    <row r="4859" spans="1:2" x14ac:dyDescent="0.2">
      <c r="A4859" s="4"/>
      <c r="B4859" s="4"/>
    </row>
    <row r="4860" spans="1:2" x14ac:dyDescent="0.2">
      <c r="A4860" s="4"/>
      <c r="B4860" s="4"/>
    </row>
    <row r="4861" spans="1:2" x14ac:dyDescent="0.2">
      <c r="A4861" s="4"/>
      <c r="B4861" s="4"/>
    </row>
    <row r="4862" spans="1:2" x14ac:dyDescent="0.2">
      <c r="A4862" s="4"/>
      <c r="B4862" s="4"/>
    </row>
    <row r="4863" spans="1:2" x14ac:dyDescent="0.2">
      <c r="A4863" s="4"/>
      <c r="B4863" s="4"/>
    </row>
    <row r="4864" spans="1:2" x14ac:dyDescent="0.2">
      <c r="A4864" s="4"/>
      <c r="B4864" s="4"/>
    </row>
    <row r="4865" spans="1:2" x14ac:dyDescent="0.2">
      <c r="A4865" s="4"/>
      <c r="B4865" s="4"/>
    </row>
    <row r="4866" spans="1:2" x14ac:dyDescent="0.2">
      <c r="A4866" s="4"/>
      <c r="B4866" s="4"/>
    </row>
    <row r="4867" spans="1:2" x14ac:dyDescent="0.2">
      <c r="A4867" s="4"/>
      <c r="B4867" s="4"/>
    </row>
    <row r="4868" spans="1:2" x14ac:dyDescent="0.2">
      <c r="A4868" s="4"/>
      <c r="B4868" s="4"/>
    </row>
    <row r="4869" spans="1:2" x14ac:dyDescent="0.2">
      <c r="A4869" s="4"/>
      <c r="B4869" s="4"/>
    </row>
    <row r="4870" spans="1:2" x14ac:dyDescent="0.2">
      <c r="A4870" s="4"/>
      <c r="B4870" s="4"/>
    </row>
    <row r="4871" spans="1:2" x14ac:dyDescent="0.2">
      <c r="A4871" s="4"/>
      <c r="B4871" s="4"/>
    </row>
    <row r="4872" spans="1:2" x14ac:dyDescent="0.2">
      <c r="A4872" s="4"/>
      <c r="B4872" s="4"/>
    </row>
    <row r="4873" spans="1:2" x14ac:dyDescent="0.2">
      <c r="A4873" s="4"/>
      <c r="B4873" s="4"/>
    </row>
    <row r="4874" spans="1:2" x14ac:dyDescent="0.2">
      <c r="A4874" s="4"/>
      <c r="B4874" s="4"/>
    </row>
    <row r="4875" spans="1:2" x14ac:dyDescent="0.2">
      <c r="A4875" s="4"/>
      <c r="B4875" s="4"/>
    </row>
    <row r="4876" spans="1:2" x14ac:dyDescent="0.2">
      <c r="A4876" s="4"/>
      <c r="B4876" s="4"/>
    </row>
    <row r="4877" spans="1:2" x14ac:dyDescent="0.2">
      <c r="A4877" s="4"/>
      <c r="B4877" s="4"/>
    </row>
    <row r="4878" spans="1:2" x14ac:dyDescent="0.2">
      <c r="A4878" s="4"/>
      <c r="B4878" s="4"/>
    </row>
    <row r="4879" spans="1:2" x14ac:dyDescent="0.2">
      <c r="A4879" s="4"/>
      <c r="B4879" s="4"/>
    </row>
    <row r="4880" spans="1:2" x14ac:dyDescent="0.2">
      <c r="A4880" s="4"/>
      <c r="B4880" s="4"/>
    </row>
    <row r="4881" spans="1:2" x14ac:dyDescent="0.2">
      <c r="A4881" s="4"/>
      <c r="B4881" s="4"/>
    </row>
    <row r="4882" spans="1:2" x14ac:dyDescent="0.2">
      <c r="A4882" s="4"/>
      <c r="B4882" s="4"/>
    </row>
    <row r="4883" spans="1:2" x14ac:dyDescent="0.2">
      <c r="A4883" s="4"/>
      <c r="B4883" s="4"/>
    </row>
    <row r="4884" spans="1:2" x14ac:dyDescent="0.2">
      <c r="A4884" s="4"/>
      <c r="B4884" s="4"/>
    </row>
    <row r="4885" spans="1:2" x14ac:dyDescent="0.2">
      <c r="A4885" s="4"/>
      <c r="B4885" s="4"/>
    </row>
    <row r="4886" spans="1:2" x14ac:dyDescent="0.2">
      <c r="A4886" s="4"/>
      <c r="B4886" s="4"/>
    </row>
    <row r="4887" spans="1:2" x14ac:dyDescent="0.2">
      <c r="A4887" s="4"/>
      <c r="B4887" s="4"/>
    </row>
    <row r="4888" spans="1:2" x14ac:dyDescent="0.2">
      <c r="A4888" s="4"/>
      <c r="B4888" s="4"/>
    </row>
    <row r="4889" spans="1:2" x14ac:dyDescent="0.2">
      <c r="A4889" s="4"/>
      <c r="B4889" s="4"/>
    </row>
    <row r="4890" spans="1:2" x14ac:dyDescent="0.2">
      <c r="A4890" s="4"/>
      <c r="B4890" s="4"/>
    </row>
    <row r="4891" spans="1:2" x14ac:dyDescent="0.2">
      <c r="A4891" s="4"/>
      <c r="B4891" s="4"/>
    </row>
    <row r="4892" spans="1:2" x14ac:dyDescent="0.2">
      <c r="A4892" s="4"/>
      <c r="B4892" s="4"/>
    </row>
    <row r="4893" spans="1:2" x14ac:dyDescent="0.2">
      <c r="A4893" s="4"/>
      <c r="B4893" s="4"/>
    </row>
    <row r="4894" spans="1:2" x14ac:dyDescent="0.2">
      <c r="A4894" s="4"/>
      <c r="B4894" s="4"/>
    </row>
    <row r="4895" spans="1:2" x14ac:dyDescent="0.2">
      <c r="A4895" s="4"/>
      <c r="B4895" s="4"/>
    </row>
    <row r="4896" spans="1:2" x14ac:dyDescent="0.2">
      <c r="A4896" s="4"/>
      <c r="B4896" s="4"/>
    </row>
    <row r="4897" spans="1:2" x14ac:dyDescent="0.2">
      <c r="A4897" s="4"/>
      <c r="B4897" s="4"/>
    </row>
    <row r="4898" spans="1:2" x14ac:dyDescent="0.2">
      <c r="A4898" s="4"/>
      <c r="B4898" s="4"/>
    </row>
    <row r="4899" spans="1:2" x14ac:dyDescent="0.2">
      <c r="A4899" s="4"/>
      <c r="B4899" s="4"/>
    </row>
    <row r="4900" spans="1:2" x14ac:dyDescent="0.2">
      <c r="A4900" s="4"/>
      <c r="B4900" s="4"/>
    </row>
    <row r="4901" spans="1:2" x14ac:dyDescent="0.2">
      <c r="A4901" s="4"/>
      <c r="B4901" s="4"/>
    </row>
    <row r="4902" spans="1:2" x14ac:dyDescent="0.2">
      <c r="A4902" s="4"/>
      <c r="B4902" s="4"/>
    </row>
    <row r="4903" spans="1:2" x14ac:dyDescent="0.2">
      <c r="A4903" s="4"/>
      <c r="B4903" s="4"/>
    </row>
    <row r="4904" spans="1:2" x14ac:dyDescent="0.2">
      <c r="A4904" s="4"/>
      <c r="B4904" s="4"/>
    </row>
    <row r="4905" spans="1:2" x14ac:dyDescent="0.2">
      <c r="A4905" s="4"/>
      <c r="B4905" s="4"/>
    </row>
    <row r="4906" spans="1:2" x14ac:dyDescent="0.2">
      <c r="A4906" s="4"/>
      <c r="B4906" s="4"/>
    </row>
    <row r="4907" spans="1:2" x14ac:dyDescent="0.2">
      <c r="A4907" s="4"/>
      <c r="B4907" s="4"/>
    </row>
    <row r="4908" spans="1:2" x14ac:dyDescent="0.2">
      <c r="A4908" s="4"/>
      <c r="B4908" s="4"/>
    </row>
    <row r="4909" spans="1:2" x14ac:dyDescent="0.2">
      <c r="A4909" s="4"/>
      <c r="B4909" s="4"/>
    </row>
    <row r="4910" spans="1:2" x14ac:dyDescent="0.2">
      <c r="A4910" s="4"/>
      <c r="B4910" s="4"/>
    </row>
    <row r="4911" spans="1:2" x14ac:dyDescent="0.2">
      <c r="A4911" s="4"/>
      <c r="B4911" s="4"/>
    </row>
    <row r="4912" spans="1:2" x14ac:dyDescent="0.2">
      <c r="A4912" s="4"/>
      <c r="B4912" s="4"/>
    </row>
    <row r="4913" spans="1:2" x14ac:dyDescent="0.2">
      <c r="A4913" s="4"/>
      <c r="B4913" s="4"/>
    </row>
    <row r="4914" spans="1:2" x14ac:dyDescent="0.2">
      <c r="A4914" s="4"/>
      <c r="B4914" s="4"/>
    </row>
    <row r="4915" spans="1:2" x14ac:dyDescent="0.2">
      <c r="A4915" s="4"/>
      <c r="B4915" s="4"/>
    </row>
    <row r="4916" spans="1:2" x14ac:dyDescent="0.2">
      <c r="A4916" s="4"/>
      <c r="B4916" s="4"/>
    </row>
    <row r="4917" spans="1:2" x14ac:dyDescent="0.2">
      <c r="A4917" s="4"/>
      <c r="B4917" s="4"/>
    </row>
    <row r="4918" spans="1:2" x14ac:dyDescent="0.2">
      <c r="A4918" s="4"/>
      <c r="B4918" s="4"/>
    </row>
    <row r="4919" spans="1:2" x14ac:dyDescent="0.2">
      <c r="A4919" s="4"/>
      <c r="B4919" s="4"/>
    </row>
    <row r="4920" spans="1:2" x14ac:dyDescent="0.2">
      <c r="A4920" s="4"/>
      <c r="B4920" s="4"/>
    </row>
    <row r="4921" spans="1:2" x14ac:dyDescent="0.2">
      <c r="A4921" s="4"/>
      <c r="B4921" s="4"/>
    </row>
    <row r="4922" spans="1:2" x14ac:dyDescent="0.2">
      <c r="A4922" s="4"/>
      <c r="B4922" s="4"/>
    </row>
    <row r="4923" spans="1:2" x14ac:dyDescent="0.2">
      <c r="A4923" s="4"/>
      <c r="B4923" s="4"/>
    </row>
    <row r="4924" spans="1:2" x14ac:dyDescent="0.2">
      <c r="A4924" s="4"/>
      <c r="B4924" s="4"/>
    </row>
    <row r="4925" spans="1:2" x14ac:dyDescent="0.2">
      <c r="A4925" s="4"/>
      <c r="B4925" s="4"/>
    </row>
    <row r="4926" spans="1:2" x14ac:dyDescent="0.2">
      <c r="A4926" s="4"/>
      <c r="B4926" s="4"/>
    </row>
    <row r="4927" spans="1:2" x14ac:dyDescent="0.2">
      <c r="A4927" s="4"/>
      <c r="B4927" s="4"/>
    </row>
    <row r="4928" spans="1:2" x14ac:dyDescent="0.2">
      <c r="A4928" s="4"/>
      <c r="B4928" s="4"/>
    </row>
    <row r="4929" spans="1:2" x14ac:dyDescent="0.2">
      <c r="A4929" s="4"/>
      <c r="B4929" s="4"/>
    </row>
    <row r="4930" spans="1:2" x14ac:dyDescent="0.2">
      <c r="A4930" s="4"/>
      <c r="B4930" s="4"/>
    </row>
    <row r="4931" spans="1:2" x14ac:dyDescent="0.2">
      <c r="A4931" s="4"/>
      <c r="B4931" s="4"/>
    </row>
    <row r="4932" spans="1:2" x14ac:dyDescent="0.2">
      <c r="A4932" s="4"/>
      <c r="B4932" s="4"/>
    </row>
    <row r="4933" spans="1:2" x14ac:dyDescent="0.2">
      <c r="A4933" s="4"/>
      <c r="B4933" s="4"/>
    </row>
    <row r="4934" spans="1:2" x14ac:dyDescent="0.2">
      <c r="A4934" s="4"/>
      <c r="B4934" s="4"/>
    </row>
    <row r="4935" spans="1:2" x14ac:dyDescent="0.2">
      <c r="A4935" s="4"/>
      <c r="B4935" s="4"/>
    </row>
    <row r="4936" spans="1:2" x14ac:dyDescent="0.2">
      <c r="A4936" s="4"/>
      <c r="B4936" s="4"/>
    </row>
    <row r="4937" spans="1:2" x14ac:dyDescent="0.2">
      <c r="A4937" s="4"/>
      <c r="B4937" s="4"/>
    </row>
    <row r="4938" spans="1:2" x14ac:dyDescent="0.2">
      <c r="A4938" s="4"/>
      <c r="B4938" s="4"/>
    </row>
    <row r="4939" spans="1:2" x14ac:dyDescent="0.2">
      <c r="A4939" s="4"/>
      <c r="B4939" s="4"/>
    </row>
    <row r="4940" spans="1:2" x14ac:dyDescent="0.2">
      <c r="A4940" s="4"/>
      <c r="B4940" s="4"/>
    </row>
    <row r="4941" spans="1:2" x14ac:dyDescent="0.2">
      <c r="A4941" s="4"/>
      <c r="B4941" s="4"/>
    </row>
    <row r="4942" spans="1:2" x14ac:dyDescent="0.2">
      <c r="A4942" s="4"/>
      <c r="B4942" s="4"/>
    </row>
    <row r="4943" spans="1:2" x14ac:dyDescent="0.2">
      <c r="A4943" s="4"/>
      <c r="B4943" s="4"/>
    </row>
    <row r="4944" spans="1:2" x14ac:dyDescent="0.2">
      <c r="A4944" s="4"/>
      <c r="B4944" s="4"/>
    </row>
    <row r="4945" spans="1:2" x14ac:dyDescent="0.2">
      <c r="A4945" s="4"/>
      <c r="B4945" s="4"/>
    </row>
    <row r="4946" spans="1:2" x14ac:dyDescent="0.2">
      <c r="A4946" s="4"/>
      <c r="B4946" s="4"/>
    </row>
    <row r="4947" spans="1:2" x14ac:dyDescent="0.2">
      <c r="A4947" s="4"/>
      <c r="B4947" s="4"/>
    </row>
    <row r="4948" spans="1:2" x14ac:dyDescent="0.2">
      <c r="A4948" s="4"/>
      <c r="B4948" s="4"/>
    </row>
    <row r="4949" spans="1:2" x14ac:dyDescent="0.2">
      <c r="A4949" s="4"/>
      <c r="B4949" s="4"/>
    </row>
    <row r="4950" spans="1:2" x14ac:dyDescent="0.2">
      <c r="A4950" s="4"/>
      <c r="B4950" s="4"/>
    </row>
    <row r="4951" spans="1:2" x14ac:dyDescent="0.2">
      <c r="A4951" s="4"/>
      <c r="B4951" s="4"/>
    </row>
    <row r="4952" spans="1:2" x14ac:dyDescent="0.2">
      <c r="A4952" s="4"/>
      <c r="B4952" s="4"/>
    </row>
    <row r="4953" spans="1:2" x14ac:dyDescent="0.2">
      <c r="A4953" s="4"/>
      <c r="B4953" s="4"/>
    </row>
    <row r="4954" spans="1:2" x14ac:dyDescent="0.2">
      <c r="A4954" s="4"/>
      <c r="B4954" s="4"/>
    </row>
    <row r="4955" spans="1:2" x14ac:dyDescent="0.2">
      <c r="A4955" s="4"/>
      <c r="B4955" s="4"/>
    </row>
    <row r="4956" spans="1:2" x14ac:dyDescent="0.2">
      <c r="A4956" s="4"/>
      <c r="B4956" s="4"/>
    </row>
    <row r="4957" spans="1:2" x14ac:dyDescent="0.2">
      <c r="A4957" s="4"/>
      <c r="B4957" s="4"/>
    </row>
    <row r="4958" spans="1:2" x14ac:dyDescent="0.2">
      <c r="A4958" s="4"/>
      <c r="B4958" s="4"/>
    </row>
    <row r="4959" spans="1:2" x14ac:dyDescent="0.2">
      <c r="A4959" s="4"/>
      <c r="B4959" s="4"/>
    </row>
    <row r="4960" spans="1:2" x14ac:dyDescent="0.2">
      <c r="A4960" s="4"/>
      <c r="B4960" s="4"/>
    </row>
    <row r="4961" spans="1:2" x14ac:dyDescent="0.2">
      <c r="A4961" s="4"/>
      <c r="B4961" s="4"/>
    </row>
    <row r="4962" spans="1:2" x14ac:dyDescent="0.2">
      <c r="A4962" s="4"/>
      <c r="B4962" s="4"/>
    </row>
    <row r="4963" spans="1:2" x14ac:dyDescent="0.2">
      <c r="A4963" s="4"/>
      <c r="B4963" s="4"/>
    </row>
    <row r="4964" spans="1:2" x14ac:dyDescent="0.2">
      <c r="A4964" s="4"/>
      <c r="B4964" s="4"/>
    </row>
    <row r="4965" spans="1:2" x14ac:dyDescent="0.2">
      <c r="A4965" s="4"/>
      <c r="B4965" s="4"/>
    </row>
    <row r="4966" spans="1:2" x14ac:dyDescent="0.2">
      <c r="A4966" s="4"/>
      <c r="B4966" s="4"/>
    </row>
    <row r="4967" spans="1:2" x14ac:dyDescent="0.2">
      <c r="A4967" s="4"/>
      <c r="B4967" s="4"/>
    </row>
    <row r="4968" spans="1:2" x14ac:dyDescent="0.2">
      <c r="A4968" s="4"/>
      <c r="B4968" s="4"/>
    </row>
    <row r="4969" spans="1:2" x14ac:dyDescent="0.2">
      <c r="A4969" s="4"/>
      <c r="B4969" s="4"/>
    </row>
    <row r="4970" spans="1:2" x14ac:dyDescent="0.2">
      <c r="A4970" s="4"/>
      <c r="B4970" s="4"/>
    </row>
    <row r="4971" spans="1:2" x14ac:dyDescent="0.2">
      <c r="A4971" s="4"/>
      <c r="B4971" s="4"/>
    </row>
    <row r="4972" spans="1:2" x14ac:dyDescent="0.2">
      <c r="A4972" s="4"/>
      <c r="B4972" s="4"/>
    </row>
    <row r="4973" spans="1:2" x14ac:dyDescent="0.2">
      <c r="A4973" s="4"/>
      <c r="B4973" s="4"/>
    </row>
    <row r="4974" spans="1:2" x14ac:dyDescent="0.2">
      <c r="A4974" s="4"/>
      <c r="B4974" s="4"/>
    </row>
    <row r="4975" spans="1:2" x14ac:dyDescent="0.2">
      <c r="A4975" s="4"/>
      <c r="B4975" s="4"/>
    </row>
    <row r="4976" spans="1:2" x14ac:dyDescent="0.2">
      <c r="A4976" s="4"/>
      <c r="B4976" s="4"/>
    </row>
    <row r="4977" spans="1:2" x14ac:dyDescent="0.2">
      <c r="A4977" s="4"/>
      <c r="B4977" s="4"/>
    </row>
    <row r="4978" spans="1:2" x14ac:dyDescent="0.2">
      <c r="A4978" s="4"/>
      <c r="B4978" s="4"/>
    </row>
    <row r="4979" spans="1:2" x14ac:dyDescent="0.2">
      <c r="A4979" s="4"/>
      <c r="B4979" s="4"/>
    </row>
    <row r="4980" spans="1:2" x14ac:dyDescent="0.2">
      <c r="A4980" s="4"/>
      <c r="B4980" s="4"/>
    </row>
    <row r="4981" spans="1:2" x14ac:dyDescent="0.2">
      <c r="A4981" s="4"/>
      <c r="B4981" s="4"/>
    </row>
    <row r="4982" spans="1:2" x14ac:dyDescent="0.2">
      <c r="A4982" s="4"/>
      <c r="B4982" s="4"/>
    </row>
    <row r="4983" spans="1:2" x14ac:dyDescent="0.2">
      <c r="A4983" s="4"/>
      <c r="B4983" s="4"/>
    </row>
    <row r="4984" spans="1:2" x14ac:dyDescent="0.2">
      <c r="A4984" s="4"/>
      <c r="B4984" s="4"/>
    </row>
    <row r="4985" spans="1:2" x14ac:dyDescent="0.2">
      <c r="A4985" s="4"/>
      <c r="B4985" s="4"/>
    </row>
    <row r="4986" spans="1:2" x14ac:dyDescent="0.2">
      <c r="A4986" s="4"/>
      <c r="B4986" s="4"/>
    </row>
    <row r="4987" spans="1:2" x14ac:dyDescent="0.2">
      <c r="A4987" s="4"/>
      <c r="B4987" s="4"/>
    </row>
    <row r="4988" spans="1:2" x14ac:dyDescent="0.2">
      <c r="A4988" s="4"/>
      <c r="B4988" s="4"/>
    </row>
    <row r="4989" spans="1:2" x14ac:dyDescent="0.2">
      <c r="A4989" s="4"/>
      <c r="B4989" s="4"/>
    </row>
    <row r="4990" spans="1:2" x14ac:dyDescent="0.2">
      <c r="A4990" s="4"/>
      <c r="B4990" s="4"/>
    </row>
    <row r="4991" spans="1:2" x14ac:dyDescent="0.2">
      <c r="A4991" s="4"/>
      <c r="B4991" s="4"/>
    </row>
    <row r="4992" spans="1:2" x14ac:dyDescent="0.2">
      <c r="A4992" s="4"/>
      <c r="B4992" s="4"/>
    </row>
    <row r="4993" spans="1:2" x14ac:dyDescent="0.2">
      <c r="A4993" s="4"/>
      <c r="B4993" s="4"/>
    </row>
    <row r="4994" spans="1:2" x14ac:dyDescent="0.2">
      <c r="A4994" s="4"/>
      <c r="B4994" s="4"/>
    </row>
    <row r="4995" spans="1:2" x14ac:dyDescent="0.2">
      <c r="A4995" s="4"/>
      <c r="B4995" s="4"/>
    </row>
    <row r="4996" spans="1:2" x14ac:dyDescent="0.2">
      <c r="A4996" s="4"/>
      <c r="B4996" s="4"/>
    </row>
    <row r="4997" spans="1:2" x14ac:dyDescent="0.2">
      <c r="A4997" s="4"/>
      <c r="B4997" s="4"/>
    </row>
    <row r="4998" spans="1:2" x14ac:dyDescent="0.2">
      <c r="A4998" s="4"/>
      <c r="B4998" s="4"/>
    </row>
    <row r="4999" spans="1:2" x14ac:dyDescent="0.2">
      <c r="A4999" s="4"/>
      <c r="B4999" s="4"/>
    </row>
    <row r="5000" spans="1:2" x14ac:dyDescent="0.2">
      <c r="A5000" s="4"/>
      <c r="B5000" s="4"/>
    </row>
  </sheetData>
  <pageMargins left="0.7" right="0.7" top="0.75" bottom="0.75" header="0.3" footer="0.3"/>
  <pageSetup orientation="portrait" r:id="rId1"/>
  <headerFooter>
    <oddHeader>&amp;C&amp;14ALARMLIST&amp;RFilename: &amp;F
Date : &amp;D&amp;L&amp;9Machine Number : xxxxxxxx
Machine Name : Machine Name
CU Number : yyyy
VU Number : zzzz</oddHeader>
    <oddFooter>&amp;LBased on template : 01000-S0000-DSA0-B5&amp;CPage &amp;P/&amp;N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50F42-73E6-4C37-9056-85B1C868B9CC}">
  <sheetPr codeName="Sheet5"/>
  <dimension ref="A1:T24"/>
  <sheetViews>
    <sheetView zoomScale="90" zoomScaleNormal="90" workbookViewId="0">
      <selection activeCell="K24" sqref="K24"/>
    </sheetView>
  </sheetViews>
  <sheetFormatPr defaultColWidth="19.5" defaultRowHeight="15" x14ac:dyDescent="0.25"/>
  <cols>
    <col min="1" max="1" width="11.1640625" style="44" bestFit="1" customWidth="1"/>
    <col min="2" max="2" width="14.33203125" style="44" bestFit="1" customWidth="1"/>
    <col min="3" max="3" width="57.6640625" style="44" bestFit="1" customWidth="1"/>
    <col min="4" max="4" width="5.5" style="44" bestFit="1" customWidth="1"/>
    <col min="5" max="5" width="6.1640625" style="44" bestFit="1" customWidth="1"/>
    <col min="6" max="6" width="37.5" style="44" bestFit="1" customWidth="1"/>
    <col min="7" max="7" width="53.6640625" style="44" customWidth="1"/>
    <col min="8" max="8" width="18" style="44" bestFit="1" customWidth="1"/>
    <col min="9" max="9" width="6.83203125" style="44" bestFit="1" customWidth="1"/>
    <col min="10" max="10" width="10" style="44" bestFit="1" customWidth="1"/>
    <col min="11" max="11" width="11.33203125" style="44" bestFit="1" customWidth="1"/>
    <col min="12" max="12" width="8.83203125" style="44" bestFit="1" customWidth="1"/>
    <col min="13" max="13" width="53.1640625" style="44" bestFit="1" customWidth="1"/>
    <col min="14" max="14" width="9.5" style="44" bestFit="1" customWidth="1"/>
    <col min="15" max="15" width="6.6640625" style="44" bestFit="1" customWidth="1"/>
    <col min="16" max="16" width="9.5" style="44" bestFit="1" customWidth="1"/>
    <col min="17" max="17" width="6.6640625" style="44" bestFit="1" customWidth="1"/>
    <col min="18" max="18" width="12.5" style="44" bestFit="1" customWidth="1"/>
    <col min="19" max="16384" width="19.5" style="44"/>
  </cols>
  <sheetData>
    <row r="1" spans="1:20" s="42" customFormat="1" x14ac:dyDescent="0.25">
      <c r="A1" s="36" t="s">
        <v>182</v>
      </c>
      <c r="B1" s="37" t="s">
        <v>183</v>
      </c>
      <c r="C1" s="38" t="s">
        <v>184</v>
      </c>
      <c r="D1" s="36" t="s">
        <v>185</v>
      </c>
      <c r="E1" s="36" t="s">
        <v>186</v>
      </c>
      <c r="F1" s="38" t="s">
        <v>187</v>
      </c>
      <c r="G1" s="38" t="s">
        <v>188</v>
      </c>
      <c r="H1" s="38" t="s">
        <v>189</v>
      </c>
      <c r="I1" s="36" t="s">
        <v>190</v>
      </c>
      <c r="J1" s="36" t="s">
        <v>191</v>
      </c>
      <c r="K1" s="39" t="s">
        <v>192</v>
      </c>
      <c r="L1" s="39" t="s">
        <v>193</v>
      </c>
      <c r="M1" s="40" t="s">
        <v>194</v>
      </c>
      <c r="N1" s="39" t="s">
        <v>195</v>
      </c>
      <c r="O1" s="39" t="s">
        <v>196</v>
      </c>
      <c r="P1" s="39" t="s">
        <v>197</v>
      </c>
      <c r="Q1" s="39" t="s">
        <v>198</v>
      </c>
      <c r="R1" s="39" t="s">
        <v>199</v>
      </c>
      <c r="S1" s="41" t="s">
        <v>200</v>
      </c>
      <c r="T1" s="41" t="s">
        <v>201</v>
      </c>
    </row>
    <row r="2" spans="1:20" x14ac:dyDescent="0.25">
      <c r="A2" s="43" t="s">
        <v>202</v>
      </c>
      <c r="B2" s="43"/>
      <c r="C2" s="43"/>
      <c r="D2" s="44">
        <v>1</v>
      </c>
      <c r="E2" s="44">
        <v>2</v>
      </c>
      <c r="F2" s="43"/>
      <c r="G2" s="43"/>
      <c r="H2" s="43"/>
      <c r="I2" s="43">
        <v>0</v>
      </c>
      <c r="J2" s="43">
        <v>1</v>
      </c>
      <c r="M2" s="43"/>
    </row>
    <row r="3" spans="1:20" x14ac:dyDescent="0.25">
      <c r="A3" s="43" t="s">
        <v>202</v>
      </c>
      <c r="B3" s="43"/>
      <c r="C3" s="43"/>
      <c r="D3" s="44">
        <v>1</v>
      </c>
      <c r="E3" s="44">
        <v>2</v>
      </c>
      <c r="F3" s="43"/>
      <c r="G3" s="43"/>
      <c r="H3" s="43"/>
      <c r="I3" s="43">
        <v>0</v>
      </c>
      <c r="J3" s="43">
        <v>1</v>
      </c>
      <c r="M3" s="43"/>
    </row>
    <row r="4" spans="1:20" x14ac:dyDescent="0.25">
      <c r="A4" s="43" t="s">
        <v>202</v>
      </c>
      <c r="B4" s="43"/>
      <c r="C4" s="43"/>
      <c r="D4" s="44">
        <v>1</v>
      </c>
      <c r="E4" s="44">
        <v>2</v>
      </c>
      <c r="F4" s="43"/>
      <c r="G4" s="43"/>
      <c r="H4" s="43"/>
      <c r="I4" s="43">
        <v>0</v>
      </c>
      <c r="J4" s="43">
        <v>1</v>
      </c>
      <c r="M4" s="43"/>
    </row>
    <row r="5" spans="1:20" x14ac:dyDescent="0.25">
      <c r="A5" s="43" t="s">
        <v>202</v>
      </c>
      <c r="B5" s="43"/>
      <c r="C5" s="43"/>
      <c r="D5" s="44">
        <v>1</v>
      </c>
      <c r="E5" s="44">
        <v>2</v>
      </c>
      <c r="F5" s="43"/>
      <c r="G5" s="43"/>
      <c r="H5" s="43"/>
      <c r="I5" s="43">
        <v>0</v>
      </c>
      <c r="J5" s="43">
        <v>1</v>
      </c>
      <c r="M5" s="43"/>
    </row>
    <row r="6" spans="1:20" x14ac:dyDescent="0.25">
      <c r="A6" s="43" t="s">
        <v>202</v>
      </c>
      <c r="B6" s="43"/>
      <c r="C6" s="43"/>
      <c r="D6" s="44">
        <v>1</v>
      </c>
      <c r="E6" s="44">
        <v>2</v>
      </c>
      <c r="F6" s="43"/>
      <c r="G6" s="43"/>
      <c r="H6" s="43"/>
      <c r="I6" s="43">
        <v>0</v>
      </c>
      <c r="J6" s="43">
        <v>1</v>
      </c>
      <c r="M6" s="43"/>
    </row>
    <row r="7" spans="1:20" x14ac:dyDescent="0.25">
      <c r="A7" s="43" t="s">
        <v>202</v>
      </c>
      <c r="B7" s="43"/>
      <c r="C7" s="43"/>
      <c r="D7" s="44">
        <v>1</v>
      </c>
      <c r="E7" s="44">
        <v>2</v>
      </c>
      <c r="F7" s="43"/>
      <c r="G7" s="43"/>
      <c r="H7" s="43"/>
      <c r="I7" s="43">
        <v>0</v>
      </c>
      <c r="J7" s="43">
        <v>1</v>
      </c>
      <c r="M7" s="43"/>
    </row>
    <row r="8" spans="1:20" x14ac:dyDescent="0.25">
      <c r="A8" s="43" t="s">
        <v>202</v>
      </c>
      <c r="B8" s="43"/>
      <c r="C8" s="43"/>
      <c r="D8" s="44">
        <v>1</v>
      </c>
      <c r="E8" s="44">
        <v>2</v>
      </c>
      <c r="F8" s="43"/>
      <c r="G8" s="43"/>
      <c r="H8" s="43"/>
      <c r="I8" s="43">
        <v>0</v>
      </c>
      <c r="J8" s="43">
        <v>1</v>
      </c>
      <c r="M8" s="43"/>
    </row>
    <row r="9" spans="1:20" x14ac:dyDescent="0.25">
      <c r="A9" s="43" t="s">
        <v>202</v>
      </c>
      <c r="B9" s="43"/>
      <c r="C9" s="43"/>
      <c r="D9" s="44">
        <v>1</v>
      </c>
      <c r="E9" s="44">
        <v>2</v>
      </c>
      <c r="F9" s="43"/>
      <c r="G9" s="43"/>
      <c r="H9" s="43"/>
      <c r="I9" s="43">
        <v>0</v>
      </c>
      <c r="J9" s="43">
        <v>1</v>
      </c>
      <c r="M9" s="43"/>
    </row>
    <row r="10" spans="1:20" x14ac:dyDescent="0.25">
      <c r="A10" s="43" t="s">
        <v>202</v>
      </c>
      <c r="B10" s="43"/>
      <c r="C10" s="43"/>
      <c r="D10" s="44">
        <v>1</v>
      </c>
      <c r="E10" s="44">
        <v>2</v>
      </c>
      <c r="F10" s="43"/>
      <c r="G10" s="43"/>
      <c r="H10" s="43"/>
      <c r="I10" s="43">
        <v>0</v>
      </c>
      <c r="J10" s="43">
        <v>1</v>
      </c>
      <c r="M10" s="43"/>
    </row>
    <row r="11" spans="1:20" s="42" customFormat="1" x14ac:dyDescent="0.25">
      <c r="A11" s="43" t="s">
        <v>202</v>
      </c>
      <c r="B11" s="43"/>
      <c r="C11" s="43"/>
      <c r="D11" s="44">
        <v>1</v>
      </c>
      <c r="E11" s="44">
        <v>2</v>
      </c>
      <c r="F11" s="43"/>
      <c r="G11" s="43"/>
      <c r="H11" s="43"/>
      <c r="I11" s="43">
        <v>0</v>
      </c>
      <c r="J11" s="43">
        <v>1</v>
      </c>
      <c r="M11" s="43"/>
    </row>
    <row r="12" spans="1:20" s="42" customFormat="1" x14ac:dyDescent="0.25">
      <c r="A12" s="43" t="s">
        <v>202</v>
      </c>
      <c r="B12" s="43"/>
      <c r="C12" s="43"/>
      <c r="D12" s="44">
        <v>1</v>
      </c>
      <c r="E12" s="44">
        <v>2</v>
      </c>
      <c r="F12" s="43"/>
      <c r="G12" s="43"/>
      <c r="H12" s="43"/>
      <c r="I12" s="43">
        <v>0</v>
      </c>
      <c r="J12" s="43">
        <v>1</v>
      </c>
      <c r="M12" s="43"/>
    </row>
    <row r="13" spans="1:20" s="42" customFormat="1" x14ac:dyDescent="0.25">
      <c r="A13" s="43" t="s">
        <v>202</v>
      </c>
      <c r="B13" s="43"/>
      <c r="C13" s="43"/>
      <c r="D13" s="44">
        <v>1</v>
      </c>
      <c r="E13" s="44">
        <v>2</v>
      </c>
      <c r="F13" s="43"/>
      <c r="G13" s="43"/>
      <c r="H13" s="43"/>
      <c r="I13" s="43">
        <v>0</v>
      </c>
      <c r="J13" s="43">
        <v>1</v>
      </c>
      <c r="M13" s="43"/>
    </row>
    <row r="14" spans="1:20" s="42" customFormat="1" x14ac:dyDescent="0.25">
      <c r="A14" s="43" t="s">
        <v>202</v>
      </c>
      <c r="B14" s="43"/>
      <c r="C14" s="43"/>
      <c r="D14" s="44">
        <v>1</v>
      </c>
      <c r="E14" s="44">
        <v>2</v>
      </c>
      <c r="F14" s="43"/>
      <c r="G14" s="43"/>
      <c r="H14" s="43"/>
      <c r="I14" s="43">
        <v>0</v>
      </c>
      <c r="J14" s="43">
        <v>1</v>
      </c>
      <c r="M14" s="43"/>
    </row>
    <row r="15" spans="1:20" x14ac:dyDescent="0.25">
      <c r="A15" s="43" t="s">
        <v>202</v>
      </c>
      <c r="B15" s="43"/>
      <c r="C15" s="43"/>
      <c r="D15" s="44">
        <v>1</v>
      </c>
      <c r="E15" s="44">
        <v>2</v>
      </c>
      <c r="F15" s="43"/>
      <c r="G15" s="43"/>
      <c r="H15" s="43"/>
      <c r="I15" s="43">
        <v>0</v>
      </c>
      <c r="J15" s="43">
        <v>1</v>
      </c>
      <c r="M15" s="43"/>
    </row>
    <row r="16" spans="1:20" x14ac:dyDescent="0.25">
      <c r="A16" s="43" t="s">
        <v>202</v>
      </c>
      <c r="B16" s="43"/>
      <c r="C16" s="43"/>
      <c r="D16" s="44">
        <v>1</v>
      </c>
      <c r="E16" s="44">
        <v>2</v>
      </c>
      <c r="F16" s="43"/>
      <c r="G16" s="43"/>
      <c r="H16" s="43"/>
      <c r="I16" s="43">
        <v>0</v>
      </c>
      <c r="J16" s="43">
        <v>1</v>
      </c>
      <c r="M16" s="43"/>
    </row>
    <row r="17" spans="1:13" x14ac:dyDescent="0.25">
      <c r="A17" s="43" t="s">
        <v>202</v>
      </c>
      <c r="B17" s="43"/>
      <c r="C17" s="43"/>
      <c r="D17" s="44">
        <v>1</v>
      </c>
      <c r="E17" s="44">
        <v>2</v>
      </c>
      <c r="F17" s="43"/>
      <c r="G17" s="43"/>
      <c r="H17" s="43"/>
      <c r="I17" s="43">
        <v>0</v>
      </c>
      <c r="J17" s="43">
        <v>1</v>
      </c>
      <c r="M17" s="43"/>
    </row>
    <row r="18" spans="1:13" x14ac:dyDescent="0.25">
      <c r="A18" s="43" t="s">
        <v>202</v>
      </c>
      <c r="B18" s="43"/>
      <c r="C18" s="43"/>
      <c r="D18" s="44">
        <v>1</v>
      </c>
      <c r="E18" s="44">
        <v>2</v>
      </c>
      <c r="F18" s="43"/>
      <c r="G18" s="43"/>
      <c r="H18" s="43"/>
      <c r="I18" s="43">
        <v>0</v>
      </c>
      <c r="J18" s="43">
        <v>1</v>
      </c>
      <c r="M18" s="43"/>
    </row>
    <row r="19" spans="1:13" x14ac:dyDescent="0.25">
      <c r="A19" s="43" t="s">
        <v>202</v>
      </c>
      <c r="B19" s="43"/>
      <c r="C19" s="43"/>
      <c r="D19" s="44">
        <v>1</v>
      </c>
      <c r="E19" s="44">
        <v>2</v>
      </c>
      <c r="F19" s="43"/>
      <c r="G19" s="43"/>
      <c r="H19" s="43"/>
      <c r="I19" s="43">
        <v>0</v>
      </c>
      <c r="J19" s="43">
        <v>1</v>
      </c>
      <c r="M19" s="43"/>
    </row>
    <row r="20" spans="1:13" x14ac:dyDescent="0.25">
      <c r="A20" s="43" t="s">
        <v>202</v>
      </c>
      <c r="B20" s="43"/>
      <c r="C20" s="43"/>
      <c r="D20" s="44">
        <v>1</v>
      </c>
      <c r="E20" s="44">
        <v>2</v>
      </c>
      <c r="F20" s="43"/>
      <c r="G20" s="43"/>
      <c r="H20" s="43"/>
      <c r="I20" s="43">
        <v>0</v>
      </c>
      <c r="J20" s="43">
        <v>1</v>
      </c>
      <c r="M20" s="43"/>
    </row>
    <row r="21" spans="1:13" x14ac:dyDescent="0.25">
      <c r="A21" s="43" t="s">
        <v>202</v>
      </c>
      <c r="B21" s="43"/>
      <c r="C21" s="43"/>
      <c r="D21" s="44">
        <v>1</v>
      </c>
      <c r="E21" s="44">
        <v>2</v>
      </c>
      <c r="F21" s="43"/>
      <c r="G21" s="43"/>
      <c r="H21" s="43"/>
      <c r="I21" s="43">
        <v>0</v>
      </c>
      <c r="J21" s="43">
        <v>1</v>
      </c>
      <c r="M21" s="43"/>
    </row>
    <row r="22" spans="1:13" x14ac:dyDescent="0.25">
      <c r="A22" s="43" t="s">
        <v>202</v>
      </c>
      <c r="B22" s="43"/>
      <c r="C22" s="43"/>
      <c r="D22" s="44">
        <v>1</v>
      </c>
      <c r="E22" s="44">
        <v>2</v>
      </c>
      <c r="F22" s="43"/>
      <c r="G22" s="43"/>
      <c r="H22" s="43"/>
      <c r="I22" s="43">
        <v>0</v>
      </c>
      <c r="J22" s="43">
        <v>1</v>
      </c>
      <c r="M22" s="43"/>
    </row>
    <row r="23" spans="1:13" x14ac:dyDescent="0.25">
      <c r="A23" s="43" t="s">
        <v>202</v>
      </c>
      <c r="B23" s="43"/>
      <c r="C23" s="43"/>
      <c r="D23" s="44">
        <v>1</v>
      </c>
      <c r="E23" s="44">
        <v>2</v>
      </c>
      <c r="F23" s="43"/>
      <c r="G23" s="43"/>
      <c r="H23" s="43"/>
      <c r="I23" s="43">
        <v>0</v>
      </c>
      <c r="J23" s="43">
        <v>1</v>
      </c>
      <c r="M23" s="43"/>
    </row>
    <row r="24" spans="1:13" x14ac:dyDescent="0.25">
      <c r="A24" s="43" t="s">
        <v>202</v>
      </c>
      <c r="B24" s="43"/>
      <c r="C24" s="43"/>
      <c r="D24" s="44">
        <v>1</v>
      </c>
      <c r="E24" s="44">
        <v>2</v>
      </c>
      <c r="F24" s="43"/>
      <c r="G24" s="43"/>
      <c r="H24" s="43"/>
      <c r="I24" s="43">
        <v>0</v>
      </c>
      <c r="J24" s="43">
        <v>1</v>
      </c>
      <c r="M24" s="43"/>
    </row>
  </sheetData>
  <pageMargins left="0.7" right="0.7" top="0.75" bottom="0.75" header="0.3" footer="0.3"/>
  <pageSetup paperSize="9" orientation="portrait" r:id="rId1"/>
  <headerFooter>
    <oddHeader>&amp;L&amp;9Machine Number : xxxxxxxx
Machine Name : Machine Name
CU Number : yyyy
VU Number : zzzz</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5A8C3-4401-45CB-9208-F945953B504D}">
  <sheetPr codeName="Sheet12"/>
  <dimension ref="A1:A5"/>
  <sheetViews>
    <sheetView workbookViewId="0">
      <selection activeCell="P47" sqref="P47"/>
    </sheetView>
  </sheetViews>
  <sheetFormatPr defaultColWidth="9.33203125" defaultRowHeight="11.25" x14ac:dyDescent="0.2"/>
  <cols>
    <col min="1" max="1" width="23.5" style="175" customWidth="1"/>
    <col min="2" max="16384" width="9.33203125" style="175"/>
  </cols>
  <sheetData>
    <row r="1" spans="1:1" x14ac:dyDescent="0.2">
      <c r="A1" s="175" t="s">
        <v>2858</v>
      </c>
    </row>
    <row r="2" spans="1:1" x14ac:dyDescent="0.2">
      <c r="A2" s="175" t="s">
        <v>3155</v>
      </c>
    </row>
    <row r="3" spans="1:1" x14ac:dyDescent="0.2">
      <c r="A3" s="175" t="s">
        <v>2859</v>
      </c>
    </row>
    <row r="4" spans="1:1" x14ac:dyDescent="0.2">
      <c r="A4" s="175" t="s">
        <v>3154</v>
      </c>
    </row>
    <row r="5" spans="1:1" x14ac:dyDescent="0.2">
      <c r="A5" s="176"/>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E4DE3-7027-4D65-B1F2-750FA05015D7}">
  <sheetPr codeName="Sheet8"/>
  <dimension ref="A1:D20"/>
  <sheetViews>
    <sheetView showGridLines="0" zoomScaleNormal="100" workbookViewId="0">
      <selection activeCell="D10" sqref="D10"/>
    </sheetView>
  </sheetViews>
  <sheetFormatPr defaultColWidth="9.33203125" defaultRowHeight="12.75" x14ac:dyDescent="0.2"/>
  <cols>
    <col min="1" max="1" width="8.83203125" style="101" customWidth="1"/>
    <col min="2" max="2" width="25.83203125" style="101" customWidth="1"/>
    <col min="3" max="3" width="15.83203125" style="112" customWidth="1"/>
    <col min="4" max="4" width="109.83203125" style="108" customWidth="1"/>
    <col min="5" max="16384" width="9.33203125" style="108"/>
  </cols>
  <sheetData>
    <row r="1" spans="1:4" s="93" customFormat="1" ht="20.25" x14ac:dyDescent="0.2">
      <c r="A1" s="91" t="s">
        <v>255</v>
      </c>
      <c r="B1" s="92"/>
      <c r="C1" s="102"/>
      <c r="D1" s="92"/>
    </row>
    <row r="2" spans="1:4" s="93" customFormat="1" ht="21" thickBot="1" x14ac:dyDescent="0.25">
      <c r="A2" s="91"/>
      <c r="B2" s="92"/>
      <c r="C2" s="102"/>
      <c r="D2" s="92"/>
    </row>
    <row r="3" spans="1:4" s="123" customFormat="1" ht="30" customHeight="1" x14ac:dyDescent="0.2">
      <c r="A3" s="105" t="s">
        <v>8</v>
      </c>
      <c r="B3" s="103" t="s">
        <v>101</v>
      </c>
      <c r="C3" s="104" t="s">
        <v>102</v>
      </c>
      <c r="D3" s="122" t="s">
        <v>103</v>
      </c>
    </row>
    <row r="4" spans="1:4" x14ac:dyDescent="0.2">
      <c r="A4" s="109" t="s">
        <v>34</v>
      </c>
      <c r="B4" s="109"/>
      <c r="C4" s="110"/>
      <c r="D4" s="114"/>
    </row>
    <row r="5" spans="1:4" x14ac:dyDescent="0.2">
      <c r="A5" s="109" t="s">
        <v>104</v>
      </c>
      <c r="B5" s="109" t="s">
        <v>203</v>
      </c>
      <c r="C5" s="110">
        <v>43796</v>
      </c>
      <c r="D5" s="114" t="s">
        <v>204</v>
      </c>
    </row>
    <row r="6" spans="1:4" x14ac:dyDescent="0.2">
      <c r="A6" s="109" t="s">
        <v>33</v>
      </c>
      <c r="B6" s="109" t="s">
        <v>205</v>
      </c>
      <c r="C6" s="110">
        <v>43887</v>
      </c>
      <c r="D6" s="115" t="s">
        <v>206</v>
      </c>
    </row>
    <row r="7" spans="1:4" ht="25.5" x14ac:dyDescent="0.2">
      <c r="A7" s="109" t="s">
        <v>87</v>
      </c>
      <c r="B7" s="109" t="s">
        <v>207</v>
      </c>
      <c r="C7" s="110">
        <v>44083</v>
      </c>
      <c r="D7" s="115" t="s">
        <v>208</v>
      </c>
    </row>
    <row r="8" spans="1:4" ht="51" x14ac:dyDescent="0.2">
      <c r="A8" s="109" t="s">
        <v>88</v>
      </c>
      <c r="B8" s="109" t="s">
        <v>207</v>
      </c>
      <c r="C8" s="110">
        <v>44322</v>
      </c>
      <c r="D8" s="115" t="s">
        <v>247</v>
      </c>
    </row>
    <row r="9" spans="1:4" ht="25.5" x14ac:dyDescent="0.2">
      <c r="A9" s="109" t="s">
        <v>250</v>
      </c>
      <c r="B9" s="111" t="s">
        <v>251</v>
      </c>
      <c r="C9" s="110">
        <v>44575</v>
      </c>
      <c r="D9" s="115" t="s">
        <v>252</v>
      </c>
    </row>
    <row r="10" spans="1:4" ht="76.5" x14ac:dyDescent="0.2">
      <c r="A10" s="109" t="s">
        <v>256</v>
      </c>
      <c r="B10" s="109" t="s">
        <v>205</v>
      </c>
      <c r="C10" s="110">
        <v>44589</v>
      </c>
      <c r="D10" s="115" t="s">
        <v>306</v>
      </c>
    </row>
    <row r="11" spans="1:4" x14ac:dyDescent="0.2">
      <c r="A11" s="109"/>
      <c r="B11" s="109"/>
      <c r="C11" s="110"/>
      <c r="D11" s="113"/>
    </row>
    <row r="12" spans="1:4" x14ac:dyDescent="0.2">
      <c r="A12" s="109"/>
      <c r="B12" s="109"/>
      <c r="C12" s="110"/>
      <c r="D12" s="113"/>
    </row>
    <row r="13" spans="1:4" x14ac:dyDescent="0.2">
      <c r="A13" s="109"/>
      <c r="B13" s="109"/>
      <c r="C13" s="110"/>
      <c r="D13" s="113"/>
    </row>
    <row r="14" spans="1:4" x14ac:dyDescent="0.2">
      <c r="A14" s="109"/>
      <c r="B14" s="109"/>
      <c r="C14" s="110"/>
      <c r="D14" s="113"/>
    </row>
    <row r="15" spans="1:4" x14ac:dyDescent="0.2">
      <c r="A15" s="109"/>
      <c r="B15" s="109"/>
      <c r="C15" s="110"/>
      <c r="D15" s="113"/>
    </row>
    <row r="16" spans="1:4" x14ac:dyDescent="0.2">
      <c r="A16" s="109"/>
      <c r="B16" s="109"/>
      <c r="C16" s="110"/>
      <c r="D16" s="113"/>
    </row>
    <row r="17" spans="1:4" x14ac:dyDescent="0.2">
      <c r="A17" s="109"/>
      <c r="B17" s="109"/>
      <c r="C17" s="110"/>
      <c r="D17" s="113"/>
    </row>
    <row r="18" spans="1:4" x14ac:dyDescent="0.2">
      <c r="A18" s="109"/>
      <c r="B18" s="109"/>
      <c r="C18" s="110"/>
      <c r="D18" s="113"/>
    </row>
    <row r="19" spans="1:4" x14ac:dyDescent="0.2">
      <c r="A19" s="109"/>
      <c r="B19" s="109"/>
      <c r="C19" s="110"/>
      <c r="D19" s="113"/>
    </row>
    <row r="20" spans="1:4" x14ac:dyDescent="0.2">
      <c r="A20" s="109"/>
      <c r="B20" s="109"/>
      <c r="C20" s="110"/>
      <c r="D20" s="113"/>
    </row>
  </sheetData>
  <pageMargins left="0.74803149606299213" right="0.74803149606299213" top="1.1023622047244095" bottom="0.98425196850393704" header="0.51181102362204722" footer="0.51181102362204722"/>
  <pageSetup paperSize="9" orientation="landscape" r:id="rId1"/>
  <headerFooter alignWithMargins="0">
    <oddHeader>&amp;C&amp;14ALARMLIST&amp;RFilename: &amp;F
Date : &amp;D&amp;L&amp;9Machine Number : xxxxxxxx
Machine Name : Machine Name
CU Number : yyyy
VU Number : zzzz</oddHeader>
    <oddFooter>&amp;LBased on template : A5&amp;CAlarmlist_CUxxxx_A5&amp;RPage &amp;P/&amp;N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596579382B69149A835DEFE0E132D53" ma:contentTypeVersion="4" ma:contentTypeDescription="Create a new document." ma:contentTypeScope="" ma:versionID="ab97049ab69d6c31926ba3984516367f">
  <xsd:schema xmlns:xsd="http://www.w3.org/2001/XMLSchema" xmlns:xs="http://www.w3.org/2001/XMLSchema" xmlns:p="http://schemas.microsoft.com/office/2006/metadata/properties" xmlns:ns2="9242fad9-1d17-4546-a2ad-13cc31a6d3be" targetNamespace="http://schemas.microsoft.com/office/2006/metadata/properties" ma:root="true" ma:fieldsID="f17d7a2905985b64c475d1b5e74a8538" ns2:_="">
    <xsd:import namespace="9242fad9-1d17-4546-a2ad-13cc31a6d3b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42fad9-1d17-4546-a2ad-13cc31a6d3b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B538A7-A10C-4364-9C05-4B053EA62A11}">
  <ds:schemaRefs>
    <ds:schemaRef ds:uri="http://schemas.microsoft.com/sharepoint/v3/contenttype/forms"/>
  </ds:schemaRefs>
</ds:datastoreItem>
</file>

<file path=customXml/itemProps2.xml><?xml version="1.0" encoding="utf-8"?>
<ds:datastoreItem xmlns:ds="http://schemas.openxmlformats.org/officeDocument/2006/customXml" ds:itemID="{3114A24F-B26B-4038-AA77-00DA15CC6971}">
  <ds:schemaRefs>
    <ds:schemaRef ds:uri="http://schemas.microsoft.com/office/2006/metadata/properties"/>
    <ds:schemaRef ds:uri="http://www.w3.org/XML/1998/namespace"/>
    <ds:schemaRef ds:uri="http://purl.org/dc/elements/1.1/"/>
    <ds:schemaRef ds:uri="76639ee7-8762-4f03-a0d3-45ad2c62e83e"/>
    <ds:schemaRef ds:uri="http://schemas.microsoft.com/office/2006/documentManagement/types"/>
    <ds:schemaRef ds:uri="http://schemas.microsoft.com/office/infopath/2007/PartnerControls"/>
    <ds:schemaRef ds:uri="http://purl.org/dc/terms/"/>
    <ds:schemaRef ds:uri="260e1f56-b728-42bf-8b8b-63bcf42ef040"/>
    <ds:schemaRef ds:uri="http://schemas.openxmlformats.org/package/2006/metadata/core-properties"/>
    <ds:schemaRef ds:uri="26404fb4-7301-4184-a460-22478b0c99c1"/>
    <ds:schemaRef ds:uri="http://purl.org/dc/dcmitype/"/>
  </ds:schemaRefs>
</ds:datastoreItem>
</file>

<file path=customXml/itemProps3.xml><?xml version="1.0" encoding="utf-8"?>
<ds:datastoreItem xmlns:ds="http://schemas.openxmlformats.org/officeDocument/2006/customXml" ds:itemID="{539EAD80-6DD3-4E95-8305-CEE0758BC812}"/>
</file>

<file path=docProps/app.xml><?xml version="1.0" encoding="utf-8"?>
<Properties xmlns="http://schemas.openxmlformats.org/officeDocument/2006/extended-properties" xmlns:vt="http://schemas.openxmlformats.org/officeDocument/2006/docPropsVTypes">
  <TotalTime>0</TotalTime>
  <Application>Microsoft Excel</Application>
  <DocSecurity>2</DocSecurity>
  <ScaleCrop>false</ScaleCrop>
  <HeadingPairs>
    <vt:vector size="4" baseType="variant">
      <vt:variant>
        <vt:lpstr>Worksheets</vt:lpstr>
      </vt:variant>
      <vt:variant>
        <vt:i4>10</vt:i4>
      </vt:variant>
      <vt:variant>
        <vt:lpstr>Named Ranges</vt:lpstr>
      </vt:variant>
      <vt:variant>
        <vt:i4>28</vt:i4>
      </vt:variant>
    </vt:vector>
  </HeadingPairs>
  <TitlesOfParts>
    <vt:vector size="38" baseType="lpstr">
      <vt:lpstr>Version control</vt:lpstr>
      <vt:lpstr>General info</vt:lpstr>
      <vt:lpstr>Alarmlist</vt:lpstr>
      <vt:lpstr>Colour Pictures</vt:lpstr>
      <vt:lpstr>Farma Alarm</vt:lpstr>
      <vt:lpstr>General</vt:lpstr>
      <vt:lpstr>macro_report</vt:lpstr>
      <vt:lpstr>ALERT</vt:lpstr>
      <vt:lpstr>Object type list</vt:lpstr>
      <vt:lpstr>Template history</vt:lpstr>
      <vt:lpstr>alarm_class</vt:lpstr>
      <vt:lpstr>alarmtext_eng</vt:lpstr>
      <vt:lpstr>alarmtext_nl</vt:lpstr>
      <vt:lpstr>bypass</vt:lpstr>
      <vt:lpstr>interlock</vt:lpstr>
      <vt:lpstr>lichtbalk_nr</vt:lpstr>
      <vt:lpstr>lichtbalk_tekst</vt:lpstr>
      <vt:lpstr>pass_fail</vt:lpstr>
      <vt:lpstr>pfizernr</vt:lpstr>
      <vt:lpstr>picture</vt:lpstr>
      <vt:lpstr>PLC_IO</vt:lpstr>
      <vt:lpstr>popup_text</vt:lpstr>
      <vt:lpstr>Alarmlist!Print_Area</vt:lpstr>
      <vt:lpstr>'Farma Alarm'!Print_Area</vt:lpstr>
      <vt:lpstr>Alarmlist!Print_Titles</vt:lpstr>
      <vt:lpstr>scada_alarmnr</vt:lpstr>
      <vt:lpstr>stopmode</vt:lpstr>
      <vt:lpstr>tagname</vt:lpstr>
      <vt:lpstr>tags_color</vt:lpstr>
      <vt:lpstr>version</vt:lpstr>
      <vt:lpstr>Alarmlist!Z_5E8D4A93_237D_11D1_AB2C_00609709CD69_.wvu.PrintTitles</vt:lpstr>
      <vt:lpstr>Alarmlist!Z_EC2AFA19_2818_11D1_AB31_00609709CD69_.wvu.PrintTitles</vt:lpstr>
      <vt:lpstr>Alarmlist!Z_EC2AFA1A_2818_11D1_AB31_00609709CD69_.wvu.Cols</vt:lpstr>
      <vt:lpstr>'Farma Alarm'!Z_EC2AFA1A_2818_11D1_AB31_00609709CD69_.wvu.Cols</vt:lpstr>
      <vt:lpstr>Alarmlist!Z_EC2AFA1A_2818_11D1_AB31_00609709CD69_.wvu.PrintTitles</vt:lpstr>
      <vt:lpstr>Alarmlist!Z_EC2AFA1B_2818_11D1_AB31_00609709CD69_.wvu.Cols</vt:lpstr>
      <vt:lpstr>'Farma Alarm'!Z_EC2AFA1B_2818_11D1_AB31_00609709CD69_.wvu.Cols</vt:lpstr>
      <vt:lpstr>Alarmlist!Z_EC2AFA1B_2818_11D1_AB31_00609709CD69_.wvu.PrintTitles</vt:lpstr>
    </vt:vector>
  </TitlesOfParts>
  <Company>Pharmacia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Standard list L011</dc:title>
  <dc:creator>Office Automation</dc:creator>
  <cp:lastModifiedBy>Bresseleers, Nick</cp:lastModifiedBy>
  <cp:lastPrinted>2024-09-03T06:39:49Z</cp:lastPrinted>
  <dcterms:created xsi:type="dcterms:W3CDTF">1998-01-20T15:24:10Z</dcterms:created>
  <dcterms:modified xsi:type="dcterms:W3CDTF">2025-01-14T12:03:36Z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achine Number">
    <vt:lpwstr>xxxxxxxx</vt:lpwstr>
  </property>
  <property fmtid="{D5CDD505-2E9C-101B-9397-08002B2CF9AE}" pid="3" name="Machine Name">
    <vt:lpwstr>Machine Name</vt:lpwstr>
  </property>
  <property fmtid="{D5CDD505-2E9C-101B-9397-08002B2CF9AE}" pid="4" name="CU Number">
    <vt:lpwstr>yyyy</vt:lpwstr>
  </property>
  <property fmtid="{D5CDD505-2E9C-101B-9397-08002B2CF9AE}" pid="5" name="VU Number">
    <vt:lpwstr>zzzz</vt:lpwstr>
  </property>
  <property fmtid="{D5CDD505-2E9C-101B-9397-08002B2CF9AE}" pid="6" name="ContentTypeId">
    <vt:lpwstr>0x010100B596579382B69149A835DEFE0E132D53</vt:lpwstr>
  </property>
  <property fmtid="{D5CDD505-2E9C-101B-9397-08002B2CF9AE}" pid="7" name="_dlc_DocIdItemGuid">
    <vt:lpwstr>45d1b1ff-0c20-45ce-a977-2dc7ff7cbdc8</vt:lpwstr>
  </property>
  <property fmtid="{D5CDD505-2E9C-101B-9397-08002B2CF9AE}" pid="8" name="MediaServiceImageTags">
    <vt:lpwstr/>
  </property>
  <property fmtid="{D5CDD505-2E9C-101B-9397-08002B2CF9AE}" pid="9" name="MSIP_Label_fa6f01b5-c24b-4fa8-8e8f-cee31f47fe31_Enabled">
    <vt:lpwstr>true</vt:lpwstr>
  </property>
  <property fmtid="{D5CDD505-2E9C-101B-9397-08002B2CF9AE}" pid="10" name="MSIP_Label_fa6f01b5-c24b-4fa8-8e8f-cee31f47fe31_SetDate">
    <vt:lpwstr>2023-03-24T08:31:44Z</vt:lpwstr>
  </property>
  <property fmtid="{D5CDD505-2E9C-101B-9397-08002B2CF9AE}" pid="11" name="MSIP_Label_fa6f01b5-c24b-4fa8-8e8f-cee31f47fe31_Method">
    <vt:lpwstr>Privileged</vt:lpwstr>
  </property>
  <property fmtid="{D5CDD505-2E9C-101B-9397-08002B2CF9AE}" pid="12" name="MSIP_Label_fa6f01b5-c24b-4fa8-8e8f-cee31f47fe31_Name">
    <vt:lpwstr>fa6f01b5-c24b-4fa8-8e8f-cee31f47fe31</vt:lpwstr>
  </property>
  <property fmtid="{D5CDD505-2E9C-101B-9397-08002B2CF9AE}" pid="13" name="MSIP_Label_fa6f01b5-c24b-4fa8-8e8f-cee31f47fe31_SiteId">
    <vt:lpwstr>7a916015-20ae-4ad1-9170-eefd915e9272</vt:lpwstr>
  </property>
  <property fmtid="{D5CDD505-2E9C-101B-9397-08002B2CF9AE}" pid="14" name="MSIP_Label_fa6f01b5-c24b-4fa8-8e8f-cee31f47fe31_ActionId">
    <vt:lpwstr>0d18db84-bbb8-433b-a3d9-6dc089167351</vt:lpwstr>
  </property>
  <property fmtid="{D5CDD505-2E9C-101B-9397-08002B2CF9AE}" pid="15" name="MSIP_Label_fa6f01b5-c24b-4fa8-8e8f-cee31f47fe31_ContentBits">
    <vt:lpwstr>0</vt:lpwstr>
  </property>
</Properties>
</file>