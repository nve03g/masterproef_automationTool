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activeX/activeX3.xml" ContentType="application/vnd.ms-office.activeX+xml"/>
  <Override PartName="/xl/activeX/activeX2.xml" ContentType="application/vnd.ms-office.activeX+xml"/>
  <Override PartName="/xl/activeX/activeX1.xml" ContentType="application/vnd.ms-office.activeX+xml"/>
  <Override PartName="/xl/activeX/activeX5.xml" ContentType="application/vnd.ms-office.activeX+xml"/>
  <Override PartName="/xl/activeX/activeX4.xml" ContentType="application/vnd.ms-office.activeX+xml"/>
  <Override PartName="/xl/activeX/activeX6.xml" ContentType="application/vnd.ms-office.activeX+xml"/>
  <Override PartName="/xl/activeX/activeX3.bin" ContentType="application/vnd.ms-office.activeX"/>
  <Override PartName="/xl/activeX/activeX2.bin" ContentType="application/vnd.ms-office.activeX"/>
  <Override PartName="/xl/activeX/activeX1.bin" ContentType="application/vnd.ms-office.activeX"/>
  <Override PartName="/xl/activeX/activeX5.bin" ContentType="application/vnd.ms-office.activeX"/>
  <Override PartName="/xl/activeX/activeX4.bin" ContentType="application/vnd.ms-office.activeX"/>
  <Override PartName="/xl/activeX/activeX6.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09" codeName="{00000000-0000-0000-0000-000000000000}"/>
  <workbookPr codeName="ThisWorkbook"/>
  <mc:AlternateContent xmlns:mc="http://schemas.openxmlformats.org/markup-compatibility/2006">
    <mc:Choice Requires="x15">
      <x15ac:absPath xmlns:x15ac="http://schemas.microsoft.com/office/spreadsheetml/2010/11/ac" url="https://pfizer.sharepoint.com/sites/MasterproefNellieVanEeckhaute/Shared Documents/Algemeen/interface lists/Interfacelijsten ingevuld (meerdere VU's)/"/>
    </mc:Choice>
  </mc:AlternateContent>
  <xr:revisionPtr revIDLastSave="1" documentId="13_ncr:1_{FC664F68-A9D5-4996-BA99-5879B67B5D30}" xr6:coauthVersionLast="47" xr6:coauthVersionMax="47" xr10:uidLastSave="{0FCE48C2-3D0A-4FF0-8ED5-54385727B59E}"/>
  <bookViews>
    <workbookView xWindow="-110" yWindow="-110" windowWidth="19420" windowHeight="11500" tabRatio="787" firstSheet="1" activeTab="1" xr2:uid="{00000000-000D-0000-FFFF-FFFF00000000}"/>
  </bookViews>
  <sheets>
    <sheet name="Version control" sheetId="5" r:id="rId1"/>
    <sheet name="Download list" sheetId="1" r:id="rId2"/>
    <sheet name="General info" sheetId="17" r:id="rId3"/>
    <sheet name="P5 parameters" sheetId="10" r:id="rId4"/>
    <sheet name="StatusTags" sheetId="14" r:id="rId5"/>
    <sheet name="RMS generation settings" sheetId="9" r:id="rId6"/>
    <sheet name="Security" sheetId="11" r:id="rId7"/>
    <sheet name="ComponentTypes" sheetId="19" r:id="rId8"/>
    <sheet name="General" sheetId="3" r:id="rId9"/>
    <sheet name="Template history" sheetId="18" r:id="rId10"/>
  </sheets>
  <definedNames>
    <definedName name="__01_P5_ListVersion">'P5 parameters'!$B$3</definedName>
    <definedName name="__01_Px_ListVersion">'Download list'!$B$3</definedName>
    <definedName name="__02_P5_PfizerNr">'P5 parameters'!$C$3</definedName>
    <definedName name="__02_Px_PfizerNr">'Download list'!$C$3</definedName>
    <definedName name="__03_P5_IsDownloadbaar">'P5 parameters'!$D$3</definedName>
    <definedName name="__03_Px_IsDownloadbaar">'Download list'!$D$3</definedName>
    <definedName name="__04_P5_IsDeleted">'P5 parameters'!$E$3</definedName>
    <definedName name="__04_Px_IsDeleted">'Download list'!$E$3</definedName>
    <definedName name="__05_P5_Description_EN">'P5 parameters'!$F$3</definedName>
    <definedName name="__05_Px_Description_EN">'Download list'!$F$3</definedName>
    <definedName name="__07_P5_Description_NL">'P5 parameters'!$H$3</definedName>
    <definedName name="__07_Px_Description_NL">'Download list'!$H$3</definedName>
    <definedName name="__08_P5_DL_Address">'P5 parameters'!$I$3</definedName>
    <definedName name="__08_Px_DL_Address">'Download list'!$I$3</definedName>
    <definedName name="__09_P5_DL_DataType">'P5 parameters'!$K$3</definedName>
    <definedName name="__09_Px_DL_DataType">'Download list'!$K$3</definedName>
    <definedName name="__10_P5_ReadbackDB">'P5 parameters'!$M$3</definedName>
    <definedName name="__10_Px_ReadbackDB">'Download list'!$M$3</definedName>
    <definedName name="__11_P5_ReadbackAddress">'P5 parameters'!$N$3</definedName>
    <definedName name="__11_Px_ReadbackAddress">'Download list'!$N$3</definedName>
    <definedName name="__12_P5_ReadbackType">'P5 parameters'!$P$3</definedName>
    <definedName name="__12_Px_ReadbackType">'Download list'!$P$3</definedName>
    <definedName name="__14_P5_tag_scada">'P5 parameters'!$U$3</definedName>
    <definedName name="__14_Px_tag_scada">'Download list'!$U$3</definedName>
    <definedName name="__15_P5_tag_uldl">'P5 parameters'!$V$3</definedName>
    <definedName name="__15_Px_tag_uldl">'Download list'!$V$3</definedName>
    <definedName name="__16_P5_ComponentType">'P5 parameters'!$W$3</definedName>
    <definedName name="__16_Px_ComponentType">'Download list'!$W$3</definedName>
    <definedName name="__17_P5_VU">'P5 parameters'!$X$3</definedName>
    <definedName name="__17_Px_VU">'Download list'!$X$3</definedName>
    <definedName name="__18_P5_class">'P5 parameters'!$Y$3</definedName>
    <definedName name="__18_Px_class">'Download list'!$Y$3</definedName>
    <definedName name="__19_P5_group">'P5 parameters'!$Z$3</definedName>
    <definedName name="__19_Px_group">'Download list'!$Z$3</definedName>
    <definedName name="__20_P5_sequence">'P5 parameters'!$AA$3</definedName>
    <definedName name="__20_Px_sequence">'Download list'!$AA$3</definedName>
    <definedName name="__21_P5_DataOwner">'P5 parameters'!$AB$3</definedName>
    <definedName name="__21_Px_DataOwner">'Download list'!$AB$3</definedName>
    <definedName name="__22_P5_authorization">'P5 parameters'!$AC$3</definedName>
    <definedName name="__22_Px_authorization">'Download list'!$AC$3</definedName>
    <definedName name="__23_P5_authorization_actual_value">'P5 parameters'!$AD$3</definedName>
    <definedName name="__23_Px_authorization_actual_value">'Download list'!$AD$3</definedName>
    <definedName name="__24_P5_unit">'P5 parameters'!$AE$3</definedName>
    <definedName name="__24_Px_unit">'Download list'!$AE$3</definedName>
    <definedName name="__26_P5_range_min">'P5 parameters'!$AF$3</definedName>
    <definedName name="__26_Px_range_min">'Download list'!$AF$3</definedName>
    <definedName name="__27_P5_range_max">'P5 parameters'!$AG$3</definedName>
    <definedName name="__27_Px_range_max">'Download list'!$AG$3</definedName>
    <definedName name="__28_P5_initial_value">'P5 parameters'!$AH$3</definedName>
    <definedName name="__28_Px_initial_value">'Download list'!$AH$3</definedName>
    <definedName name="__29_P5_VQS_reference">'P5 parameters'!$AI$3</definedName>
    <definedName name="__29_Px_VQS_reference">'Download list'!$AI$3</definedName>
    <definedName name="__30_P5_DownloadTag">'P5 parameters'!$R$3</definedName>
    <definedName name="__30_Px_DownloadTag">'Download list'!$R$3</definedName>
    <definedName name="__31_P5_ReadbackTag">'P5 parameters'!$S$3</definedName>
    <definedName name="__31_Px_ReadbackTag">'Download list'!$S$3</definedName>
    <definedName name="__32_P5_StatusTag">'P5 parameters'!$T$3</definedName>
    <definedName name="__32_Px_StatusTag">'Download list'!$T$3</definedName>
    <definedName name="_xlnm._FilterDatabase" localSheetId="1" hidden="1">'Download list'!$A$3:$AQ$319</definedName>
    <definedName name="_xlnm._FilterDatabase" localSheetId="3" hidden="1">'P5 parameters'!$A$3:$AK$3</definedName>
    <definedName name="_xlnm.Print_Area" localSheetId="1">'Download list'!$B$3:$AJ$318</definedName>
    <definedName name="_xlnm.Print_Area" localSheetId="3">'P5 parameters'!$B$3:$AJ$24</definedName>
    <definedName name="_xlnm.Print_Titles" localSheetId="1">'Download list'!$3:$3</definedName>
    <definedName name="_xlnm.Print_Titles" localSheetId="3">'P5 parameters'!$3:$3</definedName>
    <definedName name="authorization" localSheetId="3">'P5 parameters'!$AD$3</definedName>
    <definedName name="authorization">'Download list'!$AD$3</definedName>
    <definedName name="class" localSheetId="3">'P5 parameters'!$Y$3</definedName>
    <definedName name="class">'Download list'!$Y$3</definedName>
    <definedName name="ComponentType" localSheetId="3">'P5 parameters'!$W$3</definedName>
    <definedName name="ComponentType">'Download list'!$W$3</definedName>
    <definedName name="DataOwner" localSheetId="3">'P5 parameters'!$AB$3</definedName>
    <definedName name="DataOwner">'Download list'!$AB$3</definedName>
    <definedName name="db12_plctype" localSheetId="3">'P5 parameters'!$L$3</definedName>
    <definedName name="db12_plctype">'Download list'!$L$3</definedName>
    <definedName name="db12_symbolic" localSheetId="3">'P5 parameters'!$J$3</definedName>
    <definedName name="db12_symbolic">'Download list'!$J$3</definedName>
    <definedName name="description_en" localSheetId="3">'P5 parameters'!$F$3</definedName>
    <definedName name="description_en">'Download list'!$F$2</definedName>
    <definedName name="description_nl" localSheetId="3">'P5 parameters'!$H$3</definedName>
    <definedName name="description_nl">'Download list'!$H$3</definedName>
    <definedName name="Description_sup" localSheetId="3">'P5 parameters'!$G$3</definedName>
    <definedName name="Description_sup">'Download list'!$G$3</definedName>
    <definedName name="Developer" localSheetId="3">'P5 parameters'!#REF!</definedName>
    <definedName name="Developer">'Download list'!#REF!</definedName>
    <definedName name="DL_Address" localSheetId="3">'P5 parameters'!$I$3</definedName>
    <definedName name="DL_Address">'Download list'!$I$3</definedName>
    <definedName name="DL_DataType" localSheetId="3">'P5 parameters'!$K$3</definedName>
    <definedName name="DL_DataType">'Download list'!$K$3</definedName>
    <definedName name="DownloadData">'Download list'!$A$3:$AK$318</definedName>
    <definedName name="DownloadP5Data">'P5 parameters'!$A$3:$AK$23</definedName>
    <definedName name="format" localSheetId="3">'P5 parameters'!#REF!</definedName>
    <definedName name="format">'Download list'!#REF!</definedName>
    <definedName name="group" localSheetId="3">'P5 parameters'!$Z$3</definedName>
    <definedName name="group">'Download list'!$Z$3</definedName>
    <definedName name="initial_value" localSheetId="3">'P5 parameters'!$AH$3</definedName>
    <definedName name="initial_value">'Download list'!$AH$3</definedName>
    <definedName name="IsDeleted" localSheetId="3">'P5 parameters'!$E$3</definedName>
    <definedName name="IsDeleted">'Download list'!$E$3</definedName>
    <definedName name="IsDownloadbaar" localSheetId="3">'P5 parameters'!$D$3</definedName>
    <definedName name="IsDownloadbaar">'Download list'!$D$3</definedName>
    <definedName name="iv" localSheetId="3">'P5 parameters'!#REF!</definedName>
    <definedName name="iv">'Download list'!#REF!</definedName>
    <definedName name="ListVersion" localSheetId="3">'P5 parameters'!$B$3</definedName>
    <definedName name="ListVersion">'Download list'!$B$3</definedName>
    <definedName name="Machinesteller" localSheetId="3">'P5 parameters'!#REF!</definedName>
    <definedName name="Machinesteller">'Download list'!#REF!</definedName>
    <definedName name="Operator" localSheetId="3">'P5 parameters'!#REF!</definedName>
    <definedName name="Operator">'Download list'!#REF!</definedName>
    <definedName name="PE" localSheetId="3">'P5 parameters'!#REF!</definedName>
    <definedName name="PE">'Download list'!#REF!</definedName>
    <definedName name="pfizernr" localSheetId="3">'P5 parameters'!$C$3</definedName>
    <definedName name="pfizernr">'Download list'!$C$3</definedName>
    <definedName name="QO" localSheetId="3">'P5 parameters'!#REF!</definedName>
    <definedName name="QO">'Download list'!#REF!</definedName>
    <definedName name="range_max" localSheetId="3">'P5 parameters'!$AG$3</definedName>
    <definedName name="range_max">'Download list'!$AG$3</definedName>
    <definedName name="range_min" localSheetId="3">'P5 parameters'!$AF$3</definedName>
    <definedName name="range_min">'Download list'!$AF$3</definedName>
    <definedName name="readback_plctype" localSheetId="3">'P5 parameters'!$Q$3</definedName>
    <definedName name="readback_plctype">'Download list'!$Q$3</definedName>
    <definedName name="readback_symbolic" localSheetId="3">'P5 parameters'!$O$3</definedName>
    <definedName name="readback_symbolic">'Download list'!$O$3</definedName>
    <definedName name="ReadbackAddress" localSheetId="3">'P5 parameters'!$N$3</definedName>
    <definedName name="ReadbackAddress">'Download list'!$N$3</definedName>
    <definedName name="ReadbackDB" localSheetId="3">'P5 parameters'!$M$3</definedName>
    <definedName name="ReadbackDB">'Download list'!$M$3</definedName>
    <definedName name="ReadbackType" localSheetId="3">'P5 parameters'!$P$3</definedName>
    <definedName name="ReadbackType">'Download list'!$P$3</definedName>
    <definedName name="sequence" localSheetId="3">'P5 parameters'!$AA$3</definedName>
    <definedName name="sequence">'Download list'!$AA$3</definedName>
    <definedName name="settings_authorization_online">'RMS generation settings'!$A$13</definedName>
    <definedName name="settings_authorization_rmstype" localSheetId="5">'RMS generation settings'!$B$12</definedName>
    <definedName name="settings_csv" localSheetId="5">'RMS generation settings'!$B$9</definedName>
    <definedName name="settings_CU" localSheetId="5">'RMS generation settings'!$B$5</definedName>
    <definedName name="settings_DB10">'RMS generation settings'!$B$22</definedName>
    <definedName name="settings_DB12">'RMS generation settings'!$B$20</definedName>
    <definedName name="settings_DB15">'RMS generation settings'!$B$19</definedName>
    <definedName name="settings_DB19">'RMS generation settings'!$B$21</definedName>
    <definedName name="settings_directDL">'RMS generation settings'!$B$14</definedName>
    <definedName name="settings_online">'RMS generation settings'!$B$13</definedName>
    <definedName name="settings_RFU">'RMS generation settings'!$B$15</definedName>
    <definedName name="settings_rms_version" localSheetId="5">'RMS generation settings'!$B$8</definedName>
    <definedName name="settings_scores7" localSheetId="5">'RMS generation settings'!$B$10</definedName>
    <definedName name="settings_scores7_incl" localSheetId="5">'RMS generation settings'!$B$11</definedName>
    <definedName name="settings_unit_name" localSheetId="5">'RMS generation settings'!$B$7</definedName>
    <definedName name="settings_VU">'RMS generation settings'!$B$6</definedName>
    <definedName name="settingsgen">'RMS generation settings'!$A$4:$B$26</definedName>
    <definedName name="special_remarks" localSheetId="3">'P5 parameters'!$AJ$3</definedName>
    <definedName name="special_remarks">'Download list'!$AJ$3</definedName>
    <definedName name="StatusTag" localSheetId="3">'P5 parameters'!$T$3</definedName>
    <definedName name="StatusTag">'Download list'!$T$3</definedName>
    <definedName name="Statustags">StatusTags!$A$3:$F$13</definedName>
    <definedName name="Supervisor" localSheetId="3">'P5 parameters'!#REF!</definedName>
    <definedName name="Supervisor">'Download list'!#REF!</definedName>
    <definedName name="tag_scada" localSheetId="3">'P5 parameters'!$U$3</definedName>
    <definedName name="tag_scada">'Download list'!$U$3</definedName>
    <definedName name="tag_uldl" localSheetId="3">'P5 parameters'!$V$3</definedName>
    <definedName name="tag_uldl">'Download list'!$V$3</definedName>
    <definedName name="Technieker_1" localSheetId="3">'P5 parameters'!#REF!</definedName>
    <definedName name="Technieker_1">'Download list'!#REF!</definedName>
    <definedName name="Technieker_2" localSheetId="3">'P5 parameters'!#REF!</definedName>
    <definedName name="Technieker_2">'Download list'!#REF!</definedName>
    <definedName name="unit" localSheetId="3">'P5 parameters'!$AE$3</definedName>
    <definedName name="unit">'Download list'!$AE$3</definedName>
    <definedName name="VQS" localSheetId="3">'P5 parameters'!$AI$3</definedName>
    <definedName name="VQS">'Download list'!$AI$3</definedName>
    <definedName name="VU" localSheetId="3">'P5 parameters'!$X$3</definedName>
    <definedName name="VU">'Download list'!$X$3</definedName>
    <definedName name="VU_Offset">'RMS generation settings'!$B$25</definedName>
    <definedName name="VU_Offset_DB10">'RMS generation settings'!$B$26</definedName>
    <definedName name="VU_VOLGORDE">'RMS generation settings'!$B$24</definedName>
    <definedName name="xlsSettings" localSheetId="2">'RMS generation settings'!$A$4</definedName>
    <definedName name="xlsSettings" localSheetId="9">'RMS generation settings'!$A$4</definedName>
    <definedName name="xlsSettings">'RMS generation settings'!$A$4</definedName>
    <definedName name="Z_5E8D4A93_237D_11D1_AB2C_00609709CD69_.wvu.PrintTitles" localSheetId="1">'Download list'!$3:$3</definedName>
    <definedName name="Z_5E8D4A93_237D_11D1_AB2C_00609709CD69_.wvu.PrintTitles" localSheetId="3">'P5 parameters'!$3:$3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19" i="1" l="1"/>
  <c r="V106" i="1"/>
  <c r="V61" i="1"/>
  <c r="V7" i="1" l="1"/>
  <c r="V8" i="1"/>
  <c r="V10" i="1"/>
  <c r="V11" i="1"/>
  <c r="V12" i="1"/>
  <c r="V13" i="1"/>
  <c r="V14" i="1"/>
  <c r="V16" i="1"/>
  <c r="V18" i="1"/>
  <c r="V20" i="1"/>
  <c r="V21" i="1"/>
  <c r="V23" i="1"/>
  <c r="V24" i="1"/>
  <c r="V25" i="1"/>
  <c r="V27" i="1"/>
  <c r="V28" i="1"/>
  <c r="V29" i="1"/>
  <c r="V30" i="1"/>
  <c r="V31" i="1"/>
  <c r="V32" i="1"/>
  <c r="V34" i="1"/>
  <c r="U35" i="1"/>
  <c r="V35" i="1" s="1"/>
  <c r="V36" i="1"/>
  <c r="V39" i="1"/>
  <c r="V41" i="1"/>
  <c r="V42" i="1"/>
  <c r="V43" i="1"/>
  <c r="V44" i="1"/>
  <c r="V45" i="1"/>
  <c r="V46" i="1"/>
  <c r="V47" i="1"/>
  <c r="V49" i="1"/>
  <c r="V50" i="1"/>
  <c r="V51" i="1"/>
  <c r="U52" i="1"/>
  <c r="V52" i="1" s="1"/>
  <c r="V53" i="1"/>
  <c r="V54" i="1"/>
  <c r="U55" i="1"/>
  <c r="V55" i="1" s="1"/>
  <c r="V56" i="1"/>
  <c r="V57" i="1"/>
  <c r="V58" i="1"/>
  <c r="V59" i="1"/>
  <c r="V60" i="1"/>
  <c r="V63" i="1"/>
  <c r="V64" i="1"/>
  <c r="V65" i="1"/>
  <c r="V66" i="1"/>
  <c r="V67" i="1"/>
  <c r="U68" i="1"/>
  <c r="V68" i="1" s="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214" i="1"/>
  <c r="V213" i="1"/>
  <c r="V210" i="1"/>
  <c r="V209" i="1"/>
  <c r="V207" i="1"/>
  <c r="V206" i="1"/>
  <c r="V205" i="1"/>
  <c r="V200" i="1"/>
  <c r="V198" i="1"/>
  <c r="V191" i="1"/>
  <c r="V190" i="1"/>
  <c r="V189" i="1"/>
  <c r="V186" i="1"/>
  <c r="V185" i="1"/>
  <c r="V184" i="1"/>
  <c r="V178" i="1"/>
  <c r="V177" i="1"/>
  <c r="V176" i="1"/>
  <c r="V174" i="1"/>
  <c r="V173" i="1"/>
  <c r="V172" i="1"/>
  <c r="V170" i="1"/>
  <c r="V169" i="1"/>
  <c r="V168" i="1"/>
  <c r="V162" i="1"/>
  <c r="V161" i="1"/>
  <c r="V160" i="1"/>
  <c r="V158" i="1"/>
  <c r="V157" i="1"/>
  <c r="V156" i="1"/>
  <c r="V155" i="1"/>
  <c r="V154" i="1"/>
  <c r="V153" i="1"/>
  <c r="V151" i="1"/>
  <c r="V150" i="1"/>
  <c r="V149" i="1"/>
  <c r="V148" i="1"/>
  <c r="V147" i="1"/>
  <c r="V146" i="1"/>
  <c r="V145" i="1"/>
  <c r="V144" i="1"/>
  <c r="V143" i="1"/>
  <c r="V142" i="1"/>
  <c r="V141" i="1"/>
  <c r="V140" i="1"/>
  <c r="V139" i="1"/>
  <c r="V138" i="1"/>
  <c r="V133" i="1"/>
  <c r="V132" i="1"/>
  <c r="V131" i="1"/>
  <c r="V130" i="1"/>
  <c r="V128" i="1"/>
  <c r="V127" i="1"/>
  <c r="V126" i="1"/>
  <c r="V125" i="1"/>
  <c r="V124" i="1"/>
  <c r="V123" i="1"/>
  <c r="V122" i="1"/>
  <c r="V121" i="1"/>
  <c r="V120" i="1"/>
  <c r="V119" i="1"/>
  <c r="V118" i="1"/>
  <c r="V117" i="1"/>
  <c r="V116" i="1"/>
  <c r="V115" i="1"/>
  <c r="V114" i="1"/>
  <c r="V113" i="1"/>
  <c r="V112" i="1"/>
  <c r="V111" i="1"/>
  <c r="V110" i="1"/>
  <c r="V109" i="1"/>
  <c r="V108" i="1"/>
  <c r="V107" i="1"/>
  <c r="V105" i="1"/>
  <c r="V104" i="1"/>
  <c r="U316" i="1"/>
  <c r="W228" i="1"/>
  <c r="W230" i="1"/>
  <c r="W231" i="1"/>
  <c r="W233" i="1"/>
  <c r="W234" i="1"/>
  <c r="W235" i="1"/>
  <c r="W236" i="1"/>
  <c r="W237" i="1"/>
  <c r="W238" i="1"/>
  <c r="W240" i="1"/>
  <c r="W241" i="1"/>
  <c r="W256" i="1"/>
  <c r="W257" i="1"/>
  <c r="W258" i="1"/>
  <c r="W259" i="1"/>
  <c r="W260" i="1"/>
  <c r="W263" i="1"/>
  <c r="W264" i="1"/>
  <c r="W267" i="1"/>
  <c r="W268" i="1"/>
  <c r="W275" i="1"/>
  <c r="W276" i="1"/>
  <c r="W277" i="1"/>
  <c r="W279" i="1"/>
  <c r="W280" i="1"/>
  <c r="W281" i="1"/>
  <c r="W282" i="1"/>
  <c r="W283" i="1"/>
  <c r="W285" i="1"/>
  <c r="W286" i="1"/>
  <c r="W287" i="1"/>
  <c r="W289" i="1"/>
  <c r="W290" i="1"/>
  <c r="W291" i="1"/>
  <c r="W292" i="1"/>
  <c r="W293" i="1"/>
  <c r="W297" i="1"/>
  <c r="W298" i="1"/>
  <c r="W299" i="1"/>
  <c r="W300" i="1"/>
  <c r="W301" i="1"/>
  <c r="W303" i="1"/>
  <c r="W304" i="1"/>
  <c r="W305" i="1"/>
  <c r="W306" i="1"/>
  <c r="W307" i="1"/>
  <c r="W308" i="1"/>
  <c r="W309" i="1"/>
  <c r="W311" i="1"/>
  <c r="W312" i="1"/>
  <c r="W313" i="1"/>
  <c r="W314" i="1"/>
  <c r="W315" i="1"/>
  <c r="U102" i="1"/>
  <c r="V102" i="1" s="1"/>
  <c r="W226" i="1"/>
  <c r="W225" i="1"/>
  <c r="W224" i="1"/>
  <c r="W223" i="1"/>
  <c r="W220" i="1"/>
  <c r="W219" i="1"/>
  <c r="V226" i="1"/>
  <c r="V225" i="1"/>
  <c r="V224" i="1"/>
  <c r="V223" i="1"/>
  <c r="V222" i="1"/>
  <c r="V220" i="1"/>
  <c r="V219" i="1"/>
  <c r="C4" i="3" l="1"/>
  <c r="C9" i="3" l="1"/>
  <c r="C8" i="3"/>
  <c r="C7" i="3"/>
  <c r="C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Daems, Ivan</author>
  </authors>
  <commentList>
    <comment ref="A3" authorId="0" shapeId="0" xr:uid="{B7166C67-680C-4A61-8208-CBF564AB9B05}">
      <text>
        <r>
          <rPr>
            <sz val="9"/>
            <color indexed="81"/>
            <rFont val="Tahoma"/>
            <family val="2"/>
          </rPr>
          <t>The new Version control template (and CRF / PCN column on the other tab pages) makes it easier to trace each modification within a DB list update back to the corresponding CRF / PCN number and initiator.  This is especially useful in post-project phase software updates where a DB list is updated with the scope &amp; changes from multiple CRF's or PCN's at once.</t>
        </r>
      </text>
    </comment>
    <comment ref="E3" authorId="0" shapeId="0" xr:uid="{ED0F56D3-882F-4755-80B2-192EDA23610D}">
      <text>
        <r>
          <rPr>
            <b/>
            <sz val="9"/>
            <color indexed="81"/>
            <rFont val="Tahoma"/>
            <family val="2"/>
          </rPr>
          <t>In the project phase (when only 1 CRF is applicable) :</t>
        </r>
        <r>
          <rPr>
            <sz val="9"/>
            <color indexed="81"/>
            <rFont val="Tahoma"/>
            <family val="2"/>
          </rPr>
          <t xml:space="preserve">
=&gt; Use your project CRF on the Version control tab page. It is not needed to fill in the CRF / PCN column on all the other tab pages.
</t>
        </r>
        <r>
          <rPr>
            <b/>
            <sz val="9"/>
            <color indexed="81"/>
            <rFont val="Tahoma"/>
            <family val="2"/>
          </rPr>
          <t>Post-project / update phase (when only 1 CRF or PCN is used for a DB list update) :</t>
        </r>
        <r>
          <rPr>
            <sz val="9"/>
            <color indexed="81"/>
            <rFont val="Tahoma"/>
            <family val="2"/>
          </rPr>
          <t xml:space="preserve">
=&gt; Use your CRF or PCN on the Version control tab page. It is not needed to fill in the CRF / PCN column on all the other tab pages.
</t>
        </r>
        <r>
          <rPr>
            <b/>
            <sz val="9"/>
            <color indexed="81"/>
            <rFont val="Tahoma"/>
            <family val="2"/>
          </rPr>
          <t xml:space="preserve">
Post-project / update phase (when multiple CRFs or PCNs are used for the same DB list update) :</t>
        </r>
        <r>
          <rPr>
            <sz val="9"/>
            <color indexed="81"/>
            <rFont val="Tahoma"/>
            <family val="2"/>
          </rPr>
          <t xml:space="preserve">
=&gt; On the Version control tab page: For each CRF or PCN the corresponding initiator needs to add a line to the DB list version.
=&gt; On all the other tab pages, for each modification the CRF / PCN column needs to be filled in so that each modification can be linked to the correct CRF number.
=&gt; If a CRF or PCN number is not yet known at the time of making changes in the DB list, then temporary use your own initials instead of the CRF / PCN number.  Later, update this to the real CRF / PCN number.</t>
        </r>
      </text>
    </comment>
    <comment ref="F3" authorId="0" shapeId="0" xr:uid="{F3FAC142-3330-4E1B-955F-86F3AFA72F7C}">
      <text>
        <r>
          <rPr>
            <sz val="9"/>
            <color indexed="81"/>
            <rFont val="Tahoma"/>
            <family val="2"/>
          </rPr>
          <t>WO number (if applicable) is supplied by the production department</t>
        </r>
      </text>
    </comment>
    <comment ref="G3" authorId="0" shapeId="0" xr:uid="{5EEB0F88-1B59-4E96-9983-A3E13DE97934}">
      <text>
        <r>
          <rPr>
            <sz val="9"/>
            <color indexed="81"/>
            <rFont val="Tahoma"/>
            <family val="2"/>
          </rPr>
          <t>=&gt; "</t>
        </r>
        <r>
          <rPr>
            <b/>
            <sz val="9"/>
            <color indexed="81"/>
            <rFont val="Tahoma"/>
            <family val="2"/>
          </rPr>
          <t>Yes</t>
        </r>
        <r>
          <rPr>
            <sz val="9"/>
            <color indexed="81"/>
            <rFont val="Tahoma"/>
            <family val="2"/>
          </rPr>
          <t>" means this discipline is in scope and needs to be updated once the changes of this DB list version go live.
=&gt; "</t>
        </r>
        <r>
          <rPr>
            <b/>
            <sz val="9"/>
            <color indexed="81"/>
            <rFont val="Tahoma"/>
            <family val="2"/>
          </rPr>
          <t>No</t>
        </r>
        <r>
          <rPr>
            <sz val="9"/>
            <color indexed="81"/>
            <rFont val="Tahoma"/>
            <family val="2"/>
          </rPr>
          <t>" means this discipline is in not in scope and no update is required.
=&gt; "</t>
        </r>
        <r>
          <rPr>
            <b/>
            <sz val="9"/>
            <color indexed="81"/>
            <rFont val="Tahoma"/>
            <family val="2"/>
          </rPr>
          <t>Future</t>
        </r>
        <r>
          <rPr>
            <sz val="9"/>
            <color indexed="81"/>
            <rFont val="Tahoma"/>
            <family val="2"/>
          </rPr>
          <t xml:space="preserve">" means this discipline is in scope and the required changes are already prepared in this DB list, but the update will not be done yet once the changes of this DB list go live.  That means, somwhere in the future this discipline still needs to be updated.
This can be used for example if a certain change has impact on both SCADA and PI/TRT but you only want to update SCADA now and do PI/TRT later.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Van Weyenberg, Mathias</author>
    <author>Tom Van Kerckhove</author>
    <author>tc={9C9FA1FE-0A46-4982-B250-3FBBAA03EF1A}</author>
    <author>lknaepk</author>
    <author>tc={40419744-6FBA-45A5-A305-41B5E0489D84}</author>
    <author>tc={C7AA3694-79FE-4360-ACEC-67989876376F}</author>
    <author>tc={EBAA944E-020B-4DC3-A1CC-7C162DFE3555}</author>
    <author>tc={67FDCD23-8E63-4C00-AC00-630B3B33A08D}</author>
    <author>tc={80342674-108C-4606-A7DE-68B2618DB70A}</author>
    <author>tc={A886844B-D675-4700-8F65-E5864103BCA2}</author>
    <author>tc={D297E632-1DC2-4E81-B890-A99901251EF3}</author>
    <author>tc={72228EEB-A1EB-4641-BC50-52FD97F80B13}</author>
    <author>tc={67D2A8C7-F046-41F4-AA8A-3E40529AB502}</author>
    <author>tc={F7C2D136-8460-4DD6-B00D-F100C65EC21B}</author>
    <author>tc={AD3C6AC6-121F-4F9D-8989-D67AF6FD9C33}</author>
    <author>tc={24A2CE41-3E67-4808-B630-B2CFE113B788}</author>
    <author>tc={3A50DD8C-D94F-4574-B934-CE47D737C9AF}</author>
    <author>tc={3162F87E-4399-4912-B808-C3BA53392767}</author>
    <author>tc={024A1BCC-034E-4537-9D40-B4B99BC8D1E3}</author>
    <author>tc={02EDE89B-B6D2-415C-BC93-664C7CE8929D}</author>
    <author>tc={195AAB8B-92F2-4802-A8BE-3159C2982CB8}</author>
    <author>tc={A1239C56-98D0-4D15-A36F-744CCB71119C}</author>
    <author>tc={13B2276B-A880-49F8-9FB2-28BE961FF46E}</author>
    <author>tc={D9B05993-D80B-4C71-B6A9-0145DCCB3D76}</author>
  </authors>
  <commentList>
    <comment ref="F3" authorId="0" shapeId="0" xr:uid="{B75E3575-7C4A-4F3A-967C-2D667438A3F4}">
      <text>
        <r>
          <rPr>
            <b/>
            <sz val="9"/>
            <color indexed="81"/>
            <rFont val="Tahoma"/>
            <family val="2"/>
          </rPr>
          <t>Van Weyenberg, Mathias:</t>
        </r>
        <r>
          <rPr>
            <sz val="9"/>
            <color indexed="81"/>
            <rFont val="Tahoma"/>
            <family val="2"/>
          </rPr>
          <t xml:space="preserve">
Description in English</t>
        </r>
      </text>
    </comment>
    <comment ref="G3" authorId="0" shapeId="0" xr:uid="{5128CE4F-5010-4B3F-ABB5-E905E2609E99}">
      <text>
        <r>
          <rPr>
            <b/>
            <sz val="9"/>
            <color indexed="81"/>
            <rFont val="Tahoma"/>
            <family val="2"/>
          </rPr>
          <t>Van Weyenberg, Mathias:</t>
        </r>
        <r>
          <rPr>
            <sz val="9"/>
            <color indexed="81"/>
            <rFont val="Tahoma"/>
            <family val="2"/>
          </rPr>
          <t xml:space="preserve">
Description language supplier
</t>
        </r>
      </text>
    </comment>
    <comment ref="H3" authorId="1" shapeId="0" xr:uid="{7F1B69A7-0139-46E0-AFC6-D2D1168EA765}">
      <text>
        <r>
          <rPr>
            <b/>
            <sz val="8"/>
            <color indexed="81"/>
            <rFont val="Tahoma"/>
            <family val="2"/>
          </rPr>
          <t>Translation:</t>
        </r>
        <r>
          <rPr>
            <sz val="8"/>
            <color indexed="81"/>
            <rFont val="Tahoma"/>
            <family val="2"/>
          </rPr>
          <t xml:space="preserve">
max. 75 characters</t>
        </r>
      </text>
    </comment>
    <comment ref="T3" authorId="2" shapeId="0" xr:uid="{9C9FA1FE-0A46-4982-B250-3FBBAA03EF1A}">
      <text>
        <t>[Threaded comment]
Your version of Excel allows you to read this threaded comment; however, any edits to it will get removed if the file is opened in a newer version of Excel. Learn more: https://go.microsoft.com/fwlink/?linkid=870924
Comment:
    All fields marked in pink: Is it really necessary to interlock these while the line is running? If so, why?</t>
      </text>
    </comment>
    <comment ref="X3" authorId="3" shapeId="0" xr:uid="{DE7D6D0D-52A4-486D-8249-D6B6D1F23181}">
      <text>
        <r>
          <rPr>
            <sz val="8"/>
            <color indexed="81"/>
            <rFont val="Tahoma"/>
            <family val="2"/>
          </rPr>
          <t xml:space="preserve">UV name of name of 
</t>
        </r>
      </text>
    </comment>
    <comment ref="I52" authorId="4" shapeId="0" xr:uid="{40419744-6FBA-45A5-A305-41B5E0489D84}">
      <text>
        <t>[Threaded comment]
Your version of Excel allows you to read this threaded comment; however, any edits to it will get removed if the file is opened in a newer version of Excel. Learn more: https://go.microsoft.com/fwlink/?linkid=870924
Comment:
    This should be DBD instead of DBB? Format is a real.</t>
      </text>
    </comment>
    <comment ref="AF52" authorId="5" shapeId="0" xr:uid="{C7AA3694-79FE-4360-ACEC-67989876376F}">
      <text>
        <t>[Threaded comment]
Your version of Excel allows you to read this threaded comment; however, any edits to it will get removed if the file is opened in a newer version of Excel. Learn more: https://go.microsoft.com/fwlink/?linkid=870924
Comment:
    Range Min./Max. should be from 345-5°! Is this possible?</t>
      </text>
    </comment>
    <comment ref="G55" authorId="6" shapeId="0" xr:uid="{EBAA944E-020B-4DC3-A1CC-7C162DFE3555}">
      <text>
        <t>[Threaded comment]
Your version of Excel allows you to read this threaded comment; however, any edits to it will get removed if the file is opened in a newer version of Excel. Learn more: https://go.microsoft.com/fwlink/?linkid=870924
Comment:
    Change naming of parameter as discussed during visit to B&amp;S</t>
      </text>
    </comment>
    <comment ref="F66" authorId="7" shapeId="0" xr:uid="{67FDCD23-8E63-4C00-AC00-630B3B33A08D}">
      <text>
        <t>[Threaded comment]
Your version of Excel allows you to read this threaded comment; however, any edits to it will get removed if the file is opened in a newer version of Excel. Learn more: https://go.microsoft.com/fwlink/?linkid=870924
Comment:
    Bag can be removed as it is not valid for this line</t>
      </text>
    </comment>
    <comment ref="AG71" authorId="8" shapeId="0" xr:uid="{80342674-108C-4606-A7DE-68B2618DB70A}">
      <text>
        <t>[Threaded comment]
Your version of Excel allows you to read this threaded comment; however, any edits to it will get removed if the file is opened in a newer version of Excel. Learn more: https://go.microsoft.com/fwlink/?linkid=870924
Comment:
    Should be higher than 100. Please set equal to 30000</t>
      </text>
    </comment>
    <comment ref="K72" authorId="9" shapeId="0" xr:uid="{A886844B-D675-4700-8F65-E5864103BCA2}">
      <text>
        <t>[Threaded comment]
Your version of Excel allows you to read this threaded comment; however, any edits to it will get removed if the file is opened in a newer version of Excel. Learn more: https://go.microsoft.com/fwlink/?linkid=870924
Comment:
    This cell was empty. Please doublecheck</t>
      </text>
    </comment>
    <comment ref="H90" authorId="10" shapeId="0" xr:uid="{D297E632-1DC2-4E81-B890-A99901251EF3}">
      <text>
        <t>[Threaded comment]
Your version of Excel allows you to read this threaded comment; however, any edits to it will get removed if the file is opened in a newer version of Excel. Learn more: https://go.microsoft.com/fwlink/?linkid=870924
Comment:
    Is this parameter still valid?
Acc to Wim, this monitoring is done in FiDo. How do they know if mixer is active?</t>
      </text>
    </comment>
    <comment ref="I176" authorId="11" shapeId="0" xr:uid="{72228EEB-A1EB-4641-BC50-52FD97F80B13}">
      <text>
        <t>[Threaded comment]
Your version of Excel allows you to read this threaded comment; however, any edits to it will get removed if the file is opened in a newer version of Excel. Learn more: https://go.microsoft.com/fwlink/?linkid=870924
Comment:
    these weren't filled in. To be checked</t>
      </text>
    </comment>
    <comment ref="F177" authorId="12" shapeId="0" xr:uid="{67D2A8C7-F046-41F4-AA8A-3E40529AB502}">
      <text>
        <t>[Threaded comment]
Your version of Excel allows you to read this threaded comment; however, any edits to it will get removed if the file is opened in a newer version of Excel. Learn more: https://go.microsoft.com/fwlink/?linkid=870924
Comment:
    What is this parameter for?</t>
      </text>
    </comment>
    <comment ref="F178" authorId="13" shapeId="0" xr:uid="{F7C2D136-8460-4DD6-B00D-F100C65EC21B}">
      <text>
        <t>[Threaded comment]
Your version of Excel allows you to read this threaded comment; however, any edits to it will get removed if the file is opened in a newer version of Excel. Learn more: https://go.microsoft.com/fwlink/?linkid=870924
Comment:
    Parameter disable compare function SON to be added.</t>
      </text>
    </comment>
    <comment ref="F189" authorId="14" shapeId="0" xr:uid="{AD3C6AC6-121F-4F9D-8989-D67AF6FD9C33}">
      <text>
        <t>[Threaded comment]
Your version of Excel allows you to read this threaded comment; however, any edits to it will get removed if the file is opened in a newer version of Excel. Learn more: https://go.microsoft.com/fwlink/?linkid=870924
Comment:
    Descriptions need to be changed by B&amp;S. Autotmatic start is not after DL</t>
      </text>
    </comment>
    <comment ref="F190" authorId="15" shapeId="0" xr:uid="{24A2CE41-3E67-4808-B630-B2CFE113B788}">
      <text>
        <t>[Threaded comment]
Your version of Excel allows you to read this threaded comment; however, any edits to it will get removed if the file is opened in a newer version of Excel. Learn more: https://go.microsoft.com/fwlink/?linkid=870924
Comment:
    Descriptions need to be changed by B&amp;S. Autotmatic start is not after DL</t>
      </text>
    </comment>
    <comment ref="F191" authorId="16" shapeId="0" xr:uid="{3A50DD8C-D94F-4574-B934-CE47D737C9AF}">
      <text>
        <t>[Threaded comment]
Your version of Excel allows you to read this threaded comment; however, any edits to it will get removed if the file is opened in a newer version of Excel. Learn more: https://go.microsoft.com/fwlink/?linkid=870924
Comment:
    Descriptions need to be changed by B&amp;S. Autotmatic start is not after DL</t>
      </text>
    </comment>
    <comment ref="P230" authorId="17" shapeId="0" xr:uid="{3162F87E-4399-4912-B808-C3BA53392767}">
      <text>
        <t>[Threaded comment]
Your version of Excel allows you to read this threaded comment; however, any edits to it will get removed if the file is opened in a newer version of Excel. Learn more: https://go.microsoft.com/fwlink/?linkid=870924
Comment:
    why not filled in? Pfizer#2100-&gt;2101, 2103-&gt;2108 to be checked</t>
      </text>
    </comment>
    <comment ref="F263" authorId="18" shapeId="0" xr:uid="{024A1BCC-034E-4537-9D40-B4B99BC8D1E3}">
      <text>
        <t>[Threaded comment]
Your version of Excel allows you to read this threaded comment; however, any edits to it will get removed if the file is opened in a newer version of Excel. Learn more: https://go.microsoft.com/fwlink/?linkid=870924
Comment:
    What is this parameter for?</t>
      </text>
    </comment>
    <comment ref="F264" authorId="19" shapeId="0" xr:uid="{02EDE89B-B6D2-415C-BC93-664C7CE8929D}">
      <text>
        <t>[Threaded comment]
Your version of Excel allows you to read this threaded comment; however, any edits to it will get removed if the file is opened in a newer version of Excel. Learn more: https://go.microsoft.com/fwlink/?linkid=870924
Comment:
    What is this parameter for? What does it do?</t>
      </text>
    </comment>
    <comment ref="F272" authorId="20" shapeId="0" xr:uid="{195AAB8B-92F2-4802-A8BE-3159C2982CB8}">
      <text>
        <t>[Threaded comment]
Your version of Excel allows you to read this threaded comment; however, any edits to it will get removed if the file is opened in a newer version of Excel. Learn more: https://go.microsoft.com/fwlink/?linkid=870924
Comment:
    Product discard bottle parameters to be added.</t>
      </text>
    </comment>
    <comment ref="F289" authorId="21" shapeId="0" xr:uid="{A1239C56-98D0-4D15-A36F-744CCB71119C}">
      <text>
        <t>[Threaded comment]
Your version of Excel allows you to read this threaded comment; however, any edits to it will get removed if the file is opened in a newer version of Excel. Learn more: https://go.microsoft.com/fwlink/?linkid=870924
Comment:
    What does this parameter exactly do?</t>
      </text>
    </comment>
    <comment ref="F294" authorId="22" shapeId="0" xr:uid="{13B2276B-A880-49F8-9FB2-28BE961FF46E}">
      <text>
        <t>[Threaded comment]
Your version of Excel allows you to read this threaded comment; however, any edits to it will get removed if the file is opened in a newer version of Excel. Learn more: https://go.microsoft.com/fwlink/?linkid=870924
Comment:
    Parameter disable compare function SON to be added.</t>
      </text>
    </comment>
    <comment ref="F313" authorId="23" shapeId="0" xr:uid="{D9B05993-D80B-4C71-B6A9-0145DCCB3D76}">
      <text>
        <t>[Threaded comment]
Your version of Excel allows you to read this threaded comment; however, any edits to it will get removed if the file is opened in a newer version of Excel. Learn more: https://go.microsoft.com/fwlink/?linkid=870924
Comment:
    What is this parameter</t>
      </text>
    </comment>
    <comment ref="C318" authorId="1" shapeId="0" xr:uid="{08F5F3EA-5B9F-46DC-844E-401B29F04129}">
      <text>
        <r>
          <rPr>
            <b/>
            <sz val="8"/>
            <color indexed="81"/>
            <rFont val="Tahoma"/>
            <family val="2"/>
          </rPr>
          <t xml:space="preserve">Attention!
</t>
        </r>
        <r>
          <rPr>
            <sz val="8"/>
            <color indexed="81"/>
            <rFont val="Tahoma"/>
            <family val="2"/>
          </rPr>
          <t>Insert line before this one to add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Daems, Ivan</author>
  </authors>
  <commentList>
    <comment ref="A6" authorId="0" shapeId="0" xr:uid="{267949BB-AD4B-441C-A55B-874FE8EE2267}">
      <text>
        <r>
          <rPr>
            <b/>
            <sz val="9"/>
            <color indexed="81"/>
            <rFont val="Tahoma"/>
            <family val="2"/>
          </rPr>
          <t xml:space="preserve">During project phase: </t>
        </r>
        <r>
          <rPr>
            <sz val="9"/>
            <color indexed="81"/>
            <rFont val="Tahoma"/>
            <family val="2"/>
          </rPr>
          <t xml:space="preserve">
=&gt; Link or reference to where the PLC software can be found
</t>
        </r>
        <r>
          <rPr>
            <b/>
            <sz val="9"/>
            <color indexed="81"/>
            <rFont val="Tahoma"/>
            <family val="2"/>
          </rPr>
          <t xml:space="preserve">Post-project phase: </t>
        </r>
        <r>
          <rPr>
            <sz val="9"/>
            <color indexed="81"/>
            <rFont val="Tahoma"/>
            <family val="2"/>
          </rPr>
          <t xml:space="preserve">
=&gt; Location (path) in VersionDog where the software can be found</t>
        </r>
      </text>
    </comment>
    <comment ref="A24" authorId="0" shapeId="0" xr:uid="{47404128-D071-4A4C-AB63-7A5E8190E36A}">
      <text>
        <r>
          <rPr>
            <sz val="9"/>
            <color indexed="81"/>
            <rFont val="Tahoma"/>
            <family val="2"/>
          </rPr>
          <t>If 1 or more SCADA clients are preferred to be used for PA for support (for example clients located on a technical platform, a supervisor room or any other non-production area) then write them down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Tom Van Kerckhove</author>
    <author>lknaepk</author>
  </authors>
  <commentList>
    <comment ref="H3" authorId="0" shapeId="0" xr:uid="{00000000-0006-0000-0200-000001000000}">
      <text>
        <r>
          <rPr>
            <b/>
            <sz val="8"/>
            <color indexed="81"/>
            <rFont val="Tahoma"/>
            <family val="2"/>
          </rPr>
          <t>Translation:</t>
        </r>
        <r>
          <rPr>
            <sz val="8"/>
            <color indexed="81"/>
            <rFont val="Tahoma"/>
            <family val="2"/>
          </rPr>
          <t xml:space="preserve">
max. 75 characters</t>
        </r>
      </text>
    </comment>
    <comment ref="X3" authorId="1" shapeId="0" xr:uid="{00000000-0006-0000-0200-000003000000}">
      <text>
        <r>
          <rPr>
            <sz val="8"/>
            <color indexed="81"/>
            <rFont val="Tahoma"/>
            <family val="2"/>
          </rPr>
          <t xml:space="preserve">UV name of name of 
</t>
        </r>
      </text>
    </comment>
    <comment ref="C24" authorId="0" shapeId="0" xr:uid="{00000000-0006-0000-0200-000004000000}">
      <text>
        <r>
          <rPr>
            <b/>
            <sz val="8"/>
            <color indexed="81"/>
            <rFont val="Tahoma"/>
            <family val="2"/>
          </rPr>
          <t xml:space="preserve">Attention!
</t>
        </r>
        <r>
          <rPr>
            <sz val="8"/>
            <color indexed="81"/>
            <rFont val="Tahoma"/>
            <family val="2"/>
          </rPr>
          <t>Insert line before this one to add parameters.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Van Weyenberg, Mathias</author>
    <author>tc={A96686F7-CE57-4AF4-96FF-F34C5EF058A5}</author>
  </authors>
  <commentList>
    <comment ref="C3" authorId="0" shapeId="0" xr:uid="{19618933-0BF1-43B7-BE66-E68EFA97D091}">
      <text>
        <r>
          <rPr>
            <b/>
            <sz val="9"/>
            <color indexed="81"/>
            <rFont val="Tahoma"/>
            <family val="2"/>
          </rPr>
          <t>Van Weyenberg, Mathias:</t>
        </r>
        <r>
          <rPr>
            <sz val="9"/>
            <color indexed="81"/>
            <rFont val="Tahoma"/>
            <family val="2"/>
          </rPr>
          <t xml:space="preserve">
Description of the statustag if wanted</t>
        </r>
      </text>
    </comment>
    <comment ref="A14" authorId="1" shapeId="0" xr:uid="{A96686F7-CE57-4AF4-96FF-F34C5EF058A5}">
      <text>
        <t>[Threaded comment]
Your version of Excel allows you to read this threaded comment; however, any edits to it will get removed if the file is opened in a newer version of Excel. Learn more: https://go.microsoft.com/fwlink/?linkid=870924
Comment:
    Please add VU3923_machine active statustag</t>
      </text>
    </comment>
  </commentList>
</comments>
</file>

<file path=xl/sharedStrings.xml><?xml version="1.0" encoding="utf-8"?>
<sst xmlns="http://schemas.openxmlformats.org/spreadsheetml/2006/main" count="5145" uniqueCount="2023">
  <si>
    <t>Version control</t>
  </si>
  <si>
    <t>Document
Version</t>
  </si>
  <si>
    <t>Initiator</t>
  </si>
  <si>
    <t>Date</t>
  </si>
  <si>
    <t>Description</t>
  </si>
  <si>
    <t>CRF / PCN number</t>
  </si>
  <si>
    <t>WO number
(for EV)</t>
  </si>
  <si>
    <t>Discipline in scope?</t>
  </si>
  <si>
    <t>(Yes/No/Future)</t>
  </si>
  <si>
    <t>PLC</t>
  </si>
  <si>
    <t>SCADA</t>
  </si>
  <si>
    <t>PI/TRT</t>
  </si>
  <si>
    <t>RMS</t>
  </si>
  <si>
    <t>ULDL</t>
  </si>
  <si>
    <t>EBR</t>
  </si>
  <si>
    <t>A1</t>
  </si>
  <si>
    <t>Draft1_B+S / Philipp Andörfer</t>
  </si>
  <si>
    <t>Initial Draft1 Version by B+S</t>
  </si>
  <si>
    <t>N/A</t>
  </si>
  <si>
    <t>YES</t>
  </si>
  <si>
    <t>NO</t>
  </si>
  <si>
    <t>n/a</t>
  </si>
  <si>
    <t>Future</t>
  </si>
  <si>
    <t>A2</t>
  </si>
  <si>
    <t>Mathieu Paelinck</t>
  </si>
  <si>
    <t>First review</t>
  </si>
  <si>
    <t>A3</t>
  </si>
  <si>
    <t>Philipp Andörfer</t>
  </si>
  <si>
    <t>Updates based on special requirements from Pfizer - marked in yellow</t>
  </si>
  <si>
    <t>Marnix Van Rompaey</t>
  </si>
  <si>
    <t>Review</t>
  </si>
  <si>
    <t>A4</t>
  </si>
  <si>
    <t>Pfizer</t>
  </si>
  <si>
    <t>Review Pfizer internal</t>
  </si>
  <si>
    <t>Guy Sels</t>
  </si>
  <si>
    <t>Review Pfizer internal (Guy &amp; Elke)</t>
  </si>
  <si>
    <t>A5</t>
  </si>
  <si>
    <t>Daniele Vellei</t>
  </si>
  <si>
    <t>26/10/2022</t>
  </si>
  <si>
    <t>Parameter class review</t>
  </si>
  <si>
    <t>B&amp;S</t>
  </si>
  <si>
    <t>Implement changes</t>
  </si>
  <si>
    <t>A6</t>
  </si>
  <si>
    <t>Femke Pinxten</t>
  </si>
  <si>
    <t>Draft2_B+S / Philipp Andörfer</t>
  </si>
  <si>
    <t>Adaptions during commissioning + New requirements by Pfizer (marked in yellow)</t>
  </si>
  <si>
    <t>A7</t>
  </si>
  <si>
    <t>Updates after FAT + Bugfix - marked in yellow</t>
  </si>
  <si>
    <t>27/03/2023</t>
  </si>
  <si>
    <t>Tag names implementation. Parameter class review</t>
  </si>
  <si>
    <t>A8</t>
  </si>
  <si>
    <t>Parameter class change of LAF parameters</t>
  </si>
  <si>
    <t>- List updated according to latest template to be compatible with RMS V2.1
- Small updates (see changes)</t>
  </si>
  <si>
    <t>A9</t>
  </si>
  <si>
    <t>Parameter class review. Review tag names</t>
  </si>
  <si>
    <t>B1</t>
  </si>
  <si>
    <t>Chloé De Graeve</t>
  </si>
  <si>
    <t>Component type review. Component type of parameters 202, 265 and 501 changed.</t>
  </si>
  <si>
    <t xml:space="preserve">Component type review and Dutch description of LAF/LF changed to AHU (Air Handling Unit) </t>
  </si>
  <si>
    <t>B2</t>
  </si>
  <si>
    <t>Delete parameters with pfizer number 261 and 2316</t>
  </si>
  <si>
    <t>Changed parameter group name LAF to AHU</t>
  </si>
  <si>
    <t>B3</t>
  </si>
  <si>
    <t>Changed component type for parameters 219 and 290</t>
  </si>
  <si>
    <t>21011-73210-PCN0-A1</t>
  </si>
  <si>
    <t>Yes</t>
  </si>
  <si>
    <t>No</t>
  </si>
  <si>
    <t>New Parameters 611 + 612 for gassing channel</t>
  </si>
  <si>
    <t>B4</t>
  </si>
  <si>
    <t>Max. value of par279 + 280 increased to 900, new par256</t>
  </si>
  <si>
    <t>21011-73260-PCN0-A1</t>
  </si>
  <si>
    <t>Elke Fransen</t>
  </si>
  <si>
    <t>Change of Auth actual value</t>
  </si>
  <si>
    <t>Removal of PMS limits as they are hardcoded</t>
  </si>
  <si>
    <t>B5</t>
  </si>
  <si>
    <t>Change dataowner for differential pressure too low and too high</t>
  </si>
  <si>
    <t>21011-73270-PCN0-A1</t>
  </si>
  <si>
    <t>B6</t>
  </si>
  <si>
    <t>B&amp;S / Pfizer review</t>
  </si>
  <si>
    <t>Add new parameter standstill time longer mixer</t>
  </si>
  <si>
    <t>gQTS#9103320</t>
  </si>
  <si>
    <t>B7</t>
  </si>
  <si>
    <t>Change dataowner , component type</t>
  </si>
  <si>
    <t>Download list</t>
  </si>
  <si>
    <t>DB "Lpar_DLData"</t>
  </si>
  <si>
    <t>DB Readback ("Lvis_Data" if applicable)</t>
  </si>
  <si>
    <t>DB "Lpar_DLStat"</t>
  </si>
  <si>
    <t>CRF / PCN</t>
  </si>
  <si>
    <t>Version</t>
  </si>
  <si>
    <t>PfizerNR</t>
  </si>
  <si>
    <t>IsDownloadbaar</t>
  </si>
  <si>
    <t>IsDeleted?</t>
  </si>
  <si>
    <t>Description (EN)</t>
  </si>
  <si>
    <t>Description (Supplier)</t>
  </si>
  <si>
    <t>Description (NL)</t>
  </si>
  <si>
    <t>DB12 address</t>
  </si>
  <si>
    <t>symbolic</t>
  </si>
  <si>
    <t>DB12 Type</t>
  </si>
  <si>
    <t>PLC Data Type</t>
  </si>
  <si>
    <t>Readback DB</t>
  </si>
  <si>
    <t>Readback Address</t>
  </si>
  <si>
    <t>Symbolic</t>
  </si>
  <si>
    <t>Readback Type</t>
  </si>
  <si>
    <t>Downloadtag</t>
  </si>
  <si>
    <t>Readbacktag</t>
  </si>
  <si>
    <t>StatusTag</t>
  </si>
  <si>
    <t>Tag name</t>
  </si>
  <si>
    <t xml:space="preserve">UL/DL Tag name </t>
  </si>
  <si>
    <t>Component Type</t>
  </si>
  <si>
    <t>VU</t>
  </si>
  <si>
    <t>Class</t>
  </si>
  <si>
    <t>Group</t>
  </si>
  <si>
    <t>Seq</t>
  </si>
  <si>
    <t>DataOwner</t>
  </si>
  <si>
    <t>Auth original value</t>
  </si>
  <si>
    <t>Auth actual value</t>
  </si>
  <si>
    <t>Unit</t>
  </si>
  <si>
    <t>Range Min</t>
  </si>
  <si>
    <t>Range Max</t>
  </si>
  <si>
    <t>Initial values</t>
  </si>
  <si>
    <t>VQS reference</t>
  </si>
  <si>
    <t>Special remarks</t>
  </si>
  <si>
    <t>Pass / Fail</t>
  </si>
  <si>
    <t>VU3922 : Filler</t>
  </si>
  <si>
    <t/>
  </si>
  <si>
    <t>Handling</t>
  </si>
  <si>
    <t>NA</t>
  </si>
  <si>
    <t>DBW0</t>
  </si>
  <si>
    <t>.VU1.Gen.Handling</t>
  </si>
  <si>
    <t>Word</t>
  </si>
  <si>
    <t>typeLPar_GenDL</t>
  </si>
  <si>
    <t>New_recipe</t>
  </si>
  <si>
    <t>Pfizer/Machine const.</t>
  </si>
  <si>
    <t>Shop Order Number</t>
  </si>
  <si>
    <t>SON</t>
  </si>
  <si>
    <t>DBB2</t>
  </si>
  <si>
    <t>.VU1.Gen.SON</t>
  </si>
  <si>
    <t>String[10]</t>
  </si>
  <si>
    <t>L</t>
  </si>
  <si>
    <t>P1</t>
  </si>
  <si>
    <t>Lot</t>
  </si>
  <si>
    <t>VERANTW_MACHSTELLER;SUPERVISOR;PE;DEVELOPER</t>
  </si>
  <si>
    <t>PE;DEVELOPER</t>
  </si>
  <si>
    <t>0000000000</t>
  </si>
  <si>
    <t>Machine constructor</t>
  </si>
  <si>
    <t xml:space="preserve">Item Number </t>
  </si>
  <si>
    <t>INR</t>
  </si>
  <si>
    <t>DBB14</t>
  </si>
  <si>
    <t>.VU1.Gen.INR</t>
  </si>
  <si>
    <t>String[15]</t>
  </si>
  <si>
    <t xml:space="preserve">Not approved recipe downloaded </t>
  </si>
  <si>
    <t>DBB31</t>
  </si>
  <si>
    <t>.VU1.Gen.WarnULDL</t>
  </si>
  <si>
    <t>Byte</t>
  </si>
  <si>
    <t>UL_DL_Warning</t>
  </si>
  <si>
    <t>Fill in when symbolic program</t>
  </si>
  <si>
    <t>Version of RMS recipe</t>
  </si>
  <si>
    <t>Receptversie</t>
  </si>
  <si>
    <t>DBB32</t>
  </si>
  <si>
    <t>.VU1.Gen.RecipeVersion</t>
  </si>
  <si>
    <t>String[6]</t>
  </si>
  <si>
    <t>RCPVER</t>
  </si>
  <si>
    <t>Fill in when Absolute program</t>
  </si>
  <si>
    <t>Mode</t>
  </si>
  <si>
    <t>DBW40</t>
  </si>
  <si>
    <t>.VU1.Gen.Mode</t>
  </si>
  <si>
    <t>INT</t>
  </si>
  <si>
    <t>Productie = 1</t>
  </si>
  <si>
    <t>Item description</t>
  </si>
  <si>
    <t>Item beschrijving</t>
  </si>
  <si>
    <t>DBB42</t>
  </si>
  <si>
    <t>.VU1.Gen.ItemDescription</t>
  </si>
  <si>
    <t>String[40]</t>
  </si>
  <si>
    <t>IDESCR</t>
  </si>
  <si>
    <t>Lot Number</t>
  </si>
  <si>
    <t>LNR</t>
  </si>
  <si>
    <t>DBB84</t>
  </si>
  <si>
    <t>.VU1.Gen.LNR</t>
  </si>
  <si>
    <t>xxx</t>
  </si>
  <si>
    <t>Virtual Unit</t>
  </si>
  <si>
    <t>DBW96</t>
  </si>
  <si>
    <t>.VU1.Gen.VU</t>
  </si>
  <si>
    <t>UL/DL alarms (Area only used in DB15 for passing UL/DL alarms to FC248)</t>
  </si>
  <si>
    <t>UL/DL Alarm</t>
  </si>
  <si>
    <t>DBW98</t>
  </si>
  <si>
    <t>.VU1.Gen.AlmULDL</t>
  </si>
  <si>
    <t>UL_DL_alarms</t>
  </si>
  <si>
    <t>Vial type</t>
  </si>
  <si>
    <t>Objekttyp</t>
  </si>
  <si>
    <t>Vial Type</t>
  </si>
  <si>
    <t>DBB100</t>
  </si>
  <si>
    <t>.VU1.Spec.PAR11</t>
  </si>
  <si>
    <t>typeLPar_SpecDL_VU1</t>
  </si>
  <si>
    <t>S7:[7002]3922_machine_active</t>
  </si>
  <si>
    <t>VialType</t>
  </si>
  <si>
    <t>VT</t>
  </si>
  <si>
    <t>P3</t>
  </si>
  <si>
    <t>General</t>
  </si>
  <si>
    <t>EE</t>
  </si>
  <si>
    <t>SUPERVISOR;PE;DEVELOPER</t>
  </si>
  <si>
    <t>XXXXXXXXXX</t>
  </si>
  <si>
    <t>Reserve</t>
  </si>
  <si>
    <t>DBB112</t>
  </si>
  <si>
    <t>.VU1.Spec.PAR12</t>
  </si>
  <si>
    <t>Main drive production speed</t>
  </si>
  <si>
    <t>Leistung Hauptantrieb Produktion</t>
  </si>
  <si>
    <t>Motor hoofdaandrijving - setpunt snelheid productie</t>
  </si>
  <si>
    <t>DBD200</t>
  </si>
  <si>
    <t>.VU1.Spec.PAR100</t>
  </si>
  <si>
    <t>REAL</t>
  </si>
  <si>
    <t>41M1_SP_productie</t>
  </si>
  <si>
    <t>VT;MF</t>
  </si>
  <si>
    <t>P4</t>
  </si>
  <si>
    <t>Speed</t>
  </si>
  <si>
    <t>TECHNIEKER1;TECHNIEKER2;VERANTW_MACHSTELLER;SUPERVISOR;PE;DEVELOPER</t>
  </si>
  <si>
    <t>%</t>
  </si>
  <si>
    <t>Main drive production speed slow by button</t>
  </si>
  <si>
    <t>Leistung Hauptantrieb Produktion langsam über Taste</t>
  </si>
  <si>
    <t>Motor hoofdaandrijving - setpunt snelheid traag via knop</t>
  </si>
  <si>
    <t>DBD204</t>
  </si>
  <si>
    <t>.VU1.Spec.PAR101</t>
  </si>
  <si>
    <t>41M1_SP_prod_slow</t>
  </si>
  <si>
    <t>Main drive slow speed</t>
  </si>
  <si>
    <t>Leistung Hauptantrieb Langsam</t>
  </si>
  <si>
    <t>Motor hoofdaandrijving - setpunt snelheid traag</t>
  </si>
  <si>
    <t>DBD208</t>
  </si>
  <si>
    <t>.VU1.Spec.PAR102</t>
  </si>
  <si>
    <t>41M1_SP_slow</t>
  </si>
  <si>
    <t>Main drive inching speed</t>
  </si>
  <si>
    <t>Leistung Hauptantrieb Tippen</t>
  </si>
  <si>
    <t>Motor hoofdaandrijving - setpunt snelheid bij gebruik stelknop</t>
  </si>
  <si>
    <t>DBD212</t>
  </si>
  <si>
    <t>.VU1.Spec.PAR103</t>
  </si>
  <si>
    <t>41M1_SP_jog</t>
  </si>
  <si>
    <t>E</t>
  </si>
  <si>
    <t>DBD216</t>
  </si>
  <si>
    <t>.VU1.Spec.PAR104</t>
  </si>
  <si>
    <t>Speed of infeed rotary table outer ring</t>
  </si>
  <si>
    <t>Leistung Einlaufdrehteller außen</t>
  </si>
  <si>
    <t>Snelheid buitenste ring invoer draaitafel</t>
  </si>
  <si>
    <t>DBD220</t>
  </si>
  <si>
    <t>.VU1.Spec.PAR105</t>
  </si>
  <si>
    <t>DB59010</t>
  </si>
  <si>
    <t>DBD4232</t>
  </si>
  <si>
    <t>.VU1.Spec.Motor48.x_4.SpeedPosSP</t>
  </si>
  <si>
    <t>typeLVis_ObjMotor.SpeedPosSP</t>
  </si>
  <si>
    <t>43M2_SP</t>
  </si>
  <si>
    <t>Speed of infeed rotary table inner disk</t>
  </si>
  <si>
    <t>Leistung Einlaufdrehteller innen</t>
  </si>
  <si>
    <t>Snelheid binnenste ring invoer draaitafel</t>
  </si>
  <si>
    <t>DBD224</t>
  </si>
  <si>
    <t>.VU1.Spec.PAR106</t>
  </si>
  <si>
    <t>DBD4184</t>
  </si>
  <si>
    <t>.VU1.Spec.Motor48.x_3.SpeedPosSP</t>
  </si>
  <si>
    <t>43M1_SP</t>
  </si>
  <si>
    <t>Speed of infeed rotary transfer table 1+2</t>
  </si>
  <si>
    <t>Leistung Umlenkdrehteller Einlauf 1+2</t>
  </si>
  <si>
    <t>Snelheid invoer draaitafels 1 en 2</t>
  </si>
  <si>
    <t>DBD228</t>
  </si>
  <si>
    <t>.VU1.Spec.PAR107</t>
  </si>
  <si>
    <t>DBD4280</t>
  </si>
  <si>
    <t>.VU1.Spec.Motor48.x_5.SpeedPosSP</t>
  </si>
  <si>
    <t>44M1_SP</t>
  </si>
  <si>
    <t>DBD232</t>
  </si>
  <si>
    <t>.VU1.Spec.PAR108</t>
  </si>
  <si>
    <t>Dosing vessel stirrer speed</t>
  </si>
  <si>
    <t>Leistung Rührer Dosierbehälter</t>
  </si>
  <si>
    <t>Snelheid mixer buffervat</t>
  </si>
  <si>
    <t>DBD236</t>
  </si>
  <si>
    <t>.VU1.Spec.PAR109</t>
  </si>
  <si>
    <t>52M1_SP</t>
  </si>
  <si>
    <t>P</t>
  </si>
  <si>
    <t>P2</t>
  </si>
  <si>
    <t>IR</t>
  </si>
  <si>
    <t>rpm</t>
  </si>
  <si>
    <t>Speed of permanent dosing with max. stroke</t>
  </si>
  <si>
    <t>Leistung Dauerdosieren mit Max Hub</t>
  </si>
  <si>
    <t>Snelheid permanent doseren met maximum slag</t>
  </si>
  <si>
    <t>DBD240</t>
  </si>
  <si>
    <t>.VU1.Spec.PAR110</t>
  </si>
  <si>
    <t>57M1_SP_MaxStroke</t>
  </si>
  <si>
    <t>Stopper sorter speed</t>
  </si>
  <si>
    <t>Leistung Sortierung Stopfen</t>
  </si>
  <si>
    <t>Stopper trilkuip - Snelheid</t>
  </si>
  <si>
    <t>DBD244</t>
  </si>
  <si>
    <t>.VU1.Spec.PAR111</t>
  </si>
  <si>
    <t>DBD5240</t>
  </si>
  <si>
    <t>.VU1.Spec.Motor48.x_25.SpeedPosSP</t>
  </si>
  <si>
    <t>72Y2_SP</t>
  </si>
  <si>
    <t>ST</t>
  </si>
  <si>
    <t>Stopper supply hopper speed</t>
  </si>
  <si>
    <t>Leistung Vorratsbehälter Stopfen</t>
  </si>
  <si>
    <t>Stopper hopper - Snelheid</t>
  </si>
  <si>
    <t>DBD248</t>
  </si>
  <si>
    <t>.VU1.Spec.PAR112</t>
  </si>
  <si>
    <t>DBD5096</t>
  </si>
  <si>
    <t>.VU1.Spec.Motor48.x_22.SpeedPosSP</t>
  </si>
  <si>
    <t>70Y2_SP</t>
  </si>
  <si>
    <t xml:space="preserve">Speed of stopper separator 1 </t>
  </si>
  <si>
    <t>Leistung Stopfentrennung 1</t>
  </si>
  <si>
    <t>Stopper scheider 1 - Snelheid</t>
  </si>
  <si>
    <t>DBD252</t>
  </si>
  <si>
    <t>.VU1.Spec.PAR113</t>
  </si>
  <si>
    <t>DBD5144</t>
  </si>
  <si>
    <t>.VU1.Spec.Motor48.x_23.SpeedPosSP</t>
  </si>
  <si>
    <t>71M1_SP</t>
  </si>
  <si>
    <t xml:space="preserve">Speed of stopper separator 2 </t>
  </si>
  <si>
    <t>Leistung Stopfentrennung 2</t>
  </si>
  <si>
    <t>Stopper scheider 2 - Snelheid</t>
  </si>
  <si>
    <t>DBD256</t>
  </si>
  <si>
    <t>.VU1.Spec.PAR114</t>
  </si>
  <si>
    <t>DBD5192</t>
  </si>
  <si>
    <t>.VU1.Spec.Motor48.x_24.SpeedPosSP</t>
  </si>
  <si>
    <t>71M2_SP</t>
  </si>
  <si>
    <t>DBB260</t>
  </si>
  <si>
    <t>.VU1.Spec.PAR115</t>
  </si>
  <si>
    <t>Surpress pharmaceutical alarms</t>
  </si>
  <si>
    <t>Pharmazeutische Alarme unterdrücken</t>
  </si>
  <si>
    <t>Onderdrukken farmaceutische alarmen (0=uit / 1=aan)</t>
  </si>
  <si>
    <t>DBX300.0</t>
  </si>
  <si>
    <t>.VU1.Spec.PAR200</t>
  </si>
  <si>
    <t>BOOL</t>
  </si>
  <si>
    <t>PharmAlm_OnOff</t>
  </si>
  <si>
    <t>Containers rejected due to intervention through glove port</t>
  </si>
  <si>
    <t>Objekte schlecht durch Handschuheingriff</t>
  </si>
  <si>
    <t>Reject actief bij handschoen interventie (0=uit / 1=aan)</t>
  </si>
  <si>
    <t>DBX300.1</t>
  </si>
  <si>
    <t>.VU1.Spec.PAR201</t>
  </si>
  <si>
    <t>Containers rejected due to PMS</t>
  </si>
  <si>
    <t>Objekte schlecht durch PMS</t>
  </si>
  <si>
    <t>Reject actief bij PMS alarm (0=deactiveren / 1=activeren)</t>
  </si>
  <si>
    <t>DBX300.2</t>
  </si>
  <si>
    <t>.VU1.Spec.PAR202</t>
  </si>
  <si>
    <t>Reject_PMS_OnOff</t>
  </si>
  <si>
    <t>E;MF</t>
  </si>
  <si>
    <t>DBX300.3</t>
  </si>
  <si>
    <t>.VU1.Spec.PAR203</t>
  </si>
  <si>
    <t>DBX300.4</t>
  </si>
  <si>
    <t>.VU1.Spec.PAR204</t>
  </si>
  <si>
    <t>Enable buttons service functions</t>
  </si>
  <si>
    <t>Tasten für Servicefunktionen freigeben</t>
  </si>
  <si>
    <t>Vrijgave service functies (0=uit / 1=aan)</t>
  </si>
  <si>
    <t>DBX300.5</t>
  </si>
  <si>
    <t>.VU1.Spec.PAR205</t>
  </si>
  <si>
    <t>ServFct_OnOff</t>
  </si>
  <si>
    <t>DBX300.6</t>
  </si>
  <si>
    <t>.VU1.Spec.PAR206</t>
  </si>
  <si>
    <t>Halved position machine operation</t>
  </si>
  <si>
    <t>Halbstelliger Betrieb</t>
  </si>
  <si>
    <t>Gehalveerd machinebedrijf  (0=uit / 1= aan)</t>
  </si>
  <si>
    <t>DBX300.7</t>
  </si>
  <si>
    <t>.VU1.Spec.PAR207</t>
  </si>
  <si>
    <t>Half_Bedrijf_YN</t>
  </si>
  <si>
    <t>Min. speed of main drive</t>
  </si>
  <si>
    <t>Min. Leistung Hauptantrieb</t>
  </si>
  <si>
    <t>Motor hoofdaandrijving - Minimum snelheid</t>
  </si>
  <si>
    <t>DBW302</t>
  </si>
  <si>
    <t>.VU1.Spec.PAR208</t>
  </si>
  <si>
    <t>41M1_OL</t>
  </si>
  <si>
    <t>P;MF</t>
  </si>
  <si>
    <t>ECO; IR</t>
  </si>
  <si>
    <t>Max. speed of main drive</t>
  </si>
  <si>
    <t>Max. Leistung Hauptantrieb</t>
  </si>
  <si>
    <t>Motor hoofdaandrijving - Maximum snelheid</t>
  </si>
  <si>
    <t>DBW304</t>
  </si>
  <si>
    <t>.VU1.Spec.PAR209</t>
  </si>
  <si>
    <t>41M1_BL</t>
  </si>
  <si>
    <t>Container build-up on infeed rotary table ON</t>
  </si>
  <si>
    <t>Objektstau Einlaufdrehteller ein</t>
  </si>
  <si>
    <t>Afstand tot accumulatie sensor - Max. accumulatie</t>
  </si>
  <si>
    <t>DBW306</t>
  </si>
  <si>
    <t>.VU1.Spec.PAR210</t>
  </si>
  <si>
    <t>43US1_On</t>
  </si>
  <si>
    <t>mm</t>
  </si>
  <si>
    <t>Container build-up on infeed rotary table OFF</t>
  </si>
  <si>
    <t>Objektstau Einlaufdrehteller aus</t>
  </si>
  <si>
    <t>Afstand tot accumulatie sensor - Min. accumulatie</t>
  </si>
  <si>
    <t>DBW308</t>
  </si>
  <si>
    <t>.VU1.Spec.PAR211</t>
  </si>
  <si>
    <t>43US1_Off</t>
  </si>
  <si>
    <t>Position of transport system height adjustment</t>
  </si>
  <si>
    <t>Position Höhenverstellung Durchtransport</t>
  </si>
  <si>
    <t>Hoogte instelling transport systeem</t>
  </si>
  <si>
    <t>DBD310</t>
  </si>
  <si>
    <t>.VU1.Spec.PAR212</t>
  </si>
  <si>
    <t>68M1_SP</t>
  </si>
  <si>
    <t>Position of stopper insertion station height adjustment</t>
  </si>
  <si>
    <t>Position Höhenverstellung Stopfeneindrückstation</t>
  </si>
  <si>
    <t>Hoogte instelling stopperstation</t>
  </si>
  <si>
    <t>DBD314</t>
  </si>
  <si>
    <t>.VU1.Spec.PAR213</t>
  </si>
  <si>
    <t>69M1_SP</t>
  </si>
  <si>
    <t>TECHNIEKER2;SUPERVISOR;PE;DEVELOPER</t>
  </si>
  <si>
    <t>DBD318</t>
  </si>
  <si>
    <t>.VU1.Spec.PAR214</t>
  </si>
  <si>
    <t>Stopper sorter fine adjustment</t>
  </si>
  <si>
    <t>Feinverstellung Stopfensortierung</t>
  </si>
  <si>
    <t>Stopper trilkuip - Fijninstelling hoogte</t>
  </si>
  <si>
    <t>DBD322</t>
  </si>
  <si>
    <t>.VU1.Spec.PAR215</t>
  </si>
  <si>
    <t>72Y2_fijninstelling</t>
  </si>
  <si>
    <t>Required position of fallen container sensor, track 1</t>
  </si>
  <si>
    <t>Sollposition Sensor liegendes Objekt Bahn 1</t>
  </si>
  <si>
    <t>Hoogte instelling detectie omgevallen vial - baan 1</t>
  </si>
  <si>
    <t>DBD326</t>
  </si>
  <si>
    <t>.VU1.Spec.PAR216</t>
  </si>
  <si>
    <t>45M1_SP</t>
  </si>
  <si>
    <t>TECHNIEKER1;TECHNIEKER2;SUPERVISOR;PE;DEVELOPER</t>
  </si>
  <si>
    <t>Required position of fallen container sensor, track 2</t>
  </si>
  <si>
    <t>Sollposition Sensor liegendes Objekt Bahn 2</t>
  </si>
  <si>
    <t>Hoogte instelling detectie omgevallen vial - baan 2</t>
  </si>
  <si>
    <t>DBD330</t>
  </si>
  <si>
    <t>.VU1.Spec.PAR217</t>
  </si>
  <si>
    <t>45M2_SP</t>
  </si>
  <si>
    <t>Basic Position main drive</t>
  </si>
  <si>
    <t>Grundposition Hauptantrieb</t>
  </si>
  <si>
    <t>Motor hoofdaandrijving - Basispositie</t>
  </si>
  <si>
    <t>DBD334</t>
  </si>
  <si>
    <t>.VU1.Spec.PAR218</t>
  </si>
  <si>
    <t>TECHNIEKER2;PE;DEVELOPER</t>
  </si>
  <si>
    <t>°</t>
  </si>
  <si>
    <t>Number of containers until consecutive fault: container missing in transport</t>
  </si>
  <si>
    <t>Anzahl Summenfehler Objekt fehlt im Transport</t>
  </si>
  <si>
    <t>Aantal vials voor herhalingsfout vial ontbreekt aan invoer transportband</t>
  </si>
  <si>
    <t>DBW338</t>
  </si>
  <si>
    <t>.VU1.Spec.PAR219</t>
  </si>
  <si>
    <t>Cons_Vial_MissingIn</t>
  </si>
  <si>
    <t>TECHNIEKER2;VERANTW_MACHSTELLER;SUPERVISOR;PE;DEVELOPER</t>
  </si>
  <si>
    <t>Number</t>
  </si>
  <si>
    <t>Minimum oxygen level</t>
  </si>
  <si>
    <t>Minimaler Sauerstoffgehalt</t>
  </si>
  <si>
    <t>Minimum zuurstof gehalte overschreden</t>
  </si>
  <si>
    <t>DBD340</t>
  </si>
  <si>
    <t>.VU1.Spec.PAR220</t>
  </si>
  <si>
    <t>84US1_min</t>
  </si>
  <si>
    <t>Selection of product type (0 = Solution / 1 = Supension)</t>
  </si>
  <si>
    <t>Auswahl des Produkttyps (0 = Lösung / 1 = Supension)</t>
  </si>
  <si>
    <t>Selectie product type (0 = Oplossing / 1 = Suspensie</t>
  </si>
  <si>
    <t>DBX400.0</t>
  </si>
  <si>
    <t>.VU1.Spec.PAR250</t>
  </si>
  <si>
    <t>Dosing general</t>
  </si>
  <si>
    <t>x</t>
  </si>
  <si>
    <t xml:space="preserve">0 = Solution; 
1 = Supension; 
(Par only applicable for function "Empty dosing vessel with 100% IPC"); </t>
  </si>
  <si>
    <t>Stirrer</t>
  </si>
  <si>
    <t>Rührer</t>
  </si>
  <si>
    <t>Mixer buffervat (0=uit / 1=aan)</t>
  </si>
  <si>
    <t>DBX400.1</t>
  </si>
  <si>
    <t>.VU1.Spec.PAR251</t>
  </si>
  <si>
    <t>52M1_YN</t>
  </si>
  <si>
    <t>Product circulation</t>
  </si>
  <si>
    <t>Umpumpen</t>
  </si>
  <si>
    <t>Product recirculatie kleine loop (0= uit / 1=aan)</t>
  </si>
  <si>
    <t>DBX400.2</t>
  </si>
  <si>
    <t>.VU1.Spec.PAR252</t>
  </si>
  <si>
    <t>Ompompen_YN</t>
  </si>
  <si>
    <t>Shear sensitive product</t>
  </si>
  <si>
    <t>Scherempfindliches Produkt</t>
  </si>
  <si>
    <t>Shear gevoelig product (0=nee, recirc bij C1 / 1=ja, recirc na herstart)</t>
  </si>
  <si>
    <t>DBX400.3</t>
  </si>
  <si>
    <t>.VU1.Spec.PAR253</t>
  </si>
  <si>
    <t>Shear_Gevoelig_YN</t>
  </si>
  <si>
    <t>Rejects due to slow filling speed during inching machine sequence</t>
  </si>
  <si>
    <t>Objekte verwerfen wegen langsamer Maschinengeschwindigkeit im Tippen Maschinenablauf</t>
  </si>
  <si>
    <t>Auto reject door traag afvullen tijdens joggen in sequentie (0=uit / 1=aan)</t>
  </si>
  <si>
    <t>DBX400.4</t>
  </si>
  <si>
    <t>.VU1.Spec.PAR254</t>
  </si>
  <si>
    <t>Reject_joggen_YN</t>
  </si>
  <si>
    <t>- PAR=1: Reject vials during jogging and start-up with bleeding and pre-production. No stop timers active.
- PAR=0: No reject during jogging (if all conditions are OK), stop timer is active (recirc/reject actions are done within jogging), no automatic start-up with bleeding.</t>
  </si>
  <si>
    <t>Automatic flush sequence (anti-crystalization)</t>
  </si>
  <si>
    <t>Auto. Produktpfadspülen in Produktauffangbehälter (anti-crystalization)</t>
  </si>
  <si>
    <t>Automatisch flushen activeren voor anti-kristallisatie (0=uit / 1=aan)</t>
  </si>
  <si>
    <t>DBX400.5</t>
  </si>
  <si>
    <t>.VU1.Spec.PAR255</t>
  </si>
  <si>
    <t>Anti-krist_flush_YN</t>
  </si>
  <si>
    <t>Release Operation mode - Run dosing vessel empty with 100% IPC</t>
  </si>
  <si>
    <t>Freigabe Mode Dosierbehälter leerfahren - 100% IPC</t>
  </si>
  <si>
    <t>Vrijgave Einde batch met 100% IPC (0=uit / 1=aan)</t>
  </si>
  <si>
    <t>DBX400.6</t>
  </si>
  <si>
    <t>.VU1.Spec.PAR256</t>
  </si>
  <si>
    <t>Vrijgave_100IPC_end</t>
  </si>
  <si>
    <t>DBX400.7</t>
  </si>
  <si>
    <t>.VU1.Spec.PAR257</t>
  </si>
  <si>
    <t>Selection of dosing system</t>
  </si>
  <si>
    <t>Anwahl Dosiersystem</t>
  </si>
  <si>
    <t>Selectie Doseersysteem (0=UIT / 1=Rotary piston pompen)</t>
  </si>
  <si>
    <t>DBW402</t>
  </si>
  <si>
    <t>.VU1.Spec.PAR258</t>
  </si>
  <si>
    <t>Doseer_Systeem</t>
  </si>
  <si>
    <t xml:space="preserve">0 = Off; 
1 = Rotary piston pumps; </t>
  </si>
  <si>
    <t>Selection of level control</t>
  </si>
  <si>
    <t>Anwahl Niveauregulierung</t>
  </si>
  <si>
    <t>Selectie Niveauregeling (0=UIT / 1=Buffervat)</t>
  </si>
  <si>
    <t>DBW404</t>
  </si>
  <si>
    <t>.VU1.Spec.PAR259</t>
  </si>
  <si>
    <t>Niveau_Regeling</t>
  </si>
  <si>
    <t xml:space="preserve">0 = Off; 
1 = Dosing vessel; </t>
  </si>
  <si>
    <t>Number of cycles to bleed the dosing system</t>
  </si>
  <si>
    <t>Anzahl Takte Dosiersystem entlüften</t>
  </si>
  <si>
    <t xml:space="preserve">Aantal takten ontluchten </t>
  </si>
  <si>
    <t>DBW406</t>
  </si>
  <si>
    <t>.VU1.Spec.PAR260</t>
  </si>
  <si>
    <t>Takten_ontluchten</t>
  </si>
  <si>
    <t>Number of cycles to run dosing vessel/product bag empty</t>
  </si>
  <si>
    <t>Anzahl Takte Dosierbehälter/Produktbeutel Leerfahren</t>
  </si>
  <si>
    <t>Einde batch - aantal takten leegdraaien buffervat voor start 100% IPC</t>
  </si>
  <si>
    <t>DBW408</t>
  </si>
  <si>
    <t>.VU1.Spec.PAR261</t>
  </si>
  <si>
    <t>Takten_leegdraaien</t>
  </si>
  <si>
    <t>Number of rejects per dosing position at dose optimization start</t>
  </si>
  <si>
    <t>Anzahl Objekte pro Stelle verwerfen bei Einregeln start</t>
  </si>
  <si>
    <t>Aantal taken reject per doseerpositie bij voorproductie start</t>
  </si>
  <si>
    <t>DBW410</t>
  </si>
  <si>
    <t>.VU1.Spec.PAR262</t>
  </si>
  <si>
    <t>Takten_startpreprod</t>
  </si>
  <si>
    <t>Only active if "Mode for reject and recirculation in 100% IPC" = 0
If this parameter &gt; 0 and "Mode for reject and recirculation in 100% IPC" = 0:
all 100% IPC modes are blocked, only dose optimization is released</t>
  </si>
  <si>
    <t>Number of cycles rejected at dose optimization end</t>
  </si>
  <si>
    <t>Anzahl Takte verwerfen bei Einregeln ende</t>
  </si>
  <si>
    <t>Aantal takten reject bij voorproductie einde</t>
  </si>
  <si>
    <t>DBW412</t>
  </si>
  <si>
    <t>.VU1.Spec.PAR263</t>
  </si>
  <si>
    <t>Time until filled containers without stoppers are declared as rejects</t>
  </si>
  <si>
    <t>Zeit bis gefüllte und unverschlossene Objekte schlechtgesetzt werden</t>
  </si>
  <si>
    <t>Tijd totdat gevulde niet gestopperde vials gereject worden</t>
  </si>
  <si>
    <t>DBW414</t>
  </si>
  <si>
    <t>.VU1.Spec.PAR264</t>
  </si>
  <si>
    <t>Time_rej_stilstand</t>
  </si>
  <si>
    <t>Min</t>
  </si>
  <si>
    <t>Time until main drive production speed slow by button</t>
  </si>
  <si>
    <t>Zeit Leistung Hauptantrieb Produktion langsam über Taste</t>
  </si>
  <si>
    <t>Tijd snelheidsreductie bij knop "output reductie"</t>
  </si>
  <si>
    <t>DBW416</t>
  </si>
  <si>
    <t>.VU1.Spec.PAR265</t>
  </si>
  <si>
    <t>Time_outputreductie</t>
  </si>
  <si>
    <t>Number of pump strokes product circulation before bleeding the dosing system</t>
  </si>
  <si>
    <t>Anzahl Pumpenhübe Umpumpen vor Entlüften</t>
  </si>
  <si>
    <t>Aantal pompslagen recirculatie voorafgaand aan ontluchten</t>
  </si>
  <si>
    <t>DBW418</t>
  </si>
  <si>
    <t>.VU1.Spec.PAR266</t>
  </si>
  <si>
    <t>Recirc_ontluchten</t>
  </si>
  <si>
    <t>Mode for reject and recirculation in 100% IPC</t>
  </si>
  <si>
    <t>Modus für Objektverwurf und Umpumpen in 100% IPC</t>
  </si>
  <si>
    <t>Selectie reject mode bij 100% IPC (0=reject alles + lange recirc / 1=reject volgens recirc and discard flowchart)</t>
  </si>
  <si>
    <t>DBW420</t>
  </si>
  <si>
    <t>.VU1.Spec.PAR267</t>
  </si>
  <si>
    <t>Reject_Mode_100IPC</t>
  </si>
  <si>
    <t>0 = All objects rejected during 100% IPC, circulation forced after 100% IPC (Mode running empty with 100% IPC is blocked )
1 = Flowchart is followed.</t>
  </si>
  <si>
    <t>DSTOP1 - Max. dosing station downtime 1 until containers rejected - Normal level in dosing vessel</t>
  </si>
  <si>
    <t>DSTOP1 - Max. Dauer Dosierstopp 1 bis Takte schlecht - Normales Niveau Dosierbehälter</t>
  </si>
  <si>
    <t>DSTOP1 - Maximum stilstandstijd 1 voor reject - Normaal niveau buffervat</t>
  </si>
  <si>
    <t>DBW422</t>
  </si>
  <si>
    <t>.VU1.Spec.PAR268</t>
  </si>
  <si>
    <t>DSTOP1</t>
  </si>
  <si>
    <t>Sec</t>
  </si>
  <si>
    <t>DSTOP2 - Max. dosing station downtime 2 until containers rejected - Normal level in dosing vessel</t>
  </si>
  <si>
    <t>DSTOP2 - Max. Dauer Dosierstopp 2 bis Takte schlecht - Normales Niveau Dosierbehälter</t>
  </si>
  <si>
    <t>DSTOP2 - Maximum stilstandstijd 2 voor reject - Normaal niveau buffervat</t>
  </si>
  <si>
    <t>DBW424</t>
  </si>
  <si>
    <t>.VU1.Spec.PAR269</t>
  </si>
  <si>
    <t>DSTOP2</t>
  </si>
  <si>
    <t>DSTOP1L - Max. dosing station downtime 1 until containers rejected - Low level in dosing vessel</t>
  </si>
  <si>
    <t>DSTOP1L - Max. Dauer Dosierstopp 1 bis Takte schlecht - Niedriges Niveau Dosierbehälter</t>
  </si>
  <si>
    <t>DSTOP1L - Maximum stilstandstijd 1 voor reject - Laag niveau buffervat</t>
  </si>
  <si>
    <t>DBW426</t>
  </si>
  <si>
    <t>.VU1.Spec.PAR270</t>
  </si>
  <si>
    <t>DSTOP1L</t>
  </si>
  <si>
    <t>DSTOP2L - Max. dosing station downtime 2 until containers rejected - Low level in dosing vessel</t>
  </si>
  <si>
    <t>DSTOP2L - Max. Dauer Dosierstopp 2 bis Takte schlecht - Niedriges Niveau Dosierbehälter</t>
  </si>
  <si>
    <t>DSTOP2L - Maximum stilstandstijd 2 voor reject - Laag niveau buffervat</t>
  </si>
  <si>
    <t>DBW428</t>
  </si>
  <si>
    <t>.VU1.Spec.PAR271</t>
  </si>
  <si>
    <t>DSTOP2L</t>
  </si>
  <si>
    <t>#D1 - Number of cycles rejected after dosing downtime 1 - Normal level in dosing vessel</t>
  </si>
  <si>
    <t>#D1 - Anzahl Takte schlecht nach Dosierstopp 1 - Normales Niveau Dosierbehälter</t>
  </si>
  <si>
    <t>#D1 - Aantal takten reject na "Max. stilstandstijd 1 voor reject - Normaal niveau buffervat"</t>
  </si>
  <si>
    <t>DBW430</t>
  </si>
  <si>
    <t>.VU1.Spec.PAR272</t>
  </si>
  <si>
    <t>D1</t>
  </si>
  <si>
    <t>#D2 - Number of cycles rejected after dosing downtime 2 - Normal level in dosing vessel</t>
  </si>
  <si>
    <t>#D2 - Anzahl Takte schlecht nach Dosierstopp 2 - Normales Niveau Dosierbehälter</t>
  </si>
  <si>
    <t>#D2 - Aantal takten reject na "Max. stilstandstijd 2 voor reject - Normaal niveau buffervat"</t>
  </si>
  <si>
    <t>DBW432</t>
  </si>
  <si>
    <t>.VU1.Spec.PAR273</t>
  </si>
  <si>
    <t>D2</t>
  </si>
  <si>
    <t>#D1L - Number of cycles rejected after dosing downtime 1 - Low level in dosing vessel</t>
  </si>
  <si>
    <t>#D1L - Anzahl Takte schlecht nach Dosierstopp 1 - Niedriges Niveau Dosierbehälter</t>
  </si>
  <si>
    <t>#D1L - Aantal takten reject na "Max. stilstandstijd 1 voor reject - Laag niveau buffervat"</t>
  </si>
  <si>
    <t>DBW434</t>
  </si>
  <si>
    <t>.VU1.Spec.PAR274</t>
  </si>
  <si>
    <t>D1L</t>
  </si>
  <si>
    <t>#D2L - Number of cycles rejected after dosing downtime 2 - Low level in dosing vessel</t>
  </si>
  <si>
    <t>#D2L - Anzahl Takte schlecht nach Dosierstopp 2 - Niedriges Niveau Dosierbehälter</t>
  </si>
  <si>
    <t>#D2L - Aantal takten reject na "Max. stilstandstijd 2 voor reject - Laag niveau buffervat"</t>
  </si>
  <si>
    <t>DBW436</t>
  </si>
  <si>
    <t>.VU1.Spec.PAR275</t>
  </si>
  <si>
    <t>D2L</t>
  </si>
  <si>
    <t>Low level in dosing vessel for dosing downtime</t>
  </si>
  <si>
    <t>Niveau-Grenze Dosierbeälter für Dosierstopp</t>
  </si>
  <si>
    <t>Niveau buffervat voor stilstandstijden laag niveau</t>
  </si>
  <si>
    <t>DBW438</t>
  </si>
  <si>
    <t>.VU1.Spec.PAR276</t>
  </si>
  <si>
    <t>LL_stillstand</t>
  </si>
  <si>
    <t>RSTOP1 - Max. dosing station downtime until product circulation 1</t>
  </si>
  <si>
    <t>RSTOP1 - Max. Dauer Dosierstopp bis Umpumpen 1</t>
  </si>
  <si>
    <t xml:space="preserve">RSTOP1 - Maximum stilstandstijd 1 tot recirculatie </t>
  </si>
  <si>
    <t>DBW440</t>
  </si>
  <si>
    <t>.VU1.Spec.PAR277</t>
  </si>
  <si>
    <t>RSTOP1</t>
  </si>
  <si>
    <t>RSTOP2 - Max. dosing station downtime until product circulation 2</t>
  </si>
  <si>
    <t>RSTOP2 - Max. Dauer Dosierstopp bis Umpumpen 2</t>
  </si>
  <si>
    <t xml:space="preserve">RSTOP2 - Maximum stilstandstijd 2 tot recirculatie </t>
  </si>
  <si>
    <t>DBW442</t>
  </si>
  <si>
    <t>.VU1.Spec.PAR278</t>
  </si>
  <si>
    <t>RSTOP2</t>
  </si>
  <si>
    <t>#R1 - Number of pump strokes for product circulation 1</t>
  </si>
  <si>
    <t>#R1 - Anzahl Pumpenhübe beim Umpumpen 1</t>
  </si>
  <si>
    <t>#R1 - Aantal takten recirculatie na "Max. stilstandstijd 1 tot recirculatie"</t>
  </si>
  <si>
    <t>DBW444</t>
  </si>
  <si>
    <t>.VU1.Spec.PAR279</t>
  </si>
  <si>
    <t>R1</t>
  </si>
  <si>
    <t>#R2 - Number of pump strokes for product circulation 2</t>
  </si>
  <si>
    <t>#R2 - Anzahl Pumpenhübe beim Umpumpen 2</t>
  </si>
  <si>
    <t>#R2 - Aantal takten recirculatie na "Max. stilstandstijd 2 tot recirculatie"</t>
  </si>
  <si>
    <t>DBW446</t>
  </si>
  <si>
    <t>.VU1.Spec.PAR280</t>
  </si>
  <si>
    <t>R2</t>
  </si>
  <si>
    <t>STR1 - Dose volume for product circulation</t>
  </si>
  <si>
    <t>STR1 - Dosiermenge beim Umpumpen</t>
  </si>
  <si>
    <t>STR1 - Doseervolume bij recirulatie</t>
  </si>
  <si>
    <t>DBD448</t>
  </si>
  <si>
    <t>.VU1.Spec.PAR281</t>
  </si>
  <si>
    <t>STR1</t>
  </si>
  <si>
    <t>g</t>
  </si>
  <si>
    <t>ADSTOP - Max. dosing station downtime until circulation valve switch</t>
  </si>
  <si>
    <t>ADSTOP - Max. Dauer Dosierstopp bis Umpumpventil umschaltet</t>
  </si>
  <si>
    <t>ADSTOP - Maximum stilstandstijd tot schakelen 3-wegventiel</t>
  </si>
  <si>
    <t>DBW452</t>
  </si>
  <si>
    <t>.VU1.Spec.PAR282</t>
  </si>
  <si>
    <t>ADSTOP</t>
  </si>
  <si>
    <t>#D3W - Number of cycles rejected after switching circulation valve</t>
  </si>
  <si>
    <t>#D3W - Anzahl Takte schlecht nach Umpumpventil umschalteten</t>
  </si>
  <si>
    <t>#D3W - Aantal takten reject na "Max.stilstandstijd tot schakelen 3-wegventiel"</t>
  </si>
  <si>
    <t>DBW454</t>
  </si>
  <si>
    <t>.VU1.Spec.PAR283</t>
  </si>
  <si>
    <t>D3W</t>
  </si>
  <si>
    <t>#RES - Number of dosing cycles until dosing downtime is zeroed</t>
  </si>
  <si>
    <t>#RES - Anzahl Dosiertakte bis Dosierstopp Timer auf Null gestellt wird</t>
  </si>
  <si>
    <t>#RES - Aantal takten voor verversing productpad (= reset stilstandstijd)</t>
  </si>
  <si>
    <t>DBW456</t>
  </si>
  <si>
    <t>.VU1.Spec.PAR284</t>
  </si>
  <si>
    <t>RES</t>
  </si>
  <si>
    <t xml:space="preserve">Min. mixing time before filling </t>
  </si>
  <si>
    <t>Min. Rührzeit vor Dosierung</t>
  </si>
  <si>
    <t>Minimum mixing tijd voor start afvullen</t>
  </si>
  <si>
    <t>DBW458</t>
  </si>
  <si>
    <t>.VU1.Spec.PAR285</t>
  </si>
  <si>
    <t>Time_min_mixing</t>
  </si>
  <si>
    <t>Amount of dosings until product reject bottle is full</t>
  </si>
  <si>
    <t>Anzahl Dosierungen bis Auffangbehälter für Produktverwurf voll</t>
  </si>
  <si>
    <t xml:space="preserve">Aantal doseringen tot rejectfles vol </t>
  </si>
  <si>
    <t>DBW460</t>
  </si>
  <si>
    <t>.VU1.Spec.PAR286</t>
  </si>
  <si>
    <t>Takten_rej_fles_vol</t>
  </si>
  <si>
    <t>Max. downtime no filling</t>
  </si>
  <si>
    <t>Max. Dauer keine Dosierung</t>
  </si>
  <si>
    <t>Maximum stilstandstijd zonder afvullen voor reject productpad tot HT</t>
  </si>
  <si>
    <t>DBW462</t>
  </si>
  <si>
    <t>.VU1.Spec.PAR287</t>
  </si>
  <si>
    <t>Time_reject_tot_HT</t>
  </si>
  <si>
    <t>MIn</t>
  </si>
  <si>
    <t>Cycle time for automatic flush sequence (anti-crystalization)</t>
  </si>
  <si>
    <t>Wartezeit für auto. Produktpfadspülen in Produktauffangbehälter (anti-crystalization)</t>
  </si>
  <si>
    <t>Tijd tussen flush (Anti-kristallisatie)</t>
  </si>
  <si>
    <t>DBW464</t>
  </si>
  <si>
    <t>.VU1.Spec.PAR288</t>
  </si>
  <si>
    <t>Time_tussen_flushen</t>
  </si>
  <si>
    <t>Number of pump strokes for automatic flush sequence (anti-crystalization)</t>
  </si>
  <si>
    <t>Anzahl Pumpenhübe für auto. Produktpfadspülen in Produktauffangbehälter (anti-crystalization)</t>
  </si>
  <si>
    <t>Aantal takten flushen (Anti-kristallisatie)</t>
  </si>
  <si>
    <t>DBW466</t>
  </si>
  <si>
    <t>.VU1.Spec.PAR289</t>
  </si>
  <si>
    <t>Takten_flushen</t>
  </si>
  <si>
    <t>DMaxGap - Max gap on same dosing position for discarding</t>
  </si>
  <si>
    <t>DMaxGap - Maximale Lücke an der gleichen Dosierstelle bis Objektverwurf</t>
  </si>
  <si>
    <t>Maximum aantal opeenvolgende onbrekende vials op zelfde doseerpositie tijdens rejecten na stilstandstijd</t>
  </si>
  <si>
    <t>DBW468</t>
  </si>
  <si>
    <t>.VU1.Spec.PAR290</t>
  </si>
  <si>
    <t>DMaxGap</t>
  </si>
  <si>
    <t>Dosing vessel fill volume</t>
  </si>
  <si>
    <t>Dosierbehälter Füllvolumen</t>
  </si>
  <si>
    <t>Totale inhoud buffervat (voor berekening %)</t>
  </si>
  <si>
    <t>DBD500</t>
  </si>
  <si>
    <t>.VU1.Spec.PAR300</t>
  </si>
  <si>
    <t>Vessel_volume</t>
  </si>
  <si>
    <t>Dosing vessel</t>
  </si>
  <si>
    <t>l</t>
  </si>
  <si>
    <t>Max. level in dosing vessel</t>
  </si>
  <si>
    <t>Max. Niveau Dosierbehälter</t>
  </si>
  <si>
    <t>Maximum niveau buffervat</t>
  </si>
  <si>
    <t>DBW504</t>
  </si>
  <si>
    <t>.VU1.Spec.PAR301</t>
  </si>
  <si>
    <t>Vessel_Level_max</t>
  </si>
  <si>
    <t>Required level in dosing vessel</t>
  </si>
  <si>
    <t>Soll Niveau Dosierbehälter</t>
  </si>
  <si>
    <t xml:space="preserve">Setpunt niveau buffervat </t>
  </si>
  <si>
    <t>DBW506</t>
  </si>
  <si>
    <t>.VU1.Spec.PAR302</t>
  </si>
  <si>
    <t>Vessel_Level_SP</t>
  </si>
  <si>
    <t>Min. level in dosing vessel</t>
  </si>
  <si>
    <t>Min. Niveau Dosierbehälter</t>
  </si>
  <si>
    <t>Einde batch - minimum niveau buffervat voor leegdraaien (#takten / 100% IPC)</t>
  </si>
  <si>
    <t>DBW508</t>
  </si>
  <si>
    <t>.VU1.Spec.PAR303</t>
  </si>
  <si>
    <t>Vessel_Level_min</t>
  </si>
  <si>
    <t>Min. min. level in dosing vessel</t>
  </si>
  <si>
    <t>Min. Min. Niveau Dosierbehälter</t>
  </si>
  <si>
    <t>Laag laag niveau buffervat voor waarschuwing tijdens reject productpad tot HT</t>
  </si>
  <si>
    <t>DBW510</t>
  </si>
  <si>
    <t>.VU1.Spec.PAR304</t>
  </si>
  <si>
    <t>Vessel_Level_LowLow</t>
  </si>
  <si>
    <t>Min. level in dosing vessel for stirrer</t>
  </si>
  <si>
    <t>Min. Niveau Dosierbehälter für Rührer</t>
  </si>
  <si>
    <t>Minimum niveau buffervat voor mixer</t>
  </si>
  <si>
    <t>DBW512</t>
  </si>
  <si>
    <t>.VU1.Spec.PAR305</t>
  </si>
  <si>
    <t>Vessel_Level_mixer</t>
  </si>
  <si>
    <t>Dosing vessel filling level to start refill</t>
  </si>
  <si>
    <t>Niveau Dosierbehälter Nachfüllen starten</t>
  </si>
  <si>
    <t>Minimale niveau buffervat alvorens start hervullen</t>
  </si>
  <si>
    <t>DBW514</t>
  </si>
  <si>
    <t>.VU1.Spec.PAR306</t>
  </si>
  <si>
    <t>DBW516</t>
  </si>
  <si>
    <t>.VU1.Spec.PAR307</t>
  </si>
  <si>
    <t>Max. speed deviation of dosing vessel stirrer</t>
  </si>
  <si>
    <t>Max. Abweichung Drehzahl Rührer Dosierbehälter</t>
  </si>
  <si>
    <t>Maximaal afwijking snelheid mixer buffervat</t>
  </si>
  <si>
    <t>DBD518</t>
  </si>
  <si>
    <t>.VU1.Spec.PAR308</t>
  </si>
  <si>
    <t>DINT</t>
  </si>
  <si>
    <t>52M1_DEV</t>
  </si>
  <si>
    <t>Max. tare weight deviation dosing vessel before start level control</t>
  </si>
  <si>
    <t>Max. Abweichung Gewicht Dosierbehälter bei Start Niveauregelung</t>
  </si>
  <si>
    <t>Maximale tolerantie gewicht buffervat bij start niveau controle</t>
  </si>
  <si>
    <t>DBD522</t>
  </si>
  <si>
    <t>.VU1.Spec.PAR309</t>
  </si>
  <si>
    <t>53W1_DEV</t>
  </si>
  <si>
    <t>kg</t>
  </si>
  <si>
    <t xml:space="preserve">Time until longer standstill time mixer exceeded </t>
  </si>
  <si>
    <t>Zeit bis längere Stillstandszeit Rührer überschritten</t>
  </si>
  <si>
    <t>Maximum stilstandstijd tot geldigheid minimum mixing tijd</t>
  </si>
  <si>
    <t>DBD526</t>
  </si>
  <si>
    <t>.VU1.Spec.PAR310</t>
  </si>
  <si>
    <t>MaxTime_min_mix</t>
  </si>
  <si>
    <t>Needle setting dimension</t>
  </si>
  <si>
    <t>Einrichtmass Nadel</t>
  </si>
  <si>
    <t>Instelpositie naald (mm)</t>
  </si>
  <si>
    <t>DBD600</t>
  </si>
  <si>
    <t>.VU1.Spec.PAR350</t>
  </si>
  <si>
    <t>Nld_Instelpos_mm</t>
  </si>
  <si>
    <t>Dosing needle</t>
  </si>
  <si>
    <t>Basic needle position</t>
  </si>
  <si>
    <t>Grundposition Nadel</t>
  </si>
  <si>
    <t>Basispositie naald (mm)</t>
  </si>
  <si>
    <t>DBD604</t>
  </si>
  <si>
    <t>.VU1.Spec.PAR351</t>
  </si>
  <si>
    <t>Nld_Basispos_mm</t>
  </si>
  <si>
    <t>Start needle down</t>
  </si>
  <si>
    <t>Start Nadel ab</t>
  </si>
  <si>
    <t>Start naald naar benedenpositie (°)</t>
  </si>
  <si>
    <t>DBD608</t>
  </si>
  <si>
    <t>.VU1.Spec.PAR352</t>
  </si>
  <si>
    <t>Nld_Start_Down_grad</t>
  </si>
  <si>
    <t>Position needle down</t>
  </si>
  <si>
    <t>Position Nadel unten</t>
  </si>
  <si>
    <t>Onder positie naald (mm)</t>
  </si>
  <si>
    <t>DBD612</t>
  </si>
  <si>
    <t>.VU1.Spec.PAR353</t>
  </si>
  <si>
    <t>Nld_Onderpos_mm</t>
  </si>
  <si>
    <t xml:space="preserve">Needle down </t>
  </si>
  <si>
    <t xml:space="preserve">Nadel unten </t>
  </si>
  <si>
    <t>Naald naar beneden sturen (°)</t>
  </si>
  <si>
    <t>DBD616</t>
  </si>
  <si>
    <t>.VU1.Spec.PAR354</t>
  </si>
  <si>
    <t>Nld_Nr_Beneden_grad</t>
  </si>
  <si>
    <t>Start needle up</t>
  </si>
  <si>
    <t>Start Nadel auf</t>
  </si>
  <si>
    <t>Start naald naar boven sturen (°)</t>
  </si>
  <si>
    <t>DBD620</t>
  </si>
  <si>
    <t>.VU1.Spec.PAR355</t>
  </si>
  <si>
    <t>Nld_Start_Up_graden</t>
  </si>
  <si>
    <t>Position needle at end of dosing</t>
  </si>
  <si>
    <t>Position Nadel Dosieren Ende</t>
  </si>
  <si>
    <t>Naald naar einde doseringspositie sturen (mm)</t>
  </si>
  <si>
    <t>DBD624</t>
  </si>
  <si>
    <t>.VU1.Spec.PAR356</t>
  </si>
  <si>
    <t>Nld_Nr_Eind_dose_mm</t>
  </si>
  <si>
    <t>Needle at end of dosing</t>
  </si>
  <si>
    <t>Nadel Dosieren Ende</t>
  </si>
  <si>
    <t>Naald einde dosering (°)</t>
  </si>
  <si>
    <t>DBD628</t>
  </si>
  <si>
    <t>.VU1.Spec.PAR357</t>
  </si>
  <si>
    <t>Nld_Eind_dose_grad</t>
  </si>
  <si>
    <t>Start needle to basic position</t>
  </si>
  <si>
    <t>Start Nadel Grundposition</t>
  </si>
  <si>
    <t>Start naald naar basispositie (°)</t>
  </si>
  <si>
    <t>DBD632</t>
  </si>
  <si>
    <t>.VU1.Spec.PAR358</t>
  </si>
  <si>
    <t>Nld_Start_Base_grad</t>
  </si>
  <si>
    <t>Basic needle position reached</t>
  </si>
  <si>
    <t>Nadel Grundposition erreicht</t>
  </si>
  <si>
    <t>Naald basispositie bereikt (°)</t>
  </si>
  <si>
    <t>DBD636</t>
  </si>
  <si>
    <t>.VU1.Spec.PAR359</t>
  </si>
  <si>
    <t>Nld_Basepos_bereikt</t>
  </si>
  <si>
    <t>Position needle down for reject into product reject bottle</t>
  </si>
  <si>
    <t>Position Nadel unten für Produktverwurf in Auffangbehälter</t>
  </si>
  <si>
    <t>Positie van naalden voor reject product in reject fles (mm)</t>
  </si>
  <si>
    <t>DBD640</t>
  </si>
  <si>
    <t>.VU1.Spec.PAR360</t>
  </si>
  <si>
    <t>Nld_Rejectpos_mm</t>
  </si>
  <si>
    <t>End pump suction</t>
  </si>
  <si>
    <t>Ende Pumpe Ansaugen</t>
  </si>
  <si>
    <t>Eindpositie pistonpomp aanzuigen (°)</t>
  </si>
  <si>
    <t>DBD700</t>
  </si>
  <si>
    <t>.VU1.Spec.PAR400</t>
  </si>
  <si>
    <t>Piston_Eind_Aanzuig</t>
  </si>
  <si>
    <t>Dosing piston pump</t>
  </si>
  <si>
    <t>Start pump dosing</t>
  </si>
  <si>
    <t>Start Pumpe Dosieren</t>
  </si>
  <si>
    <t>Startpositie pistonpomp doseren (°)</t>
  </si>
  <si>
    <t>DBD704</t>
  </si>
  <si>
    <t>.VU1.Spec.PAR401</t>
  </si>
  <si>
    <t>Piston_Start_Dosing</t>
  </si>
  <si>
    <t>Pump dosing start ramp</t>
  </si>
  <si>
    <t>Startrampe Pumpe Dosieren</t>
  </si>
  <si>
    <t>Opstartcurve pistonpomp doseren (°)</t>
  </si>
  <si>
    <t>DBD708</t>
  </si>
  <si>
    <t>.VU1.Spec.PAR402</t>
  </si>
  <si>
    <t>Piston_Stop_ramp</t>
  </si>
  <si>
    <t>Pump dosing stop ramp</t>
  </si>
  <si>
    <t>Stopprampe Pumpe Dosieren</t>
  </si>
  <si>
    <t>Stopcurve pistonpomp doseren (°)</t>
  </si>
  <si>
    <t>DBD712</t>
  </si>
  <si>
    <t>.VU1.Spec.PAR403</t>
  </si>
  <si>
    <t>Piston_Start_ramp</t>
  </si>
  <si>
    <t>End pump dosing</t>
  </si>
  <si>
    <t>Ende Pumpe Dosieren</t>
  </si>
  <si>
    <t>Eindpositie pistonpomp doseren (°)</t>
  </si>
  <si>
    <t>DBD716</t>
  </si>
  <si>
    <t>.VU1.Spec.PAR404</t>
  </si>
  <si>
    <t>Piston_Eind_Dosing</t>
  </si>
  <si>
    <t>End drip retraction</t>
  </si>
  <si>
    <t>Ende Pumpe Rücksaugen</t>
  </si>
  <si>
    <t>Eindpositie pistonpomp opzuigen druppelvorming (°)</t>
  </si>
  <si>
    <t>DBD720</t>
  </si>
  <si>
    <t>.VU1.Spec.PAR405</t>
  </si>
  <si>
    <t>Piston_Eind_Retour</t>
  </si>
  <si>
    <t>Amount retracted</t>
  </si>
  <si>
    <t>Rücksaugmenge</t>
  </si>
  <si>
    <t>Volume opzuigen druppelvorming (ml)</t>
  </si>
  <si>
    <t>DBD724</t>
  </si>
  <si>
    <t>.VU1.Spec.PAR406</t>
  </si>
  <si>
    <t>Piston_Drip_Retract</t>
  </si>
  <si>
    <t>ml</t>
  </si>
  <si>
    <t>Start pump suction</t>
  </si>
  <si>
    <t>Start Pumpe Ansaugen</t>
  </si>
  <si>
    <t>Startpositie pistonpomp aanzuigen (°)</t>
  </si>
  <si>
    <t>DBD728</t>
  </si>
  <si>
    <t>.VU1.Spec.PAR407</t>
  </si>
  <si>
    <t>Piston_Start_zuig</t>
  </si>
  <si>
    <t>Pump size</t>
  </si>
  <si>
    <t>Pumpengröße</t>
  </si>
  <si>
    <t>Pomp grootte (0 = 0,15 - 1,1 ml / 1 = 0,3 - 2,1 ml / 2 = 0,7 - 5,5 ml / 3 = 1,6 - 12,5 ml / 4 = 3,6 - 28,0 ml / 5 = 8,0 - 50,0 ml )</t>
  </si>
  <si>
    <t>DBW732</t>
  </si>
  <si>
    <t>.VU1.Spec.PAR408</t>
  </si>
  <si>
    <t>PumpSize</t>
  </si>
  <si>
    <t>0 = 0,15..1,1 ml; 
1 = 0,3 - 2,1 ml; 
2 = 0,7 - 5,5 ml; 
3 = 1,6 - 12,5 ml; 
4 = 3,6 - 28,0 ml; 
5 = 8,0 - 50,0 ml</t>
  </si>
  <si>
    <t>Dose correction value</t>
  </si>
  <si>
    <t>Korrekturwert Dosiermenge</t>
  </si>
  <si>
    <t>Correctiefactor doseervolume</t>
  </si>
  <si>
    <t>DBD734</t>
  </si>
  <si>
    <t>.VU1.Spec.PAR409</t>
  </si>
  <si>
    <t>Dos_Correctfact</t>
  </si>
  <si>
    <t>Max. dose correction value (+/-)</t>
  </si>
  <si>
    <t>Max. Korrekturwert Dosiermenge (+/-)</t>
  </si>
  <si>
    <t>Maximum correctiefactor doseervolume (+/-)</t>
  </si>
  <si>
    <t>DBD738</t>
  </si>
  <si>
    <t>.VU1.Spec.PAR410</t>
  </si>
  <si>
    <t>Dos_Correctfact_Max</t>
  </si>
  <si>
    <t>DBB742</t>
  </si>
  <si>
    <t>.VU1.Spec.PAR411</t>
  </si>
  <si>
    <t>IPC</t>
  </si>
  <si>
    <t>IPC (0=uit / 1=aan)</t>
  </si>
  <si>
    <t>DBX900.0</t>
  </si>
  <si>
    <t>.VU1.Spec.PAR500</t>
  </si>
  <si>
    <t>IPC_YN</t>
  </si>
  <si>
    <t>Automatic dose adjustment</t>
  </si>
  <si>
    <t>Dosiermenge automatisch nachregeln</t>
  </si>
  <si>
    <t>Doseervolume automatisch bijstellen (0=uit /1= aan)</t>
  </si>
  <si>
    <t>DBX900.1</t>
  </si>
  <si>
    <t>.VU1.Spec.PAR501</t>
  </si>
  <si>
    <t>AutoDoseervolume_YN</t>
  </si>
  <si>
    <t>Static elimination</t>
  </si>
  <si>
    <t>Ionisation</t>
  </si>
  <si>
    <t>Ionisatie (0=uit / 1=aan)</t>
  </si>
  <si>
    <t>DBX900.2</t>
  </si>
  <si>
    <t>.VU1.Spec.PAR502</t>
  </si>
  <si>
    <t>Ionisatie_YN</t>
  </si>
  <si>
    <t>Discard containers due to IPC reject procedure</t>
  </si>
  <si>
    <t>Objektverwurf durch IPC</t>
  </si>
  <si>
    <t>IPC reject procedure (0=uit / 1=aan)</t>
  </si>
  <si>
    <t>DBX900.3</t>
  </si>
  <si>
    <t>.VU1.Spec.PAR503</t>
  </si>
  <si>
    <t>IPC_Reject_YN</t>
  </si>
  <si>
    <t>DBX900.4</t>
  </si>
  <si>
    <t>.VU1.Spec.PAR504</t>
  </si>
  <si>
    <t>DBX900.5</t>
  </si>
  <si>
    <t>.VU1.Spec.PAR505</t>
  </si>
  <si>
    <t>DBX900.6</t>
  </si>
  <si>
    <t>.VU1.Spec.PAR506</t>
  </si>
  <si>
    <t>DBX900.7</t>
  </si>
  <si>
    <t>.VU1.Spec.PAR507</t>
  </si>
  <si>
    <t>Correction value for tare removal grippers</t>
  </si>
  <si>
    <t>Korrekturwert Durchtransport Tara Entnahme</t>
  </si>
  <si>
    <t>Correctiewaarde grippers weegrobot wegnemen voor tarra weging</t>
  </si>
  <si>
    <t>DBD902</t>
  </si>
  <si>
    <t>.VU1.Spec.PAR508</t>
  </si>
  <si>
    <t>Correctie_tar_weg</t>
  </si>
  <si>
    <t>Correction value for tare return grippers</t>
  </si>
  <si>
    <t>Korrekturwert Durchtransport Tara Rückgabe</t>
  </si>
  <si>
    <t>Correctiewaarde grippers weegrobot terugzetten na tarra weging</t>
  </si>
  <si>
    <t>DBD906</t>
  </si>
  <si>
    <t>.VU1.Spec.PAR509</t>
  </si>
  <si>
    <t>Correctie_tar_terug</t>
  </si>
  <si>
    <t>Correction value for gross removal grippers</t>
  </si>
  <si>
    <t>Korrekturwert Durchtransport Brutto Entnahme</t>
  </si>
  <si>
    <t>Correctiewaarde grippers weegrobot wegnemen voor bruto weging</t>
  </si>
  <si>
    <t>DBD910</t>
  </si>
  <si>
    <t>.VU1.Spec.PAR510</t>
  </si>
  <si>
    <t>Correctie_net_weg</t>
  </si>
  <si>
    <t>Correction value for gross return grippers</t>
  </si>
  <si>
    <t>Korrekturwert Durchtransport Brutto Rückgabe</t>
  </si>
  <si>
    <t>Correctiewaarde grippers weegrobot terugzetten na bruto weging</t>
  </si>
  <si>
    <t>DBD914</t>
  </si>
  <si>
    <t>.VU1.Spec.PAR511</t>
  </si>
  <si>
    <t>Correctie_net_terug</t>
  </si>
  <si>
    <t>Minimum tare weight</t>
  </si>
  <si>
    <t>Tara gut minimal</t>
  </si>
  <si>
    <t>Ondergrens goede tarra weging</t>
  </si>
  <si>
    <t>DBD918</t>
  </si>
  <si>
    <t>.VU1.Spec.PAR512</t>
  </si>
  <si>
    <t>49WT1_min</t>
  </si>
  <si>
    <t>Maximum tare weight</t>
  </si>
  <si>
    <t>Tara gut maximal</t>
  </si>
  <si>
    <t>Bovengrens goede tarra weging</t>
  </si>
  <si>
    <t>DBD922</t>
  </si>
  <si>
    <t>.VU1.Spec.PAR513</t>
  </si>
  <si>
    <t>49WT1_max</t>
  </si>
  <si>
    <t>Minimum net weight OAL</t>
  </si>
  <si>
    <t>Netto gut minimal OAL</t>
  </si>
  <si>
    <t>Netto gewicht - Minimum Reject Limiet (OAL)</t>
  </si>
  <si>
    <t>DBD926</t>
  </si>
  <si>
    <t>.VU1.Spec.PAR514</t>
  </si>
  <si>
    <t>OAL</t>
  </si>
  <si>
    <t>Minimum warning limit OVL</t>
  </si>
  <si>
    <t>Warngrenze minimal OVL</t>
  </si>
  <si>
    <t>Netto gewicht - Minimum Vul Limiet (OVL)</t>
  </si>
  <si>
    <t>DBD930</t>
  </si>
  <si>
    <t>.VU1.Spec.PAR515</t>
  </si>
  <si>
    <t>OVL</t>
  </si>
  <si>
    <t>Minimum net weight for no adjustment. ORL</t>
  </si>
  <si>
    <t>Nachregeln inaktiv minimal ORL</t>
  </si>
  <si>
    <t>Netto gewicht - Minimum Regel Limiet (ORL)</t>
  </si>
  <si>
    <t>DBD934</t>
  </si>
  <si>
    <t>.VU1.Spec.PAR516</t>
  </si>
  <si>
    <t>ORL</t>
  </si>
  <si>
    <t>Required net weight TAR</t>
  </si>
  <si>
    <t>Netto soll TAR</t>
  </si>
  <si>
    <t>Netto gewicht - Setpunt (TAR)</t>
  </si>
  <si>
    <t>DBD938</t>
  </si>
  <si>
    <t>.VU1.Spec.PAR517</t>
  </si>
  <si>
    <t>TAR</t>
  </si>
  <si>
    <t>Product density</t>
  </si>
  <si>
    <t>Produktdichte</t>
  </si>
  <si>
    <t>Product dichtheid</t>
  </si>
  <si>
    <t>DBD942</t>
  </si>
  <si>
    <t>.VU1.Spec.PAR518</t>
  </si>
  <si>
    <t>Produkt_density</t>
  </si>
  <si>
    <t>g/ml</t>
  </si>
  <si>
    <t>Maximum net weight limit for no adjustment BRL</t>
  </si>
  <si>
    <t>Nachregeln inaktiv maximal BRL</t>
  </si>
  <si>
    <t>Netto gewicht - Maximum Regel Limiet (BRL)</t>
  </si>
  <si>
    <t>DBD946</t>
  </si>
  <si>
    <t>.VU1.Spec.PAR519</t>
  </si>
  <si>
    <t>BRL</t>
  </si>
  <si>
    <t>Maximum warning limit BVL</t>
  </si>
  <si>
    <t>Warngrenze maximal BVL</t>
  </si>
  <si>
    <t>Netto gewicht - Maximum Vul Limiet (BVL)</t>
  </si>
  <si>
    <t>DBD950</t>
  </si>
  <si>
    <t>.VU1.Spec.PAR520</t>
  </si>
  <si>
    <t>BVL</t>
  </si>
  <si>
    <t>Maximum net weight BAL</t>
  </si>
  <si>
    <t>Netto gut maximal BAL</t>
  </si>
  <si>
    <t>Netto gewicht - Maximum Reject Limiet (BAL)</t>
  </si>
  <si>
    <t>DBD954</t>
  </si>
  <si>
    <t>.VU1.Spec.PAR521</t>
  </si>
  <si>
    <t>BAL</t>
  </si>
  <si>
    <t>DBD958</t>
  </si>
  <si>
    <t>.VU1.Spec.PAR522</t>
  </si>
  <si>
    <t xml:space="preserve">Check scales: Maximum permissible deviation from test weight </t>
  </si>
  <si>
    <t>Maximale Abweichung Überprüfungsgewicht Waage prüfen</t>
  </si>
  <si>
    <t>Maximaal toegestane afwijking bij interne balansverificatie</t>
  </si>
  <si>
    <t>DBD962</t>
  </si>
  <si>
    <t>.VU1.Spec.PAR523</t>
  </si>
  <si>
    <t>Delta_Scale_Max</t>
  </si>
  <si>
    <t>IPC frequency</t>
  </si>
  <si>
    <t>IPC Intervall</t>
  </si>
  <si>
    <t>IPC Frequentie</t>
  </si>
  <si>
    <t>DBW966</t>
  </si>
  <si>
    <t>.VU1.Spec.PAR524</t>
  </si>
  <si>
    <t>IPC_interval</t>
  </si>
  <si>
    <t>0 = 4,0 %; 
1 = 2,7 %; 
2 = 2,0 %; 
3 = 1,6 %; 
4 = 1,3 %,; 
5 = 1,1 %;  
6 = 1,0 %; 
7 = 0,9 %; 
8 = 0,8 %; 
9 = 0,7 %; 
10 = 0,6 %; 
11 = 0,5 %; 
12 = 0,4 %; 
13 = 0,3 %; 
14 = 0,2 %,; 
15 = 0,1 %</t>
  </si>
  <si>
    <t xml:space="preserve">Number of containers until consecutive fault: no stable weight received from tare scales </t>
  </si>
  <si>
    <t xml:space="preserve">Anzahl Summenfehler kein stabiler Gewichtswert von Tarawaage empfangen </t>
  </si>
  <si>
    <t>Aantal vials voor herhalingsfout geen stabiel gewicht tarra weegschaal</t>
  </si>
  <si>
    <t>DBW968</t>
  </si>
  <si>
    <t>.VU1.Spec.PAR525</t>
  </si>
  <si>
    <t>Cons_tar_Nt_stable</t>
  </si>
  <si>
    <t xml:space="preserve">Number of containers until consecutive fault: no stable weight received from gross scales </t>
  </si>
  <si>
    <t xml:space="preserve">Anzahl Summenfehler kein stabiler Gewichtswert von Bruttowaage empfangen </t>
  </si>
  <si>
    <t>Aantal vials voor herhalingsfout geen stabiel gewicht bruto weegschaal</t>
  </si>
  <si>
    <t>DBW970</t>
  </si>
  <si>
    <t>.VU1.Spec.PAR526</t>
  </si>
  <si>
    <t>Cons_brut_Nt_stable</t>
  </si>
  <si>
    <t>Number of containers until consecutive fault: net weight warning limit exceeded</t>
  </si>
  <si>
    <t>Anzahl Summenfehler Netto Warngrenze überschritten</t>
  </si>
  <si>
    <t>Aantal vials voor herhalingsfout netto gewicht buiten vul limieten</t>
  </si>
  <si>
    <t>DBW972</t>
  </si>
  <si>
    <t>.VU1.Spec.PAR527</t>
  </si>
  <si>
    <t>Cons_uit_vullimiet</t>
  </si>
  <si>
    <t>Number of good containers until self-optimization successful</t>
  </si>
  <si>
    <t>Anzahl Objekte Gut bis Einregeln erfolgreich</t>
  </si>
  <si>
    <t>Aantal goede vials op 1e positie tot preproductie succesvol</t>
  </si>
  <si>
    <t>DBW974</t>
  </si>
  <si>
    <t>.VU1.Spec.PAR528</t>
  </si>
  <si>
    <t>Nr_pos1_preprod_OK</t>
  </si>
  <si>
    <t>DBB976</t>
  </si>
  <si>
    <t>.VU1.Spec.PAR529</t>
  </si>
  <si>
    <t>Stopper station</t>
  </si>
  <si>
    <t>Stopfenstation</t>
  </si>
  <si>
    <t>Stopperstation (0=uit / 1=aan)</t>
  </si>
  <si>
    <t>DBX1000.0</t>
  </si>
  <si>
    <t>.VU1.Spec.PAR550</t>
  </si>
  <si>
    <t>Stopperstation_YN</t>
  </si>
  <si>
    <t>Stopper check</t>
  </si>
  <si>
    <t>Stopfen prüfen</t>
  </si>
  <si>
    <t>Stoppercontrole via sensor (0=uit / 1=aan)</t>
  </si>
  <si>
    <t>DBX1000.1</t>
  </si>
  <si>
    <t>.VU1.Spec.PAR551</t>
  </si>
  <si>
    <t>Stoppercheck_YN</t>
  </si>
  <si>
    <t>Stopper separator</t>
  </si>
  <si>
    <t>Stopfentrennung</t>
  </si>
  <si>
    <t>Stoppenscheiders (0=uit / 1=aan)</t>
  </si>
  <si>
    <t>DBX1000.2</t>
  </si>
  <si>
    <t>.VU1.Spec.PAR552</t>
  </si>
  <si>
    <t>Stopperscheider_YN</t>
  </si>
  <si>
    <t>DBX1000.3</t>
  </si>
  <si>
    <t>.VU1.Spec.PAR553</t>
  </si>
  <si>
    <t>DBX1000.4</t>
  </si>
  <si>
    <t>.VU1.Spec.PAR554</t>
  </si>
  <si>
    <t>DBX1000.5</t>
  </si>
  <si>
    <t>.VU1.Spec.PAR555</t>
  </si>
  <si>
    <t>DBX1000.6</t>
  </si>
  <si>
    <t>.VU1.Spec.PAR556</t>
  </si>
  <si>
    <t>DBX1000.7</t>
  </si>
  <si>
    <t>.VU1.Spec.PAR557</t>
  </si>
  <si>
    <t>Stopper supply hopper vibration frequency</t>
  </si>
  <si>
    <t>Schwingfrequenz Voratsbehälter Stopfen</t>
  </si>
  <si>
    <t>Trilfrequentie stopper hopper</t>
  </si>
  <si>
    <t>DBD1002</t>
  </si>
  <si>
    <t>.VU1.Spec.PAR558</t>
  </si>
  <si>
    <t>70Y2_SP_Hz</t>
  </si>
  <si>
    <t>Hz</t>
  </si>
  <si>
    <t>Stopper sorting bowl vibration frequency</t>
  </si>
  <si>
    <t>Schwingfrequenz Sortierung Stopfen</t>
  </si>
  <si>
    <t xml:space="preserve">Stopper trilkuip - Trilfrequentie </t>
  </si>
  <si>
    <t>DBD1006</t>
  </si>
  <si>
    <t>.VU1.Spec.PAR559</t>
  </si>
  <si>
    <t>72Y2_SP_Hz</t>
  </si>
  <si>
    <t>Stopper sorter filling level</t>
  </si>
  <si>
    <t>Füllniveau Sortierung Stopfen</t>
  </si>
  <si>
    <t>Stopper trilkuip - Vulniveau</t>
  </si>
  <si>
    <t>DBW1010</t>
  </si>
  <si>
    <t>.VU1.Spec.PAR560</t>
  </si>
  <si>
    <t>72US1_SP</t>
  </si>
  <si>
    <t>DBW1012</t>
  </si>
  <si>
    <t>.VU1.Spec.PAR561</t>
  </si>
  <si>
    <t>Stopper supply hopper filling level</t>
  </si>
  <si>
    <t>Füllniveau Vorratsbehälter Stopfen</t>
  </si>
  <si>
    <t>Vulniveau stopper hopper</t>
  </si>
  <si>
    <t>DBW1014</t>
  </si>
  <si>
    <t>.VU1.Spec.PAR562</t>
  </si>
  <si>
    <t>70US1_SP</t>
  </si>
  <si>
    <t>Stopper supply hopper filling level - still 5min</t>
  </si>
  <si>
    <t>Füllniveau Vorratsbehälter Stopfen noch 5min</t>
  </si>
  <si>
    <t>Vulniveau stopper hopper bijna leeg</t>
  </si>
  <si>
    <t>DBW1016</t>
  </si>
  <si>
    <t>.VU1.Spec.PAR563</t>
  </si>
  <si>
    <t>70US1_OL</t>
  </si>
  <si>
    <t>Number of containers for consecutive fault: stopper missing</t>
  </si>
  <si>
    <t>Anzahl Summenfehler Stopfen fehlt</t>
  </si>
  <si>
    <t>Aantal vials voor herhalingsfout stopper ontbreekt (sensor)</t>
  </si>
  <si>
    <t>DBW1018</t>
  </si>
  <si>
    <t>.VU1.Spec.PAR564</t>
  </si>
  <si>
    <t>Cons_no_stopper</t>
  </si>
  <si>
    <t>DBW1020</t>
  </si>
  <si>
    <t>.VU1.Spec.PAR565</t>
  </si>
  <si>
    <t>Gas-flushing tunnel</t>
  </si>
  <si>
    <t>Begasungskanal</t>
  </si>
  <si>
    <t>Stikstofbegassing tijdens stopperen (0=uit / 1=aan)</t>
  </si>
  <si>
    <t>DBX1200.0</t>
  </si>
  <si>
    <t>.VU1.Spec.PAR600</t>
  </si>
  <si>
    <t>N2_begassing_YN</t>
  </si>
  <si>
    <t>Gas-flushing</t>
  </si>
  <si>
    <t>Check gas-flushing tunnel</t>
  </si>
  <si>
    <t>Begasungskanal prüfen</t>
  </si>
  <si>
    <t>Monitoring debiet stikstofbegassing tijdens stopperen (0=uit / 1=aan)</t>
  </si>
  <si>
    <t>DBX1200.1</t>
  </si>
  <si>
    <t>.VU1.Spec.PAR601</t>
  </si>
  <si>
    <t>Monit_N2_debiet_YN</t>
  </si>
  <si>
    <t>VHP for gas-flushing tunnel</t>
  </si>
  <si>
    <t>VHP für Begasungskanal</t>
  </si>
  <si>
    <t>VHP door stikstofstation (0=uit / 1=aan)</t>
  </si>
  <si>
    <t>DBX1200.2</t>
  </si>
  <si>
    <t>.VU1.Spec.PAR602</t>
  </si>
  <si>
    <t>VHP_N2_station_YN</t>
  </si>
  <si>
    <t>SMC</t>
  </si>
  <si>
    <t>DBX1200.3</t>
  </si>
  <si>
    <t>.VU1.Spec.PAR603</t>
  </si>
  <si>
    <t>DBX1200.4</t>
  </si>
  <si>
    <t>.VU1.Spec.PAR604</t>
  </si>
  <si>
    <t>DBX1200.5</t>
  </si>
  <si>
    <t>.VU1.Spec.PAR605</t>
  </si>
  <si>
    <t>DBX1200.6</t>
  </si>
  <si>
    <t>.VU1.Spec.PAR606</t>
  </si>
  <si>
    <t>DBX1200.7</t>
  </si>
  <si>
    <t>.VU1.Spec.PAR607</t>
  </si>
  <si>
    <t>Downtime for gas-flushed containers</t>
  </si>
  <si>
    <t>Stillstandszeit begastes Objekt</t>
  </si>
  <si>
    <t>Maximum stilstandstijd voor reject open stikstofbegaste vials</t>
  </si>
  <si>
    <t>DBW1202</t>
  </si>
  <si>
    <t>.VU1.Spec.PAR608</t>
  </si>
  <si>
    <t>Time_open_vials_N2</t>
  </si>
  <si>
    <t>Min. flow at gas-flushing tunnel</t>
  </si>
  <si>
    <t>Min. Durchfluss Begasungskanal</t>
  </si>
  <si>
    <t>Minimum debiet stikstofbegassing tijdens stopperen</t>
  </si>
  <si>
    <t>DBD1204</t>
  </si>
  <si>
    <t>.VU1.Spec.PAR609</t>
  </si>
  <si>
    <t>76Q2_min</t>
  </si>
  <si>
    <t>l/min</t>
  </si>
  <si>
    <t>Required flow at gas-flushing tunnel</t>
  </si>
  <si>
    <t>Soll Durchfluss Begasungskanal</t>
  </si>
  <si>
    <t>Setpunt debiet stikstofbegassing tijdens stopperen</t>
  </si>
  <si>
    <t>DBD1208</t>
  </si>
  <si>
    <t>.VU1.Spec.PAR610</t>
  </si>
  <si>
    <t>76Q2_SP</t>
  </si>
  <si>
    <t>Max. flow at gas-flushing tunnel</t>
  </si>
  <si>
    <t>Max. Durchfluss Begasungskanal</t>
  </si>
  <si>
    <t>Maximum debiet stikstofbegassing tijdens stopperen</t>
  </si>
  <si>
    <t>DBD1212</t>
  </si>
  <si>
    <t>.VU1.Spec.PAR611</t>
  </si>
  <si>
    <t>76Q2_max</t>
  </si>
  <si>
    <t>3922_76Q2_max</t>
  </si>
  <si>
    <t>Time until supply lines are filled with gas</t>
  </si>
  <si>
    <t>Zeit bis Leitungen mit Gas geflutet</t>
  </si>
  <si>
    <t>Tijd tot wanneer toevoerleidingen gevuld zijn met stikstof</t>
  </si>
  <si>
    <t>DBW1216</t>
  </si>
  <si>
    <t>.VU1.Spec.PAR612</t>
  </si>
  <si>
    <t>Time_supply_linesN2</t>
  </si>
  <si>
    <t>3922_Time_supply_linesN2</t>
  </si>
  <si>
    <t>PMS automatic start after download - at infeed rotary table</t>
  </si>
  <si>
    <t>PMS Autostart nach Download Einlaufdrehteller</t>
  </si>
  <si>
    <t>PMS meting aan invoer draaitafel - Autostart (0=uit / 1=aan)</t>
  </si>
  <si>
    <t>DBX1300.0</t>
  </si>
  <si>
    <t>.VU1.Spec.PAR700</t>
  </si>
  <si>
    <t>80D1_Autostart_YN</t>
  </si>
  <si>
    <t>PMS</t>
  </si>
  <si>
    <t>ECO</t>
  </si>
  <si>
    <t>PMS automatic start after download - at needle movement</t>
  </si>
  <si>
    <t>PMS Autostart nach Download Nadelbewegung</t>
  </si>
  <si>
    <t>PMS meting aan vulnaalden - Autostart (0=uit / 1=aan)</t>
  </si>
  <si>
    <t>DBX1300.1</t>
  </si>
  <si>
    <t>.VU1.Spec.PAR701</t>
  </si>
  <si>
    <t>80D2_Autostart_YN</t>
  </si>
  <si>
    <t>PMS automatic start after download - at stopper station</t>
  </si>
  <si>
    <t>PMS Autostart nach Download Stopfenstation</t>
  </si>
  <si>
    <t>PMS meting aan stopperstation - Autostart (0=uit / 1=aan)</t>
  </si>
  <si>
    <t>DBX1300.2</t>
  </si>
  <si>
    <t>.VU1.Spec.PAR702</t>
  </si>
  <si>
    <t>80D3_Autostart_YN</t>
  </si>
  <si>
    <t>DBX1300.3</t>
  </si>
  <si>
    <t>.VU1.Spec.PAR703</t>
  </si>
  <si>
    <t>DBX1300.4</t>
  </si>
  <si>
    <t>.VU1.Spec.PAR704</t>
  </si>
  <si>
    <t>DBX1300.5</t>
  </si>
  <si>
    <t>.VU1.Spec.PAR705</t>
  </si>
  <si>
    <t>DBX1300.6</t>
  </si>
  <si>
    <t>.VU1.Spec.PAR706</t>
  </si>
  <si>
    <t>DBX1300.7</t>
  </si>
  <si>
    <t>.VU1.Spec.PAR707</t>
  </si>
  <si>
    <t>DBX1301.0</t>
  </si>
  <si>
    <t>.VU1.Spec.PAR708</t>
  </si>
  <si>
    <t>AAS automatic start / shift active - needle movement</t>
  </si>
  <si>
    <t>AAS Autostart / Shift aktiv Nadelbewegung</t>
  </si>
  <si>
    <t>AAS aan vulnaalden - Autostart (0=uit / 1=aan)</t>
  </si>
  <si>
    <t>DBX1301.1</t>
  </si>
  <si>
    <t>.VU1.Spec.PAR709</t>
  </si>
  <si>
    <t>80FS2_Autostart_YN</t>
  </si>
  <si>
    <t>AAS</t>
  </si>
  <si>
    <t>DBX1301.2</t>
  </si>
  <si>
    <t>.VU1.Spec.PAR710</t>
  </si>
  <si>
    <t>AAS automatic start / shift active - stopperstation</t>
  </si>
  <si>
    <t>AAS Autostart / Shift aktiv Stopfenstation</t>
  </si>
  <si>
    <t>AAS aan stopperstation - Autostart (0=uit / 1=aan)</t>
  </si>
  <si>
    <t>DBX1301.3</t>
  </si>
  <si>
    <t>.VU1.Spec.PAR711</t>
  </si>
  <si>
    <t>80FS3_Autostart_YN</t>
  </si>
  <si>
    <t>DBX1301.4</t>
  </si>
  <si>
    <t>.VU1.Spec.PAR712</t>
  </si>
  <si>
    <t>DBX1301.5</t>
  </si>
  <si>
    <t>.VU1.Spec.PAR713</t>
  </si>
  <si>
    <t>DBX1301.6</t>
  </si>
  <si>
    <t>.VU1.Spec.PAR714</t>
  </si>
  <si>
    <t>DBX1301.7</t>
  </si>
  <si>
    <t>.VU1.Spec.PAR715</t>
  </si>
  <si>
    <t>Alarm limit: particles 0.5 µm, particle monitoring</t>
  </si>
  <si>
    <t>Alarmgrenze Teilchen 0,5 µm Partikelmonitoring</t>
  </si>
  <si>
    <t>Meting 0.5 µm PMS - alarmgrens hoog</t>
  </si>
  <si>
    <t>DBD1302</t>
  </si>
  <si>
    <t>.VU1.Spec.PAR716</t>
  </si>
  <si>
    <t>80Dx_05_BL</t>
  </si>
  <si>
    <t>Alarm limit: particles 5.0 µm, particle monitoring</t>
  </si>
  <si>
    <t>Alarmgrenze Teilchen 5,0 µm Partikelmonitoring</t>
  </si>
  <si>
    <t>Meting 5.0 µm PMS - alarmgrens hoog</t>
  </si>
  <si>
    <t>DBD1306</t>
  </si>
  <si>
    <t>.VU1.Spec.PAR717</t>
  </si>
  <si>
    <t>80Dx_50_BL</t>
  </si>
  <si>
    <t>Flow deviation (+/-) from 1ft³ / min, particle monitoring</t>
  </si>
  <si>
    <t>Durchflussabweichung (+/-) aus 1ft³ / min Partikelmonitoring</t>
  </si>
  <si>
    <t>Flowmeting afwijking PMS - alarmgrens hoog/laag</t>
  </si>
  <si>
    <t>DBD1310</t>
  </si>
  <si>
    <t>.VU1.Spec.PAR718</t>
  </si>
  <si>
    <t>80Dx_Flow_BL</t>
  </si>
  <si>
    <t>cbf/min</t>
  </si>
  <si>
    <t>DBD1314</t>
  </si>
  <si>
    <t>.VU1.Spec.PAR719</t>
  </si>
  <si>
    <t>Alarm limit high: Flow rate, AAS at needle movement</t>
  </si>
  <si>
    <t>Obere Alarmgrenze Luftströmung Vakuum AAS Inadelbewegung</t>
  </si>
  <si>
    <t>Flowmeting AAS aan vulnaalden - alarmgrens hoog</t>
  </si>
  <si>
    <t>DBD1318</t>
  </si>
  <si>
    <t>.VU1.Spec.PAR720</t>
  </si>
  <si>
    <t>80FS2_BL</t>
  </si>
  <si>
    <t>Alarm limit low: Flow rate, AAS at needle movement</t>
  </si>
  <si>
    <t>Untere Alarmgrenze Luftströmung Vakuum AAS Nadelbewegung</t>
  </si>
  <si>
    <t>Flowmeting AAS aan vulnaalden - alarmgrens laag</t>
  </si>
  <si>
    <t>DBD1322</t>
  </si>
  <si>
    <t>.VU1.Spec.PAR721</t>
  </si>
  <si>
    <t>80FS2_OL</t>
  </si>
  <si>
    <t>DBD1326</t>
  </si>
  <si>
    <t>.VU1.Spec.PAR722</t>
  </si>
  <si>
    <t>DBD1330</t>
  </si>
  <si>
    <t>.VU1.Spec.PAR723</t>
  </si>
  <si>
    <t>Alarm limit high: Flow rate, AAS at stopper station</t>
  </si>
  <si>
    <t>Obere Alarmgrenze Luftströmung Vakuum AAS Stopfenstation</t>
  </si>
  <si>
    <t>Flowmeting AAS aan stopperstation - alarmgrens hoog</t>
  </si>
  <si>
    <t>DBD1334</t>
  </si>
  <si>
    <t>.VU1.Spec.PAR724</t>
  </si>
  <si>
    <t>80FS3_BL</t>
  </si>
  <si>
    <t>Alarm limit low: Flow rate, AAS at stopper station</t>
  </si>
  <si>
    <t>Untere Alarmgrenze Luftströmung Vakuum AAS Stopfenstation</t>
  </si>
  <si>
    <t>Flowmeting AAS aan stopperstation - alarmgrens laag</t>
  </si>
  <si>
    <t>DBD1338</t>
  </si>
  <si>
    <t>.VU1.Spec.PAR725</t>
  </si>
  <si>
    <t>80FS3_OL</t>
  </si>
  <si>
    <t>DBB1342</t>
  </si>
  <si>
    <t>.VU1.Spec.PAR726</t>
  </si>
  <si>
    <t>VU3923 : Capper</t>
  </si>
  <si>
    <t>DBW2000</t>
  </si>
  <si>
    <t>.VU2.Gen.Handling</t>
  </si>
  <si>
    <t>DBB2002</t>
  </si>
  <si>
    <t>.VU2.Gen.SON</t>
  </si>
  <si>
    <t>DBB2014</t>
  </si>
  <si>
    <t>.VU2.Gen.INR</t>
  </si>
  <si>
    <t>DBB2031</t>
  </si>
  <si>
    <t>.VU2.Gen.WarnULDL</t>
  </si>
  <si>
    <t>DBB2032</t>
  </si>
  <si>
    <t>.VU2.Gen.RecipeVersion</t>
  </si>
  <si>
    <t>DBW2040</t>
  </si>
  <si>
    <t>.VU2.Gen.Mode</t>
  </si>
  <si>
    <t>DBB2042</t>
  </si>
  <si>
    <t>.VU2.Gen.ItemDescription</t>
  </si>
  <si>
    <t>DBB2084</t>
  </si>
  <si>
    <t>.VU2.Gen.LNR</t>
  </si>
  <si>
    <t>DBW2096</t>
  </si>
  <si>
    <t>.VU2.Gen.VU</t>
  </si>
  <si>
    <t>DBW2098</t>
  </si>
  <si>
    <t>.VU2.Gen.AlmULDL</t>
  </si>
  <si>
    <t>Type vial</t>
  </si>
  <si>
    <t>DBB2100</t>
  </si>
  <si>
    <t>.VU2.Spec.PAR2011</t>
  </si>
  <si>
    <t>typeLPar_SpecDL_VU2</t>
  </si>
  <si>
    <t>S7:[7002]3923_machine_active</t>
  </si>
  <si>
    <t>Vial_Type</t>
  </si>
  <si>
    <t>3923_Vial_Type</t>
  </si>
  <si>
    <t>DBB2112</t>
  </si>
  <si>
    <t>.VU2.Spec.PAR2012</t>
  </si>
  <si>
    <t>Speed of crimp-cap supply bin</t>
  </si>
  <si>
    <t>Leistung Vorratsbunker Bördelkappen</t>
  </si>
  <si>
    <t>Triller voorraadbunker caps - Setpunt vermogen</t>
  </si>
  <si>
    <t>DBD2200</t>
  </si>
  <si>
    <t>.VU2.Spec.PAR2100</t>
  </si>
  <si>
    <t>DBD22020</t>
  </si>
  <si>
    <t>.VU2.Spec.Motor48.x_6.SpeedPosSP</t>
  </si>
  <si>
    <t>132y1_2_SP_Verm</t>
  </si>
  <si>
    <t>3923_132y1_2_SP_Verm</t>
  </si>
  <si>
    <t>Speed of crimp-cap supply hopper</t>
  </si>
  <si>
    <t>Leistung Vorratsbehälter Bördelkappen</t>
  </si>
  <si>
    <t>Triller hopper caps - Setpunt vermogen</t>
  </si>
  <si>
    <t>DBD2204</t>
  </si>
  <si>
    <t>.VU2.Spec.PAR2101</t>
  </si>
  <si>
    <t>DBD22068</t>
  </si>
  <si>
    <t>.VU2.Spec.Motor48.x_7.SpeedPosSP</t>
  </si>
  <si>
    <t>133y1_SP_Verm</t>
  </si>
  <si>
    <t>3923_133y1_SP_Verm</t>
  </si>
  <si>
    <t>DBD2208</t>
  </si>
  <si>
    <t>.VU2.Spec.PAR2102</t>
  </si>
  <si>
    <t>Speed of crimp-cap sorting bowl</t>
  </si>
  <si>
    <t>Leistung Sortierung Bördelkappen</t>
  </si>
  <si>
    <t>Caps trilkuip - Snelheid</t>
  </si>
  <si>
    <t>DBD2212</t>
  </si>
  <si>
    <t>.VU2.Spec.PAR2103</t>
  </si>
  <si>
    <t>DBD22212</t>
  </si>
  <si>
    <t>.VU2.Spec.Motor48.x_10.SpeedPosSP</t>
  </si>
  <si>
    <t>136y1_SP_Verm</t>
  </si>
  <si>
    <t>3923_136y1_SP_Verm</t>
  </si>
  <si>
    <t xml:space="preserve">Speed of rotary transfer table 1 discharge </t>
  </si>
  <si>
    <t>Leistung Umlenkdrehteller 1 Auslauf</t>
  </si>
  <si>
    <t>Uitvoer draaitafel 1 - Setpunt snelheid</t>
  </si>
  <si>
    <t>DBD2216</t>
  </si>
  <si>
    <t>.VU2.Spec.PAR2104</t>
  </si>
  <si>
    <t>DBD22356</t>
  </si>
  <si>
    <t>.VU2.Spec.Motor48.x_13.SpeedPosSP</t>
  </si>
  <si>
    <t>142M1_SP</t>
  </si>
  <si>
    <t>3923_142M1_SP</t>
  </si>
  <si>
    <t xml:space="preserve">Speed of rotary transfer table 2 discharge </t>
  </si>
  <si>
    <t>Leistung Umlenkdrehteller 2 Auslauf</t>
  </si>
  <si>
    <t>Uitvoer draaitafel 2 - Setpunt snelheid</t>
  </si>
  <si>
    <t>DBD2220</t>
  </si>
  <si>
    <t>.VU2.Spec.PAR2105</t>
  </si>
  <si>
    <t>DBD22404</t>
  </si>
  <si>
    <t>.VU2.Spec.Motor48.x_14.SpeedPosSP</t>
  </si>
  <si>
    <t>142M2_SP</t>
  </si>
  <si>
    <t>3923_142M2_SP</t>
  </si>
  <si>
    <t xml:space="preserve">Speed of rotary transfer table 3 discharge </t>
  </si>
  <si>
    <t>Leistung Umlenkdrehteller 3 Auslauf</t>
  </si>
  <si>
    <t>Uitvoer draaitafel 3 - Setpunt snelheid</t>
  </si>
  <si>
    <t>DBD2224</t>
  </si>
  <si>
    <t>.VU2.Spec.PAR2106</t>
  </si>
  <si>
    <t>DBD22452</t>
  </si>
  <si>
    <t>.VU2.Spec.Motor48.x_15.SpeedPosSP</t>
  </si>
  <si>
    <t>142M3_SP</t>
  </si>
  <si>
    <t>3923_142M3_SP</t>
  </si>
  <si>
    <t xml:space="preserve">Speed of rotary transfer table 4 discharge </t>
  </si>
  <si>
    <t>Leistung Umlenkdrehteller 4 Auslauf</t>
  </si>
  <si>
    <t>Uitvoer draaitafel 4 - Setpunt snelheid</t>
  </si>
  <si>
    <t>DBD2228</t>
  </si>
  <si>
    <t>.VU2.Spec.PAR2107</t>
  </si>
  <si>
    <t>DBD22500</t>
  </si>
  <si>
    <t>.VU2.Spec.Motor48.x_16.SpeedPosSP</t>
  </si>
  <si>
    <t>142M4_SP</t>
  </si>
  <si>
    <t>3923_142M4_SP</t>
  </si>
  <si>
    <t>Speed of discharge belt</t>
  </si>
  <si>
    <t>Leistung Auslaufband</t>
  </si>
  <si>
    <t>Uitvoerband - Setpunt snelheid</t>
  </si>
  <si>
    <t>DBD2232</t>
  </si>
  <si>
    <t>.VU2.Spec.PAR2108</t>
  </si>
  <si>
    <t>DBD22548</t>
  </si>
  <si>
    <t>.VU2.Spec.Motor48.x_17.SpeedPosSP</t>
  </si>
  <si>
    <t>143M1_SP</t>
  </si>
  <si>
    <t>3923_143M1_SP</t>
  </si>
  <si>
    <t>DBD2236</t>
  </si>
  <si>
    <t>.VU2.Spec.PAR2109</t>
  </si>
  <si>
    <t>Activeer servicefunctie</t>
  </si>
  <si>
    <t>DBX2300.0</t>
  </si>
  <si>
    <t>.VU2.Spec.PAR2150</t>
  </si>
  <si>
    <t>Enable_Button_SF</t>
  </si>
  <si>
    <t>3923_par2150</t>
  </si>
  <si>
    <t>Onderdrukken pharma alarmen (0=uit / 1=aan)</t>
  </si>
  <si>
    <t>DBX2300.1</t>
  </si>
  <si>
    <t>.VU2.Spec.PAR2151</t>
  </si>
  <si>
    <t>Surpress_P_Alarm</t>
  </si>
  <si>
    <t>3923_par2151</t>
  </si>
  <si>
    <t>DBX2300.2</t>
  </si>
  <si>
    <t>.VU2.Spec.PAR2152</t>
  </si>
  <si>
    <t>DBX2300.3</t>
  </si>
  <si>
    <t>.VU2.Spec.PAR2153</t>
  </si>
  <si>
    <t>DBX2300.4</t>
  </si>
  <si>
    <t>.VU2.Spec.PAR2154</t>
  </si>
  <si>
    <t>DBX2300.5</t>
  </si>
  <si>
    <t>.VU2.Spec.PAR2155</t>
  </si>
  <si>
    <t>DBX2300.6</t>
  </si>
  <si>
    <t>.VU2.Spec.PAR2156</t>
  </si>
  <si>
    <t>DBX2300.7</t>
  </si>
  <si>
    <t>.VU2.Spec.PAR2157</t>
  </si>
  <si>
    <t>DBX2301.0</t>
  </si>
  <si>
    <t>.VU2.Spec.PAR2158</t>
  </si>
  <si>
    <t>DBX2301.1</t>
  </si>
  <si>
    <t>.VU2.Spec.PAR2159</t>
  </si>
  <si>
    <t>DBX2301.2</t>
  </si>
  <si>
    <t>.VU2.Spec.PAR2160</t>
  </si>
  <si>
    <t>DBX2301.3</t>
  </si>
  <si>
    <t>.VU2.Spec.PAR2161</t>
  </si>
  <si>
    <t>DBX2301.4</t>
  </si>
  <si>
    <t>.VU2.Spec.PAR2162</t>
  </si>
  <si>
    <t>DBX2301.5</t>
  </si>
  <si>
    <t>.VU2.Spec.PAR2163</t>
  </si>
  <si>
    <t>DBX2301.6</t>
  </si>
  <si>
    <t>.VU2.Spec.PAR2164</t>
  </si>
  <si>
    <t>DBX2301.7</t>
  </si>
  <si>
    <t>.VU2.Spec.PAR2165</t>
  </si>
  <si>
    <t>Support disc turns for container rotation</t>
  </si>
  <si>
    <t>Umdrehungen Bodenteller Objektrotation</t>
  </si>
  <si>
    <t>Vial rotatie - Setpunt aantal rotaties</t>
  </si>
  <si>
    <t>DBW2302</t>
  </si>
  <si>
    <t>.VU2.Spec.PAR2166</t>
  </si>
  <si>
    <t>131M1_Cont_Rot</t>
  </si>
  <si>
    <t>3923_131M1_Cont_Rot</t>
  </si>
  <si>
    <t>U</t>
  </si>
  <si>
    <t>Number of containers until advance warning that reject bin 1 full</t>
  </si>
  <si>
    <t>Anzahl Objekte bis Vorwarnung Schlechtauslaufbehälter 1 voll</t>
  </si>
  <si>
    <t>Aantal vials waarschuwing reject emmer 1 vol</t>
  </si>
  <si>
    <t>DBW2304</t>
  </si>
  <si>
    <t>.VU2.Spec.PAR2167</t>
  </si>
  <si>
    <t>126XS1_WReject1_Ful</t>
  </si>
  <si>
    <t>3923_126XS1_WReject1_Ful</t>
  </si>
  <si>
    <t>Number of containers until reject bin 1 full</t>
  </si>
  <si>
    <t>Anzahl Objekte bis Schlechtauslaufbehälter 1 voll</t>
  </si>
  <si>
    <t>Aantal vials alarm reject emmer 1 vol</t>
  </si>
  <si>
    <t>DBW2306</t>
  </si>
  <si>
    <t>.VU2.Spec.PAR2168</t>
  </si>
  <si>
    <t>126XS1_Reject1_Full</t>
  </si>
  <si>
    <t>3923_126XS1_Reject1_Full</t>
  </si>
  <si>
    <t>Number of containers until advance warning that reject bin 2 full</t>
  </si>
  <si>
    <t>Anzahl Objekte bis Vorwarnung Schlechtauslaufbehälter 2 voll</t>
  </si>
  <si>
    <t>Aantal vials waarschuwing reject emmer 2 vol</t>
  </si>
  <si>
    <t>DBW2308</t>
  </si>
  <si>
    <t>.VU2.Spec.PAR2169</t>
  </si>
  <si>
    <t>140XS1_WReject2_Ful</t>
  </si>
  <si>
    <t>3923_140XS1_WReject2_Ful</t>
  </si>
  <si>
    <t>Number of containers until reject bin 2 full</t>
  </si>
  <si>
    <t>Anzahl Objekte bis Schlechtauslaufbehälter 2 voll</t>
  </si>
  <si>
    <t>Aantal vials alarm reject emmer 2 vol</t>
  </si>
  <si>
    <t>DBW2310</t>
  </si>
  <si>
    <t>.VU2.Spec.PAR2170</t>
  </si>
  <si>
    <t>140XS1_Reject2_Full</t>
  </si>
  <si>
    <t>3923_140XS1_Reject2_Full</t>
  </si>
  <si>
    <t>DBW2312</t>
  </si>
  <si>
    <t>.VU2.Spec.PAR2171</t>
  </si>
  <si>
    <t>par2171</t>
  </si>
  <si>
    <t>DBW2314</t>
  </si>
  <si>
    <t>.VU2.Spec.PAR2172</t>
  </si>
  <si>
    <t>par2172</t>
  </si>
  <si>
    <t>Container build-up at discharge</t>
  </si>
  <si>
    <t>Objektstau Auslauf</t>
  </si>
  <si>
    <t>Accumulatie vials - Vertragingstijd uitvoerband vol</t>
  </si>
  <si>
    <t>DBD2316</t>
  </si>
  <si>
    <t>.VU2.Spec.PAR2173</t>
  </si>
  <si>
    <t>143ZS1_Build-up</t>
  </si>
  <si>
    <t>3923_143ZS1_Build-up</t>
  </si>
  <si>
    <t>Correction value for transport system RVB</t>
  </si>
  <si>
    <t>Korrekturwert Durchtransport RVB</t>
  </si>
  <si>
    <t>Correctiewaarde voor transportsysteem capper</t>
  </si>
  <si>
    <t>DBD2320</t>
  </si>
  <si>
    <t>.VU2.Spec.PAR2174</t>
  </si>
  <si>
    <t>Corr_Value_T_System</t>
  </si>
  <si>
    <t>3923_Corr_Value_T_System</t>
  </si>
  <si>
    <t>DBB2324</t>
  </si>
  <si>
    <t>.VU2.Spec.PAR2175</t>
  </si>
  <si>
    <t>par2175</t>
  </si>
  <si>
    <t>par2176</t>
  </si>
  <si>
    <t>Stopper inspection - stopper presence check</t>
  </si>
  <si>
    <t>Stopfenpositionskontrolle Stopfen Anwesenheit prüfen</t>
  </si>
  <si>
    <t>Camera 1 en 2 stopperpositie controle stop aanwezig - Activeren (Ja/Nee - 1/0)</t>
  </si>
  <si>
    <t>DBX2400.0</t>
  </si>
  <si>
    <t>.VU2.Spec.PAR2200</t>
  </si>
  <si>
    <t>128WA1_Presence</t>
  </si>
  <si>
    <t>3923_128WA1_Presence</t>
  </si>
  <si>
    <t>Stopper inspection</t>
  </si>
  <si>
    <t>Stopper inspection - stopper position check</t>
  </si>
  <si>
    <t>Stopfenpositionskontrolle Stopfenposition prüfen</t>
  </si>
  <si>
    <t>Camera 1 en 2 stopperpositie controle stoppenpositie - Activeren (Ja/Nee - 1/0)</t>
  </si>
  <si>
    <t>DBX2400.1</t>
  </si>
  <si>
    <t>.VU2.Spec.PAR2201</t>
  </si>
  <si>
    <t>128WA1_Position</t>
  </si>
  <si>
    <t>3923_128WA1_Position</t>
  </si>
  <si>
    <t>DBX2400.2</t>
  </si>
  <si>
    <t>.VU2.Spec.PAR2202</t>
  </si>
  <si>
    <t>par2202</t>
  </si>
  <si>
    <t>DBX2400.3</t>
  </si>
  <si>
    <t>.VU2.Spec.PAR2203</t>
  </si>
  <si>
    <t>par2203</t>
  </si>
  <si>
    <t>DBX2400.4</t>
  </si>
  <si>
    <t>.VU2.Spec.PAR2204</t>
  </si>
  <si>
    <t>par2204</t>
  </si>
  <si>
    <t>DBX2400.5</t>
  </si>
  <si>
    <t>.VU2.Spec.PAR2205</t>
  </si>
  <si>
    <t>par2205</t>
  </si>
  <si>
    <t>DBX2400.6</t>
  </si>
  <si>
    <t>.VU2.Spec.PAR2206</t>
  </si>
  <si>
    <t>par2206</t>
  </si>
  <si>
    <t>DBX2400.7</t>
  </si>
  <si>
    <t>.VU2.Spec.PAR2207</t>
  </si>
  <si>
    <t>par2207</t>
  </si>
  <si>
    <t>Stopper inspection height</t>
  </si>
  <si>
    <t>Höhe Stopfenpositionskontrolle</t>
  </si>
  <si>
    <t>Camera 1 en 2 Stopperpositie - Setpunt hoogte instelling</t>
  </si>
  <si>
    <t>DBD2402</t>
  </si>
  <si>
    <t>.VU2.Spec.PAR2208</t>
  </si>
  <si>
    <t>128M1_SP</t>
  </si>
  <si>
    <t>3923_128M1_SP</t>
  </si>
  <si>
    <t>Stopper inspection - recipe no.</t>
  </si>
  <si>
    <t>Stopfenpositionskontrolle Rezept Nr.</t>
  </si>
  <si>
    <t>Camera 1 en 2 Stopperpositie - Recept nummer</t>
  </si>
  <si>
    <t>DBW2406</t>
  </si>
  <si>
    <t>.VU2.Spec.PAR2209</t>
  </si>
  <si>
    <t>128WA1_Recipe_No</t>
  </si>
  <si>
    <t>3923_128WA1_Recipe_No</t>
  </si>
  <si>
    <t>Stopper inspection - max. stopper gap</t>
  </si>
  <si>
    <t>Stopfenpositionskontrolle Stopfenspalt max</t>
  </si>
  <si>
    <t>Camera 1 en 2 Stopperpositie - Bovengrens tolerantie stoppenpositie produktie</t>
  </si>
  <si>
    <t>DBD2408</t>
  </si>
  <si>
    <t>.VU2.Spec.PAR2210</t>
  </si>
  <si>
    <t>128WA1_Max_Gap</t>
  </si>
  <si>
    <t>3923_128WA1_Max_Gap</t>
  </si>
  <si>
    <t>DBD2412</t>
  </si>
  <si>
    <t>.VU2.Spec.PAR2211</t>
  </si>
  <si>
    <t>par2211</t>
  </si>
  <si>
    <t>Stopper inspection target gap max.</t>
  </si>
  <si>
    <t>Stopfenpositionskontrolle Prüfteilspalt max</t>
  </si>
  <si>
    <t>Camera 1 en 2 Stoppenpositie - Bovengrens tolerantie verificatie</t>
  </si>
  <si>
    <t>DBD2416</t>
  </si>
  <si>
    <t>.VU2.Spec.PAR2212</t>
  </si>
  <si>
    <t>128WA1_T_Gap_Max</t>
  </si>
  <si>
    <t>3923_128WA1_T_Gap_Max</t>
  </si>
  <si>
    <t>Stopper inspection target gap min.</t>
  </si>
  <si>
    <t>Stopfenpositionskontrolle Prüfteilspalt min</t>
  </si>
  <si>
    <t>Camera 1 en 2 Stoppenpositie - Ondergrens tolerantie verificatie</t>
  </si>
  <si>
    <t>DBD2420</t>
  </si>
  <si>
    <t>.VU2.Spec.PAR2213</t>
  </si>
  <si>
    <t>128WA1_T_Gap_Min</t>
  </si>
  <si>
    <t>3923_128WA1_T_Gap_Min</t>
  </si>
  <si>
    <t>Number of containers for consecutive fault from stopper inspection: stopper missing</t>
  </si>
  <si>
    <t>Anzahl Objekte bis Summenfehler Stopfen fehlt Stopfenpositionskontrolle</t>
  </si>
  <si>
    <t>Aantal vials voor Seriefout ontbrekende stop</t>
  </si>
  <si>
    <t>DBW2424</t>
  </si>
  <si>
    <t>.VU2.Spec.PAR2214</t>
  </si>
  <si>
    <t>128WA1_Fault_M</t>
  </si>
  <si>
    <t>3923_128WA1_Fault_M</t>
  </si>
  <si>
    <t>Number of containers for consecutive fault from stopper inspection: wrong stopper gap</t>
  </si>
  <si>
    <t>Anzahl Objekte bis Summenfehler Stopfenspalt falsch Stopfenpositionskontrolle</t>
  </si>
  <si>
    <t>Aantal vials voor Seriefout stopper te hoog</t>
  </si>
  <si>
    <t>DBW2426</t>
  </si>
  <si>
    <t>.VU2.Spec.PAR2215</t>
  </si>
  <si>
    <t>128WA1_Fault_WG</t>
  </si>
  <si>
    <t>3923_128WA1_Fault_WG</t>
  </si>
  <si>
    <t>Number of containers for consecutive fault from stopper inspection: container too high</t>
  </si>
  <si>
    <t>Anzahl Objekte bis Summenfehler Objekt zu hoch Stopfenpositionskontrolle</t>
  </si>
  <si>
    <t>Aantal vials voor Seriefout vial positie te hoog</t>
  </si>
  <si>
    <t>DBW2428</t>
  </si>
  <si>
    <t>.VU2.Spec.PAR2216</t>
  </si>
  <si>
    <t>128WA1_Fault_CTH</t>
  </si>
  <si>
    <t>3923_128WA1_Fault_CTH</t>
  </si>
  <si>
    <t>DBW2430</t>
  </si>
  <si>
    <t>.VU2.Spec.PAR2217</t>
  </si>
  <si>
    <t>par2217</t>
  </si>
  <si>
    <t>Stopper inspection - Position for Raise target</t>
  </si>
  <si>
    <t>Prüfposition Prüfteilhub</t>
  </si>
  <si>
    <t>Stopper inspectie - Hoogte instelling verificatievials</t>
  </si>
  <si>
    <t>DBD2432</t>
  </si>
  <si>
    <t>.VU2.Spec.PAR2218</t>
  </si>
  <si>
    <t>127M1_SP</t>
  </si>
  <si>
    <t>3923_127M1_SP</t>
  </si>
  <si>
    <t>TECHNIEKER1;TECHNIEKER2;PE;DEVELOPER</t>
  </si>
  <si>
    <t>Stopper inspection - Position 1 for Swivel target</t>
  </si>
  <si>
    <t>Prüfposition 1 Prüfteil schwenken</t>
  </si>
  <si>
    <t>Stopper inspectie - Hoekinstelling positie 1 verificatievial</t>
  </si>
  <si>
    <t>DBD2436</t>
  </si>
  <si>
    <t>.VU2.Spec.PAR2219</t>
  </si>
  <si>
    <t>127M2_SP_Pos1</t>
  </si>
  <si>
    <t>3923_127M2_SP_Pos1</t>
  </si>
  <si>
    <t>Stopper inspection - Position 2 for Swivel target</t>
  </si>
  <si>
    <t>Prüfposition 2 Prüfteil schwenken</t>
  </si>
  <si>
    <t>Stopper inspectie - Hoekinstelling positie 2 verificatievial</t>
  </si>
  <si>
    <t>DBD2440</t>
  </si>
  <si>
    <t>.VU2.Spec.PAR2220</t>
  </si>
  <si>
    <t>127M2_SP_Pos2</t>
  </si>
  <si>
    <t>3923_127M2_SP_Pos2</t>
  </si>
  <si>
    <t>DBB2444</t>
  </si>
  <si>
    <t>.VU2.Spec.PAR2221</t>
  </si>
  <si>
    <t>par2221</t>
  </si>
  <si>
    <t>Crimping station</t>
  </si>
  <si>
    <t xml:space="preserve">Bördelstation </t>
  </si>
  <si>
    <t>Capperstation - Activeren (Ja/Nee - 1/0)</t>
  </si>
  <si>
    <t>DBX2500.0</t>
  </si>
  <si>
    <t>.VU2.Spec.PAR2300</t>
  </si>
  <si>
    <t>137M1_Crimping</t>
  </si>
  <si>
    <t>3923_137M1_Crimping</t>
  </si>
  <si>
    <t>Capping</t>
  </si>
  <si>
    <t>Crimp-cap check before crimping</t>
  </si>
  <si>
    <t>Bördelkappen prüfen vor bördeln</t>
  </si>
  <si>
    <t>Capdetectie vóór het cappen - Activeren (Ja/Nee - 1/0)</t>
  </si>
  <si>
    <t>DBX2500.1</t>
  </si>
  <si>
    <t>.VU2.Spec.PAR2301</t>
  </si>
  <si>
    <t>138ZS1_SP</t>
  </si>
  <si>
    <t>3923_138ZS1_SP</t>
  </si>
  <si>
    <t>Crimp-cap check after crimping</t>
  </si>
  <si>
    <t>Bördelkappen prüfen nach bördeln</t>
  </si>
  <si>
    <t>Capdetectie na het cappen - Activeren (Ja/Nee - 1/0)</t>
  </si>
  <si>
    <t>DBX2500.2</t>
  </si>
  <si>
    <t>.VU2.Spec.PAR2302</t>
  </si>
  <si>
    <t>138ZS2_SP</t>
  </si>
  <si>
    <t>3923_138ZS2_SP</t>
  </si>
  <si>
    <t>Crimp-cap orientation check</t>
  </si>
  <si>
    <t>Bördelkappe falsche Lage prüfen</t>
  </si>
  <si>
    <t>Omgekeerde cap detectie - Activeren (Ja/Nee - 1/0)</t>
  </si>
  <si>
    <t>DBX2500.3</t>
  </si>
  <si>
    <t>.VU2.Spec.PAR2303</t>
  </si>
  <si>
    <t>135ZS1_SP</t>
  </si>
  <si>
    <t>3923_135ZS1_SP</t>
  </si>
  <si>
    <t>Crimp-cap transfer leveler check</t>
  </si>
  <si>
    <t>Niederhalter Bördelkappenübergabe prüfen</t>
  </si>
  <si>
    <t>Detectie cap afgave - Activeren (Ja/Nee - 1/0)</t>
  </si>
  <si>
    <t>DBX2500.4</t>
  </si>
  <si>
    <t>.VU2.Spec.PAR2304</t>
  </si>
  <si>
    <t>135WS1-W1_SP</t>
  </si>
  <si>
    <t>3923_135WS1-W1_SP</t>
  </si>
  <si>
    <t>DBX2500.5</t>
  </si>
  <si>
    <t>.VU2.Spec.PAR2305</t>
  </si>
  <si>
    <t>par2305</t>
  </si>
  <si>
    <t>DBX2500.6</t>
  </si>
  <si>
    <t>.VU2.Spec.PAR2306</t>
  </si>
  <si>
    <t>par2306</t>
  </si>
  <si>
    <t>DBX2500.7</t>
  </si>
  <si>
    <t>.VU2.Spec.PAR2307</t>
  </si>
  <si>
    <t>par2307</t>
  </si>
  <si>
    <t>Crimping tool height</t>
  </si>
  <si>
    <t>Höhe Bördelkopf</t>
  </si>
  <si>
    <t>Hoogte instelling rolmes - Setpunt</t>
  </si>
  <si>
    <t>DBD2502</t>
  </si>
  <si>
    <t>.VU2.Spec.PAR2308</t>
  </si>
  <si>
    <t>137M1_SP</t>
  </si>
  <si>
    <t>3923_137M1_SP</t>
  </si>
  <si>
    <t>Crimp-cap feed track height</t>
  </si>
  <si>
    <t>Höhe Zuführbahn Bördelkappen</t>
  </si>
  <si>
    <t>Hoogte instelling langsbaan caps - Setpunt</t>
  </si>
  <si>
    <t>DBD2506</t>
  </si>
  <si>
    <t>.VU2.Spec.PAR2309</t>
  </si>
  <si>
    <t>134M1_SP</t>
  </si>
  <si>
    <t>3923_134M1_SP</t>
  </si>
  <si>
    <t xml:space="preserve">Min. crimp-cap application pressure </t>
  </si>
  <si>
    <t>Min. Anpressdruck Bördelkappen</t>
  </si>
  <si>
    <t>Capping druk - Ondergrens</t>
  </si>
  <si>
    <t>DBD2510</t>
  </si>
  <si>
    <t>.VU2.Spec.PAR2310</t>
  </si>
  <si>
    <t>138PC1_OL</t>
  </si>
  <si>
    <t>3923_138PC1_OL</t>
  </si>
  <si>
    <t>Bar</t>
  </si>
  <si>
    <t xml:space="preserve">Required crimp-cap application pressure </t>
  </si>
  <si>
    <t xml:space="preserve">Sollwert Anpressdruck Bördelkappen </t>
  </si>
  <si>
    <t>Capping druk - Setpunt</t>
  </si>
  <si>
    <t>DBD2514</t>
  </si>
  <si>
    <t>.VU2.Spec.PAR2311</t>
  </si>
  <si>
    <t>138PC1_SP</t>
  </si>
  <si>
    <t>3923_138PC1_SP</t>
  </si>
  <si>
    <t xml:space="preserve">Max. crimp-cap application pressure </t>
  </si>
  <si>
    <t>Max. Anpressdruck Bördelkappen</t>
  </si>
  <si>
    <t xml:space="preserve">Capping druk - Bovengrens </t>
  </si>
  <si>
    <t>DBD2518</t>
  </si>
  <si>
    <t>.VU2.Spec.PAR2312</t>
  </si>
  <si>
    <t>138PC1_BL</t>
  </si>
  <si>
    <t>3923_138PC1_BL</t>
  </si>
  <si>
    <t>Crimp-cap supply bin vibration frequency</t>
  </si>
  <si>
    <t>Schwingfrequenz Vorratsbunker Bördelkappen</t>
  </si>
  <si>
    <t>Trillers voorraadbunker caps - Setpunt trilfrequentie</t>
  </si>
  <si>
    <t>DBD2522</t>
  </si>
  <si>
    <t>.VU2.Spec.PAR2313</t>
  </si>
  <si>
    <t>132y1_2_SP</t>
  </si>
  <si>
    <t>3923_132y1_2_SP</t>
  </si>
  <si>
    <t>CT</t>
  </si>
  <si>
    <t>Crimp-cap supply hopper vibration frequency</t>
  </si>
  <si>
    <t>Schwingfrequenz Vorratsbehälter Bördelkappen</t>
  </si>
  <si>
    <t>Trillers hopper caps -  Setpunt trilfrequentie</t>
  </si>
  <si>
    <t>DBD2526</t>
  </si>
  <si>
    <t>.VU2.Spec.PAR2314</t>
  </si>
  <si>
    <t>133y1_SP</t>
  </si>
  <si>
    <t>3923_133y1_SP</t>
  </si>
  <si>
    <t>Distance between min. supply sensor and crimp-cap supply hopper filling level</t>
  </si>
  <si>
    <t>Distanz Sensor Min-Vorrat zum Füllstand Vorratsbehälter Bördelkappen</t>
  </si>
  <si>
    <t>Niveaumeting hopper caps - Alarmlimiet laag</t>
  </si>
  <si>
    <t>DBW2530</t>
  </si>
  <si>
    <t>.VU2.Spec.PAR2315</t>
  </si>
  <si>
    <t>133US1_SP</t>
  </si>
  <si>
    <t>3923_133US1_SP</t>
  </si>
  <si>
    <t>Crimp-cap feed vibration frequency</t>
  </si>
  <si>
    <t>Schwingfrequenz Zuführung Bördelkappen</t>
  </si>
  <si>
    <t>Triller toevoerbaan caps - Setpunt trilfrequentie</t>
  </si>
  <si>
    <t>DBD2532</t>
  </si>
  <si>
    <t>.VU2.Spec.PAR2316</t>
  </si>
  <si>
    <t>134WA1_SP</t>
  </si>
  <si>
    <t>3923_134WA1_SP</t>
  </si>
  <si>
    <t>Crimp-cap sorting bowl vibration frequency</t>
  </si>
  <si>
    <t>Schwingfrequenz Sortierung Bördelkappen</t>
  </si>
  <si>
    <t>Caps trilkuip - Trilfrequentie</t>
  </si>
  <si>
    <t>DBD2536</t>
  </si>
  <si>
    <t>.VU2.Spec.PAR2317</t>
  </si>
  <si>
    <t>136y1_SP</t>
  </si>
  <si>
    <t>3923_136y1_SP</t>
  </si>
  <si>
    <t>Distanz between min. supply sensor and crimp-cap sorting bowl filling level</t>
  </si>
  <si>
    <t>Distanz Sensor Min-Vorrat zum Füllstand Sortierung Bördelkappen</t>
  </si>
  <si>
    <t>Caps trilkuip - Niveaumeting - Alarmlimiet laag</t>
  </si>
  <si>
    <t>DBW2540</t>
  </si>
  <si>
    <t>.VU2.Spec.PAR2318</t>
  </si>
  <si>
    <t>136US_OL</t>
  </si>
  <si>
    <t>3923_136US_OL</t>
  </si>
  <si>
    <t xml:space="preserve">Number of missing crimp caps for consecutive fault </t>
  </si>
  <si>
    <t xml:space="preserve">Anzahl Objekte bis Summenfehler Bördelkappen fehlt </t>
  </si>
  <si>
    <t xml:space="preserve">Aantal vials voor Seriefout vials zonder cap </t>
  </si>
  <si>
    <t>DBW2542</t>
  </si>
  <si>
    <t>.VU2.Spec.PAR2319</t>
  </si>
  <si>
    <t>135QS2_Fault_M</t>
  </si>
  <si>
    <t>3923_135QS2_Fault_M</t>
  </si>
  <si>
    <t>Distance between min. supply sensor and crimp-cap supply bin filling level</t>
  </si>
  <si>
    <t>Distanz Sensor Min-Vorrat zum Füllstand Vorratsbunker Bördelkappen</t>
  </si>
  <si>
    <t>Niveaumeting voorraadbunker caps - Alarmlimiet laag</t>
  </si>
  <si>
    <t>DBW2544</t>
  </si>
  <si>
    <t>.VU2.Spec.PAR2320</t>
  </si>
  <si>
    <t>132US1_OL</t>
  </si>
  <si>
    <t>3923_132US1_OL</t>
  </si>
  <si>
    <t>DBB2546</t>
  </si>
  <si>
    <t>.VU2.Spec.PAR2321</t>
  </si>
  <si>
    <t>par2321</t>
  </si>
  <si>
    <t>Min. flow velocity LF</t>
  </si>
  <si>
    <t>Strömungsgeschwindigkeit minimal LF</t>
  </si>
  <si>
    <t>Minimum debiet AHU</t>
  </si>
  <si>
    <t>DBD2600</t>
  </si>
  <si>
    <t>.VU2.Spec.PAR2400</t>
  </si>
  <si>
    <t>21FET1_Min</t>
  </si>
  <si>
    <t>3923_21FET1_Min</t>
  </si>
  <si>
    <t>AHU</t>
  </si>
  <si>
    <t>m/s</t>
  </si>
  <si>
    <t>Max. flow velocity LF</t>
  </si>
  <si>
    <t>Strömungsgeschwindigkeit maximal LF</t>
  </si>
  <si>
    <t>Maximum debiet AHU</t>
  </si>
  <si>
    <t>DBD2604</t>
  </si>
  <si>
    <t>.VU2.Spec.PAR2401</t>
  </si>
  <si>
    <t>21FET1_Max</t>
  </si>
  <si>
    <t>3923_21FET1_Max</t>
  </si>
  <si>
    <t>Offset flow velocity LF</t>
  </si>
  <si>
    <t>Offset Strömungsgeschwindigkeit LF</t>
  </si>
  <si>
    <t>Offset debiet AHU</t>
  </si>
  <si>
    <t>DBD2608</t>
  </si>
  <si>
    <t>.VU2.Spec.PAR2402</t>
  </si>
  <si>
    <t>21FET1_Offset</t>
  </si>
  <si>
    <t>3923_21FET1_Offset</t>
  </si>
  <si>
    <t>Min. differential pressure at HEPA filter of LF</t>
  </si>
  <si>
    <t>Min Differenzdruck HEPA-Filter LF</t>
  </si>
  <si>
    <t>Verschildruk HEPA Filter AHU - Alarmlimiet Laag</t>
  </si>
  <si>
    <t>DBD2612</t>
  </si>
  <si>
    <t>.VU2.Spec.PAR2403</t>
  </si>
  <si>
    <t>61PDT1_ALL</t>
  </si>
  <si>
    <t>3923_61PDT1_ALL</t>
  </si>
  <si>
    <t>UTIL</t>
  </si>
  <si>
    <t>Pa</t>
  </si>
  <si>
    <t>Max. differential pressure at HEPA filter of LF</t>
  </si>
  <si>
    <t>Max Differenzdruck HEPA-Filter LF</t>
  </si>
  <si>
    <t>Verschildruk HEPA Filter AHU - Alarmlimiet Hoog</t>
  </si>
  <si>
    <t>DBD2616</t>
  </si>
  <si>
    <t>.VU2.Spec.PAR2404</t>
  </si>
  <si>
    <t>61PDT1_ALH</t>
  </si>
  <si>
    <t>3923_61PDT1_ALH</t>
  </si>
  <si>
    <t>.VU2.Spec.PAR2405</t>
  </si>
  <si>
    <t>end</t>
  </si>
  <si>
    <t>Std.des.</t>
  </si>
  <si>
    <t>Std.desc.</t>
  </si>
  <si>
    <t>Std</t>
  </si>
  <si>
    <t>Dataownner</t>
  </si>
  <si>
    <t>Std.d.</t>
  </si>
  <si>
    <t>None</t>
  </si>
  <si>
    <t>OPERATOR</t>
  </si>
  <si>
    <t>Linked to DB12</t>
  </si>
  <si>
    <t>BYTE</t>
  </si>
  <si>
    <t>typeLPar_SpecDL_VUX</t>
  </si>
  <si>
    <t>TECHNIEKER1</t>
  </si>
  <si>
    <t>st/min</t>
  </si>
  <si>
    <t>Linked to structure in DB10</t>
  </si>
  <si>
    <t>typeLPar_SpecDL_VUY</t>
  </si>
  <si>
    <t>TECHNIEKER2</t>
  </si>
  <si>
    <t>Linked to DB12, When active to be copied in structure DB10</t>
  </si>
  <si>
    <t>DWORD</t>
  </si>
  <si>
    <t>VERANTW_MACHSTELLER</t>
  </si>
  <si>
    <t xml:space="preserve">°C </t>
  </si>
  <si>
    <t>SUPERVISOR</t>
  </si>
  <si>
    <t>CV</t>
  </si>
  <si>
    <t>PE</t>
  </si>
  <si>
    <t>WORD</t>
  </si>
  <si>
    <t>PA</t>
  </si>
  <si>
    <t>DEVELOPER</t>
  </si>
  <si>
    <t>Kg</t>
  </si>
  <si>
    <t>String</t>
  </si>
  <si>
    <t>QA</t>
  </si>
  <si>
    <t>LO</t>
  </si>
  <si>
    <t xml:space="preserve">Min </t>
  </si>
  <si>
    <t>KAL</t>
  </si>
  <si>
    <t>Uur</t>
  </si>
  <si>
    <t>General info</t>
  </si>
  <si>
    <t>Machine name</t>
  </si>
  <si>
    <t>IFC - VL1 - Filling Machine &amp; Capper</t>
  </si>
  <si>
    <t>Machine number</t>
  </si>
  <si>
    <t>CU number</t>
  </si>
  <si>
    <t>PLC software location</t>
  </si>
  <si>
    <t>DB list location (project phase)</t>
  </si>
  <si>
    <t>DB list location (machine folder)</t>
  </si>
  <si>
    <t>VU name</t>
  </si>
  <si>
    <t>VU number</t>
  </si>
  <si>
    <t>VU 1</t>
  </si>
  <si>
    <t>IFC - VL1 - Filling Machine</t>
  </si>
  <si>
    <t>VU 2</t>
  </si>
  <si>
    <t>IFC - VL1 - Capper</t>
  </si>
  <si>
    <t>VU 3</t>
  </si>
  <si>
    <t>VU 4</t>
  </si>
  <si>
    <t>VU 5</t>
  </si>
  <si>
    <t>VU 6</t>
  </si>
  <si>
    <t>VU 7</t>
  </si>
  <si>
    <t>VU 8</t>
  </si>
  <si>
    <t>VU 9</t>
  </si>
  <si>
    <t>VU 10</t>
  </si>
  <si>
    <t>SCADA server(s)</t>
  </si>
  <si>
    <t>SCADA client(s)</t>
  </si>
  <si>
    <t>SCADA client for PA support</t>
  </si>
  <si>
    <t>WinCC version</t>
  </si>
  <si>
    <t>OPC server (main)</t>
  </si>
  <si>
    <t>OPC server (backup)</t>
  </si>
  <si>
    <t>OPC project / SCoreS7 location</t>
  </si>
  <si>
    <t>ENG-station(s) for WinCC</t>
  </si>
  <si>
    <t>ENG-station(s) for PLC</t>
  </si>
  <si>
    <t>VMP number SCADA</t>
  </si>
  <si>
    <t>VMP number RMS</t>
  </si>
  <si>
    <t>B0198</t>
  </si>
  <si>
    <t>VMP number ULDL</t>
  </si>
  <si>
    <t>B0182</t>
  </si>
  <si>
    <t>VMP number PI</t>
  </si>
  <si>
    <t>B0183</t>
  </si>
  <si>
    <t>VMP number TRT</t>
  </si>
  <si>
    <t>B0199</t>
  </si>
  <si>
    <t>Project team</t>
  </si>
  <si>
    <t>PE name</t>
  </si>
  <si>
    <t>Company</t>
  </si>
  <si>
    <t>engineering</t>
  </si>
  <si>
    <t>process automation</t>
  </si>
  <si>
    <t>B+S</t>
  </si>
  <si>
    <t>P5 parameters</t>
  </si>
  <si>
    <t>DB "Lpar_MachinePar"</t>
  </si>
  <si>
    <t>DownloadTag</t>
  </si>
  <si>
    <t>P5</t>
  </si>
  <si>
    <t>Default</t>
  </si>
  <si>
    <t>Linked to DB19</t>
  </si>
  <si>
    <t>Linked to DB19, When active to be copied in structure DB10</t>
  </si>
  <si>
    <t>stuks</t>
  </si>
  <si>
    <t>Status Tags</t>
  </si>
  <si>
    <t>Description (Optional)</t>
  </si>
  <si>
    <t>DB16 address</t>
  </si>
  <si>
    <t>DB16 Name</t>
  </si>
  <si>
    <t>Parameterchange disabled while machine is active (Filler)</t>
  </si>
  <si>
    <t>DBD0</t>
  </si>
  <si>
    <t>.VU1.Spec.machine_active</t>
  </si>
  <si>
    <t>3922_machine_active</t>
  </si>
  <si>
    <t>Parameterchange disabled while machine is active (Capper)</t>
  </si>
  <si>
    <t>DBD4</t>
  </si>
  <si>
    <t>.VU2.Spec.machine_active</t>
  </si>
  <si>
    <t>3923_machine_active</t>
  </si>
  <si>
    <t>Status 3</t>
  </si>
  <si>
    <t>DBD8</t>
  </si>
  <si>
    <t>.VU1.Spec.Stat3</t>
  </si>
  <si>
    <t>VUxxx_STAT03</t>
  </si>
  <si>
    <t>Status 4</t>
  </si>
  <si>
    <t>DBD12</t>
  </si>
  <si>
    <t>.VU1.Spec.Stat4</t>
  </si>
  <si>
    <t>VUxxx_STAT04</t>
  </si>
  <si>
    <t>Status 5</t>
  </si>
  <si>
    <t>DBD16</t>
  </si>
  <si>
    <t>.VU1.Spec.Stat5</t>
  </si>
  <si>
    <t>VUxxx_STAT05</t>
  </si>
  <si>
    <t>Status 6</t>
  </si>
  <si>
    <t>DBD20</t>
  </si>
  <si>
    <t>.VU1.Spec.Stat6</t>
  </si>
  <si>
    <t>VUxxx_STAT06</t>
  </si>
  <si>
    <t>Status 7</t>
  </si>
  <si>
    <t>DBD24</t>
  </si>
  <si>
    <t>.VU1.Spec.Stat7</t>
  </si>
  <si>
    <t>VUxxx_STAT07</t>
  </si>
  <si>
    <t>Status 8</t>
  </si>
  <si>
    <t>DBD28</t>
  </si>
  <si>
    <t>.VU1.Spec.Stat8</t>
  </si>
  <si>
    <t>VUxxx_STAT08</t>
  </si>
  <si>
    <t>Status 9</t>
  </si>
  <si>
    <t>DBD32</t>
  </si>
  <si>
    <t>.VU1.Spec.Stat9</t>
  </si>
  <si>
    <t>VUxxx_STAT09</t>
  </si>
  <si>
    <t>Status 10</t>
  </si>
  <si>
    <t>DBD36</t>
  </si>
  <si>
    <t>.VU1.Spec.Stat10</t>
  </si>
  <si>
    <t>VUxxx_STAT10</t>
  </si>
  <si>
    <t>RMS generator settings</t>
  </si>
  <si>
    <t>Value</t>
  </si>
  <si>
    <t>comment</t>
  </si>
  <si>
    <t>CU number of the unit</t>
  </si>
  <si>
    <t>3922;3923</t>
  </si>
  <si>
    <t>VU number of the unit; for multiple VU's fill them in separated by ";"</t>
  </si>
  <si>
    <t>Unit name</t>
  </si>
  <si>
    <t>IFC - VL1 - Filling Machine;IFC - VL1 - Capper</t>
  </si>
  <si>
    <t>Header text for the VU in the scores7 file, for multiple VU's fill them in separated by ";"</t>
  </si>
  <si>
    <t>RMS version</t>
  </si>
  <si>
    <t>2.1.0.1</t>
  </si>
  <si>
    <t>Version of RMS. At this moment only support for the "new" RMS version (&gt; 2.0)</t>
  </si>
  <si>
    <t>Generate csv</t>
  </si>
  <si>
    <t>Saves the import file for RMS as a csv file in the same folder as the DB12 list</t>
  </si>
  <si>
    <t>Generate scores7</t>
  </si>
  <si>
    <t>Saves the contents for the scores7 file in a txt file in the same folder as the DB12 list</t>
  </si>
  <si>
    <t>scores7 include</t>
  </si>
  <si>
    <t>Define whether the the scores7 file will be included into an existing scores7 file (TRUE) or not (FALSE)</t>
  </si>
  <si>
    <t>Authorizations RMS type</t>
  </si>
  <si>
    <t>Define whether the used authorization codes are in the RMS format (R1, R2,...) - TRUE or in the old scada security rights format (6.1, 6.2,..., 11.1, 11.2,...) - FALSE  (see document AUT0)</t>
  </si>
  <si>
    <t>RMS online</t>
  </si>
  <si>
    <t>Define whether the RMS application is online (connected to Pfizer Oracle).  If online the authorisation codes range from 101 to 110, if offline from 66 to 75</t>
  </si>
  <si>
    <t>Direct download</t>
  </si>
  <si>
    <t>Only for offline RMS.  Define whether parameters should be downloaded directly to the address they are linked to (DB10 or DB12) as defined in the interface list.   If FALSE all parameters will be downloaded to DB15 (= default FC248 functionality)</t>
  </si>
  <si>
    <t>RFU</t>
  </si>
  <si>
    <t>DB59010,X4.5;DB59010,DBX17696.5</t>
  </si>
  <si>
    <t>Bit command for upload as defined in the DB10 interface list.  Mind the syntax! (example : DB10,X4.5) for multiple VU's fill them in separated by ";"</t>
  </si>
  <si>
    <t>EnRFU</t>
  </si>
  <si>
    <t>DB59010,X2.5;DB59010,DBX17694.5</t>
  </si>
  <si>
    <t>RFD</t>
  </si>
  <si>
    <t>DB59010,X4.4;DB59010,DBX17696.4</t>
  </si>
  <si>
    <t>EnRFD</t>
  </si>
  <si>
    <t>DB59010,X2.4;DB59010,DBX17694.4</t>
  </si>
  <si>
    <t>Download DB (UL/DL)</t>
  </si>
  <si>
    <t>DB59015;DB59015</t>
  </si>
  <si>
    <t>Download DB used by UL/DL application.  Standard equal to "DB15"</t>
  </si>
  <si>
    <t>Download DB (RMS)</t>
  </si>
  <si>
    <t>DB59012;DB59012</t>
  </si>
  <si>
    <t>Download DB used by RMS.  Standard equal to "DB12"</t>
  </si>
  <si>
    <t>P5 parameter DB</t>
  </si>
  <si>
    <t>DB59019;DB59019</t>
  </si>
  <si>
    <t>DB used to store P5 parameters for visualisation on RMS.  Standard equal to "DB19"</t>
  </si>
  <si>
    <t>Faceplate DB</t>
  </si>
  <si>
    <t>DB59010;DB59010</t>
  </si>
  <si>
    <t>DB used for faceplate structures.  Standard equal to "DB10"</t>
  </si>
  <si>
    <t>StatusTag DB</t>
  </si>
  <si>
    <t>DB59016;DB59016</t>
  </si>
  <si>
    <t>DB used for statustags</t>
  </si>
  <si>
    <t>VU volgorde</t>
  </si>
  <si>
    <t>;</t>
  </si>
  <si>
    <t>Suffix for OPC tagnames. If only one VU fill in ";", for multiple fill them in separeted by ";"</t>
  </si>
  <si>
    <t>VU Offset DB12</t>
  </si>
  <si>
    <t>0;2000</t>
  </si>
  <si>
    <t>Offset for start of VU, for multiple VU's fill them in separated by ";"</t>
  </si>
  <si>
    <t>VU Offset DB10</t>
  </si>
  <si>
    <t>0;17692</t>
  </si>
  <si>
    <t>Operator</t>
  </si>
  <si>
    <t>Technieker 1</t>
  </si>
  <si>
    <t>Technieker 2</t>
  </si>
  <si>
    <t>Verantw. Machinesteller</t>
  </si>
  <si>
    <t>Supervisor</t>
  </si>
  <si>
    <t>Project Engineer</t>
  </si>
  <si>
    <t>Developers</t>
  </si>
  <si>
    <t>QO Approver</t>
  </si>
  <si>
    <t>R3</t>
  </si>
  <si>
    <t>R4</t>
  </si>
  <si>
    <t>R5</t>
  </si>
  <si>
    <t>R6</t>
  </si>
  <si>
    <t>R7</t>
  </si>
  <si>
    <t>R8</t>
  </si>
  <si>
    <t>R9</t>
  </si>
  <si>
    <t>R10</t>
  </si>
  <si>
    <t>Component</t>
  </si>
  <si>
    <t>Mnemonic</t>
  </si>
  <si>
    <t>Uniek</t>
  </si>
  <si>
    <t>Basis</t>
  </si>
  <si>
    <t>Override</t>
  </si>
  <si>
    <t>Sequence</t>
  </si>
  <si>
    <t>Equipment</t>
  </si>
  <si>
    <t>Product</t>
  </si>
  <si>
    <t>Stop Type</t>
  </si>
  <si>
    <t>Cap Type</t>
  </si>
  <si>
    <t>Mediafill</t>
  </si>
  <si>
    <t>MF</t>
  </si>
  <si>
    <t># Download parameters</t>
  </si>
  <si>
    <t>*This is the number of Download parameters on the condition that all descriptions are not empty, 'Reserved' or 'N/A'</t>
  </si>
  <si>
    <t># P1 parameters</t>
  </si>
  <si>
    <t># P2 parameters</t>
  </si>
  <si>
    <t># P3 parameters</t>
  </si>
  <si>
    <t># P4 parameters</t>
  </si>
  <si>
    <t>Current Version</t>
  </si>
  <si>
    <t>Template history</t>
  </si>
  <si>
    <t>initial version - empty list</t>
  </si>
  <si>
    <t>Joerie De Boeck</t>
  </si>
  <si>
    <t>- Removed VU_PLC (DBW100)
- New template for RMS+</t>
  </si>
  <si>
    <t>Joerie De Boeck
Ivan Daems</t>
  </si>
  <si>
    <t>24/01/2020
26/02/2020</t>
  </si>
  <si>
    <t>- Changed scripting for better generation files conform ULDL/RMS
- Change P&amp;ID column to WO-Nr</t>
  </si>
  <si>
    <t>Joerie De Boeck
Mathieu Paelinck</t>
  </si>
  <si>
    <t>- Changes scripting generation files RMS &amp; UL/DL
- Added Document properties for Header texts
- Added function for activating different views
- Adding extra tab and functions for authorisation actual value.</t>
  </si>
  <si>
    <t>Ivan Daems</t>
  </si>
  <si>
    <t>- Added new tab pages "Version control", "Template history" and "General info" to replace "Distribution list".
- Replaced "implementation date" from version control table with "discipline in scope".
- Updated layout of Version control to allow multiple CRF/PCN numbers in the same version.
- Added CRF/PCN column to relevant data tab pages.
- Added Pass / fail 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</si>
</sst>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mm/yyyy;@"/>
    <numFmt numFmtId="165" formatCode="0.0"/>
    <numFmt numFmtId="166" formatCode="0.0000"/>
    <numFmt numFmtId="167" formatCode="0.000"/>
  </numFmts>
  <fonts count="46">
    <font>
      <sz val="8"/>
      <name val="Arial"/>
      <family val="2"/>
    </font>
    <font>
      <sz val="11"/>
      <color theme="1"/>
      <name val="Calibri"/>
      <family val="2"/>
      <scheme val="minor"/>
    </font>
    <font>
      <sz val="10"/>
      <name val="Arial"/>
      <family val="2"/>
    </font>
    <font>
      <sz val="8"/>
      <color indexed="81"/>
      <name val="Tahoma"/>
      <family val="2"/>
    </font>
    <font>
      <b/>
      <sz val="8"/>
      <color indexed="81"/>
      <name val="Tahoma"/>
      <family val="2"/>
    </font>
    <font>
      <sz val="11"/>
      <name val="Arial"/>
      <family val="2"/>
    </font>
    <font>
      <b/>
      <i/>
      <sz val="11"/>
      <name val="Arial"/>
      <family val="2"/>
    </font>
    <font>
      <b/>
      <sz val="11"/>
      <name val="Arial"/>
      <family val="2"/>
    </font>
    <font>
      <sz val="6"/>
      <name val="Arial"/>
      <family val="2"/>
    </font>
    <font>
      <sz val="7"/>
      <name val="Arial"/>
      <family val="2"/>
    </font>
    <font>
      <i/>
      <sz val="8"/>
      <name val="Arial"/>
      <family val="2"/>
    </font>
    <font>
      <sz val="8"/>
      <name val="Arial"/>
      <family val="2"/>
    </font>
    <font>
      <i/>
      <sz val="10"/>
      <name val="Arial"/>
      <family val="2"/>
    </font>
    <font>
      <sz val="8"/>
      <color indexed="9"/>
      <name val="Arial"/>
      <family val="2"/>
    </font>
    <font>
      <sz val="8"/>
      <color indexed="10"/>
      <name val="Arial"/>
      <family val="2"/>
    </font>
    <font>
      <b/>
      <u/>
      <sz val="16"/>
      <name val="Arial"/>
      <family val="2"/>
    </font>
    <font>
      <sz val="10"/>
      <color indexed="9"/>
      <name val="Arial"/>
      <family val="2"/>
    </font>
    <font>
      <sz val="9"/>
      <name val="Arial"/>
      <family val="2"/>
    </font>
    <font>
      <sz val="9"/>
      <color indexed="9"/>
      <name val="Arial"/>
      <family val="2"/>
    </font>
    <font>
      <i/>
      <sz val="9"/>
      <name val="Arial"/>
      <family val="2"/>
    </font>
    <font>
      <sz val="9"/>
      <color indexed="8"/>
      <name val="Arial"/>
      <family val="2"/>
    </font>
    <font>
      <b/>
      <sz val="14"/>
      <name val="Arial"/>
      <family val="2"/>
    </font>
    <font>
      <b/>
      <sz val="8"/>
      <name val="Arial"/>
      <family val="2"/>
    </font>
    <font>
      <b/>
      <sz val="12"/>
      <name val="Arial"/>
      <family val="2"/>
    </font>
    <font>
      <b/>
      <u/>
      <sz val="8"/>
      <name val="Arial"/>
      <family val="2"/>
    </font>
    <font>
      <sz val="9"/>
      <color theme="1"/>
      <name val="Arial"/>
      <family val="2"/>
    </font>
    <font>
      <sz val="10"/>
      <name val="Marlett"/>
      <charset val="2"/>
    </font>
    <font>
      <b/>
      <sz val="11"/>
      <color rgb="FFFA7D00"/>
      <name val="Calibri"/>
      <family val="2"/>
      <scheme val="minor"/>
    </font>
    <font>
      <strike/>
      <sz val="9"/>
      <color theme="1"/>
      <name val="Arial"/>
      <family val="2"/>
    </font>
    <font>
      <b/>
      <sz val="9"/>
      <color indexed="81"/>
      <name val="Tahoma"/>
      <family val="2"/>
    </font>
    <font>
      <sz val="9"/>
      <color indexed="81"/>
      <name val="Tahoma"/>
      <family val="2"/>
    </font>
    <font>
      <b/>
      <sz val="10"/>
      <color theme="1"/>
      <name val="Arial"/>
      <family val="2"/>
    </font>
    <font>
      <b/>
      <sz val="10"/>
      <name val="Arial"/>
      <family val="2"/>
    </font>
    <font>
      <b/>
      <sz val="11"/>
      <name val="Calibri"/>
      <family val="2"/>
      <scheme val="minor"/>
    </font>
    <font>
      <sz val="10"/>
      <color theme="0"/>
      <name val="Arial"/>
      <family val="2"/>
    </font>
    <font>
      <sz val="11"/>
      <color theme="1"/>
      <name val="Arial"/>
      <family val="2"/>
    </font>
    <font>
      <b/>
      <sz val="16"/>
      <name val="Arial"/>
      <family val="2"/>
    </font>
    <font>
      <strike/>
      <sz val="10"/>
      <name val="Arial"/>
      <family val="2"/>
    </font>
    <font>
      <sz val="10"/>
      <color rgb="FFFF0000"/>
      <name val="Arial"/>
      <family val="2"/>
    </font>
    <font>
      <sz val="9"/>
      <color rgb="FFFF0000"/>
      <name val="Arial"/>
      <family val="2"/>
    </font>
    <font>
      <strike/>
      <sz val="9"/>
      <color rgb="FFFF0000"/>
      <name val="Arial"/>
      <family val="2"/>
    </font>
    <font>
      <sz val="8"/>
      <color theme="1"/>
      <name val="Arial"/>
      <family val="2"/>
    </font>
    <font>
      <b/>
      <sz val="8"/>
      <color theme="0"/>
      <name val="Arial"/>
      <family val="2"/>
    </font>
    <font>
      <sz val="10"/>
      <color indexed="10"/>
      <name val="Arial"/>
      <family val="2"/>
    </font>
    <font>
      <sz val="9"/>
      <color indexed="10"/>
      <name val="Arial"/>
      <family val="2"/>
    </font>
    <font>
      <sz val="11"/>
      <name val="Calibri"/>
      <family val="2"/>
    </font>
  </fonts>
  <fills count="17">
    <fill>
      <patternFill patternType="none"/>
    </fill>
    <fill>
      <patternFill patternType="gray125"/>
    </fill>
    <fill>
      <patternFill patternType="solid">
        <fgColor indexed="23"/>
        <bgColor indexed="64"/>
      </patternFill>
    </fill>
    <fill>
      <patternFill patternType="solid">
        <fgColor indexed="12"/>
        <bgColor indexed="64"/>
      </patternFill>
    </fill>
    <fill>
      <patternFill patternType="solid">
        <fgColor theme="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rgb="FFF2F2F2"/>
      </patternFill>
    </fill>
    <fill>
      <patternFill patternType="solid">
        <fgColor rgb="FF0000FF"/>
        <bgColor indexed="64"/>
      </patternFill>
    </fill>
    <fill>
      <patternFill patternType="solid">
        <fgColor rgb="FF7030A0"/>
        <bgColor indexed="64"/>
      </patternFill>
    </fill>
    <fill>
      <patternFill patternType="solid">
        <fgColor rgb="FF00B0F0"/>
        <bgColor indexed="64"/>
      </patternFill>
    </fill>
    <fill>
      <patternFill patternType="solid">
        <fgColor theme="4"/>
        <bgColor theme="4"/>
      </patternFill>
    </fill>
    <fill>
      <patternFill patternType="solid">
        <fgColor theme="4" tint="0.79998168889431442"/>
        <bgColor theme="4" tint="0.79998168889431442"/>
      </patternFill>
    </fill>
    <fill>
      <patternFill patternType="lightUp"/>
    </fill>
  </fills>
  <borders count="87">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diagonal/>
    </border>
    <border>
      <left style="thin">
        <color auto="1"/>
      </left>
      <right style="thin">
        <color auto="1"/>
      </right>
      <top style="thin">
        <color auto="1"/>
      </top>
      <bottom style="thin">
        <color auto="1"/>
      </bottom>
      <diagonal/>
    </border>
    <border>
      <left/>
      <right style="thin">
        <color indexed="64"/>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style="medium">
        <color indexed="64"/>
      </right>
      <top/>
      <bottom/>
      <diagonal/>
    </border>
    <border>
      <left style="thin">
        <color rgb="FF7F7F7F"/>
      </left>
      <right style="thin">
        <color rgb="FF7F7F7F"/>
      </right>
      <top style="thin">
        <color rgb="FF7F7F7F"/>
      </top>
      <bottom style="thin">
        <color rgb="FF7F7F7F"/>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style="medium">
        <color indexed="64"/>
      </left>
      <right style="medium">
        <color indexed="64"/>
      </right>
      <top/>
      <bottom/>
      <diagonal/>
    </border>
    <border>
      <left/>
      <right/>
      <top style="thin">
        <color indexed="64"/>
      </top>
      <bottom/>
      <diagonal/>
    </border>
    <border>
      <left style="medium">
        <color indexed="64"/>
      </left>
      <right/>
      <top style="medium">
        <color indexed="64"/>
      </top>
      <bottom/>
      <diagonal/>
    </border>
    <border>
      <left style="medium">
        <color indexed="64"/>
      </left>
      <right/>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indexed="64"/>
      </top>
      <bottom/>
      <diagonal/>
    </border>
    <border>
      <left/>
      <right style="thin">
        <color theme="4" tint="0.39997558519241921"/>
      </right>
      <top style="thin">
        <color indexed="64"/>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top/>
      <bottom style="thin">
        <color auto="1"/>
      </bottom>
      <diagonal/>
    </border>
    <border>
      <left style="thin">
        <color indexed="64"/>
      </left>
      <right style="medium">
        <color indexed="64"/>
      </right>
      <top/>
      <bottom/>
      <diagonal/>
    </border>
    <border>
      <left style="thin">
        <color rgb="FF000000"/>
      </left>
      <right style="thin">
        <color rgb="FF000000"/>
      </right>
      <top style="thin">
        <color rgb="FF000000"/>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right style="medium">
        <color indexed="64"/>
      </right>
      <top style="thin">
        <color indexed="64"/>
      </top>
      <bottom/>
      <diagonal/>
    </border>
  </borders>
  <cellStyleXfs count="50">
    <xf numFmtId="0" fontId="0" fillId="0" borderId="1"/>
    <xf numFmtId="0" fontId="27" fillId="10" borderId="36" applyNumberFormat="0" applyAlignment="0" applyProtection="0"/>
    <xf numFmtId="0" fontId="11" fillId="0" borderId="27"/>
    <xf numFmtId="0" fontId="11" fillId="0" borderId="27"/>
    <xf numFmtId="0" fontId="1" fillId="0" borderId="0"/>
    <xf numFmtId="0" fontId="11" fillId="0" borderId="27"/>
    <xf numFmtId="0" fontId="2" fillId="0" borderId="0"/>
    <xf numFmtId="0" fontId="11" fillId="0" borderId="27"/>
    <xf numFmtId="0" fontId="11" fillId="0" borderId="27"/>
    <xf numFmtId="0" fontId="11" fillId="0" borderId="27"/>
    <xf numFmtId="0" fontId="11" fillId="0" borderId="27"/>
    <xf numFmtId="0" fontId="35" fillId="0" borderId="0"/>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1" fillId="0" borderId="27"/>
    <xf numFmtId="0" fontId="1" fillId="0" borderId="0"/>
  </cellStyleXfs>
  <cellXfs count="512">
    <xf numFmtId="0" fontId="0" fillId="0" borderId="1" xfId="0"/>
    <xf numFmtId="0" fontId="5" fillId="0" borderId="0" xfId="0" applyFont="1" applyBorder="1"/>
    <xf numFmtId="0" fontId="5" fillId="0" borderId="7" xfId="0" applyFont="1" applyBorder="1"/>
    <xf numFmtId="0" fontId="5" fillId="0" borderId="8" xfId="0" applyFont="1" applyBorder="1"/>
    <xf numFmtId="0" fontId="12" fillId="0" borderId="9" xfId="0" applyFont="1" applyBorder="1"/>
    <xf numFmtId="0" fontId="12" fillId="0" borderId="10" xfId="0" applyFont="1" applyBorder="1"/>
    <xf numFmtId="0" fontId="12" fillId="0" borderId="11" xfId="0" applyFont="1" applyBorder="1"/>
    <xf numFmtId="0" fontId="12" fillId="0" borderId="12" xfId="0" applyFont="1" applyBorder="1"/>
    <xf numFmtId="0" fontId="8" fillId="0" borderId="0" xfId="0" applyFont="1" applyBorder="1" applyAlignment="1">
      <alignment horizontal="left"/>
    </xf>
    <xf numFmtId="0" fontId="8" fillId="0" borderId="0" xfId="0" applyFont="1" applyBorder="1" applyAlignment="1">
      <alignment horizontal="left" vertical="top" wrapText="1"/>
    </xf>
    <xf numFmtId="0" fontId="17" fillId="0" borderId="0" xfId="0" applyFont="1" applyBorder="1"/>
    <xf numFmtId="0" fontId="19" fillId="0" borderId="13" xfId="0" applyFont="1" applyBorder="1"/>
    <xf numFmtId="0" fontId="17" fillId="0" borderId="6" xfId="0" applyFont="1" applyBorder="1"/>
    <xf numFmtId="0" fontId="17" fillId="0" borderId="4" xfId="0" applyFont="1" applyBorder="1"/>
    <xf numFmtId="0" fontId="17" fillId="0" borderId="0" xfId="0" applyFont="1" applyBorder="1" applyAlignment="1">
      <alignment vertical="top"/>
    </xf>
    <xf numFmtId="0" fontId="5" fillId="0" borderId="1" xfId="0" applyFont="1"/>
    <xf numFmtId="0" fontId="0" fillId="0" borderId="0" xfId="0" applyBorder="1"/>
    <xf numFmtId="0" fontId="9" fillId="0" borderId="0" xfId="0" applyFont="1" applyBorder="1" applyAlignment="1">
      <alignment vertical="top" wrapText="1"/>
    </xf>
    <xf numFmtId="0" fontId="17" fillId="0" borderId="1" xfId="0" applyFont="1"/>
    <xf numFmtId="0" fontId="17" fillId="0" borderId="0" xfId="0" applyFont="1" applyBorder="1" applyAlignment="1">
      <alignment vertical="top" wrapText="1"/>
    </xf>
    <xf numFmtId="0" fontId="20" fillId="0" borderId="0" xfId="0" applyFont="1" applyBorder="1"/>
    <xf numFmtId="0" fontId="17" fillId="0" borderId="6" xfId="0" applyFont="1" applyBorder="1" applyAlignment="1">
      <alignment horizontal="center"/>
    </xf>
    <xf numFmtId="0" fontId="17" fillId="0" borderId="1" xfId="0" applyFont="1" applyAlignment="1">
      <alignment horizontal="left"/>
    </xf>
    <xf numFmtId="0" fontId="17" fillId="0" borderId="1" xfId="0" applyFont="1" applyAlignment="1">
      <alignment horizontal="center"/>
    </xf>
    <xf numFmtId="0" fontId="17" fillId="0" borderId="6" xfId="0" applyFont="1" applyBorder="1" applyAlignment="1">
      <alignment horizontal="left"/>
    </xf>
    <xf numFmtId="49" fontId="17" fillId="0" borderId="1" xfId="0" applyNumberFormat="1" applyFont="1" applyAlignment="1">
      <alignment horizontal="left"/>
    </xf>
    <xf numFmtId="0" fontId="17" fillId="0" borderId="5" xfId="0" applyFont="1" applyBorder="1"/>
    <xf numFmtId="0" fontId="19" fillId="0" borderId="14" xfId="0" applyFont="1" applyBorder="1"/>
    <xf numFmtId="0" fontId="17" fillId="0" borderId="20" xfId="0" applyFont="1" applyBorder="1"/>
    <xf numFmtId="0" fontId="17" fillId="0" borderId="2" xfId="0" applyFont="1" applyBorder="1"/>
    <xf numFmtId="0" fontId="21" fillId="0" borderId="0" xfId="0" applyFont="1" applyBorder="1"/>
    <xf numFmtId="0" fontId="22" fillId="0" borderId="0" xfId="0" applyFont="1" applyBorder="1"/>
    <xf numFmtId="0" fontId="9" fillId="0" borderId="1" xfId="0" applyFont="1" applyAlignment="1">
      <alignment horizontal="center"/>
    </xf>
    <xf numFmtId="22" fontId="0" fillId="0" borderId="0" xfId="0" applyNumberFormat="1" applyBorder="1" applyAlignment="1">
      <alignment horizontal="left"/>
    </xf>
    <xf numFmtId="0" fontId="24" fillId="0" borderId="0" xfId="0" applyFont="1" applyBorder="1" applyAlignment="1">
      <alignment horizontal="right"/>
    </xf>
    <xf numFmtId="0" fontId="17" fillId="0" borderId="0" xfId="0" applyFont="1" applyBorder="1" applyAlignment="1">
      <alignment horizontal="center"/>
    </xf>
    <xf numFmtId="0" fontId="19" fillId="0" borderId="13" xfId="0" applyFont="1" applyBorder="1" applyAlignment="1">
      <alignment horizontal="center"/>
    </xf>
    <xf numFmtId="0" fontId="17" fillId="0" borderId="4" xfId="0" applyFont="1" applyBorder="1" applyAlignment="1">
      <alignment horizontal="center"/>
    </xf>
    <xf numFmtId="0" fontId="17" fillId="0" borderId="0" xfId="0" applyFont="1" applyBorder="1" applyAlignment="1">
      <alignment horizontal="center" vertical="top" wrapText="1"/>
    </xf>
    <xf numFmtId="0" fontId="19" fillId="0" borderId="28" xfId="0" applyFont="1" applyBorder="1"/>
    <xf numFmtId="0" fontId="17" fillId="0" borderId="12" xfId="0" applyFont="1" applyBorder="1"/>
    <xf numFmtId="0" fontId="17" fillId="0" borderId="29" xfId="0" applyFont="1" applyBorder="1"/>
    <xf numFmtId="0" fontId="17" fillId="0" borderId="30" xfId="0" applyFont="1" applyBorder="1"/>
    <xf numFmtId="0" fontId="0" fillId="0" borderId="0" xfId="0" applyBorder="1" applyAlignment="1">
      <alignment horizontal="right"/>
    </xf>
    <xf numFmtId="0" fontId="0" fillId="0" borderId="0" xfId="0" applyBorder="1" applyAlignment="1">
      <alignment horizontal="left"/>
    </xf>
    <xf numFmtId="0" fontId="17" fillId="0" borderId="27" xfId="0" applyFont="1" applyBorder="1"/>
    <xf numFmtId="0" fontId="0" fillId="0" borderId="0" xfId="0" applyBorder="1" applyAlignment="1">
      <alignment horizontal="center"/>
    </xf>
    <xf numFmtId="0" fontId="17" fillId="0" borderId="27" xfId="0" applyFont="1" applyBorder="1" applyAlignment="1">
      <alignment horizontal="center"/>
    </xf>
    <xf numFmtId="0" fontId="17" fillId="0" borderId="27" xfId="0" applyFont="1" applyBorder="1" applyAlignment="1">
      <alignment horizontal="left"/>
    </xf>
    <xf numFmtId="49" fontId="17" fillId="0" borderId="27" xfId="0" applyNumberFormat="1" applyFont="1" applyBorder="1" applyAlignment="1">
      <alignment horizontal="left"/>
    </xf>
    <xf numFmtId="0" fontId="17" fillId="0" borderId="34" xfId="0" applyFont="1" applyBorder="1"/>
    <xf numFmtId="0" fontId="17" fillId="0" borderId="13" xfId="0" applyFont="1" applyBorder="1"/>
    <xf numFmtId="0" fontId="17" fillId="0" borderId="28" xfId="0" applyFont="1" applyBorder="1"/>
    <xf numFmtId="0" fontId="17" fillId="0" borderId="35" xfId="0" applyFont="1" applyBorder="1"/>
    <xf numFmtId="0" fontId="19" fillId="0" borderId="35" xfId="0" applyFont="1" applyBorder="1"/>
    <xf numFmtId="0" fontId="0" fillId="0" borderId="0" xfId="0" applyBorder="1" applyProtection="1">
      <protection locked="0"/>
    </xf>
    <xf numFmtId="0" fontId="2" fillId="0" borderId="0" xfId="0" applyFont="1" applyBorder="1" applyProtection="1">
      <protection locked="0"/>
    </xf>
    <xf numFmtId="0" fontId="2" fillId="0" borderId="27" xfId="0" applyFont="1" applyBorder="1" applyAlignment="1" applyProtection="1">
      <alignment horizontal="center" vertical="center"/>
      <protection locked="0"/>
    </xf>
    <xf numFmtId="14" fontId="2" fillId="0" borderId="27" xfId="0" applyNumberFormat="1" applyFont="1" applyBorder="1" applyAlignment="1" applyProtection="1">
      <alignment horizontal="center" vertical="center"/>
      <protection locked="0"/>
    </xf>
    <xf numFmtId="0" fontId="2" fillId="0" borderId="27" xfId="0" applyFont="1" applyBorder="1" applyAlignment="1" applyProtection="1">
      <alignment horizontal="center" vertical="center" wrapText="1"/>
      <protection locked="0"/>
    </xf>
    <xf numFmtId="14" fontId="2" fillId="0" borderId="27" xfId="0" applyNumberFormat="1" applyFont="1" applyBorder="1" applyAlignment="1" applyProtection="1">
      <alignment horizontal="center" vertical="center" wrapText="1"/>
      <protection locked="0"/>
    </xf>
    <xf numFmtId="0" fontId="11" fillId="0" borderId="27" xfId="2"/>
    <xf numFmtId="0" fontId="31" fillId="7" borderId="47" xfId="2" applyFont="1" applyFill="1" applyBorder="1" applyAlignment="1">
      <alignment horizontal="center" textRotation="45" wrapText="1"/>
    </xf>
    <xf numFmtId="0" fontId="32" fillId="7" borderId="27" xfId="2" applyFont="1" applyFill="1" applyAlignment="1">
      <alignment horizontal="center" vertical="center" wrapText="1"/>
    </xf>
    <xf numFmtId="0" fontId="32" fillId="0" borderId="27" xfId="2" applyFont="1" applyAlignment="1">
      <alignment horizontal="center" vertical="center" wrapText="1"/>
    </xf>
    <xf numFmtId="0" fontId="33" fillId="0" borderId="27" xfId="2" applyFont="1" applyAlignment="1">
      <alignment horizontal="center" vertical="center" wrapText="1"/>
    </xf>
    <xf numFmtId="0" fontId="2" fillId="0" borderId="1" xfId="0" applyFont="1" applyProtection="1">
      <protection locked="0"/>
    </xf>
    <xf numFmtId="0" fontId="2" fillId="0" borderId="6" xfId="0" applyFont="1" applyBorder="1" applyProtection="1">
      <protection locked="0"/>
    </xf>
    <xf numFmtId="0" fontId="2" fillId="0" borderId="1" xfId="0" applyFont="1" applyAlignment="1" applyProtection="1">
      <alignment horizontal="center"/>
      <protection locked="0"/>
    </xf>
    <xf numFmtId="0" fontId="2" fillId="0" borderId="27" xfId="0" applyFont="1" applyBorder="1" applyProtection="1">
      <protection locked="0"/>
    </xf>
    <xf numFmtId="0" fontId="2" fillId="0" borderId="24" xfId="0" applyFont="1" applyBorder="1" applyProtection="1">
      <protection locked="0"/>
    </xf>
    <xf numFmtId="0" fontId="17" fillId="0" borderId="0" xfId="0" applyFont="1" applyBorder="1" applyProtection="1">
      <protection locked="0"/>
    </xf>
    <xf numFmtId="0" fontId="17" fillId="5" borderId="0" xfId="0" applyFont="1" applyFill="1" applyBorder="1"/>
    <xf numFmtId="0" fontId="23" fillId="5" borderId="0" xfId="0" applyFont="1" applyFill="1" applyBorder="1" applyAlignment="1">
      <alignment vertical="center"/>
    </xf>
    <xf numFmtId="0" fontId="17" fillId="5" borderId="0" xfId="0" applyFont="1" applyFill="1" applyBorder="1" applyAlignment="1">
      <alignment horizontal="center"/>
    </xf>
    <xf numFmtId="0" fontId="20" fillId="5" borderId="0" xfId="0" applyFont="1" applyFill="1" applyBorder="1"/>
    <xf numFmtId="0" fontId="0" fillId="5" borderId="0" xfId="0" applyFill="1" applyBorder="1"/>
    <xf numFmtId="0" fontId="18" fillId="2" borderId="16" xfId="0" applyFont="1" applyFill="1" applyBorder="1" applyAlignment="1">
      <alignment vertical="top"/>
    </xf>
    <xf numFmtId="0" fontId="18" fillId="2" borderId="17" xfId="0" applyFont="1" applyFill="1" applyBorder="1" applyAlignment="1">
      <alignment vertical="top" wrapText="1"/>
    </xf>
    <xf numFmtId="0" fontId="18" fillId="3" borderId="17" xfId="0" applyFont="1" applyFill="1" applyBorder="1" applyAlignment="1">
      <alignment vertical="top"/>
    </xf>
    <xf numFmtId="0" fontId="17" fillId="2" borderId="17" xfId="0" applyFont="1" applyFill="1" applyBorder="1" applyAlignment="1">
      <alignment vertical="top"/>
    </xf>
    <xf numFmtId="0" fontId="18" fillId="3" borderId="31" xfId="0" applyFont="1" applyFill="1" applyBorder="1" applyAlignment="1">
      <alignment horizontal="centerContinuous" vertical="top" wrapText="1"/>
    </xf>
    <xf numFmtId="0" fontId="18" fillId="3" borderId="32" xfId="0" applyFont="1" applyFill="1" applyBorder="1" applyAlignment="1">
      <alignment horizontal="centerContinuous" vertical="top" wrapText="1"/>
    </xf>
    <xf numFmtId="0" fontId="18" fillId="3" borderId="28" xfId="0" applyFont="1" applyFill="1" applyBorder="1" applyAlignment="1">
      <alignment horizontal="centerContinuous" vertical="top" wrapText="1"/>
    </xf>
    <xf numFmtId="0" fontId="13" fillId="3" borderId="32" xfId="0" applyFont="1" applyFill="1" applyBorder="1" applyAlignment="1">
      <alignment horizontal="centerContinuous" vertical="top" wrapText="1"/>
    </xf>
    <xf numFmtId="0" fontId="13" fillId="3" borderId="28" xfId="0" applyFont="1" applyFill="1" applyBorder="1" applyAlignment="1">
      <alignment horizontal="centerContinuous" vertical="top" wrapText="1"/>
    </xf>
    <xf numFmtId="0" fontId="13" fillId="3" borderId="33" xfId="0" applyFont="1" applyFill="1" applyBorder="1" applyAlignment="1">
      <alignment horizontal="centerContinuous" vertical="top" wrapText="1"/>
    </xf>
    <xf numFmtId="0" fontId="18" fillId="2" borderId="17" xfId="0" applyFont="1" applyFill="1" applyBorder="1" applyAlignment="1">
      <alignment vertical="top"/>
    </xf>
    <xf numFmtId="0" fontId="18" fillId="2" borderId="17" xfId="0" applyFont="1" applyFill="1" applyBorder="1" applyAlignment="1">
      <alignment horizontal="left" vertical="top"/>
    </xf>
    <xf numFmtId="0" fontId="18" fillId="2" borderId="21" xfId="0" applyFont="1" applyFill="1" applyBorder="1" applyAlignment="1">
      <alignment vertical="top"/>
    </xf>
    <xf numFmtId="0" fontId="18" fillId="3" borderId="17" xfId="0" applyFont="1" applyFill="1" applyBorder="1" applyAlignment="1">
      <alignment vertical="top" wrapText="1"/>
    </xf>
    <xf numFmtId="0" fontId="18" fillId="2" borderId="17" xfId="0" applyFont="1" applyFill="1" applyBorder="1" applyAlignment="1">
      <alignment horizontal="left" vertical="top" wrapText="1"/>
    </xf>
    <xf numFmtId="0" fontId="18" fillId="2" borderId="22" xfId="0" applyFont="1" applyFill="1" applyBorder="1" applyAlignment="1">
      <alignment horizontal="left" vertical="top" wrapText="1"/>
    </xf>
    <xf numFmtId="0" fontId="18" fillId="3" borderId="13" xfId="0" applyFont="1" applyFill="1" applyBorder="1" applyAlignment="1">
      <alignment horizontal="center" vertical="center"/>
    </xf>
    <xf numFmtId="0" fontId="18" fillId="3" borderId="13" xfId="0" applyFont="1" applyFill="1" applyBorder="1" applyAlignment="1">
      <alignment horizontal="center" vertical="center" wrapText="1"/>
    </xf>
    <xf numFmtId="0" fontId="18" fillId="8" borderId="17" xfId="0" applyFont="1" applyFill="1" applyBorder="1" applyAlignment="1">
      <alignment horizontal="center" vertical="center" wrapText="1"/>
    </xf>
    <xf numFmtId="0" fontId="2" fillId="0" borderId="17" xfId="0" applyFont="1" applyBorder="1" applyProtection="1">
      <protection locked="0"/>
    </xf>
    <xf numFmtId="0" fontId="2" fillId="0" borderId="3" xfId="0" applyFont="1" applyBorder="1" applyProtection="1">
      <protection locked="0"/>
    </xf>
    <xf numFmtId="0" fontId="2" fillId="0" borderId="24" xfId="0" applyFont="1" applyBorder="1" applyAlignment="1" applyProtection="1">
      <alignment horizontal="left" vertical="center"/>
      <protection locked="0"/>
    </xf>
    <xf numFmtId="0" fontId="2" fillId="0" borderId="24" xfId="0" applyFont="1" applyBorder="1" applyAlignment="1" applyProtection="1">
      <alignment horizontal="center" vertical="center"/>
      <protection locked="0"/>
    </xf>
    <xf numFmtId="0" fontId="2" fillId="0" borderId="7" xfId="0" applyFont="1" applyBorder="1" applyAlignment="1" applyProtection="1">
      <alignment horizontal="center"/>
      <protection locked="0"/>
    </xf>
    <xf numFmtId="0" fontId="2" fillId="0" borderId="24" xfId="0" applyFont="1" applyBorder="1" applyAlignment="1" applyProtection="1">
      <alignment vertical="center"/>
      <protection locked="0"/>
    </xf>
    <xf numFmtId="0" fontId="2" fillId="0" borderId="24" xfId="0" applyFont="1" applyBorder="1" applyAlignment="1" applyProtection="1">
      <alignment horizontal="right" vertical="center"/>
      <protection locked="0"/>
    </xf>
    <xf numFmtId="0" fontId="2" fillId="0" borderId="7" xfId="0" applyFont="1" applyBorder="1" applyAlignment="1" applyProtection="1">
      <alignment horizontal="right" vertical="center"/>
      <protection locked="0"/>
    </xf>
    <xf numFmtId="0" fontId="2" fillId="0" borderId="26" xfId="0" applyFont="1" applyBorder="1" applyProtection="1">
      <protection locked="0"/>
    </xf>
    <xf numFmtId="0" fontId="2" fillId="0" borderId="4" xfId="0" applyFont="1" applyBorder="1" applyAlignment="1" applyProtection="1">
      <alignment horizontal="right"/>
      <protection locked="0"/>
    </xf>
    <xf numFmtId="0" fontId="2" fillId="0" borderId="4" xfId="0" applyFont="1" applyBorder="1" applyProtection="1">
      <protection locked="0"/>
    </xf>
    <xf numFmtId="0" fontId="2" fillId="0" borderId="4" xfId="0" applyFont="1" applyBorder="1" applyAlignment="1" applyProtection="1">
      <alignment horizontal="center"/>
      <protection locked="0"/>
    </xf>
    <xf numFmtId="1" fontId="2" fillId="0" borderId="4" xfId="0" applyNumberFormat="1" applyFont="1" applyBorder="1" applyProtection="1">
      <protection locked="0"/>
    </xf>
    <xf numFmtId="49" fontId="2" fillId="0" borderId="4" xfId="0" applyNumberFormat="1" applyFont="1" applyBorder="1" applyProtection="1">
      <protection locked="0"/>
    </xf>
    <xf numFmtId="0" fontId="2" fillId="0" borderId="37" xfId="0" applyFont="1" applyBorder="1" applyProtection="1">
      <protection locked="0"/>
    </xf>
    <xf numFmtId="0" fontId="2" fillId="0" borderId="5" xfId="0" applyFont="1" applyBorder="1" applyProtection="1">
      <protection locked="0"/>
    </xf>
    <xf numFmtId="0" fontId="17" fillId="0" borderId="0" xfId="0" applyFont="1" applyBorder="1" applyAlignment="1" applyProtection="1">
      <alignment vertical="top"/>
      <protection locked="0"/>
    </xf>
    <xf numFmtId="0" fontId="17" fillId="0" borderId="25" xfId="0" applyFont="1" applyBorder="1" applyProtection="1">
      <protection locked="0"/>
    </xf>
    <xf numFmtId="0" fontId="2" fillId="4" borderId="27" xfId="0" applyFont="1" applyFill="1" applyBorder="1" applyAlignment="1" applyProtection="1">
      <alignment horizontal="center" vertical="center"/>
      <protection locked="0"/>
    </xf>
    <xf numFmtId="0" fontId="26" fillId="4" borderId="12" xfId="0" applyFont="1" applyFill="1" applyBorder="1" applyAlignment="1" applyProtection="1">
      <alignment horizontal="center" vertical="center"/>
      <protection locked="0"/>
    </xf>
    <xf numFmtId="0" fontId="17" fillId="0" borderId="27" xfId="0" applyFont="1" applyBorder="1" applyProtection="1">
      <protection locked="0"/>
    </xf>
    <xf numFmtId="0" fontId="17" fillId="0" borderId="1" xfId="0" applyFont="1" applyProtection="1">
      <protection locked="0"/>
    </xf>
    <xf numFmtId="0" fontId="17" fillId="0" borderId="27" xfId="0" applyFont="1" applyBorder="1" applyAlignment="1" applyProtection="1">
      <alignment horizontal="left"/>
      <protection locked="0"/>
    </xf>
    <xf numFmtId="0" fontId="17" fillId="0" borderId="1" xfId="0" applyFont="1" applyAlignment="1" applyProtection="1">
      <alignment horizontal="left"/>
      <protection locked="0"/>
    </xf>
    <xf numFmtId="0" fontId="25" fillId="0" borderId="27" xfId="0" applyFont="1" applyBorder="1" applyProtection="1">
      <protection locked="0"/>
    </xf>
    <xf numFmtId="0" fontId="27" fillId="10" borderId="27" xfId="1" applyBorder="1" applyProtection="1">
      <protection locked="0"/>
    </xf>
    <xf numFmtId="0" fontId="28" fillId="0" borderId="27" xfId="0" applyFont="1" applyBorder="1" applyProtection="1">
      <protection locked="0"/>
    </xf>
    <xf numFmtId="0" fontId="25" fillId="0" borderId="25" xfId="0" applyFont="1" applyBorder="1" applyProtection="1">
      <protection locked="0"/>
    </xf>
    <xf numFmtId="0" fontId="25" fillId="0" borderId="2" xfId="0" applyFont="1" applyBorder="1" applyProtection="1">
      <protection locked="0"/>
    </xf>
    <xf numFmtId="0" fontId="26" fillId="4" borderId="29" xfId="0" applyFont="1" applyFill="1" applyBorder="1" applyAlignment="1" applyProtection="1">
      <alignment horizontal="center" vertical="center"/>
      <protection locked="0"/>
    </xf>
    <xf numFmtId="0" fontId="26" fillId="4" borderId="8" xfId="0" applyFont="1" applyFill="1" applyBorder="1" applyAlignment="1" applyProtection="1">
      <alignment horizontal="center" vertical="center"/>
      <protection locked="0"/>
    </xf>
    <xf numFmtId="0" fontId="17" fillId="0" borderId="24" xfId="0" applyFont="1" applyBorder="1" applyProtection="1">
      <protection locked="0"/>
    </xf>
    <xf numFmtId="0" fontId="17" fillId="0" borderId="24" xfId="0" applyFont="1" applyBorder="1" applyAlignment="1" applyProtection="1">
      <alignment horizontal="left"/>
      <protection locked="0"/>
    </xf>
    <xf numFmtId="0" fontId="25" fillId="0" borderId="24" xfId="0" applyFont="1" applyBorder="1" applyProtection="1">
      <protection locked="0"/>
    </xf>
    <xf numFmtId="0" fontId="25" fillId="0" borderId="7" xfId="0" applyFont="1" applyBorder="1" applyProtection="1">
      <protection locked="0"/>
    </xf>
    <xf numFmtId="0" fontId="25" fillId="0" borderId="26" xfId="0" applyFont="1" applyBorder="1" applyProtection="1">
      <protection locked="0"/>
    </xf>
    <xf numFmtId="0" fontId="26" fillId="0" borderId="8" xfId="0" applyFont="1" applyBorder="1" applyAlignment="1" applyProtection="1">
      <alignment horizontal="center" vertical="center"/>
      <protection locked="0"/>
    </xf>
    <xf numFmtId="0" fontId="17" fillId="0" borderId="7" xfId="0" applyFont="1" applyBorder="1" applyProtection="1">
      <protection locked="0"/>
    </xf>
    <xf numFmtId="0" fontId="17" fillId="0" borderId="26" xfId="0" applyFont="1" applyBorder="1" applyProtection="1">
      <protection locked="0"/>
    </xf>
    <xf numFmtId="0" fontId="17" fillId="0" borderId="19" xfId="0" applyFont="1" applyBorder="1" applyProtection="1">
      <protection locked="0"/>
    </xf>
    <xf numFmtId="0" fontId="17" fillId="0" borderId="4" xfId="0" applyFont="1" applyBorder="1" applyAlignment="1" applyProtection="1">
      <alignment horizontal="right"/>
      <protection locked="0"/>
    </xf>
    <xf numFmtId="0" fontId="17" fillId="0" borderId="4" xfId="0" applyFont="1" applyBorder="1" applyProtection="1">
      <protection locked="0"/>
    </xf>
    <xf numFmtId="0" fontId="0" fillId="0" borderId="4" xfId="0" applyBorder="1" applyProtection="1">
      <protection locked="0"/>
    </xf>
    <xf numFmtId="1" fontId="17" fillId="0" borderId="4" xfId="0" applyNumberFormat="1" applyFont="1" applyBorder="1" applyProtection="1">
      <protection locked="0"/>
    </xf>
    <xf numFmtId="49" fontId="17" fillId="0" borderId="4" xfId="0" applyNumberFormat="1" applyFont="1" applyBorder="1" applyProtection="1">
      <protection locked="0"/>
    </xf>
    <xf numFmtId="0" fontId="17" fillId="0" borderId="37" xfId="0" applyFont="1" applyBorder="1" applyProtection="1">
      <protection locked="0"/>
    </xf>
    <xf numFmtId="0" fontId="17" fillId="0" borderId="5" xfId="0" applyFont="1" applyBorder="1" applyProtection="1">
      <protection locked="0"/>
    </xf>
    <xf numFmtId="0" fontId="17" fillId="0" borderId="15" xfId="0" applyFont="1" applyBorder="1" applyProtection="1">
      <protection locked="0"/>
    </xf>
    <xf numFmtId="0" fontId="17" fillId="0" borderId="13" xfId="0" applyFont="1" applyBorder="1" applyProtection="1">
      <protection locked="0"/>
    </xf>
    <xf numFmtId="0" fontId="19" fillId="0" borderId="28" xfId="0" applyFont="1" applyBorder="1" applyProtection="1">
      <protection locked="0"/>
    </xf>
    <xf numFmtId="0" fontId="19" fillId="0" borderId="13" xfId="0" applyFont="1" applyBorder="1" applyProtection="1">
      <protection locked="0"/>
    </xf>
    <xf numFmtId="0" fontId="19" fillId="0" borderId="14" xfId="0" applyFont="1" applyBorder="1" applyProtection="1">
      <protection locked="0"/>
    </xf>
    <xf numFmtId="0" fontId="19" fillId="0" borderId="35" xfId="0" applyFont="1" applyBorder="1" applyProtection="1">
      <protection locked="0"/>
    </xf>
    <xf numFmtId="0" fontId="17" fillId="0" borderId="12" xfId="0" applyFont="1" applyBorder="1" applyProtection="1">
      <protection locked="0"/>
    </xf>
    <xf numFmtId="0" fontId="19" fillId="0" borderId="6" xfId="0" applyFont="1" applyBorder="1" applyProtection="1">
      <protection locked="0"/>
    </xf>
    <xf numFmtId="0" fontId="17" fillId="0" borderId="6" xfId="0" applyFont="1" applyBorder="1" applyProtection="1">
      <protection locked="0"/>
    </xf>
    <xf numFmtId="0" fontId="17" fillId="0" borderId="6" xfId="0" applyFont="1" applyBorder="1" applyAlignment="1" applyProtection="1">
      <alignment horizontal="right"/>
      <protection locked="0"/>
    </xf>
    <xf numFmtId="0" fontId="17" fillId="0" borderId="6" xfId="0" applyFont="1" applyBorder="1" applyAlignment="1" applyProtection="1">
      <alignment horizontal="center"/>
      <protection locked="0"/>
    </xf>
    <xf numFmtId="0" fontId="17" fillId="0" borderId="6" xfId="0" applyFont="1" applyBorder="1" applyAlignment="1" applyProtection="1">
      <alignment horizontal="left"/>
      <protection locked="0"/>
    </xf>
    <xf numFmtId="0" fontId="9" fillId="0" borderId="6" xfId="0" applyFont="1" applyBorder="1" applyAlignment="1" applyProtection="1">
      <alignment horizontal="center"/>
      <protection locked="0"/>
    </xf>
    <xf numFmtId="0" fontId="17" fillId="0" borderId="20" xfId="0" applyFont="1" applyBorder="1" applyProtection="1">
      <protection locked="0"/>
    </xf>
    <xf numFmtId="0" fontId="17" fillId="0" borderId="0" xfId="0" applyFont="1" applyBorder="1" applyAlignment="1" applyProtection="1">
      <alignment horizontal="right"/>
      <protection locked="0"/>
    </xf>
    <xf numFmtId="0" fontId="17" fillId="0" borderId="35" xfId="0" applyFont="1" applyBorder="1" applyProtection="1">
      <protection locked="0"/>
    </xf>
    <xf numFmtId="0" fontId="17" fillId="0" borderId="29" xfId="0" applyFont="1" applyBorder="1" applyProtection="1">
      <protection locked="0"/>
    </xf>
    <xf numFmtId="0" fontId="17" fillId="0" borderId="27" xfId="0" applyFont="1" applyBorder="1" applyAlignment="1" applyProtection="1">
      <alignment horizontal="right"/>
      <protection locked="0"/>
    </xf>
    <xf numFmtId="0" fontId="17" fillId="0" borderId="1" xfId="0" applyFont="1" applyAlignment="1" applyProtection="1">
      <alignment horizontal="center"/>
      <protection locked="0"/>
    </xf>
    <xf numFmtId="0" fontId="9" fillId="0" borderId="1" xfId="0" applyFont="1" applyAlignment="1" applyProtection="1">
      <alignment horizontal="center"/>
      <protection locked="0"/>
    </xf>
    <xf numFmtId="0" fontId="17" fillId="0" borderId="2" xfId="0" applyFont="1" applyBorder="1" applyProtection="1">
      <protection locked="0"/>
    </xf>
    <xf numFmtId="49" fontId="17" fillId="0" borderId="1" xfId="0" applyNumberFormat="1" applyFont="1" applyAlignment="1" applyProtection="1">
      <alignment horizontal="left"/>
      <protection locked="0"/>
    </xf>
    <xf numFmtId="49" fontId="17" fillId="0" borderId="27" xfId="0" applyNumberFormat="1" applyFont="1" applyBorder="1" applyAlignment="1" applyProtection="1">
      <alignment horizontal="left"/>
      <protection locked="0"/>
    </xf>
    <xf numFmtId="0" fontId="17" fillId="0" borderId="30" xfId="0" applyFont="1" applyBorder="1" applyProtection="1">
      <protection locked="0"/>
    </xf>
    <xf numFmtId="0" fontId="17" fillId="0" borderId="0" xfId="0" applyFont="1" applyBorder="1" applyAlignment="1" applyProtection="1">
      <alignment vertical="top" wrapText="1"/>
      <protection locked="0"/>
    </xf>
    <xf numFmtId="0" fontId="9" fillId="0" borderId="0" xfId="0" applyFont="1" applyBorder="1" applyAlignment="1" applyProtection="1">
      <alignment vertical="top" wrapText="1"/>
      <protection locked="0"/>
    </xf>
    <xf numFmtId="0" fontId="19" fillId="0" borderId="0" xfId="0" applyFont="1" applyBorder="1" applyProtection="1">
      <protection locked="0"/>
    </xf>
    <xf numFmtId="0" fontId="20" fillId="0" borderId="0" xfId="0" applyFont="1" applyBorder="1" applyProtection="1">
      <protection locked="0"/>
    </xf>
    <xf numFmtId="0" fontId="17" fillId="6" borderId="0" xfId="0" applyFont="1" applyFill="1" applyBorder="1"/>
    <xf numFmtId="0" fontId="23" fillId="6" borderId="0" xfId="0" applyFont="1" applyFill="1" applyBorder="1" applyAlignment="1">
      <alignment vertical="center"/>
    </xf>
    <xf numFmtId="0" fontId="20" fillId="6" borderId="0" xfId="0" applyFont="1" applyFill="1" applyBorder="1"/>
    <xf numFmtId="0" fontId="0" fillId="6" borderId="0" xfId="0" applyFill="1" applyBorder="1"/>
    <xf numFmtId="0" fontId="18" fillId="2" borderId="13" xfId="0" applyFont="1" applyFill="1" applyBorder="1" applyAlignment="1">
      <alignment vertical="top" wrapText="1"/>
    </xf>
    <xf numFmtId="0" fontId="18" fillId="3" borderId="13" xfId="0" applyFont="1" applyFill="1" applyBorder="1" applyAlignment="1">
      <alignment vertical="top"/>
    </xf>
    <xf numFmtId="0" fontId="18" fillId="2" borderId="13" xfId="0" applyFont="1" applyFill="1" applyBorder="1" applyAlignment="1">
      <alignment vertical="top"/>
    </xf>
    <xf numFmtId="0" fontId="18" fillId="2" borderId="13" xfId="0" applyFont="1" applyFill="1" applyBorder="1" applyAlignment="1">
      <alignment horizontal="left" vertical="top"/>
    </xf>
    <xf numFmtId="0" fontId="18" fillId="3" borderId="13" xfId="0" applyFont="1" applyFill="1" applyBorder="1" applyAlignment="1">
      <alignment vertical="top" wrapText="1"/>
    </xf>
    <xf numFmtId="0" fontId="18" fillId="2" borderId="13" xfId="0" applyFont="1" applyFill="1" applyBorder="1" applyAlignment="1">
      <alignment horizontal="left" vertical="top" wrapText="1"/>
    </xf>
    <xf numFmtId="0" fontId="14" fillId="0" borderId="1" xfId="0" applyFont="1"/>
    <xf numFmtId="0" fontId="18" fillId="11" borderId="41" xfId="0" applyFont="1" applyFill="1" applyBorder="1" applyAlignment="1">
      <alignment vertical="top" wrapText="1"/>
    </xf>
    <xf numFmtId="0" fontId="13" fillId="3" borderId="48" xfId="0" applyFont="1" applyFill="1" applyBorder="1" applyAlignment="1">
      <alignment horizontal="centerContinuous" vertical="top" wrapText="1"/>
    </xf>
    <xf numFmtId="0" fontId="2" fillId="0" borderId="49" xfId="0" applyFont="1" applyBorder="1" applyAlignment="1" applyProtection="1">
      <alignment horizontal="center"/>
      <protection locked="0"/>
    </xf>
    <xf numFmtId="0" fontId="15" fillId="0" borderId="0" xfId="0" applyFont="1" applyBorder="1" applyAlignment="1" applyProtection="1">
      <alignment horizontal="left" vertical="center"/>
      <protection locked="0"/>
    </xf>
    <xf numFmtId="0" fontId="0" fillId="0" borderId="0" xfId="0" applyBorder="1" applyAlignment="1" applyProtection="1">
      <alignment horizontal="left" vertical="center"/>
      <protection locked="0"/>
    </xf>
    <xf numFmtId="0" fontId="0" fillId="0" borderId="0" xfId="0" applyBorder="1" applyAlignment="1" applyProtection="1">
      <alignment horizontal="left"/>
      <protection locked="0"/>
    </xf>
    <xf numFmtId="0" fontId="2" fillId="0" borderId="0" xfId="0" applyFont="1" applyBorder="1" applyAlignment="1" applyProtection="1">
      <alignment horizontal="left"/>
      <protection locked="0"/>
    </xf>
    <xf numFmtId="0" fontId="15" fillId="0" borderId="0" xfId="0"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16" fillId="2" borderId="38" xfId="0" applyFont="1" applyFill="1" applyBorder="1" applyAlignment="1" applyProtection="1">
      <alignment horizontal="center" vertical="center"/>
      <protection locked="0"/>
    </xf>
    <xf numFmtId="0" fontId="16" fillId="2" borderId="21" xfId="0" applyFont="1" applyFill="1" applyBorder="1" applyAlignment="1" applyProtection="1">
      <alignment horizontal="center" vertical="center"/>
      <protection locked="0"/>
    </xf>
    <xf numFmtId="0" fontId="2" fillId="0" borderId="0" xfId="0" applyFont="1" applyBorder="1" applyAlignment="1" applyProtection="1">
      <alignment horizontal="center" vertical="center"/>
      <protection locked="0"/>
    </xf>
    <xf numFmtId="0" fontId="2" fillId="0" borderId="27" xfId="0" applyFont="1" applyBorder="1" applyAlignment="1" applyProtection="1">
      <alignment horizontal="left" vertical="center" wrapText="1"/>
      <protection locked="0"/>
    </xf>
    <xf numFmtId="0" fontId="2" fillId="0" borderId="27" xfId="0" quotePrefix="1" applyFont="1" applyBorder="1" applyAlignment="1" applyProtection="1">
      <alignment horizontal="left" vertical="center" wrapText="1"/>
      <protection locked="0"/>
    </xf>
    <xf numFmtId="14" fontId="2" fillId="0" borderId="27" xfId="0" quotePrefix="1" applyNumberFormat="1" applyFont="1" applyBorder="1" applyAlignment="1" applyProtection="1">
      <alignment horizontal="left" wrapText="1"/>
      <protection locked="0"/>
    </xf>
    <xf numFmtId="0" fontId="2" fillId="0" borderId="27" xfId="0" applyFont="1" applyBorder="1" applyAlignment="1" applyProtection="1">
      <alignment horizontal="left"/>
      <protection locked="0"/>
    </xf>
    <xf numFmtId="0" fontId="16" fillId="2" borderId="52" xfId="0" applyFont="1" applyFill="1" applyBorder="1" applyAlignment="1" applyProtection="1">
      <alignment horizontal="center" vertical="center"/>
      <protection locked="0"/>
    </xf>
    <xf numFmtId="0" fontId="2" fillId="0" borderId="0" xfId="0" applyFont="1" applyBorder="1" applyAlignment="1" applyProtection="1">
      <alignment horizontal="left" vertical="center"/>
      <protection locked="0"/>
    </xf>
    <xf numFmtId="0" fontId="15" fillId="0" borderId="0" xfId="0" applyFont="1" applyBorder="1" applyAlignment="1">
      <alignment horizontal="left" vertical="center"/>
    </xf>
    <xf numFmtId="0" fontId="0" fillId="0" borderId="0" xfId="0" applyBorder="1" applyAlignment="1">
      <alignment horizontal="left" vertical="center"/>
    </xf>
    <xf numFmtId="0" fontId="2" fillId="0" borderId="0" xfId="0" applyFont="1" applyBorder="1"/>
    <xf numFmtId="0" fontId="2" fillId="0" borderId="0" xfId="0" applyFont="1" applyBorder="1" applyAlignment="1">
      <alignment horizontal="left"/>
    </xf>
    <xf numFmtId="0" fontId="2" fillId="0" borderId="0" xfId="0" applyFont="1" applyBorder="1" applyAlignment="1">
      <alignment horizontal="left" vertical="center"/>
    </xf>
    <xf numFmtId="0" fontId="2" fillId="7" borderId="53" xfId="0" applyFont="1" applyFill="1" applyBorder="1" applyAlignment="1">
      <alignment horizontal="left"/>
    </xf>
    <xf numFmtId="0" fontId="2" fillId="0" borderId="42" xfId="0" applyFont="1" applyBorder="1" applyAlignment="1">
      <alignment horizontal="left"/>
    </xf>
    <xf numFmtId="0" fontId="2" fillId="7" borderId="54" xfId="0" applyFont="1" applyFill="1" applyBorder="1" applyAlignment="1">
      <alignment horizontal="left"/>
    </xf>
    <xf numFmtId="0" fontId="2" fillId="0" borderId="44" xfId="0" applyFont="1" applyBorder="1" applyAlignment="1">
      <alignment horizontal="left"/>
    </xf>
    <xf numFmtId="0" fontId="2" fillId="7" borderId="55" xfId="0" applyFont="1" applyFill="1" applyBorder="1" applyAlignment="1">
      <alignment horizontal="left"/>
    </xf>
    <xf numFmtId="0" fontId="2" fillId="0" borderId="46" xfId="0" applyFont="1" applyBorder="1" applyAlignment="1">
      <alignment horizontal="left"/>
    </xf>
    <xf numFmtId="0" fontId="2" fillId="7" borderId="15" xfId="0" applyFont="1" applyFill="1" applyBorder="1" applyAlignment="1">
      <alignment horizontal="left" vertical="center"/>
    </xf>
    <xf numFmtId="0" fontId="2" fillId="7" borderId="56" xfId="0" applyFont="1" applyFill="1" applyBorder="1" applyAlignment="1">
      <alignment horizontal="left" vertical="center"/>
    </xf>
    <xf numFmtId="0" fontId="2" fillId="0" borderId="57" xfId="0" applyFont="1" applyBorder="1" applyAlignment="1">
      <alignment horizontal="left"/>
    </xf>
    <xf numFmtId="0" fontId="2" fillId="0" borderId="58" xfId="0" applyFont="1" applyBorder="1" applyAlignment="1">
      <alignment horizontal="left" vertical="center"/>
    </xf>
    <xf numFmtId="0" fontId="2" fillId="7" borderId="59" xfId="0" applyFont="1" applyFill="1" applyBorder="1" applyAlignment="1">
      <alignment horizontal="left"/>
    </xf>
    <xf numFmtId="0" fontId="2" fillId="0" borderId="19" xfId="0" applyFont="1" applyBorder="1" applyAlignment="1">
      <alignment horizontal="left"/>
    </xf>
    <xf numFmtId="0" fontId="2" fillId="0" borderId="46" xfId="0" applyFont="1" applyBorder="1" applyAlignment="1">
      <alignment horizontal="left" vertical="center"/>
    </xf>
    <xf numFmtId="0" fontId="32" fillId="7" borderId="53" xfId="0" applyFont="1" applyFill="1" applyBorder="1" applyAlignment="1">
      <alignment horizontal="left"/>
    </xf>
    <xf numFmtId="0" fontId="18" fillId="2" borderId="40" xfId="0" applyFont="1" applyFill="1" applyBorder="1" applyAlignment="1">
      <alignment vertical="top"/>
    </xf>
    <xf numFmtId="0" fontId="2" fillId="0" borderId="43" xfId="0" applyFont="1" applyBorder="1" applyProtection="1">
      <protection locked="0"/>
    </xf>
    <xf numFmtId="0" fontId="2" fillId="0" borderId="45" xfId="0" applyFont="1" applyBorder="1" applyProtection="1">
      <protection locked="0"/>
    </xf>
    <xf numFmtId="0" fontId="18" fillId="2" borderId="60" xfId="0" applyFont="1" applyFill="1" applyBorder="1" applyAlignment="1">
      <alignment vertical="top"/>
    </xf>
    <xf numFmtId="0" fontId="17" fillId="0" borderId="43" xfId="0" applyFont="1" applyBorder="1" applyProtection="1">
      <protection locked="0"/>
    </xf>
    <xf numFmtId="0" fontId="17" fillId="0" borderId="45" xfId="0" applyFont="1" applyBorder="1" applyProtection="1">
      <protection locked="0"/>
    </xf>
    <xf numFmtId="0" fontId="16" fillId="2" borderId="51" xfId="0" applyFont="1" applyFill="1" applyBorder="1" applyAlignment="1" applyProtection="1">
      <alignment horizontal="center" vertical="center"/>
      <protection locked="0"/>
    </xf>
    <xf numFmtId="0" fontId="16" fillId="2" borderId="50" xfId="0" applyFont="1" applyFill="1" applyBorder="1" applyAlignment="1" applyProtection="1">
      <alignment horizontal="center" vertical="center"/>
      <protection locked="0"/>
    </xf>
    <xf numFmtId="0" fontId="18" fillId="2" borderId="60" xfId="0" applyFont="1" applyFill="1" applyBorder="1" applyAlignment="1">
      <alignment horizontal="left" vertical="top"/>
    </xf>
    <xf numFmtId="0" fontId="18" fillId="3" borderId="13" xfId="0" applyFont="1" applyFill="1" applyBorder="1" applyAlignment="1">
      <alignment horizontal="left" vertical="top"/>
    </xf>
    <xf numFmtId="0" fontId="18" fillId="9" borderId="17" xfId="0" applyFont="1" applyFill="1" applyBorder="1" applyAlignment="1">
      <alignment horizontal="left" vertical="top" wrapText="1"/>
    </xf>
    <xf numFmtId="0" fontId="18" fillId="8" borderId="13" xfId="0" applyFont="1" applyFill="1" applyBorder="1" applyAlignment="1">
      <alignment horizontal="left" vertical="top" wrapText="1"/>
    </xf>
    <xf numFmtId="0" fontId="18" fillId="3" borderId="13" xfId="0" applyFont="1" applyFill="1" applyBorder="1" applyAlignment="1">
      <alignment horizontal="left" vertical="top" wrapText="1"/>
    </xf>
    <xf numFmtId="0" fontId="18" fillId="9" borderId="13" xfId="0" applyFont="1" applyFill="1" applyBorder="1" applyAlignment="1">
      <alignment horizontal="left" vertical="top" wrapText="1"/>
    </xf>
    <xf numFmtId="0" fontId="18" fillId="11" borderId="13" xfId="0" applyFont="1" applyFill="1" applyBorder="1" applyAlignment="1">
      <alignment horizontal="left" vertical="top" wrapText="1"/>
    </xf>
    <xf numFmtId="0" fontId="17" fillId="0" borderId="0" xfId="0" applyFont="1" applyBorder="1" applyAlignment="1">
      <alignment horizontal="left" vertical="top"/>
    </xf>
    <xf numFmtId="0" fontId="18" fillId="3" borderId="31" xfId="0" applyFont="1" applyFill="1" applyBorder="1" applyAlignment="1">
      <alignment vertical="top"/>
    </xf>
    <xf numFmtId="0" fontId="18" fillId="3" borderId="31" xfId="0" applyFont="1" applyFill="1" applyBorder="1" applyAlignment="1">
      <alignment horizontal="left" vertical="top"/>
    </xf>
    <xf numFmtId="0" fontId="10" fillId="0" borderId="31" xfId="0" applyFont="1" applyBorder="1" applyProtection="1">
      <protection locked="0"/>
    </xf>
    <xf numFmtId="0" fontId="9" fillId="0" borderId="11" xfId="0" applyFont="1" applyBorder="1" applyProtection="1">
      <protection locked="0"/>
    </xf>
    <xf numFmtId="0" fontId="9" fillId="0" borderId="25" xfId="0" applyFont="1" applyBorder="1" applyProtection="1">
      <protection locked="0"/>
    </xf>
    <xf numFmtId="0" fontId="9" fillId="0" borderId="37" xfId="0" applyFont="1" applyBorder="1" applyProtection="1">
      <protection locked="0"/>
    </xf>
    <xf numFmtId="0" fontId="10" fillId="0" borderId="13" xfId="0" applyFont="1" applyBorder="1" applyProtection="1">
      <protection locked="0"/>
    </xf>
    <xf numFmtId="0" fontId="9" fillId="0" borderId="6" xfId="0" applyFont="1" applyBorder="1" applyProtection="1">
      <protection locked="0"/>
    </xf>
    <xf numFmtId="0" fontId="9" fillId="0" borderId="27" xfId="0" applyFont="1" applyBorder="1" applyProtection="1">
      <protection locked="0"/>
    </xf>
    <xf numFmtId="0" fontId="9" fillId="0" borderId="4" xfId="0" applyFont="1" applyBorder="1" applyProtection="1">
      <protection locked="0"/>
    </xf>
    <xf numFmtId="0" fontId="34" fillId="2" borderId="0" xfId="0" applyFont="1" applyFill="1" applyBorder="1"/>
    <xf numFmtId="0" fontId="11" fillId="0" borderId="0" xfId="0" applyFont="1" applyBorder="1"/>
    <xf numFmtId="0" fontId="2" fillId="3" borderId="0" xfId="0" applyFont="1" applyFill="1" applyBorder="1"/>
    <xf numFmtId="0" fontId="13" fillId="8" borderId="0" xfId="0" applyFont="1" applyFill="1" applyBorder="1" applyAlignment="1" applyProtection="1">
      <alignment vertical="center" wrapText="1"/>
      <protection locked="0"/>
    </xf>
    <xf numFmtId="0" fontId="11" fillId="9" borderId="0" xfId="0" applyFont="1" applyFill="1" applyBorder="1"/>
    <xf numFmtId="0" fontId="13" fillId="12" borderId="17" xfId="0" applyFont="1" applyFill="1" applyBorder="1" applyAlignment="1" applyProtection="1">
      <alignment horizontal="left" vertical="top" wrapText="1"/>
      <protection locked="0"/>
    </xf>
    <xf numFmtId="0" fontId="18" fillId="2" borderId="21" xfId="0" applyFont="1" applyFill="1" applyBorder="1" applyAlignment="1">
      <alignment horizontal="left" vertical="top" wrapText="1"/>
    </xf>
    <xf numFmtId="0" fontId="18" fillId="2" borderId="21" xfId="0" applyFont="1" applyFill="1" applyBorder="1" applyAlignment="1">
      <alignment horizontal="left" vertical="top"/>
    </xf>
    <xf numFmtId="0" fontId="18" fillId="3" borderId="17" xfId="0" applyFont="1" applyFill="1" applyBorder="1" applyAlignment="1">
      <alignment horizontal="left" vertical="top" wrapText="1"/>
    </xf>
    <xf numFmtId="0" fontId="18" fillId="3" borderId="17" xfId="0" applyFont="1" applyFill="1" applyBorder="1" applyAlignment="1">
      <alignment horizontal="left" vertical="top"/>
    </xf>
    <xf numFmtId="0" fontId="18" fillId="12" borderId="18" xfId="0" applyFont="1" applyFill="1" applyBorder="1" applyAlignment="1">
      <alignment vertical="top"/>
    </xf>
    <xf numFmtId="0" fontId="10" fillId="0" borderId="31" xfId="0" applyFont="1" applyBorder="1"/>
    <xf numFmtId="0" fontId="9" fillId="0" borderId="11" xfId="0" applyFont="1" applyBorder="1"/>
    <xf numFmtId="0" fontId="9" fillId="0" borderId="25" xfId="0" applyFont="1" applyBorder="1"/>
    <xf numFmtId="0" fontId="9" fillId="0" borderId="37" xfId="0" applyFont="1" applyBorder="1"/>
    <xf numFmtId="0" fontId="10" fillId="0" borderId="13" xfId="0" applyFont="1" applyBorder="1"/>
    <xf numFmtId="0" fontId="9" fillId="0" borderId="6" xfId="0" applyFont="1" applyBorder="1"/>
    <xf numFmtId="0" fontId="9" fillId="0" borderId="27" xfId="0" applyFont="1" applyBorder="1"/>
    <xf numFmtId="0" fontId="9" fillId="0" borderId="4" xfId="0" applyFont="1" applyBorder="1"/>
    <xf numFmtId="0" fontId="18" fillId="3" borderId="22" xfId="0" applyFont="1" applyFill="1" applyBorder="1" applyAlignment="1">
      <alignment vertical="top"/>
    </xf>
    <xf numFmtId="0" fontId="18" fillId="3" borderId="22" xfId="0" applyFont="1" applyFill="1" applyBorder="1" applyAlignment="1">
      <alignment horizontal="left" vertical="top"/>
    </xf>
    <xf numFmtId="0" fontId="2" fillId="0" borderId="7" xfId="0" applyFont="1" applyBorder="1" applyProtection="1">
      <protection locked="0"/>
    </xf>
    <xf numFmtId="0" fontId="18" fillId="12" borderId="17" xfId="0" applyFont="1" applyFill="1" applyBorder="1" applyAlignment="1" applyProtection="1">
      <alignment horizontal="left" vertical="top" wrapText="1"/>
      <protection locked="0"/>
    </xf>
    <xf numFmtId="0" fontId="15" fillId="0" borderId="0" xfId="0" applyFont="1" applyBorder="1" applyAlignment="1" applyProtection="1">
      <alignment horizontal="left" vertical="top"/>
      <protection locked="0"/>
    </xf>
    <xf numFmtId="0" fontId="0" fillId="0" borderId="0" xfId="0" applyBorder="1" applyAlignment="1" applyProtection="1">
      <alignment horizontal="center" vertical="top"/>
      <protection locked="0"/>
    </xf>
    <xf numFmtId="164" fontId="0" fillId="0" borderId="0" xfId="0" applyNumberFormat="1" applyBorder="1" applyAlignment="1" applyProtection="1">
      <alignment horizontal="center" vertical="top"/>
      <protection locked="0"/>
    </xf>
    <xf numFmtId="0" fontId="0" fillId="0" borderId="0" xfId="0" applyBorder="1" applyAlignment="1" applyProtection="1">
      <alignment horizontal="left" vertical="top"/>
      <protection locked="0"/>
    </xf>
    <xf numFmtId="0" fontId="2" fillId="0" borderId="0" xfId="0" applyFont="1" applyBorder="1" applyAlignment="1" applyProtection="1">
      <alignment horizontal="center" vertical="top"/>
      <protection locked="0"/>
    </xf>
    <xf numFmtId="0" fontId="2" fillId="0" borderId="0" xfId="0" applyFont="1" applyBorder="1" applyAlignment="1" applyProtection="1">
      <alignment horizontal="left" vertical="top"/>
      <protection locked="0"/>
    </xf>
    <xf numFmtId="0" fontId="16" fillId="2" borderId="41" xfId="0" applyFont="1" applyFill="1" applyBorder="1" applyAlignment="1" applyProtection="1">
      <alignment vertical="center"/>
      <protection locked="0"/>
    </xf>
    <xf numFmtId="0" fontId="16" fillId="2" borderId="42" xfId="0" applyFont="1" applyFill="1" applyBorder="1" applyAlignment="1" applyProtection="1">
      <alignment vertical="center"/>
      <protection locked="0"/>
    </xf>
    <xf numFmtId="0" fontId="2" fillId="0" borderId="47" xfId="0" applyFont="1" applyBorder="1" applyAlignment="1" applyProtection="1">
      <alignment horizontal="center" vertical="top"/>
      <protection locked="0"/>
    </xf>
    <xf numFmtId="0" fontId="2" fillId="0" borderId="66" xfId="0" applyFont="1" applyBorder="1" applyAlignment="1" applyProtection="1">
      <alignment horizontal="center" vertical="top"/>
      <protection locked="0"/>
    </xf>
    <xf numFmtId="164" fontId="2" fillId="0" borderId="17" xfId="0" applyNumberFormat="1" applyFont="1" applyBorder="1" applyAlignment="1" applyProtection="1">
      <alignment horizontal="center" vertical="top"/>
      <protection locked="0"/>
    </xf>
    <xf numFmtId="0" fontId="2" fillId="0" borderId="17" xfId="0" applyFont="1" applyBorder="1" applyAlignment="1" applyProtection="1">
      <alignment horizontal="left" vertical="top"/>
      <protection locked="0"/>
    </xf>
    <xf numFmtId="0" fontId="2" fillId="0" borderId="17" xfId="0" applyFont="1" applyBorder="1" applyAlignment="1" applyProtection="1">
      <alignment horizontal="center" vertical="top"/>
      <protection locked="0"/>
    </xf>
    <xf numFmtId="0" fontId="2" fillId="0" borderId="22" xfId="0" applyFont="1" applyBorder="1" applyAlignment="1" applyProtection="1">
      <alignment horizontal="center" vertical="top"/>
      <protection locked="0"/>
    </xf>
    <xf numFmtId="0" fontId="2" fillId="0" borderId="16" xfId="0" applyFont="1" applyBorder="1" applyAlignment="1" applyProtection="1">
      <alignment horizontal="center" vertical="top"/>
      <protection locked="0"/>
    </xf>
    <xf numFmtId="0" fontId="2" fillId="0" borderId="21" xfId="0" applyFont="1" applyBorder="1" applyAlignment="1" applyProtection="1">
      <alignment horizontal="center" vertical="top"/>
      <protection locked="0"/>
    </xf>
    <xf numFmtId="0" fontId="2" fillId="0" borderId="39" xfId="0" applyFont="1" applyBorder="1" applyAlignment="1" applyProtection="1">
      <alignment horizontal="center" vertical="top"/>
      <protection locked="0"/>
    </xf>
    <xf numFmtId="0" fontId="2" fillId="0" borderId="67" xfId="0" applyFont="1" applyBorder="1" applyAlignment="1" applyProtection="1">
      <alignment horizontal="center" vertical="top"/>
      <protection locked="0"/>
    </xf>
    <xf numFmtId="0" fontId="2" fillId="0" borderId="29" xfId="0" applyFont="1" applyBorder="1" applyAlignment="1" applyProtection="1">
      <alignment horizontal="center" vertical="top"/>
      <protection locked="0"/>
    </xf>
    <xf numFmtId="164" fontId="2" fillId="0" borderId="27" xfId="0" applyNumberFormat="1" applyFont="1" applyBorder="1" applyAlignment="1" applyProtection="1">
      <alignment horizontal="center" vertical="top"/>
      <protection locked="0"/>
    </xf>
    <xf numFmtId="0" fontId="2" fillId="0" borderId="27" xfId="0" applyFont="1" applyBorder="1" applyAlignment="1" applyProtection="1">
      <alignment horizontal="left" vertical="top"/>
      <protection locked="0"/>
    </xf>
    <xf numFmtId="0" fontId="2" fillId="0" borderId="27" xfId="0" applyFont="1" applyBorder="1" applyAlignment="1" applyProtection="1">
      <alignment horizontal="center" vertical="top"/>
      <protection locked="0"/>
    </xf>
    <xf numFmtId="0" fontId="2" fillId="0" borderId="25" xfId="0" applyFont="1" applyBorder="1" applyAlignment="1" applyProtection="1">
      <alignment horizontal="center" vertical="top"/>
      <protection locked="0"/>
    </xf>
    <xf numFmtId="0" fontId="2" fillId="0" borderId="3" xfId="0" applyFont="1" applyBorder="1" applyAlignment="1" applyProtection="1">
      <alignment horizontal="center" vertical="top"/>
      <protection locked="0"/>
    </xf>
    <xf numFmtId="0" fontId="2" fillId="0" borderId="24" xfId="0" applyFont="1" applyBorder="1" applyAlignment="1" applyProtection="1">
      <alignment horizontal="center" vertical="top"/>
      <protection locked="0"/>
    </xf>
    <xf numFmtId="0" fontId="2" fillId="0" borderId="26" xfId="0" applyFont="1" applyBorder="1" applyAlignment="1" applyProtection="1">
      <alignment horizontal="center" vertical="top"/>
      <protection locked="0"/>
    </xf>
    <xf numFmtId="164" fontId="2" fillId="0" borderId="4" xfId="0" applyNumberFormat="1" applyFont="1" applyBorder="1" applyAlignment="1" applyProtection="1">
      <alignment horizontal="center" vertical="top"/>
      <protection locked="0"/>
    </xf>
    <xf numFmtId="0" fontId="2" fillId="0" borderId="4" xfId="0" applyFont="1" applyBorder="1" applyAlignment="1" applyProtection="1">
      <alignment horizontal="left" vertical="top"/>
      <protection locked="0"/>
    </xf>
    <xf numFmtId="0" fontId="2" fillId="0" borderId="4" xfId="0" applyFont="1" applyBorder="1" applyAlignment="1" applyProtection="1">
      <alignment horizontal="center" vertical="top"/>
      <protection locked="0"/>
    </xf>
    <xf numFmtId="0" fontId="2" fillId="0" borderId="37" xfId="0" applyFont="1" applyBorder="1" applyAlignment="1" applyProtection="1">
      <alignment horizontal="center" vertical="top"/>
      <protection locked="0"/>
    </xf>
    <xf numFmtId="0" fontId="2" fillId="0" borderId="19" xfId="0" applyFont="1" applyBorder="1" applyAlignment="1" applyProtection="1">
      <alignment horizontal="center" vertical="top"/>
      <protection locked="0"/>
    </xf>
    <xf numFmtId="0" fontId="2" fillId="0" borderId="5" xfId="0" applyFont="1" applyBorder="1" applyAlignment="1" applyProtection="1">
      <alignment horizontal="center" vertical="top"/>
      <protection locked="0"/>
    </xf>
    <xf numFmtId="164" fontId="2" fillId="0" borderId="0" xfId="0" applyNumberFormat="1" applyFont="1" applyBorder="1" applyAlignment="1" applyProtection="1">
      <alignment horizontal="center" vertical="top"/>
      <protection locked="0"/>
    </xf>
    <xf numFmtId="0" fontId="2" fillId="0" borderId="43" xfId="0" applyFont="1" applyBorder="1" applyAlignment="1">
      <alignment horizontal="left"/>
    </xf>
    <xf numFmtId="0" fontId="2" fillId="0" borderId="56" xfId="0" applyFont="1" applyBorder="1" applyAlignment="1">
      <alignment horizontal="left" vertical="center"/>
    </xf>
    <xf numFmtId="0" fontId="2" fillId="7" borderId="21" xfId="0" applyFont="1" applyFill="1" applyBorder="1" applyAlignment="1" applyProtection="1">
      <alignment horizontal="center" vertical="top"/>
      <protection locked="0"/>
    </xf>
    <xf numFmtId="0" fontId="2" fillId="7" borderId="24" xfId="0" applyFont="1" applyFill="1" applyBorder="1" applyAlignment="1" applyProtection="1">
      <alignment horizontal="center" vertical="top"/>
      <protection locked="0"/>
    </xf>
    <xf numFmtId="0" fontId="2" fillId="7" borderId="4" xfId="0" applyFont="1" applyFill="1" applyBorder="1" applyAlignment="1" applyProtection="1">
      <alignment horizontal="center" vertical="top"/>
      <protection locked="0"/>
    </xf>
    <xf numFmtId="0" fontId="18" fillId="3" borderId="21" xfId="0" applyFont="1" applyFill="1" applyBorder="1" applyAlignment="1">
      <alignment horizontal="left" vertical="top"/>
    </xf>
    <xf numFmtId="0" fontId="18" fillId="3" borderId="21" xfId="0" applyFont="1" applyFill="1" applyBorder="1" applyAlignment="1">
      <alignment horizontal="left" vertical="top" wrapText="1"/>
    </xf>
    <xf numFmtId="0" fontId="13" fillId="3" borderId="21" xfId="0" applyFont="1" applyFill="1" applyBorder="1" applyAlignment="1">
      <alignment horizontal="left" vertical="top" wrapText="1"/>
    </xf>
    <xf numFmtId="0" fontId="18" fillId="11" borderId="21" xfId="0" applyFont="1" applyFill="1" applyBorder="1" applyAlignment="1">
      <alignment horizontal="left" vertical="top" wrapText="1"/>
    </xf>
    <xf numFmtId="0" fontId="18" fillId="8" borderId="21" xfId="0" applyFont="1" applyFill="1" applyBorder="1" applyAlignment="1">
      <alignment horizontal="left" vertical="top" wrapText="1"/>
    </xf>
    <xf numFmtId="0" fontId="13" fillId="8" borderId="21" xfId="0" applyFont="1" applyFill="1" applyBorder="1" applyAlignment="1">
      <alignment horizontal="left" vertical="top" wrapText="1"/>
    </xf>
    <xf numFmtId="0" fontId="2" fillId="13" borderId="27" xfId="0" applyFont="1" applyFill="1" applyBorder="1" applyAlignment="1" applyProtection="1">
      <alignment horizontal="center"/>
      <protection locked="0"/>
    </xf>
    <xf numFmtId="0" fontId="36" fillId="13" borderId="27" xfId="0" applyFont="1" applyFill="1" applyBorder="1" applyAlignment="1">
      <alignment vertical="center"/>
    </xf>
    <xf numFmtId="0" fontId="18" fillId="2" borderId="69" xfId="0" applyFont="1" applyFill="1" applyBorder="1" applyAlignment="1">
      <alignment horizontal="left" vertical="top"/>
    </xf>
    <xf numFmtId="0" fontId="2" fillId="0" borderId="16" xfId="0" applyFont="1" applyBorder="1" applyProtection="1">
      <protection locked="0"/>
    </xf>
    <xf numFmtId="0" fontId="18" fillId="2" borderId="27" xfId="0" applyFont="1" applyFill="1" applyBorder="1" applyAlignment="1">
      <alignment vertical="top" wrapText="1"/>
    </xf>
    <xf numFmtId="0" fontId="7" fillId="0" borderId="25" xfId="0" applyFont="1" applyBorder="1"/>
    <xf numFmtId="0" fontId="6" fillId="0" borderId="29" xfId="0" applyFont="1" applyBorder="1"/>
    <xf numFmtId="0" fontId="39" fillId="0" borderId="0" xfId="0" applyFont="1" applyBorder="1" applyProtection="1">
      <protection locked="0"/>
    </xf>
    <xf numFmtId="0" fontId="40" fillId="0" borderId="0" xfId="0" applyFont="1" applyBorder="1" applyProtection="1">
      <protection locked="0"/>
    </xf>
    <xf numFmtId="0" fontId="39" fillId="0" borderId="0" xfId="0" applyFont="1" applyBorder="1" applyAlignment="1" applyProtection="1">
      <alignment vertical="center"/>
      <protection locked="0"/>
    </xf>
    <xf numFmtId="0" fontId="42" fillId="14" borderId="7" xfId="0" applyFont="1" applyFill="1" applyBorder="1"/>
    <xf numFmtId="0" fontId="42" fillId="14" borderId="7" xfId="0" applyFont="1" applyFill="1" applyBorder="1" applyAlignment="1">
      <alignment horizontal="center"/>
    </xf>
    <xf numFmtId="0" fontId="42" fillId="14" borderId="24" xfId="0" applyFont="1" applyFill="1" applyBorder="1"/>
    <xf numFmtId="0" fontId="41" fillId="15" borderId="74" xfId="0" applyFont="1" applyFill="1" applyBorder="1"/>
    <xf numFmtId="0" fontId="41" fillId="15" borderId="68" xfId="0" applyFont="1" applyFill="1" applyBorder="1" applyAlignment="1">
      <alignment horizontal="center"/>
    </xf>
    <xf numFmtId="0" fontId="41" fillId="15" borderId="75" xfId="0" applyFont="1" applyFill="1" applyBorder="1"/>
    <xf numFmtId="0" fontId="41" fillId="0" borderId="76" xfId="0" applyFont="1" applyBorder="1"/>
    <xf numFmtId="0" fontId="41" fillId="0" borderId="77" xfId="0" applyFont="1" applyBorder="1" applyAlignment="1">
      <alignment horizontal="center"/>
    </xf>
    <xf numFmtId="0" fontId="41" fillId="0" borderId="78" xfId="0" applyFont="1" applyBorder="1"/>
    <xf numFmtId="0" fontId="41" fillId="15" borderId="76" xfId="0" applyFont="1" applyFill="1" applyBorder="1"/>
    <xf numFmtId="0" fontId="41" fillId="15" borderId="77" xfId="0" applyFont="1" applyFill="1" applyBorder="1" applyAlignment="1">
      <alignment horizontal="center"/>
    </xf>
    <xf numFmtId="0" fontId="41" fillId="15" borderId="78" xfId="0" applyFont="1" applyFill="1" applyBorder="1"/>
    <xf numFmtId="0" fontId="41" fillId="15" borderId="78" xfId="0" applyFont="1" applyFill="1" applyBorder="1" applyAlignment="1">
      <alignment wrapText="1"/>
    </xf>
    <xf numFmtId="0" fontId="41" fillId="0" borderId="71" xfId="0" applyFont="1" applyBorder="1"/>
    <xf numFmtId="0" fontId="41" fillId="0" borderId="72" xfId="0" applyFont="1" applyBorder="1" applyAlignment="1">
      <alignment horizontal="center"/>
    </xf>
    <xf numFmtId="0" fontId="41" fillId="0" borderId="73" xfId="0" applyFont="1" applyBorder="1" applyAlignment="1">
      <alignment horizontal="left"/>
    </xf>
    <xf numFmtId="0" fontId="36" fillId="13" borderId="27" xfId="0" applyFont="1" applyFill="1" applyBorder="1" applyAlignment="1">
      <alignment vertical="top"/>
    </xf>
    <xf numFmtId="0" fontId="2" fillId="0" borderId="12" xfId="0" applyFont="1" applyBorder="1" applyAlignment="1" applyProtection="1">
      <alignment horizontal="center" vertical="top"/>
      <protection locked="0"/>
    </xf>
    <xf numFmtId="164" fontId="2" fillId="0" borderId="6" xfId="0" applyNumberFormat="1" applyFont="1" applyBorder="1" applyAlignment="1" applyProtection="1">
      <alignment horizontal="center" vertical="top"/>
      <protection locked="0"/>
    </xf>
    <xf numFmtId="0" fontId="2" fillId="0" borderId="6" xfId="0" applyFont="1" applyBorder="1" applyAlignment="1" applyProtection="1">
      <alignment horizontal="left" vertical="top"/>
      <protection locked="0"/>
    </xf>
    <xf numFmtId="0" fontId="2" fillId="0" borderId="6" xfId="0" applyFont="1" applyBorder="1" applyAlignment="1" applyProtection="1">
      <alignment horizontal="center" vertical="top"/>
      <protection locked="0"/>
    </xf>
    <xf numFmtId="0" fontId="2" fillId="0" borderId="57" xfId="0" applyFont="1" applyBorder="1" applyAlignment="1" applyProtection="1">
      <alignment horizontal="center" vertical="top"/>
      <protection locked="0"/>
    </xf>
    <xf numFmtId="0" fontId="2" fillId="0" borderId="48" xfId="0" applyFont="1" applyBorder="1" applyAlignment="1" applyProtection="1">
      <alignment horizontal="center" vertical="top"/>
      <protection locked="0"/>
    </xf>
    <xf numFmtId="0" fontId="2" fillId="7" borderId="49" xfId="0" applyFont="1" applyFill="1" applyBorder="1" applyAlignment="1" applyProtection="1">
      <alignment horizontal="center" vertical="top"/>
      <protection locked="0"/>
    </xf>
    <xf numFmtId="0" fontId="2" fillId="0" borderId="49" xfId="0" applyFont="1" applyBorder="1" applyAlignment="1" applyProtection="1">
      <alignment horizontal="center" vertical="top"/>
      <protection locked="0"/>
    </xf>
    <xf numFmtId="0" fontId="2" fillId="0" borderId="80" xfId="0" applyFont="1" applyBorder="1" applyAlignment="1" applyProtection="1">
      <alignment horizontal="center" vertical="top"/>
      <protection locked="0"/>
    </xf>
    <xf numFmtId="0" fontId="2" fillId="0" borderId="37" xfId="0" applyFont="1" applyBorder="1" applyAlignment="1" applyProtection="1">
      <alignment horizontal="left" vertical="top"/>
      <protection locked="0"/>
    </xf>
    <xf numFmtId="0" fontId="2" fillId="0" borderId="81" xfId="0" applyFont="1" applyBorder="1" applyAlignment="1" applyProtection="1">
      <alignment horizontal="center" vertical="top"/>
      <protection locked="0"/>
    </xf>
    <xf numFmtId="0" fontId="2" fillId="7" borderId="17" xfId="0" applyFont="1" applyFill="1" applyBorder="1" applyAlignment="1" applyProtection="1">
      <alignment horizontal="center" vertical="top"/>
      <protection locked="0"/>
    </xf>
    <xf numFmtId="0" fontId="2" fillId="0" borderId="18" xfId="0" applyFont="1" applyBorder="1" applyAlignment="1" applyProtection="1">
      <alignment horizontal="center" vertical="top"/>
      <protection locked="0"/>
    </xf>
    <xf numFmtId="0" fontId="2" fillId="0" borderId="9" xfId="0" applyFont="1" applyBorder="1" applyAlignment="1" applyProtection="1">
      <alignment horizontal="center" vertical="top"/>
      <protection locked="0"/>
    </xf>
    <xf numFmtId="0" fontId="2" fillId="0" borderId="51" xfId="0" applyFont="1" applyBorder="1" applyAlignment="1" applyProtection="1">
      <alignment horizontal="center" vertical="top"/>
      <protection locked="0"/>
    </xf>
    <xf numFmtId="0" fontId="2" fillId="0" borderId="65" xfId="0" applyFont="1" applyBorder="1" applyAlignment="1" applyProtection="1">
      <alignment horizontal="center" vertical="top"/>
      <protection locked="0"/>
    </xf>
    <xf numFmtId="0" fontId="2" fillId="0" borderId="20" xfId="0" applyFont="1" applyBorder="1" applyAlignment="1" applyProtection="1">
      <alignment horizontal="center" vertical="top"/>
      <protection locked="0"/>
    </xf>
    <xf numFmtId="0" fontId="2" fillId="0" borderId="4" xfId="0" quotePrefix="1" applyFont="1" applyBorder="1" applyAlignment="1" applyProtection="1">
      <alignment horizontal="left" vertical="top" wrapText="1"/>
      <protection locked="0"/>
    </xf>
    <xf numFmtId="0" fontId="2" fillId="0" borderId="30" xfId="0" applyFont="1" applyBorder="1" applyAlignment="1" applyProtection="1">
      <alignment horizontal="center" vertical="center"/>
      <protection locked="0"/>
    </xf>
    <xf numFmtId="164" fontId="2" fillId="0" borderId="4" xfId="0" applyNumberFormat="1" applyFont="1" applyBorder="1" applyAlignment="1" applyProtection="1">
      <alignment horizontal="center" vertical="center"/>
      <protection locked="0"/>
    </xf>
    <xf numFmtId="0" fontId="2" fillId="0" borderId="4" xfId="0" applyFont="1" applyBorder="1" applyAlignment="1" applyProtection="1">
      <alignment horizontal="center" vertical="center"/>
      <protection locked="0"/>
    </xf>
    <xf numFmtId="0" fontId="2" fillId="0" borderId="37" xfId="0" applyFont="1" applyBorder="1" applyAlignment="1" applyProtection="1">
      <alignment horizontal="center" vertical="center"/>
      <protection locked="0"/>
    </xf>
    <xf numFmtId="0" fontId="2" fillId="0" borderId="19" xfId="0" applyFont="1" applyBorder="1" applyAlignment="1" applyProtection="1">
      <alignment horizontal="center" vertical="center"/>
      <protection locked="0"/>
    </xf>
    <xf numFmtId="0" fontId="2" fillId="7" borderId="4" xfId="0" applyFont="1" applyFill="1" applyBorder="1" applyAlignment="1" applyProtection="1">
      <alignment horizontal="center" vertical="center"/>
      <protection locked="0"/>
    </xf>
    <xf numFmtId="0" fontId="2" fillId="0" borderId="5" xfId="0" applyFont="1" applyBorder="1" applyAlignment="1" applyProtection="1">
      <alignment horizontal="center" vertical="center"/>
      <protection locked="0"/>
    </xf>
    <xf numFmtId="0" fontId="2" fillId="0" borderId="70" xfId="0" applyFont="1" applyBorder="1" applyProtection="1">
      <protection locked="0"/>
    </xf>
    <xf numFmtId="0" fontId="37" fillId="0" borderId="43" xfId="0" applyFont="1" applyBorder="1" applyProtection="1">
      <protection locked="0"/>
    </xf>
    <xf numFmtId="0" fontId="2" fillId="0" borderId="43" xfId="0" applyFont="1" applyBorder="1" applyAlignment="1" applyProtection="1">
      <alignment vertical="center"/>
      <protection locked="0"/>
    </xf>
    <xf numFmtId="0" fontId="22" fillId="7" borderId="60" xfId="0" applyFont="1" applyFill="1" applyBorder="1"/>
    <xf numFmtId="0" fontId="22" fillId="7" borderId="32" xfId="0" applyFont="1" applyFill="1" applyBorder="1"/>
    <xf numFmtId="0" fontId="22" fillId="7" borderId="56" xfId="0" applyFont="1" applyFill="1" applyBorder="1"/>
    <xf numFmtId="0" fontId="0" fillId="0" borderId="82" xfId="0" applyBorder="1"/>
    <xf numFmtId="0" fontId="0" fillId="0" borderId="35" xfId="0" applyBorder="1"/>
    <xf numFmtId="0" fontId="0" fillId="0" borderId="83" xfId="0" applyBorder="1"/>
    <xf numFmtId="0" fontId="0" fillId="0" borderId="34" xfId="0" applyBorder="1"/>
    <xf numFmtId="0" fontId="0" fillId="0" borderId="46" xfId="0" applyBorder="1"/>
    <xf numFmtId="0" fontId="2" fillId="0" borderId="13" xfId="0" applyFont="1" applyBorder="1" applyAlignment="1" applyProtection="1">
      <alignment horizontal="center" vertical="top"/>
      <protection locked="0"/>
    </xf>
    <xf numFmtId="14" fontId="2" fillId="0" borderId="13" xfId="0" applyNumberFormat="1" applyFont="1" applyBorder="1" applyAlignment="1" applyProtection="1">
      <alignment horizontal="center" vertical="top"/>
      <protection locked="0"/>
    </xf>
    <xf numFmtId="0" fontId="2" fillId="0" borderId="13" xfId="0" applyFont="1" applyBorder="1" applyAlignment="1" applyProtection="1">
      <alignment horizontal="center" vertical="center"/>
      <protection locked="0"/>
    </xf>
    <xf numFmtId="0" fontId="2" fillId="0" borderId="31" xfId="0" applyFont="1" applyBorder="1" applyAlignment="1" applyProtection="1">
      <alignment horizontal="center" vertical="center"/>
      <protection locked="0"/>
    </xf>
    <xf numFmtId="0" fontId="2" fillId="0" borderId="15" xfId="0" applyFont="1" applyBorder="1" applyAlignment="1" applyProtection="1">
      <alignment horizontal="center" vertical="center"/>
      <protection locked="0"/>
    </xf>
    <xf numFmtId="0" fontId="2" fillId="7" borderId="13" xfId="0" applyFont="1" applyFill="1" applyBorder="1" applyAlignment="1" applyProtection="1">
      <alignment horizontal="center" vertical="center"/>
      <protection locked="0"/>
    </xf>
    <xf numFmtId="0" fontId="2" fillId="0" borderId="14" xfId="0" applyFont="1" applyBorder="1" applyAlignment="1" applyProtection="1">
      <alignment horizontal="center" vertical="center"/>
      <protection locked="0"/>
    </xf>
    <xf numFmtId="14" fontId="2" fillId="0" borderId="21" xfId="0" applyNumberFormat="1" applyFont="1" applyBorder="1" applyAlignment="1" applyProtection="1">
      <alignment horizontal="center" vertical="top"/>
      <protection locked="0"/>
    </xf>
    <xf numFmtId="0" fontId="2" fillId="0" borderId="21" xfId="0" applyFont="1" applyBorder="1" applyAlignment="1" applyProtection="1">
      <alignment horizontal="left" vertical="top" wrapText="1"/>
      <protection locked="0"/>
    </xf>
    <xf numFmtId="14" fontId="2" fillId="0" borderId="4" xfId="0" applyNumberFormat="1" applyFont="1" applyBorder="1" applyAlignment="1" applyProtection="1">
      <alignment horizontal="center" vertical="top"/>
      <protection locked="0"/>
    </xf>
    <xf numFmtId="0" fontId="2" fillId="0" borderId="4" xfId="0" applyFont="1" applyBorder="1" applyAlignment="1" applyProtection="1">
      <alignment horizontal="left" vertical="top" wrapText="1"/>
      <protection locked="0"/>
    </xf>
    <xf numFmtId="0" fontId="38" fillId="0" borderId="24" xfId="0" applyFont="1" applyBorder="1" applyAlignment="1" applyProtection="1">
      <alignment horizontal="left" vertical="center"/>
      <protection locked="0"/>
    </xf>
    <xf numFmtId="0" fontId="43" fillId="0" borderId="43" xfId="0" applyFont="1" applyBorder="1" applyProtection="1">
      <protection locked="0"/>
    </xf>
    <xf numFmtId="0" fontId="44" fillId="0" borderId="0" xfId="0" applyFont="1" applyBorder="1" applyProtection="1">
      <protection locked="0"/>
    </xf>
    <xf numFmtId="0" fontId="2" fillId="0" borderId="61" xfId="0" applyFont="1" applyBorder="1" applyAlignment="1" applyProtection="1">
      <alignment horizontal="center" vertical="top"/>
      <protection locked="0"/>
    </xf>
    <xf numFmtId="164" fontId="2" fillId="0" borderId="21" xfId="0" applyNumberFormat="1" applyFont="1" applyBorder="1" applyAlignment="1" applyProtection="1">
      <alignment horizontal="center" vertical="top"/>
      <protection locked="0"/>
    </xf>
    <xf numFmtId="0" fontId="2" fillId="0" borderId="21" xfId="0" applyFont="1" applyBorder="1" applyAlignment="1" applyProtection="1">
      <alignment horizontal="left" vertical="top"/>
      <protection locked="0"/>
    </xf>
    <xf numFmtId="0" fontId="2" fillId="0" borderId="62" xfId="0" applyFont="1" applyBorder="1" applyAlignment="1" applyProtection="1">
      <alignment horizontal="center" vertical="top"/>
      <protection locked="0"/>
    </xf>
    <xf numFmtId="0" fontId="2" fillId="0" borderId="38" xfId="0" applyFont="1" applyBorder="1" applyAlignment="1" applyProtection="1">
      <alignment horizontal="center" vertical="top"/>
      <protection locked="0"/>
    </xf>
    <xf numFmtId="0" fontId="2" fillId="7" borderId="27" xfId="0" applyFont="1" applyFill="1" applyBorder="1" applyAlignment="1" applyProtection="1">
      <alignment horizontal="center" vertical="top"/>
      <protection locked="0"/>
    </xf>
    <xf numFmtId="0" fontId="2" fillId="0" borderId="2" xfId="0" applyFont="1" applyBorder="1" applyAlignment="1" applyProtection="1">
      <alignment horizontal="center" vertical="top"/>
      <protection locked="0"/>
    </xf>
    <xf numFmtId="0" fontId="38" fillId="0" borderId="43" xfId="0" applyFont="1" applyBorder="1" applyProtection="1">
      <protection locked="0"/>
    </xf>
    <xf numFmtId="0" fontId="2" fillId="0" borderId="27" xfId="0" applyFont="1" applyBorder="1" applyAlignment="1" applyProtection="1">
      <alignment horizontal="left" vertical="center"/>
      <protection locked="0"/>
    </xf>
    <xf numFmtId="0" fontId="37" fillId="0" borderId="24" xfId="0" applyFont="1" applyBorder="1" applyAlignment="1" applyProtection="1">
      <alignment horizontal="left" vertical="center"/>
      <protection locked="0"/>
    </xf>
    <xf numFmtId="0" fontId="37" fillId="0" borderId="24" xfId="0" applyFont="1" applyBorder="1" applyProtection="1">
      <protection locked="0"/>
    </xf>
    <xf numFmtId="0" fontId="37" fillId="0" borderId="27" xfId="0" applyFont="1" applyBorder="1" applyProtection="1">
      <protection locked="0"/>
    </xf>
    <xf numFmtId="0" fontId="37" fillId="0" borderId="6" xfId="0" applyFont="1" applyBorder="1" applyProtection="1">
      <protection locked="0"/>
    </xf>
    <xf numFmtId="0" fontId="37" fillId="0" borderId="24" xfId="0" applyFont="1" applyBorder="1" applyAlignment="1" applyProtection="1">
      <alignment vertical="center"/>
      <protection locked="0"/>
    </xf>
    <xf numFmtId="0" fontId="37" fillId="0" borderId="7" xfId="0" applyFont="1" applyBorder="1" applyAlignment="1" applyProtection="1">
      <alignment horizontal="right" vertical="center"/>
      <protection locked="0"/>
    </xf>
    <xf numFmtId="0" fontId="37" fillId="0" borderId="26" xfId="0" applyFont="1" applyBorder="1" applyProtection="1">
      <protection locked="0"/>
    </xf>
    <xf numFmtId="0" fontId="2" fillId="0" borderId="24" xfId="0" applyFont="1" applyBorder="1"/>
    <xf numFmtId="0" fontId="37" fillId="0" borderId="24" xfId="0" applyFont="1" applyBorder="1"/>
    <xf numFmtId="0" fontId="37" fillId="0" borderId="7" xfId="0" applyFont="1" applyBorder="1" applyAlignment="1" applyProtection="1">
      <alignment horizontal="center"/>
      <protection locked="0"/>
    </xf>
    <xf numFmtId="2" fontId="37" fillId="0" borderId="24" xfId="0" applyNumberFormat="1" applyFont="1" applyBorder="1" applyAlignment="1" applyProtection="1">
      <alignment horizontal="right" vertical="center"/>
      <protection locked="0"/>
    </xf>
    <xf numFmtId="0" fontId="37" fillId="0" borderId="7" xfId="0" applyFont="1" applyBorder="1" applyProtection="1">
      <protection locked="0"/>
    </xf>
    <xf numFmtId="0" fontId="2" fillId="0" borderId="30" xfId="0" applyFont="1" applyBorder="1" applyAlignment="1" applyProtection="1">
      <alignment horizontal="center" vertical="top"/>
      <protection locked="0"/>
    </xf>
    <xf numFmtId="0" fontId="2" fillId="0" borderId="28" xfId="0" applyFont="1" applyBorder="1" applyAlignment="1" applyProtection="1">
      <alignment horizontal="center" vertical="top"/>
      <protection locked="0"/>
    </xf>
    <xf numFmtId="0" fontId="2" fillId="0" borderId="84" xfId="0" applyFont="1" applyBorder="1" applyAlignment="1" applyProtection="1">
      <alignment horizontal="center" vertical="top"/>
      <protection locked="0"/>
    </xf>
    <xf numFmtId="0" fontId="2" fillId="0" borderId="8" xfId="0" applyFont="1" applyBorder="1" applyAlignment="1" applyProtection="1">
      <alignment horizontal="center" vertical="top"/>
      <protection locked="0"/>
    </xf>
    <xf numFmtId="164" fontId="2" fillId="0" borderId="24" xfId="0" applyNumberFormat="1" applyFont="1" applyBorder="1" applyAlignment="1" applyProtection="1">
      <alignment horizontal="center" vertical="top"/>
      <protection locked="0"/>
    </xf>
    <xf numFmtId="0" fontId="2" fillId="0" borderId="24" xfId="0" applyFont="1" applyBorder="1" applyAlignment="1" applyProtection="1">
      <alignment horizontal="left" vertical="top"/>
      <protection locked="0"/>
    </xf>
    <xf numFmtId="0" fontId="2" fillId="0" borderId="7" xfId="0" applyFont="1" applyBorder="1" applyAlignment="1" applyProtection="1">
      <alignment horizontal="center" vertical="top"/>
      <protection locked="0"/>
    </xf>
    <xf numFmtId="0" fontId="2" fillId="0" borderId="85" xfId="0" applyFont="1" applyBorder="1" applyAlignment="1" applyProtection="1">
      <alignment horizontal="center" vertical="top"/>
      <protection locked="0"/>
    </xf>
    <xf numFmtId="0" fontId="2" fillId="7" borderId="68" xfId="0" applyFont="1" applyFill="1" applyBorder="1" applyAlignment="1" applyProtection="1">
      <alignment horizontal="center" vertical="top"/>
      <protection locked="0"/>
    </xf>
    <xf numFmtId="0" fontId="2" fillId="0" borderId="86" xfId="0" applyFont="1" applyBorder="1" applyAlignment="1" applyProtection="1">
      <alignment horizontal="center" vertical="top"/>
      <protection locked="0"/>
    </xf>
    <xf numFmtId="164" fontId="2" fillId="0" borderId="49" xfId="0" applyNumberFormat="1" applyFont="1" applyBorder="1" applyAlignment="1" applyProtection="1">
      <alignment horizontal="center" vertical="top"/>
      <protection locked="0"/>
    </xf>
    <xf numFmtId="0" fontId="2" fillId="0" borderId="49" xfId="0" applyFont="1" applyBorder="1" applyAlignment="1" applyProtection="1">
      <alignment horizontal="left" vertical="top"/>
      <protection locked="0"/>
    </xf>
    <xf numFmtId="0" fontId="2" fillId="0" borderId="69" xfId="0" applyFont="1" applyBorder="1" applyAlignment="1" applyProtection="1">
      <alignment horizontal="center" vertical="top"/>
      <protection locked="0"/>
    </xf>
    <xf numFmtId="165" fontId="2" fillId="0" borderId="24" xfId="0" applyNumberFormat="1" applyFont="1" applyBorder="1" applyAlignment="1" applyProtection="1">
      <alignment horizontal="right" vertical="center"/>
      <protection locked="0"/>
    </xf>
    <xf numFmtId="2" fontId="2" fillId="0" borderId="24" xfId="0" applyNumberFormat="1" applyFont="1" applyBorder="1" applyAlignment="1" applyProtection="1">
      <alignment horizontal="right" vertical="center"/>
      <protection locked="0"/>
    </xf>
    <xf numFmtId="14" fontId="2" fillId="0" borderId="69" xfId="0" applyNumberFormat="1" applyFont="1" applyBorder="1" applyAlignment="1" applyProtection="1">
      <alignment horizontal="center" vertical="top"/>
      <protection locked="0"/>
    </xf>
    <xf numFmtId="0" fontId="37" fillId="16" borderId="24" xfId="0" applyFont="1" applyFill="1" applyBorder="1" applyProtection="1">
      <protection locked="0"/>
    </xf>
    <xf numFmtId="0" fontId="37" fillId="16" borderId="24" xfId="0" applyFont="1" applyFill="1" applyBorder="1" applyAlignment="1" applyProtection="1">
      <alignment horizontal="center" vertical="center"/>
      <protection locked="0"/>
    </xf>
    <xf numFmtId="0" fontId="45" fillId="0" borderId="27" xfId="0" applyFont="1" applyBorder="1" applyAlignment="1">
      <alignment horizontal="center"/>
    </xf>
    <xf numFmtId="14" fontId="2" fillId="0" borderId="27" xfId="0" applyNumberFormat="1" applyFont="1" applyBorder="1" applyAlignment="1" applyProtection="1">
      <alignment horizontal="center" vertical="top"/>
      <protection locked="0"/>
    </xf>
    <xf numFmtId="0" fontId="2" fillId="0" borderId="27" xfId="0" quotePrefix="1" applyFont="1" applyBorder="1" applyProtection="1">
      <protection locked="0"/>
    </xf>
    <xf numFmtId="0" fontId="2" fillId="0" borderId="6" xfId="0" quotePrefix="1" applyFont="1" applyBorder="1" applyProtection="1">
      <protection locked="0"/>
    </xf>
    <xf numFmtId="0" fontId="2" fillId="0" borderId="6" xfId="0" applyFont="1" applyBorder="1" applyAlignment="1" applyProtection="1">
      <alignment horizontal="center"/>
      <protection locked="0"/>
    </xf>
    <xf numFmtId="0" fontId="2" fillId="0" borderId="11" xfId="0" applyFont="1" applyBorder="1" applyAlignment="1" applyProtection="1">
      <alignment horizontal="center"/>
      <protection locked="0"/>
    </xf>
    <xf numFmtId="0" fontId="2" fillId="0" borderId="22" xfId="0" applyFont="1" applyBorder="1" applyProtection="1">
      <protection locked="0"/>
    </xf>
    <xf numFmtId="0" fontId="2" fillId="0" borderId="18" xfId="0" applyFont="1" applyBorder="1" applyProtection="1">
      <protection locked="0"/>
    </xf>
    <xf numFmtId="0" fontId="2" fillId="0" borderId="1" xfId="0" quotePrefix="1" applyFont="1" applyProtection="1">
      <protection locked="0"/>
    </xf>
    <xf numFmtId="0" fontId="2" fillId="0" borderId="25" xfId="0" quotePrefix="1" applyFont="1" applyBorder="1" applyProtection="1">
      <protection locked="0"/>
    </xf>
    <xf numFmtId="0" fontId="2" fillId="0" borderId="25" xfId="0" applyFont="1" applyBorder="1" applyProtection="1">
      <protection locked="0"/>
    </xf>
    <xf numFmtId="0" fontId="2" fillId="0" borderId="2" xfId="0" applyFont="1" applyBorder="1" applyProtection="1">
      <protection locked="0"/>
    </xf>
    <xf numFmtId="0" fontId="2" fillId="0" borderId="23" xfId="0" applyFont="1" applyBorder="1" applyAlignment="1" applyProtection="1">
      <alignment horizontal="center"/>
      <protection locked="0"/>
    </xf>
    <xf numFmtId="0" fontId="2" fillId="0" borderId="25" xfId="0" applyFont="1" applyBorder="1" applyAlignment="1" applyProtection="1">
      <alignment wrapText="1"/>
      <protection locked="0"/>
    </xf>
    <xf numFmtId="0" fontId="2" fillId="0" borderId="2" xfId="0" applyFont="1" applyBorder="1" applyAlignment="1" applyProtection="1">
      <alignment wrapText="1"/>
      <protection locked="0"/>
    </xf>
    <xf numFmtId="0" fontId="2" fillId="0" borderId="25" xfId="0" applyFont="1" applyBorder="1" applyAlignment="1" applyProtection="1">
      <alignment horizontal="center"/>
      <protection locked="0"/>
    </xf>
    <xf numFmtId="0" fontId="2" fillId="0" borderId="27" xfId="0" applyFont="1" applyBorder="1" applyAlignment="1" applyProtection="1">
      <alignment vertical="center"/>
      <protection locked="0"/>
    </xf>
    <xf numFmtId="0" fontId="2" fillId="0" borderId="27" xfId="0" applyFont="1" applyBorder="1" applyAlignment="1" applyProtection="1">
      <alignment horizontal="right" vertical="center"/>
      <protection locked="0"/>
    </xf>
    <xf numFmtId="0" fontId="2" fillId="0" borderId="25" xfId="0" applyFont="1" applyBorder="1" applyAlignment="1" applyProtection="1">
      <alignment horizontal="right" vertical="center"/>
      <protection locked="0"/>
    </xf>
    <xf numFmtId="0" fontId="2" fillId="0" borderId="27" xfId="0" applyFont="1" applyBorder="1"/>
    <xf numFmtId="0" fontId="37" fillId="0" borderId="6" xfId="0" applyFont="1" applyBorder="1"/>
    <xf numFmtId="0" fontId="37" fillId="0" borderId="1" xfId="0" applyFont="1" applyProtection="1">
      <protection locked="0"/>
    </xf>
    <xf numFmtId="0" fontId="37" fillId="0" borderId="27" xfId="0" applyFont="1" applyBorder="1" applyAlignment="1" applyProtection="1">
      <alignment horizontal="left" vertical="center"/>
      <protection locked="0"/>
    </xf>
    <xf numFmtId="0" fontId="37" fillId="0" borderId="27" xfId="0" applyFont="1" applyBorder="1" applyAlignment="1" applyProtection="1">
      <alignment horizontal="center" vertical="center"/>
      <protection locked="0"/>
    </xf>
    <xf numFmtId="0" fontId="37" fillId="0" borderId="25" xfId="0" applyFont="1" applyBorder="1" applyAlignment="1" applyProtection="1">
      <alignment horizontal="center"/>
      <protection locked="0"/>
    </xf>
    <xf numFmtId="0" fontId="37" fillId="0" borderId="27" xfId="0" applyFont="1" applyBorder="1" applyAlignment="1" applyProtection="1">
      <alignment vertical="center"/>
      <protection locked="0"/>
    </xf>
    <xf numFmtId="0" fontId="37" fillId="0" borderId="27" xfId="0" applyFont="1" applyBorder="1" applyAlignment="1" applyProtection="1">
      <alignment horizontal="right" vertical="center"/>
      <protection locked="0"/>
    </xf>
    <xf numFmtId="0" fontId="37" fillId="0" borderId="25" xfId="0" applyFont="1" applyBorder="1" applyAlignment="1" applyProtection="1">
      <alignment horizontal="right" vertical="center"/>
      <protection locked="0"/>
    </xf>
    <xf numFmtId="0" fontId="37" fillId="0" borderId="25" xfId="0" applyFont="1" applyBorder="1" applyProtection="1">
      <protection locked="0"/>
    </xf>
    <xf numFmtId="0" fontId="37" fillId="0" borderId="2" xfId="0" applyFont="1" applyBorder="1" applyProtection="1">
      <protection locked="0"/>
    </xf>
    <xf numFmtId="0" fontId="2" fillId="0" borderId="7" xfId="0" applyFont="1" applyBorder="1" applyAlignment="1" applyProtection="1">
      <alignment wrapText="1"/>
      <protection locked="0"/>
    </xf>
    <xf numFmtId="165" fontId="37" fillId="0" borderId="24" xfId="0" applyNumberFormat="1" applyFont="1" applyBorder="1" applyAlignment="1" applyProtection="1">
      <alignment horizontal="right" vertical="center"/>
      <protection locked="0"/>
    </xf>
    <xf numFmtId="0" fontId="2" fillId="0" borderId="27" xfId="0" applyFont="1" applyBorder="1" applyAlignment="1" applyProtection="1">
      <alignment horizontal="center"/>
      <protection locked="0"/>
    </xf>
    <xf numFmtId="1" fontId="2" fillId="0" borderId="24" xfId="0" applyNumberFormat="1" applyFont="1" applyBorder="1" applyAlignment="1" applyProtection="1">
      <alignment horizontal="right" vertical="center"/>
      <protection locked="0"/>
    </xf>
    <xf numFmtId="0" fontId="37" fillId="0" borderId="24" xfId="0" applyFont="1" applyBorder="1" applyAlignment="1" applyProtection="1">
      <alignment horizontal="right" vertical="center"/>
      <protection locked="0"/>
    </xf>
    <xf numFmtId="0" fontId="2" fillId="0" borderId="7" xfId="0" quotePrefix="1" applyFont="1" applyBorder="1" applyAlignment="1" applyProtection="1">
      <alignment wrapText="1"/>
      <protection locked="0"/>
    </xf>
    <xf numFmtId="0" fontId="37" fillId="0" borderId="27" xfId="0" applyFont="1" applyBorder="1"/>
    <xf numFmtId="0" fontId="37" fillId="0" borderId="11" xfId="0" applyFont="1" applyBorder="1" applyAlignment="1" applyProtection="1">
      <alignment horizontal="center"/>
      <protection locked="0"/>
    </xf>
    <xf numFmtId="0" fontId="37" fillId="0" borderId="7" xfId="0" applyFont="1" applyBorder="1" applyAlignment="1" applyProtection="1">
      <alignment wrapText="1"/>
      <protection locked="0"/>
    </xf>
    <xf numFmtId="0" fontId="2" fillId="0" borderId="2" xfId="0" applyFont="1" applyBorder="1" applyAlignment="1">
      <alignment vertical="center" wrapText="1"/>
    </xf>
    <xf numFmtId="0" fontId="2" fillId="0" borderId="26" xfId="0" applyFont="1" applyBorder="1" applyAlignment="1" applyProtection="1">
      <alignment vertical="center"/>
      <protection locked="0"/>
    </xf>
    <xf numFmtId="0" fontId="2" fillId="0" borderId="24" xfId="0" applyFont="1" applyBorder="1" applyAlignment="1" applyProtection="1">
      <alignment horizontal="left" vertical="center" wrapText="1"/>
      <protection locked="0"/>
    </xf>
    <xf numFmtId="166" fontId="2" fillId="0" borderId="24" xfId="0" applyNumberFormat="1" applyFont="1" applyBorder="1" applyAlignment="1" applyProtection="1">
      <alignment horizontal="right" vertical="center"/>
      <protection locked="0"/>
    </xf>
    <xf numFmtId="167" fontId="2" fillId="0" borderId="24" xfId="0" applyNumberFormat="1" applyFont="1" applyBorder="1" applyAlignment="1" applyProtection="1">
      <alignment horizontal="right" vertical="center"/>
      <protection locked="0"/>
    </xf>
    <xf numFmtId="0" fontId="2" fillId="0" borderId="2" xfId="0" applyFont="1" applyBorder="1" applyAlignment="1" applyProtection="1">
      <alignment horizontal="center"/>
      <protection locked="0"/>
    </xf>
    <xf numFmtId="0" fontId="2" fillId="0" borderId="69" xfId="0" applyFont="1" applyBorder="1" applyAlignment="1" applyProtection="1">
      <alignment horizontal="center" vertical="top"/>
      <protection locked="0"/>
    </xf>
    <xf numFmtId="0" fontId="2" fillId="0" borderId="82" xfId="0" applyFont="1" applyBorder="1" applyAlignment="1" applyProtection="1">
      <alignment horizontal="center" vertical="top"/>
      <protection locked="0"/>
    </xf>
    <xf numFmtId="0" fontId="2" fillId="0" borderId="83" xfId="0" applyFont="1" applyBorder="1" applyAlignment="1" applyProtection="1">
      <alignment horizontal="center" vertical="top"/>
      <protection locked="0"/>
    </xf>
    <xf numFmtId="0" fontId="2" fillId="0" borderId="47" xfId="0" applyFont="1" applyBorder="1" applyAlignment="1" applyProtection="1">
      <alignment horizontal="center" vertical="center"/>
      <protection locked="0"/>
    </xf>
    <xf numFmtId="0" fontId="2" fillId="0" borderId="63" xfId="0" applyFont="1" applyBorder="1" applyAlignment="1" applyProtection="1">
      <alignment horizontal="center" vertical="center"/>
      <protection locked="0"/>
    </xf>
    <xf numFmtId="0" fontId="2" fillId="0" borderId="21" xfId="0" applyFont="1" applyBorder="1" applyAlignment="1" applyProtection="1">
      <alignment horizontal="center" vertical="center"/>
      <protection locked="0"/>
    </xf>
    <xf numFmtId="0" fontId="2" fillId="0" borderId="49" xfId="0" applyFont="1" applyBorder="1" applyAlignment="1" applyProtection="1">
      <alignment horizontal="center" vertical="center"/>
      <protection locked="0"/>
    </xf>
    <xf numFmtId="0" fontId="16" fillId="2" borderId="40" xfId="0" applyFont="1" applyFill="1" applyBorder="1" applyAlignment="1" applyProtection="1">
      <alignment horizontal="center" vertical="center"/>
      <protection locked="0"/>
    </xf>
    <xf numFmtId="0" fontId="16" fillId="2" borderId="41" xfId="0" applyFont="1" applyFill="1" applyBorder="1" applyAlignment="1" applyProtection="1">
      <alignment horizontal="center" vertical="center"/>
      <protection locked="0"/>
    </xf>
    <xf numFmtId="0" fontId="16" fillId="2" borderId="62" xfId="0" applyFont="1" applyFill="1" applyBorder="1" applyAlignment="1" applyProtection="1">
      <alignment horizontal="center" vertical="center" wrapText="1"/>
      <protection locked="0"/>
    </xf>
    <xf numFmtId="0" fontId="16" fillId="2" borderId="65" xfId="0" applyFont="1" applyFill="1" applyBorder="1" applyAlignment="1" applyProtection="1">
      <alignment horizontal="center" vertical="center" wrapText="1"/>
      <protection locked="0"/>
    </xf>
    <xf numFmtId="0" fontId="16" fillId="2" borderId="47" xfId="0" applyFont="1" applyFill="1" applyBorder="1" applyAlignment="1" applyProtection="1">
      <alignment horizontal="center" vertical="center" wrapText="1"/>
      <protection locked="0"/>
    </xf>
    <xf numFmtId="0" fontId="16" fillId="2" borderId="63" xfId="0" applyFont="1" applyFill="1" applyBorder="1" applyAlignment="1" applyProtection="1">
      <alignment horizontal="center" vertical="center"/>
      <protection locked="0"/>
    </xf>
    <xf numFmtId="0" fontId="16" fillId="2" borderId="61" xfId="0" applyFont="1" applyFill="1" applyBorder="1" applyAlignment="1" applyProtection="1">
      <alignment horizontal="center" vertical="center" wrapText="1"/>
      <protection locked="0"/>
    </xf>
    <xf numFmtId="0" fontId="16" fillId="2" borderId="64" xfId="0" applyFont="1" applyFill="1" applyBorder="1" applyAlignment="1" applyProtection="1">
      <alignment horizontal="center" vertical="center"/>
      <protection locked="0"/>
    </xf>
    <xf numFmtId="164" fontId="16" fillId="2" borderId="21" xfId="0" applyNumberFormat="1" applyFont="1" applyFill="1" applyBorder="1" applyAlignment="1" applyProtection="1">
      <alignment horizontal="center" vertical="center" wrapText="1"/>
      <protection locked="0"/>
    </xf>
    <xf numFmtId="164" fontId="16" fillId="2" borderId="51" xfId="0" applyNumberFormat="1" applyFont="1" applyFill="1" applyBorder="1" applyAlignment="1" applyProtection="1">
      <alignment horizontal="center" vertical="center"/>
      <protection locked="0"/>
    </xf>
    <xf numFmtId="0" fontId="16" fillId="2" borderId="21" xfId="0" applyFont="1" applyFill="1" applyBorder="1" applyAlignment="1" applyProtection="1">
      <alignment horizontal="center" vertical="center" wrapText="1"/>
      <protection locked="0"/>
    </xf>
    <xf numFmtId="0" fontId="16" fillId="2" borderId="51" xfId="0" applyFont="1" applyFill="1" applyBorder="1" applyAlignment="1" applyProtection="1">
      <alignment horizontal="center" vertical="center"/>
      <protection locked="0"/>
    </xf>
    <xf numFmtId="0" fontId="2" fillId="0" borderId="67" xfId="0" applyFont="1" applyBorder="1" applyAlignment="1" applyProtection="1">
      <alignment horizontal="center" vertical="center"/>
      <protection locked="0"/>
    </xf>
    <xf numFmtId="0" fontId="2" fillId="7" borderId="21" xfId="0" applyFont="1" applyFill="1" applyBorder="1" applyAlignment="1" applyProtection="1">
      <alignment horizontal="center" vertical="center"/>
      <protection locked="0"/>
    </xf>
    <xf numFmtId="0" fontId="2" fillId="7" borderId="51" xfId="0" applyFont="1" applyFill="1" applyBorder="1" applyAlignment="1" applyProtection="1">
      <alignment horizontal="center" vertical="center"/>
      <protection locked="0"/>
    </xf>
    <xf numFmtId="0" fontId="2" fillId="0" borderId="51" xfId="0" applyFont="1" applyBorder="1" applyAlignment="1" applyProtection="1">
      <alignment horizontal="center" vertical="center"/>
      <protection locked="0"/>
    </xf>
    <xf numFmtId="0" fontId="2" fillId="0" borderId="39" xfId="0" applyFont="1" applyBorder="1" applyAlignment="1" applyProtection="1">
      <alignment horizontal="center" vertical="center"/>
      <protection locked="0"/>
    </xf>
    <xf numFmtId="0" fontId="2" fillId="0" borderId="52" xfId="0" applyFont="1" applyBorder="1" applyAlignment="1" applyProtection="1">
      <alignment horizontal="center" vertical="center"/>
      <protection locked="0"/>
    </xf>
    <xf numFmtId="0" fontId="2" fillId="0" borderId="38" xfId="0" applyFont="1" applyBorder="1" applyAlignment="1" applyProtection="1">
      <alignment horizontal="center" vertical="center"/>
      <protection locked="0"/>
    </xf>
    <xf numFmtId="0" fontId="2" fillId="0" borderId="50" xfId="0" applyFont="1" applyBorder="1" applyAlignment="1" applyProtection="1">
      <alignment horizontal="center" vertical="center"/>
      <protection locked="0"/>
    </xf>
    <xf numFmtId="0" fontId="36" fillId="13" borderId="7" xfId="0" applyFont="1" applyFill="1" applyBorder="1" applyAlignment="1">
      <alignment horizontal="left" vertical="center"/>
    </xf>
    <xf numFmtId="0" fontId="36" fillId="13" borderId="68" xfId="0" applyFont="1" applyFill="1" applyBorder="1" applyAlignment="1">
      <alignment horizontal="left" vertical="center"/>
    </xf>
    <xf numFmtId="0" fontId="36" fillId="13" borderId="8" xfId="0" applyFont="1" applyFill="1" applyBorder="1" applyAlignment="1">
      <alignment horizontal="left" vertical="center"/>
    </xf>
    <xf numFmtId="0" fontId="36" fillId="13" borderId="9" xfId="0" applyFont="1" applyFill="1" applyBorder="1" applyAlignment="1">
      <alignment horizontal="left" vertical="center"/>
    </xf>
    <xf numFmtId="0" fontId="36" fillId="13" borderId="0" xfId="0" applyFont="1" applyFill="1" applyBorder="1" applyAlignment="1">
      <alignment horizontal="left" vertical="center"/>
    </xf>
    <xf numFmtId="0" fontId="36" fillId="13" borderId="10" xfId="0" applyFont="1" applyFill="1" applyBorder="1" applyAlignment="1">
      <alignment horizontal="left" vertical="center"/>
    </xf>
    <xf numFmtId="0" fontId="36" fillId="13" borderId="7" xfId="0" applyFont="1" applyFill="1" applyBorder="1" applyAlignment="1">
      <alignment horizontal="left" vertical="top"/>
    </xf>
    <xf numFmtId="0" fontId="36" fillId="13" borderId="68" xfId="0" applyFont="1" applyFill="1" applyBorder="1" applyAlignment="1">
      <alignment horizontal="left" vertical="top"/>
    </xf>
    <xf numFmtId="0" fontId="36" fillId="13" borderId="8" xfId="0" applyFont="1" applyFill="1" applyBorder="1" applyAlignment="1">
      <alignment horizontal="left" vertical="top"/>
    </xf>
    <xf numFmtId="0" fontId="36" fillId="13" borderId="11" xfId="0" applyFont="1" applyFill="1" applyBorder="1" applyAlignment="1">
      <alignment horizontal="left" vertical="top"/>
    </xf>
    <xf numFmtId="0" fontId="36" fillId="13" borderId="79" xfId="0" applyFont="1" applyFill="1" applyBorder="1" applyAlignment="1">
      <alignment horizontal="left" vertical="top"/>
    </xf>
    <xf numFmtId="0" fontId="36" fillId="13" borderId="12" xfId="0" applyFont="1" applyFill="1" applyBorder="1" applyAlignment="1">
      <alignment horizontal="left" vertical="top"/>
    </xf>
  </cellXfs>
  <cellStyles count="50">
    <cellStyle name="Berekening" xfId="1" builtinId="22"/>
    <cellStyle name="Normal 2" xfId="2" xr:uid="{FD3F2BF5-14DD-4296-8BD7-61DC9B58F5EA}"/>
    <cellStyle name="Normal 2 2" xfId="6" xr:uid="{E159F93C-BA5A-45EC-A5BC-910E167A7B42}"/>
    <cellStyle name="Normal 2 3" xfId="49" xr:uid="{9591E000-F7D1-44B5-ABA3-34B802B81E05}"/>
    <cellStyle name="Normal 2 4" xfId="4" xr:uid="{00000000-0005-0000-0000-000002000000}"/>
    <cellStyle name="Normal 3" xfId="5" xr:uid="{B0D55F05-DB56-482B-8931-E9AB698F480B}"/>
    <cellStyle name="Standaard" xfId="0" builtinId="0"/>
    <cellStyle name="Standaard 2" xfId="47" xr:uid="{7111800C-2F6C-44E2-AD65-DB22DD402F23}"/>
    <cellStyle name="Standaard 3" xfId="48" xr:uid="{D574A700-F0D1-4BCB-AD42-AC8F17193E12}"/>
    <cellStyle name="Standard 2" xfId="3" xr:uid="{00000000-0005-0000-0000-000037000000}"/>
    <cellStyle name="Standard 24 2 2" xfId="11" xr:uid="{53A34758-0FB7-48AB-A8F5-FDBF089A4D49}"/>
    <cellStyle name="Standard 3 14" xfId="15" xr:uid="{92E56B26-BCFD-4038-9BD1-FB518773D79B}"/>
    <cellStyle name="Standard 33" xfId="7" xr:uid="{D8C21093-3724-47CC-B0C4-A47806554744}"/>
    <cellStyle name="Standard 38" xfId="12" xr:uid="{8F1DAA5A-FE1D-493C-BE63-ACEB76EE1AAB}"/>
    <cellStyle name="Standard 39" xfId="13" xr:uid="{05F23C0E-DCA6-4FFD-9444-55CE4AF3987E}"/>
    <cellStyle name="Standard 40" xfId="14" xr:uid="{CACD3DF9-F62C-4484-B7E9-4243A67459A6}"/>
    <cellStyle name="Standard 41" xfId="26" xr:uid="{48110E06-FDF4-473A-8009-BBE4F5256B58}"/>
    <cellStyle name="Standard 42" xfId="40" xr:uid="{0FEE7856-4F34-4226-A429-A53BD0E7C7BA}"/>
    <cellStyle name="Standard 43" xfId="16" xr:uid="{FD669483-3FBF-4898-9060-0F4DF02806C2}"/>
    <cellStyle name="Standard 44" xfId="27" xr:uid="{E04BD277-72A4-4F3F-823E-DB6C4BB3B6DB}"/>
    <cellStyle name="Standard 45" xfId="41" xr:uid="{6E6D451D-ACC0-4914-86C6-D4B4CA52E616}"/>
    <cellStyle name="Standard 46" xfId="17" xr:uid="{CE583D3A-EC4E-4382-971B-48837B882201}"/>
    <cellStyle name="Standard 47" xfId="18" xr:uid="{F98266C0-087D-4EA8-A971-9FEECA95A3E0}"/>
    <cellStyle name="Standard 48" xfId="19" xr:uid="{301DDD24-F7F4-4DC2-9F71-9246C3460224}"/>
    <cellStyle name="Standard 49" xfId="28" xr:uid="{4F65298E-E9D7-4F1D-8348-4AA7BD012089}"/>
    <cellStyle name="Standard 50" xfId="29" xr:uid="{19CFBC5C-96A3-4945-96CF-9214884ACCAA}"/>
    <cellStyle name="Standard 51" xfId="8" xr:uid="{B7A4089C-66B2-46B1-92DD-A64BC890EF9C}"/>
    <cellStyle name="Standard 52" xfId="9" xr:uid="{B5E8021A-15F0-4643-871B-B6CFE6CCB62D}"/>
    <cellStyle name="Standard 53" xfId="10" xr:uid="{46F65080-240A-4918-88A3-5C2E34E231FB}"/>
    <cellStyle name="Standard 54" xfId="39" xr:uid="{CAC123EB-A01D-4FB7-9233-4F8CF07ABA57}"/>
    <cellStyle name="Standard 55" xfId="20" xr:uid="{4694F064-6748-47DC-BCA0-B2BFE0819EAF}"/>
    <cellStyle name="Standard 56" xfId="21" xr:uid="{C93991E2-ACF9-4757-B3BF-2A8FB436287A}"/>
    <cellStyle name="Standard 57" xfId="22" xr:uid="{076E6CA8-499D-4333-98D7-FC45F252F3AB}"/>
    <cellStyle name="Standard 60" xfId="23" xr:uid="{A8FB0D84-71EC-4D90-A418-864F991A99B2}"/>
    <cellStyle name="Standard 62" xfId="32" xr:uid="{714AAB06-8F5C-40C2-98D7-136EECA694A1}"/>
    <cellStyle name="Standard 63" xfId="33" xr:uid="{44E2671B-57D2-4140-8515-405B73FB3FE5}"/>
    <cellStyle name="Standard 64" xfId="34" xr:uid="{640F3707-7E9E-49A3-89A2-040DA61DFD86}"/>
    <cellStyle name="Standard 65" xfId="30" xr:uid="{FA3650BB-3673-47EA-B667-60DFCCB87A5B}"/>
    <cellStyle name="Standard 65 4" xfId="45" xr:uid="{58F7FDB6-68E9-4C8A-8D02-2715F9A89EB6}"/>
    <cellStyle name="Standard 66" xfId="42" xr:uid="{66A7081C-F5F3-4A10-A3F5-039A00DB35CF}"/>
    <cellStyle name="Standard 67" xfId="35" xr:uid="{3F052D0D-1933-4404-9B7D-EF17C2585EAA}"/>
    <cellStyle name="Standard 68" xfId="36" xr:uid="{A8EF55E7-B319-4392-A460-C980FE38BA92}"/>
    <cellStyle name="Standard 68 2" xfId="43" xr:uid="{1BC17DC5-DC19-4E35-90D7-CB02D10A2836}"/>
    <cellStyle name="Standard 69" xfId="37" xr:uid="{568282CC-8238-4BAC-A6D2-18693E1F2AE2}"/>
    <cellStyle name="Standard 70" xfId="38" xr:uid="{505330F0-307E-4CEA-98D3-E2828DBF8817}"/>
    <cellStyle name="Standard 72 6" xfId="46" xr:uid="{71DA82EC-8AB4-43C2-8453-6CFBF4522B38}"/>
    <cellStyle name="Standard 75" xfId="44" xr:uid="{3ABF2860-E284-46FC-AA99-A6E2E9193F58}"/>
    <cellStyle name="Standard 76" xfId="24" xr:uid="{B7847F10-8DDB-49F6-8610-1CF9F58F2B3A}"/>
    <cellStyle name="Standard 77" xfId="31" xr:uid="{0050A657-F78C-4258-9CFD-F7786B15D0BB}"/>
    <cellStyle name="Standard 78" xfId="25" xr:uid="{2BDC2310-FBE5-4347-A6E7-EA6F847EFFE2}"/>
  </cellStyles>
  <dxfs count="6">
    <dxf>
      <font>
        <color theme="0" tint="-0.34998626667073579"/>
      </font>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3399"/>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20-EC42-11CE-9E0D-00AA006002F3}"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1</xdr:row>
          <xdr:rowOff>0</xdr:rowOff>
        </xdr:from>
        <xdr:to>
          <xdr:col>7</xdr:col>
          <xdr:colOff>1441450</xdr:colOff>
          <xdr:row>2</xdr:row>
          <xdr:rowOff>165100</xdr:rowOff>
        </xdr:to>
        <xdr:sp macro="" textlink="">
          <xdr:nvSpPr>
            <xdr:cNvPr id="1216" name="cmdGenerateRMSimport" hidden="1">
              <a:extLst>
                <a:ext uri="{63B3BB69-23CF-44E3-9099-C40C66FF867C}">
                  <a14:compatExt spid="_x0000_s1216"/>
                </a:ext>
                <a:ext uri="{FF2B5EF4-FFF2-40B4-BE49-F238E27FC236}">
                  <a16:creationId xmlns:a16="http://schemas.microsoft.com/office/drawing/2014/main" id="{00000000-0008-0000-0100-0000C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133350</xdr:colOff>
          <xdr:row>0</xdr:row>
          <xdr:rowOff>31750</xdr:rowOff>
        </xdr:from>
        <xdr:to>
          <xdr:col>5</xdr:col>
          <xdr:colOff>2108200</xdr:colOff>
          <xdr:row>0</xdr:row>
          <xdr:rowOff>450850</xdr:rowOff>
        </xdr:to>
        <xdr:sp macro="" textlink="">
          <xdr:nvSpPr>
            <xdr:cNvPr id="1225" name="Visual" hidden="1">
              <a:extLst>
                <a:ext uri="{63B3BB69-23CF-44E3-9099-C40C66FF867C}">
                  <a14:compatExt spid="_x0000_s1225"/>
                </a:ext>
                <a:ext uri="{FF2B5EF4-FFF2-40B4-BE49-F238E27FC236}">
                  <a16:creationId xmlns:a16="http://schemas.microsoft.com/office/drawing/2014/main" id="{00000000-0008-0000-0100-0000C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2247900</xdr:colOff>
          <xdr:row>0</xdr:row>
          <xdr:rowOff>107950</xdr:rowOff>
        </xdr:from>
        <xdr:to>
          <xdr:col>5</xdr:col>
          <xdr:colOff>3276600</xdr:colOff>
          <xdr:row>0</xdr:row>
          <xdr:rowOff>412750</xdr:rowOff>
        </xdr:to>
        <xdr:sp macro="" textlink="">
          <xdr:nvSpPr>
            <xdr:cNvPr id="1234" name="Button 210" hidden="1">
              <a:extLst>
                <a:ext uri="{63B3BB69-23CF-44E3-9099-C40C66FF867C}">
                  <a14:compatExt spid="_x0000_s1234"/>
                </a:ext>
                <a:ext uri="{FF2B5EF4-FFF2-40B4-BE49-F238E27FC236}">
                  <a16:creationId xmlns:a16="http://schemas.microsoft.com/office/drawing/2014/main" id="{00000000-0008-0000-0100-0000D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BE" sz="800" b="1" i="0" u="none" strike="noStrike" baseline="0">
                  <a:solidFill>
                    <a:srgbClr val="000000"/>
                  </a:solidFill>
                  <a:latin typeface="Arial"/>
                  <a:cs typeface="Arial"/>
                </a:rPr>
                <a:t>New Version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3429000</xdr:colOff>
          <xdr:row>0</xdr:row>
          <xdr:rowOff>107950</xdr:rowOff>
        </xdr:from>
        <xdr:to>
          <xdr:col>6</xdr:col>
          <xdr:colOff>69850</xdr:colOff>
          <xdr:row>0</xdr:row>
          <xdr:rowOff>412750</xdr:rowOff>
        </xdr:to>
        <xdr:sp macro="" textlink="">
          <xdr:nvSpPr>
            <xdr:cNvPr id="1235" name="Button 211" hidden="1">
              <a:extLst>
                <a:ext uri="{63B3BB69-23CF-44E3-9099-C40C66FF867C}">
                  <a14:compatExt spid="_x0000_s1235"/>
                </a:ext>
                <a:ext uri="{FF2B5EF4-FFF2-40B4-BE49-F238E27FC236}">
                  <a16:creationId xmlns:a16="http://schemas.microsoft.com/office/drawing/2014/main" id="{00000000-0008-0000-0100-0000D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BE" sz="800" b="1" i="0" u="none" strike="noStrike" baseline="0">
                  <a:solidFill>
                    <a:srgbClr val="000000"/>
                  </a:solidFill>
                  <a:latin typeface="Arial"/>
                  <a:cs typeface="Arial"/>
                </a:rPr>
                <a:t>Remove Layout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319</xdr:row>
          <xdr:rowOff>0</xdr:rowOff>
        </xdr:from>
        <xdr:to>
          <xdr:col>33</xdr:col>
          <xdr:colOff>476250</xdr:colOff>
          <xdr:row>328</xdr:row>
          <xdr:rowOff>0</xdr:rowOff>
        </xdr:to>
        <xdr:sp macro="" textlink="">
          <xdr:nvSpPr>
            <xdr:cNvPr id="1372" name="ListBoxAuthorization" hidden="1">
              <a:extLst>
                <a:ext uri="{63B3BB69-23CF-44E3-9099-C40C66FF867C}">
                  <a14:compatExt spid="_x0000_s1372"/>
                </a:ext>
                <a:ext uri="{FF2B5EF4-FFF2-40B4-BE49-F238E27FC236}">
                  <a16:creationId xmlns:a16="http://schemas.microsoft.com/office/drawing/2014/main" id="{00000000-0008-0000-0100-00005C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1403350</xdr:colOff>
          <xdr:row>0</xdr:row>
          <xdr:rowOff>107950</xdr:rowOff>
        </xdr:from>
        <xdr:to>
          <xdr:col>7</xdr:col>
          <xdr:colOff>3155950</xdr:colOff>
          <xdr:row>0</xdr:row>
          <xdr:rowOff>419100</xdr:rowOff>
        </xdr:to>
        <xdr:sp macro="" textlink="">
          <xdr:nvSpPr>
            <xdr:cNvPr id="4097" name="cmdGenerateRMSimport"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69850</xdr:colOff>
          <xdr:row>0</xdr:row>
          <xdr:rowOff>31750</xdr:rowOff>
        </xdr:from>
        <xdr:to>
          <xdr:col>6</xdr:col>
          <xdr:colOff>647700</xdr:colOff>
          <xdr:row>0</xdr:row>
          <xdr:rowOff>450850</xdr:rowOff>
        </xdr:to>
        <xdr:sp macro="" textlink="">
          <xdr:nvSpPr>
            <xdr:cNvPr id="4103" name="Visual"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876300</xdr:colOff>
          <xdr:row>0</xdr:row>
          <xdr:rowOff>76200</xdr:rowOff>
        </xdr:from>
        <xdr:to>
          <xdr:col>7</xdr:col>
          <xdr:colOff>69850</xdr:colOff>
          <xdr:row>0</xdr:row>
          <xdr:rowOff>412750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BE" sz="800" b="1" i="0" u="none" strike="noStrike" baseline="0">
                  <a:solidFill>
                    <a:srgbClr val="000000"/>
                  </a:solidFill>
                  <a:latin typeface="Arial"/>
                  <a:cs typeface="Arial"/>
                </a:rPr>
                <a:t>New Version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222250</xdr:colOff>
          <xdr:row>0</xdr:row>
          <xdr:rowOff>76200</xdr:rowOff>
        </xdr:from>
        <xdr:to>
          <xdr:col>7</xdr:col>
          <xdr:colOff>1250950</xdr:colOff>
          <xdr:row>0</xdr:row>
          <xdr:rowOff>412750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BE" sz="800" b="1" i="0" u="none" strike="noStrike" baseline="0">
                  <a:solidFill>
                    <a:srgbClr val="000000"/>
                  </a:solidFill>
                  <a:latin typeface="Arial"/>
                  <a:cs typeface="Arial"/>
                </a:rPr>
                <a:t>Remove Layout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755650</xdr:colOff>
          <xdr:row>0</xdr:row>
          <xdr:rowOff>69850</xdr:rowOff>
        </xdr:from>
        <xdr:to>
          <xdr:col>2</xdr:col>
          <xdr:colOff>2508250</xdr:colOff>
          <xdr:row>2</xdr:row>
          <xdr:rowOff>0</xdr:rowOff>
        </xdr:to>
        <xdr:sp macro="" textlink="">
          <xdr:nvSpPr>
            <xdr:cNvPr id="5121" name="cmdGenerateRMSimport"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person displayName="Fransen, Elke" id="{FD48C47C-6BA1-431B-85BA-869174B8B6A7}" userId="Fransen, Elke" providerId="None"/>
  <person displayName="Sels, Guy" id="{1EC24261-4370-4A02-84B3-ED67A915EBAA}" userId="S::SELSG@pfizer.com::0178ea7e-49c0-43fc-acfd-02b465ba6355" providerId="AD"/>
  <person displayName="Paelinck, Mathieu" id="{F5541CAA-EF88-42E6-A3EE-034E146DBA57}" userId="S::PAELIM@pfizer.com::dca4b19f-cd8d-4d3f-b2f5-b99ceee3a74a" providerId="AD"/>
  <person displayName="Van Rompaey, Marnix" id="{CE0EAB49-2BAA-4329-B1D3-752DB8F52A61}" userId="S::VANROM02@pfizer.com::1941116f-b7f2-4f8f-aa91-2eff76e17ff0"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T3" dT="2022-05-24T20:02:14.90" personId="{FD48C47C-6BA1-431B-85BA-869174B8B6A7}" id="{9C9FA1FE-0A46-4982-B250-3FBBAA03EF1A}">
    <text>All fields marked in pink: Is it really necessary to interlock these while the line is running? If so, why?</text>
  </threadedComment>
  <threadedComment ref="I52" dT="2022-07-29T12:41:24.47" personId="{CE0EAB49-2BAA-4329-B1D3-752DB8F52A61}" id="{40419744-6FBA-45A5-A305-41B5E0489D84}">
    <text>This should be DBD instead of DBB? Format is a real.</text>
  </threadedComment>
  <threadedComment ref="AF52" dT="2022-07-14T08:01:49.03" personId="{CE0EAB49-2BAA-4329-B1D3-752DB8F52A61}" id="{C7AA3694-79FE-4360-ACEC-67989876376F}">
    <text>Range Min./Max. should be from 345-5°! Is this possible?</text>
  </threadedComment>
  <threadedComment ref="G55" dT="2022-05-24T18:16:49.52" personId="{FD48C47C-6BA1-431B-85BA-869174B8B6A7}" id="{EBAA944E-020B-4DC3-A1CC-7C162DFE3555}">
    <text>Change naming of parameter as discussed during visit to B&amp;S</text>
  </threadedComment>
  <threadedComment ref="F66" dT="2022-07-28T13:04:49.11" personId="{FD48C47C-6BA1-431B-85BA-869174B8B6A7}" id="{67FDCD23-8E63-4C00-AC00-630B3B33A08D}">
    <text>Bag can be removed as it is not valid for this line</text>
  </threadedComment>
  <threadedComment ref="AG71" dT="2022-07-28T13:21:35.89" personId="{FD48C47C-6BA1-431B-85BA-869174B8B6A7}" id="{80342674-108C-4606-A7DE-68B2618DB70A}">
    <text>Should be higher than 100. Please set equal to 30000</text>
  </threadedComment>
  <threadedComment ref="K72" dT="2022-07-29T12:42:33.52" personId="{CE0EAB49-2BAA-4329-B1D3-752DB8F52A61}" id="{A886844B-D675-4700-8F65-E5864103BCA2}">
    <text>This cell was empty. Please doublecheck</text>
  </threadedComment>
  <threadedComment ref="H90" dT="2022-09-16T09:57:38.05" personId="{1EC24261-4370-4A02-84B3-ED67A915EBAA}" id="{D297E632-1DC2-4E81-B890-A99901251EF3}">
    <text>Is this parameter still valid?
Acc to Wim, this monitoring is done in FiDo. How do they know if mixer is active?</text>
  </threadedComment>
  <threadedComment ref="I176" dT="2022-07-29T13:32:36.04" personId="{CE0EAB49-2BAA-4329-B1D3-752DB8F52A61}" id="{72228EEB-A1EB-4641-BC50-52FD97F80B13}">
    <text>these weren't filled in. To be checked</text>
  </threadedComment>
  <threadedComment ref="F177" dT="2022-05-24T18:59:46.81" personId="{FD48C47C-6BA1-431B-85BA-869174B8B6A7}" id="{67D2A8C7-F046-41F4-AA8A-3E40529AB502}">
    <text>What is this parameter for?</text>
  </threadedComment>
  <threadedComment ref="F178" dT="2022-05-24T12:46:34.99" personId="{F5541CAA-EF88-42E6-A3EE-034E146DBA57}" id="{F7C2D136-8460-4DD6-B00D-F100C65EC21B}">
    <text>Parameter disable compare function SON to be added.</text>
  </threadedComment>
  <threadedComment ref="F189" dT="2022-08-01T12:01:12.83" personId="{FD48C47C-6BA1-431B-85BA-869174B8B6A7}" id="{AD3C6AC6-121F-4F9D-8989-D67AF6FD9C33}">
    <text>Descriptions need to be changed by B&amp;S. Autotmatic start is not after DL</text>
  </threadedComment>
  <threadedComment ref="F190" dT="2022-08-01T12:01:17.88" personId="{FD48C47C-6BA1-431B-85BA-869174B8B6A7}" id="{24A2CE41-3E67-4808-B630-B2CFE113B788}">
    <text>Descriptions need to be changed by B&amp;S. Autotmatic start is not after DL</text>
  </threadedComment>
  <threadedComment ref="F191" dT="2022-08-01T12:25:55.85" personId="{FD48C47C-6BA1-431B-85BA-869174B8B6A7}" id="{3A50DD8C-D94F-4574-B934-CE47D737C9AF}">
    <text>Descriptions need to be changed by B&amp;S. Autotmatic start is not after DL</text>
  </threadedComment>
  <threadedComment ref="P230" dT="2022-07-29T12:50:37.99" personId="{CE0EAB49-2BAA-4329-B1D3-752DB8F52A61}" id="{3162F87E-4399-4912-B808-C3BA53392767}">
    <text>why not filled in? Pfizer#2100-&gt;2101, 2103-&gt;2108 to be checked</text>
  </threadedComment>
  <threadedComment ref="F263" dT="2022-05-24T18:59:54.76" personId="{FD48C47C-6BA1-431B-85BA-869174B8B6A7}" id="{024A1BCC-034E-4537-9D40-B4B99BC8D1E3}">
    <text>What is this parameter for?</text>
  </threadedComment>
  <threadedComment ref="F264" dT="2022-05-24T19:57:05.50" personId="{FD48C47C-6BA1-431B-85BA-869174B8B6A7}" id="{02EDE89B-B6D2-415C-BC93-664C7CE8929D}">
    <text>What is this parameter for? What does it do?</text>
  </threadedComment>
  <threadedComment ref="F272" dT="2022-05-24T12:54:32.70" personId="{F5541CAA-EF88-42E6-A3EE-034E146DBA57}" id="{195AAB8B-92F2-4802-A8BE-3159C2982CB8}">
    <text>Product discard bottle parameters to be added.</text>
  </threadedComment>
  <threadedComment ref="F289" dT="2022-05-24T19:02:05.68" personId="{FD48C47C-6BA1-431B-85BA-869174B8B6A7}" id="{A1239C56-98D0-4D15-A36F-744CCB71119C}">
    <text>What does this parameter exactly do?</text>
  </threadedComment>
  <threadedComment ref="F294" dT="2022-05-24T12:48:10.84" personId="{F5541CAA-EF88-42E6-A3EE-034E146DBA57}" id="{13B2276B-A880-49F8-9FB2-28BE961FF46E}">
    <text>Parameter disable compare function SON to be added.</text>
  </threadedComment>
  <threadedComment ref="F313" dT="2022-05-24T19:05:29.04" personId="{FD48C47C-6BA1-431B-85BA-869174B8B6A7}" id="{D9B05993-D80B-4C71-B6A9-0145DCCB3D76}">
    <text>What is this parameter</text>
  </threadedComment>
</ThreadedComments>
</file>

<file path=xl/threadedComments/threadedComment2.xml><?xml version="1.0" encoding="utf-8"?>
<ThreadedComments xmlns="http://schemas.microsoft.com/office/spreadsheetml/2018/threadedcomments" xmlns:x="http://schemas.openxmlformats.org/spreadsheetml/2006/main">
  <threadedComment ref="A14" dT="2022-05-31T09:52:32.43" personId="{CE0EAB49-2BAA-4329-B1D3-752DB8F52A61}" id="{A96686F7-CE57-4AF4-96FF-F34C5EF058A5}">
    <text>Please add VU3923_machine active statustag</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microsoft.com/office/2017/10/relationships/threadedComment" Target="../threadedComments/threadedComment1.xml"/><Relationship Id="rId3" Type="http://schemas.openxmlformats.org/officeDocument/2006/relationships/vmlDrawing" Target="../drawings/vmlDrawing2.vml"/><Relationship Id="rId7" Type="http://schemas.openxmlformats.org/officeDocument/2006/relationships/image" Target="../media/image2.emf"/><Relationship Id="rId12"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1.xml"/><Relationship Id="rId9" Type="http://schemas.openxmlformats.org/officeDocument/2006/relationships/image" Target="../media/image3.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4.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4.emf"/><Relationship Id="rId10" Type="http://schemas.openxmlformats.org/officeDocument/2006/relationships/comments" Target="../comments4.xml"/><Relationship Id="rId4" Type="http://schemas.openxmlformats.org/officeDocument/2006/relationships/control" Target="../activeX/activeX4.xml"/><Relationship Id="rId9"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41"/>
  <sheetViews>
    <sheetView showGridLines="0" zoomScale="85" zoomScaleNormal="85" workbookViewId="0">
      <pane ySplit="4" topLeftCell="A5" activePane="bottomLeft" state="frozen"/>
      <selection pane="bottomLeft" activeCell="D32" sqref="D32"/>
    </sheetView>
  </sheetViews>
  <sheetFormatPr defaultColWidth="9.33203125" defaultRowHeight="12.6"/>
  <cols>
    <col min="1" max="1" width="18.1640625" style="272" customWidth="1"/>
    <col min="2" max="2" width="30.6640625" style="272" customWidth="1"/>
    <col min="3" max="3" width="15.6640625" style="300" customWidth="1"/>
    <col min="4" max="4" width="70.6640625" style="273" customWidth="1"/>
    <col min="5" max="5" width="25.6640625" style="272" customWidth="1"/>
    <col min="6" max="6" width="15.6640625" style="272" customWidth="1"/>
    <col min="7" max="12" width="9.33203125" style="272"/>
    <col min="13" max="16384" width="9.33203125" style="273"/>
  </cols>
  <sheetData>
    <row r="1" spans="1:12" ht="20.100000000000001">
      <c r="A1" s="268" t="s">
        <v>0</v>
      </c>
      <c r="B1" s="269"/>
      <c r="C1" s="270"/>
      <c r="D1" s="271"/>
      <c r="E1" s="269"/>
      <c r="F1" s="269"/>
    </row>
    <row r="2" spans="1:12" ht="20.45" thickBot="1">
      <c r="A2" s="268"/>
      <c r="B2" s="269"/>
      <c r="C2" s="270"/>
      <c r="D2" s="271"/>
      <c r="E2" s="269"/>
      <c r="F2" s="269"/>
    </row>
    <row r="3" spans="1:12" s="193" customFormat="1" ht="15" customHeight="1">
      <c r="A3" s="484" t="s">
        <v>1</v>
      </c>
      <c r="B3" s="486" t="s">
        <v>2</v>
      </c>
      <c r="C3" s="488" t="s">
        <v>3</v>
      </c>
      <c r="D3" s="490" t="s">
        <v>4</v>
      </c>
      <c r="E3" s="490" t="s">
        <v>5</v>
      </c>
      <c r="F3" s="482" t="s">
        <v>6</v>
      </c>
      <c r="G3" s="480" t="s">
        <v>7</v>
      </c>
      <c r="H3" s="481"/>
      <c r="I3" s="481"/>
      <c r="J3" s="274" t="s">
        <v>8</v>
      </c>
      <c r="K3" s="274"/>
      <c r="L3" s="275"/>
    </row>
    <row r="4" spans="1:12" s="193" customFormat="1" ht="15" customHeight="1" thickBot="1">
      <c r="A4" s="485"/>
      <c r="B4" s="487"/>
      <c r="C4" s="489"/>
      <c r="D4" s="491"/>
      <c r="E4" s="491"/>
      <c r="F4" s="483"/>
      <c r="G4" s="226" t="s">
        <v>9</v>
      </c>
      <c r="H4" s="225" t="s">
        <v>10</v>
      </c>
      <c r="I4" s="225" t="s">
        <v>11</v>
      </c>
      <c r="J4" s="225" t="s">
        <v>12</v>
      </c>
      <c r="K4" s="225" t="s">
        <v>13</v>
      </c>
      <c r="L4" s="198" t="s">
        <v>14</v>
      </c>
    </row>
    <row r="5" spans="1:12" ht="12.95" thickBot="1">
      <c r="A5" s="276" t="s">
        <v>15</v>
      </c>
      <c r="B5" s="277" t="s">
        <v>16</v>
      </c>
      <c r="C5" s="278">
        <v>44688</v>
      </c>
      <c r="D5" s="279" t="s">
        <v>17</v>
      </c>
      <c r="E5" s="280" t="s">
        <v>18</v>
      </c>
      <c r="F5" s="281" t="s">
        <v>18</v>
      </c>
      <c r="G5" s="282" t="s">
        <v>19</v>
      </c>
      <c r="H5" s="280" t="s">
        <v>20</v>
      </c>
      <c r="I5" s="303" t="s">
        <v>21</v>
      </c>
      <c r="J5" s="283" t="s">
        <v>22</v>
      </c>
      <c r="K5" s="283" t="s">
        <v>22</v>
      </c>
      <c r="L5" s="284" t="s">
        <v>18</v>
      </c>
    </row>
    <row r="6" spans="1:12" ht="12.95" thickBot="1">
      <c r="A6" s="276" t="s">
        <v>23</v>
      </c>
      <c r="B6" s="277" t="s">
        <v>24</v>
      </c>
      <c r="C6" s="278">
        <v>44712</v>
      </c>
      <c r="D6" s="279" t="s">
        <v>25</v>
      </c>
      <c r="E6" s="280" t="s">
        <v>18</v>
      </c>
      <c r="F6" s="281" t="s">
        <v>18</v>
      </c>
      <c r="G6" s="282" t="s">
        <v>19</v>
      </c>
      <c r="H6" s="280" t="s">
        <v>20</v>
      </c>
      <c r="I6" s="303" t="s">
        <v>21</v>
      </c>
      <c r="J6" s="283" t="s">
        <v>22</v>
      </c>
      <c r="K6" s="283" t="s">
        <v>22</v>
      </c>
      <c r="L6" s="284" t="s">
        <v>18</v>
      </c>
    </row>
    <row r="7" spans="1:12">
      <c r="A7" s="476" t="s">
        <v>26</v>
      </c>
      <c r="B7" s="282" t="s">
        <v>27</v>
      </c>
      <c r="C7" s="278">
        <v>44748</v>
      </c>
      <c r="D7" s="279" t="s">
        <v>28</v>
      </c>
      <c r="E7" s="280" t="s">
        <v>18</v>
      </c>
      <c r="F7" s="280" t="s">
        <v>18</v>
      </c>
      <c r="G7" s="282" t="s">
        <v>19</v>
      </c>
      <c r="H7" s="280" t="s">
        <v>20</v>
      </c>
      <c r="I7" s="350" t="s">
        <v>21</v>
      </c>
      <c r="J7" s="280" t="s">
        <v>22</v>
      </c>
      <c r="K7" s="280" t="s">
        <v>22</v>
      </c>
      <c r="L7" s="351" t="s">
        <v>18</v>
      </c>
    </row>
    <row r="8" spans="1:12" ht="12.95" thickBot="1">
      <c r="A8" s="477"/>
      <c r="B8" s="339" t="s">
        <v>29</v>
      </c>
      <c r="C8" s="340">
        <v>44756</v>
      </c>
      <c r="D8" s="341" t="s">
        <v>30</v>
      </c>
      <c r="E8" s="342" t="s">
        <v>18</v>
      </c>
      <c r="F8" s="342" t="s">
        <v>18</v>
      </c>
      <c r="G8" s="343" t="s">
        <v>19</v>
      </c>
      <c r="H8" s="342" t="s">
        <v>20</v>
      </c>
      <c r="I8" s="345" t="s">
        <v>21</v>
      </c>
      <c r="J8" s="346" t="s">
        <v>22</v>
      </c>
      <c r="K8" s="346" t="s">
        <v>22</v>
      </c>
      <c r="L8" s="347" t="s">
        <v>18</v>
      </c>
    </row>
    <row r="9" spans="1:12" ht="12.95" thickBot="1">
      <c r="A9" s="344" t="s">
        <v>31</v>
      </c>
      <c r="B9" s="277" t="s">
        <v>32</v>
      </c>
      <c r="C9" s="278">
        <v>44777</v>
      </c>
      <c r="D9" s="279" t="s">
        <v>33</v>
      </c>
      <c r="E9" s="280" t="s">
        <v>18</v>
      </c>
      <c r="F9" s="281" t="s">
        <v>18</v>
      </c>
      <c r="G9" s="282" t="s">
        <v>19</v>
      </c>
      <c r="H9" s="280" t="s">
        <v>20</v>
      </c>
      <c r="I9" s="303" t="s">
        <v>21</v>
      </c>
      <c r="J9" s="283" t="s">
        <v>22</v>
      </c>
      <c r="K9" s="283" t="s">
        <v>22</v>
      </c>
      <c r="L9" s="284" t="s">
        <v>18</v>
      </c>
    </row>
    <row r="10" spans="1:12">
      <c r="A10" s="285"/>
      <c r="B10" s="277" t="s">
        <v>34</v>
      </c>
      <c r="C10" s="278">
        <v>44817</v>
      </c>
      <c r="D10" s="279" t="s">
        <v>35</v>
      </c>
      <c r="E10" s="280" t="s">
        <v>18</v>
      </c>
      <c r="F10" s="281" t="s">
        <v>18</v>
      </c>
      <c r="G10" s="282" t="s">
        <v>19</v>
      </c>
      <c r="H10" s="280" t="s">
        <v>20</v>
      </c>
      <c r="I10" s="303" t="s">
        <v>21</v>
      </c>
      <c r="J10" s="283" t="s">
        <v>22</v>
      </c>
      <c r="K10" s="283" t="s">
        <v>22</v>
      </c>
      <c r="L10" s="284" t="s">
        <v>18</v>
      </c>
    </row>
    <row r="11" spans="1:12">
      <c r="A11" s="285" t="s">
        <v>36</v>
      </c>
      <c r="B11" s="286" t="s">
        <v>37</v>
      </c>
      <c r="C11" s="287" t="s">
        <v>38</v>
      </c>
      <c r="D11" s="288" t="s">
        <v>39</v>
      </c>
      <c r="E11" s="289" t="s">
        <v>18</v>
      </c>
      <c r="F11" s="290" t="s">
        <v>18</v>
      </c>
      <c r="G11" s="291" t="s">
        <v>19</v>
      </c>
      <c r="H11" s="289" t="s">
        <v>20</v>
      </c>
      <c r="I11" s="304" t="s">
        <v>21</v>
      </c>
      <c r="J11" s="292" t="s">
        <v>22</v>
      </c>
      <c r="K11" s="292" t="s">
        <v>22</v>
      </c>
      <c r="L11" s="293" t="s">
        <v>18</v>
      </c>
    </row>
    <row r="12" spans="1:12" ht="12.95" thickBot="1">
      <c r="A12" s="285"/>
      <c r="B12" s="298" t="s">
        <v>40</v>
      </c>
      <c r="C12" s="294">
        <v>44860</v>
      </c>
      <c r="D12" s="295" t="s">
        <v>41</v>
      </c>
      <c r="E12" s="296" t="s">
        <v>18</v>
      </c>
      <c r="F12" s="297" t="s">
        <v>18</v>
      </c>
      <c r="G12" s="298" t="s">
        <v>19</v>
      </c>
      <c r="H12" s="296" t="s">
        <v>20</v>
      </c>
      <c r="I12" s="305" t="s">
        <v>21</v>
      </c>
      <c r="J12" s="296" t="s">
        <v>22</v>
      </c>
      <c r="K12" s="296" t="s">
        <v>22</v>
      </c>
      <c r="L12" s="299" t="s">
        <v>18</v>
      </c>
    </row>
    <row r="13" spans="1:12">
      <c r="A13" s="476" t="s">
        <v>42</v>
      </c>
      <c r="B13" s="339" t="s">
        <v>43</v>
      </c>
      <c r="C13" s="340">
        <v>44909</v>
      </c>
      <c r="D13" s="341" t="s">
        <v>39</v>
      </c>
      <c r="E13" s="342" t="s">
        <v>18</v>
      </c>
      <c r="F13" s="355" t="s">
        <v>18</v>
      </c>
      <c r="G13" s="343" t="s">
        <v>19</v>
      </c>
      <c r="H13" s="342" t="s">
        <v>20</v>
      </c>
      <c r="I13" s="345" t="s">
        <v>21</v>
      </c>
      <c r="J13" s="346" t="s">
        <v>22</v>
      </c>
      <c r="K13" s="346" t="s">
        <v>22</v>
      </c>
      <c r="L13" s="347" t="s">
        <v>18</v>
      </c>
    </row>
    <row r="14" spans="1:12" ht="12.95" thickBot="1">
      <c r="A14" s="477"/>
      <c r="B14" s="298" t="s">
        <v>44</v>
      </c>
      <c r="C14" s="294">
        <v>44917</v>
      </c>
      <c r="D14" s="295" t="s">
        <v>45</v>
      </c>
      <c r="E14" s="353" t="s">
        <v>18</v>
      </c>
      <c r="F14" s="354" t="s">
        <v>18</v>
      </c>
      <c r="G14" s="298" t="s">
        <v>19</v>
      </c>
      <c r="H14" s="296" t="s">
        <v>20</v>
      </c>
      <c r="I14" s="305" t="s">
        <v>21</v>
      </c>
      <c r="J14" s="296" t="s">
        <v>22</v>
      </c>
      <c r="K14" s="296" t="s">
        <v>22</v>
      </c>
      <c r="L14" s="299" t="s">
        <v>18</v>
      </c>
    </row>
    <row r="15" spans="1:12">
      <c r="A15" s="476" t="s">
        <v>46</v>
      </c>
      <c r="B15" s="339" t="s">
        <v>16</v>
      </c>
      <c r="C15" s="340">
        <v>45008</v>
      </c>
      <c r="D15" s="341" t="s">
        <v>47</v>
      </c>
      <c r="E15" s="346" t="s">
        <v>18</v>
      </c>
      <c r="F15" s="352" t="s">
        <v>18</v>
      </c>
      <c r="G15" s="343" t="s">
        <v>19</v>
      </c>
      <c r="H15" s="342" t="s">
        <v>20</v>
      </c>
      <c r="I15" s="345" t="s">
        <v>21</v>
      </c>
      <c r="J15" s="346" t="s">
        <v>22</v>
      </c>
      <c r="K15" s="346" t="s">
        <v>22</v>
      </c>
      <c r="L15" s="347" t="s">
        <v>18</v>
      </c>
    </row>
    <row r="16" spans="1:12" ht="12.95" thickBot="1">
      <c r="A16" s="477"/>
      <c r="B16" s="298" t="s">
        <v>37</v>
      </c>
      <c r="C16" s="294" t="s">
        <v>48</v>
      </c>
      <c r="D16" s="348" t="s">
        <v>49</v>
      </c>
      <c r="E16" s="349" t="s">
        <v>18</v>
      </c>
      <c r="F16" s="349" t="s">
        <v>18</v>
      </c>
      <c r="G16" s="298" t="s">
        <v>19</v>
      </c>
      <c r="H16" s="296" t="s">
        <v>20</v>
      </c>
      <c r="I16" s="305" t="s">
        <v>21</v>
      </c>
      <c r="J16" s="296" t="s">
        <v>22</v>
      </c>
      <c r="K16" s="296" t="s">
        <v>22</v>
      </c>
      <c r="L16" s="299" t="s">
        <v>18</v>
      </c>
    </row>
    <row r="17" spans="1:12">
      <c r="A17" s="476" t="s">
        <v>50</v>
      </c>
      <c r="B17" s="277" t="s">
        <v>43</v>
      </c>
      <c r="C17" s="278">
        <v>45082</v>
      </c>
      <c r="D17" s="279" t="s">
        <v>51</v>
      </c>
      <c r="E17" s="280" t="s">
        <v>18</v>
      </c>
      <c r="F17" s="281" t="s">
        <v>18</v>
      </c>
      <c r="G17" s="282" t="s">
        <v>19</v>
      </c>
      <c r="H17" s="280" t="s">
        <v>20</v>
      </c>
      <c r="I17" s="303" t="s">
        <v>21</v>
      </c>
      <c r="J17" s="283" t="s">
        <v>22</v>
      </c>
      <c r="K17" s="283" t="s">
        <v>22</v>
      </c>
      <c r="L17" s="284" t="s">
        <v>18</v>
      </c>
    </row>
    <row r="18" spans="1:12" ht="38.1" thickBot="1">
      <c r="A18" s="477"/>
      <c r="B18" s="357" t="s">
        <v>24</v>
      </c>
      <c r="C18" s="358">
        <v>45086</v>
      </c>
      <c r="D18" s="356" t="s">
        <v>52</v>
      </c>
      <c r="E18" s="359" t="s">
        <v>18</v>
      </c>
      <c r="F18" s="360" t="s">
        <v>18</v>
      </c>
      <c r="G18" s="361" t="s">
        <v>19</v>
      </c>
      <c r="H18" s="359" t="s">
        <v>20</v>
      </c>
      <c r="I18" s="362" t="s">
        <v>21</v>
      </c>
      <c r="J18" s="359" t="s">
        <v>22</v>
      </c>
      <c r="K18" s="359" t="s">
        <v>22</v>
      </c>
      <c r="L18" s="363" t="s">
        <v>18</v>
      </c>
    </row>
    <row r="19" spans="1:12" ht="12.95" thickBot="1">
      <c r="A19" s="344" t="s">
        <v>53</v>
      </c>
      <c r="B19" s="411" t="s">
        <v>37</v>
      </c>
      <c r="C19" s="376">
        <v>45090</v>
      </c>
      <c r="D19" s="375" t="s">
        <v>54</v>
      </c>
      <c r="E19" s="377" t="s">
        <v>18</v>
      </c>
      <c r="F19" s="378" t="s">
        <v>18</v>
      </c>
      <c r="G19" s="379" t="s">
        <v>19</v>
      </c>
      <c r="H19" s="377" t="s">
        <v>20</v>
      </c>
      <c r="I19" s="380" t="s">
        <v>21</v>
      </c>
      <c r="J19" s="377" t="s">
        <v>22</v>
      </c>
      <c r="K19" s="377" t="s">
        <v>22</v>
      </c>
      <c r="L19" s="381" t="s">
        <v>18</v>
      </c>
    </row>
    <row r="20" spans="1:12" ht="24.95">
      <c r="A20" s="476" t="s">
        <v>55</v>
      </c>
      <c r="B20" s="389" t="s">
        <v>56</v>
      </c>
      <c r="C20" s="382">
        <v>45107</v>
      </c>
      <c r="D20" s="383" t="s">
        <v>57</v>
      </c>
      <c r="E20" s="478" t="s">
        <v>18</v>
      </c>
      <c r="F20" s="496" t="s">
        <v>18</v>
      </c>
      <c r="G20" s="498" t="s">
        <v>19</v>
      </c>
      <c r="H20" s="478" t="s">
        <v>20</v>
      </c>
      <c r="I20" s="493" t="s">
        <v>21</v>
      </c>
      <c r="J20" s="478" t="s">
        <v>22</v>
      </c>
      <c r="K20" s="478" t="s">
        <v>22</v>
      </c>
      <c r="L20" s="496" t="s">
        <v>18</v>
      </c>
    </row>
    <row r="21" spans="1:12" ht="25.5" thickBot="1">
      <c r="A21" s="477"/>
      <c r="B21" s="410" t="s">
        <v>43</v>
      </c>
      <c r="C21" s="384">
        <v>45107</v>
      </c>
      <c r="D21" s="385" t="s">
        <v>58</v>
      </c>
      <c r="E21" s="495"/>
      <c r="F21" s="497"/>
      <c r="G21" s="499"/>
      <c r="H21" s="495"/>
      <c r="I21" s="494"/>
      <c r="J21" s="495"/>
      <c r="K21" s="495"/>
      <c r="L21" s="497"/>
    </row>
    <row r="22" spans="1:12">
      <c r="A22" s="476" t="s">
        <v>59</v>
      </c>
      <c r="B22" s="389" t="s">
        <v>37</v>
      </c>
      <c r="C22" s="390">
        <v>45121</v>
      </c>
      <c r="D22" s="391" t="s">
        <v>39</v>
      </c>
      <c r="E22" s="283" t="s">
        <v>18</v>
      </c>
      <c r="F22" s="392" t="s">
        <v>18</v>
      </c>
      <c r="G22" s="393" t="s">
        <v>19</v>
      </c>
      <c r="H22" s="283" t="s">
        <v>20</v>
      </c>
      <c r="I22" s="303" t="s">
        <v>21</v>
      </c>
      <c r="J22" s="283" t="s">
        <v>22</v>
      </c>
      <c r="K22" s="283" t="s">
        <v>22</v>
      </c>
      <c r="L22" s="284" t="s">
        <v>18</v>
      </c>
    </row>
    <row r="23" spans="1:12">
      <c r="A23" s="492"/>
      <c r="B23" s="291" t="s">
        <v>27</v>
      </c>
      <c r="C23" s="287">
        <v>45125</v>
      </c>
      <c r="D23" s="288" t="s">
        <v>60</v>
      </c>
      <c r="E23" s="289" t="s">
        <v>18</v>
      </c>
      <c r="F23" s="290" t="s">
        <v>18</v>
      </c>
      <c r="G23" s="291" t="s">
        <v>19</v>
      </c>
      <c r="H23" s="289" t="s">
        <v>20</v>
      </c>
      <c r="I23" s="394" t="s">
        <v>21</v>
      </c>
      <c r="J23" s="289" t="s">
        <v>22</v>
      </c>
      <c r="K23" s="289" t="s">
        <v>22</v>
      </c>
      <c r="L23" s="395" t="s">
        <v>18</v>
      </c>
    </row>
    <row r="24" spans="1:12" ht="12.95" thickBot="1">
      <c r="A24" s="477"/>
      <c r="B24" s="298" t="s">
        <v>24</v>
      </c>
      <c r="C24" s="294">
        <v>45167</v>
      </c>
      <c r="D24" s="295" t="s">
        <v>61</v>
      </c>
      <c r="E24" s="296" t="s">
        <v>18</v>
      </c>
      <c r="F24" s="297" t="s">
        <v>18</v>
      </c>
      <c r="G24" s="298" t="s">
        <v>20</v>
      </c>
      <c r="H24" s="296" t="s">
        <v>20</v>
      </c>
      <c r="I24" s="305" t="s">
        <v>21</v>
      </c>
      <c r="J24" s="296" t="s">
        <v>22</v>
      </c>
      <c r="K24" s="296" t="s">
        <v>22</v>
      </c>
      <c r="L24" s="299" t="s">
        <v>18</v>
      </c>
    </row>
    <row r="25" spans="1:12">
      <c r="A25" s="476" t="s">
        <v>62</v>
      </c>
      <c r="B25" s="389" t="s">
        <v>37</v>
      </c>
      <c r="C25" s="382">
        <v>45278</v>
      </c>
      <c r="D25" s="391" t="s">
        <v>63</v>
      </c>
      <c r="E25" s="478" t="s">
        <v>64</v>
      </c>
      <c r="F25" s="281" t="s">
        <v>18</v>
      </c>
      <c r="G25" s="282" t="s">
        <v>20</v>
      </c>
      <c r="H25" s="280" t="s">
        <v>20</v>
      </c>
      <c r="I25" s="350" t="s">
        <v>21</v>
      </c>
      <c r="J25" s="280" t="s">
        <v>65</v>
      </c>
      <c r="K25" s="280" t="s">
        <v>66</v>
      </c>
      <c r="L25" s="351" t="s">
        <v>18</v>
      </c>
    </row>
    <row r="26" spans="1:12" ht="12.95" thickBot="1">
      <c r="A26" s="477"/>
      <c r="B26" s="413" t="s">
        <v>27</v>
      </c>
      <c r="C26" s="414">
        <v>45279</v>
      </c>
      <c r="D26" s="415" t="s">
        <v>67</v>
      </c>
      <c r="E26" s="479"/>
      <c r="F26" s="416" t="s">
        <v>18</v>
      </c>
      <c r="G26" s="417" t="s">
        <v>19</v>
      </c>
      <c r="H26" s="292" t="s">
        <v>20</v>
      </c>
      <c r="I26" s="418" t="s">
        <v>21</v>
      </c>
      <c r="J26" s="292" t="s">
        <v>65</v>
      </c>
      <c r="K26" s="292" t="s">
        <v>66</v>
      </c>
      <c r="L26" s="419" t="s">
        <v>18</v>
      </c>
    </row>
    <row r="27" spans="1:12">
      <c r="A27" s="473" t="s">
        <v>68</v>
      </c>
      <c r="B27" s="282" t="s">
        <v>16</v>
      </c>
      <c r="C27" s="278">
        <v>45420</v>
      </c>
      <c r="D27" s="279" t="s">
        <v>69</v>
      </c>
      <c r="E27" s="280" t="s">
        <v>70</v>
      </c>
      <c r="F27" s="280" t="s">
        <v>18</v>
      </c>
      <c r="G27" s="280" t="s">
        <v>19</v>
      </c>
      <c r="H27" s="280" t="s">
        <v>65</v>
      </c>
      <c r="I27" s="350" t="s">
        <v>21</v>
      </c>
      <c r="J27" s="280" t="s">
        <v>66</v>
      </c>
      <c r="K27" s="280" t="s">
        <v>66</v>
      </c>
      <c r="L27" s="351" t="s">
        <v>18</v>
      </c>
    </row>
    <row r="28" spans="1:12">
      <c r="A28" s="474"/>
      <c r="B28" s="412" t="s">
        <v>71</v>
      </c>
      <c r="C28" s="420">
        <v>45428</v>
      </c>
      <c r="D28" s="421" t="s">
        <v>72</v>
      </c>
      <c r="E28" s="346"/>
      <c r="F28" s="346"/>
      <c r="G28" s="346"/>
      <c r="H28" s="346"/>
      <c r="I28" s="345"/>
      <c r="J28" s="346"/>
      <c r="K28" s="346"/>
      <c r="L28" s="347"/>
    </row>
    <row r="29" spans="1:12" ht="12.95" thickBot="1">
      <c r="A29" s="475"/>
      <c r="B29" s="298" t="s">
        <v>56</v>
      </c>
      <c r="C29" s="294">
        <v>45428</v>
      </c>
      <c r="D29" s="295" t="s">
        <v>73</v>
      </c>
      <c r="E29" s="296"/>
      <c r="F29" s="296"/>
      <c r="G29" s="296"/>
      <c r="H29" s="296"/>
      <c r="I29" s="305"/>
      <c r="J29" s="296"/>
      <c r="K29" s="296"/>
      <c r="L29" s="299"/>
    </row>
    <row r="30" spans="1:12">
      <c r="A30" s="422" t="s">
        <v>74</v>
      </c>
      <c r="B30" s="422" t="s">
        <v>43</v>
      </c>
      <c r="C30" s="425">
        <v>45453</v>
      </c>
      <c r="D30" s="422" t="s">
        <v>75</v>
      </c>
      <c r="E30" s="422" t="s">
        <v>76</v>
      </c>
      <c r="F30" s="422"/>
      <c r="G30" s="422"/>
      <c r="H30" s="422"/>
      <c r="I30" s="422"/>
      <c r="J30" s="422"/>
      <c r="K30" s="422"/>
      <c r="L30" s="422"/>
    </row>
    <row r="31" spans="1:12" ht="14.45">
      <c r="A31" s="289" t="s">
        <v>77</v>
      </c>
      <c r="B31" s="289" t="s">
        <v>78</v>
      </c>
      <c r="C31" s="287">
        <v>45530</v>
      </c>
      <c r="D31" s="288" t="s">
        <v>79</v>
      </c>
      <c r="E31" s="428" t="s">
        <v>80</v>
      </c>
      <c r="F31" s="289" t="s">
        <v>18</v>
      </c>
      <c r="G31" s="289" t="s">
        <v>19</v>
      </c>
      <c r="H31" s="289" t="s">
        <v>20</v>
      </c>
      <c r="I31" s="394" t="s">
        <v>21</v>
      </c>
      <c r="J31" s="289" t="s">
        <v>19</v>
      </c>
      <c r="K31" s="289" t="s">
        <v>18</v>
      </c>
      <c r="L31" s="289" t="s">
        <v>18</v>
      </c>
    </row>
    <row r="32" spans="1:12">
      <c r="A32" s="289" t="s">
        <v>81</v>
      </c>
      <c r="B32" s="289" t="s">
        <v>71</v>
      </c>
      <c r="C32" s="429">
        <v>45582</v>
      </c>
      <c r="D32" s="289" t="s">
        <v>82</v>
      </c>
      <c r="E32" s="289"/>
      <c r="F32" s="289"/>
      <c r="G32" s="289"/>
      <c r="H32" s="289"/>
      <c r="I32" s="289"/>
      <c r="J32" s="289"/>
      <c r="K32" s="289"/>
      <c r="L32" s="289"/>
    </row>
    <row r="33" spans="3:4">
      <c r="C33" s="272"/>
      <c r="D33" s="272"/>
    </row>
    <row r="34" spans="3:4">
      <c r="C34" s="272"/>
      <c r="D34" s="272"/>
    </row>
    <row r="35" spans="3:4">
      <c r="C35" s="272"/>
      <c r="D35" s="272"/>
    </row>
    <row r="36" spans="3:4">
      <c r="C36" s="272"/>
      <c r="D36" s="272"/>
    </row>
    <row r="37" spans="3:4">
      <c r="C37" s="272"/>
      <c r="D37" s="272"/>
    </row>
    <row r="38" spans="3:4">
      <c r="C38" s="272"/>
      <c r="D38" s="272"/>
    </row>
    <row r="39" spans="3:4">
      <c r="C39" s="272"/>
      <c r="D39" s="272"/>
    </row>
    <row r="40" spans="3:4">
      <c r="C40" s="272"/>
      <c r="D40" s="272"/>
    </row>
    <row r="41" spans="3:4">
      <c r="C41" s="272"/>
      <c r="D41" s="272"/>
    </row>
  </sheetData>
  <mergeCells count="24">
    <mergeCell ref="J20:J21"/>
    <mergeCell ref="K20:K21"/>
    <mergeCell ref="L20:L21"/>
    <mergeCell ref="A20:A21"/>
    <mergeCell ref="E20:E21"/>
    <mergeCell ref="F20:F21"/>
    <mergeCell ref="G20:G21"/>
    <mergeCell ref="H20:H21"/>
    <mergeCell ref="A27:A29"/>
    <mergeCell ref="A25:A26"/>
    <mergeCell ref="E25:E26"/>
    <mergeCell ref="G3:I3"/>
    <mergeCell ref="F3:F4"/>
    <mergeCell ref="A3:A4"/>
    <mergeCell ref="B3:B4"/>
    <mergeCell ref="C3:C4"/>
    <mergeCell ref="D3:D4"/>
    <mergeCell ref="E3:E4"/>
    <mergeCell ref="A22:A24"/>
    <mergeCell ref="A17:A18"/>
    <mergeCell ref="A15:A16"/>
    <mergeCell ref="A13:A14"/>
    <mergeCell ref="A7:A8"/>
    <mergeCell ref="I20:I21"/>
  </mergeCells>
  <phoneticPr fontId="11" type="noConversion"/>
  <pageMargins left="0.74803149606299213" right="0.74803149606299213" top="1.2083333333333333" bottom="0.98425196850393704" header="0.51181102362204722" footer="0.51181102362204722"/>
  <pageSetup paperSize="9" orientation="landscape" r:id="rId1"/>
  <headerFooter alignWithMargins="0">
    <oddHeader>&amp;C
DOWNLOAD LIST&amp;RFilename: &amp;F
Date: &amp;D&amp;L&amp;9Machine Number : 84130003&amp;84130004
Machine Name : IFC - VL1 - Filling Machine &amp; Capper
CU Number : 7002
VU Number : 3922 3923</oddHeader>
    <oddFooter>&amp;LBased on template :&amp;CDownloadList_CUxxxx_A3&amp;RPage &amp;P/&amp;N</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Q335"/>
  <sheetViews>
    <sheetView showGridLines="0" tabSelected="1" topLeftCell="L3" zoomScaleNormal="100" workbookViewId="0">
      <selection activeCell="V19" sqref="V19"/>
    </sheetView>
  </sheetViews>
  <sheetFormatPr defaultColWidth="13.6640625" defaultRowHeight="11.45"/>
  <cols>
    <col min="1" max="1" width="13.83203125" style="10" hidden="1" customWidth="1"/>
    <col min="2" max="2" width="8.5" style="10" customWidth="1"/>
    <col min="3" max="3" width="11.33203125" style="10" customWidth="1"/>
    <col min="4" max="4" width="18.5" style="10" bestFit="1" customWidth="1"/>
    <col min="5" max="5" width="13.83203125" style="10" bestFit="1" customWidth="1"/>
    <col min="6" max="6" width="55" style="10" customWidth="1"/>
    <col min="7" max="7" width="68.5" style="10" customWidth="1"/>
    <col min="8" max="8" width="83.5" style="10" customWidth="1"/>
    <col min="9" max="9" width="11.83203125" style="10" bestFit="1" customWidth="1"/>
    <col min="10" max="10" width="27" style="10" bestFit="1" customWidth="1"/>
    <col min="11" max="11" width="13.83203125" style="35" bestFit="1" customWidth="1"/>
    <col min="12" max="12" width="24.5" style="35" bestFit="1" customWidth="1"/>
    <col min="13" max="13" width="13.1640625" style="10" hidden="1" customWidth="1"/>
    <col min="14" max="14" width="19.5" style="10" hidden="1" customWidth="1"/>
    <col min="15" max="15" width="40.33203125" style="10" hidden="1" customWidth="1"/>
    <col min="16" max="16" width="11.83203125" style="10" hidden="1" customWidth="1"/>
    <col min="17" max="17" width="34.33203125" style="10" hidden="1" customWidth="1"/>
    <col min="18" max="19" width="16.1640625" style="10" hidden="1" customWidth="1"/>
    <col min="20" max="20" width="37.33203125" style="10" customWidth="1"/>
    <col min="21" max="21" width="24.33203125" style="10" bestFit="1" customWidth="1"/>
    <col min="22" max="22" width="30.5" style="20" bestFit="1" customWidth="1"/>
    <col min="23" max="23" width="14.1640625" style="20" bestFit="1" customWidth="1"/>
    <col min="24" max="24" width="10.1640625" style="10" bestFit="1" customWidth="1"/>
    <col min="25" max="25" width="9.33203125" style="10" bestFit="1" customWidth="1"/>
    <col min="26" max="26" width="20.6640625" style="10" bestFit="1" customWidth="1"/>
    <col min="27" max="27" width="7.5" style="10" bestFit="1" customWidth="1"/>
    <col min="28" max="28" width="14.1640625" style="10" bestFit="1" customWidth="1"/>
    <col min="29" max="29" width="63.6640625" style="10" bestFit="1" customWidth="1"/>
    <col min="30" max="30" width="37.5" style="10" customWidth="1"/>
    <col min="31" max="31" width="8.6640625" style="10" bestFit="1" customWidth="1"/>
    <col min="32" max="32" width="13.6640625" style="10" bestFit="1" customWidth="1"/>
    <col min="33" max="33" width="14" style="10" bestFit="1" customWidth="1"/>
    <col min="34" max="34" width="15.1640625" style="16" bestFit="1" customWidth="1"/>
    <col min="35" max="35" width="12.5" style="16" hidden="1" customWidth="1"/>
    <col min="36" max="36" width="215.33203125" style="10" hidden="1" customWidth="1"/>
    <col min="37" max="37" width="9.6640625" style="10" bestFit="1" customWidth="1"/>
    <col min="38" max="39" width="9.33203125" style="10" customWidth="1"/>
    <col min="40" max="40" width="30.6640625" style="10" bestFit="1" customWidth="1"/>
    <col min="41" max="43" width="9.33203125" style="10" customWidth="1"/>
    <col min="44" max="16384" width="13.6640625" style="10"/>
  </cols>
  <sheetData>
    <row r="1" spans="1:42" s="72" customFormat="1" ht="36.75" customHeight="1" thickBot="1">
      <c r="C1" s="73" t="s">
        <v>83</v>
      </c>
      <c r="D1" s="73"/>
      <c r="E1" s="73"/>
      <c r="K1" s="74"/>
      <c r="L1" s="74"/>
      <c r="V1" s="75"/>
      <c r="W1" s="75"/>
      <c r="AH1" s="76"/>
      <c r="AI1" s="76"/>
    </row>
    <row r="2" spans="1:42" s="14" customFormat="1" ht="12" thickBot="1">
      <c r="A2" s="219"/>
      <c r="B2" s="87"/>
      <c r="C2" s="78"/>
      <c r="D2" s="78"/>
      <c r="E2" s="78"/>
      <c r="F2" s="79"/>
      <c r="G2" s="79"/>
      <c r="H2" s="80"/>
      <c r="I2" s="81" t="s">
        <v>84</v>
      </c>
      <c r="J2" s="82"/>
      <c r="K2" s="83"/>
      <c r="L2" s="82"/>
      <c r="M2" s="81" t="s">
        <v>85</v>
      </c>
      <c r="N2" s="82"/>
      <c r="O2" s="84"/>
      <c r="P2" s="85"/>
      <c r="Q2" s="86"/>
      <c r="R2" s="86"/>
      <c r="S2" s="86"/>
      <c r="T2" s="183" t="s">
        <v>86</v>
      </c>
      <c r="U2" s="182"/>
      <c r="V2" s="316"/>
      <c r="W2" s="78"/>
      <c r="X2" s="87"/>
      <c r="Y2" s="87"/>
      <c r="Z2" s="88"/>
      <c r="AA2" s="87"/>
      <c r="AB2" s="87"/>
      <c r="AC2" s="89"/>
      <c r="AD2" s="89"/>
      <c r="AE2" s="90"/>
      <c r="AF2" s="79"/>
      <c r="AG2" s="79"/>
      <c r="AH2" s="91"/>
      <c r="AI2" s="92"/>
      <c r="AJ2" s="264"/>
      <c r="AK2" s="255"/>
    </row>
    <row r="3" spans="1:42" s="234" customFormat="1" ht="30" customHeight="1">
      <c r="A3" s="314" t="s">
        <v>87</v>
      </c>
      <c r="B3" s="252" t="s">
        <v>88</v>
      </c>
      <c r="C3" s="251" t="s">
        <v>89</v>
      </c>
      <c r="D3" s="251" t="s">
        <v>90</v>
      </c>
      <c r="E3" s="251" t="s">
        <v>91</v>
      </c>
      <c r="F3" s="306" t="s">
        <v>92</v>
      </c>
      <c r="G3" s="306" t="s">
        <v>93</v>
      </c>
      <c r="H3" s="252" t="s">
        <v>94</v>
      </c>
      <c r="I3" s="307" t="s">
        <v>95</v>
      </c>
      <c r="J3" s="310" t="s">
        <v>96</v>
      </c>
      <c r="K3" s="307" t="s">
        <v>97</v>
      </c>
      <c r="L3" s="310" t="s">
        <v>98</v>
      </c>
      <c r="M3" s="307" t="s">
        <v>99</v>
      </c>
      <c r="N3" s="308" t="s">
        <v>100</v>
      </c>
      <c r="O3" s="311" t="s">
        <v>101</v>
      </c>
      <c r="P3" s="308" t="s">
        <v>102</v>
      </c>
      <c r="Q3" s="311" t="s">
        <v>98</v>
      </c>
      <c r="R3" s="309" t="s">
        <v>103</v>
      </c>
      <c r="S3" s="309" t="s">
        <v>104</v>
      </c>
      <c r="T3" s="309" t="s">
        <v>105</v>
      </c>
      <c r="U3" s="309" t="s">
        <v>106</v>
      </c>
      <c r="V3" s="251" t="s">
        <v>107</v>
      </c>
      <c r="W3" s="251" t="s">
        <v>108</v>
      </c>
      <c r="X3" s="252" t="s">
        <v>109</v>
      </c>
      <c r="Y3" s="252" t="s">
        <v>110</v>
      </c>
      <c r="Z3" s="252" t="s">
        <v>111</v>
      </c>
      <c r="AA3" s="252" t="s">
        <v>112</v>
      </c>
      <c r="AB3" s="252" t="s">
        <v>113</v>
      </c>
      <c r="AC3" s="252" t="s">
        <v>114</v>
      </c>
      <c r="AD3" s="252" t="s">
        <v>115</v>
      </c>
      <c r="AE3" s="253" t="s">
        <v>116</v>
      </c>
      <c r="AF3" s="254" t="s">
        <v>117</v>
      </c>
      <c r="AG3" s="254" t="s">
        <v>118</v>
      </c>
      <c r="AH3" s="91" t="s">
        <v>119</v>
      </c>
      <c r="AI3" s="92" t="s">
        <v>120</v>
      </c>
      <c r="AJ3" s="265" t="s">
        <v>121</v>
      </c>
      <c r="AK3" s="267" t="s">
        <v>122</v>
      </c>
    </row>
    <row r="4" spans="1:42" s="234" customFormat="1" ht="12.75" customHeight="1">
      <c r="A4" s="313"/>
      <c r="B4" s="500" t="s">
        <v>123</v>
      </c>
      <c r="C4" s="501"/>
      <c r="D4" s="501"/>
      <c r="E4" s="501"/>
      <c r="F4" s="501"/>
      <c r="G4" s="501"/>
      <c r="H4" s="501"/>
      <c r="I4" s="501"/>
      <c r="J4" s="501"/>
      <c r="K4" s="501"/>
      <c r="L4" s="501"/>
      <c r="M4" s="501"/>
      <c r="N4" s="501"/>
      <c r="O4" s="501"/>
      <c r="P4" s="501"/>
      <c r="Q4" s="501"/>
      <c r="R4" s="501"/>
      <c r="S4" s="501"/>
      <c r="T4" s="501"/>
      <c r="U4" s="501"/>
      <c r="V4" s="501"/>
      <c r="W4" s="501"/>
      <c r="X4" s="501"/>
      <c r="Y4" s="501"/>
      <c r="Z4" s="501"/>
      <c r="AA4" s="501"/>
      <c r="AB4" s="501"/>
      <c r="AC4" s="501"/>
      <c r="AD4" s="501"/>
      <c r="AE4" s="501"/>
      <c r="AF4" s="501"/>
      <c r="AG4" s="501"/>
      <c r="AH4" s="501"/>
      <c r="AI4" s="501"/>
      <c r="AJ4" s="501"/>
      <c r="AK4" s="502"/>
    </row>
    <row r="5" spans="1:42" s="234" customFormat="1" ht="12.75" customHeight="1" thickBot="1">
      <c r="A5" s="313"/>
      <c r="B5" s="503"/>
      <c r="C5" s="504"/>
      <c r="D5" s="504"/>
      <c r="E5" s="504"/>
      <c r="F5" s="504"/>
      <c r="G5" s="504"/>
      <c r="H5" s="504"/>
      <c r="I5" s="504"/>
      <c r="J5" s="504"/>
      <c r="K5" s="504"/>
      <c r="L5" s="504"/>
      <c r="M5" s="504"/>
      <c r="N5" s="504"/>
      <c r="O5" s="504"/>
      <c r="P5" s="504"/>
      <c r="Q5" s="504"/>
      <c r="R5" s="504"/>
      <c r="S5" s="504"/>
      <c r="T5" s="504"/>
      <c r="U5" s="504"/>
      <c r="V5" s="504"/>
      <c r="W5" s="504"/>
      <c r="X5" s="504"/>
      <c r="Y5" s="504"/>
      <c r="Z5" s="504"/>
      <c r="AA5" s="504"/>
      <c r="AB5" s="504"/>
      <c r="AC5" s="504"/>
      <c r="AD5" s="504"/>
      <c r="AE5" s="504"/>
      <c r="AF5" s="504"/>
      <c r="AG5" s="504"/>
      <c r="AH5" s="504"/>
      <c r="AI5" s="504"/>
      <c r="AJ5" s="504"/>
      <c r="AK5" s="505"/>
    </row>
    <row r="6" spans="1:42" s="71" customFormat="1" ht="12.6">
      <c r="A6" s="364"/>
      <c r="B6" s="67" t="s">
        <v>15</v>
      </c>
      <c r="C6" s="67">
        <v>1</v>
      </c>
      <c r="D6" s="430" t="s">
        <v>124</v>
      </c>
      <c r="E6" s="431" t="s">
        <v>124</v>
      </c>
      <c r="F6" s="67" t="s">
        <v>125</v>
      </c>
      <c r="G6" s="67"/>
      <c r="H6" s="67" t="s">
        <v>126</v>
      </c>
      <c r="I6" s="67" t="s">
        <v>127</v>
      </c>
      <c r="J6" s="67" t="s">
        <v>128</v>
      </c>
      <c r="K6" s="432" t="s">
        <v>129</v>
      </c>
      <c r="L6" s="432" t="s">
        <v>130</v>
      </c>
      <c r="M6" s="67"/>
      <c r="N6" s="67"/>
      <c r="O6" s="67"/>
      <c r="P6" s="67"/>
      <c r="Q6" s="67"/>
      <c r="R6" s="67"/>
      <c r="S6" s="67"/>
      <c r="T6" s="67"/>
      <c r="U6" s="67" t="s">
        <v>131</v>
      </c>
      <c r="V6" s="67"/>
      <c r="W6" s="433"/>
      <c r="X6" s="67"/>
      <c r="Y6" s="67" t="s">
        <v>126</v>
      </c>
      <c r="Z6" s="67"/>
      <c r="AA6" s="67"/>
      <c r="AB6" s="67"/>
      <c r="AC6" s="67"/>
      <c r="AD6" s="67"/>
      <c r="AE6" s="96"/>
      <c r="AF6" s="96">
        <v>0</v>
      </c>
      <c r="AG6" s="96">
        <v>1</v>
      </c>
      <c r="AH6" s="96"/>
      <c r="AI6" s="434"/>
      <c r="AJ6" s="434"/>
      <c r="AK6" s="435"/>
      <c r="AM6" s="245"/>
      <c r="AN6" s="202" t="s">
        <v>132</v>
      </c>
      <c r="AO6" s="246"/>
      <c r="AP6" s="246"/>
    </row>
    <row r="7" spans="1:42" s="71" customFormat="1" ht="12.6">
      <c r="A7" s="220"/>
      <c r="B7" s="69" t="s">
        <v>23</v>
      </c>
      <c r="C7" s="66">
        <v>2</v>
      </c>
      <c r="D7" s="69" t="b">
        <v>1</v>
      </c>
      <c r="E7" s="69"/>
      <c r="F7" s="66" t="s">
        <v>133</v>
      </c>
      <c r="G7" s="69"/>
      <c r="H7" s="66" t="s">
        <v>134</v>
      </c>
      <c r="I7" s="66" t="s">
        <v>135</v>
      </c>
      <c r="J7" s="67" t="s">
        <v>136</v>
      </c>
      <c r="K7" s="68" t="s">
        <v>137</v>
      </c>
      <c r="L7" s="432" t="s">
        <v>130</v>
      </c>
      <c r="M7" s="66"/>
      <c r="N7" s="69"/>
      <c r="O7" s="69"/>
      <c r="P7" s="66"/>
      <c r="Q7" s="69"/>
      <c r="R7" s="69"/>
      <c r="S7" s="69"/>
      <c r="T7" s="69"/>
      <c r="U7" s="66" t="s">
        <v>134</v>
      </c>
      <c r="V7" s="69" t="str">
        <f>_xlfn.CONCAT($AH$14,"_",U7)</f>
        <v>3922_SON</v>
      </c>
      <c r="W7" s="433" t="s">
        <v>138</v>
      </c>
      <c r="X7" s="66">
        <v>3922</v>
      </c>
      <c r="Y7" s="66" t="s">
        <v>139</v>
      </c>
      <c r="Z7" s="66" t="s">
        <v>140</v>
      </c>
      <c r="AA7" s="66">
        <v>1</v>
      </c>
      <c r="AB7" s="69" t="s">
        <v>126</v>
      </c>
      <c r="AC7" s="69" t="s">
        <v>141</v>
      </c>
      <c r="AD7" s="66" t="s">
        <v>142</v>
      </c>
      <c r="AE7" s="66" t="s">
        <v>126</v>
      </c>
      <c r="AF7" s="66">
        <v>-999</v>
      </c>
      <c r="AG7" s="66">
        <v>999</v>
      </c>
      <c r="AH7" s="436" t="s">
        <v>143</v>
      </c>
      <c r="AI7" s="437"/>
      <c r="AJ7" s="438"/>
      <c r="AK7" s="439"/>
      <c r="AM7" s="247"/>
      <c r="AN7" s="202" t="s">
        <v>144</v>
      </c>
      <c r="AO7" s="246"/>
      <c r="AP7" s="246"/>
    </row>
    <row r="8" spans="1:42" s="71" customFormat="1" ht="12.6">
      <c r="A8" s="220"/>
      <c r="B8" s="69" t="s">
        <v>23</v>
      </c>
      <c r="C8" s="66">
        <v>3</v>
      </c>
      <c r="D8" s="69" t="b">
        <v>1</v>
      </c>
      <c r="E8" s="69"/>
      <c r="F8" s="66" t="s">
        <v>145</v>
      </c>
      <c r="G8" s="69"/>
      <c r="H8" s="66" t="s">
        <v>146</v>
      </c>
      <c r="I8" s="66" t="s">
        <v>147</v>
      </c>
      <c r="J8" s="67" t="s">
        <v>148</v>
      </c>
      <c r="K8" s="68" t="s">
        <v>149</v>
      </c>
      <c r="L8" s="432" t="s">
        <v>130</v>
      </c>
      <c r="M8" s="66"/>
      <c r="N8" s="69"/>
      <c r="O8" s="69"/>
      <c r="P8" s="66"/>
      <c r="Q8" s="69"/>
      <c r="R8" s="69"/>
      <c r="S8" s="69"/>
      <c r="T8" s="69"/>
      <c r="U8" s="66" t="s">
        <v>146</v>
      </c>
      <c r="V8" s="69" t="str">
        <f>_xlfn.CONCAT($AH$14,"_",U8)</f>
        <v>3922_INR</v>
      </c>
      <c r="W8" s="433" t="s">
        <v>138</v>
      </c>
      <c r="X8" s="66">
        <v>3922</v>
      </c>
      <c r="Y8" s="66" t="s">
        <v>139</v>
      </c>
      <c r="Z8" s="66" t="s">
        <v>140</v>
      </c>
      <c r="AA8" s="66">
        <v>2</v>
      </c>
      <c r="AB8" s="69" t="s">
        <v>126</v>
      </c>
      <c r="AC8" s="69" t="s">
        <v>141</v>
      </c>
      <c r="AD8" s="66" t="s">
        <v>142</v>
      </c>
      <c r="AE8" s="66" t="s">
        <v>126</v>
      </c>
      <c r="AF8" s="66">
        <v>-999</v>
      </c>
      <c r="AG8" s="66">
        <v>999</v>
      </c>
      <c r="AH8" s="66" t="s">
        <v>146</v>
      </c>
      <c r="AI8" s="438"/>
      <c r="AJ8" s="438"/>
      <c r="AK8" s="439"/>
      <c r="AM8" s="246"/>
      <c r="AN8" s="246"/>
      <c r="AO8" s="246"/>
      <c r="AP8" s="246"/>
    </row>
    <row r="9" spans="1:42" s="71" customFormat="1" ht="12.6">
      <c r="A9" s="220"/>
      <c r="B9" s="69" t="s">
        <v>15</v>
      </c>
      <c r="C9" s="66">
        <v>4</v>
      </c>
      <c r="D9" s="69"/>
      <c r="E9" s="69"/>
      <c r="F9" s="66" t="s">
        <v>150</v>
      </c>
      <c r="G9" s="69"/>
      <c r="H9" s="66" t="s">
        <v>126</v>
      </c>
      <c r="I9" s="66" t="s">
        <v>151</v>
      </c>
      <c r="J9" s="67" t="s">
        <v>152</v>
      </c>
      <c r="K9" s="68" t="s">
        <v>153</v>
      </c>
      <c r="L9" s="432" t="s">
        <v>130</v>
      </c>
      <c r="M9" s="66"/>
      <c r="N9" s="69"/>
      <c r="O9" s="69"/>
      <c r="P9" s="66"/>
      <c r="Q9" s="69"/>
      <c r="R9" s="69"/>
      <c r="S9" s="69"/>
      <c r="T9" s="69"/>
      <c r="U9" s="66" t="s">
        <v>154</v>
      </c>
      <c r="V9" s="69"/>
      <c r="W9" s="433"/>
      <c r="X9" s="66"/>
      <c r="Y9" s="66" t="s">
        <v>126</v>
      </c>
      <c r="Z9" s="66"/>
      <c r="AA9" s="66"/>
      <c r="AB9" s="69"/>
      <c r="AC9" s="69"/>
      <c r="AD9" s="66"/>
      <c r="AE9" s="66"/>
      <c r="AF9" s="66"/>
      <c r="AG9" s="66"/>
      <c r="AH9" s="66"/>
      <c r="AI9" s="438"/>
      <c r="AJ9" s="438"/>
      <c r="AK9" s="439"/>
      <c r="AM9" s="248"/>
      <c r="AN9" s="202" t="s">
        <v>155</v>
      </c>
      <c r="AO9" s="246"/>
      <c r="AP9" s="246"/>
    </row>
    <row r="10" spans="1:42" s="71" customFormat="1" ht="12.6">
      <c r="A10" s="220"/>
      <c r="B10" s="69" t="s">
        <v>23</v>
      </c>
      <c r="C10" s="66">
        <v>5</v>
      </c>
      <c r="D10" s="69"/>
      <c r="E10" s="69"/>
      <c r="F10" s="66" t="s">
        <v>156</v>
      </c>
      <c r="G10" s="69"/>
      <c r="H10" s="66" t="s">
        <v>157</v>
      </c>
      <c r="I10" s="66" t="s">
        <v>158</v>
      </c>
      <c r="J10" s="67" t="s">
        <v>159</v>
      </c>
      <c r="K10" s="68" t="s">
        <v>160</v>
      </c>
      <c r="L10" s="432" t="s">
        <v>130</v>
      </c>
      <c r="M10" s="66"/>
      <c r="N10" s="69"/>
      <c r="O10" s="69"/>
      <c r="P10" s="66"/>
      <c r="Q10" s="69"/>
      <c r="R10" s="69"/>
      <c r="S10" s="69"/>
      <c r="T10" s="69"/>
      <c r="U10" s="66" t="s">
        <v>161</v>
      </c>
      <c r="V10" s="69" t="str">
        <f>_xlfn.CONCAT($AH$14,"_","RCPVER")</f>
        <v>3922_RCPVER</v>
      </c>
      <c r="W10" s="433"/>
      <c r="X10" s="66">
        <v>3922</v>
      </c>
      <c r="Y10" s="66" t="s">
        <v>139</v>
      </c>
      <c r="Z10" s="66"/>
      <c r="AA10" s="66">
        <v>3</v>
      </c>
      <c r="AB10" s="69" t="s">
        <v>126</v>
      </c>
      <c r="AC10" s="69" t="s">
        <v>141</v>
      </c>
      <c r="AD10" s="66" t="s">
        <v>142</v>
      </c>
      <c r="AE10" s="66"/>
      <c r="AF10" s="66">
        <v>-999</v>
      </c>
      <c r="AG10" s="66">
        <v>999</v>
      </c>
      <c r="AH10" s="66">
        <v>1</v>
      </c>
      <c r="AI10" s="438"/>
      <c r="AJ10" s="438"/>
      <c r="AK10" s="439"/>
      <c r="AM10" s="249"/>
      <c r="AN10" s="202" t="s">
        <v>162</v>
      </c>
      <c r="AO10" s="246"/>
      <c r="AP10" s="246"/>
    </row>
    <row r="11" spans="1:42" s="71" customFormat="1" ht="54.75" customHeight="1">
      <c r="A11" s="220"/>
      <c r="B11" s="69" t="s">
        <v>23</v>
      </c>
      <c r="C11" s="66">
        <v>6</v>
      </c>
      <c r="D11" s="69" t="b">
        <v>1</v>
      </c>
      <c r="E11" s="69"/>
      <c r="F11" s="66" t="s">
        <v>163</v>
      </c>
      <c r="G11" s="69"/>
      <c r="H11" s="66" t="s">
        <v>163</v>
      </c>
      <c r="I11" s="66" t="s">
        <v>164</v>
      </c>
      <c r="J11" s="67" t="s">
        <v>165</v>
      </c>
      <c r="K11" s="440" t="s">
        <v>166</v>
      </c>
      <c r="L11" s="432" t="s">
        <v>130</v>
      </c>
      <c r="M11" s="66"/>
      <c r="N11" s="69"/>
      <c r="O11" s="69"/>
      <c r="P11" s="66"/>
      <c r="Q11" s="69"/>
      <c r="R11" s="69"/>
      <c r="S11" s="69"/>
      <c r="T11" s="69"/>
      <c r="U11" s="66" t="s">
        <v>163</v>
      </c>
      <c r="V11" s="69" t="str">
        <f>_xlfn.CONCAT($AH$14,"_","MODE")</f>
        <v>3922_MODE</v>
      </c>
      <c r="W11" s="433" t="s">
        <v>138</v>
      </c>
      <c r="X11" s="66">
        <v>3922</v>
      </c>
      <c r="Y11" s="66" t="s">
        <v>139</v>
      </c>
      <c r="Z11" s="66" t="s">
        <v>140</v>
      </c>
      <c r="AA11" s="66">
        <v>4</v>
      </c>
      <c r="AB11" s="69" t="s">
        <v>126</v>
      </c>
      <c r="AC11" s="69" t="s">
        <v>141</v>
      </c>
      <c r="AD11" s="66" t="s">
        <v>142</v>
      </c>
      <c r="AE11" s="66"/>
      <c r="AF11" s="66">
        <v>0</v>
      </c>
      <c r="AG11" s="66">
        <v>999</v>
      </c>
      <c r="AH11" s="66">
        <v>1</v>
      </c>
      <c r="AI11" s="438"/>
      <c r="AJ11" s="441" t="s">
        <v>167</v>
      </c>
      <c r="AK11" s="442"/>
      <c r="AM11" s="246"/>
      <c r="AN11" s="246"/>
      <c r="AO11" s="246"/>
      <c r="AP11" s="246"/>
    </row>
    <row r="12" spans="1:42" s="71" customFormat="1" ht="12.6">
      <c r="A12" s="220"/>
      <c r="B12" s="69" t="s">
        <v>23</v>
      </c>
      <c r="C12" s="66">
        <v>7</v>
      </c>
      <c r="D12" s="69" t="b">
        <v>1</v>
      </c>
      <c r="E12" s="69"/>
      <c r="F12" s="66" t="s">
        <v>168</v>
      </c>
      <c r="G12" s="69"/>
      <c r="H12" s="66" t="s">
        <v>169</v>
      </c>
      <c r="I12" s="66" t="s">
        <v>170</v>
      </c>
      <c r="J12" s="67" t="s">
        <v>171</v>
      </c>
      <c r="K12" s="68" t="s">
        <v>172</v>
      </c>
      <c r="L12" s="432" t="s">
        <v>130</v>
      </c>
      <c r="M12" s="66"/>
      <c r="N12" s="69"/>
      <c r="O12" s="69"/>
      <c r="P12" s="66"/>
      <c r="Q12" s="69"/>
      <c r="R12" s="69"/>
      <c r="S12" s="69"/>
      <c r="T12" s="69"/>
      <c r="U12" s="66" t="s">
        <v>173</v>
      </c>
      <c r="V12" s="69" t="str">
        <f>_xlfn.CONCAT($AH$14,"_","IDESCR")</f>
        <v>3922_IDESCR</v>
      </c>
      <c r="W12" s="433" t="s">
        <v>138</v>
      </c>
      <c r="X12" s="66">
        <v>3922</v>
      </c>
      <c r="Y12" s="66" t="s">
        <v>139</v>
      </c>
      <c r="Z12" s="66" t="s">
        <v>140</v>
      </c>
      <c r="AA12" s="66">
        <v>5</v>
      </c>
      <c r="AB12" s="69" t="s">
        <v>126</v>
      </c>
      <c r="AC12" s="69" t="s">
        <v>141</v>
      </c>
      <c r="AD12" s="66" t="s">
        <v>142</v>
      </c>
      <c r="AE12" s="66" t="s">
        <v>126</v>
      </c>
      <c r="AF12" s="66">
        <v>-999</v>
      </c>
      <c r="AG12" s="66">
        <v>999</v>
      </c>
      <c r="AH12" s="66" t="s">
        <v>4</v>
      </c>
      <c r="AI12" s="438"/>
      <c r="AJ12" s="438"/>
      <c r="AK12" s="439"/>
      <c r="AM12" s="246"/>
      <c r="AN12" s="246"/>
      <c r="AO12" s="246"/>
      <c r="AP12" s="246"/>
    </row>
    <row r="13" spans="1:42" s="71" customFormat="1" ht="12.6">
      <c r="A13" s="220"/>
      <c r="B13" s="69" t="s">
        <v>23</v>
      </c>
      <c r="C13" s="66">
        <v>8</v>
      </c>
      <c r="D13" s="69" t="b">
        <v>1</v>
      </c>
      <c r="E13" s="69"/>
      <c r="F13" s="66" t="s">
        <v>174</v>
      </c>
      <c r="G13" s="69"/>
      <c r="H13" s="66" t="s">
        <v>175</v>
      </c>
      <c r="I13" s="66" t="s">
        <v>176</v>
      </c>
      <c r="J13" s="67" t="s">
        <v>177</v>
      </c>
      <c r="K13" s="68" t="s">
        <v>137</v>
      </c>
      <c r="L13" s="432" t="s">
        <v>130</v>
      </c>
      <c r="M13" s="66"/>
      <c r="N13" s="69"/>
      <c r="O13" s="69"/>
      <c r="P13" s="66"/>
      <c r="Q13" s="69"/>
      <c r="R13" s="69"/>
      <c r="S13" s="69"/>
      <c r="T13" s="69"/>
      <c r="U13" s="66" t="s">
        <v>175</v>
      </c>
      <c r="V13" s="69" t="str">
        <f>_xlfn.CONCAT($AH$14,"_",U13)</f>
        <v>3922_LNR</v>
      </c>
      <c r="W13" s="433" t="s">
        <v>138</v>
      </c>
      <c r="X13" s="66">
        <v>3922</v>
      </c>
      <c r="Y13" s="66" t="s">
        <v>139</v>
      </c>
      <c r="Z13" s="66" t="s">
        <v>140</v>
      </c>
      <c r="AA13" s="66">
        <v>6</v>
      </c>
      <c r="AB13" s="69" t="s">
        <v>126</v>
      </c>
      <c r="AC13" s="69" t="s">
        <v>141</v>
      </c>
      <c r="AD13" s="66" t="s">
        <v>142</v>
      </c>
      <c r="AE13" s="66" t="s">
        <v>126</v>
      </c>
      <c r="AF13" s="66">
        <v>-999</v>
      </c>
      <c r="AG13" s="66">
        <v>999</v>
      </c>
      <c r="AH13" s="66" t="s">
        <v>178</v>
      </c>
      <c r="AI13" s="438"/>
      <c r="AJ13" s="438"/>
      <c r="AK13" s="439"/>
    </row>
    <row r="14" spans="1:42" s="71" customFormat="1" ht="12.6">
      <c r="A14" s="220"/>
      <c r="B14" s="69" t="s">
        <v>23</v>
      </c>
      <c r="C14" s="66">
        <v>9</v>
      </c>
      <c r="D14" s="69" t="b">
        <v>1</v>
      </c>
      <c r="E14" s="69"/>
      <c r="F14" s="66" t="s">
        <v>179</v>
      </c>
      <c r="G14" s="69"/>
      <c r="H14" s="66" t="s">
        <v>109</v>
      </c>
      <c r="I14" s="66" t="s">
        <v>180</v>
      </c>
      <c r="J14" s="67" t="s">
        <v>181</v>
      </c>
      <c r="K14" s="440" t="s">
        <v>166</v>
      </c>
      <c r="L14" s="432" t="s">
        <v>130</v>
      </c>
      <c r="M14" s="66"/>
      <c r="N14" s="69"/>
      <c r="O14" s="69"/>
      <c r="P14" s="66"/>
      <c r="Q14" s="69"/>
      <c r="R14" s="69"/>
      <c r="S14" s="69"/>
      <c r="T14" s="69"/>
      <c r="U14" s="66" t="s">
        <v>109</v>
      </c>
      <c r="V14" s="69" t="str">
        <f>_xlfn.CONCAT($AH$14,"_",U14)</f>
        <v>3922_VU</v>
      </c>
      <c r="W14" s="433" t="s">
        <v>138</v>
      </c>
      <c r="X14" s="66">
        <v>3922</v>
      </c>
      <c r="Y14" s="66" t="s">
        <v>139</v>
      </c>
      <c r="Z14" s="66" t="s">
        <v>140</v>
      </c>
      <c r="AA14" s="66">
        <v>7</v>
      </c>
      <c r="AB14" s="69" t="s">
        <v>126</v>
      </c>
      <c r="AC14" s="69" t="s">
        <v>141</v>
      </c>
      <c r="AD14" s="66" t="s">
        <v>142</v>
      </c>
      <c r="AE14" s="66"/>
      <c r="AF14" s="66">
        <v>0</v>
      </c>
      <c r="AG14" s="66">
        <v>9999</v>
      </c>
      <c r="AH14" s="66">
        <v>3922</v>
      </c>
      <c r="AI14" s="438"/>
      <c r="AJ14" s="438"/>
      <c r="AK14" s="439"/>
    </row>
    <row r="15" spans="1:42" s="71" customFormat="1" ht="12.75" customHeight="1">
      <c r="A15" s="220"/>
      <c r="B15" s="69" t="s">
        <v>15</v>
      </c>
      <c r="C15" s="66">
        <v>10</v>
      </c>
      <c r="D15" s="69"/>
      <c r="E15" s="69"/>
      <c r="F15" s="66" t="s">
        <v>182</v>
      </c>
      <c r="G15" s="69"/>
      <c r="H15" s="69" t="s">
        <v>183</v>
      </c>
      <c r="I15" s="66" t="s">
        <v>184</v>
      </c>
      <c r="J15" s="67" t="s">
        <v>185</v>
      </c>
      <c r="K15" s="68" t="s">
        <v>129</v>
      </c>
      <c r="L15" s="432" t="s">
        <v>130</v>
      </c>
      <c r="M15" s="66"/>
      <c r="N15" s="69"/>
      <c r="O15" s="69"/>
      <c r="P15" s="66"/>
      <c r="Q15" s="70"/>
      <c r="R15" s="70"/>
      <c r="S15" s="70"/>
      <c r="T15" s="70"/>
      <c r="U15" s="70" t="s">
        <v>186</v>
      </c>
      <c r="V15" s="69"/>
      <c r="W15" s="433"/>
      <c r="X15" s="66">
        <v>3922</v>
      </c>
      <c r="Y15" s="66" t="s">
        <v>126</v>
      </c>
      <c r="Z15" s="66"/>
      <c r="AA15" s="66"/>
      <c r="AB15" s="69"/>
      <c r="AC15" s="69"/>
      <c r="AD15" s="66"/>
      <c r="AE15" s="66"/>
      <c r="AF15" s="66"/>
      <c r="AG15" s="66"/>
      <c r="AH15" s="66"/>
      <c r="AI15" s="438"/>
      <c r="AJ15" s="438"/>
      <c r="AK15" s="439"/>
    </row>
    <row r="16" spans="1:42" s="319" customFormat="1" ht="12.75" customHeight="1">
      <c r="A16" s="396"/>
      <c r="B16" s="69" t="s">
        <v>81</v>
      </c>
      <c r="C16" s="66">
        <v>11</v>
      </c>
      <c r="D16" s="69" t="b">
        <v>1</v>
      </c>
      <c r="E16" s="69"/>
      <c r="F16" s="397" t="s">
        <v>187</v>
      </c>
      <c r="G16" s="397" t="s">
        <v>188</v>
      </c>
      <c r="H16" s="69" t="s">
        <v>189</v>
      </c>
      <c r="I16" s="69" t="s">
        <v>190</v>
      </c>
      <c r="J16" s="67" t="s">
        <v>191</v>
      </c>
      <c r="K16" s="67" t="s">
        <v>137</v>
      </c>
      <c r="L16" s="57" t="s">
        <v>192</v>
      </c>
      <c r="M16" s="69"/>
      <c r="N16" s="69"/>
      <c r="O16" s="69"/>
      <c r="P16" s="69"/>
      <c r="Q16" s="70"/>
      <c r="R16" s="70"/>
      <c r="S16" s="447"/>
      <c r="T16" s="70" t="s">
        <v>193</v>
      </c>
      <c r="U16" s="447" t="s">
        <v>194</v>
      </c>
      <c r="V16" s="69" t="str">
        <f>_xlfn.CONCAT($AH$14,"_",U16)</f>
        <v>3922_VialType</v>
      </c>
      <c r="W16" s="433" t="s">
        <v>195</v>
      </c>
      <c r="X16" s="66">
        <v>3922</v>
      </c>
      <c r="Y16" s="69" t="s">
        <v>196</v>
      </c>
      <c r="Z16" s="69" t="s">
        <v>197</v>
      </c>
      <c r="AA16" s="69">
        <v>1</v>
      </c>
      <c r="AB16" s="67" t="s">
        <v>198</v>
      </c>
      <c r="AC16" s="69" t="s">
        <v>141</v>
      </c>
      <c r="AD16" s="66" t="s">
        <v>199</v>
      </c>
      <c r="AE16" s="444" t="s">
        <v>126</v>
      </c>
      <c r="AF16" s="445" t="s">
        <v>126</v>
      </c>
      <c r="AG16" s="445" t="s">
        <v>126</v>
      </c>
      <c r="AH16" s="445" t="s">
        <v>200</v>
      </c>
      <c r="AI16" s="446"/>
      <c r="AJ16" s="443"/>
      <c r="AK16" s="472"/>
    </row>
    <row r="17" spans="1:37" s="71" customFormat="1" ht="12.75" customHeight="1">
      <c r="A17" s="220"/>
      <c r="B17" s="69" t="s">
        <v>15</v>
      </c>
      <c r="C17" s="66">
        <v>12</v>
      </c>
      <c r="D17" s="69"/>
      <c r="E17" s="69"/>
      <c r="F17" s="397" t="s">
        <v>201</v>
      </c>
      <c r="G17" s="397" t="s">
        <v>201</v>
      </c>
      <c r="H17" s="69" t="s">
        <v>201</v>
      </c>
      <c r="I17" s="69" t="s">
        <v>202</v>
      </c>
      <c r="J17" s="67" t="s">
        <v>203</v>
      </c>
      <c r="K17" s="69"/>
      <c r="L17" s="57" t="s">
        <v>192</v>
      </c>
      <c r="M17" s="69"/>
      <c r="N17" s="69"/>
      <c r="O17" s="69"/>
      <c r="P17" s="69"/>
      <c r="Q17" s="70"/>
      <c r="R17" s="70"/>
      <c r="S17" s="70"/>
      <c r="T17" s="70"/>
      <c r="U17" s="70"/>
      <c r="V17" s="69"/>
      <c r="W17" s="443"/>
      <c r="X17" s="66"/>
      <c r="Y17" s="69"/>
      <c r="Z17" s="69"/>
      <c r="AA17" s="69"/>
      <c r="AB17" s="69"/>
      <c r="AC17" s="69"/>
      <c r="AD17" s="66"/>
      <c r="AE17" s="444"/>
      <c r="AF17" s="445"/>
      <c r="AG17" s="445"/>
      <c r="AH17" s="445"/>
      <c r="AI17" s="446"/>
      <c r="AJ17" s="438"/>
      <c r="AK17" s="439"/>
    </row>
    <row r="18" spans="1:37" s="319" customFormat="1" ht="12.75" customHeight="1">
      <c r="A18" s="220"/>
      <c r="B18" s="69" t="s">
        <v>46</v>
      </c>
      <c r="C18" s="66">
        <v>100</v>
      </c>
      <c r="D18" s="69" t="b">
        <v>1</v>
      </c>
      <c r="E18" s="69"/>
      <c r="F18" s="397" t="s">
        <v>204</v>
      </c>
      <c r="G18" s="397" t="s">
        <v>205</v>
      </c>
      <c r="H18" s="447" t="s">
        <v>206</v>
      </c>
      <c r="I18" s="69" t="s">
        <v>207</v>
      </c>
      <c r="J18" s="69" t="s">
        <v>208</v>
      </c>
      <c r="K18" s="69" t="s">
        <v>209</v>
      </c>
      <c r="L18" s="57" t="s">
        <v>192</v>
      </c>
      <c r="M18" s="400"/>
      <c r="N18" s="400"/>
      <c r="O18" s="448"/>
      <c r="P18" s="400"/>
      <c r="Q18" s="399"/>
      <c r="R18" s="70"/>
      <c r="S18" s="447"/>
      <c r="T18" s="70"/>
      <c r="U18" s="447" t="s">
        <v>210</v>
      </c>
      <c r="V18" s="69" t="str">
        <f>_xlfn.CONCAT($AH$14,"_",U18)</f>
        <v>3922_41M1_SP_productie</v>
      </c>
      <c r="W18" s="433" t="s">
        <v>211</v>
      </c>
      <c r="X18" s="66">
        <v>3922</v>
      </c>
      <c r="Y18" s="69" t="s">
        <v>212</v>
      </c>
      <c r="Z18" s="69" t="s">
        <v>213</v>
      </c>
      <c r="AA18" s="69">
        <v>1</v>
      </c>
      <c r="AB18" s="67" t="s">
        <v>198</v>
      </c>
      <c r="AC18" s="69" t="s">
        <v>141</v>
      </c>
      <c r="AD18" s="66" t="s">
        <v>214</v>
      </c>
      <c r="AE18" s="444" t="s">
        <v>215</v>
      </c>
      <c r="AF18" s="445">
        <v>5</v>
      </c>
      <c r="AG18" s="445">
        <v>100</v>
      </c>
      <c r="AH18" s="445">
        <v>5</v>
      </c>
      <c r="AI18" s="446"/>
      <c r="AJ18" s="438"/>
      <c r="AK18" s="439"/>
    </row>
    <row r="19" spans="1:37" s="319" customFormat="1" ht="12.75" customHeight="1">
      <c r="A19" s="220"/>
      <c r="B19" s="69" t="s">
        <v>46</v>
      </c>
      <c r="C19" s="66">
        <v>101</v>
      </c>
      <c r="D19" s="69" t="b">
        <v>1</v>
      </c>
      <c r="E19" s="69"/>
      <c r="F19" s="397" t="s">
        <v>216</v>
      </c>
      <c r="G19" s="397" t="s">
        <v>217</v>
      </c>
      <c r="H19" s="447" t="s">
        <v>218</v>
      </c>
      <c r="I19" s="69" t="s">
        <v>219</v>
      </c>
      <c r="J19" s="69" t="s">
        <v>220</v>
      </c>
      <c r="K19" s="69" t="s">
        <v>209</v>
      </c>
      <c r="L19" s="57" t="s">
        <v>192</v>
      </c>
      <c r="M19" s="400"/>
      <c r="N19" s="400"/>
      <c r="O19" s="448"/>
      <c r="P19" s="400"/>
      <c r="Q19" s="399"/>
      <c r="R19" s="70"/>
      <c r="S19" s="447"/>
      <c r="T19" s="70"/>
      <c r="U19" s="447" t="s">
        <v>221</v>
      </c>
      <c r="V19" s="69" t="str">
        <f>_xlfn.CONCAT($AH$14,"_",U19)</f>
        <v>3922_41M1_SP_prod_slow</v>
      </c>
      <c r="W19" s="433" t="s">
        <v>195</v>
      </c>
      <c r="X19" s="66">
        <v>3922</v>
      </c>
      <c r="Y19" s="69" t="s">
        <v>212</v>
      </c>
      <c r="Z19" s="69" t="s">
        <v>213</v>
      </c>
      <c r="AA19" s="69">
        <v>2</v>
      </c>
      <c r="AB19" s="67" t="s">
        <v>198</v>
      </c>
      <c r="AC19" s="69" t="s">
        <v>141</v>
      </c>
      <c r="AD19" s="66" t="s">
        <v>214</v>
      </c>
      <c r="AE19" s="444" t="s">
        <v>215</v>
      </c>
      <c r="AF19" s="445">
        <v>5</v>
      </c>
      <c r="AG19" s="445">
        <v>100</v>
      </c>
      <c r="AH19" s="445">
        <v>5</v>
      </c>
      <c r="AI19" s="446"/>
      <c r="AJ19" s="438"/>
      <c r="AK19" s="439"/>
    </row>
    <row r="20" spans="1:37" s="319" customFormat="1" ht="12.75" customHeight="1">
      <c r="A20" s="220"/>
      <c r="B20" s="69" t="s">
        <v>46</v>
      </c>
      <c r="C20" s="66">
        <v>102</v>
      </c>
      <c r="D20" s="69" t="b">
        <v>1</v>
      </c>
      <c r="E20" s="69"/>
      <c r="F20" s="397" t="s">
        <v>222</v>
      </c>
      <c r="G20" s="397" t="s">
        <v>223</v>
      </c>
      <c r="H20" s="447" t="s">
        <v>224</v>
      </c>
      <c r="I20" s="69" t="s">
        <v>225</v>
      </c>
      <c r="J20" s="69" t="s">
        <v>226</v>
      </c>
      <c r="K20" s="69" t="s">
        <v>209</v>
      </c>
      <c r="L20" s="57" t="s">
        <v>192</v>
      </c>
      <c r="M20" s="400"/>
      <c r="N20" s="400"/>
      <c r="O20" s="448"/>
      <c r="P20" s="400"/>
      <c r="Q20" s="399"/>
      <c r="R20" s="70"/>
      <c r="S20" s="447"/>
      <c r="T20" s="70"/>
      <c r="U20" s="447" t="s">
        <v>227</v>
      </c>
      <c r="V20" s="69" t="str">
        <f>_xlfn.CONCAT($AH$14,"_",U20)</f>
        <v>3922_41M1_SP_slow</v>
      </c>
      <c r="W20" s="433" t="s">
        <v>211</v>
      </c>
      <c r="X20" s="66">
        <v>3922</v>
      </c>
      <c r="Y20" s="69" t="s">
        <v>212</v>
      </c>
      <c r="Z20" s="69" t="s">
        <v>213</v>
      </c>
      <c r="AA20" s="69">
        <v>4</v>
      </c>
      <c r="AB20" s="67" t="s">
        <v>198</v>
      </c>
      <c r="AC20" s="69" t="s">
        <v>141</v>
      </c>
      <c r="AD20" s="66" t="s">
        <v>214</v>
      </c>
      <c r="AE20" s="444" t="s">
        <v>215</v>
      </c>
      <c r="AF20" s="445">
        <v>5</v>
      </c>
      <c r="AG20" s="445">
        <v>50</v>
      </c>
      <c r="AH20" s="445">
        <v>5</v>
      </c>
      <c r="AI20" s="446"/>
      <c r="AJ20" s="438"/>
      <c r="AK20" s="439"/>
    </row>
    <row r="21" spans="1:37" s="319" customFormat="1" ht="12.75" customHeight="1">
      <c r="A21" s="220"/>
      <c r="B21" s="69" t="s">
        <v>46</v>
      </c>
      <c r="C21" s="66">
        <v>103</v>
      </c>
      <c r="D21" s="69" t="b">
        <v>1</v>
      </c>
      <c r="E21" s="69"/>
      <c r="F21" s="397" t="s">
        <v>228</v>
      </c>
      <c r="G21" s="397" t="s">
        <v>229</v>
      </c>
      <c r="H21" s="447" t="s">
        <v>230</v>
      </c>
      <c r="I21" s="69" t="s">
        <v>231</v>
      </c>
      <c r="J21" s="69" t="s">
        <v>232</v>
      </c>
      <c r="K21" s="69" t="s">
        <v>209</v>
      </c>
      <c r="L21" s="57" t="s">
        <v>192</v>
      </c>
      <c r="M21" s="400"/>
      <c r="N21" s="400"/>
      <c r="O21" s="448"/>
      <c r="P21" s="400"/>
      <c r="Q21" s="399"/>
      <c r="R21" s="70"/>
      <c r="S21" s="447"/>
      <c r="T21" s="70"/>
      <c r="U21" s="447" t="s">
        <v>233</v>
      </c>
      <c r="V21" s="69" t="str">
        <f>_xlfn.CONCAT($AH$14,"_",U21)</f>
        <v>3922_41M1_SP_jog</v>
      </c>
      <c r="W21" s="433" t="s">
        <v>234</v>
      </c>
      <c r="X21" s="66">
        <v>3922</v>
      </c>
      <c r="Y21" s="69" t="s">
        <v>212</v>
      </c>
      <c r="Z21" s="69" t="s">
        <v>213</v>
      </c>
      <c r="AA21" s="69">
        <v>5</v>
      </c>
      <c r="AB21" s="67" t="s">
        <v>198</v>
      </c>
      <c r="AC21" s="69" t="s">
        <v>141</v>
      </c>
      <c r="AD21" s="66" t="s">
        <v>214</v>
      </c>
      <c r="AE21" s="444" t="s">
        <v>215</v>
      </c>
      <c r="AF21" s="445">
        <v>1</v>
      </c>
      <c r="AG21" s="445">
        <v>15</v>
      </c>
      <c r="AH21" s="445">
        <v>1</v>
      </c>
      <c r="AI21" s="446"/>
      <c r="AJ21" s="438"/>
      <c r="AK21" s="439"/>
    </row>
    <row r="22" spans="1:37" s="71" customFormat="1" ht="12.75" customHeight="1">
      <c r="A22" s="220"/>
      <c r="B22" s="69" t="s">
        <v>15</v>
      </c>
      <c r="C22" s="66">
        <v>104</v>
      </c>
      <c r="D22" s="69"/>
      <c r="E22" s="69"/>
      <c r="F22" s="397" t="s">
        <v>201</v>
      </c>
      <c r="G22" s="397" t="s">
        <v>201</v>
      </c>
      <c r="H22" s="69" t="s">
        <v>201</v>
      </c>
      <c r="I22" s="69" t="s">
        <v>235</v>
      </c>
      <c r="J22" s="69" t="s">
        <v>236</v>
      </c>
      <c r="K22" s="69" t="s">
        <v>209</v>
      </c>
      <c r="L22" s="57" t="s">
        <v>192</v>
      </c>
      <c r="M22" s="69"/>
      <c r="N22" s="69"/>
      <c r="O22" s="69"/>
      <c r="P22" s="69"/>
      <c r="Q22" s="70"/>
      <c r="R22" s="70"/>
      <c r="S22" s="70"/>
      <c r="T22" s="70"/>
      <c r="U22" s="70"/>
      <c r="V22" s="69"/>
      <c r="W22" s="443"/>
      <c r="X22" s="69"/>
      <c r="Y22" s="69"/>
      <c r="Z22" s="69"/>
      <c r="AA22" s="69"/>
      <c r="AB22" s="69"/>
      <c r="AC22" s="69"/>
      <c r="AD22" s="69"/>
      <c r="AE22" s="444"/>
      <c r="AF22" s="445"/>
      <c r="AG22" s="445"/>
      <c r="AH22" s="445"/>
      <c r="AI22" s="446"/>
      <c r="AJ22" s="438"/>
      <c r="AK22" s="439"/>
    </row>
    <row r="23" spans="1:37" s="319" customFormat="1" ht="12.75" customHeight="1">
      <c r="A23" s="220"/>
      <c r="B23" s="69" t="s">
        <v>46</v>
      </c>
      <c r="C23" s="66">
        <v>105</v>
      </c>
      <c r="D23" s="69" t="b">
        <v>1</v>
      </c>
      <c r="E23" s="69"/>
      <c r="F23" s="397" t="s">
        <v>237</v>
      </c>
      <c r="G23" s="397" t="s">
        <v>238</v>
      </c>
      <c r="H23" s="447" t="s">
        <v>239</v>
      </c>
      <c r="I23" s="69" t="s">
        <v>240</v>
      </c>
      <c r="J23" s="69" t="s">
        <v>241</v>
      </c>
      <c r="K23" s="69" t="s">
        <v>209</v>
      </c>
      <c r="L23" s="57" t="s">
        <v>192</v>
      </c>
      <c r="M23" s="69" t="s">
        <v>242</v>
      </c>
      <c r="N23" s="69" t="s">
        <v>243</v>
      </c>
      <c r="O23" s="69" t="s">
        <v>244</v>
      </c>
      <c r="P23" s="69" t="s">
        <v>209</v>
      </c>
      <c r="Q23" s="70" t="s">
        <v>245</v>
      </c>
      <c r="R23" s="70"/>
      <c r="S23" s="447"/>
      <c r="T23" s="70"/>
      <c r="U23" s="447" t="s">
        <v>246</v>
      </c>
      <c r="V23" s="69" t="str">
        <f>_xlfn.CONCAT($AH$14,"_",U23)</f>
        <v>3922_43M2_SP</v>
      </c>
      <c r="W23" s="433" t="s">
        <v>195</v>
      </c>
      <c r="X23" s="66">
        <v>3922</v>
      </c>
      <c r="Y23" s="69" t="s">
        <v>212</v>
      </c>
      <c r="Z23" s="69" t="s">
        <v>213</v>
      </c>
      <c r="AA23" s="69">
        <v>6</v>
      </c>
      <c r="AB23" s="67" t="s">
        <v>198</v>
      </c>
      <c r="AC23" s="69" t="s">
        <v>141</v>
      </c>
      <c r="AD23" s="66" t="s">
        <v>214</v>
      </c>
      <c r="AE23" s="444" t="s">
        <v>215</v>
      </c>
      <c r="AF23" s="445">
        <v>10</v>
      </c>
      <c r="AG23" s="445">
        <v>100</v>
      </c>
      <c r="AH23" s="445">
        <v>10</v>
      </c>
      <c r="AI23" s="446"/>
      <c r="AJ23" s="438"/>
      <c r="AK23" s="439"/>
    </row>
    <row r="24" spans="1:37" s="319" customFormat="1" ht="12.75" customHeight="1">
      <c r="A24" s="220"/>
      <c r="B24" s="69" t="s">
        <v>46</v>
      </c>
      <c r="C24" s="66">
        <v>106</v>
      </c>
      <c r="D24" s="69" t="b">
        <v>1</v>
      </c>
      <c r="E24" s="69"/>
      <c r="F24" s="397" t="s">
        <v>247</v>
      </c>
      <c r="G24" s="397" t="s">
        <v>248</v>
      </c>
      <c r="H24" s="447" t="s">
        <v>249</v>
      </c>
      <c r="I24" s="69" t="s">
        <v>250</v>
      </c>
      <c r="J24" s="69" t="s">
        <v>251</v>
      </c>
      <c r="K24" s="69" t="s">
        <v>209</v>
      </c>
      <c r="L24" s="57" t="s">
        <v>192</v>
      </c>
      <c r="M24" s="69" t="s">
        <v>242</v>
      </c>
      <c r="N24" s="69" t="s">
        <v>252</v>
      </c>
      <c r="O24" s="69" t="s">
        <v>253</v>
      </c>
      <c r="P24" s="69" t="s">
        <v>209</v>
      </c>
      <c r="Q24" s="70" t="s">
        <v>245</v>
      </c>
      <c r="R24" s="70"/>
      <c r="S24" s="447"/>
      <c r="T24" s="70"/>
      <c r="U24" s="447" t="s">
        <v>254</v>
      </c>
      <c r="V24" s="69" t="str">
        <f>_xlfn.CONCAT($AH$14,"_",U24)</f>
        <v>3922_43M1_SP</v>
      </c>
      <c r="W24" s="433" t="s">
        <v>195</v>
      </c>
      <c r="X24" s="66">
        <v>3922</v>
      </c>
      <c r="Y24" s="69" t="s">
        <v>212</v>
      </c>
      <c r="Z24" s="69" t="s">
        <v>213</v>
      </c>
      <c r="AA24" s="69">
        <v>7</v>
      </c>
      <c r="AB24" s="67" t="s">
        <v>198</v>
      </c>
      <c r="AC24" s="69" t="s">
        <v>141</v>
      </c>
      <c r="AD24" s="66" t="s">
        <v>214</v>
      </c>
      <c r="AE24" s="444" t="s">
        <v>215</v>
      </c>
      <c r="AF24" s="445">
        <v>10</v>
      </c>
      <c r="AG24" s="445">
        <v>100</v>
      </c>
      <c r="AH24" s="445">
        <v>10</v>
      </c>
      <c r="AI24" s="446"/>
      <c r="AJ24" s="438"/>
      <c r="AK24" s="439"/>
    </row>
    <row r="25" spans="1:37" s="319" customFormat="1" ht="12.75" customHeight="1">
      <c r="A25" s="220"/>
      <c r="B25" s="69" t="s">
        <v>46</v>
      </c>
      <c r="C25" s="66">
        <v>107</v>
      </c>
      <c r="D25" s="69" t="b">
        <v>1</v>
      </c>
      <c r="E25" s="69"/>
      <c r="F25" s="397" t="s">
        <v>255</v>
      </c>
      <c r="G25" s="397" t="s">
        <v>256</v>
      </c>
      <c r="H25" s="69" t="s">
        <v>257</v>
      </c>
      <c r="I25" s="69" t="s">
        <v>258</v>
      </c>
      <c r="J25" s="69" t="s">
        <v>259</v>
      </c>
      <c r="K25" s="69" t="s">
        <v>209</v>
      </c>
      <c r="L25" s="57" t="s">
        <v>192</v>
      </c>
      <c r="M25" s="69" t="s">
        <v>242</v>
      </c>
      <c r="N25" s="69" t="s">
        <v>260</v>
      </c>
      <c r="O25" s="69" t="s">
        <v>261</v>
      </c>
      <c r="P25" s="69" t="s">
        <v>209</v>
      </c>
      <c r="Q25" s="70" t="s">
        <v>245</v>
      </c>
      <c r="R25" s="70"/>
      <c r="S25" s="447"/>
      <c r="T25" s="70"/>
      <c r="U25" s="447" t="s">
        <v>262</v>
      </c>
      <c r="V25" s="69" t="str">
        <f>_xlfn.CONCAT($AH$14,"_",U25)</f>
        <v>3922_44M1_SP</v>
      </c>
      <c r="W25" s="433" t="s">
        <v>195</v>
      </c>
      <c r="X25" s="66">
        <v>3922</v>
      </c>
      <c r="Y25" s="69" t="s">
        <v>212</v>
      </c>
      <c r="Z25" s="69" t="s">
        <v>213</v>
      </c>
      <c r="AA25" s="69">
        <v>8</v>
      </c>
      <c r="AB25" s="67" t="s">
        <v>198</v>
      </c>
      <c r="AC25" s="69" t="s">
        <v>141</v>
      </c>
      <c r="AD25" s="66" t="s">
        <v>214</v>
      </c>
      <c r="AE25" s="444" t="s">
        <v>215</v>
      </c>
      <c r="AF25" s="445">
        <v>10</v>
      </c>
      <c r="AG25" s="445">
        <v>100</v>
      </c>
      <c r="AH25" s="445">
        <v>10</v>
      </c>
      <c r="AI25" s="446"/>
      <c r="AJ25" s="438"/>
      <c r="AK25" s="439"/>
    </row>
    <row r="26" spans="1:37" s="71" customFormat="1" ht="12.75" customHeight="1">
      <c r="A26" s="220"/>
      <c r="B26" s="69" t="s">
        <v>15</v>
      </c>
      <c r="C26" s="66">
        <v>108</v>
      </c>
      <c r="D26" s="69"/>
      <c r="E26" s="69"/>
      <c r="F26" s="397" t="s">
        <v>201</v>
      </c>
      <c r="G26" s="397" t="s">
        <v>201</v>
      </c>
      <c r="H26" s="69" t="s">
        <v>201</v>
      </c>
      <c r="I26" s="69" t="s">
        <v>263</v>
      </c>
      <c r="J26" s="69" t="s">
        <v>264</v>
      </c>
      <c r="K26" s="69" t="s">
        <v>209</v>
      </c>
      <c r="L26" s="57" t="s">
        <v>192</v>
      </c>
      <c r="M26" s="69"/>
      <c r="N26" s="69"/>
      <c r="O26" s="69"/>
      <c r="P26" s="69"/>
      <c r="Q26" s="70"/>
      <c r="R26" s="70"/>
      <c r="S26" s="70"/>
      <c r="T26" s="70"/>
      <c r="U26" s="70"/>
      <c r="V26" s="70"/>
      <c r="W26" s="443"/>
      <c r="X26" s="69"/>
      <c r="Y26" s="69"/>
      <c r="Z26" s="69"/>
      <c r="AA26" s="69"/>
      <c r="AB26" s="69"/>
      <c r="AC26" s="69"/>
      <c r="AD26" s="69"/>
      <c r="AE26" s="444"/>
      <c r="AF26" s="445"/>
      <c r="AG26" s="445"/>
      <c r="AH26" s="445"/>
      <c r="AI26" s="446"/>
      <c r="AJ26" s="438"/>
      <c r="AK26" s="439"/>
    </row>
    <row r="27" spans="1:37" s="319" customFormat="1" ht="12.75" customHeight="1">
      <c r="A27" s="220"/>
      <c r="B27" s="69" t="s">
        <v>46</v>
      </c>
      <c r="C27" s="66">
        <v>109</v>
      </c>
      <c r="D27" s="69" t="b">
        <v>1</v>
      </c>
      <c r="E27" s="69"/>
      <c r="F27" s="397" t="s">
        <v>265</v>
      </c>
      <c r="G27" s="397" t="s">
        <v>266</v>
      </c>
      <c r="H27" s="69" t="s">
        <v>267</v>
      </c>
      <c r="I27" s="69" t="s">
        <v>268</v>
      </c>
      <c r="J27" s="69" t="s">
        <v>269</v>
      </c>
      <c r="K27" s="69" t="s">
        <v>209</v>
      </c>
      <c r="L27" s="57" t="s">
        <v>192</v>
      </c>
      <c r="M27" s="400"/>
      <c r="N27" s="400"/>
      <c r="O27" s="400"/>
      <c r="P27" s="400"/>
      <c r="Q27" s="399"/>
      <c r="R27" s="70"/>
      <c r="S27" s="447"/>
      <c r="T27" s="70"/>
      <c r="U27" s="447" t="s">
        <v>270</v>
      </c>
      <c r="V27" s="69" t="str">
        <f t="shared" ref="V27:V32" si="0">_xlfn.CONCAT($AH$14,"_",U27)</f>
        <v>3922_52M1_SP</v>
      </c>
      <c r="W27" s="433" t="s">
        <v>271</v>
      </c>
      <c r="X27" s="66">
        <v>3922</v>
      </c>
      <c r="Y27" s="69" t="s">
        <v>272</v>
      </c>
      <c r="Z27" s="69" t="s">
        <v>213</v>
      </c>
      <c r="AA27" s="69">
        <v>9</v>
      </c>
      <c r="AB27" s="67" t="s">
        <v>273</v>
      </c>
      <c r="AC27" s="69" t="s">
        <v>141</v>
      </c>
      <c r="AD27" s="66" t="s">
        <v>199</v>
      </c>
      <c r="AE27" s="444" t="s">
        <v>274</v>
      </c>
      <c r="AF27" s="445">
        <v>30</v>
      </c>
      <c r="AG27" s="445">
        <v>150</v>
      </c>
      <c r="AH27" s="445">
        <v>30</v>
      </c>
      <c r="AI27" s="446"/>
      <c r="AJ27" s="438"/>
      <c r="AK27" s="439"/>
    </row>
    <row r="28" spans="1:37" s="319" customFormat="1" ht="12.75" customHeight="1">
      <c r="A28" s="220"/>
      <c r="B28" s="69" t="s">
        <v>68</v>
      </c>
      <c r="C28" s="66">
        <v>110</v>
      </c>
      <c r="D28" s="69" t="b">
        <v>1</v>
      </c>
      <c r="E28" s="69"/>
      <c r="F28" s="397" t="s">
        <v>275</v>
      </c>
      <c r="G28" s="397" t="s">
        <v>276</v>
      </c>
      <c r="H28" s="69" t="s">
        <v>277</v>
      </c>
      <c r="I28" s="69" t="s">
        <v>278</v>
      </c>
      <c r="J28" s="69" t="s">
        <v>279</v>
      </c>
      <c r="K28" s="69" t="s">
        <v>209</v>
      </c>
      <c r="L28" s="57" t="s">
        <v>192</v>
      </c>
      <c r="M28" s="69"/>
      <c r="N28" s="69"/>
      <c r="O28" s="69"/>
      <c r="P28" s="69"/>
      <c r="Q28" s="70"/>
      <c r="R28" s="70"/>
      <c r="S28" s="447"/>
      <c r="T28" s="70"/>
      <c r="U28" s="447" t="s">
        <v>280</v>
      </c>
      <c r="V28" s="69" t="str">
        <f t="shared" si="0"/>
        <v>3922_57M1_SP_MaxStroke</v>
      </c>
      <c r="W28" s="433" t="s">
        <v>271</v>
      </c>
      <c r="X28" s="66">
        <v>3922</v>
      </c>
      <c r="Y28" s="69" t="s">
        <v>196</v>
      </c>
      <c r="Z28" s="69" t="s">
        <v>213</v>
      </c>
      <c r="AA28" s="69">
        <v>10</v>
      </c>
      <c r="AB28" s="67" t="s">
        <v>198</v>
      </c>
      <c r="AC28" s="69" t="s">
        <v>141</v>
      </c>
      <c r="AD28" s="66" t="s">
        <v>142</v>
      </c>
      <c r="AE28" s="444" t="s">
        <v>215</v>
      </c>
      <c r="AF28" s="445">
        <v>10</v>
      </c>
      <c r="AG28" s="445">
        <v>100</v>
      </c>
      <c r="AH28" s="445">
        <v>10</v>
      </c>
      <c r="AI28" s="446"/>
      <c r="AJ28" s="438"/>
      <c r="AK28" s="439"/>
    </row>
    <row r="29" spans="1:37" s="319" customFormat="1" ht="12.75" customHeight="1">
      <c r="A29" s="220"/>
      <c r="B29" s="69" t="s">
        <v>46</v>
      </c>
      <c r="C29" s="66">
        <v>111</v>
      </c>
      <c r="D29" s="69" t="b">
        <v>1</v>
      </c>
      <c r="E29" s="69"/>
      <c r="F29" s="397" t="s">
        <v>281</v>
      </c>
      <c r="G29" s="397" t="s">
        <v>282</v>
      </c>
      <c r="H29" s="69" t="s">
        <v>283</v>
      </c>
      <c r="I29" s="69" t="s">
        <v>284</v>
      </c>
      <c r="J29" s="69" t="s">
        <v>285</v>
      </c>
      <c r="K29" s="69" t="s">
        <v>209</v>
      </c>
      <c r="L29" s="57" t="s">
        <v>192</v>
      </c>
      <c r="M29" s="69" t="s">
        <v>242</v>
      </c>
      <c r="N29" s="69" t="s">
        <v>286</v>
      </c>
      <c r="O29" s="69" t="s">
        <v>287</v>
      </c>
      <c r="P29" s="69" t="s">
        <v>209</v>
      </c>
      <c r="Q29" s="70" t="s">
        <v>245</v>
      </c>
      <c r="R29" s="70"/>
      <c r="S29" s="447"/>
      <c r="T29" s="70"/>
      <c r="U29" s="447" t="s">
        <v>288</v>
      </c>
      <c r="V29" s="69" t="str">
        <f t="shared" si="0"/>
        <v>3922_72Y2_SP</v>
      </c>
      <c r="W29" s="433" t="s">
        <v>289</v>
      </c>
      <c r="X29" s="66">
        <v>3922</v>
      </c>
      <c r="Y29" s="69" t="s">
        <v>212</v>
      </c>
      <c r="Z29" s="69" t="s">
        <v>213</v>
      </c>
      <c r="AA29" s="69">
        <v>11</v>
      </c>
      <c r="AB29" s="67" t="s">
        <v>198</v>
      </c>
      <c r="AC29" s="69" t="s">
        <v>141</v>
      </c>
      <c r="AD29" s="66" t="s">
        <v>214</v>
      </c>
      <c r="AE29" s="444" t="s">
        <v>215</v>
      </c>
      <c r="AF29" s="445">
        <v>10</v>
      </c>
      <c r="AG29" s="445">
        <v>100</v>
      </c>
      <c r="AH29" s="445">
        <v>10</v>
      </c>
      <c r="AI29" s="446"/>
      <c r="AJ29" s="438"/>
      <c r="AK29" s="439"/>
    </row>
    <row r="30" spans="1:37" s="319" customFormat="1" ht="12.75" customHeight="1">
      <c r="A30" s="220"/>
      <c r="B30" s="69" t="s">
        <v>46</v>
      </c>
      <c r="C30" s="66">
        <v>112</v>
      </c>
      <c r="D30" s="69" t="b">
        <v>1</v>
      </c>
      <c r="E30" s="69"/>
      <c r="F30" s="397" t="s">
        <v>290</v>
      </c>
      <c r="G30" s="397" t="s">
        <v>291</v>
      </c>
      <c r="H30" s="69" t="s">
        <v>292</v>
      </c>
      <c r="I30" s="69" t="s">
        <v>293</v>
      </c>
      <c r="J30" s="69" t="s">
        <v>294</v>
      </c>
      <c r="K30" s="69" t="s">
        <v>209</v>
      </c>
      <c r="L30" s="57" t="s">
        <v>192</v>
      </c>
      <c r="M30" s="69" t="s">
        <v>242</v>
      </c>
      <c r="N30" s="69" t="s">
        <v>295</v>
      </c>
      <c r="O30" s="69" t="s">
        <v>296</v>
      </c>
      <c r="P30" s="69" t="s">
        <v>209</v>
      </c>
      <c r="Q30" s="70" t="s">
        <v>245</v>
      </c>
      <c r="R30" s="70"/>
      <c r="S30" s="447"/>
      <c r="T30" s="70"/>
      <c r="U30" s="447" t="s">
        <v>297</v>
      </c>
      <c r="V30" s="69" t="str">
        <f t="shared" si="0"/>
        <v>3922_70Y2_SP</v>
      </c>
      <c r="W30" s="433" t="s">
        <v>289</v>
      </c>
      <c r="X30" s="66">
        <v>3922</v>
      </c>
      <c r="Y30" s="69" t="s">
        <v>212</v>
      </c>
      <c r="Z30" s="69" t="s">
        <v>213</v>
      </c>
      <c r="AA30" s="69">
        <v>12</v>
      </c>
      <c r="AB30" s="67" t="s">
        <v>198</v>
      </c>
      <c r="AC30" s="69" t="s">
        <v>141</v>
      </c>
      <c r="AD30" s="66" t="s">
        <v>214</v>
      </c>
      <c r="AE30" s="444" t="s">
        <v>215</v>
      </c>
      <c r="AF30" s="445">
        <v>10</v>
      </c>
      <c r="AG30" s="445">
        <v>100</v>
      </c>
      <c r="AH30" s="445">
        <v>10</v>
      </c>
      <c r="AI30" s="446"/>
      <c r="AJ30" s="438"/>
      <c r="AK30" s="439"/>
    </row>
    <row r="31" spans="1:37" s="319" customFormat="1" ht="12.75" customHeight="1">
      <c r="A31" s="220"/>
      <c r="B31" s="69" t="s">
        <v>46</v>
      </c>
      <c r="C31" s="66">
        <v>113</v>
      </c>
      <c r="D31" s="69" t="b">
        <v>1</v>
      </c>
      <c r="E31" s="69"/>
      <c r="F31" s="397" t="s">
        <v>298</v>
      </c>
      <c r="G31" s="397" t="s">
        <v>299</v>
      </c>
      <c r="H31" s="69" t="s">
        <v>300</v>
      </c>
      <c r="I31" s="69" t="s">
        <v>301</v>
      </c>
      <c r="J31" s="69" t="s">
        <v>302</v>
      </c>
      <c r="K31" s="69" t="s">
        <v>209</v>
      </c>
      <c r="L31" s="57" t="s">
        <v>192</v>
      </c>
      <c r="M31" s="69" t="s">
        <v>242</v>
      </c>
      <c r="N31" s="69" t="s">
        <v>303</v>
      </c>
      <c r="O31" s="69" t="s">
        <v>304</v>
      </c>
      <c r="P31" s="69" t="s">
        <v>209</v>
      </c>
      <c r="Q31" s="70" t="s">
        <v>245</v>
      </c>
      <c r="R31" s="70"/>
      <c r="S31" s="447"/>
      <c r="T31" s="70"/>
      <c r="U31" s="447" t="s">
        <v>305</v>
      </c>
      <c r="V31" s="69" t="str">
        <f t="shared" si="0"/>
        <v>3922_71M1_SP</v>
      </c>
      <c r="W31" s="433" t="s">
        <v>289</v>
      </c>
      <c r="X31" s="66">
        <v>3922</v>
      </c>
      <c r="Y31" s="69" t="s">
        <v>212</v>
      </c>
      <c r="Z31" s="69" t="s">
        <v>213</v>
      </c>
      <c r="AA31" s="69">
        <v>13</v>
      </c>
      <c r="AB31" s="67" t="s">
        <v>198</v>
      </c>
      <c r="AC31" s="69" t="s">
        <v>141</v>
      </c>
      <c r="AD31" s="66" t="s">
        <v>214</v>
      </c>
      <c r="AE31" s="444" t="s">
        <v>215</v>
      </c>
      <c r="AF31" s="445">
        <v>10</v>
      </c>
      <c r="AG31" s="445">
        <v>100</v>
      </c>
      <c r="AH31" s="445">
        <v>10</v>
      </c>
      <c r="AI31" s="446"/>
      <c r="AJ31" s="438"/>
      <c r="AK31" s="439"/>
    </row>
    <row r="32" spans="1:37" s="319" customFormat="1" ht="12.75" customHeight="1">
      <c r="A32" s="220"/>
      <c r="B32" s="69" t="s">
        <v>46</v>
      </c>
      <c r="C32" s="66">
        <v>114</v>
      </c>
      <c r="D32" s="69" t="b">
        <v>1</v>
      </c>
      <c r="E32" s="69"/>
      <c r="F32" s="397" t="s">
        <v>306</v>
      </c>
      <c r="G32" s="397" t="s">
        <v>307</v>
      </c>
      <c r="H32" s="69" t="s">
        <v>308</v>
      </c>
      <c r="I32" s="69" t="s">
        <v>309</v>
      </c>
      <c r="J32" s="69" t="s">
        <v>310</v>
      </c>
      <c r="K32" s="69" t="s">
        <v>209</v>
      </c>
      <c r="L32" s="57" t="s">
        <v>192</v>
      </c>
      <c r="M32" s="69" t="s">
        <v>242</v>
      </c>
      <c r="N32" s="69" t="s">
        <v>311</v>
      </c>
      <c r="O32" s="69" t="s">
        <v>312</v>
      </c>
      <c r="P32" s="69" t="s">
        <v>209</v>
      </c>
      <c r="Q32" s="70" t="s">
        <v>245</v>
      </c>
      <c r="R32" s="70"/>
      <c r="S32" s="447"/>
      <c r="T32" s="70"/>
      <c r="U32" s="447" t="s">
        <v>313</v>
      </c>
      <c r="V32" s="69" t="str">
        <f t="shared" si="0"/>
        <v>3922_71M2_SP</v>
      </c>
      <c r="W32" s="433" t="s">
        <v>289</v>
      </c>
      <c r="X32" s="66">
        <v>3922</v>
      </c>
      <c r="Y32" s="69" t="s">
        <v>212</v>
      </c>
      <c r="Z32" s="69" t="s">
        <v>213</v>
      </c>
      <c r="AA32" s="69">
        <v>14</v>
      </c>
      <c r="AB32" s="67" t="s">
        <v>198</v>
      </c>
      <c r="AC32" s="69" t="s">
        <v>141</v>
      </c>
      <c r="AD32" s="66" t="s">
        <v>214</v>
      </c>
      <c r="AE32" s="444" t="s">
        <v>215</v>
      </c>
      <c r="AF32" s="445">
        <v>10</v>
      </c>
      <c r="AG32" s="445">
        <v>100</v>
      </c>
      <c r="AH32" s="445">
        <v>10</v>
      </c>
      <c r="AI32" s="446"/>
      <c r="AJ32" s="438"/>
      <c r="AK32" s="439"/>
    </row>
    <row r="33" spans="1:37" s="71" customFormat="1" ht="12.75" customHeight="1">
      <c r="A33" s="220"/>
      <c r="B33" s="69" t="s">
        <v>15</v>
      </c>
      <c r="C33" s="66">
        <v>115</v>
      </c>
      <c r="D33" s="69"/>
      <c r="E33" s="69"/>
      <c r="F33" s="397" t="s">
        <v>201</v>
      </c>
      <c r="G33" s="397" t="s">
        <v>201</v>
      </c>
      <c r="H33" s="69" t="s">
        <v>201</v>
      </c>
      <c r="I33" s="69" t="s">
        <v>314</v>
      </c>
      <c r="J33" s="69" t="s">
        <v>315</v>
      </c>
      <c r="K33" s="69"/>
      <c r="L33" s="57" t="s">
        <v>192</v>
      </c>
      <c r="M33" s="69"/>
      <c r="N33" s="69"/>
      <c r="O33" s="69"/>
      <c r="P33" s="69"/>
      <c r="Q33" s="70"/>
      <c r="R33" s="70"/>
      <c r="S33" s="70"/>
      <c r="T33" s="70"/>
      <c r="U33" s="70"/>
      <c r="V33" s="69"/>
      <c r="W33" s="443"/>
      <c r="X33" s="69"/>
      <c r="Y33" s="69"/>
      <c r="Z33" s="69"/>
      <c r="AA33" s="69"/>
      <c r="AB33" s="69"/>
      <c r="AC33" s="69"/>
      <c r="AD33" s="69"/>
      <c r="AE33" s="444"/>
      <c r="AF33" s="445"/>
      <c r="AG33" s="445"/>
      <c r="AH33" s="445"/>
      <c r="AI33" s="446"/>
      <c r="AJ33" s="438"/>
      <c r="AK33" s="439"/>
    </row>
    <row r="34" spans="1:37" s="319" customFormat="1" ht="12.75" customHeight="1">
      <c r="A34" s="220"/>
      <c r="B34" s="69" t="s">
        <v>46</v>
      </c>
      <c r="C34" s="69">
        <v>200</v>
      </c>
      <c r="D34" s="69" t="b">
        <v>1</v>
      </c>
      <c r="E34" s="69"/>
      <c r="F34" s="397" t="s">
        <v>316</v>
      </c>
      <c r="G34" s="397" t="s">
        <v>317</v>
      </c>
      <c r="H34" s="69" t="s">
        <v>318</v>
      </c>
      <c r="I34" s="69" t="s">
        <v>319</v>
      </c>
      <c r="J34" s="69" t="s">
        <v>320</v>
      </c>
      <c r="K34" s="69" t="s">
        <v>321</v>
      </c>
      <c r="L34" s="57" t="s">
        <v>192</v>
      </c>
      <c r="M34" s="69"/>
      <c r="N34" s="69"/>
      <c r="O34" s="69"/>
      <c r="P34" s="69"/>
      <c r="Q34" s="70"/>
      <c r="R34" s="70"/>
      <c r="S34" s="69"/>
      <c r="T34" s="70" t="s">
        <v>193</v>
      </c>
      <c r="U34" s="69" t="s">
        <v>322</v>
      </c>
      <c r="V34" s="69" t="str">
        <f>_xlfn.CONCAT($AH$14,"_",U34)</f>
        <v>3922_PharmAlm_OnOff</v>
      </c>
      <c r="W34" s="433" t="s">
        <v>271</v>
      </c>
      <c r="X34" s="69">
        <v>3922</v>
      </c>
      <c r="Y34" s="69" t="s">
        <v>272</v>
      </c>
      <c r="Z34" s="69" t="s">
        <v>197</v>
      </c>
      <c r="AA34" s="69">
        <v>2</v>
      </c>
      <c r="AB34" s="67" t="s">
        <v>198</v>
      </c>
      <c r="AC34" s="69" t="s">
        <v>141</v>
      </c>
      <c r="AD34" s="66" t="s">
        <v>199</v>
      </c>
      <c r="AE34" s="444"/>
      <c r="AF34" s="445">
        <v>0</v>
      </c>
      <c r="AG34" s="445">
        <v>1</v>
      </c>
      <c r="AH34" s="445">
        <v>0</v>
      </c>
      <c r="AI34" s="446"/>
      <c r="AJ34" s="438"/>
      <c r="AK34" s="439"/>
    </row>
    <row r="35" spans="1:37" s="320" customFormat="1" ht="14.25" customHeight="1">
      <c r="A35" s="365"/>
      <c r="B35" s="69" t="s">
        <v>31</v>
      </c>
      <c r="C35" s="449">
        <v>201</v>
      </c>
      <c r="D35" s="400"/>
      <c r="E35" s="400" t="b">
        <v>1</v>
      </c>
      <c r="F35" s="450" t="s">
        <v>323</v>
      </c>
      <c r="G35" s="450" t="s">
        <v>324</v>
      </c>
      <c r="H35" s="400" t="s">
        <v>325</v>
      </c>
      <c r="I35" s="400" t="s">
        <v>326</v>
      </c>
      <c r="J35" s="400" t="s">
        <v>327</v>
      </c>
      <c r="K35" s="400" t="s">
        <v>321</v>
      </c>
      <c r="L35" s="451" t="s">
        <v>192</v>
      </c>
      <c r="M35" s="400"/>
      <c r="N35" s="400"/>
      <c r="O35" s="400"/>
      <c r="P35" s="400"/>
      <c r="Q35" s="399"/>
      <c r="R35" s="399"/>
      <c r="S35" s="399"/>
      <c r="T35" s="399"/>
      <c r="U35" s="399" t="str">
        <f>CONCATENATE("par",E35)</f>
        <v>parTRUE</v>
      </c>
      <c r="V35" s="400" t="e">
        <f>_xlfn.CONCAT(#REF!,"_",U35)</f>
        <v>#REF!</v>
      </c>
      <c r="W35" s="452"/>
      <c r="X35" s="449">
        <v>3922</v>
      </c>
      <c r="Y35" s="400" t="s">
        <v>272</v>
      </c>
      <c r="Z35" s="400" t="s">
        <v>197</v>
      </c>
      <c r="AA35" s="400">
        <v>2</v>
      </c>
      <c r="AB35" s="401" t="s">
        <v>198</v>
      </c>
      <c r="AC35" s="69" t="s">
        <v>141</v>
      </c>
      <c r="AD35" s="66" t="s">
        <v>142</v>
      </c>
      <c r="AE35" s="453"/>
      <c r="AF35" s="454">
        <v>0</v>
      </c>
      <c r="AG35" s="454">
        <v>1</v>
      </c>
      <c r="AH35" s="454">
        <v>0</v>
      </c>
      <c r="AI35" s="455"/>
      <c r="AJ35" s="456"/>
      <c r="AK35" s="457"/>
    </row>
    <row r="36" spans="1:37" s="386" customFormat="1" ht="12.75" customHeight="1">
      <c r="B36" s="69" t="s">
        <v>55</v>
      </c>
      <c r="C36" s="69">
        <v>202</v>
      </c>
      <c r="D36" s="69" t="b">
        <v>1</v>
      </c>
      <c r="E36" s="69"/>
      <c r="F36" s="69" t="s">
        <v>328</v>
      </c>
      <c r="G36" s="69" t="s">
        <v>329</v>
      </c>
      <c r="H36" s="69" t="s">
        <v>330</v>
      </c>
      <c r="I36" s="69" t="s">
        <v>331</v>
      </c>
      <c r="J36" s="69" t="s">
        <v>332</v>
      </c>
      <c r="K36" s="69" t="s">
        <v>321</v>
      </c>
      <c r="L36" s="69" t="s">
        <v>192</v>
      </c>
      <c r="M36" s="69"/>
      <c r="N36" s="69"/>
      <c r="O36" s="69"/>
      <c r="P36" s="69"/>
      <c r="Q36" s="69"/>
      <c r="R36" s="69"/>
      <c r="S36" s="69"/>
      <c r="T36" s="69" t="s">
        <v>193</v>
      </c>
      <c r="U36" s="69" t="s">
        <v>333</v>
      </c>
      <c r="V36" s="69" t="str">
        <f>_xlfn.CONCAT($AH$14,"_",U36)</f>
        <v>3922_Reject_PMS_OnOff</v>
      </c>
      <c r="W36" s="69" t="s">
        <v>334</v>
      </c>
      <c r="X36" s="69">
        <v>3922</v>
      </c>
      <c r="Y36" s="69" t="s">
        <v>196</v>
      </c>
      <c r="Z36" s="69" t="s">
        <v>197</v>
      </c>
      <c r="AA36" s="69">
        <v>3</v>
      </c>
      <c r="AB36" s="69" t="s">
        <v>198</v>
      </c>
      <c r="AC36" s="69" t="s">
        <v>141</v>
      </c>
      <c r="AD36" s="69" t="s">
        <v>142</v>
      </c>
      <c r="AE36" s="69"/>
      <c r="AF36" s="69">
        <v>0</v>
      </c>
      <c r="AG36" s="69">
        <v>1</v>
      </c>
      <c r="AH36" s="69">
        <v>0</v>
      </c>
      <c r="AI36" s="98"/>
      <c r="AJ36" s="98"/>
      <c r="AK36" s="98"/>
    </row>
    <row r="37" spans="1:37" s="71" customFormat="1" ht="12.75" customHeight="1">
      <c r="A37" s="220"/>
      <c r="B37" s="69" t="s">
        <v>15</v>
      </c>
      <c r="C37" s="66">
        <v>203</v>
      </c>
      <c r="D37" s="69"/>
      <c r="E37" s="69"/>
      <c r="F37" s="397" t="s">
        <v>201</v>
      </c>
      <c r="G37" s="397" t="s">
        <v>201</v>
      </c>
      <c r="H37" s="69" t="s">
        <v>201</v>
      </c>
      <c r="I37" s="69" t="s">
        <v>335</v>
      </c>
      <c r="J37" s="69" t="s">
        <v>336</v>
      </c>
      <c r="K37" s="69" t="s">
        <v>321</v>
      </c>
      <c r="L37" s="57" t="s">
        <v>192</v>
      </c>
      <c r="M37" s="69"/>
      <c r="N37" s="69"/>
      <c r="O37" s="69"/>
      <c r="P37" s="69"/>
      <c r="Q37" s="70"/>
      <c r="R37" s="70"/>
      <c r="S37" s="70"/>
      <c r="T37" s="70"/>
      <c r="U37" s="70"/>
      <c r="V37" s="69"/>
      <c r="W37" s="443"/>
      <c r="X37" s="69"/>
      <c r="Y37" s="69"/>
      <c r="Z37" s="69"/>
      <c r="AA37" s="69"/>
      <c r="AB37" s="69"/>
      <c r="AC37" s="69"/>
      <c r="AD37" s="69"/>
      <c r="AE37" s="444"/>
      <c r="AF37" s="445"/>
      <c r="AG37" s="445"/>
      <c r="AH37" s="445"/>
      <c r="AI37" s="446"/>
      <c r="AJ37" s="438"/>
      <c r="AK37" s="439"/>
    </row>
    <row r="38" spans="1:37" s="71" customFormat="1" ht="12.75" customHeight="1">
      <c r="A38" s="220"/>
      <c r="B38" s="69" t="s">
        <v>15</v>
      </c>
      <c r="C38" s="66">
        <v>204</v>
      </c>
      <c r="D38" s="69"/>
      <c r="E38" s="69"/>
      <c r="F38" s="397" t="s">
        <v>201</v>
      </c>
      <c r="G38" s="397" t="s">
        <v>201</v>
      </c>
      <c r="H38" s="69" t="s">
        <v>201</v>
      </c>
      <c r="I38" s="69" t="s">
        <v>337</v>
      </c>
      <c r="J38" s="69" t="s">
        <v>338</v>
      </c>
      <c r="K38" s="69" t="s">
        <v>321</v>
      </c>
      <c r="L38" s="57" t="s">
        <v>192</v>
      </c>
      <c r="M38" s="69"/>
      <c r="N38" s="69"/>
      <c r="O38" s="69"/>
      <c r="P38" s="69"/>
      <c r="Q38" s="70"/>
      <c r="R38" s="70"/>
      <c r="S38" s="70"/>
      <c r="T38" s="70"/>
      <c r="U38" s="70"/>
      <c r="V38" s="69"/>
      <c r="W38" s="443"/>
      <c r="X38" s="69"/>
      <c r="Y38" s="69"/>
      <c r="Z38" s="69"/>
      <c r="AA38" s="69"/>
      <c r="AB38" s="69"/>
      <c r="AC38" s="69"/>
      <c r="AD38" s="69"/>
      <c r="AE38" s="444"/>
      <c r="AF38" s="445"/>
      <c r="AG38" s="445"/>
      <c r="AH38" s="445"/>
      <c r="AI38" s="446"/>
      <c r="AJ38" s="438"/>
      <c r="AK38" s="439"/>
    </row>
    <row r="39" spans="1:37" s="319" customFormat="1" ht="12.75" customHeight="1">
      <c r="A39" s="220"/>
      <c r="B39" s="69" t="s">
        <v>46</v>
      </c>
      <c r="C39" s="66">
        <v>205</v>
      </c>
      <c r="D39" s="69" t="b">
        <v>1</v>
      </c>
      <c r="E39" s="69"/>
      <c r="F39" s="397" t="s">
        <v>339</v>
      </c>
      <c r="G39" s="397" t="s">
        <v>340</v>
      </c>
      <c r="H39" s="69" t="s">
        <v>341</v>
      </c>
      <c r="I39" s="69" t="s">
        <v>342</v>
      </c>
      <c r="J39" s="69" t="s">
        <v>343</v>
      </c>
      <c r="K39" s="69" t="s">
        <v>321</v>
      </c>
      <c r="L39" s="57" t="s">
        <v>192</v>
      </c>
      <c r="M39" s="69"/>
      <c r="N39" s="69"/>
      <c r="O39" s="69"/>
      <c r="P39" s="69"/>
      <c r="Q39" s="70"/>
      <c r="R39" s="70"/>
      <c r="S39" s="69"/>
      <c r="T39" s="70"/>
      <c r="U39" s="69" t="s">
        <v>344</v>
      </c>
      <c r="V39" s="69" t="str">
        <f>_xlfn.CONCAT($AH$14,"_",U39)</f>
        <v>3922_ServFct_OnOff</v>
      </c>
      <c r="W39" s="433" t="s">
        <v>271</v>
      </c>
      <c r="X39" s="66">
        <v>3922</v>
      </c>
      <c r="Y39" s="69" t="s">
        <v>272</v>
      </c>
      <c r="Z39" s="69" t="s">
        <v>197</v>
      </c>
      <c r="AA39" s="69">
        <v>4</v>
      </c>
      <c r="AB39" s="67" t="s">
        <v>198</v>
      </c>
      <c r="AC39" s="69" t="s">
        <v>141</v>
      </c>
      <c r="AD39" s="66" t="s">
        <v>199</v>
      </c>
      <c r="AE39" s="444"/>
      <c r="AF39" s="445">
        <v>0</v>
      </c>
      <c r="AG39" s="445">
        <v>1</v>
      </c>
      <c r="AH39" s="445">
        <v>0</v>
      </c>
      <c r="AI39" s="446"/>
      <c r="AJ39" s="438"/>
      <c r="AK39" s="439"/>
    </row>
    <row r="40" spans="1:37" s="71" customFormat="1" ht="12.75" customHeight="1">
      <c r="A40" s="220"/>
      <c r="B40" s="69" t="s">
        <v>15</v>
      </c>
      <c r="C40" s="66">
        <v>206</v>
      </c>
      <c r="D40" s="69"/>
      <c r="E40" s="69"/>
      <c r="F40" s="397" t="s">
        <v>201</v>
      </c>
      <c r="G40" s="397" t="s">
        <v>201</v>
      </c>
      <c r="H40" s="69" t="s">
        <v>201</v>
      </c>
      <c r="I40" s="69" t="s">
        <v>345</v>
      </c>
      <c r="J40" s="69" t="s">
        <v>346</v>
      </c>
      <c r="K40" s="69" t="s">
        <v>321</v>
      </c>
      <c r="L40" s="57" t="s">
        <v>192</v>
      </c>
      <c r="M40" s="69"/>
      <c r="N40" s="69"/>
      <c r="O40" s="69"/>
      <c r="P40" s="69"/>
      <c r="Q40" s="70"/>
      <c r="R40" s="70"/>
      <c r="S40" s="70"/>
      <c r="T40" s="70"/>
      <c r="U40" s="70"/>
      <c r="V40" s="70"/>
      <c r="W40" s="443"/>
      <c r="X40" s="69"/>
      <c r="Y40" s="69"/>
      <c r="Z40" s="69"/>
      <c r="AA40" s="69"/>
      <c r="AB40" s="69"/>
      <c r="AC40" s="69"/>
      <c r="AD40" s="69"/>
      <c r="AE40" s="444"/>
      <c r="AF40" s="445"/>
      <c r="AG40" s="445"/>
      <c r="AH40" s="445"/>
      <c r="AI40" s="446"/>
      <c r="AJ40" s="438"/>
      <c r="AK40" s="439"/>
    </row>
    <row r="41" spans="1:37" s="71" customFormat="1" ht="12.75" customHeight="1">
      <c r="A41" s="220"/>
      <c r="B41" s="69" t="s">
        <v>46</v>
      </c>
      <c r="C41" s="66">
        <v>207</v>
      </c>
      <c r="D41" s="69" t="b">
        <v>1</v>
      </c>
      <c r="E41" s="69"/>
      <c r="F41" s="397" t="s">
        <v>347</v>
      </c>
      <c r="G41" s="397" t="s">
        <v>348</v>
      </c>
      <c r="H41" s="69" t="s">
        <v>349</v>
      </c>
      <c r="I41" s="69" t="s">
        <v>350</v>
      </c>
      <c r="J41" s="69" t="s">
        <v>351</v>
      </c>
      <c r="K41" s="69" t="s">
        <v>321</v>
      </c>
      <c r="L41" s="57" t="s">
        <v>192</v>
      </c>
      <c r="M41" s="69"/>
      <c r="N41" s="69"/>
      <c r="O41" s="69"/>
      <c r="P41" s="69"/>
      <c r="Q41" s="70"/>
      <c r="R41" s="70"/>
      <c r="S41" s="69"/>
      <c r="T41" s="70" t="s">
        <v>193</v>
      </c>
      <c r="U41" s="69" t="s">
        <v>352</v>
      </c>
      <c r="V41" s="69" t="str">
        <f t="shared" ref="V41:V47" si="1">_xlfn.CONCAT($AH$14,"_",U41)</f>
        <v>3922_Half_Bedrijf_YN</v>
      </c>
      <c r="W41" s="443" t="s">
        <v>195</v>
      </c>
      <c r="X41" s="66">
        <v>3922</v>
      </c>
      <c r="Y41" s="69" t="s">
        <v>272</v>
      </c>
      <c r="Z41" s="69" t="s">
        <v>197</v>
      </c>
      <c r="AA41" s="69">
        <v>17</v>
      </c>
      <c r="AB41" s="67" t="s">
        <v>273</v>
      </c>
      <c r="AC41" s="69" t="s">
        <v>141</v>
      </c>
      <c r="AD41" s="69" t="s">
        <v>142</v>
      </c>
      <c r="AE41" s="444"/>
      <c r="AF41" s="445">
        <v>0</v>
      </c>
      <c r="AG41" s="445">
        <v>1</v>
      </c>
      <c r="AH41" s="445">
        <v>0</v>
      </c>
      <c r="AI41" s="446"/>
      <c r="AJ41" s="438"/>
      <c r="AK41" s="439"/>
    </row>
    <row r="42" spans="1:37" s="319" customFormat="1" ht="12.75" customHeight="1">
      <c r="A42" s="396"/>
      <c r="B42" s="69" t="s">
        <v>81</v>
      </c>
      <c r="C42" s="66">
        <v>208</v>
      </c>
      <c r="D42" s="69" t="b">
        <v>1</v>
      </c>
      <c r="E42" s="69"/>
      <c r="F42" s="397" t="s">
        <v>353</v>
      </c>
      <c r="G42" s="397" t="s">
        <v>354</v>
      </c>
      <c r="H42" s="69" t="s">
        <v>355</v>
      </c>
      <c r="I42" s="69" t="s">
        <v>356</v>
      </c>
      <c r="J42" s="69" t="s">
        <v>357</v>
      </c>
      <c r="K42" s="69" t="s">
        <v>166</v>
      </c>
      <c r="L42" s="57" t="s">
        <v>192</v>
      </c>
      <c r="M42" s="69"/>
      <c r="N42" s="69"/>
      <c r="O42" s="69"/>
      <c r="P42" s="69"/>
      <c r="Q42" s="70"/>
      <c r="R42" s="70"/>
      <c r="S42" s="447"/>
      <c r="T42" s="70" t="s">
        <v>193</v>
      </c>
      <c r="U42" s="447" t="s">
        <v>358</v>
      </c>
      <c r="V42" s="69" t="str">
        <f t="shared" si="1"/>
        <v>3922_41M1_OL</v>
      </c>
      <c r="W42" s="433" t="s">
        <v>359</v>
      </c>
      <c r="X42" s="66">
        <v>3922</v>
      </c>
      <c r="Y42" s="69" t="s">
        <v>272</v>
      </c>
      <c r="Z42" s="69" t="s">
        <v>197</v>
      </c>
      <c r="AA42" s="69">
        <v>5</v>
      </c>
      <c r="AB42" s="45" t="s">
        <v>360</v>
      </c>
      <c r="AC42" s="69" t="s">
        <v>141</v>
      </c>
      <c r="AD42" s="66" t="s">
        <v>199</v>
      </c>
      <c r="AE42" s="444" t="s">
        <v>215</v>
      </c>
      <c r="AF42" s="445">
        <v>5</v>
      </c>
      <c r="AG42" s="445">
        <v>100</v>
      </c>
      <c r="AH42" s="445">
        <v>5</v>
      </c>
      <c r="AI42" s="446"/>
      <c r="AJ42" s="438"/>
      <c r="AK42" s="439"/>
    </row>
    <row r="43" spans="1:37" s="319" customFormat="1" ht="12.75" customHeight="1">
      <c r="A43" s="396"/>
      <c r="B43" s="69" t="s">
        <v>81</v>
      </c>
      <c r="C43" s="66">
        <v>209</v>
      </c>
      <c r="D43" s="69" t="b">
        <v>1</v>
      </c>
      <c r="E43" s="69"/>
      <c r="F43" s="397" t="s">
        <v>361</v>
      </c>
      <c r="G43" s="397" t="s">
        <v>362</v>
      </c>
      <c r="H43" s="69" t="s">
        <v>363</v>
      </c>
      <c r="I43" s="69" t="s">
        <v>364</v>
      </c>
      <c r="J43" s="69" t="s">
        <v>365</v>
      </c>
      <c r="K43" s="69" t="s">
        <v>166</v>
      </c>
      <c r="L43" s="57" t="s">
        <v>192</v>
      </c>
      <c r="M43" s="69"/>
      <c r="N43" s="69"/>
      <c r="O43" s="69"/>
      <c r="P43" s="69"/>
      <c r="Q43" s="70"/>
      <c r="R43" s="70"/>
      <c r="S43" s="447"/>
      <c r="T43" s="70" t="s">
        <v>193</v>
      </c>
      <c r="U43" s="447" t="s">
        <v>366</v>
      </c>
      <c r="V43" s="69" t="str">
        <f t="shared" si="1"/>
        <v>3922_41M1_BL</v>
      </c>
      <c r="W43" s="433" t="s">
        <v>359</v>
      </c>
      <c r="X43" s="66">
        <v>3922</v>
      </c>
      <c r="Y43" s="69" t="s">
        <v>272</v>
      </c>
      <c r="Z43" s="69" t="s">
        <v>197</v>
      </c>
      <c r="AA43" s="69">
        <v>6</v>
      </c>
      <c r="AB43" s="45" t="s">
        <v>360</v>
      </c>
      <c r="AC43" s="69" t="s">
        <v>141</v>
      </c>
      <c r="AD43" s="66" t="s">
        <v>199</v>
      </c>
      <c r="AE43" s="444" t="s">
        <v>215</v>
      </c>
      <c r="AF43" s="445">
        <v>10</v>
      </c>
      <c r="AG43" s="445">
        <v>100</v>
      </c>
      <c r="AH43" s="445">
        <v>10</v>
      </c>
      <c r="AI43" s="446"/>
      <c r="AJ43" s="438"/>
      <c r="AK43" s="439"/>
    </row>
    <row r="44" spans="1:37" s="319" customFormat="1" ht="12.75" customHeight="1">
      <c r="A44" s="220"/>
      <c r="B44" s="69" t="s">
        <v>46</v>
      </c>
      <c r="C44" s="66">
        <v>210</v>
      </c>
      <c r="D44" s="69" t="b">
        <v>1</v>
      </c>
      <c r="E44" s="69"/>
      <c r="F44" s="397" t="s">
        <v>367</v>
      </c>
      <c r="G44" s="397" t="s">
        <v>368</v>
      </c>
      <c r="H44" s="69" t="s">
        <v>369</v>
      </c>
      <c r="I44" s="69" t="s">
        <v>370</v>
      </c>
      <c r="J44" s="69" t="s">
        <v>371</v>
      </c>
      <c r="K44" s="69" t="s">
        <v>166</v>
      </c>
      <c r="L44" s="57" t="s">
        <v>192</v>
      </c>
      <c r="M44" s="69"/>
      <c r="N44" s="69"/>
      <c r="O44" s="69"/>
      <c r="P44" s="69"/>
      <c r="Q44" s="70"/>
      <c r="R44" s="70"/>
      <c r="S44" s="447"/>
      <c r="T44" s="70"/>
      <c r="U44" s="447" t="s">
        <v>372</v>
      </c>
      <c r="V44" s="69" t="str">
        <f t="shared" si="1"/>
        <v>3922_43US1_On</v>
      </c>
      <c r="W44" s="433" t="s">
        <v>195</v>
      </c>
      <c r="X44" s="66">
        <v>3922</v>
      </c>
      <c r="Y44" s="69" t="s">
        <v>212</v>
      </c>
      <c r="Z44" s="69" t="s">
        <v>197</v>
      </c>
      <c r="AA44" s="69">
        <v>7</v>
      </c>
      <c r="AB44" s="67" t="s">
        <v>198</v>
      </c>
      <c r="AC44" s="69" t="s">
        <v>141</v>
      </c>
      <c r="AD44" s="66" t="s">
        <v>214</v>
      </c>
      <c r="AE44" s="444" t="s">
        <v>373</v>
      </c>
      <c r="AF44" s="445">
        <v>70</v>
      </c>
      <c r="AG44" s="445">
        <v>500</v>
      </c>
      <c r="AH44" s="445">
        <v>70</v>
      </c>
      <c r="AI44" s="446"/>
      <c r="AJ44" s="438"/>
      <c r="AK44" s="439"/>
    </row>
    <row r="45" spans="1:37" s="319" customFormat="1" ht="12.75" customHeight="1">
      <c r="A45" s="220"/>
      <c r="B45" s="69" t="s">
        <v>46</v>
      </c>
      <c r="C45" s="66">
        <v>211</v>
      </c>
      <c r="D45" s="69" t="b">
        <v>1</v>
      </c>
      <c r="E45" s="69"/>
      <c r="F45" s="397" t="s">
        <v>374</v>
      </c>
      <c r="G45" s="397" t="s">
        <v>375</v>
      </c>
      <c r="H45" s="69" t="s">
        <v>376</v>
      </c>
      <c r="I45" s="69" t="s">
        <v>377</v>
      </c>
      <c r="J45" s="69" t="s">
        <v>378</v>
      </c>
      <c r="K45" s="69" t="s">
        <v>166</v>
      </c>
      <c r="L45" s="57" t="s">
        <v>192</v>
      </c>
      <c r="M45" s="69"/>
      <c r="N45" s="69"/>
      <c r="O45" s="69"/>
      <c r="P45" s="69"/>
      <c r="Q45" s="70"/>
      <c r="R45" s="70"/>
      <c r="S45" s="447"/>
      <c r="T45" s="70"/>
      <c r="U45" s="447" t="s">
        <v>379</v>
      </c>
      <c r="V45" s="69" t="str">
        <f t="shared" si="1"/>
        <v>3922_43US1_Off</v>
      </c>
      <c r="W45" s="433" t="s">
        <v>195</v>
      </c>
      <c r="X45" s="66">
        <v>3922</v>
      </c>
      <c r="Y45" s="69" t="s">
        <v>212</v>
      </c>
      <c r="Z45" s="69" t="s">
        <v>197</v>
      </c>
      <c r="AA45" s="69">
        <v>8</v>
      </c>
      <c r="AB45" s="67" t="s">
        <v>198</v>
      </c>
      <c r="AC45" s="69" t="s">
        <v>141</v>
      </c>
      <c r="AD45" s="66" t="s">
        <v>214</v>
      </c>
      <c r="AE45" s="444" t="s">
        <v>373</v>
      </c>
      <c r="AF45" s="445">
        <v>70</v>
      </c>
      <c r="AG45" s="445">
        <v>500</v>
      </c>
      <c r="AH45" s="445">
        <v>70</v>
      </c>
      <c r="AI45" s="446"/>
      <c r="AJ45" s="438"/>
      <c r="AK45" s="439"/>
    </row>
    <row r="46" spans="1:37" s="319" customFormat="1" ht="12.75" customHeight="1">
      <c r="A46" s="220"/>
      <c r="B46" s="69" t="s">
        <v>46</v>
      </c>
      <c r="C46" s="66">
        <v>212</v>
      </c>
      <c r="D46" s="69" t="b">
        <v>1</v>
      </c>
      <c r="E46" s="70"/>
      <c r="F46" s="98" t="s">
        <v>380</v>
      </c>
      <c r="G46" s="98" t="s">
        <v>381</v>
      </c>
      <c r="H46" s="70" t="s">
        <v>382</v>
      </c>
      <c r="I46" s="70" t="s">
        <v>383</v>
      </c>
      <c r="J46" s="69" t="s">
        <v>384</v>
      </c>
      <c r="K46" s="70" t="s">
        <v>209</v>
      </c>
      <c r="L46" s="57" t="s">
        <v>192</v>
      </c>
      <c r="M46" s="70"/>
      <c r="N46" s="70"/>
      <c r="O46" s="70"/>
      <c r="P46" s="70"/>
      <c r="Q46" s="70"/>
      <c r="R46" s="70"/>
      <c r="S46" s="447"/>
      <c r="T46" s="70" t="s">
        <v>193</v>
      </c>
      <c r="U46" s="447" t="s">
        <v>385</v>
      </c>
      <c r="V46" s="69" t="str">
        <f t="shared" si="1"/>
        <v>3922_68M1_SP</v>
      </c>
      <c r="W46" s="433" t="s">
        <v>195</v>
      </c>
      <c r="X46" s="66">
        <v>3922</v>
      </c>
      <c r="Y46" s="70" t="s">
        <v>196</v>
      </c>
      <c r="Z46" s="70" t="s">
        <v>197</v>
      </c>
      <c r="AA46" s="70">
        <v>9</v>
      </c>
      <c r="AB46" s="67" t="s">
        <v>198</v>
      </c>
      <c r="AC46" s="69" t="s">
        <v>141</v>
      </c>
      <c r="AD46" s="66" t="s">
        <v>142</v>
      </c>
      <c r="AE46" s="101" t="s">
        <v>373</v>
      </c>
      <c r="AF46" s="102">
        <v>230.1</v>
      </c>
      <c r="AG46" s="102">
        <v>317.10000000000002</v>
      </c>
      <c r="AH46" s="102">
        <v>230.1</v>
      </c>
      <c r="AI46" s="103"/>
      <c r="AJ46" s="266"/>
      <c r="AK46" s="104"/>
    </row>
    <row r="47" spans="1:37" s="319" customFormat="1" ht="12.75" customHeight="1">
      <c r="A47" s="220"/>
      <c r="B47" s="69" t="s">
        <v>46</v>
      </c>
      <c r="C47" s="66">
        <v>213</v>
      </c>
      <c r="D47" s="69" t="b">
        <v>1</v>
      </c>
      <c r="E47" s="70"/>
      <c r="F47" s="98" t="s">
        <v>386</v>
      </c>
      <c r="G47" s="98" t="s">
        <v>387</v>
      </c>
      <c r="H47" s="70" t="s">
        <v>388</v>
      </c>
      <c r="I47" s="70" t="s">
        <v>389</v>
      </c>
      <c r="J47" s="69" t="s">
        <v>390</v>
      </c>
      <c r="K47" s="70" t="s">
        <v>209</v>
      </c>
      <c r="L47" s="57" t="s">
        <v>192</v>
      </c>
      <c r="M47" s="70"/>
      <c r="N47" s="70"/>
      <c r="O47" s="70"/>
      <c r="P47" s="70"/>
      <c r="Q47" s="70"/>
      <c r="R47" s="70"/>
      <c r="S47" s="447"/>
      <c r="T47" s="70" t="s">
        <v>193</v>
      </c>
      <c r="U47" s="447" t="s">
        <v>391</v>
      </c>
      <c r="V47" s="69" t="str">
        <f t="shared" si="1"/>
        <v>3922_69M1_SP</v>
      </c>
      <c r="W47" s="433" t="s">
        <v>289</v>
      </c>
      <c r="X47" s="66">
        <v>3922</v>
      </c>
      <c r="Y47" s="70" t="s">
        <v>196</v>
      </c>
      <c r="Z47" s="70" t="s">
        <v>197</v>
      </c>
      <c r="AA47" s="70">
        <v>10</v>
      </c>
      <c r="AB47" s="67" t="s">
        <v>198</v>
      </c>
      <c r="AC47" s="69" t="s">
        <v>141</v>
      </c>
      <c r="AD47" s="66" t="s">
        <v>392</v>
      </c>
      <c r="AE47" s="101" t="s">
        <v>373</v>
      </c>
      <c r="AF47" s="102">
        <v>36.6</v>
      </c>
      <c r="AG47" s="102">
        <v>46.6</v>
      </c>
      <c r="AH47" s="102">
        <v>36.6</v>
      </c>
      <c r="AI47" s="103"/>
      <c r="AJ47" s="266"/>
      <c r="AK47" s="104"/>
    </row>
    <row r="48" spans="1:37" s="71" customFormat="1" ht="12.75" customHeight="1">
      <c r="A48" s="220"/>
      <c r="B48" s="69" t="s">
        <v>15</v>
      </c>
      <c r="C48" s="66">
        <v>214</v>
      </c>
      <c r="D48" s="70"/>
      <c r="E48" s="70"/>
      <c r="F48" s="98" t="s">
        <v>201</v>
      </c>
      <c r="G48" s="98" t="s">
        <v>201</v>
      </c>
      <c r="H48" s="70" t="s">
        <v>201</v>
      </c>
      <c r="I48" s="70" t="s">
        <v>393</v>
      </c>
      <c r="J48" s="69" t="s">
        <v>394</v>
      </c>
      <c r="K48" s="70" t="s">
        <v>209</v>
      </c>
      <c r="L48" s="57" t="s">
        <v>192</v>
      </c>
      <c r="M48" s="70"/>
      <c r="N48" s="70"/>
      <c r="O48" s="70"/>
      <c r="P48" s="70"/>
      <c r="Q48" s="70"/>
      <c r="R48" s="70"/>
      <c r="S48" s="70"/>
      <c r="T48" s="70"/>
      <c r="U48" s="70"/>
      <c r="V48" s="69"/>
      <c r="W48" s="100"/>
      <c r="X48" s="70"/>
      <c r="Y48" s="70"/>
      <c r="Z48" s="70"/>
      <c r="AA48" s="70"/>
      <c r="AB48" s="70"/>
      <c r="AC48" s="70"/>
      <c r="AD48" s="69"/>
      <c r="AE48" s="101"/>
      <c r="AF48" s="102"/>
      <c r="AG48" s="102"/>
      <c r="AH48" s="102"/>
      <c r="AI48" s="103"/>
      <c r="AJ48" s="458"/>
      <c r="AK48" s="104"/>
    </row>
    <row r="49" spans="1:37" s="319" customFormat="1" ht="12.75" customHeight="1">
      <c r="A49" s="220"/>
      <c r="B49" s="69" t="s">
        <v>46</v>
      </c>
      <c r="C49" s="66">
        <v>215</v>
      </c>
      <c r="D49" s="69" t="b">
        <v>1</v>
      </c>
      <c r="E49" s="70"/>
      <c r="F49" s="98" t="s">
        <v>395</v>
      </c>
      <c r="G49" s="98" t="s">
        <v>396</v>
      </c>
      <c r="H49" s="70" t="s">
        <v>397</v>
      </c>
      <c r="I49" s="70" t="s">
        <v>398</v>
      </c>
      <c r="J49" s="69" t="s">
        <v>399</v>
      </c>
      <c r="K49" s="70" t="s">
        <v>209</v>
      </c>
      <c r="L49" s="57" t="s">
        <v>192</v>
      </c>
      <c r="M49" s="70"/>
      <c r="N49" s="70"/>
      <c r="O49" s="70"/>
      <c r="P49" s="70"/>
      <c r="Q49" s="70"/>
      <c r="R49" s="70"/>
      <c r="S49" s="447"/>
      <c r="T49" s="70" t="s">
        <v>193</v>
      </c>
      <c r="U49" s="447" t="s">
        <v>400</v>
      </c>
      <c r="V49" s="69" t="str">
        <f>_xlfn.CONCAT($AH$14,"_",U49)</f>
        <v>3922_72Y2_fijninstelling</v>
      </c>
      <c r="W49" s="433" t="s">
        <v>289</v>
      </c>
      <c r="X49" s="66">
        <v>3922</v>
      </c>
      <c r="Y49" s="70" t="s">
        <v>196</v>
      </c>
      <c r="Z49" s="70" t="s">
        <v>197</v>
      </c>
      <c r="AA49" s="70">
        <v>11</v>
      </c>
      <c r="AB49" s="67" t="s">
        <v>198</v>
      </c>
      <c r="AC49" s="69" t="s">
        <v>141</v>
      </c>
      <c r="AD49" s="66" t="s">
        <v>142</v>
      </c>
      <c r="AE49" s="101" t="s">
        <v>373</v>
      </c>
      <c r="AF49" s="423">
        <v>-2</v>
      </c>
      <c r="AG49" s="423">
        <v>2</v>
      </c>
      <c r="AH49" s="423">
        <v>-2</v>
      </c>
      <c r="AI49" s="103"/>
      <c r="AJ49" s="458"/>
      <c r="AK49" s="104"/>
    </row>
    <row r="50" spans="1:37" s="71" customFormat="1" ht="12.75" customHeight="1">
      <c r="A50" s="220"/>
      <c r="B50" s="69" t="s">
        <v>68</v>
      </c>
      <c r="C50" s="66">
        <v>216</v>
      </c>
      <c r="D50" s="69" t="b">
        <v>1</v>
      </c>
      <c r="E50" s="70"/>
      <c r="F50" s="98" t="s">
        <v>401</v>
      </c>
      <c r="G50" s="98" t="s">
        <v>402</v>
      </c>
      <c r="H50" s="70" t="s">
        <v>403</v>
      </c>
      <c r="I50" s="70" t="s">
        <v>404</v>
      </c>
      <c r="J50" s="69" t="s">
        <v>405</v>
      </c>
      <c r="K50" s="70" t="s">
        <v>209</v>
      </c>
      <c r="L50" s="57" t="s">
        <v>192</v>
      </c>
      <c r="M50" s="70"/>
      <c r="N50" s="70"/>
      <c r="O50" s="70"/>
      <c r="P50" s="70"/>
      <c r="Q50" s="70"/>
      <c r="R50" s="70"/>
      <c r="S50" s="447"/>
      <c r="T50" s="70" t="s">
        <v>193</v>
      </c>
      <c r="U50" s="447" t="s">
        <v>406</v>
      </c>
      <c r="V50" s="69" t="str">
        <f>_xlfn.CONCAT($AH$14,"_",U50)</f>
        <v>3922_45M1_SP</v>
      </c>
      <c r="W50" s="433" t="s">
        <v>195</v>
      </c>
      <c r="X50" s="66">
        <v>3922</v>
      </c>
      <c r="Y50" s="70" t="s">
        <v>196</v>
      </c>
      <c r="Z50" s="70" t="s">
        <v>197</v>
      </c>
      <c r="AA50" s="70">
        <v>12</v>
      </c>
      <c r="AB50" s="67" t="s">
        <v>198</v>
      </c>
      <c r="AC50" s="69" t="s">
        <v>141</v>
      </c>
      <c r="AD50" s="66" t="s">
        <v>407</v>
      </c>
      <c r="AE50" s="101" t="s">
        <v>373</v>
      </c>
      <c r="AF50" s="423">
        <v>233.5</v>
      </c>
      <c r="AG50" s="423">
        <v>293.5</v>
      </c>
      <c r="AH50" s="423">
        <v>260</v>
      </c>
      <c r="AI50" s="103"/>
      <c r="AJ50" s="458"/>
      <c r="AK50" s="104"/>
    </row>
    <row r="51" spans="1:37" s="71" customFormat="1" ht="12.75" customHeight="1">
      <c r="A51" s="220"/>
      <c r="B51" s="69" t="s">
        <v>68</v>
      </c>
      <c r="C51" s="66">
        <v>217</v>
      </c>
      <c r="D51" s="69" t="b">
        <v>1</v>
      </c>
      <c r="E51" s="70"/>
      <c r="F51" s="98" t="s">
        <v>408</v>
      </c>
      <c r="G51" s="98" t="s">
        <v>409</v>
      </c>
      <c r="H51" s="70" t="s">
        <v>410</v>
      </c>
      <c r="I51" s="70" t="s">
        <v>411</v>
      </c>
      <c r="J51" s="69" t="s">
        <v>412</v>
      </c>
      <c r="K51" s="70" t="s">
        <v>209</v>
      </c>
      <c r="L51" s="57" t="s">
        <v>192</v>
      </c>
      <c r="M51" s="70"/>
      <c r="N51" s="70"/>
      <c r="O51" s="70"/>
      <c r="P51" s="70"/>
      <c r="Q51" s="70"/>
      <c r="R51" s="70"/>
      <c r="S51" s="447"/>
      <c r="T51" s="70" t="s">
        <v>193</v>
      </c>
      <c r="U51" s="447" t="s">
        <v>413</v>
      </c>
      <c r="V51" s="69" t="str">
        <f>_xlfn.CONCAT($AH$14,"_",U51)</f>
        <v>3922_45M2_SP</v>
      </c>
      <c r="W51" s="433" t="s">
        <v>195</v>
      </c>
      <c r="X51" s="66">
        <v>3922</v>
      </c>
      <c r="Y51" s="70" t="s">
        <v>196</v>
      </c>
      <c r="Z51" s="70" t="s">
        <v>197</v>
      </c>
      <c r="AA51" s="70">
        <v>13</v>
      </c>
      <c r="AB51" s="67" t="s">
        <v>198</v>
      </c>
      <c r="AC51" s="69" t="s">
        <v>141</v>
      </c>
      <c r="AD51" s="66" t="s">
        <v>407</v>
      </c>
      <c r="AE51" s="101" t="s">
        <v>373</v>
      </c>
      <c r="AF51" s="423">
        <v>233.5</v>
      </c>
      <c r="AG51" s="423">
        <v>293.5</v>
      </c>
      <c r="AH51" s="423">
        <v>260</v>
      </c>
      <c r="AI51" s="103"/>
      <c r="AJ51" s="458"/>
      <c r="AK51" s="104"/>
    </row>
    <row r="52" spans="1:37" s="319" customFormat="1" ht="12.6">
      <c r="A52" s="365"/>
      <c r="B52" s="400" t="s">
        <v>36</v>
      </c>
      <c r="C52" s="400">
        <v>218</v>
      </c>
      <c r="D52" s="400"/>
      <c r="E52" s="399" t="b">
        <v>1</v>
      </c>
      <c r="F52" s="398" t="s">
        <v>414</v>
      </c>
      <c r="G52" s="398" t="s">
        <v>415</v>
      </c>
      <c r="H52" s="399" t="s">
        <v>416</v>
      </c>
      <c r="I52" s="399" t="s">
        <v>417</v>
      </c>
      <c r="J52" s="400" t="s">
        <v>418</v>
      </c>
      <c r="K52" s="399" t="s">
        <v>209</v>
      </c>
      <c r="L52" s="451" t="s">
        <v>192</v>
      </c>
      <c r="M52" s="399"/>
      <c r="N52" s="399"/>
      <c r="O52" s="399"/>
      <c r="P52" s="399"/>
      <c r="Q52" s="399"/>
      <c r="R52" s="399"/>
      <c r="S52" s="399"/>
      <c r="T52" s="399"/>
      <c r="U52" s="399" t="str">
        <f>CONCATENATE("par",E52)</f>
        <v>parTRUE</v>
      </c>
      <c r="V52" s="400" t="e">
        <f>_xlfn.CONCAT(#REF!,"_",U52)</f>
        <v>#REF!</v>
      </c>
      <c r="W52" s="433" t="s">
        <v>234</v>
      </c>
      <c r="X52" s="400">
        <v>3922</v>
      </c>
      <c r="Y52" s="399" t="s">
        <v>196</v>
      </c>
      <c r="Z52" s="399" t="s">
        <v>197</v>
      </c>
      <c r="AA52" s="399">
        <v>14</v>
      </c>
      <c r="AB52" s="67" t="s">
        <v>198</v>
      </c>
      <c r="AC52" s="69" t="s">
        <v>141</v>
      </c>
      <c r="AD52" s="449" t="s">
        <v>419</v>
      </c>
      <c r="AE52" s="402" t="s">
        <v>420</v>
      </c>
      <c r="AF52" s="459">
        <v>345</v>
      </c>
      <c r="AG52" s="459">
        <v>355</v>
      </c>
      <c r="AH52" s="459">
        <v>345</v>
      </c>
      <c r="AI52" s="403"/>
      <c r="AJ52" s="409"/>
      <c r="AK52" s="104"/>
    </row>
    <row r="53" spans="1:37" s="319" customFormat="1" ht="12.6">
      <c r="A53" s="396"/>
      <c r="B53" s="69" t="s">
        <v>62</v>
      </c>
      <c r="C53" s="69">
        <v>219</v>
      </c>
      <c r="D53" s="69" t="b">
        <v>1</v>
      </c>
      <c r="E53" s="70"/>
      <c r="F53" s="98" t="s">
        <v>421</v>
      </c>
      <c r="G53" s="98" t="s">
        <v>422</v>
      </c>
      <c r="H53" s="70" t="s">
        <v>423</v>
      </c>
      <c r="I53" s="70" t="s">
        <v>424</v>
      </c>
      <c r="J53" s="69" t="s">
        <v>425</v>
      </c>
      <c r="K53" s="69" t="s">
        <v>166</v>
      </c>
      <c r="L53" s="57" t="s">
        <v>192</v>
      </c>
      <c r="M53" s="70"/>
      <c r="N53" s="70"/>
      <c r="O53" s="70"/>
      <c r="P53" s="70"/>
      <c r="Q53" s="70"/>
      <c r="R53" s="70"/>
      <c r="S53" s="447"/>
      <c r="T53" s="70"/>
      <c r="U53" s="447" t="s">
        <v>426</v>
      </c>
      <c r="V53" s="69" t="str">
        <f>_xlfn.CONCAT($AH$14,"_",U53)</f>
        <v>3922_Cons_Vial_MissingIn</v>
      </c>
      <c r="W53" s="460" t="s">
        <v>195</v>
      </c>
      <c r="X53" s="69">
        <v>3922</v>
      </c>
      <c r="Y53" s="70" t="s">
        <v>196</v>
      </c>
      <c r="Z53" s="70" t="s">
        <v>197</v>
      </c>
      <c r="AA53" s="70">
        <v>15</v>
      </c>
      <c r="AB53" s="67" t="s">
        <v>198</v>
      </c>
      <c r="AC53" s="69" t="s">
        <v>141</v>
      </c>
      <c r="AD53" s="66" t="s">
        <v>427</v>
      </c>
      <c r="AE53" s="101" t="s">
        <v>428</v>
      </c>
      <c r="AF53" s="461">
        <v>1</v>
      </c>
      <c r="AG53" s="461">
        <v>10</v>
      </c>
      <c r="AH53" s="461">
        <v>3</v>
      </c>
      <c r="AI53" s="103"/>
      <c r="AJ53" s="266"/>
      <c r="AK53" s="104"/>
    </row>
    <row r="54" spans="1:37" s="319" customFormat="1" ht="12.6">
      <c r="A54" s="220"/>
      <c r="B54" s="69" t="s">
        <v>46</v>
      </c>
      <c r="C54" s="69">
        <v>220</v>
      </c>
      <c r="D54" s="69" t="b">
        <v>1</v>
      </c>
      <c r="E54" s="70"/>
      <c r="F54" s="98" t="s">
        <v>429</v>
      </c>
      <c r="G54" s="98" t="s">
        <v>430</v>
      </c>
      <c r="H54" s="70" t="s">
        <v>431</v>
      </c>
      <c r="I54" s="70" t="s">
        <v>432</v>
      </c>
      <c r="J54" s="69" t="s">
        <v>433</v>
      </c>
      <c r="K54" s="70" t="s">
        <v>209</v>
      </c>
      <c r="L54" s="57" t="s">
        <v>192</v>
      </c>
      <c r="M54" s="70"/>
      <c r="N54" s="70"/>
      <c r="O54" s="70"/>
      <c r="P54" s="70"/>
      <c r="Q54" s="70"/>
      <c r="R54" s="70"/>
      <c r="S54" s="447"/>
      <c r="T54" s="70"/>
      <c r="U54" s="447" t="s">
        <v>434</v>
      </c>
      <c r="V54" s="69" t="str">
        <f>_xlfn.CONCAT($AH$14,"_",U54)</f>
        <v>3922_84US1_min</v>
      </c>
      <c r="W54" s="433" t="s">
        <v>234</v>
      </c>
      <c r="X54" s="69">
        <v>3922</v>
      </c>
      <c r="Y54" s="70" t="s">
        <v>272</v>
      </c>
      <c r="Z54" s="70" t="s">
        <v>197</v>
      </c>
      <c r="AA54" s="70">
        <v>16</v>
      </c>
      <c r="AB54" s="67" t="s">
        <v>273</v>
      </c>
      <c r="AC54" s="69" t="s">
        <v>141</v>
      </c>
      <c r="AD54" s="66" t="s">
        <v>199</v>
      </c>
      <c r="AE54" s="101" t="s">
        <v>215</v>
      </c>
      <c r="AF54" s="423">
        <v>0</v>
      </c>
      <c r="AG54" s="423">
        <v>25</v>
      </c>
      <c r="AH54" s="423">
        <v>19.5</v>
      </c>
      <c r="AI54" s="103"/>
      <c r="AJ54" s="266"/>
      <c r="AK54" s="104"/>
    </row>
    <row r="55" spans="1:37" s="320" customFormat="1" ht="12.6">
      <c r="A55" s="365"/>
      <c r="B55" s="69" t="s">
        <v>31</v>
      </c>
      <c r="C55" s="449">
        <v>250</v>
      </c>
      <c r="D55" s="400"/>
      <c r="E55" s="399" t="b">
        <v>1</v>
      </c>
      <c r="F55" s="398" t="s">
        <v>435</v>
      </c>
      <c r="G55" s="398" t="s">
        <v>436</v>
      </c>
      <c r="H55" s="402" t="s">
        <v>437</v>
      </c>
      <c r="I55" s="399" t="s">
        <v>438</v>
      </c>
      <c r="J55" s="399" t="s">
        <v>439</v>
      </c>
      <c r="K55" s="399" t="s">
        <v>321</v>
      </c>
      <c r="L55" s="451" t="s">
        <v>192</v>
      </c>
      <c r="M55" s="399"/>
      <c r="N55" s="399"/>
      <c r="O55" s="399"/>
      <c r="P55" s="399"/>
      <c r="Q55" s="399"/>
      <c r="R55" s="399"/>
      <c r="S55" s="399"/>
      <c r="T55" s="399"/>
      <c r="U55" s="399" t="str">
        <f>CONCATENATE("par",E55)</f>
        <v>parTRUE</v>
      </c>
      <c r="V55" s="400" t="e">
        <f>_xlfn.CONCAT(#REF!,"_",U55)</f>
        <v>#REF!</v>
      </c>
      <c r="W55" s="452"/>
      <c r="X55" s="449">
        <v>3922</v>
      </c>
      <c r="Y55" s="399" t="s">
        <v>196</v>
      </c>
      <c r="Z55" s="399" t="s">
        <v>440</v>
      </c>
      <c r="AA55" s="399">
        <v>1</v>
      </c>
      <c r="AB55" s="401" t="s">
        <v>198</v>
      </c>
      <c r="AC55" s="69" t="s">
        <v>141</v>
      </c>
      <c r="AD55" s="66" t="s">
        <v>142</v>
      </c>
      <c r="AE55" s="402" t="s">
        <v>441</v>
      </c>
      <c r="AF55" s="462">
        <v>0</v>
      </c>
      <c r="AG55" s="462">
        <v>1</v>
      </c>
      <c r="AH55" s="462">
        <v>0</v>
      </c>
      <c r="AI55" s="403"/>
      <c r="AJ55" s="409" t="s">
        <v>442</v>
      </c>
      <c r="AK55" s="404"/>
    </row>
    <row r="56" spans="1:37" s="319" customFormat="1" ht="12.6" customHeight="1">
      <c r="A56" s="220"/>
      <c r="B56" s="69" t="s">
        <v>46</v>
      </c>
      <c r="C56" s="66">
        <v>251</v>
      </c>
      <c r="D56" s="69" t="b">
        <v>1</v>
      </c>
      <c r="E56" s="70"/>
      <c r="F56" s="98" t="s">
        <v>443</v>
      </c>
      <c r="G56" s="98" t="s">
        <v>444</v>
      </c>
      <c r="H56" s="70" t="s">
        <v>445</v>
      </c>
      <c r="I56" s="70" t="s">
        <v>446</v>
      </c>
      <c r="J56" s="70" t="s">
        <v>447</v>
      </c>
      <c r="K56" s="70" t="s">
        <v>321</v>
      </c>
      <c r="L56" s="57" t="s">
        <v>192</v>
      </c>
      <c r="M56" s="70"/>
      <c r="N56" s="70"/>
      <c r="O56" s="70"/>
      <c r="P56" s="70"/>
      <c r="Q56" s="70"/>
      <c r="R56" s="70"/>
      <c r="S56" s="447"/>
      <c r="T56" s="70" t="s">
        <v>193</v>
      </c>
      <c r="U56" s="447" t="s">
        <v>448</v>
      </c>
      <c r="V56" s="69" t="str">
        <f t="shared" ref="V56:V60" si="2">_xlfn.CONCAT($AH$14,"_",U56)</f>
        <v>3922_52M1_YN</v>
      </c>
      <c r="W56" s="433" t="s">
        <v>359</v>
      </c>
      <c r="X56" s="66">
        <v>3922</v>
      </c>
      <c r="Y56" s="70" t="s">
        <v>272</v>
      </c>
      <c r="Z56" s="70" t="s">
        <v>440</v>
      </c>
      <c r="AA56" s="70">
        <v>2</v>
      </c>
      <c r="AB56" s="67" t="s">
        <v>273</v>
      </c>
      <c r="AC56" s="69" t="s">
        <v>141</v>
      </c>
      <c r="AD56" s="66" t="s">
        <v>199</v>
      </c>
      <c r="AE56" s="101" t="s">
        <v>441</v>
      </c>
      <c r="AF56" s="102">
        <v>0</v>
      </c>
      <c r="AG56" s="102">
        <v>1</v>
      </c>
      <c r="AH56" s="102">
        <v>0</v>
      </c>
      <c r="AI56" s="103"/>
      <c r="AJ56" s="458"/>
      <c r="AK56" s="104"/>
    </row>
    <row r="57" spans="1:37" s="319" customFormat="1" ht="12.75" customHeight="1">
      <c r="A57" s="220"/>
      <c r="B57" s="69" t="s">
        <v>46</v>
      </c>
      <c r="C57" s="66">
        <v>252</v>
      </c>
      <c r="D57" s="69" t="b">
        <v>1</v>
      </c>
      <c r="E57" s="70"/>
      <c r="F57" s="98" t="s">
        <v>449</v>
      </c>
      <c r="G57" s="98" t="s">
        <v>450</v>
      </c>
      <c r="H57" s="70" t="s">
        <v>451</v>
      </c>
      <c r="I57" s="70" t="s">
        <v>452</v>
      </c>
      <c r="J57" s="70" t="s">
        <v>453</v>
      </c>
      <c r="K57" s="70" t="s">
        <v>321</v>
      </c>
      <c r="L57" s="57" t="s">
        <v>192</v>
      </c>
      <c r="M57" s="70"/>
      <c r="N57" s="70"/>
      <c r="O57" s="70"/>
      <c r="P57" s="70"/>
      <c r="Q57" s="70"/>
      <c r="R57" s="70"/>
      <c r="S57" s="447"/>
      <c r="T57" s="70" t="s">
        <v>193</v>
      </c>
      <c r="U57" s="447" t="s">
        <v>454</v>
      </c>
      <c r="V57" s="69" t="str">
        <f t="shared" si="2"/>
        <v>3922_Ompompen_YN</v>
      </c>
      <c r="W57" s="433" t="s">
        <v>271</v>
      </c>
      <c r="X57" s="66">
        <v>3922</v>
      </c>
      <c r="Y57" s="70" t="s">
        <v>272</v>
      </c>
      <c r="Z57" s="70" t="s">
        <v>440</v>
      </c>
      <c r="AA57" s="70">
        <v>3</v>
      </c>
      <c r="AB57" s="67" t="s">
        <v>273</v>
      </c>
      <c r="AC57" s="69" t="s">
        <v>141</v>
      </c>
      <c r="AD57" s="66" t="s">
        <v>199</v>
      </c>
      <c r="AE57" s="101" t="s">
        <v>441</v>
      </c>
      <c r="AF57" s="102">
        <v>0</v>
      </c>
      <c r="AG57" s="102">
        <v>1</v>
      </c>
      <c r="AH57" s="102">
        <v>0</v>
      </c>
      <c r="AI57" s="103"/>
      <c r="AJ57" s="458"/>
      <c r="AK57" s="104"/>
    </row>
    <row r="58" spans="1:37" s="319" customFormat="1" ht="12.75" customHeight="1">
      <c r="A58" s="220"/>
      <c r="B58" s="397" t="s">
        <v>68</v>
      </c>
      <c r="C58" s="397">
        <v>253</v>
      </c>
      <c r="D58" s="397" t="b">
        <v>1</v>
      </c>
      <c r="E58" s="397"/>
      <c r="F58" s="397" t="s">
        <v>455</v>
      </c>
      <c r="G58" s="397" t="s">
        <v>456</v>
      </c>
      <c r="H58" s="397" t="s">
        <v>457</v>
      </c>
      <c r="I58" s="397" t="s">
        <v>458</v>
      </c>
      <c r="J58" s="397" t="s">
        <v>459</v>
      </c>
      <c r="K58" s="397" t="s">
        <v>321</v>
      </c>
      <c r="L58" s="397" t="s">
        <v>192</v>
      </c>
      <c r="M58" s="397"/>
      <c r="N58" s="397"/>
      <c r="O58" s="397"/>
      <c r="P58" s="397"/>
      <c r="Q58" s="397"/>
      <c r="R58" s="397"/>
      <c r="S58" s="397"/>
      <c r="T58" s="397" t="s">
        <v>193</v>
      </c>
      <c r="U58" s="397" t="s">
        <v>460</v>
      </c>
      <c r="V58" s="397" t="str">
        <f t="shared" si="2"/>
        <v>3922_Shear_Gevoelig_YN</v>
      </c>
      <c r="W58" s="397" t="s">
        <v>271</v>
      </c>
      <c r="X58" s="397">
        <v>3922</v>
      </c>
      <c r="Y58" s="397" t="s">
        <v>196</v>
      </c>
      <c r="Z58" s="397" t="s">
        <v>440</v>
      </c>
      <c r="AA58" s="397">
        <v>10</v>
      </c>
      <c r="AB58" s="397" t="s">
        <v>273</v>
      </c>
      <c r="AC58" s="397" t="s">
        <v>141</v>
      </c>
      <c r="AD58" s="397" t="s">
        <v>142</v>
      </c>
      <c r="AE58" s="397" t="s">
        <v>441</v>
      </c>
      <c r="AF58" s="102">
        <v>0</v>
      </c>
      <c r="AG58" s="102">
        <v>1</v>
      </c>
      <c r="AH58" s="102">
        <v>0</v>
      </c>
      <c r="AI58" s="103"/>
      <c r="AJ58" s="266"/>
      <c r="AK58" s="104"/>
    </row>
    <row r="59" spans="1:37" s="319" customFormat="1" ht="24.95">
      <c r="A59" s="220"/>
      <c r="B59" s="69" t="s">
        <v>46</v>
      </c>
      <c r="C59" s="69">
        <v>254</v>
      </c>
      <c r="D59" s="70" t="b">
        <v>1</v>
      </c>
      <c r="E59" s="70"/>
      <c r="F59" s="397" t="s">
        <v>461</v>
      </c>
      <c r="G59" s="397" t="s">
        <v>462</v>
      </c>
      <c r="H59" s="69" t="s">
        <v>463</v>
      </c>
      <c r="I59" s="70" t="s">
        <v>464</v>
      </c>
      <c r="J59" s="70" t="s">
        <v>465</v>
      </c>
      <c r="K59" s="70" t="s">
        <v>321</v>
      </c>
      <c r="L59" s="57" t="s">
        <v>192</v>
      </c>
      <c r="M59" s="70"/>
      <c r="N59" s="70"/>
      <c r="O59" s="70"/>
      <c r="P59" s="70"/>
      <c r="Q59" s="70"/>
      <c r="R59" s="70"/>
      <c r="S59" s="447"/>
      <c r="T59" s="70" t="s">
        <v>193</v>
      </c>
      <c r="U59" s="447" t="s">
        <v>466</v>
      </c>
      <c r="V59" s="69" t="str">
        <f t="shared" si="2"/>
        <v>3922_Reject_joggen_YN</v>
      </c>
      <c r="W59" s="433" t="s">
        <v>359</v>
      </c>
      <c r="X59" s="69">
        <v>3922</v>
      </c>
      <c r="Y59" s="70" t="s">
        <v>272</v>
      </c>
      <c r="Z59" s="70" t="s">
        <v>440</v>
      </c>
      <c r="AA59" s="70">
        <v>11</v>
      </c>
      <c r="AB59" s="67" t="s">
        <v>273</v>
      </c>
      <c r="AC59" s="69" t="s">
        <v>141</v>
      </c>
      <c r="AD59" s="66" t="s">
        <v>199</v>
      </c>
      <c r="AE59" s="101" t="s">
        <v>441</v>
      </c>
      <c r="AF59" s="102">
        <v>0</v>
      </c>
      <c r="AG59" s="102">
        <v>1</v>
      </c>
      <c r="AH59" s="102">
        <v>1</v>
      </c>
      <c r="AI59" s="103"/>
      <c r="AJ59" s="463" t="s">
        <v>467</v>
      </c>
      <c r="AK59" s="104"/>
    </row>
    <row r="60" spans="1:37" s="319" customFormat="1" ht="12.75" customHeight="1">
      <c r="A60" s="220"/>
      <c r="B60" s="69" t="s">
        <v>46</v>
      </c>
      <c r="C60" s="69">
        <v>255</v>
      </c>
      <c r="D60" s="70" t="b">
        <v>1</v>
      </c>
      <c r="E60" s="70"/>
      <c r="F60" s="397" t="s">
        <v>468</v>
      </c>
      <c r="G60" s="397" t="s">
        <v>469</v>
      </c>
      <c r="H60" s="69" t="s">
        <v>470</v>
      </c>
      <c r="I60" s="70" t="s">
        <v>471</v>
      </c>
      <c r="J60" s="70" t="s">
        <v>472</v>
      </c>
      <c r="K60" s="70" t="s">
        <v>321</v>
      </c>
      <c r="L60" s="57" t="s">
        <v>192</v>
      </c>
      <c r="M60" s="70"/>
      <c r="N60" s="70"/>
      <c r="O60" s="70"/>
      <c r="P60" s="70"/>
      <c r="Q60" s="70"/>
      <c r="R60" s="70"/>
      <c r="S60" s="447"/>
      <c r="T60" s="70" t="s">
        <v>193</v>
      </c>
      <c r="U60" s="447" t="s">
        <v>473</v>
      </c>
      <c r="V60" s="69" t="str">
        <f t="shared" si="2"/>
        <v>3922_Anti-krist_flush_YN</v>
      </c>
      <c r="W60" s="433" t="s">
        <v>359</v>
      </c>
      <c r="X60" s="69">
        <v>3922</v>
      </c>
      <c r="Y60" s="70" t="s">
        <v>196</v>
      </c>
      <c r="Z60" s="70" t="s">
        <v>440</v>
      </c>
      <c r="AA60" s="70">
        <v>12</v>
      </c>
      <c r="AB60" s="67" t="s">
        <v>273</v>
      </c>
      <c r="AC60" s="69" t="s">
        <v>141</v>
      </c>
      <c r="AD60" s="66" t="s">
        <v>142</v>
      </c>
      <c r="AE60" s="101" t="s">
        <v>441</v>
      </c>
      <c r="AF60" s="102">
        <v>0</v>
      </c>
      <c r="AG60" s="102">
        <v>1</v>
      </c>
      <c r="AH60" s="102">
        <v>0</v>
      </c>
      <c r="AI60" s="103"/>
      <c r="AJ60" s="266"/>
      <c r="AK60" s="104"/>
    </row>
    <row r="61" spans="1:37" s="319" customFormat="1" ht="12.75" customHeight="1">
      <c r="A61" s="396"/>
      <c r="B61" s="69" t="s">
        <v>68</v>
      </c>
      <c r="C61" s="66">
        <v>256</v>
      </c>
      <c r="D61" s="70" t="b">
        <v>1</v>
      </c>
      <c r="E61" s="70"/>
      <c r="F61" s="397" t="s">
        <v>474</v>
      </c>
      <c r="G61" s="397" t="s">
        <v>475</v>
      </c>
      <c r="H61" s="69" t="s">
        <v>476</v>
      </c>
      <c r="I61" s="70" t="s">
        <v>477</v>
      </c>
      <c r="J61" s="70" t="s">
        <v>478</v>
      </c>
      <c r="K61" s="70" t="s">
        <v>321</v>
      </c>
      <c r="L61" s="57" t="s">
        <v>192</v>
      </c>
      <c r="M61" s="70"/>
      <c r="N61" s="70"/>
      <c r="O61" s="70"/>
      <c r="P61" s="70"/>
      <c r="Q61" s="70"/>
      <c r="R61" s="70"/>
      <c r="S61" s="70"/>
      <c r="T61" s="70"/>
      <c r="U61" s="70" t="s">
        <v>479</v>
      </c>
      <c r="V61" s="69" t="str">
        <f>_xlfn.CONCAT($AH$14,"_",U61)</f>
        <v>3922_Vrijgave_100IPC_end</v>
      </c>
      <c r="W61" s="433" t="s">
        <v>359</v>
      </c>
      <c r="X61" s="70">
        <v>3922</v>
      </c>
      <c r="Y61" s="70" t="s">
        <v>272</v>
      </c>
      <c r="Z61" s="70" t="s">
        <v>440</v>
      </c>
      <c r="AA61" s="70">
        <v>37</v>
      </c>
      <c r="AB61" s="70" t="s">
        <v>273</v>
      </c>
      <c r="AC61" s="69" t="s">
        <v>141</v>
      </c>
      <c r="AD61" s="66" t="s">
        <v>142</v>
      </c>
      <c r="AE61" s="101" t="s">
        <v>441</v>
      </c>
      <c r="AF61" s="102">
        <v>0</v>
      </c>
      <c r="AG61" s="102">
        <v>1</v>
      </c>
      <c r="AH61" s="102">
        <v>0</v>
      </c>
      <c r="AI61" s="103"/>
      <c r="AJ61" s="458"/>
      <c r="AK61" s="104"/>
    </row>
    <row r="62" spans="1:37" s="71" customFormat="1" ht="12.75" customHeight="1">
      <c r="A62" s="220"/>
      <c r="B62" s="69" t="s">
        <v>15</v>
      </c>
      <c r="C62" s="66">
        <v>257</v>
      </c>
      <c r="D62" s="70"/>
      <c r="E62" s="70"/>
      <c r="F62" s="397" t="s">
        <v>201</v>
      </c>
      <c r="G62" s="397" t="s">
        <v>201</v>
      </c>
      <c r="H62" s="69" t="s">
        <v>201</v>
      </c>
      <c r="I62" s="70" t="s">
        <v>480</v>
      </c>
      <c r="J62" s="70" t="s">
        <v>481</v>
      </c>
      <c r="K62" s="70" t="s">
        <v>321</v>
      </c>
      <c r="L62" s="57" t="s">
        <v>192</v>
      </c>
      <c r="M62" s="70"/>
      <c r="N62" s="70"/>
      <c r="O62" s="70"/>
      <c r="P62" s="70"/>
      <c r="Q62" s="70"/>
      <c r="R62" s="70"/>
      <c r="S62" s="70"/>
      <c r="T62" s="70"/>
      <c r="U62" s="70"/>
      <c r="V62" s="69"/>
      <c r="W62" s="100"/>
      <c r="X62" s="70"/>
      <c r="Y62" s="70"/>
      <c r="Z62" s="70"/>
      <c r="AA62" s="70"/>
      <c r="AB62" s="70"/>
      <c r="AC62" s="70"/>
      <c r="AD62" s="69"/>
      <c r="AE62" s="101"/>
      <c r="AF62" s="102"/>
      <c r="AG62" s="102"/>
      <c r="AH62" s="102"/>
      <c r="AI62" s="103"/>
      <c r="AJ62" s="458"/>
      <c r="AK62" s="104"/>
    </row>
    <row r="63" spans="1:37" s="319" customFormat="1" ht="24.95">
      <c r="A63" s="220"/>
      <c r="B63" s="69" t="s">
        <v>46</v>
      </c>
      <c r="C63" s="66">
        <v>258</v>
      </c>
      <c r="D63" s="69" t="b">
        <v>1</v>
      </c>
      <c r="E63" s="70"/>
      <c r="F63" s="98" t="s">
        <v>482</v>
      </c>
      <c r="G63" s="98" t="s">
        <v>483</v>
      </c>
      <c r="H63" s="101" t="s">
        <v>484</v>
      </c>
      <c r="I63" s="70" t="s">
        <v>485</v>
      </c>
      <c r="J63" s="70" t="s">
        <v>486</v>
      </c>
      <c r="K63" s="70" t="s">
        <v>166</v>
      </c>
      <c r="L63" s="57" t="s">
        <v>192</v>
      </c>
      <c r="M63" s="70"/>
      <c r="N63" s="70"/>
      <c r="O63" s="70"/>
      <c r="P63" s="70"/>
      <c r="Q63" s="70"/>
      <c r="R63" s="70"/>
      <c r="S63" s="447"/>
      <c r="T63" s="70" t="s">
        <v>193</v>
      </c>
      <c r="U63" s="447" t="s">
        <v>487</v>
      </c>
      <c r="V63" s="69" t="str">
        <f>_xlfn.CONCAT($AH$14,"_",U63)</f>
        <v>3922_Doseer_Systeem</v>
      </c>
      <c r="W63" s="460" t="s">
        <v>271</v>
      </c>
      <c r="X63" s="66">
        <v>3922</v>
      </c>
      <c r="Y63" s="70" t="s">
        <v>272</v>
      </c>
      <c r="Z63" s="70" t="s">
        <v>440</v>
      </c>
      <c r="AA63" s="70">
        <v>4</v>
      </c>
      <c r="AB63" s="67" t="s">
        <v>273</v>
      </c>
      <c r="AC63" s="69" t="s">
        <v>141</v>
      </c>
      <c r="AD63" s="66" t="s">
        <v>199</v>
      </c>
      <c r="AE63" s="101" t="s">
        <v>441</v>
      </c>
      <c r="AF63" s="102">
        <v>0</v>
      </c>
      <c r="AG63" s="102">
        <v>1</v>
      </c>
      <c r="AH63" s="102">
        <v>0</v>
      </c>
      <c r="AI63" s="103"/>
      <c r="AJ63" s="458" t="s">
        <v>488</v>
      </c>
      <c r="AK63" s="104"/>
    </row>
    <row r="64" spans="1:37" s="71" customFormat="1" ht="24.95">
      <c r="A64" s="220"/>
      <c r="B64" s="69" t="s">
        <v>53</v>
      </c>
      <c r="C64" s="66">
        <v>259</v>
      </c>
      <c r="D64" s="69" t="b">
        <v>1</v>
      </c>
      <c r="E64" s="70"/>
      <c r="F64" s="98" t="s">
        <v>489</v>
      </c>
      <c r="G64" s="98" t="s">
        <v>490</v>
      </c>
      <c r="H64" s="101" t="s">
        <v>491</v>
      </c>
      <c r="I64" s="70" t="s">
        <v>492</v>
      </c>
      <c r="J64" s="70" t="s">
        <v>493</v>
      </c>
      <c r="K64" s="70" t="s">
        <v>166</v>
      </c>
      <c r="L64" s="57" t="s">
        <v>192</v>
      </c>
      <c r="M64" s="70"/>
      <c r="N64" s="70"/>
      <c r="O64" s="70"/>
      <c r="P64" s="70"/>
      <c r="Q64" s="70"/>
      <c r="R64" s="70"/>
      <c r="S64" s="447"/>
      <c r="T64" s="70" t="s">
        <v>193</v>
      </c>
      <c r="U64" s="447" t="s">
        <v>494</v>
      </c>
      <c r="V64" s="69" t="str">
        <f>_xlfn.CONCAT($AH$14,"_",U64)</f>
        <v>3922_Niveau_Regeling</v>
      </c>
      <c r="W64" s="433" t="s">
        <v>271</v>
      </c>
      <c r="X64" s="66">
        <v>3922</v>
      </c>
      <c r="Y64" s="70" t="s">
        <v>272</v>
      </c>
      <c r="Z64" s="70" t="s">
        <v>440</v>
      </c>
      <c r="AA64" s="70">
        <v>5</v>
      </c>
      <c r="AB64" s="67" t="s">
        <v>198</v>
      </c>
      <c r="AC64" s="69" t="s">
        <v>141</v>
      </c>
      <c r="AD64" s="66" t="s">
        <v>142</v>
      </c>
      <c r="AE64" s="101" t="s">
        <v>441</v>
      </c>
      <c r="AF64" s="102">
        <v>0</v>
      </c>
      <c r="AG64" s="102">
        <v>1</v>
      </c>
      <c r="AH64" s="102">
        <v>0</v>
      </c>
      <c r="AI64" s="103"/>
      <c r="AJ64" s="458" t="s">
        <v>495</v>
      </c>
      <c r="AK64" s="104"/>
    </row>
    <row r="65" spans="1:37" s="71" customFormat="1" ht="12.75" customHeight="1">
      <c r="A65" s="220"/>
      <c r="B65" s="69" t="s">
        <v>53</v>
      </c>
      <c r="C65" s="66">
        <v>260</v>
      </c>
      <c r="D65" s="69" t="b">
        <v>1</v>
      </c>
      <c r="E65" s="70"/>
      <c r="F65" s="98" t="s">
        <v>496</v>
      </c>
      <c r="G65" s="98" t="s">
        <v>497</v>
      </c>
      <c r="H65" s="70" t="s">
        <v>498</v>
      </c>
      <c r="I65" s="70" t="s">
        <v>499</v>
      </c>
      <c r="J65" s="70" t="s">
        <v>500</v>
      </c>
      <c r="K65" s="70" t="s">
        <v>166</v>
      </c>
      <c r="L65" s="57" t="s">
        <v>192</v>
      </c>
      <c r="M65" s="70"/>
      <c r="N65" s="70"/>
      <c r="O65" s="70"/>
      <c r="P65" s="70"/>
      <c r="Q65" s="70"/>
      <c r="R65" s="70"/>
      <c r="S65" s="447"/>
      <c r="T65" s="70" t="s">
        <v>193</v>
      </c>
      <c r="U65" s="447" t="s">
        <v>501</v>
      </c>
      <c r="V65" s="69" t="str">
        <f>_xlfn.CONCAT($AH$14,"_",U65)</f>
        <v>3922_Takten_ontluchten</v>
      </c>
      <c r="W65" s="433" t="s">
        <v>359</v>
      </c>
      <c r="X65" s="66">
        <v>3922</v>
      </c>
      <c r="Y65" s="70" t="s">
        <v>272</v>
      </c>
      <c r="Z65" s="70" t="s">
        <v>440</v>
      </c>
      <c r="AA65" s="70">
        <v>6</v>
      </c>
      <c r="AB65" s="67" t="s">
        <v>273</v>
      </c>
      <c r="AC65" s="69" t="s">
        <v>141</v>
      </c>
      <c r="AD65" s="66" t="s">
        <v>199</v>
      </c>
      <c r="AE65" s="101"/>
      <c r="AF65" s="102">
        <v>0</v>
      </c>
      <c r="AG65" s="102">
        <v>1000</v>
      </c>
      <c r="AH65" s="102">
        <v>0</v>
      </c>
      <c r="AI65" s="103"/>
      <c r="AJ65" s="458"/>
      <c r="AK65" s="104"/>
    </row>
    <row r="66" spans="1:37" s="388" customFormat="1" ht="12.75" customHeight="1">
      <c r="A66" s="220"/>
      <c r="B66" s="69" t="s">
        <v>59</v>
      </c>
      <c r="C66" s="66">
        <v>261</v>
      </c>
      <c r="D66" s="69"/>
      <c r="E66" s="70" t="b">
        <v>1</v>
      </c>
      <c r="F66" s="398" t="s">
        <v>502</v>
      </c>
      <c r="G66" s="398" t="s">
        <v>503</v>
      </c>
      <c r="H66" s="399" t="s">
        <v>504</v>
      </c>
      <c r="I66" s="399" t="s">
        <v>505</v>
      </c>
      <c r="J66" s="399" t="s">
        <v>506</v>
      </c>
      <c r="K66" s="399" t="s">
        <v>166</v>
      </c>
      <c r="L66" s="451" t="s">
        <v>192</v>
      </c>
      <c r="M66" s="399"/>
      <c r="N66" s="399"/>
      <c r="O66" s="399"/>
      <c r="P66" s="399"/>
      <c r="Q66" s="399"/>
      <c r="R66" s="399"/>
      <c r="S66" s="464"/>
      <c r="T66" s="399" t="s">
        <v>193</v>
      </c>
      <c r="U66" s="464" t="s">
        <v>507</v>
      </c>
      <c r="V66" s="400" t="str">
        <f>_xlfn.CONCAT($AH$14,"_",U66)</f>
        <v>3922_Takten_leegdraaien</v>
      </c>
      <c r="W66" s="465" t="s">
        <v>271</v>
      </c>
      <c r="X66" s="449">
        <v>3922</v>
      </c>
      <c r="Y66" s="399" t="s">
        <v>272</v>
      </c>
      <c r="Z66" s="399" t="s">
        <v>440</v>
      </c>
      <c r="AA66" s="399">
        <v>7</v>
      </c>
      <c r="AB66" s="401" t="s">
        <v>198</v>
      </c>
      <c r="AC66" s="400" t="s">
        <v>141</v>
      </c>
      <c r="AD66" s="449" t="s">
        <v>142</v>
      </c>
      <c r="AE66" s="402"/>
      <c r="AF66" s="462">
        <v>0</v>
      </c>
      <c r="AG66" s="462">
        <v>1000</v>
      </c>
      <c r="AH66" s="462">
        <v>0</v>
      </c>
      <c r="AI66" s="403"/>
      <c r="AJ66" s="466"/>
      <c r="AK66" s="404"/>
    </row>
    <row r="67" spans="1:37" s="319" customFormat="1" ht="12.75" customHeight="1">
      <c r="A67" s="220"/>
      <c r="B67" s="69" t="s">
        <v>46</v>
      </c>
      <c r="C67" s="66">
        <v>262</v>
      </c>
      <c r="D67" s="69" t="b">
        <v>1</v>
      </c>
      <c r="E67" s="70"/>
      <c r="F67" s="98" t="s">
        <v>508</v>
      </c>
      <c r="G67" s="98" t="s">
        <v>509</v>
      </c>
      <c r="H67" s="70" t="s">
        <v>510</v>
      </c>
      <c r="I67" s="70" t="s">
        <v>511</v>
      </c>
      <c r="J67" s="70" t="s">
        <v>512</v>
      </c>
      <c r="K67" s="70" t="s">
        <v>166</v>
      </c>
      <c r="L67" s="57" t="s">
        <v>192</v>
      </c>
      <c r="M67" s="70"/>
      <c r="N67" s="70"/>
      <c r="O67" s="70"/>
      <c r="P67" s="70"/>
      <c r="Q67" s="70"/>
      <c r="R67" s="70"/>
      <c r="S67" s="447"/>
      <c r="T67" s="70" t="s">
        <v>193</v>
      </c>
      <c r="U67" s="447" t="s">
        <v>513</v>
      </c>
      <c r="V67" s="69" t="str">
        <f>_xlfn.CONCAT($AH$14,"_",U67)</f>
        <v>3922_Takten_startpreprod</v>
      </c>
      <c r="W67" s="433" t="s">
        <v>359</v>
      </c>
      <c r="X67" s="66">
        <v>3922</v>
      </c>
      <c r="Y67" s="70" t="s">
        <v>272</v>
      </c>
      <c r="Z67" s="70" t="s">
        <v>440</v>
      </c>
      <c r="AA67" s="70">
        <v>8</v>
      </c>
      <c r="AB67" s="67" t="s">
        <v>273</v>
      </c>
      <c r="AC67" s="69" t="s">
        <v>141</v>
      </c>
      <c r="AD67" s="66" t="s">
        <v>199</v>
      </c>
      <c r="AE67" s="101"/>
      <c r="AF67" s="102">
        <v>0</v>
      </c>
      <c r="AG67" s="102">
        <v>100</v>
      </c>
      <c r="AH67" s="102">
        <v>0</v>
      </c>
      <c r="AI67" s="103"/>
      <c r="AJ67" s="458" t="s">
        <v>514</v>
      </c>
      <c r="AK67" s="104"/>
    </row>
    <row r="68" spans="1:37" s="319" customFormat="1" ht="12.75" customHeight="1">
      <c r="A68" s="365"/>
      <c r="B68" s="400" t="s">
        <v>36</v>
      </c>
      <c r="C68" s="449">
        <v>263</v>
      </c>
      <c r="D68" s="400"/>
      <c r="E68" s="399" t="b">
        <v>1</v>
      </c>
      <c r="F68" s="398" t="s">
        <v>515</v>
      </c>
      <c r="G68" s="398" t="s">
        <v>516</v>
      </c>
      <c r="H68" s="399" t="s">
        <v>517</v>
      </c>
      <c r="I68" s="399" t="s">
        <v>518</v>
      </c>
      <c r="J68" s="399" t="s">
        <v>519</v>
      </c>
      <c r="K68" s="399" t="s">
        <v>166</v>
      </c>
      <c r="L68" s="451" t="s">
        <v>192</v>
      </c>
      <c r="M68" s="399"/>
      <c r="N68" s="399"/>
      <c r="O68" s="399"/>
      <c r="P68" s="399"/>
      <c r="Q68" s="399"/>
      <c r="R68" s="399"/>
      <c r="S68" s="399"/>
      <c r="T68" s="399"/>
      <c r="U68" s="399" t="str">
        <f>CONCATENATE("par",E68)</f>
        <v>parTRUE</v>
      </c>
      <c r="V68" s="400" t="e">
        <f>_xlfn.CONCAT(#REF!,"_",U68)</f>
        <v>#REF!</v>
      </c>
      <c r="W68" s="433" t="s">
        <v>359</v>
      </c>
      <c r="X68" s="449">
        <v>3922</v>
      </c>
      <c r="Y68" s="399" t="s">
        <v>272</v>
      </c>
      <c r="Z68" s="399" t="s">
        <v>440</v>
      </c>
      <c r="AA68" s="399">
        <v>9</v>
      </c>
      <c r="AB68" s="67" t="s">
        <v>273</v>
      </c>
      <c r="AC68" s="69" t="s">
        <v>141</v>
      </c>
      <c r="AD68" s="449" t="s">
        <v>199</v>
      </c>
      <c r="AE68" s="402"/>
      <c r="AF68" s="462">
        <v>0</v>
      </c>
      <c r="AG68" s="462">
        <v>100</v>
      </c>
      <c r="AH68" s="462">
        <v>0</v>
      </c>
      <c r="AI68" s="103"/>
      <c r="AJ68" s="458"/>
      <c r="AK68" s="104"/>
    </row>
    <row r="69" spans="1:37" s="319" customFormat="1" ht="12.75" customHeight="1">
      <c r="A69" s="220"/>
      <c r="B69" s="69" t="s">
        <v>46</v>
      </c>
      <c r="C69" s="69">
        <v>264</v>
      </c>
      <c r="D69" s="69" t="b">
        <v>1</v>
      </c>
      <c r="E69" s="70"/>
      <c r="F69" s="98" t="s">
        <v>520</v>
      </c>
      <c r="G69" s="98" t="s">
        <v>521</v>
      </c>
      <c r="H69" s="70" t="s">
        <v>522</v>
      </c>
      <c r="I69" s="69" t="s">
        <v>523</v>
      </c>
      <c r="J69" s="70" t="s">
        <v>524</v>
      </c>
      <c r="K69" s="70" t="s">
        <v>166</v>
      </c>
      <c r="L69" s="57" t="s">
        <v>192</v>
      </c>
      <c r="M69" s="70"/>
      <c r="N69" s="70"/>
      <c r="O69" s="70"/>
      <c r="P69" s="70"/>
      <c r="Q69" s="70"/>
      <c r="R69" s="70"/>
      <c r="S69" s="447"/>
      <c r="T69" s="70" t="s">
        <v>193</v>
      </c>
      <c r="U69" s="447" t="s">
        <v>525</v>
      </c>
      <c r="V69" s="69" t="str">
        <f t="shared" ref="V69:V101" si="3">_xlfn.CONCAT($AH$14,"_",U69)</f>
        <v>3922_Time_rej_stilstand</v>
      </c>
      <c r="W69" s="433" t="s">
        <v>359</v>
      </c>
      <c r="X69" s="69">
        <v>3922</v>
      </c>
      <c r="Y69" s="70" t="s">
        <v>196</v>
      </c>
      <c r="Z69" s="70" t="s">
        <v>440</v>
      </c>
      <c r="AA69" s="70">
        <v>10</v>
      </c>
      <c r="AB69" s="67" t="s">
        <v>198</v>
      </c>
      <c r="AC69" s="69" t="s">
        <v>141</v>
      </c>
      <c r="AD69" s="66" t="s">
        <v>142</v>
      </c>
      <c r="AE69" s="101" t="s">
        <v>526</v>
      </c>
      <c r="AF69" s="102">
        <v>0</v>
      </c>
      <c r="AG69" s="102">
        <v>240</v>
      </c>
      <c r="AH69" s="102">
        <v>0</v>
      </c>
      <c r="AI69" s="103"/>
      <c r="AJ69" s="266"/>
      <c r="AK69" s="104"/>
    </row>
    <row r="70" spans="1:37" s="386" customFormat="1" ht="12.75" customHeight="1">
      <c r="B70" s="69" t="s">
        <v>55</v>
      </c>
      <c r="C70" s="69">
        <v>265</v>
      </c>
      <c r="D70" s="69" t="b">
        <v>1</v>
      </c>
      <c r="E70" s="69"/>
      <c r="F70" s="69" t="s">
        <v>527</v>
      </c>
      <c r="G70" s="69" t="s">
        <v>528</v>
      </c>
      <c r="H70" s="69" t="s">
        <v>529</v>
      </c>
      <c r="I70" s="69" t="s">
        <v>530</v>
      </c>
      <c r="J70" s="69" t="s">
        <v>531</v>
      </c>
      <c r="K70" s="69" t="s">
        <v>166</v>
      </c>
      <c r="L70" s="69" t="s">
        <v>192</v>
      </c>
      <c r="M70" s="69"/>
      <c r="N70" s="69"/>
      <c r="O70" s="69"/>
      <c r="P70" s="69"/>
      <c r="Q70" s="69"/>
      <c r="R70" s="69"/>
      <c r="S70" s="69"/>
      <c r="T70" s="69" t="s">
        <v>193</v>
      </c>
      <c r="U70" s="69" t="s">
        <v>532</v>
      </c>
      <c r="V70" s="69" t="str">
        <f t="shared" si="3"/>
        <v>3922_Time_outputreductie</v>
      </c>
      <c r="W70" s="69" t="s">
        <v>195</v>
      </c>
      <c r="X70" s="69">
        <v>3922</v>
      </c>
      <c r="Y70" s="69" t="s">
        <v>212</v>
      </c>
      <c r="Z70" s="69" t="s">
        <v>213</v>
      </c>
      <c r="AA70" s="69">
        <v>3</v>
      </c>
      <c r="AB70" s="69" t="s">
        <v>198</v>
      </c>
      <c r="AC70" s="69" t="s">
        <v>141</v>
      </c>
      <c r="AD70" s="69" t="s">
        <v>214</v>
      </c>
      <c r="AE70" s="69" t="s">
        <v>526</v>
      </c>
      <c r="AF70" s="69">
        <v>0</v>
      </c>
      <c r="AG70" s="69">
        <v>999</v>
      </c>
      <c r="AH70" s="69">
        <v>0</v>
      </c>
      <c r="AI70" s="98"/>
      <c r="AJ70" s="98"/>
      <c r="AK70" s="98"/>
    </row>
    <row r="71" spans="1:37" s="71" customFormat="1" ht="12.6" customHeight="1">
      <c r="A71" s="220"/>
      <c r="B71" s="69" t="s">
        <v>53</v>
      </c>
      <c r="C71" s="69">
        <v>266</v>
      </c>
      <c r="D71" s="69" t="b">
        <v>1</v>
      </c>
      <c r="E71" s="70"/>
      <c r="F71" s="98" t="s">
        <v>533</v>
      </c>
      <c r="G71" s="98" t="s">
        <v>534</v>
      </c>
      <c r="H71" s="70" t="s">
        <v>535</v>
      </c>
      <c r="I71" s="69" t="s">
        <v>536</v>
      </c>
      <c r="J71" s="70" t="s">
        <v>537</v>
      </c>
      <c r="K71" s="70" t="s">
        <v>166</v>
      </c>
      <c r="L71" s="57" t="s">
        <v>192</v>
      </c>
      <c r="M71" s="70"/>
      <c r="N71" s="70"/>
      <c r="O71" s="70"/>
      <c r="P71" s="70"/>
      <c r="Q71" s="70"/>
      <c r="R71" s="70"/>
      <c r="S71" s="447"/>
      <c r="T71" s="70" t="s">
        <v>193</v>
      </c>
      <c r="U71" s="447" t="s">
        <v>538</v>
      </c>
      <c r="V71" s="69" t="str">
        <f t="shared" si="3"/>
        <v>3922_Recirc_ontluchten</v>
      </c>
      <c r="W71" s="433" t="s">
        <v>271</v>
      </c>
      <c r="X71" s="69">
        <v>3922</v>
      </c>
      <c r="Y71" s="70" t="s">
        <v>272</v>
      </c>
      <c r="Z71" s="70" t="s">
        <v>440</v>
      </c>
      <c r="AA71" s="70">
        <v>12</v>
      </c>
      <c r="AB71" s="67" t="s">
        <v>273</v>
      </c>
      <c r="AC71" s="69" t="s">
        <v>141</v>
      </c>
      <c r="AD71" s="66" t="s">
        <v>199</v>
      </c>
      <c r="AE71" s="101" t="s">
        <v>428</v>
      </c>
      <c r="AF71" s="102">
        <v>0</v>
      </c>
      <c r="AG71" s="102">
        <v>30000</v>
      </c>
      <c r="AH71" s="102">
        <v>0</v>
      </c>
      <c r="AI71" s="103"/>
      <c r="AJ71" s="266"/>
      <c r="AK71" s="104"/>
    </row>
    <row r="72" spans="1:37" s="321" customFormat="1" ht="37.5">
      <c r="A72" s="366"/>
      <c r="B72" s="69" t="s">
        <v>46</v>
      </c>
      <c r="C72" s="444">
        <v>267</v>
      </c>
      <c r="D72" s="444" t="b">
        <v>1</v>
      </c>
      <c r="E72" s="101"/>
      <c r="F72" s="98" t="s">
        <v>539</v>
      </c>
      <c r="G72" s="98" t="s">
        <v>540</v>
      </c>
      <c r="H72" s="101" t="s">
        <v>541</v>
      </c>
      <c r="I72" s="444" t="s">
        <v>542</v>
      </c>
      <c r="J72" s="101" t="s">
        <v>543</v>
      </c>
      <c r="K72" s="70" t="s">
        <v>166</v>
      </c>
      <c r="L72" s="57" t="s">
        <v>192</v>
      </c>
      <c r="M72" s="70"/>
      <c r="N72" s="70"/>
      <c r="O72" s="70"/>
      <c r="P72" s="70"/>
      <c r="Q72" s="70"/>
      <c r="R72" s="101"/>
      <c r="S72" s="447"/>
      <c r="T72" s="101" t="s">
        <v>193</v>
      </c>
      <c r="U72" s="447" t="s">
        <v>544</v>
      </c>
      <c r="V72" s="69" t="str">
        <f t="shared" si="3"/>
        <v>3922_Reject_Mode_100IPC</v>
      </c>
      <c r="W72" s="433" t="s">
        <v>359</v>
      </c>
      <c r="X72" s="444">
        <v>3922</v>
      </c>
      <c r="Y72" s="101" t="s">
        <v>272</v>
      </c>
      <c r="Z72" s="101" t="s">
        <v>440</v>
      </c>
      <c r="AA72" s="101">
        <v>13</v>
      </c>
      <c r="AB72" s="67" t="s">
        <v>273</v>
      </c>
      <c r="AC72" s="69" t="s">
        <v>141</v>
      </c>
      <c r="AD72" s="66" t="s">
        <v>199</v>
      </c>
      <c r="AE72" s="101"/>
      <c r="AF72" s="102">
        <v>0</v>
      </c>
      <c r="AG72" s="102">
        <v>1</v>
      </c>
      <c r="AH72" s="102">
        <v>0</v>
      </c>
      <c r="AI72" s="103"/>
      <c r="AJ72" s="467" t="s">
        <v>545</v>
      </c>
      <c r="AK72" s="468"/>
    </row>
    <row r="73" spans="1:37" s="319" customFormat="1" ht="12.75" customHeight="1">
      <c r="A73" s="220"/>
      <c r="B73" s="69" t="s">
        <v>46</v>
      </c>
      <c r="C73" s="69">
        <v>268</v>
      </c>
      <c r="D73" s="69" t="b">
        <v>1</v>
      </c>
      <c r="E73" s="70"/>
      <c r="F73" s="98" t="s">
        <v>546</v>
      </c>
      <c r="G73" s="98" t="s">
        <v>547</v>
      </c>
      <c r="H73" s="70" t="s">
        <v>548</v>
      </c>
      <c r="I73" s="69" t="s">
        <v>549</v>
      </c>
      <c r="J73" s="70" t="s">
        <v>550</v>
      </c>
      <c r="K73" s="70" t="s">
        <v>166</v>
      </c>
      <c r="L73" s="57" t="s">
        <v>192</v>
      </c>
      <c r="M73" s="70"/>
      <c r="N73" s="70"/>
      <c r="O73" s="70"/>
      <c r="P73" s="70"/>
      <c r="Q73" s="70"/>
      <c r="R73" s="70"/>
      <c r="S73" s="447"/>
      <c r="T73" s="70" t="s">
        <v>193</v>
      </c>
      <c r="U73" s="447" t="s">
        <v>551</v>
      </c>
      <c r="V73" s="69" t="str">
        <f t="shared" si="3"/>
        <v>3922_DSTOP1</v>
      </c>
      <c r="W73" s="433" t="s">
        <v>359</v>
      </c>
      <c r="X73" s="69">
        <v>3922</v>
      </c>
      <c r="Y73" s="70" t="s">
        <v>272</v>
      </c>
      <c r="Z73" s="70" t="s">
        <v>440</v>
      </c>
      <c r="AA73" s="70">
        <v>14</v>
      </c>
      <c r="AB73" s="67" t="s">
        <v>273</v>
      </c>
      <c r="AC73" s="69" t="s">
        <v>141</v>
      </c>
      <c r="AD73" s="66" t="s">
        <v>199</v>
      </c>
      <c r="AE73" s="101" t="s">
        <v>552</v>
      </c>
      <c r="AF73" s="102">
        <v>0</v>
      </c>
      <c r="AG73" s="102">
        <v>30000</v>
      </c>
      <c r="AH73" s="102">
        <v>0</v>
      </c>
      <c r="AI73" s="103"/>
      <c r="AJ73" s="458"/>
      <c r="AK73" s="104"/>
    </row>
    <row r="74" spans="1:37" s="319" customFormat="1" ht="12.75" customHeight="1">
      <c r="A74" s="220"/>
      <c r="B74" s="69" t="s">
        <v>46</v>
      </c>
      <c r="C74" s="69">
        <v>269</v>
      </c>
      <c r="D74" s="69" t="b">
        <v>1</v>
      </c>
      <c r="E74" s="70"/>
      <c r="F74" s="98" t="s">
        <v>553</v>
      </c>
      <c r="G74" s="98" t="s">
        <v>554</v>
      </c>
      <c r="H74" s="70" t="s">
        <v>555</v>
      </c>
      <c r="I74" s="69" t="s">
        <v>556</v>
      </c>
      <c r="J74" s="70" t="s">
        <v>557</v>
      </c>
      <c r="K74" s="70" t="s">
        <v>166</v>
      </c>
      <c r="L74" s="57" t="s">
        <v>192</v>
      </c>
      <c r="M74" s="70"/>
      <c r="N74" s="70"/>
      <c r="O74" s="70"/>
      <c r="P74" s="70"/>
      <c r="Q74" s="70"/>
      <c r="R74" s="70"/>
      <c r="S74" s="447"/>
      <c r="T74" s="70" t="s">
        <v>193</v>
      </c>
      <c r="U74" s="447" t="s">
        <v>558</v>
      </c>
      <c r="V74" s="69" t="str">
        <f t="shared" si="3"/>
        <v>3922_DSTOP2</v>
      </c>
      <c r="W74" s="433" t="s">
        <v>359</v>
      </c>
      <c r="X74" s="69">
        <v>3922</v>
      </c>
      <c r="Y74" s="70" t="s">
        <v>272</v>
      </c>
      <c r="Z74" s="70" t="s">
        <v>440</v>
      </c>
      <c r="AA74" s="70">
        <v>15</v>
      </c>
      <c r="AB74" s="67" t="s">
        <v>273</v>
      </c>
      <c r="AC74" s="69" t="s">
        <v>141</v>
      </c>
      <c r="AD74" s="66" t="s">
        <v>199</v>
      </c>
      <c r="AE74" s="101" t="s">
        <v>552</v>
      </c>
      <c r="AF74" s="102">
        <v>0</v>
      </c>
      <c r="AG74" s="102">
        <v>30000</v>
      </c>
      <c r="AH74" s="102">
        <v>0</v>
      </c>
      <c r="AI74" s="103"/>
      <c r="AJ74" s="458"/>
      <c r="AK74" s="104"/>
    </row>
    <row r="75" spans="1:37" s="319" customFormat="1" ht="12.75" customHeight="1">
      <c r="A75" s="220"/>
      <c r="B75" s="69" t="s">
        <v>46</v>
      </c>
      <c r="C75" s="69">
        <v>270</v>
      </c>
      <c r="D75" s="69" t="b">
        <v>1</v>
      </c>
      <c r="E75" s="70"/>
      <c r="F75" s="98" t="s">
        <v>559</v>
      </c>
      <c r="G75" s="98" t="s">
        <v>560</v>
      </c>
      <c r="H75" s="70" t="s">
        <v>561</v>
      </c>
      <c r="I75" s="69" t="s">
        <v>562</v>
      </c>
      <c r="J75" s="70" t="s">
        <v>563</v>
      </c>
      <c r="K75" s="70" t="s">
        <v>166</v>
      </c>
      <c r="L75" s="57" t="s">
        <v>192</v>
      </c>
      <c r="M75" s="70"/>
      <c r="N75" s="70"/>
      <c r="O75" s="70"/>
      <c r="P75" s="70"/>
      <c r="Q75" s="70"/>
      <c r="R75" s="70"/>
      <c r="S75" s="447"/>
      <c r="T75" s="70" t="s">
        <v>193</v>
      </c>
      <c r="U75" s="447" t="s">
        <v>564</v>
      </c>
      <c r="V75" s="69" t="str">
        <f t="shared" si="3"/>
        <v>3922_DSTOP1L</v>
      </c>
      <c r="W75" s="433" t="s">
        <v>359</v>
      </c>
      <c r="X75" s="69">
        <v>3922</v>
      </c>
      <c r="Y75" s="70" t="s">
        <v>272</v>
      </c>
      <c r="Z75" s="70" t="s">
        <v>440</v>
      </c>
      <c r="AA75" s="70">
        <v>16</v>
      </c>
      <c r="AB75" s="67" t="s">
        <v>273</v>
      </c>
      <c r="AC75" s="69" t="s">
        <v>141</v>
      </c>
      <c r="AD75" s="66" t="s">
        <v>199</v>
      </c>
      <c r="AE75" s="101" t="s">
        <v>552</v>
      </c>
      <c r="AF75" s="102">
        <v>0</v>
      </c>
      <c r="AG75" s="102">
        <v>30000</v>
      </c>
      <c r="AH75" s="102">
        <v>0</v>
      </c>
      <c r="AI75" s="103"/>
      <c r="AJ75" s="458"/>
      <c r="AK75" s="104"/>
    </row>
    <row r="76" spans="1:37" s="319" customFormat="1" ht="12.75" customHeight="1">
      <c r="A76" s="220"/>
      <c r="B76" s="69" t="s">
        <v>46</v>
      </c>
      <c r="C76" s="69">
        <v>271</v>
      </c>
      <c r="D76" s="69" t="b">
        <v>1</v>
      </c>
      <c r="E76" s="70"/>
      <c r="F76" s="98" t="s">
        <v>565</v>
      </c>
      <c r="G76" s="98" t="s">
        <v>566</v>
      </c>
      <c r="H76" s="70" t="s">
        <v>567</v>
      </c>
      <c r="I76" s="69" t="s">
        <v>568</v>
      </c>
      <c r="J76" s="70" t="s">
        <v>569</v>
      </c>
      <c r="K76" s="70" t="s">
        <v>166</v>
      </c>
      <c r="L76" s="57" t="s">
        <v>192</v>
      </c>
      <c r="M76" s="70"/>
      <c r="N76" s="70"/>
      <c r="O76" s="70"/>
      <c r="P76" s="70"/>
      <c r="Q76" s="70"/>
      <c r="R76" s="70"/>
      <c r="S76" s="447"/>
      <c r="T76" s="70" t="s">
        <v>193</v>
      </c>
      <c r="U76" s="447" t="s">
        <v>570</v>
      </c>
      <c r="V76" s="69" t="str">
        <f t="shared" si="3"/>
        <v>3922_DSTOP2L</v>
      </c>
      <c r="W76" s="433" t="s">
        <v>359</v>
      </c>
      <c r="X76" s="69">
        <v>3922</v>
      </c>
      <c r="Y76" s="70" t="s">
        <v>272</v>
      </c>
      <c r="Z76" s="70" t="s">
        <v>440</v>
      </c>
      <c r="AA76" s="70">
        <v>17</v>
      </c>
      <c r="AB76" s="67" t="s">
        <v>273</v>
      </c>
      <c r="AC76" s="69" t="s">
        <v>141</v>
      </c>
      <c r="AD76" s="66" t="s">
        <v>199</v>
      </c>
      <c r="AE76" s="101" t="s">
        <v>552</v>
      </c>
      <c r="AF76" s="102">
        <v>0</v>
      </c>
      <c r="AG76" s="102">
        <v>30000</v>
      </c>
      <c r="AH76" s="102">
        <v>0</v>
      </c>
      <c r="AI76" s="103"/>
      <c r="AJ76" s="266"/>
      <c r="AK76" s="104"/>
    </row>
    <row r="77" spans="1:37" s="319" customFormat="1" ht="12.75" customHeight="1">
      <c r="A77" s="220"/>
      <c r="B77" s="69" t="s">
        <v>46</v>
      </c>
      <c r="C77" s="69">
        <v>272</v>
      </c>
      <c r="D77" s="69" t="b">
        <v>1</v>
      </c>
      <c r="E77" s="70"/>
      <c r="F77" s="98" t="s">
        <v>571</v>
      </c>
      <c r="G77" s="98" t="s">
        <v>572</v>
      </c>
      <c r="H77" s="70" t="s">
        <v>573</v>
      </c>
      <c r="I77" s="69" t="s">
        <v>574</v>
      </c>
      <c r="J77" s="70" t="s">
        <v>575</v>
      </c>
      <c r="K77" s="70" t="s">
        <v>166</v>
      </c>
      <c r="L77" s="57" t="s">
        <v>192</v>
      </c>
      <c r="M77" s="70"/>
      <c r="N77" s="70"/>
      <c r="O77" s="70"/>
      <c r="P77" s="70"/>
      <c r="Q77" s="70"/>
      <c r="R77" s="70"/>
      <c r="S77" s="447"/>
      <c r="T77" s="70" t="s">
        <v>193</v>
      </c>
      <c r="U77" s="447" t="s">
        <v>576</v>
      </c>
      <c r="V77" s="69" t="str">
        <f t="shared" si="3"/>
        <v>3922_D1</v>
      </c>
      <c r="W77" s="433" t="s">
        <v>359</v>
      </c>
      <c r="X77" s="69">
        <v>3922</v>
      </c>
      <c r="Y77" s="70" t="s">
        <v>272</v>
      </c>
      <c r="Z77" s="70" t="s">
        <v>440</v>
      </c>
      <c r="AA77" s="70">
        <v>18</v>
      </c>
      <c r="AB77" s="67" t="s">
        <v>273</v>
      </c>
      <c r="AC77" s="69" t="s">
        <v>141</v>
      </c>
      <c r="AD77" s="66" t="s">
        <v>199</v>
      </c>
      <c r="AE77" s="101" t="s">
        <v>428</v>
      </c>
      <c r="AF77" s="102">
        <v>0</v>
      </c>
      <c r="AG77" s="102">
        <v>100</v>
      </c>
      <c r="AH77" s="102">
        <v>0</v>
      </c>
      <c r="AI77" s="103"/>
      <c r="AJ77" s="266"/>
      <c r="AK77" s="104"/>
    </row>
    <row r="78" spans="1:37" s="319" customFormat="1" ht="12.75" customHeight="1">
      <c r="A78" s="220"/>
      <c r="B78" s="69" t="s">
        <v>46</v>
      </c>
      <c r="C78" s="69">
        <v>273</v>
      </c>
      <c r="D78" s="69" t="b">
        <v>1</v>
      </c>
      <c r="E78" s="70"/>
      <c r="F78" s="98" t="s">
        <v>577</v>
      </c>
      <c r="G78" s="98" t="s">
        <v>578</v>
      </c>
      <c r="H78" s="70" t="s">
        <v>579</v>
      </c>
      <c r="I78" s="69" t="s">
        <v>580</v>
      </c>
      <c r="J78" s="70" t="s">
        <v>581</v>
      </c>
      <c r="K78" s="70" t="s">
        <v>166</v>
      </c>
      <c r="L78" s="57" t="s">
        <v>192</v>
      </c>
      <c r="M78" s="70"/>
      <c r="N78" s="70"/>
      <c r="O78" s="70"/>
      <c r="P78" s="70"/>
      <c r="Q78" s="70"/>
      <c r="R78" s="70"/>
      <c r="S78" s="447"/>
      <c r="T78" s="70" t="s">
        <v>193</v>
      </c>
      <c r="U78" s="447" t="s">
        <v>582</v>
      </c>
      <c r="V78" s="69" t="str">
        <f t="shared" si="3"/>
        <v>3922_D2</v>
      </c>
      <c r="W78" s="433" t="s">
        <v>359</v>
      </c>
      <c r="X78" s="69">
        <v>3922</v>
      </c>
      <c r="Y78" s="70" t="s">
        <v>272</v>
      </c>
      <c r="Z78" s="70" t="s">
        <v>440</v>
      </c>
      <c r="AA78" s="70">
        <v>19</v>
      </c>
      <c r="AB78" s="67" t="s">
        <v>273</v>
      </c>
      <c r="AC78" s="69" t="s">
        <v>141</v>
      </c>
      <c r="AD78" s="66" t="s">
        <v>199</v>
      </c>
      <c r="AE78" s="101" t="s">
        <v>428</v>
      </c>
      <c r="AF78" s="102">
        <v>0</v>
      </c>
      <c r="AG78" s="102">
        <v>100</v>
      </c>
      <c r="AH78" s="102">
        <v>0</v>
      </c>
      <c r="AI78" s="103"/>
      <c r="AJ78" s="266"/>
      <c r="AK78" s="104"/>
    </row>
    <row r="79" spans="1:37" s="319" customFormat="1" ht="12.75" customHeight="1">
      <c r="A79" s="220"/>
      <c r="B79" s="69" t="s">
        <v>46</v>
      </c>
      <c r="C79" s="69">
        <v>274</v>
      </c>
      <c r="D79" s="69" t="b">
        <v>1</v>
      </c>
      <c r="E79" s="70"/>
      <c r="F79" s="98" t="s">
        <v>583</v>
      </c>
      <c r="G79" s="98" t="s">
        <v>584</v>
      </c>
      <c r="H79" s="70" t="s">
        <v>585</v>
      </c>
      <c r="I79" s="69" t="s">
        <v>586</v>
      </c>
      <c r="J79" s="70" t="s">
        <v>587</v>
      </c>
      <c r="K79" s="70" t="s">
        <v>166</v>
      </c>
      <c r="L79" s="57" t="s">
        <v>192</v>
      </c>
      <c r="M79" s="70"/>
      <c r="N79" s="70"/>
      <c r="O79" s="70"/>
      <c r="P79" s="70"/>
      <c r="Q79" s="70"/>
      <c r="R79" s="70"/>
      <c r="S79" s="447"/>
      <c r="T79" s="70" t="s">
        <v>193</v>
      </c>
      <c r="U79" s="447" t="s">
        <v>588</v>
      </c>
      <c r="V79" s="69" t="str">
        <f t="shared" si="3"/>
        <v>3922_D1L</v>
      </c>
      <c r="W79" s="433" t="s">
        <v>359</v>
      </c>
      <c r="X79" s="69">
        <v>3922</v>
      </c>
      <c r="Y79" s="70" t="s">
        <v>272</v>
      </c>
      <c r="Z79" s="70" t="s">
        <v>440</v>
      </c>
      <c r="AA79" s="70">
        <v>20</v>
      </c>
      <c r="AB79" s="67" t="s">
        <v>273</v>
      </c>
      <c r="AC79" s="69" t="s">
        <v>141</v>
      </c>
      <c r="AD79" s="66" t="s">
        <v>199</v>
      </c>
      <c r="AE79" s="101" t="s">
        <v>428</v>
      </c>
      <c r="AF79" s="102">
        <v>0</v>
      </c>
      <c r="AG79" s="102">
        <v>100</v>
      </c>
      <c r="AH79" s="102">
        <v>0</v>
      </c>
      <c r="AI79" s="103"/>
      <c r="AJ79" s="266"/>
      <c r="AK79" s="104"/>
    </row>
    <row r="80" spans="1:37" s="319" customFormat="1" ht="12.6">
      <c r="A80" s="220"/>
      <c r="B80" s="69" t="s">
        <v>46</v>
      </c>
      <c r="C80" s="69">
        <v>275</v>
      </c>
      <c r="D80" s="69" t="b">
        <v>1</v>
      </c>
      <c r="E80" s="70"/>
      <c r="F80" s="98" t="s">
        <v>589</v>
      </c>
      <c r="G80" s="98" t="s">
        <v>590</v>
      </c>
      <c r="H80" s="70" t="s">
        <v>591</v>
      </c>
      <c r="I80" s="69" t="s">
        <v>592</v>
      </c>
      <c r="J80" s="70" t="s">
        <v>593</v>
      </c>
      <c r="K80" s="70" t="s">
        <v>166</v>
      </c>
      <c r="L80" s="57" t="s">
        <v>192</v>
      </c>
      <c r="M80" s="70"/>
      <c r="N80" s="70"/>
      <c r="O80" s="70"/>
      <c r="P80" s="70"/>
      <c r="Q80" s="70"/>
      <c r="R80" s="70"/>
      <c r="S80" s="447"/>
      <c r="T80" s="70" t="s">
        <v>193</v>
      </c>
      <c r="U80" s="447" t="s">
        <v>594</v>
      </c>
      <c r="V80" s="69" t="str">
        <f t="shared" si="3"/>
        <v>3922_D2L</v>
      </c>
      <c r="W80" s="433" t="s">
        <v>359</v>
      </c>
      <c r="X80" s="69">
        <v>3922</v>
      </c>
      <c r="Y80" s="70" t="s">
        <v>272</v>
      </c>
      <c r="Z80" s="70" t="s">
        <v>440</v>
      </c>
      <c r="AA80" s="70">
        <v>21</v>
      </c>
      <c r="AB80" s="67" t="s">
        <v>273</v>
      </c>
      <c r="AC80" s="69" t="s">
        <v>141</v>
      </c>
      <c r="AD80" s="66" t="s">
        <v>199</v>
      </c>
      <c r="AE80" s="101" t="s">
        <v>428</v>
      </c>
      <c r="AF80" s="102">
        <v>0</v>
      </c>
      <c r="AG80" s="102">
        <v>100</v>
      </c>
      <c r="AH80" s="102">
        <v>0</v>
      </c>
      <c r="AI80" s="103"/>
      <c r="AJ80" s="266"/>
      <c r="AK80" s="104"/>
    </row>
    <row r="81" spans="1:37" s="319" customFormat="1" ht="12.6">
      <c r="A81" s="220"/>
      <c r="B81" s="69" t="s">
        <v>46</v>
      </c>
      <c r="C81" s="69">
        <v>276</v>
      </c>
      <c r="D81" s="69" t="b">
        <v>1</v>
      </c>
      <c r="E81" s="70"/>
      <c r="F81" s="98" t="s">
        <v>595</v>
      </c>
      <c r="G81" s="98" t="s">
        <v>596</v>
      </c>
      <c r="H81" s="70" t="s">
        <v>597</v>
      </c>
      <c r="I81" s="69" t="s">
        <v>598</v>
      </c>
      <c r="J81" s="70" t="s">
        <v>599</v>
      </c>
      <c r="K81" s="70" t="s">
        <v>166</v>
      </c>
      <c r="L81" s="57" t="s">
        <v>192</v>
      </c>
      <c r="M81" s="70"/>
      <c r="N81" s="70"/>
      <c r="O81" s="70"/>
      <c r="P81" s="70"/>
      <c r="Q81" s="70"/>
      <c r="R81" s="70"/>
      <c r="S81" s="447"/>
      <c r="T81" s="70" t="s">
        <v>193</v>
      </c>
      <c r="U81" s="447" t="s">
        <v>600</v>
      </c>
      <c r="V81" s="69" t="str">
        <f t="shared" si="3"/>
        <v>3922_LL_stillstand</v>
      </c>
      <c r="W81" s="433" t="s">
        <v>271</v>
      </c>
      <c r="X81" s="69">
        <v>3922</v>
      </c>
      <c r="Y81" s="70" t="s">
        <v>272</v>
      </c>
      <c r="Z81" s="70" t="s">
        <v>440</v>
      </c>
      <c r="AA81" s="70">
        <v>22</v>
      </c>
      <c r="AB81" s="67" t="s">
        <v>273</v>
      </c>
      <c r="AC81" s="69" t="s">
        <v>141</v>
      </c>
      <c r="AD81" s="66" t="s">
        <v>199</v>
      </c>
      <c r="AE81" s="101" t="s">
        <v>215</v>
      </c>
      <c r="AF81" s="102">
        <v>1</v>
      </c>
      <c r="AG81" s="102">
        <v>100</v>
      </c>
      <c r="AH81" s="102">
        <v>30</v>
      </c>
      <c r="AI81" s="103"/>
      <c r="AJ81" s="266"/>
      <c r="AK81" s="104"/>
    </row>
    <row r="82" spans="1:37" s="319" customFormat="1" ht="24.95">
      <c r="A82" s="220"/>
      <c r="B82" s="69" t="s">
        <v>46</v>
      </c>
      <c r="C82" s="69">
        <v>277</v>
      </c>
      <c r="D82" s="69" t="b">
        <v>1</v>
      </c>
      <c r="E82" s="70"/>
      <c r="F82" s="469" t="s">
        <v>601</v>
      </c>
      <c r="G82" s="98" t="s">
        <v>602</v>
      </c>
      <c r="H82" s="70" t="s">
        <v>603</v>
      </c>
      <c r="I82" s="69" t="s">
        <v>604</v>
      </c>
      <c r="J82" s="70" t="s">
        <v>605</v>
      </c>
      <c r="K82" s="70" t="s">
        <v>166</v>
      </c>
      <c r="L82" s="57" t="s">
        <v>192</v>
      </c>
      <c r="M82" s="70"/>
      <c r="N82" s="70"/>
      <c r="O82" s="70"/>
      <c r="P82" s="70"/>
      <c r="Q82" s="70"/>
      <c r="R82" s="70"/>
      <c r="S82" s="447"/>
      <c r="T82" s="70" t="s">
        <v>193</v>
      </c>
      <c r="U82" s="447" t="s">
        <v>606</v>
      </c>
      <c r="V82" s="69" t="str">
        <f t="shared" si="3"/>
        <v>3922_RSTOP1</v>
      </c>
      <c r="W82" s="433" t="s">
        <v>271</v>
      </c>
      <c r="X82" s="69">
        <v>3922</v>
      </c>
      <c r="Y82" s="70" t="s">
        <v>272</v>
      </c>
      <c r="Z82" s="70" t="s">
        <v>440</v>
      </c>
      <c r="AA82" s="70">
        <v>23</v>
      </c>
      <c r="AB82" s="67" t="s">
        <v>273</v>
      </c>
      <c r="AC82" s="69" t="s">
        <v>141</v>
      </c>
      <c r="AD82" s="66" t="s">
        <v>199</v>
      </c>
      <c r="AE82" s="101" t="s">
        <v>552</v>
      </c>
      <c r="AF82" s="102">
        <v>0</v>
      </c>
      <c r="AG82" s="102">
        <v>30000</v>
      </c>
      <c r="AH82" s="102">
        <v>0</v>
      </c>
      <c r="AI82" s="103"/>
      <c r="AJ82" s="266"/>
      <c r="AK82" s="104"/>
    </row>
    <row r="83" spans="1:37" s="319" customFormat="1" ht="24.95">
      <c r="A83" s="220"/>
      <c r="B83" s="69" t="s">
        <v>46</v>
      </c>
      <c r="C83" s="69">
        <v>278</v>
      </c>
      <c r="D83" s="69" t="b">
        <v>1</v>
      </c>
      <c r="E83" s="70"/>
      <c r="F83" s="469" t="s">
        <v>607</v>
      </c>
      <c r="G83" s="98" t="s">
        <v>608</v>
      </c>
      <c r="H83" s="70" t="s">
        <v>609</v>
      </c>
      <c r="I83" s="69" t="s">
        <v>610</v>
      </c>
      <c r="J83" s="70" t="s">
        <v>611</v>
      </c>
      <c r="K83" s="70" t="s">
        <v>166</v>
      </c>
      <c r="L83" s="57" t="s">
        <v>192</v>
      </c>
      <c r="M83" s="70"/>
      <c r="N83" s="70"/>
      <c r="O83" s="70"/>
      <c r="P83" s="70"/>
      <c r="Q83" s="70"/>
      <c r="R83" s="70"/>
      <c r="S83" s="447"/>
      <c r="T83" s="70" t="s">
        <v>193</v>
      </c>
      <c r="U83" s="447" t="s">
        <v>612</v>
      </c>
      <c r="V83" s="69" t="str">
        <f t="shared" si="3"/>
        <v>3922_RSTOP2</v>
      </c>
      <c r="W83" s="433" t="s">
        <v>271</v>
      </c>
      <c r="X83" s="69">
        <v>3922</v>
      </c>
      <c r="Y83" s="70" t="s">
        <v>272</v>
      </c>
      <c r="Z83" s="70" t="s">
        <v>440</v>
      </c>
      <c r="AA83" s="70">
        <v>24</v>
      </c>
      <c r="AB83" s="67" t="s">
        <v>273</v>
      </c>
      <c r="AC83" s="69" t="s">
        <v>141</v>
      </c>
      <c r="AD83" s="66" t="s">
        <v>199</v>
      </c>
      <c r="AE83" s="101" t="s">
        <v>552</v>
      </c>
      <c r="AF83" s="102">
        <v>0</v>
      </c>
      <c r="AG83" s="102">
        <v>30000</v>
      </c>
      <c r="AH83" s="102">
        <v>0</v>
      </c>
      <c r="AI83" s="103"/>
      <c r="AJ83" s="266"/>
      <c r="AK83" s="104"/>
    </row>
    <row r="84" spans="1:37" s="319" customFormat="1" ht="24.95">
      <c r="A84" s="396"/>
      <c r="B84" s="69" t="s">
        <v>68</v>
      </c>
      <c r="C84" s="69">
        <v>279</v>
      </c>
      <c r="D84" s="69" t="b">
        <v>1</v>
      </c>
      <c r="E84" s="70"/>
      <c r="F84" s="469" t="s">
        <v>613</v>
      </c>
      <c r="G84" s="98" t="s">
        <v>614</v>
      </c>
      <c r="H84" s="70" t="s">
        <v>615</v>
      </c>
      <c r="I84" s="69" t="s">
        <v>616</v>
      </c>
      <c r="J84" s="70" t="s">
        <v>617</v>
      </c>
      <c r="K84" s="70" t="s">
        <v>166</v>
      </c>
      <c r="L84" s="57" t="s">
        <v>192</v>
      </c>
      <c r="M84" s="70"/>
      <c r="N84" s="70"/>
      <c r="O84" s="70"/>
      <c r="P84" s="70"/>
      <c r="Q84" s="70"/>
      <c r="R84" s="70"/>
      <c r="S84" s="447"/>
      <c r="T84" s="70" t="s">
        <v>193</v>
      </c>
      <c r="U84" s="447" t="s">
        <v>618</v>
      </c>
      <c r="V84" s="69" t="str">
        <f t="shared" si="3"/>
        <v>3922_R1</v>
      </c>
      <c r="W84" s="433" t="s">
        <v>271</v>
      </c>
      <c r="X84" s="69">
        <v>3922</v>
      </c>
      <c r="Y84" s="70" t="s">
        <v>272</v>
      </c>
      <c r="Z84" s="70" t="s">
        <v>440</v>
      </c>
      <c r="AA84" s="70">
        <v>25</v>
      </c>
      <c r="AB84" s="67" t="s">
        <v>273</v>
      </c>
      <c r="AC84" s="69" t="s">
        <v>141</v>
      </c>
      <c r="AD84" s="66" t="s">
        <v>199</v>
      </c>
      <c r="AE84" s="101" t="s">
        <v>428</v>
      </c>
      <c r="AF84" s="102">
        <v>0</v>
      </c>
      <c r="AG84" s="102">
        <v>900</v>
      </c>
      <c r="AH84" s="102">
        <v>0</v>
      </c>
      <c r="AI84" s="103"/>
      <c r="AJ84" s="266"/>
      <c r="AK84" s="104"/>
    </row>
    <row r="85" spans="1:37" s="319" customFormat="1" ht="24.95">
      <c r="A85" s="396"/>
      <c r="B85" s="69" t="s">
        <v>68</v>
      </c>
      <c r="C85" s="69">
        <v>280</v>
      </c>
      <c r="D85" s="69" t="b">
        <v>1</v>
      </c>
      <c r="E85" s="70"/>
      <c r="F85" s="469" t="s">
        <v>619</v>
      </c>
      <c r="G85" s="98" t="s">
        <v>620</v>
      </c>
      <c r="H85" s="70" t="s">
        <v>621</v>
      </c>
      <c r="I85" s="69" t="s">
        <v>622</v>
      </c>
      <c r="J85" s="70" t="s">
        <v>623</v>
      </c>
      <c r="K85" s="70" t="s">
        <v>166</v>
      </c>
      <c r="L85" s="57" t="s">
        <v>192</v>
      </c>
      <c r="M85" s="70"/>
      <c r="N85" s="70"/>
      <c r="O85" s="70"/>
      <c r="P85" s="70"/>
      <c r="Q85" s="70"/>
      <c r="R85" s="70"/>
      <c r="S85" s="447"/>
      <c r="T85" s="70" t="s">
        <v>193</v>
      </c>
      <c r="U85" s="447" t="s">
        <v>624</v>
      </c>
      <c r="V85" s="69" t="str">
        <f t="shared" si="3"/>
        <v>3922_R2</v>
      </c>
      <c r="W85" s="433" t="s">
        <v>271</v>
      </c>
      <c r="X85" s="69">
        <v>3922</v>
      </c>
      <c r="Y85" s="70" t="s">
        <v>272</v>
      </c>
      <c r="Z85" s="70" t="s">
        <v>440</v>
      </c>
      <c r="AA85" s="70">
        <v>26</v>
      </c>
      <c r="AB85" s="67" t="s">
        <v>273</v>
      </c>
      <c r="AC85" s="69" t="s">
        <v>141</v>
      </c>
      <c r="AD85" s="66" t="s">
        <v>199</v>
      </c>
      <c r="AE85" s="101" t="s">
        <v>428</v>
      </c>
      <c r="AF85" s="102">
        <v>0</v>
      </c>
      <c r="AG85" s="102">
        <v>900</v>
      </c>
      <c r="AH85" s="102">
        <v>0</v>
      </c>
      <c r="AI85" s="103"/>
      <c r="AJ85" s="266"/>
      <c r="AK85" s="104"/>
    </row>
    <row r="86" spans="1:37" s="319" customFormat="1" ht="12.6">
      <c r="A86" s="220"/>
      <c r="B86" s="69" t="s">
        <v>46</v>
      </c>
      <c r="C86" s="69">
        <v>281</v>
      </c>
      <c r="D86" s="69" t="b">
        <v>1</v>
      </c>
      <c r="E86" s="70"/>
      <c r="F86" s="98" t="s">
        <v>625</v>
      </c>
      <c r="G86" s="98" t="s">
        <v>626</v>
      </c>
      <c r="H86" s="70" t="s">
        <v>627</v>
      </c>
      <c r="I86" s="69" t="s">
        <v>628</v>
      </c>
      <c r="J86" s="70" t="s">
        <v>629</v>
      </c>
      <c r="K86" s="70" t="s">
        <v>209</v>
      </c>
      <c r="L86" s="57" t="s">
        <v>192</v>
      </c>
      <c r="M86" s="70"/>
      <c r="N86" s="70"/>
      <c r="O86" s="70"/>
      <c r="P86" s="70"/>
      <c r="Q86" s="70"/>
      <c r="R86" s="70"/>
      <c r="S86" s="447"/>
      <c r="T86" s="70" t="s">
        <v>193</v>
      </c>
      <c r="U86" s="447" t="s">
        <v>630</v>
      </c>
      <c r="V86" s="69" t="str">
        <f t="shared" si="3"/>
        <v>3922_STR1</v>
      </c>
      <c r="W86" s="433" t="s">
        <v>271</v>
      </c>
      <c r="X86" s="69">
        <v>3922</v>
      </c>
      <c r="Y86" s="70" t="s">
        <v>272</v>
      </c>
      <c r="Z86" s="70" t="s">
        <v>440</v>
      </c>
      <c r="AA86" s="70">
        <v>27</v>
      </c>
      <c r="AB86" s="67" t="s">
        <v>273</v>
      </c>
      <c r="AC86" s="69" t="s">
        <v>141</v>
      </c>
      <c r="AD86" s="66" t="s">
        <v>199</v>
      </c>
      <c r="AE86" s="101" t="s">
        <v>631</v>
      </c>
      <c r="AF86" s="470">
        <v>0</v>
      </c>
      <c r="AG86" s="470">
        <v>100</v>
      </c>
      <c r="AH86" s="470">
        <v>0</v>
      </c>
      <c r="AI86" s="103"/>
      <c r="AJ86" s="266"/>
      <c r="AK86" s="104"/>
    </row>
    <row r="87" spans="1:37" s="319" customFormat="1" ht="12.75" customHeight="1">
      <c r="A87" s="220"/>
      <c r="B87" s="69" t="s">
        <v>46</v>
      </c>
      <c r="C87" s="69">
        <v>282</v>
      </c>
      <c r="D87" s="69" t="b">
        <v>1</v>
      </c>
      <c r="E87" s="70"/>
      <c r="F87" s="98" t="s">
        <v>632</v>
      </c>
      <c r="G87" s="98" t="s">
        <v>633</v>
      </c>
      <c r="H87" s="70" t="s">
        <v>634</v>
      </c>
      <c r="I87" s="69" t="s">
        <v>635</v>
      </c>
      <c r="J87" s="70" t="s">
        <v>636</v>
      </c>
      <c r="K87" s="70" t="s">
        <v>166</v>
      </c>
      <c r="L87" s="57" t="s">
        <v>192</v>
      </c>
      <c r="M87" s="70"/>
      <c r="N87" s="70"/>
      <c r="O87" s="70"/>
      <c r="P87" s="70"/>
      <c r="Q87" s="70"/>
      <c r="R87" s="70"/>
      <c r="S87" s="447"/>
      <c r="T87" s="70" t="s">
        <v>193</v>
      </c>
      <c r="U87" s="447" t="s">
        <v>637</v>
      </c>
      <c r="V87" s="69" t="str">
        <f t="shared" si="3"/>
        <v>3922_ADSTOP</v>
      </c>
      <c r="W87" s="433" t="s">
        <v>271</v>
      </c>
      <c r="X87" s="69">
        <v>3922</v>
      </c>
      <c r="Y87" s="70" t="s">
        <v>272</v>
      </c>
      <c r="Z87" s="70" t="s">
        <v>440</v>
      </c>
      <c r="AA87" s="70">
        <v>28</v>
      </c>
      <c r="AB87" s="67" t="s">
        <v>273</v>
      </c>
      <c r="AC87" s="69" t="s">
        <v>141</v>
      </c>
      <c r="AD87" s="66" t="s">
        <v>199</v>
      </c>
      <c r="AE87" s="101" t="s">
        <v>552</v>
      </c>
      <c r="AF87" s="102">
        <v>0</v>
      </c>
      <c r="AG87" s="102">
        <v>30000</v>
      </c>
      <c r="AH87" s="102">
        <v>0</v>
      </c>
      <c r="AI87" s="103"/>
      <c r="AJ87" s="266"/>
      <c r="AK87" s="104"/>
    </row>
    <row r="88" spans="1:37" s="319" customFormat="1" ht="12.75" customHeight="1">
      <c r="A88" s="220"/>
      <c r="B88" s="69" t="s">
        <v>46</v>
      </c>
      <c r="C88" s="69">
        <v>283</v>
      </c>
      <c r="D88" s="69" t="b">
        <v>1</v>
      </c>
      <c r="E88" s="70"/>
      <c r="F88" s="98" t="s">
        <v>638</v>
      </c>
      <c r="G88" s="98" t="s">
        <v>639</v>
      </c>
      <c r="H88" s="70" t="s">
        <v>640</v>
      </c>
      <c r="I88" s="69" t="s">
        <v>641</v>
      </c>
      <c r="J88" s="70" t="s">
        <v>642</v>
      </c>
      <c r="K88" s="70" t="s">
        <v>166</v>
      </c>
      <c r="L88" s="57" t="s">
        <v>192</v>
      </c>
      <c r="M88" s="70"/>
      <c r="N88" s="70"/>
      <c r="O88" s="70"/>
      <c r="P88" s="70"/>
      <c r="Q88" s="70"/>
      <c r="R88" s="70"/>
      <c r="S88" s="447"/>
      <c r="T88" s="70" t="s">
        <v>193</v>
      </c>
      <c r="U88" s="447" t="s">
        <v>643</v>
      </c>
      <c r="V88" s="69" t="str">
        <f t="shared" si="3"/>
        <v>3922_D3W</v>
      </c>
      <c r="W88" s="433" t="s">
        <v>359</v>
      </c>
      <c r="X88" s="69">
        <v>3922</v>
      </c>
      <c r="Y88" s="70" t="s">
        <v>272</v>
      </c>
      <c r="Z88" s="70" t="s">
        <v>440</v>
      </c>
      <c r="AA88" s="70">
        <v>29</v>
      </c>
      <c r="AB88" s="67" t="s">
        <v>273</v>
      </c>
      <c r="AC88" s="69" t="s">
        <v>141</v>
      </c>
      <c r="AD88" s="66" t="s">
        <v>199</v>
      </c>
      <c r="AE88" s="101" t="s">
        <v>428</v>
      </c>
      <c r="AF88" s="102">
        <v>0</v>
      </c>
      <c r="AG88" s="102">
        <v>100</v>
      </c>
      <c r="AH88" s="102">
        <v>0</v>
      </c>
      <c r="AI88" s="103"/>
      <c r="AJ88" s="266"/>
      <c r="AK88" s="104"/>
    </row>
    <row r="89" spans="1:37" s="319" customFormat="1" ht="12.75" customHeight="1">
      <c r="A89" s="220"/>
      <c r="B89" s="69" t="s">
        <v>46</v>
      </c>
      <c r="C89" s="69">
        <v>284</v>
      </c>
      <c r="D89" s="69" t="b">
        <v>1</v>
      </c>
      <c r="E89" s="70"/>
      <c r="F89" s="98" t="s">
        <v>644</v>
      </c>
      <c r="G89" s="98" t="s">
        <v>645</v>
      </c>
      <c r="H89" s="70" t="s">
        <v>646</v>
      </c>
      <c r="I89" s="69" t="s">
        <v>647</v>
      </c>
      <c r="J89" s="70" t="s">
        <v>648</v>
      </c>
      <c r="K89" s="70" t="s">
        <v>166</v>
      </c>
      <c r="L89" s="57" t="s">
        <v>192</v>
      </c>
      <c r="M89" s="70"/>
      <c r="N89" s="70"/>
      <c r="O89" s="70"/>
      <c r="P89" s="70"/>
      <c r="Q89" s="70"/>
      <c r="R89" s="70"/>
      <c r="S89" s="447"/>
      <c r="T89" s="70" t="s">
        <v>193</v>
      </c>
      <c r="U89" s="447" t="s">
        <v>649</v>
      </c>
      <c r="V89" s="69" t="str">
        <f t="shared" si="3"/>
        <v>3922_RES</v>
      </c>
      <c r="W89" s="433" t="s">
        <v>359</v>
      </c>
      <c r="X89" s="69">
        <v>3922</v>
      </c>
      <c r="Y89" s="70" t="s">
        <v>272</v>
      </c>
      <c r="Z89" s="70" t="s">
        <v>440</v>
      </c>
      <c r="AA89" s="70">
        <v>30</v>
      </c>
      <c r="AB89" s="67" t="s">
        <v>273</v>
      </c>
      <c r="AC89" s="69" t="s">
        <v>141</v>
      </c>
      <c r="AD89" s="66" t="s">
        <v>199</v>
      </c>
      <c r="AE89" s="101" t="s">
        <v>428</v>
      </c>
      <c r="AF89" s="102">
        <v>1</v>
      </c>
      <c r="AG89" s="102">
        <v>100</v>
      </c>
      <c r="AH89" s="102">
        <v>1</v>
      </c>
      <c r="AI89" s="103"/>
      <c r="AJ89" s="266"/>
      <c r="AK89" s="104"/>
    </row>
    <row r="90" spans="1:37" s="319" customFormat="1" ht="12.75" customHeight="1">
      <c r="A90" s="220"/>
      <c r="B90" s="69" t="s">
        <v>46</v>
      </c>
      <c r="C90" s="69">
        <v>285</v>
      </c>
      <c r="D90" s="70" t="b">
        <v>1</v>
      </c>
      <c r="E90" s="70"/>
      <c r="F90" s="397" t="s">
        <v>650</v>
      </c>
      <c r="G90" s="397" t="s">
        <v>651</v>
      </c>
      <c r="H90" s="69" t="s">
        <v>652</v>
      </c>
      <c r="I90" s="70" t="s">
        <v>653</v>
      </c>
      <c r="J90" s="70" t="s">
        <v>654</v>
      </c>
      <c r="K90" s="70" t="s">
        <v>166</v>
      </c>
      <c r="L90" s="57" t="s">
        <v>192</v>
      </c>
      <c r="M90" s="70"/>
      <c r="N90" s="70"/>
      <c r="O90" s="70"/>
      <c r="P90" s="70"/>
      <c r="Q90" s="70"/>
      <c r="R90" s="70"/>
      <c r="S90" s="447"/>
      <c r="T90" s="70" t="s">
        <v>193</v>
      </c>
      <c r="U90" s="447" t="s">
        <v>655</v>
      </c>
      <c r="V90" s="69" t="str">
        <f t="shared" si="3"/>
        <v>3922_Time_min_mixing</v>
      </c>
      <c r="W90" s="433" t="s">
        <v>271</v>
      </c>
      <c r="X90" s="69">
        <v>3922</v>
      </c>
      <c r="Y90" s="70" t="s">
        <v>272</v>
      </c>
      <c r="Z90" s="70" t="s">
        <v>440</v>
      </c>
      <c r="AA90" s="70">
        <v>31</v>
      </c>
      <c r="AB90" s="67" t="s">
        <v>273</v>
      </c>
      <c r="AC90" s="69" t="s">
        <v>141</v>
      </c>
      <c r="AD90" s="66" t="s">
        <v>199</v>
      </c>
      <c r="AE90" s="101" t="s">
        <v>552</v>
      </c>
      <c r="AF90" s="102">
        <v>0</v>
      </c>
      <c r="AG90" s="102">
        <v>30000</v>
      </c>
      <c r="AH90" s="102">
        <v>0</v>
      </c>
      <c r="AI90" s="103"/>
      <c r="AJ90" s="266"/>
      <c r="AK90" s="104"/>
    </row>
    <row r="91" spans="1:37" s="319" customFormat="1" ht="12.75" customHeight="1">
      <c r="A91" s="396"/>
      <c r="B91" s="69" t="s">
        <v>81</v>
      </c>
      <c r="C91" s="69">
        <v>286</v>
      </c>
      <c r="D91" s="70" t="b">
        <v>1</v>
      </c>
      <c r="E91" s="70"/>
      <c r="F91" s="397" t="s">
        <v>656</v>
      </c>
      <c r="G91" s="397" t="s">
        <v>657</v>
      </c>
      <c r="H91" s="69" t="s">
        <v>658</v>
      </c>
      <c r="I91" s="70" t="s">
        <v>659</v>
      </c>
      <c r="J91" s="70" t="s">
        <v>660</v>
      </c>
      <c r="K91" s="70" t="s">
        <v>166</v>
      </c>
      <c r="L91" s="57" t="s">
        <v>192</v>
      </c>
      <c r="M91" s="70"/>
      <c r="N91" s="70"/>
      <c r="O91" s="70"/>
      <c r="P91" s="70"/>
      <c r="Q91" s="70"/>
      <c r="R91" s="70"/>
      <c r="S91" s="447"/>
      <c r="T91" s="70"/>
      <c r="U91" s="447" t="s">
        <v>661</v>
      </c>
      <c r="V91" s="69" t="str">
        <f t="shared" si="3"/>
        <v>3922_Takten_rej_fles_vol</v>
      </c>
      <c r="W91" s="433" t="s">
        <v>271</v>
      </c>
      <c r="X91" s="69">
        <v>3922</v>
      </c>
      <c r="Y91" s="70" t="s">
        <v>196</v>
      </c>
      <c r="Z91" s="70" t="s">
        <v>440</v>
      </c>
      <c r="AA91" s="70">
        <v>33</v>
      </c>
      <c r="AB91" s="67" t="s">
        <v>198</v>
      </c>
      <c r="AC91" s="69" t="s">
        <v>141</v>
      </c>
      <c r="AD91" s="66" t="s">
        <v>199</v>
      </c>
      <c r="AE91" s="101" t="s">
        <v>428</v>
      </c>
      <c r="AF91" s="102">
        <v>0</v>
      </c>
      <c r="AG91" s="102">
        <v>10000</v>
      </c>
      <c r="AH91" s="102">
        <v>0</v>
      </c>
      <c r="AI91" s="103"/>
      <c r="AJ91" s="266"/>
      <c r="AK91" s="104"/>
    </row>
    <row r="92" spans="1:37" s="319" customFormat="1" ht="12.75" customHeight="1">
      <c r="A92" s="220"/>
      <c r="B92" s="69" t="s">
        <v>77</v>
      </c>
      <c r="C92" s="69">
        <v>287</v>
      </c>
      <c r="D92" s="70" t="b">
        <v>1</v>
      </c>
      <c r="E92" s="70"/>
      <c r="F92" s="397" t="s">
        <v>662</v>
      </c>
      <c r="G92" s="397" t="s">
        <v>663</v>
      </c>
      <c r="H92" s="69" t="s">
        <v>664</v>
      </c>
      <c r="I92" s="70" t="s">
        <v>665</v>
      </c>
      <c r="J92" s="70" t="s">
        <v>666</v>
      </c>
      <c r="K92" s="70" t="s">
        <v>166</v>
      </c>
      <c r="L92" s="57" t="s">
        <v>192</v>
      </c>
      <c r="M92" s="70"/>
      <c r="N92" s="70"/>
      <c r="O92" s="70"/>
      <c r="P92" s="70"/>
      <c r="Q92" s="70"/>
      <c r="R92" s="70"/>
      <c r="S92" s="447"/>
      <c r="T92" s="70"/>
      <c r="U92" s="447" t="s">
        <v>667</v>
      </c>
      <c r="V92" s="69" t="str">
        <f t="shared" si="3"/>
        <v>3922_Time_reject_tot_HT</v>
      </c>
      <c r="W92" s="433" t="s">
        <v>359</v>
      </c>
      <c r="X92" s="69">
        <v>3922</v>
      </c>
      <c r="Y92" s="70" t="s">
        <v>272</v>
      </c>
      <c r="Z92" s="70" t="s">
        <v>440</v>
      </c>
      <c r="AA92" s="70">
        <v>34</v>
      </c>
      <c r="AB92" s="67" t="s">
        <v>273</v>
      </c>
      <c r="AC92" s="69" t="s">
        <v>141</v>
      </c>
      <c r="AD92" s="66" t="s">
        <v>199</v>
      </c>
      <c r="AE92" s="101" t="s">
        <v>668</v>
      </c>
      <c r="AF92" s="102">
        <v>0</v>
      </c>
      <c r="AG92" s="102">
        <v>999</v>
      </c>
      <c r="AH92" s="102">
        <v>0</v>
      </c>
      <c r="AI92" s="103"/>
      <c r="AJ92" s="266"/>
      <c r="AK92" s="104"/>
    </row>
    <row r="93" spans="1:37" s="319" customFormat="1" ht="12.75" customHeight="1">
      <c r="A93" s="220"/>
      <c r="B93" s="69" t="s">
        <v>77</v>
      </c>
      <c r="C93" s="69">
        <v>288</v>
      </c>
      <c r="D93" s="70" t="b">
        <v>1</v>
      </c>
      <c r="E93" s="70"/>
      <c r="F93" s="397" t="s">
        <v>669</v>
      </c>
      <c r="G93" s="397" t="s">
        <v>670</v>
      </c>
      <c r="H93" s="69" t="s">
        <v>671</v>
      </c>
      <c r="I93" s="70" t="s">
        <v>672</v>
      </c>
      <c r="J93" s="70" t="s">
        <v>673</v>
      </c>
      <c r="K93" s="70" t="s">
        <v>166</v>
      </c>
      <c r="L93" s="57" t="s">
        <v>192</v>
      </c>
      <c r="M93" s="70"/>
      <c r="N93" s="70"/>
      <c r="O93" s="70"/>
      <c r="P93" s="70"/>
      <c r="Q93" s="70"/>
      <c r="R93" s="70"/>
      <c r="S93" s="447"/>
      <c r="T93" s="70"/>
      <c r="U93" s="447" t="s">
        <v>674</v>
      </c>
      <c r="V93" s="69" t="str">
        <f t="shared" si="3"/>
        <v>3922_Time_tussen_flushen</v>
      </c>
      <c r="W93" s="433" t="s">
        <v>271</v>
      </c>
      <c r="X93" s="69">
        <v>3922</v>
      </c>
      <c r="Y93" s="70" t="s">
        <v>196</v>
      </c>
      <c r="Z93" s="70" t="s">
        <v>440</v>
      </c>
      <c r="AA93" s="70">
        <v>35</v>
      </c>
      <c r="AB93" s="67" t="s">
        <v>273</v>
      </c>
      <c r="AC93" s="69" t="s">
        <v>141</v>
      </c>
      <c r="AD93" s="66" t="s">
        <v>142</v>
      </c>
      <c r="AE93" s="101" t="s">
        <v>552</v>
      </c>
      <c r="AF93" s="102">
        <v>0</v>
      </c>
      <c r="AG93" s="102">
        <v>30000</v>
      </c>
      <c r="AH93" s="102">
        <v>0</v>
      </c>
      <c r="AI93" s="103"/>
      <c r="AJ93" s="266"/>
      <c r="AK93" s="104"/>
    </row>
    <row r="94" spans="1:37" s="319" customFormat="1" ht="12.75" customHeight="1">
      <c r="A94" s="220"/>
      <c r="B94" s="69" t="s">
        <v>77</v>
      </c>
      <c r="C94" s="69">
        <v>289</v>
      </c>
      <c r="D94" s="70" t="b">
        <v>1</v>
      </c>
      <c r="E94" s="70"/>
      <c r="F94" s="397" t="s">
        <v>675</v>
      </c>
      <c r="G94" s="397" t="s">
        <v>676</v>
      </c>
      <c r="H94" s="69" t="s">
        <v>677</v>
      </c>
      <c r="I94" s="70" t="s">
        <v>678</v>
      </c>
      <c r="J94" s="70" t="s">
        <v>679</v>
      </c>
      <c r="K94" s="70" t="s">
        <v>166</v>
      </c>
      <c r="L94" s="57" t="s">
        <v>192</v>
      </c>
      <c r="M94" s="70"/>
      <c r="N94" s="70"/>
      <c r="O94" s="70"/>
      <c r="P94" s="70"/>
      <c r="Q94" s="70"/>
      <c r="R94" s="70"/>
      <c r="S94" s="447"/>
      <c r="T94" s="70" t="s">
        <v>193</v>
      </c>
      <c r="U94" s="447" t="s">
        <v>680</v>
      </c>
      <c r="V94" s="69" t="str">
        <f t="shared" si="3"/>
        <v>3922_Takten_flushen</v>
      </c>
      <c r="W94" s="433" t="s">
        <v>271</v>
      </c>
      <c r="X94" s="69">
        <v>3922</v>
      </c>
      <c r="Y94" s="70" t="s">
        <v>196</v>
      </c>
      <c r="Z94" s="70" t="s">
        <v>440</v>
      </c>
      <c r="AA94" s="70">
        <v>36</v>
      </c>
      <c r="AB94" s="67" t="s">
        <v>273</v>
      </c>
      <c r="AC94" s="69" t="s">
        <v>141</v>
      </c>
      <c r="AD94" s="66" t="s">
        <v>142</v>
      </c>
      <c r="AE94" s="101" t="s">
        <v>428</v>
      </c>
      <c r="AF94" s="102">
        <v>0</v>
      </c>
      <c r="AG94" s="102">
        <v>100</v>
      </c>
      <c r="AH94" s="102">
        <v>0</v>
      </c>
      <c r="AI94" s="103"/>
      <c r="AJ94" s="266"/>
      <c r="AK94" s="104"/>
    </row>
    <row r="95" spans="1:37" s="319" customFormat="1" ht="12.75" customHeight="1">
      <c r="A95" s="220"/>
      <c r="B95" s="69" t="s">
        <v>77</v>
      </c>
      <c r="C95" s="69">
        <v>290</v>
      </c>
      <c r="D95" s="70" t="b">
        <v>1</v>
      </c>
      <c r="E95" s="70"/>
      <c r="F95" s="98" t="s">
        <v>681</v>
      </c>
      <c r="G95" s="98" t="s">
        <v>682</v>
      </c>
      <c r="H95" s="69" t="s">
        <v>683</v>
      </c>
      <c r="I95" s="70" t="s">
        <v>684</v>
      </c>
      <c r="J95" s="70" t="s">
        <v>685</v>
      </c>
      <c r="K95" s="70" t="s">
        <v>166</v>
      </c>
      <c r="L95" s="57" t="s">
        <v>192</v>
      </c>
      <c r="M95" s="70"/>
      <c r="N95" s="70"/>
      <c r="O95" s="70"/>
      <c r="P95" s="70"/>
      <c r="Q95" s="70"/>
      <c r="R95" s="70"/>
      <c r="S95" s="447"/>
      <c r="T95" s="70"/>
      <c r="U95" s="447" t="s">
        <v>686</v>
      </c>
      <c r="V95" s="69" t="str">
        <f t="shared" si="3"/>
        <v>3922_DMaxGap</v>
      </c>
      <c r="W95" s="460" t="s">
        <v>271</v>
      </c>
      <c r="X95" s="69">
        <v>3922</v>
      </c>
      <c r="Y95" s="70" t="s">
        <v>272</v>
      </c>
      <c r="Z95" s="70" t="s">
        <v>440</v>
      </c>
      <c r="AA95" s="70">
        <v>37</v>
      </c>
      <c r="AB95" s="70" t="s">
        <v>273</v>
      </c>
      <c r="AC95" s="69" t="s">
        <v>141</v>
      </c>
      <c r="AD95" s="69" t="s">
        <v>199</v>
      </c>
      <c r="AE95" s="101" t="s">
        <v>428</v>
      </c>
      <c r="AF95" s="102">
        <v>1</v>
      </c>
      <c r="AG95" s="102">
        <v>10</v>
      </c>
      <c r="AH95" s="102">
        <v>3</v>
      </c>
      <c r="AI95" s="103"/>
      <c r="AJ95" s="266"/>
      <c r="AK95" s="104"/>
    </row>
    <row r="96" spans="1:37" s="71" customFormat="1" ht="12.75" customHeight="1">
      <c r="A96" s="220"/>
      <c r="B96" s="69" t="s">
        <v>46</v>
      </c>
      <c r="C96" s="66">
        <v>300</v>
      </c>
      <c r="D96" s="69" t="b">
        <v>1</v>
      </c>
      <c r="E96" s="70"/>
      <c r="F96" s="98" t="s">
        <v>687</v>
      </c>
      <c r="G96" s="98" t="s">
        <v>688</v>
      </c>
      <c r="H96" s="70" t="s">
        <v>689</v>
      </c>
      <c r="I96" s="70" t="s">
        <v>690</v>
      </c>
      <c r="J96" s="70" t="s">
        <v>691</v>
      </c>
      <c r="K96" s="70" t="s">
        <v>209</v>
      </c>
      <c r="L96" s="57" t="s">
        <v>192</v>
      </c>
      <c r="M96" s="70"/>
      <c r="N96" s="70"/>
      <c r="O96" s="70"/>
      <c r="P96" s="70"/>
      <c r="Q96" s="70"/>
      <c r="R96" s="70"/>
      <c r="S96" s="447"/>
      <c r="T96" s="70" t="s">
        <v>193</v>
      </c>
      <c r="U96" s="447" t="s">
        <v>692</v>
      </c>
      <c r="V96" s="69" t="str">
        <f t="shared" si="3"/>
        <v>3922_Vessel_volume</v>
      </c>
      <c r="W96" s="433" t="s">
        <v>271</v>
      </c>
      <c r="X96" s="66">
        <v>3922</v>
      </c>
      <c r="Y96" s="70" t="s">
        <v>272</v>
      </c>
      <c r="Z96" s="70" t="s">
        <v>693</v>
      </c>
      <c r="AA96" s="70">
        <v>1</v>
      </c>
      <c r="AB96" s="67" t="s">
        <v>273</v>
      </c>
      <c r="AC96" s="69" t="s">
        <v>141</v>
      </c>
      <c r="AD96" s="66" t="s">
        <v>199</v>
      </c>
      <c r="AE96" s="101" t="s">
        <v>694</v>
      </c>
      <c r="AF96" s="423">
        <v>0.5</v>
      </c>
      <c r="AG96" s="423">
        <v>50</v>
      </c>
      <c r="AH96" s="423">
        <v>0.5</v>
      </c>
      <c r="AI96" s="103"/>
      <c r="AJ96" s="266"/>
      <c r="AK96" s="104"/>
    </row>
    <row r="97" spans="1:37" s="319" customFormat="1" ht="12.75" customHeight="1">
      <c r="A97" s="220"/>
      <c r="B97" s="69" t="s">
        <v>46</v>
      </c>
      <c r="C97" s="66">
        <v>301</v>
      </c>
      <c r="D97" s="69" t="b">
        <v>1</v>
      </c>
      <c r="E97" s="70"/>
      <c r="F97" s="98" t="s">
        <v>695</v>
      </c>
      <c r="G97" s="98" t="s">
        <v>696</v>
      </c>
      <c r="H97" s="70" t="s">
        <v>697</v>
      </c>
      <c r="I97" s="70" t="s">
        <v>698</v>
      </c>
      <c r="J97" s="70" t="s">
        <v>699</v>
      </c>
      <c r="K97" s="70" t="s">
        <v>166</v>
      </c>
      <c r="L97" s="57" t="s">
        <v>192</v>
      </c>
      <c r="M97" s="70"/>
      <c r="N97" s="70"/>
      <c r="O97" s="70"/>
      <c r="P97" s="70"/>
      <c r="Q97" s="70"/>
      <c r="R97" s="70"/>
      <c r="S97" s="447"/>
      <c r="T97" s="70"/>
      <c r="U97" s="447" t="s">
        <v>700</v>
      </c>
      <c r="V97" s="69" t="str">
        <f t="shared" si="3"/>
        <v>3922_Vessel_Level_max</v>
      </c>
      <c r="W97" s="433" t="s">
        <v>271</v>
      </c>
      <c r="X97" s="66">
        <v>3922</v>
      </c>
      <c r="Y97" s="70" t="s">
        <v>272</v>
      </c>
      <c r="Z97" s="70" t="s">
        <v>693</v>
      </c>
      <c r="AA97" s="70">
        <v>2</v>
      </c>
      <c r="AB97" s="67" t="s">
        <v>273</v>
      </c>
      <c r="AC97" s="69" t="s">
        <v>141</v>
      </c>
      <c r="AD97" s="66" t="s">
        <v>199</v>
      </c>
      <c r="AE97" s="101" t="s">
        <v>215</v>
      </c>
      <c r="AF97" s="102">
        <v>15</v>
      </c>
      <c r="AG97" s="102">
        <v>100</v>
      </c>
      <c r="AH97" s="102">
        <v>15</v>
      </c>
      <c r="AI97" s="103"/>
      <c r="AJ97" s="266"/>
      <c r="AK97" s="104"/>
    </row>
    <row r="98" spans="1:37" s="319" customFormat="1" ht="12.75" customHeight="1">
      <c r="A98" s="220"/>
      <c r="B98" s="69" t="s">
        <v>46</v>
      </c>
      <c r="C98" s="66">
        <v>302</v>
      </c>
      <c r="D98" s="69" t="b">
        <v>1</v>
      </c>
      <c r="E98" s="70"/>
      <c r="F98" s="98" t="s">
        <v>701</v>
      </c>
      <c r="G98" s="98" t="s">
        <v>702</v>
      </c>
      <c r="H98" s="70" t="s">
        <v>703</v>
      </c>
      <c r="I98" s="70" t="s">
        <v>704</v>
      </c>
      <c r="J98" s="70" t="s">
        <v>705</v>
      </c>
      <c r="K98" s="70" t="s">
        <v>166</v>
      </c>
      <c r="L98" s="57" t="s">
        <v>192</v>
      </c>
      <c r="M98" s="70"/>
      <c r="N98" s="70"/>
      <c r="O98" s="70"/>
      <c r="P98" s="70"/>
      <c r="Q98" s="70"/>
      <c r="R98" s="70"/>
      <c r="S98" s="447"/>
      <c r="T98" s="70"/>
      <c r="U98" s="447" t="s">
        <v>706</v>
      </c>
      <c r="V98" s="69" t="str">
        <f t="shared" si="3"/>
        <v>3922_Vessel_Level_SP</v>
      </c>
      <c r="W98" s="433" t="s">
        <v>271</v>
      </c>
      <c r="X98" s="66">
        <v>3922</v>
      </c>
      <c r="Y98" s="70" t="s">
        <v>272</v>
      </c>
      <c r="Z98" s="70" t="s">
        <v>693</v>
      </c>
      <c r="AA98" s="70">
        <v>3</v>
      </c>
      <c r="AB98" s="67" t="s">
        <v>273</v>
      </c>
      <c r="AC98" s="69" t="s">
        <v>141</v>
      </c>
      <c r="AD98" s="66" t="s">
        <v>199</v>
      </c>
      <c r="AE98" s="101" t="s">
        <v>215</v>
      </c>
      <c r="AF98" s="102">
        <v>10</v>
      </c>
      <c r="AG98" s="102">
        <v>90</v>
      </c>
      <c r="AH98" s="102">
        <v>10</v>
      </c>
      <c r="AI98" s="103"/>
      <c r="AJ98" s="266"/>
      <c r="AK98" s="104"/>
    </row>
    <row r="99" spans="1:37" s="319" customFormat="1" ht="12.75" customHeight="1">
      <c r="A99" s="220"/>
      <c r="B99" s="69" t="s">
        <v>46</v>
      </c>
      <c r="C99" s="66">
        <v>303</v>
      </c>
      <c r="D99" s="69" t="b">
        <v>1</v>
      </c>
      <c r="E99" s="70"/>
      <c r="F99" s="98" t="s">
        <v>707</v>
      </c>
      <c r="G99" s="98" t="s">
        <v>708</v>
      </c>
      <c r="H99" s="70" t="s">
        <v>709</v>
      </c>
      <c r="I99" s="70" t="s">
        <v>710</v>
      </c>
      <c r="J99" s="70" t="s">
        <v>711</v>
      </c>
      <c r="K99" s="70" t="s">
        <v>166</v>
      </c>
      <c r="L99" s="57" t="s">
        <v>192</v>
      </c>
      <c r="M99" s="70"/>
      <c r="N99" s="70"/>
      <c r="O99" s="70"/>
      <c r="P99" s="70"/>
      <c r="Q99" s="70"/>
      <c r="R99" s="70"/>
      <c r="S99" s="447"/>
      <c r="T99" s="70"/>
      <c r="U99" s="447" t="s">
        <v>712</v>
      </c>
      <c r="V99" s="69" t="str">
        <f t="shared" si="3"/>
        <v>3922_Vessel_Level_min</v>
      </c>
      <c r="W99" s="433" t="s">
        <v>271</v>
      </c>
      <c r="X99" s="66">
        <v>3922</v>
      </c>
      <c r="Y99" s="70" t="s">
        <v>272</v>
      </c>
      <c r="Z99" s="70" t="s">
        <v>693</v>
      </c>
      <c r="AA99" s="70">
        <v>4</v>
      </c>
      <c r="AB99" s="67" t="s">
        <v>273</v>
      </c>
      <c r="AC99" s="69" t="s">
        <v>141</v>
      </c>
      <c r="AD99" s="66" t="s">
        <v>199</v>
      </c>
      <c r="AE99" s="101" t="s">
        <v>215</v>
      </c>
      <c r="AF99" s="102">
        <v>5</v>
      </c>
      <c r="AG99" s="102">
        <v>50</v>
      </c>
      <c r="AH99" s="102">
        <v>5</v>
      </c>
      <c r="AI99" s="103"/>
      <c r="AJ99" s="266"/>
      <c r="AK99" s="104"/>
    </row>
    <row r="100" spans="1:37" s="319" customFormat="1" ht="12.75" customHeight="1">
      <c r="A100" s="396"/>
      <c r="B100" s="69" t="s">
        <v>81</v>
      </c>
      <c r="C100" s="66">
        <v>304</v>
      </c>
      <c r="D100" s="69" t="b">
        <v>1</v>
      </c>
      <c r="E100" s="70"/>
      <c r="F100" s="98" t="s">
        <v>713</v>
      </c>
      <c r="G100" s="98" t="s">
        <v>714</v>
      </c>
      <c r="H100" s="70" t="s">
        <v>715</v>
      </c>
      <c r="I100" s="70" t="s">
        <v>716</v>
      </c>
      <c r="J100" s="70" t="s">
        <v>717</v>
      </c>
      <c r="K100" s="70" t="s">
        <v>166</v>
      </c>
      <c r="L100" s="57" t="s">
        <v>192</v>
      </c>
      <c r="M100" s="70"/>
      <c r="N100" s="70"/>
      <c r="O100" s="70"/>
      <c r="P100" s="70"/>
      <c r="Q100" s="70"/>
      <c r="R100" s="70"/>
      <c r="S100" s="447"/>
      <c r="T100" s="70"/>
      <c r="U100" s="447" t="s">
        <v>718</v>
      </c>
      <c r="V100" s="69" t="str">
        <f t="shared" si="3"/>
        <v>3922_Vessel_Level_LowLow</v>
      </c>
      <c r="W100" s="433" t="s">
        <v>271</v>
      </c>
      <c r="X100" s="66">
        <v>3922</v>
      </c>
      <c r="Y100" s="70" t="s">
        <v>196</v>
      </c>
      <c r="Z100" s="70" t="s">
        <v>693</v>
      </c>
      <c r="AA100" s="70">
        <v>5</v>
      </c>
      <c r="AB100" s="67" t="s">
        <v>198</v>
      </c>
      <c r="AC100" s="69" t="s">
        <v>141</v>
      </c>
      <c r="AD100" s="66" t="s">
        <v>142</v>
      </c>
      <c r="AE100" s="101" t="s">
        <v>215</v>
      </c>
      <c r="AF100" s="102">
        <v>1</v>
      </c>
      <c r="AG100" s="102">
        <v>50</v>
      </c>
      <c r="AH100" s="102">
        <v>1</v>
      </c>
      <c r="AI100" s="103"/>
      <c r="AJ100" s="266"/>
      <c r="AK100" s="104"/>
    </row>
    <row r="101" spans="1:37" s="319" customFormat="1" ht="12.75" customHeight="1">
      <c r="A101" s="220"/>
      <c r="B101" s="69" t="s">
        <v>46</v>
      </c>
      <c r="C101" s="66">
        <v>305</v>
      </c>
      <c r="D101" s="69" t="b">
        <v>1</v>
      </c>
      <c r="E101" s="70"/>
      <c r="F101" s="98" t="s">
        <v>719</v>
      </c>
      <c r="G101" s="98" t="s">
        <v>720</v>
      </c>
      <c r="H101" s="70" t="s">
        <v>721</v>
      </c>
      <c r="I101" s="70" t="s">
        <v>722</v>
      </c>
      <c r="J101" s="70" t="s">
        <v>723</v>
      </c>
      <c r="K101" s="70" t="s">
        <v>166</v>
      </c>
      <c r="L101" s="57" t="s">
        <v>192</v>
      </c>
      <c r="M101" s="70"/>
      <c r="N101" s="70"/>
      <c r="O101" s="70"/>
      <c r="P101" s="70"/>
      <c r="Q101" s="70"/>
      <c r="R101" s="70"/>
      <c r="S101" s="447"/>
      <c r="T101" s="70"/>
      <c r="U101" s="447" t="s">
        <v>724</v>
      </c>
      <c r="V101" s="69" t="str">
        <f t="shared" si="3"/>
        <v>3922_Vessel_Level_mixer</v>
      </c>
      <c r="W101" s="433" t="s">
        <v>271</v>
      </c>
      <c r="X101" s="66">
        <v>3922</v>
      </c>
      <c r="Y101" s="70" t="s">
        <v>272</v>
      </c>
      <c r="Z101" s="70" t="s">
        <v>693</v>
      </c>
      <c r="AA101" s="70">
        <v>6</v>
      </c>
      <c r="AB101" s="67" t="s">
        <v>273</v>
      </c>
      <c r="AC101" s="69" t="s">
        <v>141</v>
      </c>
      <c r="AD101" s="66" t="s">
        <v>199</v>
      </c>
      <c r="AE101" s="101" t="s">
        <v>215</v>
      </c>
      <c r="AF101" s="102">
        <v>1</v>
      </c>
      <c r="AG101" s="102">
        <v>90</v>
      </c>
      <c r="AH101" s="102">
        <v>1</v>
      </c>
      <c r="AI101" s="103"/>
      <c r="AJ101" s="266"/>
      <c r="AK101" s="104"/>
    </row>
    <row r="102" spans="1:37" s="320" customFormat="1" ht="12.75" customHeight="1">
      <c r="A102" s="365"/>
      <c r="B102" s="69" t="s">
        <v>31</v>
      </c>
      <c r="C102" s="449">
        <v>306</v>
      </c>
      <c r="D102" s="399"/>
      <c r="E102" s="399" t="b">
        <v>1</v>
      </c>
      <c r="F102" s="398" t="s">
        <v>725</v>
      </c>
      <c r="G102" s="398" t="s">
        <v>726</v>
      </c>
      <c r="H102" s="399" t="s">
        <v>727</v>
      </c>
      <c r="I102" s="399" t="s">
        <v>728</v>
      </c>
      <c r="J102" s="399" t="s">
        <v>729</v>
      </c>
      <c r="K102" s="399" t="s">
        <v>166</v>
      </c>
      <c r="L102" s="451" t="s">
        <v>192</v>
      </c>
      <c r="M102" s="399"/>
      <c r="N102" s="399"/>
      <c r="O102" s="399"/>
      <c r="P102" s="399"/>
      <c r="Q102" s="399"/>
      <c r="R102" s="399"/>
      <c r="S102" s="399"/>
      <c r="T102" s="399"/>
      <c r="U102" s="399" t="str">
        <f>CONCATENATE("par",E102)</f>
        <v>parTRUE</v>
      </c>
      <c r="V102" s="400" t="e">
        <f>_xlfn.CONCAT(#REF!,"_",U102)</f>
        <v>#REF!</v>
      </c>
      <c r="W102" s="452"/>
      <c r="X102" s="449">
        <v>3922</v>
      </c>
      <c r="Y102" s="399" t="s">
        <v>196</v>
      </c>
      <c r="Z102" s="399" t="s">
        <v>693</v>
      </c>
      <c r="AA102" s="399">
        <v>7</v>
      </c>
      <c r="AB102" s="401" t="s">
        <v>273</v>
      </c>
      <c r="AC102" s="69" t="s">
        <v>141</v>
      </c>
      <c r="AD102" s="66" t="s">
        <v>199</v>
      </c>
      <c r="AE102" s="402" t="s">
        <v>215</v>
      </c>
      <c r="AF102" s="462">
        <v>5</v>
      </c>
      <c r="AG102" s="462">
        <v>90</v>
      </c>
      <c r="AH102" s="462">
        <v>5</v>
      </c>
      <c r="AI102" s="403"/>
      <c r="AJ102" s="409"/>
      <c r="AK102" s="404"/>
    </row>
    <row r="103" spans="1:37" s="71" customFormat="1" ht="12.75" customHeight="1">
      <c r="A103" s="220"/>
      <c r="B103" s="69" t="s">
        <v>15</v>
      </c>
      <c r="C103" s="66">
        <v>307</v>
      </c>
      <c r="D103" s="70"/>
      <c r="E103" s="70"/>
      <c r="F103" s="397" t="s">
        <v>201</v>
      </c>
      <c r="G103" s="397" t="s">
        <v>201</v>
      </c>
      <c r="H103" s="69" t="s">
        <v>201</v>
      </c>
      <c r="I103" s="70" t="s">
        <v>730</v>
      </c>
      <c r="J103" s="70" t="s">
        <v>731</v>
      </c>
      <c r="K103" s="70" t="s">
        <v>166</v>
      </c>
      <c r="L103" s="57" t="s">
        <v>192</v>
      </c>
      <c r="M103" s="70"/>
      <c r="N103" s="70"/>
      <c r="O103" s="70"/>
      <c r="P103" s="70"/>
      <c r="Q103" s="70"/>
      <c r="R103" s="70"/>
      <c r="S103" s="70"/>
      <c r="T103" s="70"/>
      <c r="U103" s="70"/>
      <c r="V103" s="69"/>
      <c r="W103" s="100"/>
      <c r="X103" s="70"/>
      <c r="Y103" s="70"/>
      <c r="Z103" s="70"/>
      <c r="AA103" s="70"/>
      <c r="AB103" s="70"/>
      <c r="AC103" s="70"/>
      <c r="AD103" s="69"/>
      <c r="AE103" s="101"/>
      <c r="AF103" s="102"/>
      <c r="AG103" s="102"/>
      <c r="AH103" s="102"/>
      <c r="AI103" s="103"/>
      <c r="AJ103" s="266"/>
      <c r="AK103" s="104"/>
    </row>
    <row r="104" spans="1:37" s="319" customFormat="1" ht="12.75" customHeight="1">
      <c r="A104" s="220"/>
      <c r="B104" s="69" t="s">
        <v>46</v>
      </c>
      <c r="C104" s="66">
        <v>308</v>
      </c>
      <c r="D104" s="69" t="b">
        <v>1</v>
      </c>
      <c r="E104" s="70"/>
      <c r="F104" s="98" t="s">
        <v>732</v>
      </c>
      <c r="G104" s="98" t="s">
        <v>733</v>
      </c>
      <c r="H104" s="70" t="s">
        <v>734</v>
      </c>
      <c r="I104" s="70" t="s">
        <v>735</v>
      </c>
      <c r="J104" s="70" t="s">
        <v>736</v>
      </c>
      <c r="K104" s="70" t="s">
        <v>737</v>
      </c>
      <c r="L104" s="57" t="s">
        <v>192</v>
      </c>
      <c r="M104" s="70"/>
      <c r="N104" s="70"/>
      <c r="O104" s="70"/>
      <c r="P104" s="70"/>
      <c r="Q104" s="70"/>
      <c r="R104" s="70"/>
      <c r="S104" s="447"/>
      <c r="T104" s="70"/>
      <c r="U104" s="447" t="s">
        <v>738</v>
      </c>
      <c r="V104" s="69" t="str">
        <f t="shared" ref="V104:V128" si="4">_xlfn.CONCAT($AH$14,"_",U104)</f>
        <v>3922_52M1_DEV</v>
      </c>
      <c r="W104" s="433" t="s">
        <v>359</v>
      </c>
      <c r="X104" s="66">
        <v>3922</v>
      </c>
      <c r="Y104" s="70" t="s">
        <v>272</v>
      </c>
      <c r="Z104" s="70" t="s">
        <v>693</v>
      </c>
      <c r="AA104" s="70">
        <v>8</v>
      </c>
      <c r="AB104" s="67" t="s">
        <v>273</v>
      </c>
      <c r="AC104" s="69" t="s">
        <v>141</v>
      </c>
      <c r="AD104" s="66" t="s">
        <v>199</v>
      </c>
      <c r="AE104" s="101" t="s">
        <v>274</v>
      </c>
      <c r="AF104" s="102">
        <v>5</v>
      </c>
      <c r="AG104" s="102">
        <v>30</v>
      </c>
      <c r="AH104" s="102">
        <v>10</v>
      </c>
      <c r="AI104" s="103"/>
      <c r="AJ104" s="266"/>
      <c r="AK104" s="104"/>
    </row>
    <row r="105" spans="1:37" s="319" customFormat="1" ht="12.75" customHeight="1">
      <c r="A105" s="220"/>
      <c r="B105" s="69" t="s">
        <v>46</v>
      </c>
      <c r="C105" s="69">
        <v>309</v>
      </c>
      <c r="D105" s="69" t="b">
        <v>1</v>
      </c>
      <c r="E105" s="70"/>
      <c r="F105" s="397" t="s">
        <v>739</v>
      </c>
      <c r="G105" s="397" t="s">
        <v>740</v>
      </c>
      <c r="H105" s="69" t="s">
        <v>741</v>
      </c>
      <c r="I105" s="70" t="s">
        <v>742</v>
      </c>
      <c r="J105" s="70" t="s">
        <v>743</v>
      </c>
      <c r="K105" s="70" t="s">
        <v>209</v>
      </c>
      <c r="L105" s="57" t="s">
        <v>192</v>
      </c>
      <c r="M105" s="70"/>
      <c r="N105" s="70"/>
      <c r="O105" s="70"/>
      <c r="P105" s="70"/>
      <c r="Q105" s="70"/>
      <c r="R105" s="70"/>
      <c r="S105" s="447"/>
      <c r="T105" s="70"/>
      <c r="U105" s="447" t="s">
        <v>744</v>
      </c>
      <c r="V105" s="69" t="str">
        <f t="shared" si="4"/>
        <v>3922_53W1_DEV</v>
      </c>
      <c r="W105" s="433" t="s">
        <v>234</v>
      </c>
      <c r="X105" s="69">
        <v>3922</v>
      </c>
      <c r="Y105" s="70" t="s">
        <v>196</v>
      </c>
      <c r="Z105" s="70" t="s">
        <v>693</v>
      </c>
      <c r="AA105" s="70">
        <v>9</v>
      </c>
      <c r="AB105" s="67" t="s">
        <v>198</v>
      </c>
      <c r="AC105" s="69" t="s">
        <v>141</v>
      </c>
      <c r="AD105" s="66" t="s">
        <v>142</v>
      </c>
      <c r="AE105" s="101" t="s">
        <v>745</v>
      </c>
      <c r="AF105" s="424">
        <v>0</v>
      </c>
      <c r="AG105" s="424">
        <v>1</v>
      </c>
      <c r="AH105" s="424">
        <v>1</v>
      </c>
      <c r="AI105" s="103"/>
      <c r="AJ105" s="266"/>
      <c r="AK105" s="104"/>
    </row>
    <row r="106" spans="1:37" s="388" customFormat="1" ht="12.75" customHeight="1">
      <c r="A106" s="220"/>
      <c r="B106" s="69" t="s">
        <v>77</v>
      </c>
      <c r="C106" s="69">
        <v>310</v>
      </c>
      <c r="D106" s="69" t="b">
        <v>1</v>
      </c>
      <c r="E106" s="70"/>
      <c r="F106" s="98" t="s">
        <v>746</v>
      </c>
      <c r="G106" s="98" t="s">
        <v>747</v>
      </c>
      <c r="H106" s="69" t="s">
        <v>748</v>
      </c>
      <c r="I106" s="70" t="s">
        <v>749</v>
      </c>
      <c r="J106" s="70" t="s">
        <v>750</v>
      </c>
      <c r="K106" s="70" t="s">
        <v>737</v>
      </c>
      <c r="L106" s="57" t="s">
        <v>192</v>
      </c>
      <c r="M106" s="70"/>
      <c r="N106" s="70"/>
      <c r="O106" s="70"/>
      <c r="P106" s="70"/>
      <c r="Q106" s="70"/>
      <c r="R106" s="70"/>
      <c r="S106" s="447"/>
      <c r="T106" s="70"/>
      <c r="U106" s="447" t="s">
        <v>751</v>
      </c>
      <c r="V106" s="69" t="str">
        <f t="shared" si="4"/>
        <v>3922_MaxTime_min_mix</v>
      </c>
      <c r="W106" s="433" t="s">
        <v>271</v>
      </c>
      <c r="X106" s="69">
        <v>3922</v>
      </c>
      <c r="Y106" s="70" t="s">
        <v>272</v>
      </c>
      <c r="Z106" s="70" t="s">
        <v>440</v>
      </c>
      <c r="AA106" s="70">
        <v>32</v>
      </c>
      <c r="AB106" s="67" t="s">
        <v>273</v>
      </c>
      <c r="AC106" s="69" t="s">
        <v>141</v>
      </c>
      <c r="AD106" s="66" t="s">
        <v>199</v>
      </c>
      <c r="AE106" s="101" t="s">
        <v>552</v>
      </c>
      <c r="AF106" s="102">
        <v>0</v>
      </c>
      <c r="AG106" s="102">
        <v>36000</v>
      </c>
      <c r="AH106" s="102">
        <v>0</v>
      </c>
      <c r="AI106" s="103"/>
      <c r="AJ106" s="266"/>
      <c r="AK106" s="104"/>
    </row>
    <row r="107" spans="1:37" s="319" customFormat="1" ht="12.75" customHeight="1">
      <c r="A107" s="220"/>
      <c r="B107" s="69" t="s">
        <v>46</v>
      </c>
      <c r="C107" s="66">
        <v>350</v>
      </c>
      <c r="D107" s="69" t="b">
        <v>1</v>
      </c>
      <c r="E107" s="70"/>
      <c r="F107" s="98" t="s">
        <v>752</v>
      </c>
      <c r="G107" s="98" t="s">
        <v>753</v>
      </c>
      <c r="H107" s="447" t="s">
        <v>754</v>
      </c>
      <c r="I107" s="70" t="s">
        <v>755</v>
      </c>
      <c r="J107" s="70" t="s">
        <v>756</v>
      </c>
      <c r="K107" s="70" t="s">
        <v>209</v>
      </c>
      <c r="L107" s="57" t="s">
        <v>192</v>
      </c>
      <c r="M107" s="70"/>
      <c r="N107" s="70"/>
      <c r="O107" s="70"/>
      <c r="P107" s="70"/>
      <c r="Q107" s="70"/>
      <c r="R107" s="70"/>
      <c r="S107" s="447"/>
      <c r="T107" s="70" t="s">
        <v>193</v>
      </c>
      <c r="U107" s="447" t="s">
        <v>757</v>
      </c>
      <c r="V107" s="69" t="str">
        <f t="shared" si="4"/>
        <v>3922_Nld_Instelpos_mm</v>
      </c>
      <c r="W107" s="433" t="s">
        <v>359</v>
      </c>
      <c r="X107" s="66">
        <v>3922</v>
      </c>
      <c r="Y107" s="70" t="s">
        <v>272</v>
      </c>
      <c r="Z107" s="70" t="s">
        <v>758</v>
      </c>
      <c r="AA107" s="70">
        <v>1</v>
      </c>
      <c r="AB107" s="67" t="s">
        <v>198</v>
      </c>
      <c r="AC107" s="69" t="s">
        <v>141</v>
      </c>
      <c r="AD107" s="66" t="s">
        <v>199</v>
      </c>
      <c r="AE107" s="101" t="s">
        <v>373</v>
      </c>
      <c r="AF107" s="423">
        <v>0</v>
      </c>
      <c r="AG107" s="423">
        <v>150</v>
      </c>
      <c r="AH107" s="423">
        <v>0</v>
      </c>
      <c r="AI107" s="103"/>
      <c r="AJ107" s="266"/>
      <c r="AK107" s="104"/>
    </row>
    <row r="108" spans="1:37" s="319" customFormat="1" ht="12.75" customHeight="1">
      <c r="A108" s="396"/>
      <c r="B108" s="69" t="s">
        <v>68</v>
      </c>
      <c r="C108" s="66">
        <v>351</v>
      </c>
      <c r="D108" s="69" t="b">
        <v>1</v>
      </c>
      <c r="E108" s="70"/>
      <c r="F108" s="98" t="s">
        <v>759</v>
      </c>
      <c r="G108" s="98" t="s">
        <v>760</v>
      </c>
      <c r="H108" s="447" t="s">
        <v>761</v>
      </c>
      <c r="I108" s="70" t="s">
        <v>762</v>
      </c>
      <c r="J108" s="70" t="s">
        <v>763</v>
      </c>
      <c r="K108" s="70" t="s">
        <v>209</v>
      </c>
      <c r="L108" s="57" t="s">
        <v>192</v>
      </c>
      <c r="M108" s="70"/>
      <c r="N108" s="70"/>
      <c r="O108" s="70"/>
      <c r="P108" s="70"/>
      <c r="Q108" s="70"/>
      <c r="R108" s="70"/>
      <c r="S108" s="447"/>
      <c r="T108" s="70" t="s">
        <v>193</v>
      </c>
      <c r="U108" s="447" t="s">
        <v>764</v>
      </c>
      <c r="V108" s="69" t="str">
        <f t="shared" si="4"/>
        <v>3922_Nld_Basispos_mm</v>
      </c>
      <c r="W108" s="433" t="s">
        <v>359</v>
      </c>
      <c r="X108" s="66">
        <v>3922</v>
      </c>
      <c r="Y108" s="70" t="s">
        <v>272</v>
      </c>
      <c r="Z108" s="70" t="s">
        <v>758</v>
      </c>
      <c r="AA108" s="70">
        <v>2</v>
      </c>
      <c r="AB108" s="67" t="s">
        <v>198</v>
      </c>
      <c r="AC108" s="69" t="s">
        <v>141</v>
      </c>
      <c r="AD108" s="66" t="s">
        <v>199</v>
      </c>
      <c r="AE108" s="101" t="s">
        <v>373</v>
      </c>
      <c r="AF108" s="423">
        <v>0</v>
      </c>
      <c r="AG108" s="423">
        <v>150</v>
      </c>
      <c r="AH108" s="423">
        <v>0</v>
      </c>
      <c r="AI108" s="103"/>
      <c r="AJ108" s="266"/>
      <c r="AK108" s="104"/>
    </row>
    <row r="109" spans="1:37" s="319" customFormat="1" ht="12.75" customHeight="1">
      <c r="A109" s="220"/>
      <c r="B109" s="69" t="s">
        <v>46</v>
      </c>
      <c r="C109" s="66">
        <v>352</v>
      </c>
      <c r="D109" s="69" t="b">
        <v>1</v>
      </c>
      <c r="E109" s="70"/>
      <c r="F109" s="98" t="s">
        <v>765</v>
      </c>
      <c r="G109" s="98" t="s">
        <v>766</v>
      </c>
      <c r="H109" s="447" t="s">
        <v>767</v>
      </c>
      <c r="I109" s="70" t="s">
        <v>768</v>
      </c>
      <c r="J109" s="70" t="s">
        <v>769</v>
      </c>
      <c r="K109" s="70" t="s">
        <v>209</v>
      </c>
      <c r="L109" s="57" t="s">
        <v>192</v>
      </c>
      <c r="M109" s="70"/>
      <c r="N109" s="70"/>
      <c r="O109" s="70"/>
      <c r="P109" s="70"/>
      <c r="Q109" s="70"/>
      <c r="R109" s="70"/>
      <c r="S109" s="447"/>
      <c r="T109" s="70" t="s">
        <v>193</v>
      </c>
      <c r="U109" s="447" t="s">
        <v>770</v>
      </c>
      <c r="V109" s="69" t="str">
        <f t="shared" si="4"/>
        <v>3922_Nld_Start_Down_grad</v>
      </c>
      <c r="W109" s="433" t="s">
        <v>359</v>
      </c>
      <c r="X109" s="66">
        <v>3922</v>
      </c>
      <c r="Y109" s="70" t="s">
        <v>272</v>
      </c>
      <c r="Z109" s="70" t="s">
        <v>758</v>
      </c>
      <c r="AA109" s="70">
        <v>3</v>
      </c>
      <c r="AB109" s="67" t="s">
        <v>198</v>
      </c>
      <c r="AC109" s="69" t="s">
        <v>141</v>
      </c>
      <c r="AD109" s="66" t="s">
        <v>199</v>
      </c>
      <c r="AE109" s="101" t="s">
        <v>420</v>
      </c>
      <c r="AF109" s="423">
        <v>140</v>
      </c>
      <c r="AG109" s="423">
        <v>359.9</v>
      </c>
      <c r="AH109" s="423">
        <v>140</v>
      </c>
      <c r="AI109" s="103"/>
      <c r="AJ109" s="266"/>
      <c r="AK109" s="104"/>
    </row>
    <row r="110" spans="1:37" s="319" customFormat="1" ht="12.75" customHeight="1">
      <c r="A110" s="220"/>
      <c r="B110" s="69" t="s">
        <v>46</v>
      </c>
      <c r="C110" s="66">
        <v>353</v>
      </c>
      <c r="D110" s="69" t="b">
        <v>1</v>
      </c>
      <c r="E110" s="70"/>
      <c r="F110" s="98" t="s">
        <v>771</v>
      </c>
      <c r="G110" s="98" t="s">
        <v>772</v>
      </c>
      <c r="H110" s="447" t="s">
        <v>773</v>
      </c>
      <c r="I110" s="70" t="s">
        <v>774</v>
      </c>
      <c r="J110" s="70" t="s">
        <v>775</v>
      </c>
      <c r="K110" s="70" t="s">
        <v>209</v>
      </c>
      <c r="L110" s="57" t="s">
        <v>192</v>
      </c>
      <c r="M110" s="70"/>
      <c r="N110" s="70"/>
      <c r="O110" s="70"/>
      <c r="P110" s="70"/>
      <c r="Q110" s="70"/>
      <c r="R110" s="70"/>
      <c r="S110" s="447"/>
      <c r="T110" s="70" t="s">
        <v>193</v>
      </c>
      <c r="U110" s="447" t="s">
        <v>776</v>
      </c>
      <c r="V110" s="69" t="str">
        <f t="shared" si="4"/>
        <v>3922_Nld_Onderpos_mm</v>
      </c>
      <c r="W110" s="433" t="s">
        <v>359</v>
      </c>
      <c r="X110" s="66">
        <v>3922</v>
      </c>
      <c r="Y110" s="70" t="s">
        <v>272</v>
      </c>
      <c r="Z110" s="70" t="s">
        <v>758</v>
      </c>
      <c r="AA110" s="70">
        <v>4</v>
      </c>
      <c r="AB110" s="67" t="s">
        <v>198</v>
      </c>
      <c r="AC110" s="69" t="s">
        <v>141</v>
      </c>
      <c r="AD110" s="66" t="s">
        <v>199</v>
      </c>
      <c r="AE110" s="101" t="s">
        <v>373</v>
      </c>
      <c r="AF110" s="423">
        <v>0</v>
      </c>
      <c r="AG110" s="423">
        <v>150</v>
      </c>
      <c r="AH110" s="423">
        <v>0</v>
      </c>
      <c r="AI110" s="103"/>
      <c r="AJ110" s="266"/>
      <c r="AK110" s="104"/>
    </row>
    <row r="111" spans="1:37" s="319" customFormat="1" ht="12.75" customHeight="1">
      <c r="A111" s="220"/>
      <c r="B111" s="69" t="s">
        <v>46</v>
      </c>
      <c r="C111" s="66">
        <v>354</v>
      </c>
      <c r="D111" s="69" t="b">
        <v>1</v>
      </c>
      <c r="E111" s="70"/>
      <c r="F111" s="98" t="s">
        <v>777</v>
      </c>
      <c r="G111" s="98" t="s">
        <v>778</v>
      </c>
      <c r="H111" s="447" t="s">
        <v>779</v>
      </c>
      <c r="I111" s="70" t="s">
        <v>780</v>
      </c>
      <c r="J111" s="70" t="s">
        <v>781</v>
      </c>
      <c r="K111" s="70" t="s">
        <v>209</v>
      </c>
      <c r="L111" s="57" t="s">
        <v>192</v>
      </c>
      <c r="M111" s="70"/>
      <c r="N111" s="70"/>
      <c r="O111" s="70"/>
      <c r="P111" s="70"/>
      <c r="Q111" s="70"/>
      <c r="R111" s="70"/>
      <c r="S111" s="447"/>
      <c r="T111" s="70" t="s">
        <v>193</v>
      </c>
      <c r="U111" s="447" t="s">
        <v>782</v>
      </c>
      <c r="V111" s="69" t="str">
        <f t="shared" si="4"/>
        <v>3922_Nld_Nr_Beneden_grad</v>
      </c>
      <c r="W111" s="433" t="s">
        <v>359</v>
      </c>
      <c r="X111" s="66">
        <v>3922</v>
      </c>
      <c r="Y111" s="70" t="s">
        <v>272</v>
      </c>
      <c r="Z111" s="70" t="s">
        <v>758</v>
      </c>
      <c r="AA111" s="70">
        <v>5</v>
      </c>
      <c r="AB111" s="67" t="s">
        <v>198</v>
      </c>
      <c r="AC111" s="69" t="s">
        <v>141</v>
      </c>
      <c r="AD111" s="66" t="s">
        <v>199</v>
      </c>
      <c r="AE111" s="101" t="s">
        <v>420</v>
      </c>
      <c r="AF111" s="423">
        <v>140</v>
      </c>
      <c r="AG111" s="423">
        <v>359.9</v>
      </c>
      <c r="AH111" s="423">
        <v>140</v>
      </c>
      <c r="AI111" s="103"/>
      <c r="AJ111" s="266"/>
      <c r="AK111" s="104"/>
    </row>
    <row r="112" spans="1:37" s="319" customFormat="1" ht="12.75" customHeight="1">
      <c r="A112" s="220"/>
      <c r="B112" s="69" t="s">
        <v>46</v>
      </c>
      <c r="C112" s="66">
        <v>355</v>
      </c>
      <c r="D112" s="69" t="b">
        <v>1</v>
      </c>
      <c r="E112" s="70"/>
      <c r="F112" s="98" t="s">
        <v>783</v>
      </c>
      <c r="G112" s="98" t="s">
        <v>784</v>
      </c>
      <c r="H112" s="447" t="s">
        <v>785</v>
      </c>
      <c r="I112" s="70" t="s">
        <v>786</v>
      </c>
      <c r="J112" s="70" t="s">
        <v>787</v>
      </c>
      <c r="K112" s="70" t="s">
        <v>209</v>
      </c>
      <c r="L112" s="57" t="s">
        <v>192</v>
      </c>
      <c r="M112" s="70"/>
      <c r="N112" s="70"/>
      <c r="O112" s="70"/>
      <c r="P112" s="70"/>
      <c r="Q112" s="70"/>
      <c r="R112" s="70"/>
      <c r="S112" s="447"/>
      <c r="T112" s="70" t="s">
        <v>193</v>
      </c>
      <c r="U112" s="447" t="s">
        <v>788</v>
      </c>
      <c r="V112" s="69" t="str">
        <f t="shared" si="4"/>
        <v>3922_Nld_Start_Up_graden</v>
      </c>
      <c r="W112" s="433" t="s">
        <v>359</v>
      </c>
      <c r="X112" s="66">
        <v>3922</v>
      </c>
      <c r="Y112" s="70" t="s">
        <v>272</v>
      </c>
      <c r="Z112" s="70" t="s">
        <v>758</v>
      </c>
      <c r="AA112" s="70">
        <v>6</v>
      </c>
      <c r="AB112" s="67" t="s">
        <v>198</v>
      </c>
      <c r="AC112" s="69" t="s">
        <v>141</v>
      </c>
      <c r="AD112" s="66" t="s">
        <v>199</v>
      </c>
      <c r="AE112" s="101" t="s">
        <v>420</v>
      </c>
      <c r="AF112" s="423">
        <v>140</v>
      </c>
      <c r="AG112" s="423">
        <v>359.9</v>
      </c>
      <c r="AH112" s="423">
        <v>140</v>
      </c>
      <c r="AI112" s="103"/>
      <c r="AJ112" s="266"/>
      <c r="AK112" s="104"/>
    </row>
    <row r="113" spans="1:37" s="319" customFormat="1" ht="12.75" customHeight="1">
      <c r="A113" s="220"/>
      <c r="B113" s="69" t="s">
        <v>46</v>
      </c>
      <c r="C113" s="66">
        <v>356</v>
      </c>
      <c r="D113" s="69" t="b">
        <v>1</v>
      </c>
      <c r="E113" s="70"/>
      <c r="F113" s="98" t="s">
        <v>789</v>
      </c>
      <c r="G113" s="98" t="s">
        <v>790</v>
      </c>
      <c r="H113" s="447" t="s">
        <v>791</v>
      </c>
      <c r="I113" s="70" t="s">
        <v>792</v>
      </c>
      <c r="J113" s="70" t="s">
        <v>793</v>
      </c>
      <c r="K113" s="70" t="s">
        <v>209</v>
      </c>
      <c r="L113" s="57" t="s">
        <v>192</v>
      </c>
      <c r="M113" s="70"/>
      <c r="N113" s="70"/>
      <c r="O113" s="70"/>
      <c r="P113" s="70"/>
      <c r="Q113" s="70"/>
      <c r="R113" s="70"/>
      <c r="S113" s="447"/>
      <c r="T113" s="70" t="s">
        <v>193</v>
      </c>
      <c r="U113" s="447" t="s">
        <v>794</v>
      </c>
      <c r="V113" s="69" t="str">
        <f t="shared" si="4"/>
        <v>3922_Nld_Nr_Eind_dose_mm</v>
      </c>
      <c r="W113" s="433" t="s">
        <v>359</v>
      </c>
      <c r="X113" s="66">
        <v>3922</v>
      </c>
      <c r="Y113" s="70" t="s">
        <v>272</v>
      </c>
      <c r="Z113" s="70" t="s">
        <v>758</v>
      </c>
      <c r="AA113" s="70">
        <v>7</v>
      </c>
      <c r="AB113" s="67" t="s">
        <v>198</v>
      </c>
      <c r="AC113" s="69" t="s">
        <v>141</v>
      </c>
      <c r="AD113" s="66" t="s">
        <v>199</v>
      </c>
      <c r="AE113" s="101" t="s">
        <v>373</v>
      </c>
      <c r="AF113" s="423">
        <v>0</v>
      </c>
      <c r="AG113" s="423">
        <v>150</v>
      </c>
      <c r="AH113" s="423">
        <v>0</v>
      </c>
      <c r="AI113" s="103"/>
      <c r="AJ113" s="266"/>
      <c r="AK113" s="104"/>
    </row>
    <row r="114" spans="1:37" s="319" customFormat="1" ht="12.75" customHeight="1">
      <c r="A114" s="220"/>
      <c r="B114" s="69" t="s">
        <v>46</v>
      </c>
      <c r="C114" s="66">
        <v>357</v>
      </c>
      <c r="D114" s="69" t="b">
        <v>1</v>
      </c>
      <c r="E114" s="70"/>
      <c r="F114" s="98" t="s">
        <v>795</v>
      </c>
      <c r="G114" s="98" t="s">
        <v>796</v>
      </c>
      <c r="H114" s="447" t="s">
        <v>797</v>
      </c>
      <c r="I114" s="70" t="s">
        <v>798</v>
      </c>
      <c r="J114" s="70" t="s">
        <v>799</v>
      </c>
      <c r="K114" s="70" t="s">
        <v>209</v>
      </c>
      <c r="L114" s="57" t="s">
        <v>192</v>
      </c>
      <c r="M114" s="70"/>
      <c r="N114" s="70"/>
      <c r="O114" s="70"/>
      <c r="P114" s="70"/>
      <c r="Q114" s="70"/>
      <c r="R114" s="70"/>
      <c r="S114" s="447"/>
      <c r="T114" s="70" t="s">
        <v>193</v>
      </c>
      <c r="U114" s="447" t="s">
        <v>800</v>
      </c>
      <c r="V114" s="69" t="str">
        <f t="shared" si="4"/>
        <v>3922_Nld_Eind_dose_grad</v>
      </c>
      <c r="W114" s="433" t="s">
        <v>359</v>
      </c>
      <c r="X114" s="66">
        <v>3922</v>
      </c>
      <c r="Y114" s="70" t="s">
        <v>272</v>
      </c>
      <c r="Z114" s="70" t="s">
        <v>758</v>
      </c>
      <c r="AA114" s="70">
        <v>8</v>
      </c>
      <c r="AB114" s="67" t="s">
        <v>198</v>
      </c>
      <c r="AC114" s="69" t="s">
        <v>141</v>
      </c>
      <c r="AD114" s="66" t="s">
        <v>199</v>
      </c>
      <c r="AE114" s="101" t="s">
        <v>420</v>
      </c>
      <c r="AF114" s="423">
        <v>140</v>
      </c>
      <c r="AG114" s="423">
        <v>359.9</v>
      </c>
      <c r="AH114" s="423">
        <v>140</v>
      </c>
      <c r="AI114" s="103"/>
      <c r="AJ114" s="266"/>
      <c r="AK114" s="104"/>
    </row>
    <row r="115" spans="1:37" s="319" customFormat="1" ht="12.75" customHeight="1">
      <c r="A115" s="220"/>
      <c r="B115" s="69" t="s">
        <v>46</v>
      </c>
      <c r="C115" s="66">
        <v>358</v>
      </c>
      <c r="D115" s="69" t="b">
        <v>1</v>
      </c>
      <c r="E115" s="70"/>
      <c r="F115" s="98" t="s">
        <v>801</v>
      </c>
      <c r="G115" s="98" t="s">
        <v>802</v>
      </c>
      <c r="H115" s="447" t="s">
        <v>803</v>
      </c>
      <c r="I115" s="70" t="s">
        <v>804</v>
      </c>
      <c r="J115" s="70" t="s">
        <v>805</v>
      </c>
      <c r="K115" s="70" t="s">
        <v>209</v>
      </c>
      <c r="L115" s="57" t="s">
        <v>192</v>
      </c>
      <c r="M115" s="70"/>
      <c r="N115" s="70"/>
      <c r="O115" s="70"/>
      <c r="P115" s="70"/>
      <c r="Q115" s="70"/>
      <c r="R115" s="70"/>
      <c r="S115" s="447"/>
      <c r="T115" s="70" t="s">
        <v>193</v>
      </c>
      <c r="U115" s="447" t="s">
        <v>806</v>
      </c>
      <c r="V115" s="69" t="str">
        <f t="shared" si="4"/>
        <v>3922_Nld_Start_Base_grad</v>
      </c>
      <c r="W115" s="433" t="s">
        <v>359</v>
      </c>
      <c r="X115" s="66">
        <v>3922</v>
      </c>
      <c r="Y115" s="70" t="s">
        <v>272</v>
      </c>
      <c r="Z115" s="70" t="s">
        <v>758</v>
      </c>
      <c r="AA115" s="70">
        <v>9</v>
      </c>
      <c r="AB115" s="67" t="s">
        <v>198</v>
      </c>
      <c r="AC115" s="69" t="s">
        <v>141</v>
      </c>
      <c r="AD115" s="66" t="s">
        <v>199</v>
      </c>
      <c r="AE115" s="101" t="s">
        <v>420</v>
      </c>
      <c r="AF115" s="423">
        <v>140</v>
      </c>
      <c r="AG115" s="423">
        <v>359.9</v>
      </c>
      <c r="AH115" s="423">
        <v>140</v>
      </c>
      <c r="AI115" s="103"/>
      <c r="AJ115" s="266"/>
      <c r="AK115" s="104"/>
    </row>
    <row r="116" spans="1:37" s="319" customFormat="1" ht="12.75" customHeight="1">
      <c r="A116" s="220"/>
      <c r="B116" s="69" t="s">
        <v>46</v>
      </c>
      <c r="C116" s="66">
        <v>359</v>
      </c>
      <c r="D116" s="69" t="b">
        <v>1</v>
      </c>
      <c r="E116" s="70"/>
      <c r="F116" s="98" t="s">
        <v>807</v>
      </c>
      <c r="G116" s="98" t="s">
        <v>808</v>
      </c>
      <c r="H116" s="447" t="s">
        <v>809</v>
      </c>
      <c r="I116" s="70" t="s">
        <v>810</v>
      </c>
      <c r="J116" s="70" t="s">
        <v>811</v>
      </c>
      <c r="K116" s="70" t="s">
        <v>209</v>
      </c>
      <c r="L116" s="57" t="s">
        <v>192</v>
      </c>
      <c r="M116" s="70"/>
      <c r="N116" s="70"/>
      <c r="O116" s="70"/>
      <c r="P116" s="70"/>
      <c r="Q116" s="70"/>
      <c r="R116" s="70"/>
      <c r="S116" s="447"/>
      <c r="T116" s="70" t="s">
        <v>193</v>
      </c>
      <c r="U116" s="447" t="s">
        <v>812</v>
      </c>
      <c r="V116" s="69" t="str">
        <f t="shared" si="4"/>
        <v>3922_Nld_Basepos_bereikt</v>
      </c>
      <c r="W116" s="433" t="s">
        <v>359</v>
      </c>
      <c r="X116" s="66">
        <v>3922</v>
      </c>
      <c r="Y116" s="70" t="s">
        <v>272</v>
      </c>
      <c r="Z116" s="70" t="s">
        <v>758</v>
      </c>
      <c r="AA116" s="70">
        <v>10</v>
      </c>
      <c r="AB116" s="67" t="s">
        <v>198</v>
      </c>
      <c r="AC116" s="69" t="s">
        <v>141</v>
      </c>
      <c r="AD116" s="66" t="s">
        <v>199</v>
      </c>
      <c r="AE116" s="101" t="s">
        <v>420</v>
      </c>
      <c r="AF116" s="423">
        <v>140</v>
      </c>
      <c r="AG116" s="423">
        <v>359.9</v>
      </c>
      <c r="AH116" s="423">
        <v>140</v>
      </c>
      <c r="AI116" s="103"/>
      <c r="AJ116" s="266"/>
      <c r="AK116" s="104"/>
    </row>
    <row r="117" spans="1:37" s="319" customFormat="1" ht="12.75" customHeight="1">
      <c r="A117" s="220"/>
      <c r="B117" s="69" t="s">
        <v>68</v>
      </c>
      <c r="C117" s="66">
        <v>360</v>
      </c>
      <c r="D117" s="70" t="b">
        <v>1</v>
      </c>
      <c r="E117" s="70"/>
      <c r="F117" s="98" t="s">
        <v>813</v>
      </c>
      <c r="G117" s="98" t="s">
        <v>814</v>
      </c>
      <c r="H117" s="70" t="s">
        <v>815</v>
      </c>
      <c r="I117" s="70" t="s">
        <v>816</v>
      </c>
      <c r="J117" s="70" t="s">
        <v>817</v>
      </c>
      <c r="K117" s="70" t="s">
        <v>209</v>
      </c>
      <c r="L117" s="57" t="s">
        <v>192</v>
      </c>
      <c r="M117" s="70"/>
      <c r="N117" s="70"/>
      <c r="O117" s="70"/>
      <c r="P117" s="70"/>
      <c r="Q117" s="70"/>
      <c r="R117" s="70"/>
      <c r="S117" s="447"/>
      <c r="T117" s="70" t="s">
        <v>193</v>
      </c>
      <c r="U117" s="447" t="s">
        <v>818</v>
      </c>
      <c r="V117" s="69" t="str">
        <f t="shared" si="4"/>
        <v>3922_Nld_Rejectpos_mm</v>
      </c>
      <c r="W117" s="433" t="s">
        <v>195</v>
      </c>
      <c r="X117" s="69">
        <v>3922</v>
      </c>
      <c r="Y117" s="70" t="s">
        <v>196</v>
      </c>
      <c r="Z117" s="70" t="s">
        <v>758</v>
      </c>
      <c r="AA117" s="70">
        <v>11</v>
      </c>
      <c r="AB117" s="67" t="s">
        <v>198</v>
      </c>
      <c r="AC117" s="69" t="s">
        <v>141</v>
      </c>
      <c r="AD117" s="66" t="s">
        <v>199</v>
      </c>
      <c r="AE117" s="101" t="s">
        <v>373</v>
      </c>
      <c r="AF117" s="423">
        <v>0</v>
      </c>
      <c r="AG117" s="423">
        <v>150</v>
      </c>
      <c r="AH117" s="423">
        <v>0</v>
      </c>
      <c r="AI117" s="103"/>
      <c r="AJ117" s="266"/>
      <c r="AK117" s="104"/>
    </row>
    <row r="118" spans="1:37" s="319" customFormat="1" ht="12.75" customHeight="1">
      <c r="A118" s="220"/>
      <c r="B118" s="69" t="s">
        <v>46</v>
      </c>
      <c r="C118" s="66">
        <v>400</v>
      </c>
      <c r="D118" s="69" t="b">
        <v>1</v>
      </c>
      <c r="E118" s="70"/>
      <c r="F118" s="98" t="s">
        <v>819</v>
      </c>
      <c r="G118" s="98" t="s">
        <v>820</v>
      </c>
      <c r="H118" s="447" t="s">
        <v>821</v>
      </c>
      <c r="I118" s="70" t="s">
        <v>822</v>
      </c>
      <c r="J118" s="70" t="s">
        <v>823</v>
      </c>
      <c r="K118" s="70" t="s">
        <v>209</v>
      </c>
      <c r="L118" s="57" t="s">
        <v>192</v>
      </c>
      <c r="M118" s="70"/>
      <c r="N118" s="70"/>
      <c r="O118" s="70"/>
      <c r="P118" s="70"/>
      <c r="Q118" s="70"/>
      <c r="R118" s="70"/>
      <c r="S118" s="447"/>
      <c r="T118" s="70" t="s">
        <v>193</v>
      </c>
      <c r="U118" s="447" t="s">
        <v>824</v>
      </c>
      <c r="V118" s="69" t="str">
        <f t="shared" si="4"/>
        <v>3922_Piston_Eind_Aanzuig</v>
      </c>
      <c r="W118" s="433" t="s">
        <v>359</v>
      </c>
      <c r="X118" s="66">
        <v>3922</v>
      </c>
      <c r="Y118" s="70" t="s">
        <v>272</v>
      </c>
      <c r="Z118" s="70" t="s">
        <v>825</v>
      </c>
      <c r="AA118" s="70">
        <v>1</v>
      </c>
      <c r="AB118" s="67" t="s">
        <v>198</v>
      </c>
      <c r="AC118" s="69" t="s">
        <v>141</v>
      </c>
      <c r="AD118" s="66" t="s">
        <v>199</v>
      </c>
      <c r="AE118" s="101" t="s">
        <v>420</v>
      </c>
      <c r="AF118" s="423">
        <v>0</v>
      </c>
      <c r="AG118" s="423">
        <v>359.9</v>
      </c>
      <c r="AH118" s="423">
        <v>0</v>
      </c>
      <c r="AI118" s="103"/>
      <c r="AJ118" s="266"/>
      <c r="AK118" s="104"/>
    </row>
    <row r="119" spans="1:37" s="319" customFormat="1" ht="12.75" customHeight="1">
      <c r="A119" s="220"/>
      <c r="B119" s="69" t="s">
        <v>46</v>
      </c>
      <c r="C119" s="66">
        <v>401</v>
      </c>
      <c r="D119" s="69" t="b">
        <v>1</v>
      </c>
      <c r="E119" s="70"/>
      <c r="F119" s="98" t="s">
        <v>826</v>
      </c>
      <c r="G119" s="98" t="s">
        <v>827</v>
      </c>
      <c r="H119" s="447" t="s">
        <v>828</v>
      </c>
      <c r="I119" s="70" t="s">
        <v>829</v>
      </c>
      <c r="J119" s="70" t="s">
        <v>830</v>
      </c>
      <c r="K119" s="70" t="s">
        <v>209</v>
      </c>
      <c r="L119" s="57" t="s">
        <v>192</v>
      </c>
      <c r="M119" s="70"/>
      <c r="N119" s="70"/>
      <c r="O119" s="70"/>
      <c r="P119" s="70"/>
      <c r="Q119" s="70"/>
      <c r="R119" s="70"/>
      <c r="S119" s="447"/>
      <c r="T119" s="70" t="s">
        <v>193</v>
      </c>
      <c r="U119" s="447" t="s">
        <v>831</v>
      </c>
      <c r="V119" s="69" t="str">
        <f t="shared" si="4"/>
        <v>3922_Piston_Start_Dosing</v>
      </c>
      <c r="W119" s="433" t="s">
        <v>359</v>
      </c>
      <c r="X119" s="66">
        <v>3922</v>
      </c>
      <c r="Y119" s="70" t="s">
        <v>272</v>
      </c>
      <c r="Z119" s="70" t="s">
        <v>825</v>
      </c>
      <c r="AA119" s="70">
        <v>2</v>
      </c>
      <c r="AB119" s="67" t="s">
        <v>198</v>
      </c>
      <c r="AC119" s="69" t="s">
        <v>141</v>
      </c>
      <c r="AD119" s="66" t="s">
        <v>199</v>
      </c>
      <c r="AE119" s="101" t="s">
        <v>420</v>
      </c>
      <c r="AF119" s="423">
        <v>140</v>
      </c>
      <c r="AG119" s="423">
        <v>359.9</v>
      </c>
      <c r="AH119" s="423">
        <v>140</v>
      </c>
      <c r="AI119" s="103"/>
      <c r="AJ119" s="266"/>
      <c r="AK119" s="104"/>
    </row>
    <row r="120" spans="1:37" s="319" customFormat="1" ht="12.75" customHeight="1">
      <c r="A120" s="220"/>
      <c r="B120" s="69" t="s">
        <v>46</v>
      </c>
      <c r="C120" s="66">
        <v>402</v>
      </c>
      <c r="D120" s="69" t="b">
        <v>1</v>
      </c>
      <c r="E120" s="70"/>
      <c r="F120" s="98" t="s">
        <v>832</v>
      </c>
      <c r="G120" s="98" t="s">
        <v>833</v>
      </c>
      <c r="H120" s="447" t="s">
        <v>834</v>
      </c>
      <c r="I120" s="70" t="s">
        <v>835</v>
      </c>
      <c r="J120" s="70" t="s">
        <v>836</v>
      </c>
      <c r="K120" s="70" t="s">
        <v>209</v>
      </c>
      <c r="L120" s="57" t="s">
        <v>192</v>
      </c>
      <c r="M120" s="70"/>
      <c r="N120" s="70"/>
      <c r="O120" s="70"/>
      <c r="P120" s="70"/>
      <c r="Q120" s="70"/>
      <c r="R120" s="70"/>
      <c r="S120" s="447"/>
      <c r="T120" s="70" t="s">
        <v>193</v>
      </c>
      <c r="U120" s="447" t="s">
        <v>837</v>
      </c>
      <c r="V120" s="69" t="str">
        <f t="shared" si="4"/>
        <v>3922_Piston_Stop_ramp</v>
      </c>
      <c r="W120" s="433" t="s">
        <v>359</v>
      </c>
      <c r="X120" s="66">
        <v>3922</v>
      </c>
      <c r="Y120" s="70" t="s">
        <v>272</v>
      </c>
      <c r="Z120" s="70" t="s">
        <v>825</v>
      </c>
      <c r="AA120" s="70">
        <v>3</v>
      </c>
      <c r="AB120" s="67" t="s">
        <v>198</v>
      </c>
      <c r="AC120" s="69" t="s">
        <v>141</v>
      </c>
      <c r="AD120" s="66" t="s">
        <v>199</v>
      </c>
      <c r="AE120" s="101" t="s">
        <v>420</v>
      </c>
      <c r="AF120" s="423">
        <v>140</v>
      </c>
      <c r="AG120" s="423">
        <v>359.9</v>
      </c>
      <c r="AH120" s="423">
        <v>140</v>
      </c>
      <c r="AI120" s="103"/>
      <c r="AJ120" s="266"/>
      <c r="AK120" s="104"/>
    </row>
    <row r="121" spans="1:37" s="319" customFormat="1" ht="12.75" customHeight="1">
      <c r="A121" s="220"/>
      <c r="B121" s="69" t="s">
        <v>46</v>
      </c>
      <c r="C121" s="66">
        <v>403</v>
      </c>
      <c r="D121" s="69" t="b">
        <v>1</v>
      </c>
      <c r="E121" s="70"/>
      <c r="F121" s="98" t="s">
        <v>838</v>
      </c>
      <c r="G121" s="98" t="s">
        <v>839</v>
      </c>
      <c r="H121" s="447" t="s">
        <v>840</v>
      </c>
      <c r="I121" s="70" t="s">
        <v>841</v>
      </c>
      <c r="J121" s="70" t="s">
        <v>842</v>
      </c>
      <c r="K121" s="70" t="s">
        <v>209</v>
      </c>
      <c r="L121" s="57" t="s">
        <v>192</v>
      </c>
      <c r="M121" s="70"/>
      <c r="N121" s="70"/>
      <c r="O121" s="70"/>
      <c r="P121" s="70"/>
      <c r="Q121" s="70"/>
      <c r="R121" s="70"/>
      <c r="S121" s="447"/>
      <c r="T121" s="70" t="s">
        <v>193</v>
      </c>
      <c r="U121" s="447" t="s">
        <v>843</v>
      </c>
      <c r="V121" s="69" t="str">
        <f t="shared" si="4"/>
        <v>3922_Piston_Start_ramp</v>
      </c>
      <c r="W121" s="433" t="s">
        <v>359</v>
      </c>
      <c r="X121" s="66">
        <v>3922</v>
      </c>
      <c r="Y121" s="70" t="s">
        <v>272</v>
      </c>
      <c r="Z121" s="70" t="s">
        <v>825</v>
      </c>
      <c r="AA121" s="70">
        <v>4</v>
      </c>
      <c r="AB121" s="67" t="s">
        <v>198</v>
      </c>
      <c r="AC121" s="69" t="s">
        <v>141</v>
      </c>
      <c r="AD121" s="66" t="s">
        <v>199</v>
      </c>
      <c r="AE121" s="101" t="s">
        <v>420</v>
      </c>
      <c r="AF121" s="423">
        <v>140</v>
      </c>
      <c r="AG121" s="423">
        <v>359.9</v>
      </c>
      <c r="AH121" s="423">
        <v>140</v>
      </c>
      <c r="AI121" s="103"/>
      <c r="AJ121" s="266"/>
      <c r="AK121" s="104"/>
    </row>
    <row r="122" spans="1:37" s="319" customFormat="1" ht="12.75" customHeight="1">
      <c r="A122" s="220"/>
      <c r="B122" s="69" t="s">
        <v>46</v>
      </c>
      <c r="C122" s="66">
        <v>404</v>
      </c>
      <c r="D122" s="69" t="b">
        <v>1</v>
      </c>
      <c r="E122" s="70"/>
      <c r="F122" s="98" t="s">
        <v>844</v>
      </c>
      <c r="G122" s="98" t="s">
        <v>845</v>
      </c>
      <c r="H122" s="447" t="s">
        <v>846</v>
      </c>
      <c r="I122" s="70" t="s">
        <v>847</v>
      </c>
      <c r="J122" s="70" t="s">
        <v>848</v>
      </c>
      <c r="K122" s="70" t="s">
        <v>209</v>
      </c>
      <c r="L122" s="57" t="s">
        <v>192</v>
      </c>
      <c r="M122" s="70"/>
      <c r="N122" s="70"/>
      <c r="O122" s="70"/>
      <c r="P122" s="70"/>
      <c r="Q122" s="70"/>
      <c r="R122" s="70"/>
      <c r="S122" s="447"/>
      <c r="T122" s="70" t="s">
        <v>193</v>
      </c>
      <c r="U122" s="447" t="s">
        <v>849</v>
      </c>
      <c r="V122" s="69" t="str">
        <f t="shared" si="4"/>
        <v>3922_Piston_Eind_Dosing</v>
      </c>
      <c r="W122" s="433" t="s">
        <v>359</v>
      </c>
      <c r="X122" s="66">
        <v>3922</v>
      </c>
      <c r="Y122" s="70" t="s">
        <v>272</v>
      </c>
      <c r="Z122" s="70" t="s">
        <v>825</v>
      </c>
      <c r="AA122" s="70">
        <v>5</v>
      </c>
      <c r="AB122" s="67" t="s">
        <v>198</v>
      </c>
      <c r="AC122" s="69" t="s">
        <v>141</v>
      </c>
      <c r="AD122" s="66" t="s">
        <v>199</v>
      </c>
      <c r="AE122" s="101" t="s">
        <v>420</v>
      </c>
      <c r="AF122" s="423">
        <v>140</v>
      </c>
      <c r="AG122" s="423">
        <v>359.9</v>
      </c>
      <c r="AH122" s="423">
        <v>140</v>
      </c>
      <c r="AI122" s="103"/>
      <c r="AJ122" s="266"/>
      <c r="AK122" s="104"/>
    </row>
    <row r="123" spans="1:37" s="319" customFormat="1" ht="12.75" customHeight="1">
      <c r="A123" s="220"/>
      <c r="B123" s="69" t="s">
        <v>46</v>
      </c>
      <c r="C123" s="66">
        <v>405</v>
      </c>
      <c r="D123" s="69" t="b">
        <v>1</v>
      </c>
      <c r="E123" s="70"/>
      <c r="F123" s="98" t="s">
        <v>850</v>
      </c>
      <c r="G123" s="98" t="s">
        <v>851</v>
      </c>
      <c r="H123" s="447" t="s">
        <v>852</v>
      </c>
      <c r="I123" s="70" t="s">
        <v>853</v>
      </c>
      <c r="J123" s="70" t="s">
        <v>854</v>
      </c>
      <c r="K123" s="70" t="s">
        <v>209</v>
      </c>
      <c r="L123" s="57" t="s">
        <v>192</v>
      </c>
      <c r="M123" s="70"/>
      <c r="N123" s="70"/>
      <c r="O123" s="70"/>
      <c r="P123" s="70"/>
      <c r="Q123" s="70"/>
      <c r="R123" s="70"/>
      <c r="S123" s="447"/>
      <c r="T123" s="70" t="s">
        <v>193</v>
      </c>
      <c r="U123" s="447" t="s">
        <v>855</v>
      </c>
      <c r="V123" s="69" t="str">
        <f t="shared" si="4"/>
        <v>3922_Piston_Eind_Retour</v>
      </c>
      <c r="W123" s="433" t="s">
        <v>359</v>
      </c>
      <c r="X123" s="66">
        <v>3922</v>
      </c>
      <c r="Y123" s="70" t="s">
        <v>272</v>
      </c>
      <c r="Z123" s="70" t="s">
        <v>825</v>
      </c>
      <c r="AA123" s="70">
        <v>6</v>
      </c>
      <c r="AB123" s="67" t="s">
        <v>198</v>
      </c>
      <c r="AC123" s="69" t="s">
        <v>141</v>
      </c>
      <c r="AD123" s="66" t="s">
        <v>199</v>
      </c>
      <c r="AE123" s="101" t="s">
        <v>420</v>
      </c>
      <c r="AF123" s="423">
        <v>140</v>
      </c>
      <c r="AG123" s="423">
        <v>359.9</v>
      </c>
      <c r="AH123" s="423">
        <v>140</v>
      </c>
      <c r="AI123" s="103"/>
      <c r="AJ123" s="266"/>
      <c r="AK123" s="104"/>
    </row>
    <row r="124" spans="1:37" s="319" customFormat="1" ht="12.75" customHeight="1">
      <c r="A124" s="220"/>
      <c r="B124" s="69" t="s">
        <v>46</v>
      </c>
      <c r="C124" s="66">
        <v>406</v>
      </c>
      <c r="D124" s="69" t="b">
        <v>1</v>
      </c>
      <c r="E124" s="70"/>
      <c r="F124" s="98" t="s">
        <v>856</v>
      </c>
      <c r="G124" s="98" t="s">
        <v>857</v>
      </c>
      <c r="H124" s="447" t="s">
        <v>858</v>
      </c>
      <c r="I124" s="70" t="s">
        <v>859</v>
      </c>
      <c r="J124" s="70" t="s">
        <v>860</v>
      </c>
      <c r="K124" s="70" t="s">
        <v>209</v>
      </c>
      <c r="L124" s="57" t="s">
        <v>192</v>
      </c>
      <c r="M124" s="70"/>
      <c r="N124" s="70"/>
      <c r="O124" s="70"/>
      <c r="P124" s="70"/>
      <c r="Q124" s="70"/>
      <c r="R124" s="70"/>
      <c r="S124" s="447"/>
      <c r="T124" s="70" t="s">
        <v>193</v>
      </c>
      <c r="U124" s="447" t="s">
        <v>861</v>
      </c>
      <c r="V124" s="69" t="str">
        <f t="shared" si="4"/>
        <v>3922_Piston_Drip_Retract</v>
      </c>
      <c r="W124" s="433" t="s">
        <v>359</v>
      </c>
      <c r="X124" s="66">
        <v>3922</v>
      </c>
      <c r="Y124" s="70" t="s">
        <v>272</v>
      </c>
      <c r="Z124" s="70" t="s">
        <v>825</v>
      </c>
      <c r="AA124" s="70">
        <v>7</v>
      </c>
      <c r="AB124" s="67" t="s">
        <v>198</v>
      </c>
      <c r="AC124" s="69" t="s">
        <v>141</v>
      </c>
      <c r="AD124" s="66" t="s">
        <v>199</v>
      </c>
      <c r="AE124" s="101" t="s">
        <v>862</v>
      </c>
      <c r="AF124" s="424">
        <v>0</v>
      </c>
      <c r="AG124" s="424">
        <v>5</v>
      </c>
      <c r="AH124" s="424">
        <v>0</v>
      </c>
      <c r="AI124" s="103"/>
      <c r="AJ124" s="266"/>
      <c r="AK124" s="104"/>
    </row>
    <row r="125" spans="1:37" s="319" customFormat="1" ht="12.75" customHeight="1">
      <c r="A125" s="220"/>
      <c r="B125" s="69" t="s">
        <v>46</v>
      </c>
      <c r="C125" s="66">
        <v>407</v>
      </c>
      <c r="D125" s="69" t="b">
        <v>1</v>
      </c>
      <c r="E125" s="70"/>
      <c r="F125" s="98" t="s">
        <v>863</v>
      </c>
      <c r="G125" s="98" t="s">
        <v>864</v>
      </c>
      <c r="H125" s="447" t="s">
        <v>865</v>
      </c>
      <c r="I125" s="70" t="s">
        <v>866</v>
      </c>
      <c r="J125" s="70" t="s">
        <v>867</v>
      </c>
      <c r="K125" s="70" t="s">
        <v>209</v>
      </c>
      <c r="L125" s="57" t="s">
        <v>192</v>
      </c>
      <c r="M125" s="70"/>
      <c r="N125" s="70"/>
      <c r="O125" s="70"/>
      <c r="P125" s="70"/>
      <c r="Q125" s="70"/>
      <c r="R125" s="70"/>
      <c r="S125" s="447"/>
      <c r="T125" s="70" t="s">
        <v>193</v>
      </c>
      <c r="U125" s="447" t="s">
        <v>868</v>
      </c>
      <c r="V125" s="69" t="str">
        <f t="shared" si="4"/>
        <v>3922_Piston_Start_zuig</v>
      </c>
      <c r="W125" s="433" t="s">
        <v>359</v>
      </c>
      <c r="X125" s="66">
        <v>3922</v>
      </c>
      <c r="Y125" s="70" t="s">
        <v>272</v>
      </c>
      <c r="Z125" s="70" t="s">
        <v>825</v>
      </c>
      <c r="AA125" s="70">
        <v>8</v>
      </c>
      <c r="AB125" s="67" t="s">
        <v>198</v>
      </c>
      <c r="AC125" s="69" t="s">
        <v>141</v>
      </c>
      <c r="AD125" s="66" t="s">
        <v>199</v>
      </c>
      <c r="AE125" s="101" t="s">
        <v>420</v>
      </c>
      <c r="AF125" s="423">
        <v>0</v>
      </c>
      <c r="AG125" s="423">
        <v>359.9</v>
      </c>
      <c r="AH125" s="423">
        <v>0</v>
      </c>
      <c r="AI125" s="103"/>
      <c r="AJ125" s="266"/>
      <c r="AK125" s="104"/>
    </row>
    <row r="126" spans="1:37" s="319" customFormat="1" ht="75">
      <c r="A126" s="220"/>
      <c r="B126" s="69" t="s">
        <v>46</v>
      </c>
      <c r="C126" s="66">
        <v>408</v>
      </c>
      <c r="D126" s="69" t="b">
        <v>1</v>
      </c>
      <c r="E126" s="70"/>
      <c r="F126" s="98" t="s">
        <v>869</v>
      </c>
      <c r="G126" s="98" t="s">
        <v>870</v>
      </c>
      <c r="H126" s="447" t="s">
        <v>871</v>
      </c>
      <c r="I126" s="70" t="s">
        <v>872</v>
      </c>
      <c r="J126" s="70" t="s">
        <v>873</v>
      </c>
      <c r="K126" s="70" t="s">
        <v>166</v>
      </c>
      <c r="L126" s="57" t="s">
        <v>192</v>
      </c>
      <c r="M126" s="70"/>
      <c r="N126" s="70"/>
      <c r="O126" s="70"/>
      <c r="P126" s="70"/>
      <c r="Q126" s="70"/>
      <c r="R126" s="70"/>
      <c r="S126" s="447"/>
      <c r="T126" s="70" t="s">
        <v>193</v>
      </c>
      <c r="U126" s="447" t="s">
        <v>874</v>
      </c>
      <c r="V126" s="69" t="str">
        <f t="shared" si="4"/>
        <v>3922_PumpSize</v>
      </c>
      <c r="W126" s="433" t="s">
        <v>271</v>
      </c>
      <c r="X126" s="66">
        <v>3922</v>
      </c>
      <c r="Y126" s="70" t="s">
        <v>272</v>
      </c>
      <c r="Z126" s="70" t="s">
        <v>825</v>
      </c>
      <c r="AA126" s="70">
        <v>9</v>
      </c>
      <c r="AB126" s="67" t="s">
        <v>198</v>
      </c>
      <c r="AC126" s="69" t="s">
        <v>141</v>
      </c>
      <c r="AD126" s="66" t="s">
        <v>142</v>
      </c>
      <c r="AE126" s="101"/>
      <c r="AF126" s="461">
        <v>0</v>
      </c>
      <c r="AG126" s="461">
        <v>5</v>
      </c>
      <c r="AH126" s="461">
        <v>0</v>
      </c>
      <c r="AI126" s="103"/>
      <c r="AJ126" s="458" t="s">
        <v>875</v>
      </c>
      <c r="AK126" s="104"/>
    </row>
    <row r="127" spans="1:37" s="319" customFormat="1" ht="12.75" customHeight="1">
      <c r="A127" s="220"/>
      <c r="B127" s="69" t="s">
        <v>46</v>
      </c>
      <c r="C127" s="66">
        <v>409</v>
      </c>
      <c r="D127" s="69" t="b">
        <v>1</v>
      </c>
      <c r="E127" s="70"/>
      <c r="F127" s="98" t="s">
        <v>876</v>
      </c>
      <c r="G127" s="98" t="s">
        <v>877</v>
      </c>
      <c r="H127" s="447" t="s">
        <v>878</v>
      </c>
      <c r="I127" s="70" t="s">
        <v>879</v>
      </c>
      <c r="J127" s="70" t="s">
        <v>880</v>
      </c>
      <c r="K127" s="70" t="s">
        <v>209</v>
      </c>
      <c r="L127" s="57" t="s">
        <v>192</v>
      </c>
      <c r="M127" s="70"/>
      <c r="N127" s="70"/>
      <c r="O127" s="70"/>
      <c r="P127" s="70"/>
      <c r="Q127" s="70"/>
      <c r="R127" s="70"/>
      <c r="S127" s="447"/>
      <c r="T127" s="70" t="s">
        <v>193</v>
      </c>
      <c r="U127" s="447" t="s">
        <v>881</v>
      </c>
      <c r="V127" s="69" t="str">
        <f t="shared" si="4"/>
        <v>3922_Dos_Correctfact</v>
      </c>
      <c r="W127" s="433" t="s">
        <v>271</v>
      </c>
      <c r="X127" s="66">
        <v>3922</v>
      </c>
      <c r="Y127" s="70" t="s">
        <v>272</v>
      </c>
      <c r="Z127" s="70" t="s">
        <v>825</v>
      </c>
      <c r="AA127" s="70">
        <v>10</v>
      </c>
      <c r="AB127" s="67" t="s">
        <v>198</v>
      </c>
      <c r="AC127" s="69" t="s">
        <v>141</v>
      </c>
      <c r="AD127" s="66" t="s">
        <v>142</v>
      </c>
      <c r="AE127" s="101" t="s">
        <v>215</v>
      </c>
      <c r="AF127" s="471">
        <v>-9.9990000000000006</v>
      </c>
      <c r="AG127" s="471">
        <v>9.9990000000000006</v>
      </c>
      <c r="AH127" s="471">
        <v>-9.9990000000000006</v>
      </c>
      <c r="AI127" s="103"/>
      <c r="AJ127" s="266"/>
      <c r="AK127" s="104"/>
    </row>
    <row r="128" spans="1:37" s="319" customFormat="1" ht="12.75" customHeight="1">
      <c r="A128" s="220"/>
      <c r="B128" s="69" t="s">
        <v>46</v>
      </c>
      <c r="C128" s="66">
        <v>410</v>
      </c>
      <c r="D128" s="69" t="b">
        <v>1</v>
      </c>
      <c r="E128" s="70"/>
      <c r="F128" s="98" t="s">
        <v>882</v>
      </c>
      <c r="G128" s="98" t="s">
        <v>883</v>
      </c>
      <c r="H128" s="447" t="s">
        <v>884</v>
      </c>
      <c r="I128" s="70" t="s">
        <v>885</v>
      </c>
      <c r="J128" s="70" t="s">
        <v>886</v>
      </c>
      <c r="K128" s="70" t="s">
        <v>209</v>
      </c>
      <c r="L128" s="57" t="s">
        <v>192</v>
      </c>
      <c r="M128" s="70"/>
      <c r="N128" s="70"/>
      <c r="O128" s="70"/>
      <c r="P128" s="70"/>
      <c r="Q128" s="70"/>
      <c r="R128" s="70"/>
      <c r="S128" s="447"/>
      <c r="T128" s="70" t="s">
        <v>193</v>
      </c>
      <c r="U128" s="447" t="s">
        <v>887</v>
      </c>
      <c r="V128" s="69" t="str">
        <f t="shared" si="4"/>
        <v>3922_Dos_Correctfact_Max</v>
      </c>
      <c r="W128" s="433" t="s">
        <v>271</v>
      </c>
      <c r="X128" s="66">
        <v>3922</v>
      </c>
      <c r="Y128" s="70" t="s">
        <v>196</v>
      </c>
      <c r="Z128" s="70" t="s">
        <v>825</v>
      </c>
      <c r="AA128" s="70">
        <v>11</v>
      </c>
      <c r="AB128" s="67" t="s">
        <v>198</v>
      </c>
      <c r="AC128" s="69" t="s">
        <v>141</v>
      </c>
      <c r="AD128" s="66" t="s">
        <v>199</v>
      </c>
      <c r="AE128" s="101" t="s">
        <v>215</v>
      </c>
      <c r="AF128" s="471">
        <v>1</v>
      </c>
      <c r="AG128" s="471">
        <v>9.9990000000000006</v>
      </c>
      <c r="AH128" s="471">
        <v>1</v>
      </c>
      <c r="AI128" s="103"/>
      <c r="AJ128" s="266"/>
      <c r="AK128" s="104"/>
    </row>
    <row r="129" spans="1:37" s="71" customFormat="1" ht="12.75" customHeight="1">
      <c r="A129" s="220"/>
      <c r="B129" s="69" t="s">
        <v>15</v>
      </c>
      <c r="C129" s="66">
        <v>411</v>
      </c>
      <c r="D129" s="70"/>
      <c r="E129" s="70"/>
      <c r="F129" s="397" t="s">
        <v>201</v>
      </c>
      <c r="G129" s="397" t="s">
        <v>201</v>
      </c>
      <c r="H129" s="69" t="s">
        <v>201</v>
      </c>
      <c r="I129" s="70" t="s">
        <v>888</v>
      </c>
      <c r="J129" s="70" t="s">
        <v>889</v>
      </c>
      <c r="K129" s="70"/>
      <c r="L129" s="57" t="s">
        <v>192</v>
      </c>
      <c r="M129" s="70"/>
      <c r="N129" s="70"/>
      <c r="O129" s="70"/>
      <c r="P129" s="70"/>
      <c r="Q129" s="70"/>
      <c r="R129" s="70"/>
      <c r="S129" s="70"/>
      <c r="T129" s="70"/>
      <c r="U129" s="70"/>
      <c r="V129" s="69"/>
      <c r="W129" s="100"/>
      <c r="X129" s="70"/>
      <c r="Y129" s="70"/>
      <c r="Z129" s="70"/>
      <c r="AA129" s="70"/>
      <c r="AB129" s="70"/>
      <c r="AC129" s="70"/>
      <c r="AD129" s="69"/>
      <c r="AE129" s="101"/>
      <c r="AF129" s="102"/>
      <c r="AG129" s="102"/>
      <c r="AH129" s="102"/>
      <c r="AI129" s="103"/>
      <c r="AJ129" s="266"/>
      <c r="AK129" s="104"/>
    </row>
    <row r="130" spans="1:37" s="319" customFormat="1" ht="12.75" customHeight="1">
      <c r="A130" s="220"/>
      <c r="B130" s="69" t="s">
        <v>68</v>
      </c>
      <c r="C130" s="66">
        <v>500</v>
      </c>
      <c r="D130" s="69" t="b">
        <v>1</v>
      </c>
      <c r="E130" s="70"/>
      <c r="F130" s="98" t="s">
        <v>890</v>
      </c>
      <c r="G130" s="98" t="s">
        <v>890</v>
      </c>
      <c r="H130" s="70" t="s">
        <v>891</v>
      </c>
      <c r="I130" s="70" t="s">
        <v>892</v>
      </c>
      <c r="J130" s="70" t="s">
        <v>893</v>
      </c>
      <c r="K130" s="70" t="s">
        <v>321</v>
      </c>
      <c r="L130" s="57" t="s">
        <v>192</v>
      </c>
      <c r="M130" s="70"/>
      <c r="N130" s="70"/>
      <c r="O130" s="70"/>
      <c r="P130" s="70"/>
      <c r="Q130" s="70"/>
      <c r="R130" s="70"/>
      <c r="S130" s="447"/>
      <c r="T130" s="70" t="s">
        <v>193</v>
      </c>
      <c r="U130" s="447" t="s">
        <v>894</v>
      </c>
      <c r="V130" s="69" t="str">
        <f>_xlfn.CONCAT($AH$14,"_",U130)</f>
        <v>3922_IPC_YN</v>
      </c>
      <c r="W130" s="433" t="s">
        <v>271</v>
      </c>
      <c r="X130" s="66">
        <v>3922</v>
      </c>
      <c r="Y130" s="70" t="s">
        <v>272</v>
      </c>
      <c r="Z130" s="70" t="s">
        <v>890</v>
      </c>
      <c r="AA130" s="70">
        <v>1</v>
      </c>
      <c r="AB130" s="67" t="s">
        <v>198</v>
      </c>
      <c r="AC130" s="69" t="s">
        <v>141</v>
      </c>
      <c r="AD130" s="66" t="s">
        <v>199</v>
      </c>
      <c r="AE130" s="101"/>
      <c r="AF130" s="102">
        <v>0</v>
      </c>
      <c r="AG130" s="102">
        <v>1</v>
      </c>
      <c r="AH130" s="102">
        <v>0</v>
      </c>
      <c r="AI130" s="103"/>
      <c r="AJ130" s="266"/>
      <c r="AK130" s="104"/>
    </row>
    <row r="131" spans="1:37" s="386" customFormat="1" ht="12.75" customHeight="1">
      <c r="B131" s="69" t="s">
        <v>55</v>
      </c>
      <c r="C131" s="69">
        <v>501</v>
      </c>
      <c r="D131" s="69" t="b">
        <v>1</v>
      </c>
      <c r="E131" s="69"/>
      <c r="F131" s="69" t="s">
        <v>895</v>
      </c>
      <c r="G131" s="69" t="s">
        <v>896</v>
      </c>
      <c r="H131" s="69" t="s">
        <v>897</v>
      </c>
      <c r="I131" s="69" t="s">
        <v>898</v>
      </c>
      <c r="J131" s="69" t="s">
        <v>899</v>
      </c>
      <c r="K131" s="69" t="s">
        <v>321</v>
      </c>
      <c r="L131" s="69" t="s">
        <v>192</v>
      </c>
      <c r="M131" s="69"/>
      <c r="N131" s="69"/>
      <c r="O131" s="69"/>
      <c r="P131" s="69"/>
      <c r="Q131" s="69"/>
      <c r="R131" s="69"/>
      <c r="S131" s="69"/>
      <c r="T131" s="69"/>
      <c r="U131" s="69" t="s">
        <v>900</v>
      </c>
      <c r="V131" s="69" t="str">
        <f>_xlfn.CONCAT($AH$14,"_",U131)</f>
        <v>3922_AutoDoseervolume_YN</v>
      </c>
      <c r="W131" s="69" t="s">
        <v>234</v>
      </c>
      <c r="X131" s="69">
        <v>3922</v>
      </c>
      <c r="Y131" s="69" t="s">
        <v>196</v>
      </c>
      <c r="Z131" s="69" t="s">
        <v>890</v>
      </c>
      <c r="AA131" s="69">
        <v>2</v>
      </c>
      <c r="AB131" s="69" t="s">
        <v>198</v>
      </c>
      <c r="AC131" s="69" t="s">
        <v>141</v>
      </c>
      <c r="AD131" s="69" t="s">
        <v>142</v>
      </c>
      <c r="AE131" s="69"/>
      <c r="AF131" s="69">
        <v>0</v>
      </c>
      <c r="AG131" s="69">
        <v>1</v>
      </c>
      <c r="AH131" s="69">
        <v>0</v>
      </c>
      <c r="AI131" s="98"/>
      <c r="AJ131" s="98"/>
      <c r="AK131" s="98"/>
    </row>
    <row r="132" spans="1:37" s="319" customFormat="1" ht="12.75" customHeight="1">
      <c r="A132" s="220"/>
      <c r="B132" s="69" t="s">
        <v>46</v>
      </c>
      <c r="C132" s="66">
        <v>502</v>
      </c>
      <c r="D132" s="69" t="b">
        <v>1</v>
      </c>
      <c r="E132" s="70"/>
      <c r="F132" s="98" t="s">
        <v>901</v>
      </c>
      <c r="G132" s="98" t="s">
        <v>902</v>
      </c>
      <c r="H132" s="70" t="s">
        <v>903</v>
      </c>
      <c r="I132" s="70" t="s">
        <v>904</v>
      </c>
      <c r="J132" s="70" t="s">
        <v>905</v>
      </c>
      <c r="K132" s="70" t="s">
        <v>321</v>
      </c>
      <c r="L132" s="57" t="s">
        <v>192</v>
      </c>
      <c r="M132" s="70"/>
      <c r="N132" s="70"/>
      <c r="O132" s="70"/>
      <c r="P132" s="70"/>
      <c r="Q132" s="70"/>
      <c r="R132" s="70"/>
      <c r="S132" s="447"/>
      <c r="T132" s="70"/>
      <c r="U132" s="447" t="s">
        <v>906</v>
      </c>
      <c r="V132" s="69" t="str">
        <f>_xlfn.CONCAT($AH$14,"_",U132)</f>
        <v>3922_Ionisatie_YN</v>
      </c>
      <c r="W132" s="433" t="s">
        <v>234</v>
      </c>
      <c r="X132" s="66">
        <v>3922</v>
      </c>
      <c r="Y132" s="70" t="s">
        <v>196</v>
      </c>
      <c r="Z132" s="70" t="s">
        <v>890</v>
      </c>
      <c r="AA132" s="70">
        <v>3</v>
      </c>
      <c r="AB132" s="67" t="s">
        <v>198</v>
      </c>
      <c r="AC132" s="69" t="s">
        <v>141</v>
      </c>
      <c r="AD132" s="66" t="s">
        <v>392</v>
      </c>
      <c r="AE132" s="101"/>
      <c r="AF132" s="102">
        <v>0</v>
      </c>
      <c r="AG132" s="102">
        <v>1</v>
      </c>
      <c r="AH132" s="102">
        <v>0</v>
      </c>
      <c r="AI132" s="103"/>
      <c r="AJ132" s="266"/>
      <c r="AK132" s="104"/>
    </row>
    <row r="133" spans="1:37" s="319" customFormat="1" ht="12.75" customHeight="1">
      <c r="A133" s="220"/>
      <c r="B133" s="69" t="s">
        <v>46</v>
      </c>
      <c r="C133" s="66">
        <v>503</v>
      </c>
      <c r="D133" s="69" t="b">
        <v>1</v>
      </c>
      <c r="E133" s="70"/>
      <c r="F133" s="98" t="s">
        <v>907</v>
      </c>
      <c r="G133" s="98" t="s">
        <v>908</v>
      </c>
      <c r="H133" s="70" t="s">
        <v>909</v>
      </c>
      <c r="I133" s="70" t="s">
        <v>910</v>
      </c>
      <c r="J133" s="70" t="s">
        <v>911</v>
      </c>
      <c r="K133" s="70" t="s">
        <v>321</v>
      </c>
      <c r="L133" s="57" t="s">
        <v>192</v>
      </c>
      <c r="M133" s="70"/>
      <c r="N133" s="70"/>
      <c r="O133" s="70"/>
      <c r="P133" s="70"/>
      <c r="Q133" s="70"/>
      <c r="R133" s="70"/>
      <c r="S133" s="447"/>
      <c r="T133" s="70" t="s">
        <v>193</v>
      </c>
      <c r="U133" s="447" t="s">
        <v>912</v>
      </c>
      <c r="V133" s="69" t="str">
        <f>_xlfn.CONCAT($AH$14,"_",U133)</f>
        <v>3922_IPC_Reject_YN</v>
      </c>
      <c r="W133" s="433" t="s">
        <v>359</v>
      </c>
      <c r="X133" s="66">
        <v>3922</v>
      </c>
      <c r="Y133" s="70" t="s">
        <v>272</v>
      </c>
      <c r="Z133" s="70" t="s">
        <v>890</v>
      </c>
      <c r="AA133" s="70">
        <v>4</v>
      </c>
      <c r="AB133" s="67" t="s">
        <v>198</v>
      </c>
      <c r="AC133" s="69" t="s">
        <v>141</v>
      </c>
      <c r="AD133" s="66" t="s">
        <v>199</v>
      </c>
      <c r="AE133" s="101"/>
      <c r="AF133" s="102">
        <v>0</v>
      </c>
      <c r="AG133" s="102">
        <v>1</v>
      </c>
      <c r="AH133" s="102">
        <v>0</v>
      </c>
      <c r="AI133" s="103"/>
      <c r="AJ133" s="266"/>
      <c r="AK133" s="104"/>
    </row>
    <row r="134" spans="1:37" s="71" customFormat="1" ht="12.75" customHeight="1">
      <c r="A134" s="220"/>
      <c r="B134" s="69" t="s">
        <v>15</v>
      </c>
      <c r="C134" s="66">
        <v>504</v>
      </c>
      <c r="D134" s="70"/>
      <c r="E134" s="70"/>
      <c r="F134" s="98" t="s">
        <v>201</v>
      </c>
      <c r="G134" s="98" t="s">
        <v>201</v>
      </c>
      <c r="H134" s="70" t="s">
        <v>201</v>
      </c>
      <c r="I134" s="70" t="s">
        <v>913</v>
      </c>
      <c r="J134" s="70" t="s">
        <v>914</v>
      </c>
      <c r="K134" s="70" t="s">
        <v>321</v>
      </c>
      <c r="L134" s="57" t="s">
        <v>192</v>
      </c>
      <c r="M134" s="70"/>
      <c r="N134" s="70"/>
      <c r="O134" s="70"/>
      <c r="P134" s="70"/>
      <c r="Q134" s="70"/>
      <c r="R134" s="70"/>
      <c r="S134" s="70"/>
      <c r="T134" s="70"/>
      <c r="U134" s="70"/>
      <c r="V134" s="69"/>
      <c r="W134" s="100"/>
      <c r="X134" s="70"/>
      <c r="Y134" s="70"/>
      <c r="Z134" s="70"/>
      <c r="AA134" s="70"/>
      <c r="AB134" s="70"/>
      <c r="AC134" s="70"/>
      <c r="AD134" s="69"/>
      <c r="AE134" s="101"/>
      <c r="AF134" s="102"/>
      <c r="AG134" s="102"/>
      <c r="AH134" s="102"/>
      <c r="AI134" s="103"/>
      <c r="AJ134" s="266"/>
      <c r="AK134" s="104"/>
    </row>
    <row r="135" spans="1:37" s="71" customFormat="1" ht="12.75" customHeight="1">
      <c r="A135" s="220"/>
      <c r="B135" s="69" t="s">
        <v>15</v>
      </c>
      <c r="C135" s="66">
        <v>505</v>
      </c>
      <c r="D135" s="70"/>
      <c r="E135" s="70"/>
      <c r="F135" s="98" t="s">
        <v>201</v>
      </c>
      <c r="G135" s="98" t="s">
        <v>201</v>
      </c>
      <c r="H135" s="70" t="s">
        <v>201</v>
      </c>
      <c r="I135" s="70" t="s">
        <v>915</v>
      </c>
      <c r="J135" s="70" t="s">
        <v>916</v>
      </c>
      <c r="K135" s="70" t="s">
        <v>321</v>
      </c>
      <c r="L135" s="57" t="s">
        <v>192</v>
      </c>
      <c r="M135" s="70"/>
      <c r="N135" s="70"/>
      <c r="O135" s="70"/>
      <c r="P135" s="70"/>
      <c r="Q135" s="70"/>
      <c r="R135" s="70"/>
      <c r="S135" s="70"/>
      <c r="T135" s="70"/>
      <c r="U135" s="70"/>
      <c r="V135" s="69"/>
      <c r="W135" s="100"/>
      <c r="X135" s="70"/>
      <c r="Y135" s="70"/>
      <c r="Z135" s="70"/>
      <c r="AA135" s="70"/>
      <c r="AB135" s="70"/>
      <c r="AC135" s="70"/>
      <c r="AD135" s="69"/>
      <c r="AE135" s="101"/>
      <c r="AF135" s="102"/>
      <c r="AG135" s="102"/>
      <c r="AH135" s="102"/>
      <c r="AI135" s="103"/>
      <c r="AJ135" s="266"/>
      <c r="AK135" s="104"/>
    </row>
    <row r="136" spans="1:37" s="71" customFormat="1" ht="12.75" customHeight="1">
      <c r="A136" s="220"/>
      <c r="B136" s="69" t="s">
        <v>15</v>
      </c>
      <c r="C136" s="66">
        <v>506</v>
      </c>
      <c r="D136" s="70"/>
      <c r="E136" s="70"/>
      <c r="F136" s="98" t="s">
        <v>201</v>
      </c>
      <c r="G136" s="98" t="s">
        <v>201</v>
      </c>
      <c r="H136" s="70" t="s">
        <v>201</v>
      </c>
      <c r="I136" s="70" t="s">
        <v>917</v>
      </c>
      <c r="J136" s="70" t="s">
        <v>918</v>
      </c>
      <c r="K136" s="70" t="s">
        <v>321</v>
      </c>
      <c r="L136" s="57" t="s">
        <v>192</v>
      </c>
      <c r="M136" s="70"/>
      <c r="N136" s="70"/>
      <c r="O136" s="70"/>
      <c r="P136" s="70"/>
      <c r="Q136" s="70"/>
      <c r="R136" s="70"/>
      <c r="S136" s="70"/>
      <c r="T136" s="70"/>
      <c r="U136" s="70"/>
      <c r="V136" s="69"/>
      <c r="W136" s="100"/>
      <c r="X136" s="70"/>
      <c r="Y136" s="70"/>
      <c r="Z136" s="70"/>
      <c r="AA136" s="70"/>
      <c r="AB136" s="70"/>
      <c r="AC136" s="70"/>
      <c r="AD136" s="69"/>
      <c r="AE136" s="101"/>
      <c r="AF136" s="102"/>
      <c r="AG136" s="102"/>
      <c r="AH136" s="102"/>
      <c r="AI136" s="103"/>
      <c r="AJ136" s="266"/>
      <c r="AK136" s="104"/>
    </row>
    <row r="137" spans="1:37" s="71" customFormat="1" ht="12.75" customHeight="1">
      <c r="A137" s="220"/>
      <c r="B137" s="69" t="s">
        <v>15</v>
      </c>
      <c r="C137" s="66">
        <v>507</v>
      </c>
      <c r="D137" s="70"/>
      <c r="E137" s="70"/>
      <c r="F137" s="98" t="s">
        <v>201</v>
      </c>
      <c r="G137" s="98" t="s">
        <v>201</v>
      </c>
      <c r="H137" s="70" t="s">
        <v>201</v>
      </c>
      <c r="I137" s="70" t="s">
        <v>919</v>
      </c>
      <c r="J137" s="70" t="s">
        <v>920</v>
      </c>
      <c r="K137" s="70" t="s">
        <v>321</v>
      </c>
      <c r="L137" s="57" t="s">
        <v>192</v>
      </c>
      <c r="M137" s="70"/>
      <c r="N137" s="70"/>
      <c r="O137" s="70"/>
      <c r="P137" s="70"/>
      <c r="Q137" s="70"/>
      <c r="R137" s="70"/>
      <c r="S137" s="70"/>
      <c r="T137" s="70"/>
      <c r="U137" s="70"/>
      <c r="V137" s="69"/>
      <c r="W137" s="100"/>
      <c r="X137" s="70"/>
      <c r="Y137" s="70"/>
      <c r="Z137" s="70"/>
      <c r="AA137" s="70"/>
      <c r="AB137" s="70"/>
      <c r="AC137" s="70"/>
      <c r="AD137" s="69"/>
      <c r="AE137" s="101"/>
      <c r="AF137" s="102"/>
      <c r="AG137" s="102"/>
      <c r="AH137" s="102"/>
      <c r="AI137" s="103"/>
      <c r="AJ137" s="266"/>
      <c r="AK137" s="104"/>
    </row>
    <row r="138" spans="1:37" s="319" customFormat="1" ht="12.75" customHeight="1">
      <c r="A138" s="220"/>
      <c r="B138" s="69" t="s">
        <v>46</v>
      </c>
      <c r="C138" s="66">
        <v>508</v>
      </c>
      <c r="D138" s="69" t="b">
        <v>1</v>
      </c>
      <c r="E138" s="70"/>
      <c r="F138" s="98" t="s">
        <v>921</v>
      </c>
      <c r="G138" s="98" t="s">
        <v>922</v>
      </c>
      <c r="H138" s="447" t="s">
        <v>923</v>
      </c>
      <c r="I138" s="70" t="s">
        <v>924</v>
      </c>
      <c r="J138" s="70" t="s">
        <v>925</v>
      </c>
      <c r="K138" s="70" t="s">
        <v>209</v>
      </c>
      <c r="L138" s="57" t="s">
        <v>192</v>
      </c>
      <c r="M138" s="70"/>
      <c r="N138" s="70"/>
      <c r="O138" s="70"/>
      <c r="P138" s="70"/>
      <c r="Q138" s="70"/>
      <c r="R138" s="70"/>
      <c r="S138" s="447"/>
      <c r="T138" s="70" t="s">
        <v>193</v>
      </c>
      <c r="U138" s="447" t="s">
        <v>926</v>
      </c>
      <c r="V138" s="69" t="str">
        <f t="shared" ref="V138:V151" si="5">_xlfn.CONCAT($AH$14,"_",U138)</f>
        <v>3922_Correctie_tar_weg</v>
      </c>
      <c r="W138" s="433" t="s">
        <v>195</v>
      </c>
      <c r="X138" s="66">
        <v>3922</v>
      </c>
      <c r="Y138" s="70" t="s">
        <v>196</v>
      </c>
      <c r="Z138" s="70" t="s">
        <v>890</v>
      </c>
      <c r="AA138" s="70">
        <v>5</v>
      </c>
      <c r="AB138" s="67" t="s">
        <v>198</v>
      </c>
      <c r="AC138" s="69" t="s">
        <v>141</v>
      </c>
      <c r="AD138" s="66" t="s">
        <v>142</v>
      </c>
      <c r="AE138" s="101" t="s">
        <v>420</v>
      </c>
      <c r="AF138" s="423">
        <v>-10</v>
      </c>
      <c r="AG138" s="423">
        <v>10</v>
      </c>
      <c r="AH138" s="423">
        <v>-10</v>
      </c>
      <c r="AI138" s="103"/>
      <c r="AJ138" s="266"/>
      <c r="AK138" s="104"/>
    </row>
    <row r="139" spans="1:37" s="319" customFormat="1" ht="12.75" customHeight="1">
      <c r="A139" s="220"/>
      <c r="B139" s="69" t="s">
        <v>46</v>
      </c>
      <c r="C139" s="66">
        <v>509</v>
      </c>
      <c r="D139" s="69" t="b">
        <v>1</v>
      </c>
      <c r="E139" s="70"/>
      <c r="F139" s="98" t="s">
        <v>927</v>
      </c>
      <c r="G139" s="98" t="s">
        <v>928</v>
      </c>
      <c r="H139" s="447" t="s">
        <v>929</v>
      </c>
      <c r="I139" s="70" t="s">
        <v>930</v>
      </c>
      <c r="J139" s="70" t="s">
        <v>931</v>
      </c>
      <c r="K139" s="70" t="s">
        <v>209</v>
      </c>
      <c r="L139" s="57" t="s">
        <v>192</v>
      </c>
      <c r="M139" s="70"/>
      <c r="N139" s="70"/>
      <c r="O139" s="70"/>
      <c r="P139" s="70"/>
      <c r="Q139" s="70"/>
      <c r="R139" s="70"/>
      <c r="S139" s="447"/>
      <c r="T139" s="70" t="s">
        <v>193</v>
      </c>
      <c r="U139" s="447" t="s">
        <v>932</v>
      </c>
      <c r="V139" s="69" t="str">
        <f t="shared" si="5"/>
        <v>3922_Correctie_tar_terug</v>
      </c>
      <c r="W139" s="433" t="s">
        <v>195</v>
      </c>
      <c r="X139" s="66">
        <v>3922</v>
      </c>
      <c r="Y139" s="70" t="s">
        <v>196</v>
      </c>
      <c r="Z139" s="70" t="s">
        <v>890</v>
      </c>
      <c r="AA139" s="70">
        <v>6</v>
      </c>
      <c r="AB139" s="67" t="s">
        <v>198</v>
      </c>
      <c r="AC139" s="69" t="s">
        <v>141</v>
      </c>
      <c r="AD139" s="66" t="s">
        <v>142</v>
      </c>
      <c r="AE139" s="101" t="s">
        <v>420</v>
      </c>
      <c r="AF139" s="423">
        <v>-10</v>
      </c>
      <c r="AG139" s="423">
        <v>10</v>
      </c>
      <c r="AH139" s="423">
        <v>-10</v>
      </c>
      <c r="AI139" s="103"/>
      <c r="AJ139" s="266"/>
      <c r="AK139" s="104"/>
    </row>
    <row r="140" spans="1:37" s="319" customFormat="1" ht="12.75" customHeight="1">
      <c r="A140" s="220"/>
      <c r="B140" s="69" t="s">
        <v>46</v>
      </c>
      <c r="C140" s="66">
        <v>510</v>
      </c>
      <c r="D140" s="69" t="b">
        <v>1</v>
      </c>
      <c r="E140" s="70"/>
      <c r="F140" s="98" t="s">
        <v>933</v>
      </c>
      <c r="G140" s="98" t="s">
        <v>934</v>
      </c>
      <c r="H140" s="447" t="s">
        <v>935</v>
      </c>
      <c r="I140" s="70" t="s">
        <v>936</v>
      </c>
      <c r="J140" s="70" t="s">
        <v>937</v>
      </c>
      <c r="K140" s="70" t="s">
        <v>209</v>
      </c>
      <c r="L140" s="57" t="s">
        <v>192</v>
      </c>
      <c r="M140" s="70"/>
      <c r="N140" s="70"/>
      <c r="O140" s="70"/>
      <c r="P140" s="70"/>
      <c r="Q140" s="70"/>
      <c r="R140" s="70"/>
      <c r="S140" s="447"/>
      <c r="T140" s="70" t="s">
        <v>193</v>
      </c>
      <c r="U140" s="447" t="s">
        <v>938</v>
      </c>
      <c r="V140" s="69" t="str">
        <f t="shared" si="5"/>
        <v>3922_Correctie_net_weg</v>
      </c>
      <c r="W140" s="433" t="s">
        <v>195</v>
      </c>
      <c r="X140" s="66">
        <v>3922</v>
      </c>
      <c r="Y140" s="70" t="s">
        <v>196</v>
      </c>
      <c r="Z140" s="70" t="s">
        <v>890</v>
      </c>
      <c r="AA140" s="70">
        <v>7</v>
      </c>
      <c r="AB140" s="67" t="s">
        <v>198</v>
      </c>
      <c r="AC140" s="69" t="s">
        <v>141</v>
      </c>
      <c r="AD140" s="66" t="s">
        <v>142</v>
      </c>
      <c r="AE140" s="101" t="s">
        <v>420</v>
      </c>
      <c r="AF140" s="423">
        <v>-10</v>
      </c>
      <c r="AG140" s="423">
        <v>10</v>
      </c>
      <c r="AH140" s="423">
        <v>-10</v>
      </c>
      <c r="AI140" s="103"/>
      <c r="AJ140" s="266"/>
      <c r="AK140" s="104"/>
    </row>
    <row r="141" spans="1:37" s="319" customFormat="1" ht="12.75" customHeight="1">
      <c r="A141" s="220"/>
      <c r="B141" s="69" t="s">
        <v>46</v>
      </c>
      <c r="C141" s="66">
        <v>511</v>
      </c>
      <c r="D141" s="69" t="b">
        <v>1</v>
      </c>
      <c r="E141" s="70"/>
      <c r="F141" s="98" t="s">
        <v>939</v>
      </c>
      <c r="G141" s="98" t="s">
        <v>940</v>
      </c>
      <c r="H141" s="447" t="s">
        <v>941</v>
      </c>
      <c r="I141" s="70" t="s">
        <v>942</v>
      </c>
      <c r="J141" s="70" t="s">
        <v>943</v>
      </c>
      <c r="K141" s="70" t="s">
        <v>209</v>
      </c>
      <c r="L141" s="57" t="s">
        <v>192</v>
      </c>
      <c r="M141" s="70"/>
      <c r="N141" s="70"/>
      <c r="O141" s="70"/>
      <c r="P141" s="70"/>
      <c r="Q141" s="70"/>
      <c r="R141" s="70"/>
      <c r="S141" s="447"/>
      <c r="T141" s="70" t="s">
        <v>193</v>
      </c>
      <c r="U141" s="447" t="s">
        <v>944</v>
      </c>
      <c r="V141" s="69" t="str">
        <f t="shared" si="5"/>
        <v>3922_Correctie_net_terug</v>
      </c>
      <c r="W141" s="433" t="s">
        <v>195</v>
      </c>
      <c r="X141" s="66">
        <v>3922</v>
      </c>
      <c r="Y141" s="70" t="s">
        <v>196</v>
      </c>
      <c r="Z141" s="70" t="s">
        <v>890</v>
      </c>
      <c r="AA141" s="70">
        <v>8</v>
      </c>
      <c r="AB141" s="67" t="s">
        <v>198</v>
      </c>
      <c r="AC141" s="69" t="s">
        <v>141</v>
      </c>
      <c r="AD141" s="66" t="s">
        <v>142</v>
      </c>
      <c r="AE141" s="101" t="s">
        <v>420</v>
      </c>
      <c r="AF141" s="423">
        <v>-10</v>
      </c>
      <c r="AG141" s="423">
        <v>10</v>
      </c>
      <c r="AH141" s="423">
        <v>-10</v>
      </c>
      <c r="AI141" s="103"/>
      <c r="AJ141" s="266"/>
      <c r="AK141" s="104"/>
    </row>
    <row r="142" spans="1:37" s="319" customFormat="1" ht="12.75" customHeight="1">
      <c r="A142" s="220"/>
      <c r="B142" s="69" t="s">
        <v>46</v>
      </c>
      <c r="C142" s="66">
        <v>512</v>
      </c>
      <c r="D142" s="69" t="b">
        <v>1</v>
      </c>
      <c r="E142" s="70"/>
      <c r="F142" s="98" t="s">
        <v>945</v>
      </c>
      <c r="G142" s="98" t="s">
        <v>946</v>
      </c>
      <c r="H142" s="447" t="s">
        <v>947</v>
      </c>
      <c r="I142" s="70" t="s">
        <v>948</v>
      </c>
      <c r="J142" s="70" t="s">
        <v>949</v>
      </c>
      <c r="K142" s="70" t="s">
        <v>209</v>
      </c>
      <c r="L142" s="57" t="s">
        <v>192</v>
      </c>
      <c r="M142" s="70"/>
      <c r="N142" s="70"/>
      <c r="O142" s="70"/>
      <c r="P142" s="70"/>
      <c r="Q142" s="70"/>
      <c r="R142" s="70"/>
      <c r="S142" s="447"/>
      <c r="T142" s="70"/>
      <c r="U142" s="447" t="s">
        <v>950</v>
      </c>
      <c r="V142" s="69" t="str">
        <f t="shared" si="5"/>
        <v>3922_49WT1_min</v>
      </c>
      <c r="W142" s="433" t="s">
        <v>195</v>
      </c>
      <c r="X142" s="66">
        <v>3922</v>
      </c>
      <c r="Y142" s="70" t="s">
        <v>196</v>
      </c>
      <c r="Z142" s="70" t="s">
        <v>890</v>
      </c>
      <c r="AA142" s="70">
        <v>9</v>
      </c>
      <c r="AB142" s="67" t="s">
        <v>198</v>
      </c>
      <c r="AC142" s="69" t="s">
        <v>141</v>
      </c>
      <c r="AD142" s="66" t="s">
        <v>142</v>
      </c>
      <c r="AE142" s="101" t="s">
        <v>631</v>
      </c>
      <c r="AF142" s="470">
        <v>0</v>
      </c>
      <c r="AG142" s="470">
        <v>100</v>
      </c>
      <c r="AH142" s="470">
        <v>0</v>
      </c>
      <c r="AI142" s="103"/>
      <c r="AJ142" s="266"/>
      <c r="AK142" s="104"/>
    </row>
    <row r="143" spans="1:37" s="319" customFormat="1" ht="12.75" customHeight="1">
      <c r="A143" s="220"/>
      <c r="B143" s="69" t="s">
        <v>46</v>
      </c>
      <c r="C143" s="66">
        <v>513</v>
      </c>
      <c r="D143" s="69" t="b">
        <v>1</v>
      </c>
      <c r="E143" s="70"/>
      <c r="F143" s="98" t="s">
        <v>951</v>
      </c>
      <c r="G143" s="98" t="s">
        <v>952</v>
      </c>
      <c r="H143" s="447" t="s">
        <v>953</v>
      </c>
      <c r="I143" s="70" t="s">
        <v>954</v>
      </c>
      <c r="J143" s="70" t="s">
        <v>955</v>
      </c>
      <c r="K143" s="70" t="s">
        <v>209</v>
      </c>
      <c r="L143" s="57" t="s">
        <v>192</v>
      </c>
      <c r="M143" s="70"/>
      <c r="N143" s="70"/>
      <c r="O143" s="70"/>
      <c r="P143" s="70"/>
      <c r="Q143" s="70"/>
      <c r="R143" s="70"/>
      <c r="S143" s="447"/>
      <c r="T143" s="70"/>
      <c r="U143" s="447" t="s">
        <v>956</v>
      </c>
      <c r="V143" s="69" t="str">
        <f t="shared" si="5"/>
        <v>3922_49WT1_max</v>
      </c>
      <c r="W143" s="433" t="s">
        <v>195</v>
      </c>
      <c r="X143" s="66">
        <v>3922</v>
      </c>
      <c r="Y143" s="70" t="s">
        <v>196</v>
      </c>
      <c r="Z143" s="70" t="s">
        <v>890</v>
      </c>
      <c r="AA143" s="70">
        <v>10</v>
      </c>
      <c r="AB143" s="67" t="s">
        <v>198</v>
      </c>
      <c r="AC143" s="69" t="s">
        <v>141</v>
      </c>
      <c r="AD143" s="66" t="s">
        <v>142</v>
      </c>
      <c r="AE143" s="101" t="s">
        <v>631</v>
      </c>
      <c r="AF143" s="470">
        <v>0</v>
      </c>
      <c r="AG143" s="470">
        <v>100</v>
      </c>
      <c r="AH143" s="470">
        <v>0</v>
      </c>
      <c r="AI143" s="103"/>
      <c r="AJ143" s="266"/>
      <c r="AK143" s="104"/>
    </row>
    <row r="144" spans="1:37" s="319" customFormat="1" ht="12.75" customHeight="1">
      <c r="A144" s="220"/>
      <c r="B144" s="69" t="s">
        <v>46</v>
      </c>
      <c r="C144" s="66">
        <v>514</v>
      </c>
      <c r="D144" s="69" t="b">
        <v>1</v>
      </c>
      <c r="E144" s="70"/>
      <c r="F144" s="98" t="s">
        <v>957</v>
      </c>
      <c r="G144" s="98" t="s">
        <v>958</v>
      </c>
      <c r="H144" s="447" t="s">
        <v>959</v>
      </c>
      <c r="I144" s="70" t="s">
        <v>960</v>
      </c>
      <c r="J144" s="70" t="s">
        <v>961</v>
      </c>
      <c r="K144" s="70" t="s">
        <v>209</v>
      </c>
      <c r="L144" s="57" t="s">
        <v>192</v>
      </c>
      <c r="M144" s="70"/>
      <c r="N144" s="70"/>
      <c r="O144" s="70"/>
      <c r="P144" s="70"/>
      <c r="Q144" s="70"/>
      <c r="R144" s="70"/>
      <c r="S144" s="447"/>
      <c r="T144" s="70"/>
      <c r="U144" s="447" t="s">
        <v>962</v>
      </c>
      <c r="V144" s="69" t="str">
        <f t="shared" si="5"/>
        <v>3922_OAL</v>
      </c>
      <c r="W144" s="433" t="s">
        <v>359</v>
      </c>
      <c r="X144" s="66">
        <v>3922</v>
      </c>
      <c r="Y144" s="70" t="s">
        <v>272</v>
      </c>
      <c r="Z144" s="70" t="s">
        <v>890</v>
      </c>
      <c r="AA144" s="70">
        <v>18</v>
      </c>
      <c r="AB144" s="67" t="s">
        <v>273</v>
      </c>
      <c r="AC144" s="69" t="s">
        <v>141</v>
      </c>
      <c r="AD144" s="66" t="s">
        <v>199</v>
      </c>
      <c r="AE144" s="101" t="s">
        <v>631</v>
      </c>
      <c r="AF144" s="470">
        <v>-1</v>
      </c>
      <c r="AG144" s="470">
        <v>100</v>
      </c>
      <c r="AH144" s="470">
        <v>-1</v>
      </c>
      <c r="AI144" s="103"/>
      <c r="AJ144" s="266"/>
      <c r="AK144" s="104"/>
    </row>
    <row r="145" spans="1:37" s="319" customFormat="1" ht="12.75" customHeight="1">
      <c r="A145" s="220"/>
      <c r="B145" s="69" t="s">
        <v>46</v>
      </c>
      <c r="C145" s="66">
        <v>515</v>
      </c>
      <c r="D145" s="69" t="b">
        <v>1</v>
      </c>
      <c r="E145" s="70"/>
      <c r="F145" s="98" t="s">
        <v>963</v>
      </c>
      <c r="G145" s="98" t="s">
        <v>964</v>
      </c>
      <c r="H145" s="447" t="s">
        <v>965</v>
      </c>
      <c r="I145" s="70" t="s">
        <v>966</v>
      </c>
      <c r="J145" s="70" t="s">
        <v>967</v>
      </c>
      <c r="K145" s="70" t="s">
        <v>209</v>
      </c>
      <c r="L145" s="57" t="s">
        <v>192</v>
      </c>
      <c r="M145" s="70"/>
      <c r="N145" s="70"/>
      <c r="O145" s="70"/>
      <c r="P145" s="70"/>
      <c r="Q145" s="70"/>
      <c r="R145" s="70"/>
      <c r="S145" s="447"/>
      <c r="T145" s="70"/>
      <c r="U145" s="447" t="s">
        <v>968</v>
      </c>
      <c r="V145" s="69" t="str">
        <f t="shared" si="5"/>
        <v>3922_OVL</v>
      </c>
      <c r="W145" s="433" t="s">
        <v>359</v>
      </c>
      <c r="X145" s="66">
        <v>3922</v>
      </c>
      <c r="Y145" s="70" t="s">
        <v>272</v>
      </c>
      <c r="Z145" s="70" t="s">
        <v>890</v>
      </c>
      <c r="AA145" s="70">
        <v>17</v>
      </c>
      <c r="AB145" s="67" t="s">
        <v>273</v>
      </c>
      <c r="AC145" s="69" t="s">
        <v>141</v>
      </c>
      <c r="AD145" s="66" t="s">
        <v>199</v>
      </c>
      <c r="AE145" s="101" t="s">
        <v>631</v>
      </c>
      <c r="AF145" s="470">
        <v>-1</v>
      </c>
      <c r="AG145" s="470">
        <v>100</v>
      </c>
      <c r="AH145" s="470">
        <v>-1</v>
      </c>
      <c r="AI145" s="103"/>
      <c r="AJ145" s="266"/>
      <c r="AK145" s="104"/>
    </row>
    <row r="146" spans="1:37" s="319" customFormat="1" ht="12.75" customHeight="1">
      <c r="A146" s="220"/>
      <c r="B146" s="69" t="s">
        <v>46</v>
      </c>
      <c r="C146" s="66">
        <v>516</v>
      </c>
      <c r="D146" s="69" t="b">
        <v>1</v>
      </c>
      <c r="E146" s="70"/>
      <c r="F146" s="98" t="s">
        <v>969</v>
      </c>
      <c r="G146" s="98" t="s">
        <v>970</v>
      </c>
      <c r="H146" s="447" t="s">
        <v>971</v>
      </c>
      <c r="I146" s="70" t="s">
        <v>972</v>
      </c>
      <c r="J146" s="70" t="s">
        <v>973</v>
      </c>
      <c r="K146" s="70" t="s">
        <v>209</v>
      </c>
      <c r="L146" s="57" t="s">
        <v>192</v>
      </c>
      <c r="M146" s="70"/>
      <c r="N146" s="70"/>
      <c r="O146" s="70"/>
      <c r="P146" s="70"/>
      <c r="Q146" s="70"/>
      <c r="R146" s="70"/>
      <c r="S146" s="447"/>
      <c r="T146" s="70"/>
      <c r="U146" s="447" t="s">
        <v>974</v>
      </c>
      <c r="V146" s="69" t="str">
        <f t="shared" si="5"/>
        <v>3922_ORL</v>
      </c>
      <c r="W146" s="433" t="s">
        <v>359</v>
      </c>
      <c r="X146" s="66">
        <v>3922</v>
      </c>
      <c r="Y146" s="70" t="s">
        <v>272</v>
      </c>
      <c r="Z146" s="70" t="s">
        <v>890</v>
      </c>
      <c r="AA146" s="70">
        <v>16</v>
      </c>
      <c r="AB146" s="67" t="s">
        <v>273</v>
      </c>
      <c r="AC146" s="69" t="s">
        <v>141</v>
      </c>
      <c r="AD146" s="66" t="s">
        <v>199</v>
      </c>
      <c r="AE146" s="101" t="s">
        <v>631</v>
      </c>
      <c r="AF146" s="470">
        <v>-1</v>
      </c>
      <c r="AG146" s="470">
        <v>100</v>
      </c>
      <c r="AH146" s="470">
        <v>0</v>
      </c>
      <c r="AI146" s="103"/>
      <c r="AJ146" s="266"/>
      <c r="AK146" s="104"/>
    </row>
    <row r="147" spans="1:37" s="319" customFormat="1" ht="12.75" customHeight="1">
      <c r="A147" s="220"/>
      <c r="B147" s="69" t="s">
        <v>46</v>
      </c>
      <c r="C147" s="66">
        <v>517</v>
      </c>
      <c r="D147" s="69" t="b">
        <v>1</v>
      </c>
      <c r="E147" s="70"/>
      <c r="F147" s="98" t="s">
        <v>975</v>
      </c>
      <c r="G147" s="98" t="s">
        <v>976</v>
      </c>
      <c r="H147" s="447" t="s">
        <v>977</v>
      </c>
      <c r="I147" s="70" t="s">
        <v>978</v>
      </c>
      <c r="J147" s="70" t="s">
        <v>979</v>
      </c>
      <c r="K147" s="70" t="s">
        <v>209</v>
      </c>
      <c r="L147" s="57" t="s">
        <v>192</v>
      </c>
      <c r="M147" s="70"/>
      <c r="N147" s="70"/>
      <c r="O147" s="70"/>
      <c r="P147" s="70"/>
      <c r="Q147" s="70"/>
      <c r="R147" s="70"/>
      <c r="S147" s="447"/>
      <c r="T147" s="70" t="s">
        <v>193</v>
      </c>
      <c r="U147" s="447" t="s">
        <v>980</v>
      </c>
      <c r="V147" s="69" t="str">
        <f t="shared" si="5"/>
        <v>3922_TAR</v>
      </c>
      <c r="W147" s="433" t="s">
        <v>359</v>
      </c>
      <c r="X147" s="66">
        <v>3922</v>
      </c>
      <c r="Y147" s="70" t="s">
        <v>272</v>
      </c>
      <c r="Z147" s="70" t="s">
        <v>890</v>
      </c>
      <c r="AA147" s="70">
        <v>14</v>
      </c>
      <c r="AB147" s="67" t="s">
        <v>273</v>
      </c>
      <c r="AC147" s="69" t="s">
        <v>141</v>
      </c>
      <c r="AD147" s="66" t="s">
        <v>199</v>
      </c>
      <c r="AE147" s="101" t="s">
        <v>631</v>
      </c>
      <c r="AF147" s="470">
        <v>0</v>
      </c>
      <c r="AG147" s="470">
        <v>100</v>
      </c>
      <c r="AH147" s="470">
        <v>0</v>
      </c>
      <c r="AI147" s="103"/>
      <c r="AJ147" s="266"/>
      <c r="AK147" s="104"/>
    </row>
    <row r="148" spans="1:37" s="319" customFormat="1" ht="12.75" customHeight="1">
      <c r="A148" s="220"/>
      <c r="B148" s="69" t="s">
        <v>46</v>
      </c>
      <c r="C148" s="66">
        <v>518</v>
      </c>
      <c r="D148" s="69" t="b">
        <v>1</v>
      </c>
      <c r="E148" s="70"/>
      <c r="F148" s="98" t="s">
        <v>981</v>
      </c>
      <c r="G148" s="98" t="s">
        <v>982</v>
      </c>
      <c r="H148" s="447" t="s">
        <v>983</v>
      </c>
      <c r="I148" s="70" t="s">
        <v>984</v>
      </c>
      <c r="J148" s="70" t="s">
        <v>985</v>
      </c>
      <c r="K148" s="70" t="s">
        <v>209</v>
      </c>
      <c r="L148" s="57" t="s">
        <v>192</v>
      </c>
      <c r="M148" s="70"/>
      <c r="N148" s="70"/>
      <c r="O148" s="70"/>
      <c r="P148" s="70"/>
      <c r="Q148" s="70"/>
      <c r="R148" s="70"/>
      <c r="S148" s="447"/>
      <c r="T148" s="70" t="s">
        <v>193</v>
      </c>
      <c r="U148" s="447" t="s">
        <v>986</v>
      </c>
      <c r="V148" s="69" t="str">
        <f t="shared" si="5"/>
        <v>3922_Produkt_density</v>
      </c>
      <c r="W148" s="433" t="s">
        <v>359</v>
      </c>
      <c r="X148" s="66">
        <v>3922</v>
      </c>
      <c r="Y148" s="70" t="s">
        <v>272</v>
      </c>
      <c r="Z148" s="70" t="s">
        <v>890</v>
      </c>
      <c r="AA148" s="70">
        <v>15</v>
      </c>
      <c r="AB148" s="67" t="s">
        <v>273</v>
      </c>
      <c r="AC148" s="69" t="s">
        <v>141</v>
      </c>
      <c r="AD148" s="66" t="s">
        <v>199</v>
      </c>
      <c r="AE148" s="101" t="s">
        <v>987</v>
      </c>
      <c r="AF148" s="470">
        <v>0.5</v>
      </c>
      <c r="AG148" s="470">
        <v>2</v>
      </c>
      <c r="AH148" s="470">
        <v>0.5</v>
      </c>
      <c r="AI148" s="103"/>
      <c r="AJ148" s="266"/>
      <c r="AK148" s="104"/>
    </row>
    <row r="149" spans="1:37" s="319" customFormat="1" ht="12.75" customHeight="1">
      <c r="A149" s="220"/>
      <c r="B149" s="69" t="s">
        <v>46</v>
      </c>
      <c r="C149" s="66">
        <v>519</v>
      </c>
      <c r="D149" s="69" t="b">
        <v>1</v>
      </c>
      <c r="E149" s="70"/>
      <c r="F149" s="98" t="s">
        <v>988</v>
      </c>
      <c r="G149" s="98" t="s">
        <v>989</v>
      </c>
      <c r="H149" s="447" t="s">
        <v>990</v>
      </c>
      <c r="I149" s="70" t="s">
        <v>991</v>
      </c>
      <c r="J149" s="70" t="s">
        <v>992</v>
      </c>
      <c r="K149" s="70" t="s">
        <v>209</v>
      </c>
      <c r="L149" s="57" t="s">
        <v>192</v>
      </c>
      <c r="M149" s="70"/>
      <c r="N149" s="70"/>
      <c r="O149" s="70"/>
      <c r="P149" s="70"/>
      <c r="Q149" s="70"/>
      <c r="R149" s="70"/>
      <c r="S149" s="447"/>
      <c r="T149" s="70"/>
      <c r="U149" s="447" t="s">
        <v>993</v>
      </c>
      <c r="V149" s="69" t="str">
        <f t="shared" si="5"/>
        <v>3922_BRL</v>
      </c>
      <c r="W149" s="433" t="s">
        <v>359</v>
      </c>
      <c r="X149" s="66">
        <v>3922</v>
      </c>
      <c r="Y149" s="70" t="s">
        <v>272</v>
      </c>
      <c r="Z149" s="70" t="s">
        <v>890</v>
      </c>
      <c r="AA149" s="70">
        <v>13</v>
      </c>
      <c r="AB149" s="67" t="s">
        <v>273</v>
      </c>
      <c r="AC149" s="69" t="s">
        <v>141</v>
      </c>
      <c r="AD149" s="66" t="s">
        <v>199</v>
      </c>
      <c r="AE149" s="101" t="s">
        <v>631</v>
      </c>
      <c r="AF149" s="470">
        <v>0</v>
      </c>
      <c r="AG149" s="470">
        <v>100</v>
      </c>
      <c r="AH149" s="470">
        <v>0</v>
      </c>
      <c r="AI149" s="103"/>
      <c r="AJ149" s="266"/>
      <c r="AK149" s="104"/>
    </row>
    <row r="150" spans="1:37" s="319" customFormat="1" ht="12.75" customHeight="1">
      <c r="A150" s="220"/>
      <c r="B150" s="69" t="s">
        <v>46</v>
      </c>
      <c r="C150" s="66">
        <v>520</v>
      </c>
      <c r="D150" s="69" t="b">
        <v>1</v>
      </c>
      <c r="E150" s="70"/>
      <c r="F150" s="98" t="s">
        <v>994</v>
      </c>
      <c r="G150" s="98" t="s">
        <v>995</v>
      </c>
      <c r="H150" s="447" t="s">
        <v>996</v>
      </c>
      <c r="I150" s="70" t="s">
        <v>997</v>
      </c>
      <c r="J150" s="70" t="s">
        <v>998</v>
      </c>
      <c r="K150" s="70" t="s">
        <v>209</v>
      </c>
      <c r="L150" s="57" t="s">
        <v>192</v>
      </c>
      <c r="M150" s="70"/>
      <c r="N150" s="70"/>
      <c r="O150" s="70"/>
      <c r="P150" s="70"/>
      <c r="Q150" s="70"/>
      <c r="R150" s="70"/>
      <c r="S150" s="447"/>
      <c r="T150" s="70"/>
      <c r="U150" s="447" t="s">
        <v>999</v>
      </c>
      <c r="V150" s="69" t="str">
        <f t="shared" si="5"/>
        <v>3922_BVL</v>
      </c>
      <c r="W150" s="433" t="s">
        <v>359</v>
      </c>
      <c r="X150" s="66">
        <v>3922</v>
      </c>
      <c r="Y150" s="70" t="s">
        <v>272</v>
      </c>
      <c r="Z150" s="70" t="s">
        <v>890</v>
      </c>
      <c r="AA150" s="70">
        <v>12</v>
      </c>
      <c r="AB150" s="67" t="s">
        <v>273</v>
      </c>
      <c r="AC150" s="69" t="s">
        <v>141</v>
      </c>
      <c r="AD150" s="66" t="s">
        <v>199</v>
      </c>
      <c r="AE150" s="101" t="s">
        <v>631</v>
      </c>
      <c r="AF150" s="470">
        <v>0</v>
      </c>
      <c r="AG150" s="470">
        <v>100</v>
      </c>
      <c r="AH150" s="470">
        <v>0</v>
      </c>
      <c r="AI150" s="103"/>
      <c r="AJ150" s="266"/>
      <c r="AK150" s="104"/>
    </row>
    <row r="151" spans="1:37" s="319" customFormat="1" ht="12.75" customHeight="1">
      <c r="A151" s="220"/>
      <c r="B151" s="69" t="s">
        <v>46</v>
      </c>
      <c r="C151" s="66">
        <v>521</v>
      </c>
      <c r="D151" s="69" t="b">
        <v>1</v>
      </c>
      <c r="E151" s="70"/>
      <c r="F151" s="98" t="s">
        <v>1000</v>
      </c>
      <c r="G151" s="98" t="s">
        <v>1001</v>
      </c>
      <c r="H151" s="447" t="s">
        <v>1002</v>
      </c>
      <c r="I151" s="70" t="s">
        <v>1003</v>
      </c>
      <c r="J151" s="70" t="s">
        <v>1004</v>
      </c>
      <c r="K151" s="70" t="s">
        <v>209</v>
      </c>
      <c r="L151" s="57" t="s">
        <v>192</v>
      </c>
      <c r="M151" s="70"/>
      <c r="N151" s="70"/>
      <c r="O151" s="70"/>
      <c r="P151" s="70"/>
      <c r="Q151" s="70"/>
      <c r="R151" s="70"/>
      <c r="S151" s="447"/>
      <c r="T151" s="70"/>
      <c r="U151" s="447" t="s">
        <v>1005</v>
      </c>
      <c r="V151" s="69" t="str">
        <f t="shared" si="5"/>
        <v>3922_BAL</v>
      </c>
      <c r="W151" s="433" t="s">
        <v>359</v>
      </c>
      <c r="X151" s="66">
        <v>3922</v>
      </c>
      <c r="Y151" s="70" t="s">
        <v>272</v>
      </c>
      <c r="Z151" s="70" t="s">
        <v>890</v>
      </c>
      <c r="AA151" s="70">
        <v>11</v>
      </c>
      <c r="AB151" s="67" t="s">
        <v>273</v>
      </c>
      <c r="AC151" s="69" t="s">
        <v>141</v>
      </c>
      <c r="AD151" s="66" t="s">
        <v>199</v>
      </c>
      <c r="AE151" s="101" t="s">
        <v>631</v>
      </c>
      <c r="AF151" s="470">
        <v>0</v>
      </c>
      <c r="AG151" s="470">
        <v>100</v>
      </c>
      <c r="AH151" s="470">
        <v>0</v>
      </c>
      <c r="AI151" s="103"/>
      <c r="AJ151" s="266"/>
      <c r="AK151" s="104"/>
    </row>
    <row r="152" spans="1:37" s="71" customFormat="1" ht="12.75" customHeight="1">
      <c r="A152" s="220"/>
      <c r="B152" s="69" t="s">
        <v>15</v>
      </c>
      <c r="C152" s="66">
        <v>522</v>
      </c>
      <c r="D152" s="70"/>
      <c r="E152" s="70"/>
      <c r="F152" s="98" t="s">
        <v>201</v>
      </c>
      <c r="G152" s="98" t="s">
        <v>201</v>
      </c>
      <c r="H152" s="70" t="s">
        <v>201</v>
      </c>
      <c r="I152" s="70" t="s">
        <v>1006</v>
      </c>
      <c r="J152" s="70" t="s">
        <v>1007</v>
      </c>
      <c r="K152" s="70" t="s">
        <v>209</v>
      </c>
      <c r="L152" s="57" t="s">
        <v>192</v>
      </c>
      <c r="M152" s="70"/>
      <c r="N152" s="70"/>
      <c r="O152" s="70"/>
      <c r="P152" s="70"/>
      <c r="Q152" s="70"/>
      <c r="R152" s="70"/>
      <c r="S152" s="70"/>
      <c r="T152" s="70"/>
      <c r="U152" s="70"/>
      <c r="V152" s="69"/>
      <c r="W152" s="100"/>
      <c r="X152" s="70"/>
      <c r="Y152" s="70"/>
      <c r="Z152" s="70"/>
      <c r="AA152" s="70"/>
      <c r="AB152" s="70"/>
      <c r="AC152" s="70"/>
      <c r="AD152" s="69"/>
      <c r="AE152" s="101"/>
      <c r="AF152" s="470"/>
      <c r="AG152" s="470"/>
      <c r="AH152" s="470"/>
      <c r="AI152" s="103"/>
      <c r="AJ152" s="266"/>
      <c r="AK152" s="104"/>
    </row>
    <row r="153" spans="1:37" s="319" customFormat="1" ht="12.75" customHeight="1">
      <c r="A153" s="220"/>
      <c r="B153" s="69" t="s">
        <v>46</v>
      </c>
      <c r="C153" s="66">
        <v>523</v>
      </c>
      <c r="D153" s="69" t="b">
        <v>1</v>
      </c>
      <c r="E153" s="70"/>
      <c r="F153" s="98" t="s">
        <v>1008</v>
      </c>
      <c r="G153" s="98" t="s">
        <v>1009</v>
      </c>
      <c r="H153" s="70" t="s">
        <v>1010</v>
      </c>
      <c r="I153" s="70" t="s">
        <v>1011</v>
      </c>
      <c r="J153" s="70" t="s">
        <v>1012</v>
      </c>
      <c r="K153" s="70" t="s">
        <v>209</v>
      </c>
      <c r="L153" s="57" t="s">
        <v>192</v>
      </c>
      <c r="M153" s="70"/>
      <c r="N153" s="70"/>
      <c r="O153" s="70"/>
      <c r="P153" s="70"/>
      <c r="Q153" s="70"/>
      <c r="R153" s="70"/>
      <c r="S153" s="447"/>
      <c r="T153" s="70"/>
      <c r="U153" s="447" t="s">
        <v>1013</v>
      </c>
      <c r="V153" s="69" t="str">
        <f t="shared" ref="V153:V158" si="6">_xlfn.CONCAT($AH$14,"_",U153)</f>
        <v>3922_Delta_Scale_Max</v>
      </c>
      <c r="W153" s="433" t="s">
        <v>234</v>
      </c>
      <c r="X153" s="66">
        <v>3922</v>
      </c>
      <c r="Y153" s="70" t="s">
        <v>272</v>
      </c>
      <c r="Z153" s="70" t="s">
        <v>890</v>
      </c>
      <c r="AA153" s="70">
        <v>19</v>
      </c>
      <c r="AB153" s="67" t="s">
        <v>198</v>
      </c>
      <c r="AC153" s="69" t="s">
        <v>141</v>
      </c>
      <c r="AD153" s="66" t="s">
        <v>199</v>
      </c>
      <c r="AE153" s="101" t="s">
        <v>631</v>
      </c>
      <c r="AF153" s="470">
        <v>0</v>
      </c>
      <c r="AG153" s="470">
        <v>100</v>
      </c>
      <c r="AH153" s="470">
        <v>0</v>
      </c>
      <c r="AI153" s="103"/>
      <c r="AJ153" s="266"/>
      <c r="AK153" s="104"/>
    </row>
    <row r="154" spans="1:37" s="319" customFormat="1" ht="12.6">
      <c r="A154" s="220"/>
      <c r="B154" s="69" t="s">
        <v>68</v>
      </c>
      <c r="C154" s="66">
        <v>524</v>
      </c>
      <c r="D154" s="69" t="b">
        <v>1</v>
      </c>
      <c r="E154" s="70"/>
      <c r="F154" s="98" t="s">
        <v>1014</v>
      </c>
      <c r="G154" s="98" t="s">
        <v>1015</v>
      </c>
      <c r="H154" s="70" t="s">
        <v>1016</v>
      </c>
      <c r="I154" s="70" t="s">
        <v>1017</v>
      </c>
      <c r="J154" s="70" t="s">
        <v>1018</v>
      </c>
      <c r="K154" s="70" t="s">
        <v>166</v>
      </c>
      <c r="L154" s="57" t="s">
        <v>192</v>
      </c>
      <c r="M154" s="70"/>
      <c r="N154" s="70"/>
      <c r="O154" s="70"/>
      <c r="P154" s="70"/>
      <c r="Q154" s="70"/>
      <c r="R154" s="70"/>
      <c r="S154" s="447"/>
      <c r="T154" s="70" t="s">
        <v>193</v>
      </c>
      <c r="U154" s="447" t="s">
        <v>1019</v>
      </c>
      <c r="V154" s="69" t="str">
        <f t="shared" si="6"/>
        <v>3922_IPC_interval</v>
      </c>
      <c r="W154" s="433" t="s">
        <v>271</v>
      </c>
      <c r="X154" s="66">
        <v>3922</v>
      </c>
      <c r="Y154" s="70" t="s">
        <v>272</v>
      </c>
      <c r="Z154" s="70" t="s">
        <v>890</v>
      </c>
      <c r="AA154" s="70">
        <v>20</v>
      </c>
      <c r="AB154" s="67" t="s">
        <v>198</v>
      </c>
      <c r="AC154" s="69" t="s">
        <v>141</v>
      </c>
      <c r="AD154" s="66" t="s">
        <v>199</v>
      </c>
      <c r="AE154" s="101"/>
      <c r="AF154" s="102">
        <v>0</v>
      </c>
      <c r="AG154" s="102">
        <v>15</v>
      </c>
      <c r="AH154" s="102">
        <v>0</v>
      </c>
      <c r="AI154" s="103"/>
      <c r="AJ154" s="266" t="s">
        <v>1020</v>
      </c>
      <c r="AK154" s="104"/>
    </row>
    <row r="155" spans="1:37" s="319" customFormat="1" ht="12.75" customHeight="1">
      <c r="A155" s="220"/>
      <c r="B155" s="69" t="s">
        <v>46</v>
      </c>
      <c r="C155" s="66">
        <v>525</v>
      </c>
      <c r="D155" s="69" t="b">
        <v>1</v>
      </c>
      <c r="E155" s="70"/>
      <c r="F155" s="98" t="s">
        <v>1021</v>
      </c>
      <c r="G155" s="98" t="s">
        <v>1022</v>
      </c>
      <c r="H155" s="70" t="s">
        <v>1023</v>
      </c>
      <c r="I155" s="70" t="s">
        <v>1024</v>
      </c>
      <c r="J155" s="70" t="s">
        <v>1025</v>
      </c>
      <c r="K155" s="70" t="s">
        <v>166</v>
      </c>
      <c r="L155" s="57" t="s">
        <v>192</v>
      </c>
      <c r="M155" s="70"/>
      <c r="N155" s="70"/>
      <c r="O155" s="70"/>
      <c r="P155" s="70"/>
      <c r="Q155" s="70"/>
      <c r="R155" s="70"/>
      <c r="S155" s="447"/>
      <c r="T155" s="70" t="s">
        <v>193</v>
      </c>
      <c r="U155" s="447" t="s">
        <v>1026</v>
      </c>
      <c r="V155" s="69" t="str">
        <f t="shared" si="6"/>
        <v>3922_Cons_tar_Nt_stable</v>
      </c>
      <c r="W155" s="433" t="s">
        <v>234</v>
      </c>
      <c r="X155" s="66">
        <v>3922</v>
      </c>
      <c r="Y155" s="70" t="s">
        <v>196</v>
      </c>
      <c r="Z155" s="70" t="s">
        <v>890</v>
      </c>
      <c r="AA155" s="70">
        <v>21</v>
      </c>
      <c r="AB155" s="67" t="s">
        <v>198</v>
      </c>
      <c r="AC155" s="69" t="s">
        <v>141</v>
      </c>
      <c r="AD155" s="66" t="s">
        <v>142</v>
      </c>
      <c r="AE155" s="101" t="s">
        <v>428</v>
      </c>
      <c r="AF155" s="102">
        <v>1</v>
      </c>
      <c r="AG155" s="102">
        <v>10</v>
      </c>
      <c r="AH155" s="102">
        <v>3</v>
      </c>
      <c r="AI155" s="103"/>
      <c r="AJ155" s="266"/>
      <c r="AK155" s="104"/>
    </row>
    <row r="156" spans="1:37" s="319" customFormat="1" ht="12.75" customHeight="1">
      <c r="A156" s="220"/>
      <c r="B156" s="69" t="s">
        <v>46</v>
      </c>
      <c r="C156" s="66">
        <v>526</v>
      </c>
      <c r="D156" s="69" t="b">
        <v>1</v>
      </c>
      <c r="E156" s="70"/>
      <c r="F156" s="98" t="s">
        <v>1027</v>
      </c>
      <c r="G156" s="98" t="s">
        <v>1028</v>
      </c>
      <c r="H156" s="70" t="s">
        <v>1029</v>
      </c>
      <c r="I156" s="70" t="s">
        <v>1030</v>
      </c>
      <c r="J156" s="70" t="s">
        <v>1031</v>
      </c>
      <c r="K156" s="70" t="s">
        <v>166</v>
      </c>
      <c r="L156" s="57" t="s">
        <v>192</v>
      </c>
      <c r="M156" s="70"/>
      <c r="N156" s="70"/>
      <c r="O156" s="70"/>
      <c r="P156" s="70"/>
      <c r="Q156" s="70"/>
      <c r="R156" s="70"/>
      <c r="S156" s="447"/>
      <c r="T156" s="70" t="s">
        <v>193</v>
      </c>
      <c r="U156" s="447" t="s">
        <v>1032</v>
      </c>
      <c r="V156" s="69" t="str">
        <f t="shared" si="6"/>
        <v>3922_Cons_brut_Nt_stable</v>
      </c>
      <c r="W156" s="433" t="s">
        <v>234</v>
      </c>
      <c r="X156" s="66">
        <v>3922</v>
      </c>
      <c r="Y156" s="70" t="s">
        <v>196</v>
      </c>
      <c r="Z156" s="70" t="s">
        <v>890</v>
      </c>
      <c r="AA156" s="70">
        <v>22</v>
      </c>
      <c r="AB156" s="67" t="s">
        <v>198</v>
      </c>
      <c r="AC156" s="69" t="s">
        <v>141</v>
      </c>
      <c r="AD156" s="66" t="s">
        <v>142</v>
      </c>
      <c r="AE156" s="101" t="s">
        <v>428</v>
      </c>
      <c r="AF156" s="102">
        <v>1</v>
      </c>
      <c r="AG156" s="102">
        <v>10</v>
      </c>
      <c r="AH156" s="102">
        <v>3</v>
      </c>
      <c r="AI156" s="103"/>
      <c r="AJ156" s="266"/>
      <c r="AK156" s="104"/>
    </row>
    <row r="157" spans="1:37" s="319" customFormat="1" ht="12.75" customHeight="1">
      <c r="A157" s="220"/>
      <c r="B157" s="69" t="s">
        <v>46</v>
      </c>
      <c r="C157" s="66">
        <v>527</v>
      </c>
      <c r="D157" s="69" t="b">
        <v>1</v>
      </c>
      <c r="E157" s="70"/>
      <c r="F157" s="98" t="s">
        <v>1033</v>
      </c>
      <c r="G157" s="98" t="s">
        <v>1034</v>
      </c>
      <c r="H157" s="70" t="s">
        <v>1035</v>
      </c>
      <c r="I157" s="70" t="s">
        <v>1036</v>
      </c>
      <c r="J157" s="70" t="s">
        <v>1037</v>
      </c>
      <c r="K157" s="70" t="s">
        <v>166</v>
      </c>
      <c r="L157" s="57" t="s">
        <v>192</v>
      </c>
      <c r="M157" s="70"/>
      <c r="N157" s="70"/>
      <c r="O157" s="70"/>
      <c r="P157" s="70"/>
      <c r="Q157" s="70"/>
      <c r="R157" s="70"/>
      <c r="S157" s="447"/>
      <c r="T157" s="70" t="s">
        <v>193</v>
      </c>
      <c r="U157" s="447" t="s">
        <v>1038</v>
      </c>
      <c r="V157" s="69" t="str">
        <f t="shared" si="6"/>
        <v>3922_Cons_uit_vullimiet</v>
      </c>
      <c r="W157" s="433" t="s">
        <v>359</v>
      </c>
      <c r="X157" s="66">
        <v>3922</v>
      </c>
      <c r="Y157" s="70" t="s">
        <v>272</v>
      </c>
      <c r="Z157" s="70" t="s">
        <v>890</v>
      </c>
      <c r="AA157" s="70">
        <v>23</v>
      </c>
      <c r="AB157" s="67" t="s">
        <v>198</v>
      </c>
      <c r="AC157" s="69" t="s">
        <v>141</v>
      </c>
      <c r="AD157" s="66" t="s">
        <v>199</v>
      </c>
      <c r="AE157" s="101" t="s">
        <v>428</v>
      </c>
      <c r="AF157" s="102">
        <v>0</v>
      </c>
      <c r="AG157" s="102">
        <v>2</v>
      </c>
      <c r="AH157" s="102">
        <v>2</v>
      </c>
      <c r="AI157" s="103"/>
      <c r="AJ157" s="266"/>
      <c r="AK157" s="104"/>
    </row>
    <row r="158" spans="1:37" s="319" customFormat="1" ht="12.75" customHeight="1">
      <c r="A158" s="220"/>
      <c r="B158" s="69" t="s">
        <v>46</v>
      </c>
      <c r="C158" s="66">
        <v>528</v>
      </c>
      <c r="D158" s="69" t="b">
        <v>1</v>
      </c>
      <c r="E158" s="70"/>
      <c r="F158" s="98" t="s">
        <v>1039</v>
      </c>
      <c r="G158" s="98" t="s">
        <v>1040</v>
      </c>
      <c r="H158" s="70" t="s">
        <v>1041</v>
      </c>
      <c r="I158" s="70" t="s">
        <v>1042</v>
      </c>
      <c r="J158" s="70" t="s">
        <v>1043</v>
      </c>
      <c r="K158" s="70" t="s">
        <v>166</v>
      </c>
      <c r="L158" s="57" t="s">
        <v>192</v>
      </c>
      <c r="M158" s="70"/>
      <c r="N158" s="70"/>
      <c r="O158" s="70"/>
      <c r="P158" s="70"/>
      <c r="Q158" s="70"/>
      <c r="R158" s="70"/>
      <c r="S158" s="447"/>
      <c r="T158" s="70" t="s">
        <v>193</v>
      </c>
      <c r="U158" s="447" t="s">
        <v>1044</v>
      </c>
      <c r="V158" s="69" t="str">
        <f t="shared" si="6"/>
        <v>3922_Nr_pos1_preprod_OK</v>
      </c>
      <c r="W158" s="433" t="s">
        <v>234</v>
      </c>
      <c r="X158" s="66">
        <v>3922</v>
      </c>
      <c r="Y158" s="70" t="s">
        <v>272</v>
      </c>
      <c r="Z158" s="70" t="s">
        <v>890</v>
      </c>
      <c r="AA158" s="70">
        <v>24</v>
      </c>
      <c r="AB158" s="67" t="s">
        <v>198</v>
      </c>
      <c r="AC158" s="69" t="s">
        <v>141</v>
      </c>
      <c r="AD158" s="66" t="s">
        <v>199</v>
      </c>
      <c r="AE158" s="101" t="s">
        <v>428</v>
      </c>
      <c r="AF158" s="102">
        <v>1</v>
      </c>
      <c r="AG158" s="102">
        <v>10</v>
      </c>
      <c r="AH158" s="102">
        <v>3</v>
      </c>
      <c r="AI158" s="103"/>
      <c r="AJ158" s="266"/>
      <c r="AK158" s="104"/>
    </row>
    <row r="159" spans="1:37" s="71" customFormat="1" ht="12.75" customHeight="1">
      <c r="A159" s="220"/>
      <c r="B159" s="69" t="s">
        <v>15</v>
      </c>
      <c r="C159" s="66">
        <v>529</v>
      </c>
      <c r="D159" s="70"/>
      <c r="E159" s="70"/>
      <c r="F159" s="397" t="s">
        <v>201</v>
      </c>
      <c r="G159" s="397" t="s">
        <v>201</v>
      </c>
      <c r="H159" s="69" t="s">
        <v>201</v>
      </c>
      <c r="I159" s="70" t="s">
        <v>1045</v>
      </c>
      <c r="J159" s="70" t="s">
        <v>1046</v>
      </c>
      <c r="K159" s="70"/>
      <c r="L159" s="57" t="s">
        <v>192</v>
      </c>
      <c r="M159" s="70"/>
      <c r="N159" s="70"/>
      <c r="O159" s="70"/>
      <c r="P159" s="70"/>
      <c r="Q159" s="70"/>
      <c r="R159" s="70"/>
      <c r="S159" s="69"/>
      <c r="T159" s="70"/>
      <c r="U159" s="69"/>
      <c r="V159" s="69"/>
      <c r="W159" s="100"/>
      <c r="X159" s="70"/>
      <c r="Y159" s="70"/>
      <c r="Z159" s="70"/>
      <c r="AA159" s="70"/>
      <c r="AB159" s="70"/>
      <c r="AC159" s="70"/>
      <c r="AD159" s="69"/>
      <c r="AE159" s="101"/>
      <c r="AF159" s="102"/>
      <c r="AG159" s="102"/>
      <c r="AH159" s="102"/>
      <c r="AI159" s="103"/>
      <c r="AJ159" s="266"/>
      <c r="AK159" s="104"/>
    </row>
    <row r="160" spans="1:37" s="319" customFormat="1" ht="12.75" customHeight="1">
      <c r="A160" s="220"/>
      <c r="B160" s="69" t="s">
        <v>46</v>
      </c>
      <c r="C160" s="66">
        <v>550</v>
      </c>
      <c r="D160" s="69" t="b">
        <v>1</v>
      </c>
      <c r="E160" s="70"/>
      <c r="F160" s="98" t="s">
        <v>1047</v>
      </c>
      <c r="G160" s="98" t="s">
        <v>1048</v>
      </c>
      <c r="H160" s="70" t="s">
        <v>1049</v>
      </c>
      <c r="I160" s="70" t="s">
        <v>1050</v>
      </c>
      <c r="J160" s="70" t="s">
        <v>1051</v>
      </c>
      <c r="K160" s="70" t="s">
        <v>321</v>
      </c>
      <c r="L160" s="57" t="s">
        <v>192</v>
      </c>
      <c r="M160" s="70"/>
      <c r="N160" s="70"/>
      <c r="O160" s="70"/>
      <c r="P160" s="70"/>
      <c r="Q160" s="70"/>
      <c r="R160" s="70"/>
      <c r="S160" s="447"/>
      <c r="T160" s="70" t="s">
        <v>193</v>
      </c>
      <c r="U160" s="447" t="s">
        <v>1052</v>
      </c>
      <c r="V160" s="69" t="str">
        <f>_xlfn.CONCAT($AH$14,"_",U160)</f>
        <v>3922_Stopperstation_YN</v>
      </c>
      <c r="W160" s="433" t="s">
        <v>289</v>
      </c>
      <c r="X160" s="66">
        <v>3922</v>
      </c>
      <c r="Y160" s="70" t="s">
        <v>196</v>
      </c>
      <c r="Z160" s="70" t="s">
        <v>1047</v>
      </c>
      <c r="AA160" s="70">
        <v>1</v>
      </c>
      <c r="AB160" s="67" t="s">
        <v>198</v>
      </c>
      <c r="AC160" s="69" t="s">
        <v>141</v>
      </c>
      <c r="AD160" s="66" t="s">
        <v>199</v>
      </c>
      <c r="AE160" s="101"/>
      <c r="AF160" s="102">
        <v>0</v>
      </c>
      <c r="AG160" s="102">
        <v>1</v>
      </c>
      <c r="AH160" s="102">
        <v>0</v>
      </c>
      <c r="AI160" s="103"/>
      <c r="AJ160" s="266"/>
      <c r="AK160" s="104"/>
    </row>
    <row r="161" spans="1:37" s="319" customFormat="1" ht="12.75" customHeight="1">
      <c r="A161" s="220"/>
      <c r="B161" s="69" t="s">
        <v>46</v>
      </c>
      <c r="C161" s="66">
        <v>551</v>
      </c>
      <c r="D161" s="69" t="b">
        <v>1</v>
      </c>
      <c r="E161" s="70"/>
      <c r="F161" s="98" t="s">
        <v>1053</v>
      </c>
      <c r="G161" s="98" t="s">
        <v>1054</v>
      </c>
      <c r="H161" s="70" t="s">
        <v>1055</v>
      </c>
      <c r="I161" s="70" t="s">
        <v>1056</v>
      </c>
      <c r="J161" s="70" t="s">
        <v>1057</v>
      </c>
      <c r="K161" s="70" t="s">
        <v>321</v>
      </c>
      <c r="L161" s="57" t="s">
        <v>192</v>
      </c>
      <c r="M161" s="70"/>
      <c r="N161" s="70"/>
      <c r="O161" s="70"/>
      <c r="P161" s="70"/>
      <c r="Q161" s="70"/>
      <c r="R161" s="70"/>
      <c r="S161" s="447"/>
      <c r="T161" s="70"/>
      <c r="U161" s="447" t="s">
        <v>1058</v>
      </c>
      <c r="V161" s="69" t="str">
        <f>_xlfn.CONCAT($AH$14,"_",U161)</f>
        <v>3922_Stoppercheck_YN</v>
      </c>
      <c r="W161" s="433" t="s">
        <v>234</v>
      </c>
      <c r="X161" s="66">
        <v>3922</v>
      </c>
      <c r="Y161" s="447" t="s">
        <v>196</v>
      </c>
      <c r="Z161" s="70" t="s">
        <v>1047</v>
      </c>
      <c r="AA161" s="70">
        <v>2</v>
      </c>
      <c r="AB161" s="67" t="s">
        <v>198</v>
      </c>
      <c r="AC161" s="69" t="s">
        <v>141</v>
      </c>
      <c r="AD161" s="66" t="s">
        <v>199</v>
      </c>
      <c r="AE161" s="101"/>
      <c r="AF161" s="102">
        <v>0</v>
      </c>
      <c r="AG161" s="102">
        <v>1</v>
      </c>
      <c r="AH161" s="102">
        <v>0</v>
      </c>
      <c r="AI161" s="103"/>
      <c r="AJ161" s="266"/>
      <c r="AK161" s="104"/>
    </row>
    <row r="162" spans="1:37" s="319" customFormat="1" ht="12.75" customHeight="1">
      <c r="A162" s="220"/>
      <c r="B162" s="69" t="s">
        <v>68</v>
      </c>
      <c r="C162" s="66">
        <v>552</v>
      </c>
      <c r="D162" s="69" t="b">
        <v>1</v>
      </c>
      <c r="E162" s="70"/>
      <c r="F162" s="98" t="s">
        <v>1059</v>
      </c>
      <c r="G162" s="98" t="s">
        <v>1060</v>
      </c>
      <c r="H162" s="70" t="s">
        <v>1061</v>
      </c>
      <c r="I162" s="70" t="s">
        <v>1062</v>
      </c>
      <c r="J162" s="70" t="s">
        <v>1063</v>
      </c>
      <c r="K162" s="70" t="s">
        <v>321</v>
      </c>
      <c r="L162" s="57" t="s">
        <v>192</v>
      </c>
      <c r="M162" s="70"/>
      <c r="N162" s="70"/>
      <c r="O162" s="70"/>
      <c r="P162" s="70"/>
      <c r="Q162" s="70"/>
      <c r="R162" s="70"/>
      <c r="S162" s="447"/>
      <c r="T162" s="70"/>
      <c r="U162" s="447" t="s">
        <v>1064</v>
      </c>
      <c r="V162" s="69" t="str">
        <f>_xlfn.CONCAT($AH$14,"_",U162)</f>
        <v>3922_Stopperscheider_YN</v>
      </c>
      <c r="W162" s="433" t="s">
        <v>289</v>
      </c>
      <c r="X162" s="66">
        <v>3922</v>
      </c>
      <c r="Y162" s="70" t="s">
        <v>272</v>
      </c>
      <c r="Z162" s="70" t="s">
        <v>1047</v>
      </c>
      <c r="AA162" s="70">
        <v>3</v>
      </c>
      <c r="AB162" s="67" t="s">
        <v>198</v>
      </c>
      <c r="AC162" s="69" t="s">
        <v>141</v>
      </c>
      <c r="AD162" s="66" t="s">
        <v>199</v>
      </c>
      <c r="AE162" s="101"/>
      <c r="AF162" s="102">
        <v>0</v>
      </c>
      <c r="AG162" s="102">
        <v>1</v>
      </c>
      <c r="AH162" s="102">
        <v>0</v>
      </c>
      <c r="AI162" s="103"/>
      <c r="AJ162" s="266"/>
      <c r="AK162" s="104"/>
    </row>
    <row r="163" spans="1:37" s="71" customFormat="1" ht="12.75" customHeight="1">
      <c r="A163" s="220"/>
      <c r="B163" s="69" t="s">
        <v>15</v>
      </c>
      <c r="C163" s="66">
        <v>553</v>
      </c>
      <c r="D163" s="70"/>
      <c r="E163" s="70"/>
      <c r="F163" s="98" t="s">
        <v>201</v>
      </c>
      <c r="G163" s="98" t="s">
        <v>201</v>
      </c>
      <c r="H163" s="70" t="s">
        <v>201</v>
      </c>
      <c r="I163" s="70" t="s">
        <v>1065</v>
      </c>
      <c r="J163" s="70" t="s">
        <v>1066</v>
      </c>
      <c r="K163" s="70" t="s">
        <v>321</v>
      </c>
      <c r="L163" s="57" t="s">
        <v>192</v>
      </c>
      <c r="M163" s="70"/>
      <c r="N163" s="70"/>
      <c r="O163" s="70"/>
      <c r="P163" s="70"/>
      <c r="Q163" s="70"/>
      <c r="R163" s="70"/>
      <c r="S163" s="70"/>
      <c r="T163" s="70"/>
      <c r="U163" s="70"/>
      <c r="V163" s="69"/>
      <c r="W163" s="100"/>
      <c r="X163" s="70"/>
      <c r="Y163" s="70"/>
      <c r="Z163" s="70"/>
      <c r="AA163" s="70"/>
      <c r="AB163" s="70"/>
      <c r="AC163" s="70"/>
      <c r="AD163" s="69"/>
      <c r="AE163" s="101"/>
      <c r="AF163" s="102"/>
      <c r="AG163" s="102"/>
      <c r="AH163" s="102"/>
      <c r="AI163" s="103"/>
      <c r="AJ163" s="266"/>
      <c r="AK163" s="104"/>
    </row>
    <row r="164" spans="1:37" s="71" customFormat="1" ht="12.75" customHeight="1">
      <c r="A164" s="220"/>
      <c r="B164" s="69" t="s">
        <v>15</v>
      </c>
      <c r="C164" s="66">
        <v>554</v>
      </c>
      <c r="D164" s="70"/>
      <c r="E164" s="70"/>
      <c r="F164" s="98" t="s">
        <v>201</v>
      </c>
      <c r="G164" s="98" t="s">
        <v>201</v>
      </c>
      <c r="H164" s="70" t="s">
        <v>201</v>
      </c>
      <c r="I164" s="70" t="s">
        <v>1067</v>
      </c>
      <c r="J164" s="70" t="s">
        <v>1068</v>
      </c>
      <c r="K164" s="70" t="s">
        <v>321</v>
      </c>
      <c r="L164" s="57" t="s">
        <v>192</v>
      </c>
      <c r="M164" s="70"/>
      <c r="N164" s="70"/>
      <c r="O164" s="70"/>
      <c r="P164" s="70"/>
      <c r="Q164" s="70"/>
      <c r="R164" s="70"/>
      <c r="S164" s="70"/>
      <c r="T164" s="70"/>
      <c r="U164" s="70"/>
      <c r="V164" s="69"/>
      <c r="W164" s="100"/>
      <c r="X164" s="70"/>
      <c r="Y164" s="70"/>
      <c r="Z164" s="70"/>
      <c r="AA164" s="70"/>
      <c r="AB164" s="70"/>
      <c r="AC164" s="70"/>
      <c r="AD164" s="69"/>
      <c r="AE164" s="101"/>
      <c r="AF164" s="102"/>
      <c r="AG164" s="102"/>
      <c r="AH164" s="102"/>
      <c r="AI164" s="103"/>
      <c r="AJ164" s="266"/>
      <c r="AK164" s="104"/>
    </row>
    <row r="165" spans="1:37" s="71" customFormat="1" ht="12.75" customHeight="1">
      <c r="A165" s="220"/>
      <c r="B165" s="69" t="s">
        <v>15</v>
      </c>
      <c r="C165" s="66">
        <v>555</v>
      </c>
      <c r="D165" s="70"/>
      <c r="E165" s="70"/>
      <c r="F165" s="98" t="s">
        <v>201</v>
      </c>
      <c r="G165" s="98" t="s">
        <v>201</v>
      </c>
      <c r="H165" s="70" t="s">
        <v>201</v>
      </c>
      <c r="I165" s="70" t="s">
        <v>1069</v>
      </c>
      <c r="J165" s="70" t="s">
        <v>1070</v>
      </c>
      <c r="K165" s="70" t="s">
        <v>321</v>
      </c>
      <c r="L165" s="57" t="s">
        <v>192</v>
      </c>
      <c r="M165" s="70"/>
      <c r="N165" s="70"/>
      <c r="O165" s="70"/>
      <c r="P165" s="70"/>
      <c r="Q165" s="70"/>
      <c r="R165" s="70"/>
      <c r="S165" s="70"/>
      <c r="T165" s="70"/>
      <c r="U165" s="70"/>
      <c r="V165" s="69"/>
      <c r="W165" s="100"/>
      <c r="X165" s="70"/>
      <c r="Y165" s="70"/>
      <c r="Z165" s="70"/>
      <c r="AA165" s="70"/>
      <c r="AB165" s="70"/>
      <c r="AC165" s="70"/>
      <c r="AD165" s="69"/>
      <c r="AE165" s="101"/>
      <c r="AF165" s="102"/>
      <c r="AG165" s="102"/>
      <c r="AH165" s="102"/>
      <c r="AI165" s="103"/>
      <c r="AJ165" s="266"/>
      <c r="AK165" s="104"/>
    </row>
    <row r="166" spans="1:37" s="71" customFormat="1" ht="12.75" customHeight="1">
      <c r="A166" s="220"/>
      <c r="B166" s="69" t="s">
        <v>15</v>
      </c>
      <c r="C166" s="66">
        <v>556</v>
      </c>
      <c r="D166" s="70"/>
      <c r="E166" s="70"/>
      <c r="F166" s="98" t="s">
        <v>201</v>
      </c>
      <c r="G166" s="98" t="s">
        <v>201</v>
      </c>
      <c r="H166" s="70" t="s">
        <v>201</v>
      </c>
      <c r="I166" s="70" t="s">
        <v>1071</v>
      </c>
      <c r="J166" s="70" t="s">
        <v>1072</v>
      </c>
      <c r="K166" s="70" t="s">
        <v>321</v>
      </c>
      <c r="L166" s="57" t="s">
        <v>192</v>
      </c>
      <c r="M166" s="70"/>
      <c r="N166" s="70"/>
      <c r="O166" s="70"/>
      <c r="P166" s="70"/>
      <c r="Q166" s="70"/>
      <c r="R166" s="70"/>
      <c r="S166" s="70"/>
      <c r="T166" s="70"/>
      <c r="U166" s="70"/>
      <c r="V166" s="69"/>
      <c r="W166" s="100"/>
      <c r="X166" s="70"/>
      <c r="Y166" s="70"/>
      <c r="Z166" s="70"/>
      <c r="AA166" s="70"/>
      <c r="AB166" s="70"/>
      <c r="AC166" s="70"/>
      <c r="AD166" s="69"/>
      <c r="AE166" s="101"/>
      <c r="AF166" s="102"/>
      <c r="AG166" s="102"/>
      <c r="AH166" s="102"/>
      <c r="AI166" s="103"/>
      <c r="AJ166" s="266"/>
      <c r="AK166" s="104"/>
    </row>
    <row r="167" spans="1:37" s="71" customFormat="1" ht="12.75" customHeight="1">
      <c r="A167" s="220"/>
      <c r="B167" s="69" t="s">
        <v>15</v>
      </c>
      <c r="C167" s="66">
        <v>557</v>
      </c>
      <c r="D167" s="70"/>
      <c r="E167" s="70"/>
      <c r="F167" s="98" t="s">
        <v>201</v>
      </c>
      <c r="G167" s="98" t="s">
        <v>201</v>
      </c>
      <c r="H167" s="70" t="s">
        <v>201</v>
      </c>
      <c r="I167" s="70" t="s">
        <v>1073</v>
      </c>
      <c r="J167" s="70" t="s">
        <v>1074</v>
      </c>
      <c r="K167" s="70" t="s">
        <v>321</v>
      </c>
      <c r="L167" s="57" t="s">
        <v>192</v>
      </c>
      <c r="M167" s="70"/>
      <c r="N167" s="70"/>
      <c r="O167" s="70"/>
      <c r="P167" s="70"/>
      <c r="Q167" s="70"/>
      <c r="R167" s="70"/>
      <c r="S167" s="70"/>
      <c r="T167" s="70"/>
      <c r="U167" s="70"/>
      <c r="V167" s="69"/>
      <c r="W167" s="100"/>
      <c r="X167" s="70"/>
      <c r="Y167" s="70"/>
      <c r="Z167" s="70"/>
      <c r="AA167" s="70"/>
      <c r="AB167" s="70"/>
      <c r="AC167" s="70"/>
      <c r="AD167" s="69"/>
      <c r="AE167" s="101"/>
      <c r="AF167" s="102"/>
      <c r="AG167" s="102"/>
      <c r="AH167" s="102"/>
      <c r="AI167" s="103"/>
      <c r="AJ167" s="266"/>
      <c r="AK167" s="104"/>
    </row>
    <row r="168" spans="1:37" s="319" customFormat="1" ht="12.75" customHeight="1">
      <c r="A168" s="220"/>
      <c r="B168" s="69" t="s">
        <v>46</v>
      </c>
      <c r="C168" s="66">
        <v>558</v>
      </c>
      <c r="D168" s="69" t="b">
        <v>1</v>
      </c>
      <c r="E168" s="70"/>
      <c r="F168" s="98" t="s">
        <v>1075</v>
      </c>
      <c r="G168" s="98" t="s">
        <v>1076</v>
      </c>
      <c r="H168" s="447" t="s">
        <v>1077</v>
      </c>
      <c r="I168" s="70" t="s">
        <v>1078</v>
      </c>
      <c r="J168" s="70" t="s">
        <v>1079</v>
      </c>
      <c r="K168" s="70" t="s">
        <v>209</v>
      </c>
      <c r="L168" s="57" t="s">
        <v>192</v>
      </c>
      <c r="M168" s="70"/>
      <c r="N168" s="70"/>
      <c r="O168" s="70"/>
      <c r="P168" s="70"/>
      <c r="Q168" s="70"/>
      <c r="R168" s="70"/>
      <c r="S168" s="447"/>
      <c r="T168" s="70"/>
      <c r="U168" s="447" t="s">
        <v>1080</v>
      </c>
      <c r="V168" s="69" t="str">
        <f>_xlfn.CONCAT($AH$14,"_",U168)</f>
        <v>3922_70Y2_SP_Hz</v>
      </c>
      <c r="W168" s="433" t="s">
        <v>289</v>
      </c>
      <c r="X168" s="66">
        <v>3922</v>
      </c>
      <c r="Y168" s="70" t="s">
        <v>196</v>
      </c>
      <c r="Z168" s="70" t="s">
        <v>1047</v>
      </c>
      <c r="AA168" s="70">
        <v>4</v>
      </c>
      <c r="AB168" s="67" t="s">
        <v>198</v>
      </c>
      <c r="AC168" s="69" t="s">
        <v>141</v>
      </c>
      <c r="AD168" s="66" t="s">
        <v>142</v>
      </c>
      <c r="AE168" s="101" t="s">
        <v>1081</v>
      </c>
      <c r="AF168" s="424">
        <v>20</v>
      </c>
      <c r="AG168" s="424">
        <v>140</v>
      </c>
      <c r="AH168" s="424">
        <v>20</v>
      </c>
      <c r="AI168" s="103"/>
      <c r="AJ168" s="266"/>
      <c r="AK168" s="104"/>
    </row>
    <row r="169" spans="1:37" s="319" customFormat="1" ht="12.75" customHeight="1">
      <c r="A169" s="220"/>
      <c r="B169" s="69" t="s">
        <v>46</v>
      </c>
      <c r="C169" s="66">
        <v>559</v>
      </c>
      <c r="D169" s="69" t="b">
        <v>1</v>
      </c>
      <c r="E169" s="70"/>
      <c r="F169" s="98" t="s">
        <v>1082</v>
      </c>
      <c r="G169" s="98" t="s">
        <v>1083</v>
      </c>
      <c r="H169" s="447" t="s">
        <v>1084</v>
      </c>
      <c r="I169" s="70" t="s">
        <v>1085</v>
      </c>
      <c r="J169" s="70" t="s">
        <v>1086</v>
      </c>
      <c r="K169" s="70" t="s">
        <v>209</v>
      </c>
      <c r="L169" s="57" t="s">
        <v>192</v>
      </c>
      <c r="M169" s="70"/>
      <c r="N169" s="70"/>
      <c r="O169" s="70"/>
      <c r="P169" s="70"/>
      <c r="Q169" s="70"/>
      <c r="R169" s="70"/>
      <c r="S169" s="447"/>
      <c r="T169" s="70"/>
      <c r="U169" s="447" t="s">
        <v>1087</v>
      </c>
      <c r="V169" s="69" t="str">
        <f>_xlfn.CONCAT($AH$14,"_",U169)</f>
        <v>3922_72Y2_SP_Hz</v>
      </c>
      <c r="W169" s="433" t="s">
        <v>289</v>
      </c>
      <c r="X169" s="66">
        <v>3922</v>
      </c>
      <c r="Y169" s="70" t="s">
        <v>196</v>
      </c>
      <c r="Z169" s="70" t="s">
        <v>1047</v>
      </c>
      <c r="AA169" s="70">
        <v>5</v>
      </c>
      <c r="AB169" s="67" t="s">
        <v>198</v>
      </c>
      <c r="AC169" s="69" t="s">
        <v>141</v>
      </c>
      <c r="AD169" s="66" t="s">
        <v>142</v>
      </c>
      <c r="AE169" s="101" t="s">
        <v>1081</v>
      </c>
      <c r="AF169" s="424">
        <v>20</v>
      </c>
      <c r="AG169" s="424">
        <v>140</v>
      </c>
      <c r="AH169" s="424">
        <v>20</v>
      </c>
      <c r="AI169" s="103"/>
      <c r="AJ169" s="266"/>
      <c r="AK169" s="104"/>
    </row>
    <row r="170" spans="1:37" s="319" customFormat="1" ht="12.75" customHeight="1">
      <c r="A170" s="220"/>
      <c r="B170" s="69" t="s">
        <v>46</v>
      </c>
      <c r="C170" s="66">
        <v>560</v>
      </c>
      <c r="D170" s="69" t="b">
        <v>1</v>
      </c>
      <c r="E170" s="70"/>
      <c r="F170" s="98" t="s">
        <v>1088</v>
      </c>
      <c r="G170" s="98" t="s">
        <v>1089</v>
      </c>
      <c r="H170" s="447" t="s">
        <v>1090</v>
      </c>
      <c r="I170" s="70" t="s">
        <v>1091</v>
      </c>
      <c r="J170" s="70" t="s">
        <v>1092</v>
      </c>
      <c r="K170" s="70" t="s">
        <v>166</v>
      </c>
      <c r="L170" s="57" t="s">
        <v>192</v>
      </c>
      <c r="M170" s="70"/>
      <c r="N170" s="70"/>
      <c r="O170" s="70"/>
      <c r="P170" s="70"/>
      <c r="Q170" s="70"/>
      <c r="R170" s="70"/>
      <c r="S170" s="447"/>
      <c r="T170" s="70"/>
      <c r="U170" s="447" t="s">
        <v>1093</v>
      </c>
      <c r="V170" s="69" t="str">
        <f>_xlfn.CONCAT($AH$14,"_",U170)</f>
        <v>3922_72US1_SP</v>
      </c>
      <c r="W170" s="433" t="s">
        <v>289</v>
      </c>
      <c r="X170" s="66">
        <v>3922</v>
      </c>
      <c r="Y170" s="70" t="s">
        <v>212</v>
      </c>
      <c r="Z170" s="70" t="s">
        <v>1047</v>
      </c>
      <c r="AA170" s="70">
        <v>6</v>
      </c>
      <c r="AB170" s="67" t="s">
        <v>198</v>
      </c>
      <c r="AC170" s="69" t="s">
        <v>141</v>
      </c>
      <c r="AD170" s="66" t="s">
        <v>214</v>
      </c>
      <c r="AE170" s="101" t="s">
        <v>373</v>
      </c>
      <c r="AF170" s="102">
        <v>70</v>
      </c>
      <c r="AG170" s="102">
        <v>800</v>
      </c>
      <c r="AH170" s="102">
        <v>70</v>
      </c>
      <c r="AI170" s="103"/>
      <c r="AJ170" s="266"/>
      <c r="AK170" s="104"/>
    </row>
    <row r="171" spans="1:37" s="71" customFormat="1" ht="12.75" customHeight="1">
      <c r="A171" s="220"/>
      <c r="B171" s="69" t="s">
        <v>15</v>
      </c>
      <c r="C171" s="66">
        <v>561</v>
      </c>
      <c r="D171" s="70"/>
      <c r="E171" s="70"/>
      <c r="F171" s="98" t="s">
        <v>201</v>
      </c>
      <c r="G171" s="98" t="s">
        <v>201</v>
      </c>
      <c r="H171" s="70" t="s">
        <v>201</v>
      </c>
      <c r="I171" s="70" t="s">
        <v>1094</v>
      </c>
      <c r="J171" s="70" t="s">
        <v>1095</v>
      </c>
      <c r="K171" s="70" t="s">
        <v>166</v>
      </c>
      <c r="L171" s="57" t="s">
        <v>192</v>
      </c>
      <c r="M171" s="70"/>
      <c r="N171" s="70"/>
      <c r="O171" s="70"/>
      <c r="P171" s="70"/>
      <c r="Q171" s="70"/>
      <c r="R171" s="70"/>
      <c r="S171" s="447"/>
      <c r="T171" s="70"/>
      <c r="U171" s="447"/>
      <c r="V171" s="69"/>
      <c r="W171" s="100"/>
      <c r="X171" s="70"/>
      <c r="Y171" s="70"/>
      <c r="Z171" s="70"/>
      <c r="AA171" s="70"/>
      <c r="AB171" s="70"/>
      <c r="AC171" s="70"/>
      <c r="AD171" s="69"/>
      <c r="AE171" s="101"/>
      <c r="AF171" s="102"/>
      <c r="AG171" s="102"/>
      <c r="AH171" s="102"/>
      <c r="AI171" s="103"/>
      <c r="AJ171" s="266"/>
      <c r="AK171" s="104"/>
    </row>
    <row r="172" spans="1:37" s="319" customFormat="1" ht="12.75" customHeight="1">
      <c r="A172" s="220"/>
      <c r="B172" s="69" t="s">
        <v>46</v>
      </c>
      <c r="C172" s="66">
        <v>562</v>
      </c>
      <c r="D172" s="69" t="b">
        <v>1</v>
      </c>
      <c r="E172" s="70"/>
      <c r="F172" s="98" t="s">
        <v>1096</v>
      </c>
      <c r="G172" s="98" t="s">
        <v>1097</v>
      </c>
      <c r="H172" s="70" t="s">
        <v>1098</v>
      </c>
      <c r="I172" s="70" t="s">
        <v>1099</v>
      </c>
      <c r="J172" s="70" t="s">
        <v>1100</v>
      </c>
      <c r="K172" s="70" t="s">
        <v>166</v>
      </c>
      <c r="L172" s="57" t="s">
        <v>192</v>
      </c>
      <c r="M172" s="70"/>
      <c r="N172" s="70"/>
      <c r="O172" s="70"/>
      <c r="P172" s="70"/>
      <c r="Q172" s="70"/>
      <c r="R172" s="70"/>
      <c r="S172" s="447"/>
      <c r="T172" s="70"/>
      <c r="U172" s="447" t="s">
        <v>1101</v>
      </c>
      <c r="V172" s="69" t="str">
        <f>_xlfn.CONCAT($AH$14,"_",U172)</f>
        <v>3922_70US1_SP</v>
      </c>
      <c r="W172" s="433" t="s">
        <v>289</v>
      </c>
      <c r="X172" s="66">
        <v>3922</v>
      </c>
      <c r="Y172" s="70" t="s">
        <v>212</v>
      </c>
      <c r="Z172" s="70" t="s">
        <v>1047</v>
      </c>
      <c r="AA172" s="70">
        <v>7</v>
      </c>
      <c r="AB172" s="67" t="s">
        <v>198</v>
      </c>
      <c r="AC172" s="69" t="s">
        <v>141</v>
      </c>
      <c r="AD172" s="66" t="s">
        <v>214</v>
      </c>
      <c r="AE172" s="101" t="s">
        <v>373</v>
      </c>
      <c r="AF172" s="102">
        <v>70</v>
      </c>
      <c r="AG172" s="102">
        <v>500</v>
      </c>
      <c r="AH172" s="102">
        <v>70</v>
      </c>
      <c r="AI172" s="103"/>
      <c r="AJ172" s="266"/>
      <c r="AK172" s="104"/>
    </row>
    <row r="173" spans="1:37" s="319" customFormat="1" ht="12.75" customHeight="1">
      <c r="A173" s="220"/>
      <c r="B173" s="69" t="s">
        <v>46</v>
      </c>
      <c r="C173" s="66">
        <v>563</v>
      </c>
      <c r="D173" s="69" t="b">
        <v>1</v>
      </c>
      <c r="E173" s="70"/>
      <c r="F173" s="98" t="s">
        <v>1102</v>
      </c>
      <c r="G173" s="98" t="s">
        <v>1103</v>
      </c>
      <c r="H173" s="70" t="s">
        <v>1104</v>
      </c>
      <c r="I173" s="70" t="s">
        <v>1105</v>
      </c>
      <c r="J173" s="70" t="s">
        <v>1106</v>
      </c>
      <c r="K173" s="70" t="s">
        <v>166</v>
      </c>
      <c r="L173" s="57" t="s">
        <v>192</v>
      </c>
      <c r="M173" s="70"/>
      <c r="N173" s="70"/>
      <c r="O173" s="70"/>
      <c r="P173" s="70"/>
      <c r="Q173" s="70"/>
      <c r="R173" s="70"/>
      <c r="S173" s="447"/>
      <c r="T173" s="70"/>
      <c r="U173" s="447" t="s">
        <v>1107</v>
      </c>
      <c r="V173" s="69" t="str">
        <f>_xlfn.CONCAT($AH$14,"_",U173)</f>
        <v>3922_70US1_OL</v>
      </c>
      <c r="W173" s="433" t="s">
        <v>289</v>
      </c>
      <c r="X173" s="66">
        <v>3922</v>
      </c>
      <c r="Y173" s="70" t="s">
        <v>212</v>
      </c>
      <c r="Z173" s="70" t="s">
        <v>1047</v>
      </c>
      <c r="AA173" s="70">
        <v>8</v>
      </c>
      <c r="AB173" s="67" t="s">
        <v>198</v>
      </c>
      <c r="AC173" s="69" t="s">
        <v>141</v>
      </c>
      <c r="AD173" s="66" t="s">
        <v>214</v>
      </c>
      <c r="AE173" s="101" t="s">
        <v>373</v>
      </c>
      <c r="AF173" s="102">
        <v>70</v>
      </c>
      <c r="AG173" s="102">
        <v>500</v>
      </c>
      <c r="AH173" s="102">
        <v>70</v>
      </c>
      <c r="AI173" s="103"/>
      <c r="AJ173" s="266"/>
      <c r="AK173" s="104"/>
    </row>
    <row r="174" spans="1:37" s="319" customFormat="1" ht="12.75" customHeight="1">
      <c r="A174" s="220"/>
      <c r="B174" s="69" t="s">
        <v>46</v>
      </c>
      <c r="C174" s="66">
        <v>564</v>
      </c>
      <c r="D174" s="69" t="b">
        <v>1</v>
      </c>
      <c r="E174" s="70"/>
      <c r="F174" s="98" t="s">
        <v>1108</v>
      </c>
      <c r="G174" s="98" t="s">
        <v>1109</v>
      </c>
      <c r="H174" s="70" t="s">
        <v>1110</v>
      </c>
      <c r="I174" s="70" t="s">
        <v>1111</v>
      </c>
      <c r="J174" s="70" t="s">
        <v>1112</v>
      </c>
      <c r="K174" s="70" t="s">
        <v>166</v>
      </c>
      <c r="L174" s="57" t="s">
        <v>192</v>
      </c>
      <c r="M174" s="70"/>
      <c r="N174" s="70"/>
      <c r="O174" s="70"/>
      <c r="P174" s="70"/>
      <c r="Q174" s="70"/>
      <c r="R174" s="70"/>
      <c r="S174" s="447"/>
      <c r="T174" s="70"/>
      <c r="U174" s="447" t="s">
        <v>1113</v>
      </c>
      <c r="V174" s="69" t="str">
        <f>_xlfn.CONCAT($AH$14,"_",U174)</f>
        <v>3922_Cons_no_stopper</v>
      </c>
      <c r="W174" s="433" t="s">
        <v>234</v>
      </c>
      <c r="X174" s="66">
        <v>3922</v>
      </c>
      <c r="Y174" s="70" t="s">
        <v>196</v>
      </c>
      <c r="Z174" s="70" t="s">
        <v>1047</v>
      </c>
      <c r="AA174" s="70">
        <v>9</v>
      </c>
      <c r="AB174" s="67" t="s">
        <v>198</v>
      </c>
      <c r="AC174" s="69" t="s">
        <v>141</v>
      </c>
      <c r="AD174" s="66" t="s">
        <v>392</v>
      </c>
      <c r="AE174" s="101" t="s">
        <v>428</v>
      </c>
      <c r="AF174" s="102">
        <v>1</v>
      </c>
      <c r="AG174" s="102">
        <v>10</v>
      </c>
      <c r="AH174" s="102">
        <v>1</v>
      </c>
      <c r="AI174" s="103"/>
      <c r="AJ174" s="266"/>
      <c r="AK174" s="104"/>
    </row>
    <row r="175" spans="1:37" s="71" customFormat="1" ht="12.75" customHeight="1">
      <c r="A175" s="220"/>
      <c r="B175" s="69" t="s">
        <v>15</v>
      </c>
      <c r="C175" s="66">
        <v>565</v>
      </c>
      <c r="D175" s="70"/>
      <c r="E175" s="70"/>
      <c r="F175" s="397" t="s">
        <v>201</v>
      </c>
      <c r="G175" s="397" t="s">
        <v>201</v>
      </c>
      <c r="H175" s="69" t="s">
        <v>201</v>
      </c>
      <c r="I175" s="70" t="s">
        <v>1114</v>
      </c>
      <c r="J175" s="70" t="s">
        <v>1115</v>
      </c>
      <c r="K175" s="70"/>
      <c r="L175" s="57" t="s">
        <v>192</v>
      </c>
      <c r="M175" s="70"/>
      <c r="N175" s="70"/>
      <c r="O175" s="70"/>
      <c r="P175" s="70"/>
      <c r="Q175" s="70"/>
      <c r="R175" s="70"/>
      <c r="S175" s="69"/>
      <c r="T175" s="70"/>
      <c r="U175" s="69"/>
      <c r="V175" s="69"/>
      <c r="W175" s="100"/>
      <c r="X175" s="70"/>
      <c r="Y175" s="70"/>
      <c r="Z175" s="70"/>
      <c r="AA175" s="70"/>
      <c r="AB175" s="70"/>
      <c r="AC175" s="70"/>
      <c r="AD175" s="69"/>
      <c r="AE175" s="101"/>
      <c r="AF175" s="102"/>
      <c r="AG175" s="102"/>
      <c r="AH175" s="102"/>
      <c r="AI175" s="103"/>
      <c r="AJ175" s="266"/>
      <c r="AK175" s="104"/>
    </row>
    <row r="176" spans="1:37" s="71" customFormat="1" ht="12.75" customHeight="1">
      <c r="A176" s="220"/>
      <c r="B176" s="69" t="s">
        <v>46</v>
      </c>
      <c r="C176" s="69">
        <v>600</v>
      </c>
      <c r="D176" s="69" t="b">
        <v>1</v>
      </c>
      <c r="E176" s="70"/>
      <c r="F176" s="98" t="s">
        <v>1116</v>
      </c>
      <c r="G176" s="98" t="s">
        <v>1117</v>
      </c>
      <c r="H176" s="70" t="s">
        <v>1118</v>
      </c>
      <c r="I176" s="70" t="s">
        <v>1119</v>
      </c>
      <c r="J176" s="70" t="s">
        <v>1120</v>
      </c>
      <c r="K176" s="70" t="s">
        <v>321</v>
      </c>
      <c r="L176" s="57" t="s">
        <v>192</v>
      </c>
      <c r="M176" s="70"/>
      <c r="N176" s="70"/>
      <c r="O176" s="70"/>
      <c r="P176" s="70"/>
      <c r="Q176" s="70"/>
      <c r="R176" s="70"/>
      <c r="S176" s="447"/>
      <c r="T176" s="70" t="s">
        <v>193</v>
      </c>
      <c r="U176" s="447" t="s">
        <v>1121</v>
      </c>
      <c r="V176" s="69" t="str">
        <f>_xlfn.CONCAT($AH$14,"_",U176)</f>
        <v>3922_N2_begassing_YN</v>
      </c>
      <c r="W176" s="433" t="s">
        <v>271</v>
      </c>
      <c r="X176" s="66">
        <v>3922</v>
      </c>
      <c r="Y176" s="70" t="s">
        <v>272</v>
      </c>
      <c r="Z176" s="70" t="s">
        <v>1122</v>
      </c>
      <c r="AA176" s="70">
        <v>1</v>
      </c>
      <c r="AB176" s="67" t="s">
        <v>273</v>
      </c>
      <c r="AC176" s="69" t="s">
        <v>141</v>
      </c>
      <c r="AD176" s="66" t="s">
        <v>142</v>
      </c>
      <c r="AE176" s="101"/>
      <c r="AF176" s="102">
        <v>0</v>
      </c>
      <c r="AG176" s="102">
        <v>1</v>
      </c>
      <c r="AH176" s="102">
        <v>0</v>
      </c>
      <c r="AI176" s="103"/>
      <c r="AJ176" s="266"/>
      <c r="AK176" s="104"/>
    </row>
    <row r="177" spans="1:37" s="71" customFormat="1" ht="12.75" customHeight="1">
      <c r="A177" s="220"/>
      <c r="B177" s="69" t="s">
        <v>46</v>
      </c>
      <c r="C177" s="69">
        <v>601</v>
      </c>
      <c r="D177" s="69" t="b">
        <v>1</v>
      </c>
      <c r="E177" s="70"/>
      <c r="F177" s="98" t="s">
        <v>1123</v>
      </c>
      <c r="G177" s="98" t="s">
        <v>1124</v>
      </c>
      <c r="H177" s="70" t="s">
        <v>1125</v>
      </c>
      <c r="I177" s="70" t="s">
        <v>1126</v>
      </c>
      <c r="J177" s="70" t="s">
        <v>1127</v>
      </c>
      <c r="K177" s="70" t="s">
        <v>321</v>
      </c>
      <c r="L177" s="57" t="s">
        <v>192</v>
      </c>
      <c r="M177" s="70"/>
      <c r="N177" s="70"/>
      <c r="O177" s="70"/>
      <c r="P177" s="70"/>
      <c r="Q177" s="70"/>
      <c r="R177" s="70"/>
      <c r="S177" s="447"/>
      <c r="T177" s="70" t="s">
        <v>193</v>
      </c>
      <c r="U177" s="447" t="s">
        <v>1128</v>
      </c>
      <c r="V177" s="69" t="str">
        <f>_xlfn.CONCAT($AH$14,"_",U177)</f>
        <v>3922_Monit_N2_debiet_YN</v>
      </c>
      <c r="W177" s="433" t="s">
        <v>271</v>
      </c>
      <c r="X177" s="66">
        <v>3922</v>
      </c>
      <c r="Y177" s="70" t="s">
        <v>272</v>
      </c>
      <c r="Z177" s="70" t="s">
        <v>1122</v>
      </c>
      <c r="AA177" s="70">
        <v>2</v>
      </c>
      <c r="AB177" s="67" t="s">
        <v>273</v>
      </c>
      <c r="AC177" s="69" t="s">
        <v>141</v>
      </c>
      <c r="AD177" s="66" t="s">
        <v>142</v>
      </c>
      <c r="AE177" s="101"/>
      <c r="AF177" s="102">
        <v>0</v>
      </c>
      <c r="AG177" s="102">
        <v>1</v>
      </c>
      <c r="AH177" s="102">
        <v>0</v>
      </c>
      <c r="AI177" s="103"/>
      <c r="AJ177" s="266"/>
      <c r="AK177" s="104"/>
    </row>
    <row r="178" spans="1:37" s="319" customFormat="1" ht="12.75" customHeight="1">
      <c r="A178" s="220"/>
      <c r="B178" s="69" t="s">
        <v>46</v>
      </c>
      <c r="C178" s="69">
        <v>602</v>
      </c>
      <c r="D178" s="70" t="b">
        <v>1</v>
      </c>
      <c r="E178" s="70"/>
      <c r="F178" s="98" t="s">
        <v>1129</v>
      </c>
      <c r="G178" s="98" t="s">
        <v>1130</v>
      </c>
      <c r="H178" s="70" t="s">
        <v>1131</v>
      </c>
      <c r="I178" s="70" t="s">
        <v>1132</v>
      </c>
      <c r="J178" s="70" t="s">
        <v>1133</v>
      </c>
      <c r="K178" s="70" t="s">
        <v>321</v>
      </c>
      <c r="L178" s="57" t="s">
        <v>192</v>
      </c>
      <c r="M178" s="70"/>
      <c r="N178" s="70"/>
      <c r="O178" s="70"/>
      <c r="P178" s="70"/>
      <c r="Q178" s="70"/>
      <c r="R178" s="70"/>
      <c r="S178" s="447"/>
      <c r="T178" s="70" t="s">
        <v>193</v>
      </c>
      <c r="U178" s="447" t="s">
        <v>1134</v>
      </c>
      <c r="V178" s="69" t="str">
        <f>_xlfn.CONCAT($AH$14,"_",U178)</f>
        <v>3922_VHP_N2_station_YN</v>
      </c>
      <c r="W178" s="433" t="s">
        <v>271</v>
      </c>
      <c r="X178" s="69">
        <v>3922</v>
      </c>
      <c r="Y178" s="70" t="s">
        <v>272</v>
      </c>
      <c r="Z178" s="70" t="s">
        <v>1122</v>
      </c>
      <c r="AA178" s="70">
        <v>6</v>
      </c>
      <c r="AB178" s="67" t="s">
        <v>1135</v>
      </c>
      <c r="AC178" s="69" t="s">
        <v>141</v>
      </c>
      <c r="AD178" s="66" t="s">
        <v>142</v>
      </c>
      <c r="AE178" s="101"/>
      <c r="AF178" s="102">
        <v>0</v>
      </c>
      <c r="AG178" s="102">
        <v>1</v>
      </c>
      <c r="AH178" s="102">
        <v>0</v>
      </c>
      <c r="AI178" s="103"/>
      <c r="AJ178" s="266"/>
      <c r="AK178" s="104"/>
    </row>
    <row r="179" spans="1:37" s="71" customFormat="1" ht="12.75" customHeight="1">
      <c r="A179" s="220"/>
      <c r="B179" s="69" t="s">
        <v>15</v>
      </c>
      <c r="C179" s="69">
        <v>603</v>
      </c>
      <c r="D179" s="70"/>
      <c r="E179" s="70"/>
      <c r="F179" s="98" t="s">
        <v>201</v>
      </c>
      <c r="G179" s="98" t="s">
        <v>201</v>
      </c>
      <c r="H179" s="70" t="s">
        <v>201</v>
      </c>
      <c r="I179" s="70" t="s">
        <v>1136</v>
      </c>
      <c r="J179" s="70" t="s">
        <v>1137</v>
      </c>
      <c r="K179" s="70" t="s">
        <v>321</v>
      </c>
      <c r="L179" s="57" t="s">
        <v>192</v>
      </c>
      <c r="M179" s="70"/>
      <c r="N179" s="70"/>
      <c r="O179" s="70"/>
      <c r="P179" s="70"/>
      <c r="Q179" s="70"/>
      <c r="R179" s="70"/>
      <c r="S179" s="70"/>
      <c r="T179" s="70"/>
      <c r="U179" s="70"/>
      <c r="V179" s="69"/>
      <c r="W179" s="100"/>
      <c r="X179" s="70"/>
      <c r="Y179" s="70"/>
      <c r="Z179" s="70"/>
      <c r="AA179" s="70"/>
      <c r="AB179" s="70"/>
      <c r="AC179" s="70"/>
      <c r="AD179" s="69"/>
      <c r="AE179" s="101"/>
      <c r="AF179" s="102"/>
      <c r="AG179" s="102"/>
      <c r="AH179" s="102"/>
      <c r="AI179" s="103"/>
      <c r="AJ179" s="266"/>
      <c r="AK179" s="104"/>
    </row>
    <row r="180" spans="1:37" s="71" customFormat="1" ht="12.75" customHeight="1">
      <c r="A180" s="220"/>
      <c r="B180" s="69" t="s">
        <v>15</v>
      </c>
      <c r="C180" s="69">
        <v>604</v>
      </c>
      <c r="D180" s="70"/>
      <c r="E180" s="70"/>
      <c r="F180" s="98" t="s">
        <v>201</v>
      </c>
      <c r="G180" s="98" t="s">
        <v>201</v>
      </c>
      <c r="H180" s="70" t="s">
        <v>201</v>
      </c>
      <c r="I180" s="70" t="s">
        <v>1138</v>
      </c>
      <c r="J180" s="70" t="s">
        <v>1139</v>
      </c>
      <c r="K180" s="70" t="s">
        <v>321</v>
      </c>
      <c r="L180" s="57" t="s">
        <v>192</v>
      </c>
      <c r="M180" s="70"/>
      <c r="N180" s="70"/>
      <c r="O180" s="70"/>
      <c r="P180" s="70"/>
      <c r="Q180" s="70"/>
      <c r="R180" s="70"/>
      <c r="S180" s="70"/>
      <c r="T180" s="70"/>
      <c r="U180" s="70"/>
      <c r="V180" s="69"/>
      <c r="W180" s="100"/>
      <c r="X180" s="70"/>
      <c r="Y180" s="70"/>
      <c r="Z180" s="70"/>
      <c r="AA180" s="70"/>
      <c r="AB180" s="70"/>
      <c r="AC180" s="70"/>
      <c r="AD180" s="69"/>
      <c r="AE180" s="101"/>
      <c r="AF180" s="102"/>
      <c r="AG180" s="102"/>
      <c r="AH180" s="102"/>
      <c r="AI180" s="103"/>
      <c r="AJ180" s="266"/>
      <c r="AK180" s="104"/>
    </row>
    <row r="181" spans="1:37" s="71" customFormat="1" ht="12.75" customHeight="1">
      <c r="A181" s="220"/>
      <c r="B181" s="69" t="s">
        <v>15</v>
      </c>
      <c r="C181" s="69">
        <v>605</v>
      </c>
      <c r="D181" s="70"/>
      <c r="E181" s="70"/>
      <c r="F181" s="98" t="s">
        <v>201</v>
      </c>
      <c r="G181" s="98" t="s">
        <v>201</v>
      </c>
      <c r="H181" s="70" t="s">
        <v>201</v>
      </c>
      <c r="I181" s="70" t="s">
        <v>1140</v>
      </c>
      <c r="J181" s="70" t="s">
        <v>1141</v>
      </c>
      <c r="K181" s="70" t="s">
        <v>321</v>
      </c>
      <c r="L181" s="57" t="s">
        <v>192</v>
      </c>
      <c r="M181" s="70"/>
      <c r="N181" s="70"/>
      <c r="O181" s="70"/>
      <c r="P181" s="70"/>
      <c r="Q181" s="70"/>
      <c r="R181" s="70"/>
      <c r="S181" s="70"/>
      <c r="T181" s="70"/>
      <c r="U181" s="70"/>
      <c r="V181" s="69"/>
      <c r="W181" s="100"/>
      <c r="X181" s="70"/>
      <c r="Y181" s="70"/>
      <c r="Z181" s="70"/>
      <c r="AA181" s="70"/>
      <c r="AB181" s="70"/>
      <c r="AC181" s="70"/>
      <c r="AD181" s="69"/>
      <c r="AE181" s="101"/>
      <c r="AF181" s="102"/>
      <c r="AG181" s="102"/>
      <c r="AH181" s="102"/>
      <c r="AI181" s="103"/>
      <c r="AJ181" s="266"/>
      <c r="AK181" s="104"/>
    </row>
    <row r="182" spans="1:37" s="71" customFormat="1" ht="12.75" customHeight="1">
      <c r="A182" s="220"/>
      <c r="B182" s="69" t="s">
        <v>15</v>
      </c>
      <c r="C182" s="69">
        <v>606</v>
      </c>
      <c r="D182" s="70"/>
      <c r="E182" s="70"/>
      <c r="F182" s="98" t="s">
        <v>201</v>
      </c>
      <c r="G182" s="98" t="s">
        <v>201</v>
      </c>
      <c r="H182" s="70" t="s">
        <v>201</v>
      </c>
      <c r="I182" s="70" t="s">
        <v>1142</v>
      </c>
      <c r="J182" s="70" t="s">
        <v>1143</v>
      </c>
      <c r="K182" s="70" t="s">
        <v>321</v>
      </c>
      <c r="L182" s="57" t="s">
        <v>192</v>
      </c>
      <c r="M182" s="70"/>
      <c r="N182" s="70"/>
      <c r="O182" s="70"/>
      <c r="P182" s="70"/>
      <c r="Q182" s="70"/>
      <c r="R182" s="70"/>
      <c r="S182" s="70"/>
      <c r="T182" s="70"/>
      <c r="U182" s="70"/>
      <c r="V182" s="69"/>
      <c r="W182" s="100"/>
      <c r="X182" s="70"/>
      <c r="Y182" s="70"/>
      <c r="Z182" s="70"/>
      <c r="AA182" s="70"/>
      <c r="AB182" s="70"/>
      <c r="AC182" s="70"/>
      <c r="AD182" s="69"/>
      <c r="AE182" s="101"/>
      <c r="AF182" s="102"/>
      <c r="AG182" s="102"/>
      <c r="AH182" s="102"/>
      <c r="AI182" s="103"/>
      <c r="AJ182" s="266"/>
      <c r="AK182" s="104"/>
    </row>
    <row r="183" spans="1:37" s="71" customFormat="1" ht="12.75" customHeight="1">
      <c r="A183" s="220"/>
      <c r="B183" s="69" t="s">
        <v>15</v>
      </c>
      <c r="C183" s="69">
        <v>607</v>
      </c>
      <c r="D183" s="70"/>
      <c r="E183" s="70"/>
      <c r="F183" s="98" t="s">
        <v>201</v>
      </c>
      <c r="G183" s="98" t="s">
        <v>201</v>
      </c>
      <c r="H183" s="70" t="s">
        <v>201</v>
      </c>
      <c r="I183" s="70" t="s">
        <v>1144</v>
      </c>
      <c r="J183" s="70" t="s">
        <v>1145</v>
      </c>
      <c r="K183" s="70" t="s">
        <v>321</v>
      </c>
      <c r="L183" s="57" t="s">
        <v>192</v>
      </c>
      <c r="M183" s="70"/>
      <c r="N183" s="70"/>
      <c r="O183" s="70"/>
      <c r="P183" s="70"/>
      <c r="Q183" s="70"/>
      <c r="R183" s="70"/>
      <c r="S183" s="70"/>
      <c r="T183" s="70"/>
      <c r="U183" s="70"/>
      <c r="V183" s="69"/>
      <c r="W183" s="100"/>
      <c r="X183" s="70"/>
      <c r="Y183" s="70"/>
      <c r="Z183" s="70"/>
      <c r="AA183" s="70"/>
      <c r="AB183" s="70"/>
      <c r="AC183" s="70"/>
      <c r="AD183" s="69"/>
      <c r="AE183" s="101"/>
      <c r="AF183" s="102"/>
      <c r="AG183" s="102"/>
      <c r="AH183" s="102"/>
      <c r="AI183" s="103"/>
      <c r="AJ183" s="266"/>
      <c r="AK183" s="104"/>
    </row>
    <row r="184" spans="1:37" s="71" customFormat="1" ht="12.75" customHeight="1">
      <c r="A184" s="220"/>
      <c r="B184" s="69" t="s">
        <v>46</v>
      </c>
      <c r="C184" s="69">
        <v>608</v>
      </c>
      <c r="D184" s="69" t="b">
        <v>1</v>
      </c>
      <c r="E184" s="70"/>
      <c r="F184" s="98" t="s">
        <v>1146</v>
      </c>
      <c r="G184" s="98" t="s">
        <v>1147</v>
      </c>
      <c r="H184" s="70" t="s">
        <v>1148</v>
      </c>
      <c r="I184" s="70" t="s">
        <v>1149</v>
      </c>
      <c r="J184" s="70" t="s">
        <v>1150</v>
      </c>
      <c r="K184" s="70" t="s">
        <v>166</v>
      </c>
      <c r="L184" s="57" t="s">
        <v>192</v>
      </c>
      <c r="M184" s="70"/>
      <c r="N184" s="70"/>
      <c r="O184" s="70"/>
      <c r="P184" s="70"/>
      <c r="Q184" s="70"/>
      <c r="R184" s="70"/>
      <c r="S184" s="447"/>
      <c r="T184" s="70" t="s">
        <v>193</v>
      </c>
      <c r="U184" s="447" t="s">
        <v>1151</v>
      </c>
      <c r="V184" s="69" t="str">
        <f>_xlfn.CONCAT($AH$14,"_",U184)</f>
        <v>3922_Time_open_vials_N2</v>
      </c>
      <c r="W184" s="433" t="s">
        <v>359</v>
      </c>
      <c r="X184" s="66">
        <v>3922</v>
      </c>
      <c r="Y184" s="70" t="s">
        <v>272</v>
      </c>
      <c r="Z184" s="70" t="s">
        <v>1122</v>
      </c>
      <c r="AA184" s="70">
        <v>3</v>
      </c>
      <c r="AB184" s="67" t="s">
        <v>273</v>
      </c>
      <c r="AC184" s="69" t="s">
        <v>141</v>
      </c>
      <c r="AD184" s="66" t="s">
        <v>142</v>
      </c>
      <c r="AE184" s="101" t="s">
        <v>552</v>
      </c>
      <c r="AF184" s="102">
        <v>0</v>
      </c>
      <c r="AG184" s="102">
        <v>600</v>
      </c>
      <c r="AH184" s="102">
        <v>0</v>
      </c>
      <c r="AI184" s="103"/>
      <c r="AJ184" s="266"/>
      <c r="AK184" s="104"/>
    </row>
    <row r="185" spans="1:37" s="319" customFormat="1" ht="12.75" customHeight="1">
      <c r="A185" s="220"/>
      <c r="B185" s="69" t="s">
        <v>46</v>
      </c>
      <c r="C185" s="69">
        <v>609</v>
      </c>
      <c r="D185" s="69" t="b">
        <v>1</v>
      </c>
      <c r="E185" s="70"/>
      <c r="F185" s="98" t="s">
        <v>1152</v>
      </c>
      <c r="G185" s="98" t="s">
        <v>1153</v>
      </c>
      <c r="H185" s="70" t="s">
        <v>1154</v>
      </c>
      <c r="I185" s="70" t="s">
        <v>1155</v>
      </c>
      <c r="J185" s="70" t="s">
        <v>1156</v>
      </c>
      <c r="K185" s="70" t="s">
        <v>209</v>
      </c>
      <c r="L185" s="57" t="s">
        <v>192</v>
      </c>
      <c r="M185" s="70"/>
      <c r="N185" s="70"/>
      <c r="O185" s="70"/>
      <c r="P185" s="70"/>
      <c r="Q185" s="70"/>
      <c r="R185" s="70"/>
      <c r="S185" s="447"/>
      <c r="T185" s="70"/>
      <c r="U185" s="447" t="s">
        <v>1157</v>
      </c>
      <c r="V185" s="69" t="str">
        <f>_xlfn.CONCAT($AH$14,"_",U185)</f>
        <v>3922_76Q2_min</v>
      </c>
      <c r="W185" s="433" t="s">
        <v>359</v>
      </c>
      <c r="X185" s="66">
        <v>3922</v>
      </c>
      <c r="Y185" s="70" t="s">
        <v>272</v>
      </c>
      <c r="Z185" s="70" t="s">
        <v>1122</v>
      </c>
      <c r="AA185" s="70">
        <v>4</v>
      </c>
      <c r="AB185" s="67" t="s">
        <v>273</v>
      </c>
      <c r="AC185" s="69" t="s">
        <v>141</v>
      </c>
      <c r="AD185" s="66" t="s">
        <v>142</v>
      </c>
      <c r="AE185" s="101" t="s">
        <v>1158</v>
      </c>
      <c r="AF185" s="423">
        <v>4</v>
      </c>
      <c r="AG185" s="423">
        <v>200</v>
      </c>
      <c r="AH185" s="423">
        <v>4</v>
      </c>
      <c r="AI185" s="103"/>
      <c r="AJ185" s="266"/>
      <c r="AK185" s="104"/>
    </row>
    <row r="186" spans="1:37" s="319" customFormat="1" ht="12.75" customHeight="1">
      <c r="A186" s="220"/>
      <c r="B186" s="69" t="s">
        <v>46</v>
      </c>
      <c r="C186" s="69">
        <v>610</v>
      </c>
      <c r="D186" s="69" t="b">
        <v>1</v>
      </c>
      <c r="E186" s="70"/>
      <c r="F186" s="98" t="s">
        <v>1159</v>
      </c>
      <c r="G186" s="98" t="s">
        <v>1160</v>
      </c>
      <c r="H186" s="70" t="s">
        <v>1161</v>
      </c>
      <c r="I186" s="70" t="s">
        <v>1162</v>
      </c>
      <c r="J186" s="70" t="s">
        <v>1163</v>
      </c>
      <c r="K186" s="70" t="s">
        <v>209</v>
      </c>
      <c r="L186" s="57" t="s">
        <v>192</v>
      </c>
      <c r="M186" s="70"/>
      <c r="N186" s="70"/>
      <c r="O186" s="70"/>
      <c r="P186" s="70"/>
      <c r="Q186" s="70"/>
      <c r="R186" s="70"/>
      <c r="S186" s="447"/>
      <c r="T186" s="70"/>
      <c r="U186" s="447" t="s">
        <v>1164</v>
      </c>
      <c r="V186" s="69" t="str">
        <f>_xlfn.CONCAT($AH$14,"_",U186)</f>
        <v>3922_76Q2_SP</v>
      </c>
      <c r="W186" s="433" t="s">
        <v>359</v>
      </c>
      <c r="X186" s="66">
        <v>3922</v>
      </c>
      <c r="Y186" s="70" t="s">
        <v>272</v>
      </c>
      <c r="Z186" s="70" t="s">
        <v>1122</v>
      </c>
      <c r="AA186" s="70">
        <v>5</v>
      </c>
      <c r="AB186" s="67" t="s">
        <v>273</v>
      </c>
      <c r="AC186" s="69" t="s">
        <v>141</v>
      </c>
      <c r="AD186" s="66" t="s">
        <v>142</v>
      </c>
      <c r="AE186" s="101" t="s">
        <v>1158</v>
      </c>
      <c r="AF186" s="423">
        <v>4</v>
      </c>
      <c r="AG186" s="423">
        <v>200</v>
      </c>
      <c r="AH186" s="423">
        <v>4</v>
      </c>
      <c r="AI186" s="103"/>
      <c r="AJ186" s="266"/>
      <c r="AK186" s="104"/>
    </row>
    <row r="187" spans="1:37" s="388" customFormat="1" ht="12.75" customHeight="1">
      <c r="A187" s="387"/>
      <c r="B187" s="69" t="s">
        <v>62</v>
      </c>
      <c r="C187" s="69">
        <v>611</v>
      </c>
      <c r="D187" s="70" t="b">
        <v>1</v>
      </c>
      <c r="E187" s="70"/>
      <c r="F187" s="98" t="s">
        <v>1165</v>
      </c>
      <c r="G187" s="98" t="s">
        <v>1166</v>
      </c>
      <c r="H187" s="70" t="s">
        <v>1167</v>
      </c>
      <c r="I187" s="70" t="s">
        <v>1168</v>
      </c>
      <c r="J187" s="70" t="s">
        <v>1169</v>
      </c>
      <c r="K187" s="70" t="s">
        <v>209</v>
      </c>
      <c r="L187" s="57" t="s">
        <v>192</v>
      </c>
      <c r="M187" s="70"/>
      <c r="N187" s="70"/>
      <c r="O187" s="70"/>
      <c r="P187" s="70"/>
      <c r="Q187" s="70"/>
      <c r="R187" s="70"/>
      <c r="S187" s="69"/>
      <c r="T187" s="70"/>
      <c r="U187" s="69" t="s">
        <v>1170</v>
      </c>
      <c r="V187" s="69" t="s">
        <v>1171</v>
      </c>
      <c r="W187" s="460" t="s">
        <v>359</v>
      </c>
      <c r="X187" s="70">
        <v>3922</v>
      </c>
      <c r="Y187" s="70" t="s">
        <v>272</v>
      </c>
      <c r="Z187" s="70" t="s">
        <v>1122</v>
      </c>
      <c r="AA187" s="70">
        <v>6</v>
      </c>
      <c r="AB187" s="70" t="s">
        <v>273</v>
      </c>
      <c r="AC187" s="70" t="s">
        <v>141</v>
      </c>
      <c r="AD187" s="69" t="s">
        <v>142</v>
      </c>
      <c r="AE187" s="101" t="s">
        <v>1158</v>
      </c>
      <c r="AF187" s="102">
        <v>4</v>
      </c>
      <c r="AG187" s="102">
        <v>210</v>
      </c>
      <c r="AH187" s="102">
        <v>210</v>
      </c>
      <c r="AI187" s="103"/>
      <c r="AJ187" s="266"/>
      <c r="AK187" s="104"/>
    </row>
    <row r="188" spans="1:37" s="388" customFormat="1" ht="12.75" customHeight="1">
      <c r="A188" s="387"/>
      <c r="B188" s="69" t="s">
        <v>62</v>
      </c>
      <c r="C188" s="69">
        <v>612</v>
      </c>
      <c r="D188" s="70" t="b">
        <v>1</v>
      </c>
      <c r="E188" s="70"/>
      <c r="F188" s="98" t="s">
        <v>1172</v>
      </c>
      <c r="G188" s="98" t="s">
        <v>1173</v>
      </c>
      <c r="H188" s="70" t="s">
        <v>1174</v>
      </c>
      <c r="I188" s="70" t="s">
        <v>1175</v>
      </c>
      <c r="J188" s="70" t="s">
        <v>1176</v>
      </c>
      <c r="K188" s="70" t="s">
        <v>166</v>
      </c>
      <c r="L188" s="57" t="s">
        <v>192</v>
      </c>
      <c r="M188" s="70"/>
      <c r="N188" s="70"/>
      <c r="O188" s="70"/>
      <c r="P188" s="70"/>
      <c r="Q188" s="70"/>
      <c r="R188" s="70"/>
      <c r="S188" s="69"/>
      <c r="T188" s="70"/>
      <c r="U188" s="69" t="s">
        <v>1177</v>
      </c>
      <c r="V188" s="69" t="s">
        <v>1178</v>
      </c>
      <c r="W188" s="460" t="s">
        <v>359</v>
      </c>
      <c r="X188" s="70">
        <v>3922</v>
      </c>
      <c r="Y188" s="70" t="s">
        <v>272</v>
      </c>
      <c r="Z188" s="70" t="s">
        <v>1122</v>
      </c>
      <c r="AA188" s="70">
        <v>7</v>
      </c>
      <c r="AB188" s="70" t="s">
        <v>273</v>
      </c>
      <c r="AC188" s="70" t="s">
        <v>141</v>
      </c>
      <c r="AD188" s="69" t="s">
        <v>142</v>
      </c>
      <c r="AE188" s="101" t="s">
        <v>552</v>
      </c>
      <c r="AF188" s="102">
        <v>0</v>
      </c>
      <c r="AG188" s="102">
        <v>600</v>
      </c>
      <c r="AH188" s="102">
        <v>0</v>
      </c>
      <c r="AI188" s="103"/>
      <c r="AJ188" s="266"/>
      <c r="AK188" s="104"/>
    </row>
    <row r="189" spans="1:37" s="319" customFormat="1" ht="12.75" customHeight="1">
      <c r="A189" s="220"/>
      <c r="B189" s="69" t="s">
        <v>46</v>
      </c>
      <c r="C189" s="66">
        <v>700</v>
      </c>
      <c r="D189" s="69" t="b">
        <v>1</v>
      </c>
      <c r="E189" s="70"/>
      <c r="F189" s="98" t="s">
        <v>1179</v>
      </c>
      <c r="G189" s="98" t="s">
        <v>1180</v>
      </c>
      <c r="H189" s="70" t="s">
        <v>1181</v>
      </c>
      <c r="I189" s="70" t="s">
        <v>1182</v>
      </c>
      <c r="J189" s="70" t="s">
        <v>1183</v>
      </c>
      <c r="K189" s="70" t="s">
        <v>321</v>
      </c>
      <c r="L189" s="57" t="s">
        <v>192</v>
      </c>
      <c r="M189" s="70"/>
      <c r="N189" s="70"/>
      <c r="O189" s="70"/>
      <c r="P189" s="70"/>
      <c r="Q189" s="70"/>
      <c r="R189" s="70"/>
      <c r="S189" s="447"/>
      <c r="T189" s="70"/>
      <c r="U189" s="447" t="s">
        <v>1184</v>
      </c>
      <c r="V189" s="69" t="str">
        <f>_xlfn.CONCAT($AH$14,"_",U189)</f>
        <v>3922_80D1_Autostart_YN</v>
      </c>
      <c r="W189" s="433" t="s">
        <v>271</v>
      </c>
      <c r="X189" s="66">
        <v>3922</v>
      </c>
      <c r="Y189" s="70" t="s">
        <v>272</v>
      </c>
      <c r="Z189" s="70" t="s">
        <v>1185</v>
      </c>
      <c r="AA189" s="70">
        <v>1</v>
      </c>
      <c r="AB189" s="69" t="s">
        <v>1186</v>
      </c>
      <c r="AC189" s="69" t="s">
        <v>141</v>
      </c>
      <c r="AD189" s="66" t="s">
        <v>199</v>
      </c>
      <c r="AE189" s="101"/>
      <c r="AF189" s="102">
        <v>0</v>
      </c>
      <c r="AG189" s="102">
        <v>1</v>
      </c>
      <c r="AH189" s="102">
        <v>0</v>
      </c>
      <c r="AI189" s="103"/>
      <c r="AJ189" s="266"/>
      <c r="AK189" s="104"/>
    </row>
    <row r="190" spans="1:37" s="319" customFormat="1" ht="12.75" customHeight="1">
      <c r="A190" s="220"/>
      <c r="B190" s="69" t="s">
        <v>46</v>
      </c>
      <c r="C190" s="66">
        <v>701</v>
      </c>
      <c r="D190" s="69" t="b">
        <v>1</v>
      </c>
      <c r="E190" s="70"/>
      <c r="F190" s="98" t="s">
        <v>1187</v>
      </c>
      <c r="G190" s="98" t="s">
        <v>1188</v>
      </c>
      <c r="H190" s="70" t="s">
        <v>1189</v>
      </c>
      <c r="I190" s="70" t="s">
        <v>1190</v>
      </c>
      <c r="J190" s="70" t="s">
        <v>1191</v>
      </c>
      <c r="K190" s="70" t="s">
        <v>321</v>
      </c>
      <c r="L190" s="57" t="s">
        <v>192</v>
      </c>
      <c r="M190" s="70"/>
      <c r="N190" s="70"/>
      <c r="O190" s="70"/>
      <c r="P190" s="70"/>
      <c r="Q190" s="70"/>
      <c r="R190" s="70"/>
      <c r="S190" s="447"/>
      <c r="T190" s="70"/>
      <c r="U190" s="447" t="s">
        <v>1192</v>
      </c>
      <c r="V190" s="69" t="str">
        <f>_xlfn.CONCAT($AH$14,"_",U190)</f>
        <v>3922_80D2_Autostart_YN</v>
      </c>
      <c r="W190" s="433" t="s">
        <v>271</v>
      </c>
      <c r="X190" s="66">
        <v>3922</v>
      </c>
      <c r="Y190" s="70" t="s">
        <v>272</v>
      </c>
      <c r="Z190" s="70" t="s">
        <v>1185</v>
      </c>
      <c r="AA190" s="70">
        <v>2</v>
      </c>
      <c r="AB190" s="67" t="s">
        <v>1186</v>
      </c>
      <c r="AC190" s="69" t="s">
        <v>141</v>
      </c>
      <c r="AD190" s="66" t="s">
        <v>199</v>
      </c>
      <c r="AE190" s="101"/>
      <c r="AF190" s="102">
        <v>0</v>
      </c>
      <c r="AG190" s="102">
        <v>1</v>
      </c>
      <c r="AH190" s="102">
        <v>0</v>
      </c>
      <c r="AI190" s="103"/>
      <c r="AJ190" s="266"/>
      <c r="AK190" s="104"/>
    </row>
    <row r="191" spans="1:37" s="319" customFormat="1" ht="12.75" customHeight="1">
      <c r="A191" s="220"/>
      <c r="B191" s="69" t="s">
        <v>46</v>
      </c>
      <c r="C191" s="66">
        <v>702</v>
      </c>
      <c r="D191" s="69" t="b">
        <v>1</v>
      </c>
      <c r="E191" s="70"/>
      <c r="F191" s="98" t="s">
        <v>1193</v>
      </c>
      <c r="G191" s="98" t="s">
        <v>1194</v>
      </c>
      <c r="H191" s="70" t="s">
        <v>1195</v>
      </c>
      <c r="I191" s="70" t="s">
        <v>1196</v>
      </c>
      <c r="J191" s="70" t="s">
        <v>1197</v>
      </c>
      <c r="K191" s="70" t="s">
        <v>321</v>
      </c>
      <c r="L191" s="57" t="s">
        <v>192</v>
      </c>
      <c r="M191" s="70"/>
      <c r="N191" s="70"/>
      <c r="O191" s="70"/>
      <c r="P191" s="70"/>
      <c r="Q191" s="70"/>
      <c r="R191" s="70"/>
      <c r="S191" s="447"/>
      <c r="T191" s="70"/>
      <c r="U191" s="447" t="s">
        <v>1198</v>
      </c>
      <c r="V191" s="69" t="str">
        <f>_xlfn.CONCAT($AH$14,"_",U191)</f>
        <v>3922_80D3_Autostart_YN</v>
      </c>
      <c r="W191" s="433" t="s">
        <v>271</v>
      </c>
      <c r="X191" s="66">
        <v>3922</v>
      </c>
      <c r="Y191" s="70" t="s">
        <v>272</v>
      </c>
      <c r="Z191" s="70" t="s">
        <v>1185</v>
      </c>
      <c r="AA191" s="70">
        <v>3</v>
      </c>
      <c r="AB191" s="67" t="s">
        <v>1186</v>
      </c>
      <c r="AC191" s="69" t="s">
        <v>141</v>
      </c>
      <c r="AD191" s="66" t="s">
        <v>199</v>
      </c>
      <c r="AE191" s="101"/>
      <c r="AF191" s="102">
        <v>0</v>
      </c>
      <c r="AG191" s="102">
        <v>1</v>
      </c>
      <c r="AH191" s="102">
        <v>0</v>
      </c>
      <c r="AI191" s="103"/>
      <c r="AJ191" s="266"/>
      <c r="AK191" s="104"/>
    </row>
    <row r="192" spans="1:37" s="71" customFormat="1" ht="12.75" customHeight="1">
      <c r="A192" s="220"/>
      <c r="B192" s="69" t="s">
        <v>15</v>
      </c>
      <c r="C192" s="66">
        <v>703</v>
      </c>
      <c r="D192" s="70"/>
      <c r="E192" s="70"/>
      <c r="F192" s="98" t="s">
        <v>201</v>
      </c>
      <c r="G192" s="98" t="s">
        <v>201</v>
      </c>
      <c r="H192" s="70" t="s">
        <v>201</v>
      </c>
      <c r="I192" s="70" t="s">
        <v>1199</v>
      </c>
      <c r="J192" s="70" t="s">
        <v>1200</v>
      </c>
      <c r="K192" s="70" t="s">
        <v>321</v>
      </c>
      <c r="L192" s="57" t="s">
        <v>192</v>
      </c>
      <c r="M192" s="70"/>
      <c r="N192" s="70"/>
      <c r="O192" s="70"/>
      <c r="P192" s="70"/>
      <c r="Q192" s="70"/>
      <c r="R192" s="70"/>
      <c r="S192" s="70"/>
      <c r="T192" s="70"/>
      <c r="U192" s="70"/>
      <c r="V192" s="69"/>
      <c r="W192" s="100"/>
      <c r="X192" s="70"/>
      <c r="Y192" s="70"/>
      <c r="Z192" s="70"/>
      <c r="AA192" s="70"/>
      <c r="AB192" s="70"/>
      <c r="AC192" s="70"/>
      <c r="AD192" s="69"/>
      <c r="AE192" s="101"/>
      <c r="AF192" s="102"/>
      <c r="AG192" s="102"/>
      <c r="AH192" s="102"/>
      <c r="AI192" s="103"/>
      <c r="AJ192" s="266"/>
      <c r="AK192" s="104"/>
    </row>
    <row r="193" spans="1:37" s="71" customFormat="1" ht="12.75" customHeight="1">
      <c r="A193" s="220"/>
      <c r="B193" s="69" t="s">
        <v>15</v>
      </c>
      <c r="C193" s="66">
        <v>704</v>
      </c>
      <c r="D193" s="70"/>
      <c r="E193" s="70"/>
      <c r="F193" s="98" t="s">
        <v>201</v>
      </c>
      <c r="G193" s="98" t="s">
        <v>201</v>
      </c>
      <c r="H193" s="70" t="s">
        <v>201</v>
      </c>
      <c r="I193" s="70" t="s">
        <v>1201</v>
      </c>
      <c r="J193" s="70" t="s">
        <v>1202</v>
      </c>
      <c r="K193" s="70" t="s">
        <v>321</v>
      </c>
      <c r="L193" s="57" t="s">
        <v>192</v>
      </c>
      <c r="M193" s="70"/>
      <c r="N193" s="70"/>
      <c r="O193" s="70"/>
      <c r="P193" s="70"/>
      <c r="Q193" s="70"/>
      <c r="R193" s="70"/>
      <c r="S193" s="70"/>
      <c r="T193" s="70"/>
      <c r="U193" s="70"/>
      <c r="V193" s="69"/>
      <c r="W193" s="100"/>
      <c r="X193" s="70"/>
      <c r="Y193" s="70"/>
      <c r="Z193" s="70"/>
      <c r="AA193" s="70"/>
      <c r="AB193" s="70"/>
      <c r="AC193" s="70"/>
      <c r="AD193" s="69"/>
      <c r="AE193" s="101"/>
      <c r="AF193" s="102"/>
      <c r="AG193" s="102"/>
      <c r="AH193" s="102"/>
      <c r="AI193" s="103"/>
      <c r="AJ193" s="266"/>
      <c r="AK193" s="104"/>
    </row>
    <row r="194" spans="1:37" s="71" customFormat="1" ht="12.75" customHeight="1">
      <c r="A194" s="220"/>
      <c r="B194" s="69" t="s">
        <v>15</v>
      </c>
      <c r="C194" s="66">
        <v>705</v>
      </c>
      <c r="D194" s="70"/>
      <c r="E194" s="70"/>
      <c r="F194" s="98" t="s">
        <v>201</v>
      </c>
      <c r="G194" s="98" t="s">
        <v>201</v>
      </c>
      <c r="H194" s="70" t="s">
        <v>201</v>
      </c>
      <c r="I194" s="70" t="s">
        <v>1203</v>
      </c>
      <c r="J194" s="70" t="s">
        <v>1204</v>
      </c>
      <c r="K194" s="70" t="s">
        <v>321</v>
      </c>
      <c r="L194" s="57" t="s">
        <v>192</v>
      </c>
      <c r="M194" s="70"/>
      <c r="N194" s="70"/>
      <c r="O194" s="70"/>
      <c r="P194" s="70"/>
      <c r="Q194" s="70"/>
      <c r="R194" s="70"/>
      <c r="S194" s="70"/>
      <c r="T194" s="70"/>
      <c r="U194" s="70"/>
      <c r="V194" s="69"/>
      <c r="W194" s="100"/>
      <c r="X194" s="70"/>
      <c r="Y194" s="70"/>
      <c r="Z194" s="70"/>
      <c r="AA194" s="70"/>
      <c r="AB194" s="70"/>
      <c r="AC194" s="70"/>
      <c r="AD194" s="69"/>
      <c r="AE194" s="101"/>
      <c r="AF194" s="102"/>
      <c r="AG194" s="102"/>
      <c r="AH194" s="102"/>
      <c r="AI194" s="103"/>
      <c r="AJ194" s="266"/>
      <c r="AK194" s="104"/>
    </row>
    <row r="195" spans="1:37" s="71" customFormat="1" ht="12.75" customHeight="1">
      <c r="A195" s="220"/>
      <c r="B195" s="69" t="s">
        <v>15</v>
      </c>
      <c r="C195" s="66">
        <v>706</v>
      </c>
      <c r="D195" s="70"/>
      <c r="E195" s="70"/>
      <c r="F195" s="98" t="s">
        <v>201</v>
      </c>
      <c r="G195" s="98" t="s">
        <v>201</v>
      </c>
      <c r="H195" s="70" t="s">
        <v>201</v>
      </c>
      <c r="I195" s="70" t="s">
        <v>1205</v>
      </c>
      <c r="J195" s="70" t="s">
        <v>1206</v>
      </c>
      <c r="K195" s="70" t="s">
        <v>321</v>
      </c>
      <c r="L195" s="57" t="s">
        <v>192</v>
      </c>
      <c r="M195" s="70"/>
      <c r="N195" s="70"/>
      <c r="O195" s="70"/>
      <c r="P195" s="70"/>
      <c r="Q195" s="70"/>
      <c r="R195" s="70"/>
      <c r="S195" s="70"/>
      <c r="T195" s="70"/>
      <c r="U195" s="70"/>
      <c r="V195" s="69"/>
      <c r="W195" s="100"/>
      <c r="X195" s="70"/>
      <c r="Y195" s="70"/>
      <c r="Z195" s="70"/>
      <c r="AA195" s="70"/>
      <c r="AB195" s="70"/>
      <c r="AC195" s="70"/>
      <c r="AD195" s="69"/>
      <c r="AE195" s="101"/>
      <c r="AF195" s="102"/>
      <c r="AG195" s="102"/>
      <c r="AH195" s="102"/>
      <c r="AI195" s="103"/>
      <c r="AJ195" s="266"/>
      <c r="AK195" s="104"/>
    </row>
    <row r="196" spans="1:37" s="71" customFormat="1" ht="12.75" customHeight="1">
      <c r="A196" s="220"/>
      <c r="B196" s="69" t="s">
        <v>15</v>
      </c>
      <c r="C196" s="66">
        <v>707</v>
      </c>
      <c r="D196" s="70"/>
      <c r="E196" s="70"/>
      <c r="F196" s="98" t="s">
        <v>201</v>
      </c>
      <c r="G196" s="98" t="s">
        <v>201</v>
      </c>
      <c r="H196" s="70" t="s">
        <v>201</v>
      </c>
      <c r="I196" s="70" t="s">
        <v>1207</v>
      </c>
      <c r="J196" s="70" t="s">
        <v>1208</v>
      </c>
      <c r="K196" s="70" t="s">
        <v>321</v>
      </c>
      <c r="L196" s="57" t="s">
        <v>192</v>
      </c>
      <c r="M196" s="70"/>
      <c r="N196" s="70"/>
      <c r="O196" s="70"/>
      <c r="P196" s="70"/>
      <c r="Q196" s="70"/>
      <c r="R196" s="70"/>
      <c r="S196" s="70"/>
      <c r="T196" s="70"/>
      <c r="U196" s="70"/>
      <c r="V196" s="69"/>
      <c r="W196" s="100"/>
      <c r="X196" s="70"/>
      <c r="Y196" s="70"/>
      <c r="Z196" s="70"/>
      <c r="AA196" s="70"/>
      <c r="AB196" s="70"/>
      <c r="AC196" s="70"/>
      <c r="AD196" s="69"/>
      <c r="AE196" s="101"/>
      <c r="AF196" s="102"/>
      <c r="AG196" s="102"/>
      <c r="AH196" s="102"/>
      <c r="AI196" s="103"/>
      <c r="AJ196" s="266"/>
      <c r="AK196" s="104"/>
    </row>
    <row r="197" spans="1:37" s="71" customFormat="1" ht="12.75" customHeight="1">
      <c r="A197" s="220"/>
      <c r="B197" s="69" t="s">
        <v>15</v>
      </c>
      <c r="C197" s="66">
        <v>708</v>
      </c>
      <c r="D197" s="70"/>
      <c r="E197" s="70"/>
      <c r="F197" s="98" t="s">
        <v>201</v>
      </c>
      <c r="G197" s="98" t="s">
        <v>201</v>
      </c>
      <c r="H197" s="70" t="s">
        <v>201</v>
      </c>
      <c r="I197" s="70" t="s">
        <v>1209</v>
      </c>
      <c r="J197" s="70" t="s">
        <v>1210</v>
      </c>
      <c r="K197" s="70" t="s">
        <v>321</v>
      </c>
      <c r="L197" s="57" t="s">
        <v>192</v>
      </c>
      <c r="M197" s="70"/>
      <c r="N197" s="70"/>
      <c r="O197" s="70"/>
      <c r="P197" s="70"/>
      <c r="Q197" s="70"/>
      <c r="R197" s="70"/>
      <c r="S197" s="70"/>
      <c r="T197" s="70"/>
      <c r="U197" s="70"/>
      <c r="V197" s="69"/>
      <c r="W197" s="100"/>
      <c r="X197" s="70"/>
      <c r="Y197" s="70"/>
      <c r="Z197" s="70"/>
      <c r="AA197" s="70"/>
      <c r="AB197" s="70"/>
      <c r="AC197" s="70"/>
      <c r="AD197" s="69"/>
      <c r="AE197" s="101"/>
      <c r="AF197" s="102"/>
      <c r="AG197" s="102"/>
      <c r="AH197" s="102"/>
      <c r="AI197" s="103"/>
      <c r="AJ197" s="266"/>
      <c r="AK197" s="104"/>
    </row>
    <row r="198" spans="1:37" s="319" customFormat="1" ht="12.75" customHeight="1">
      <c r="A198" s="220"/>
      <c r="B198" s="69" t="s">
        <v>46</v>
      </c>
      <c r="C198" s="66">
        <v>709</v>
      </c>
      <c r="D198" s="69" t="b">
        <v>1</v>
      </c>
      <c r="E198" s="70"/>
      <c r="F198" s="98" t="s">
        <v>1211</v>
      </c>
      <c r="G198" s="98" t="s">
        <v>1212</v>
      </c>
      <c r="H198" s="70" t="s">
        <v>1213</v>
      </c>
      <c r="I198" s="70" t="s">
        <v>1214</v>
      </c>
      <c r="J198" s="70" t="s">
        <v>1215</v>
      </c>
      <c r="K198" s="70" t="s">
        <v>321</v>
      </c>
      <c r="L198" s="57" t="s">
        <v>192</v>
      </c>
      <c r="M198" s="70"/>
      <c r="N198" s="70"/>
      <c r="O198" s="70"/>
      <c r="P198" s="70"/>
      <c r="Q198" s="70"/>
      <c r="R198" s="70"/>
      <c r="S198" s="447"/>
      <c r="T198" s="70"/>
      <c r="U198" s="447" t="s">
        <v>1216</v>
      </c>
      <c r="V198" s="69" t="str">
        <f>_xlfn.CONCAT($AH$14,"_",U198)</f>
        <v>3922_80FS2_Autostart_YN</v>
      </c>
      <c r="W198" s="433" t="s">
        <v>271</v>
      </c>
      <c r="X198" s="66">
        <v>3922</v>
      </c>
      <c r="Y198" s="70" t="s">
        <v>272</v>
      </c>
      <c r="Z198" s="70" t="s">
        <v>1217</v>
      </c>
      <c r="AA198" s="70">
        <v>1</v>
      </c>
      <c r="AB198" s="67" t="s">
        <v>1186</v>
      </c>
      <c r="AC198" s="69" t="s">
        <v>141</v>
      </c>
      <c r="AD198" s="66" t="s">
        <v>199</v>
      </c>
      <c r="AE198" s="101"/>
      <c r="AF198" s="102">
        <v>0</v>
      </c>
      <c r="AG198" s="102">
        <v>1</v>
      </c>
      <c r="AH198" s="102">
        <v>0</v>
      </c>
      <c r="AI198" s="103"/>
      <c r="AJ198" s="266"/>
      <c r="AK198" s="104"/>
    </row>
    <row r="199" spans="1:37" s="71" customFormat="1" ht="12.75" customHeight="1">
      <c r="A199" s="220"/>
      <c r="B199" s="69" t="s">
        <v>15</v>
      </c>
      <c r="C199" s="66">
        <v>710</v>
      </c>
      <c r="D199" s="70"/>
      <c r="E199" s="70"/>
      <c r="F199" s="98" t="s">
        <v>201</v>
      </c>
      <c r="G199" s="98" t="s">
        <v>201</v>
      </c>
      <c r="H199" s="70" t="s">
        <v>201</v>
      </c>
      <c r="I199" s="70" t="s">
        <v>1218</v>
      </c>
      <c r="J199" s="70" t="s">
        <v>1219</v>
      </c>
      <c r="K199" s="70" t="s">
        <v>321</v>
      </c>
      <c r="L199" s="57" t="s">
        <v>192</v>
      </c>
      <c r="M199" s="70"/>
      <c r="N199" s="70"/>
      <c r="O199" s="70"/>
      <c r="P199" s="70"/>
      <c r="Q199" s="70"/>
      <c r="R199" s="70"/>
      <c r="S199" s="69"/>
      <c r="T199" s="70"/>
      <c r="U199" s="69"/>
      <c r="V199" s="69"/>
      <c r="W199" s="100"/>
      <c r="X199" s="70"/>
      <c r="Y199" s="70"/>
      <c r="Z199" s="70"/>
      <c r="AA199" s="70"/>
      <c r="AB199" s="70"/>
      <c r="AC199" s="70"/>
      <c r="AD199" s="69"/>
      <c r="AE199" s="101"/>
      <c r="AF199" s="102"/>
      <c r="AG199" s="102"/>
      <c r="AH199" s="102"/>
      <c r="AI199" s="103"/>
      <c r="AJ199" s="266"/>
      <c r="AK199" s="104"/>
    </row>
    <row r="200" spans="1:37" s="319" customFormat="1" ht="12.75" customHeight="1">
      <c r="A200" s="220"/>
      <c r="B200" s="69" t="s">
        <v>46</v>
      </c>
      <c r="C200" s="66">
        <v>711</v>
      </c>
      <c r="D200" s="69" t="b">
        <v>1</v>
      </c>
      <c r="E200" s="70"/>
      <c r="F200" s="98" t="s">
        <v>1220</v>
      </c>
      <c r="G200" s="98" t="s">
        <v>1221</v>
      </c>
      <c r="H200" s="70" t="s">
        <v>1222</v>
      </c>
      <c r="I200" s="70" t="s">
        <v>1223</v>
      </c>
      <c r="J200" s="70" t="s">
        <v>1224</v>
      </c>
      <c r="K200" s="70" t="s">
        <v>321</v>
      </c>
      <c r="L200" s="57" t="s">
        <v>192</v>
      </c>
      <c r="M200" s="70"/>
      <c r="N200" s="70"/>
      <c r="O200" s="70"/>
      <c r="P200" s="70"/>
      <c r="Q200" s="70"/>
      <c r="R200" s="70"/>
      <c r="S200" s="447"/>
      <c r="T200" s="70"/>
      <c r="U200" s="447" t="s">
        <v>1225</v>
      </c>
      <c r="V200" s="69" t="str">
        <f>_xlfn.CONCAT($AH$14,"_",U200)</f>
        <v>3922_80FS3_Autostart_YN</v>
      </c>
      <c r="W200" s="433" t="s">
        <v>271</v>
      </c>
      <c r="X200" s="66">
        <v>3922</v>
      </c>
      <c r="Y200" s="70" t="s">
        <v>272</v>
      </c>
      <c r="Z200" s="70" t="s">
        <v>1217</v>
      </c>
      <c r="AA200" s="70">
        <v>2</v>
      </c>
      <c r="AB200" s="67" t="s">
        <v>1186</v>
      </c>
      <c r="AC200" s="69" t="s">
        <v>141</v>
      </c>
      <c r="AD200" s="66" t="s">
        <v>199</v>
      </c>
      <c r="AE200" s="101"/>
      <c r="AF200" s="102">
        <v>0</v>
      </c>
      <c r="AG200" s="102">
        <v>1</v>
      </c>
      <c r="AH200" s="102">
        <v>0</v>
      </c>
      <c r="AI200" s="103"/>
      <c r="AJ200" s="266"/>
      <c r="AK200" s="104"/>
    </row>
    <row r="201" spans="1:37" s="71" customFormat="1" ht="12.75" customHeight="1">
      <c r="A201" s="220"/>
      <c r="B201" s="69" t="s">
        <v>15</v>
      </c>
      <c r="C201" s="66">
        <v>712</v>
      </c>
      <c r="D201" s="70"/>
      <c r="E201" s="70"/>
      <c r="F201" s="98" t="s">
        <v>201</v>
      </c>
      <c r="G201" s="98" t="s">
        <v>201</v>
      </c>
      <c r="H201" s="70" t="s">
        <v>201</v>
      </c>
      <c r="I201" s="70" t="s">
        <v>1226</v>
      </c>
      <c r="J201" s="70" t="s">
        <v>1227</v>
      </c>
      <c r="K201" s="70" t="s">
        <v>321</v>
      </c>
      <c r="L201" s="57" t="s">
        <v>192</v>
      </c>
      <c r="M201" s="70"/>
      <c r="N201" s="70"/>
      <c r="O201" s="70"/>
      <c r="P201" s="70"/>
      <c r="Q201" s="70"/>
      <c r="R201" s="70"/>
      <c r="S201" s="70"/>
      <c r="T201" s="70"/>
      <c r="U201" s="70"/>
      <c r="V201" s="69"/>
      <c r="W201" s="100"/>
      <c r="X201" s="70"/>
      <c r="Y201" s="70"/>
      <c r="Z201" s="70"/>
      <c r="AA201" s="70"/>
      <c r="AB201" s="70"/>
      <c r="AC201" s="70"/>
      <c r="AD201" s="69"/>
      <c r="AE201" s="101"/>
      <c r="AF201" s="102"/>
      <c r="AG201" s="102"/>
      <c r="AH201" s="102"/>
      <c r="AI201" s="103"/>
      <c r="AJ201" s="266"/>
      <c r="AK201" s="104"/>
    </row>
    <row r="202" spans="1:37" s="71" customFormat="1" ht="12.75" customHeight="1">
      <c r="A202" s="220"/>
      <c r="B202" s="69" t="s">
        <v>15</v>
      </c>
      <c r="C202" s="66">
        <v>713</v>
      </c>
      <c r="D202" s="70"/>
      <c r="E202" s="70"/>
      <c r="F202" s="98" t="s">
        <v>201</v>
      </c>
      <c r="G202" s="98" t="s">
        <v>201</v>
      </c>
      <c r="H202" s="70" t="s">
        <v>201</v>
      </c>
      <c r="I202" s="70" t="s">
        <v>1228</v>
      </c>
      <c r="J202" s="70" t="s">
        <v>1229</v>
      </c>
      <c r="K202" s="70" t="s">
        <v>321</v>
      </c>
      <c r="L202" s="57" t="s">
        <v>192</v>
      </c>
      <c r="M202" s="70"/>
      <c r="N202" s="70"/>
      <c r="O202" s="70"/>
      <c r="P202" s="70"/>
      <c r="Q202" s="70"/>
      <c r="R202" s="70"/>
      <c r="S202" s="70"/>
      <c r="T202" s="70"/>
      <c r="U202" s="70"/>
      <c r="V202" s="69"/>
      <c r="W202" s="100"/>
      <c r="X202" s="70"/>
      <c r="Y202" s="70"/>
      <c r="Z202" s="70"/>
      <c r="AA202" s="70"/>
      <c r="AB202" s="70"/>
      <c r="AC202" s="70"/>
      <c r="AD202" s="69"/>
      <c r="AE202" s="101"/>
      <c r="AF202" s="102"/>
      <c r="AG202" s="102"/>
      <c r="AH202" s="102"/>
      <c r="AI202" s="103"/>
      <c r="AJ202" s="266"/>
      <c r="AK202" s="104"/>
    </row>
    <row r="203" spans="1:37" s="71" customFormat="1" ht="12.75" customHeight="1">
      <c r="A203" s="220"/>
      <c r="B203" s="69" t="s">
        <v>15</v>
      </c>
      <c r="C203" s="66">
        <v>714</v>
      </c>
      <c r="D203" s="70"/>
      <c r="E203" s="70"/>
      <c r="F203" s="98" t="s">
        <v>201</v>
      </c>
      <c r="G203" s="98" t="s">
        <v>201</v>
      </c>
      <c r="H203" s="70" t="s">
        <v>201</v>
      </c>
      <c r="I203" s="70" t="s">
        <v>1230</v>
      </c>
      <c r="J203" s="70" t="s">
        <v>1231</v>
      </c>
      <c r="K203" s="70" t="s">
        <v>321</v>
      </c>
      <c r="L203" s="57" t="s">
        <v>192</v>
      </c>
      <c r="M203" s="70"/>
      <c r="N203" s="70"/>
      <c r="O203" s="70"/>
      <c r="P203" s="70"/>
      <c r="Q203" s="70"/>
      <c r="R203" s="70"/>
      <c r="S203" s="70"/>
      <c r="T203" s="70"/>
      <c r="U203" s="70"/>
      <c r="V203" s="69"/>
      <c r="W203" s="100"/>
      <c r="X203" s="70"/>
      <c r="Y203" s="70"/>
      <c r="Z203" s="70"/>
      <c r="AA203" s="70"/>
      <c r="AB203" s="70"/>
      <c r="AC203" s="70"/>
      <c r="AD203" s="69"/>
      <c r="AE203" s="101"/>
      <c r="AF203" s="102"/>
      <c r="AG203" s="102"/>
      <c r="AH203" s="102"/>
      <c r="AI203" s="103"/>
      <c r="AJ203" s="266"/>
      <c r="AK203" s="104"/>
    </row>
    <row r="204" spans="1:37" s="71" customFormat="1" ht="12.75" customHeight="1">
      <c r="A204" s="220"/>
      <c r="B204" s="69" t="s">
        <v>15</v>
      </c>
      <c r="C204" s="66">
        <v>715</v>
      </c>
      <c r="D204" s="70"/>
      <c r="E204" s="70"/>
      <c r="F204" s="98" t="s">
        <v>201</v>
      </c>
      <c r="G204" s="98" t="s">
        <v>201</v>
      </c>
      <c r="H204" s="70" t="s">
        <v>201</v>
      </c>
      <c r="I204" s="70" t="s">
        <v>1232</v>
      </c>
      <c r="J204" s="70" t="s">
        <v>1233</v>
      </c>
      <c r="K204" s="70" t="s">
        <v>321</v>
      </c>
      <c r="L204" s="57" t="s">
        <v>192</v>
      </c>
      <c r="M204" s="70"/>
      <c r="N204" s="70"/>
      <c r="O204" s="70"/>
      <c r="P204" s="70"/>
      <c r="Q204" s="70"/>
      <c r="R204" s="70"/>
      <c r="S204" s="70"/>
      <c r="T204" s="70"/>
      <c r="U204" s="70"/>
      <c r="V204" s="69"/>
      <c r="W204" s="100"/>
      <c r="X204" s="70"/>
      <c r="Y204" s="70"/>
      <c r="Z204" s="70"/>
      <c r="AA204" s="70"/>
      <c r="AB204" s="70"/>
      <c r="AC204" s="70"/>
      <c r="AD204" s="69"/>
      <c r="AE204" s="101"/>
      <c r="AF204" s="102"/>
      <c r="AG204" s="102"/>
      <c r="AH204" s="102"/>
      <c r="AI204" s="103"/>
      <c r="AJ204" s="266"/>
      <c r="AK204" s="104"/>
    </row>
    <row r="205" spans="1:37" s="319" customFormat="1" ht="12.75" customHeight="1">
      <c r="A205" s="220"/>
      <c r="B205" s="69" t="s">
        <v>68</v>
      </c>
      <c r="C205" s="66">
        <v>716</v>
      </c>
      <c r="D205" s="69"/>
      <c r="E205" s="70" t="b">
        <v>1</v>
      </c>
      <c r="F205" s="398" t="s">
        <v>1234</v>
      </c>
      <c r="G205" s="398" t="s">
        <v>1235</v>
      </c>
      <c r="H205" s="464" t="s">
        <v>1236</v>
      </c>
      <c r="I205" s="399" t="s">
        <v>1237</v>
      </c>
      <c r="J205" s="399" t="s">
        <v>1238</v>
      </c>
      <c r="K205" s="399" t="s">
        <v>737</v>
      </c>
      <c r="L205" s="451" t="s">
        <v>192</v>
      </c>
      <c r="M205" s="399"/>
      <c r="N205" s="399"/>
      <c r="O205" s="399"/>
      <c r="P205" s="399"/>
      <c r="Q205" s="399"/>
      <c r="R205" s="399"/>
      <c r="S205" s="464"/>
      <c r="T205" s="399"/>
      <c r="U205" s="464" t="s">
        <v>1239</v>
      </c>
      <c r="V205" s="400" t="str">
        <f>_xlfn.CONCAT($AH$14,"_",U205)</f>
        <v>3922_80Dx_05_BL</v>
      </c>
      <c r="W205" s="465" t="s">
        <v>234</v>
      </c>
      <c r="X205" s="449">
        <v>3922</v>
      </c>
      <c r="Y205" s="399" t="s">
        <v>272</v>
      </c>
      <c r="Z205" s="399" t="s">
        <v>1185</v>
      </c>
      <c r="AA205" s="399">
        <v>4</v>
      </c>
      <c r="AB205" s="401" t="s">
        <v>1186</v>
      </c>
      <c r="AC205" s="400" t="s">
        <v>141</v>
      </c>
      <c r="AD205" s="449" t="s">
        <v>199</v>
      </c>
      <c r="AE205" s="402" t="s">
        <v>428</v>
      </c>
      <c r="AF205" s="462">
        <v>0</v>
      </c>
      <c r="AG205" s="462">
        <v>10000</v>
      </c>
      <c r="AH205" s="462">
        <v>0</v>
      </c>
      <c r="AI205" s="403"/>
      <c r="AJ205" s="409"/>
      <c r="AK205" s="104"/>
    </row>
    <row r="206" spans="1:37" s="319" customFormat="1" ht="12.75" customHeight="1">
      <c r="A206" s="220"/>
      <c r="B206" s="69" t="s">
        <v>68</v>
      </c>
      <c r="C206" s="66">
        <v>717</v>
      </c>
      <c r="D206" s="69"/>
      <c r="E206" s="70" t="b">
        <v>1</v>
      </c>
      <c r="F206" s="398" t="s">
        <v>1240</v>
      </c>
      <c r="G206" s="398" t="s">
        <v>1241</v>
      </c>
      <c r="H206" s="464" t="s">
        <v>1242</v>
      </c>
      <c r="I206" s="399" t="s">
        <v>1243</v>
      </c>
      <c r="J206" s="399" t="s">
        <v>1244</v>
      </c>
      <c r="K206" s="399" t="s">
        <v>737</v>
      </c>
      <c r="L206" s="451" t="s">
        <v>192</v>
      </c>
      <c r="M206" s="399"/>
      <c r="N206" s="399"/>
      <c r="O206" s="399"/>
      <c r="P206" s="399"/>
      <c r="Q206" s="399"/>
      <c r="R206" s="399"/>
      <c r="S206" s="464"/>
      <c r="T206" s="399"/>
      <c r="U206" s="464" t="s">
        <v>1245</v>
      </c>
      <c r="V206" s="400" t="str">
        <f>_xlfn.CONCAT($AH$14,"_",U206)</f>
        <v>3922_80Dx_50_BL</v>
      </c>
      <c r="W206" s="465" t="s">
        <v>234</v>
      </c>
      <c r="X206" s="449">
        <v>3922</v>
      </c>
      <c r="Y206" s="399" t="s">
        <v>272</v>
      </c>
      <c r="Z206" s="399" t="s">
        <v>1185</v>
      </c>
      <c r="AA206" s="399">
        <v>5</v>
      </c>
      <c r="AB206" s="401" t="s">
        <v>1186</v>
      </c>
      <c r="AC206" s="400" t="s">
        <v>141</v>
      </c>
      <c r="AD206" s="449" t="s">
        <v>199</v>
      </c>
      <c r="AE206" s="402" t="s">
        <v>428</v>
      </c>
      <c r="AF206" s="462">
        <v>0</v>
      </c>
      <c r="AG206" s="462">
        <v>10000</v>
      </c>
      <c r="AH206" s="462">
        <v>0</v>
      </c>
      <c r="AI206" s="403"/>
      <c r="AJ206" s="409"/>
      <c r="AK206" s="104"/>
    </row>
    <row r="207" spans="1:37" s="319" customFormat="1" ht="12.75" customHeight="1">
      <c r="A207" s="220"/>
      <c r="B207" s="69" t="s">
        <v>68</v>
      </c>
      <c r="C207" s="66">
        <v>718</v>
      </c>
      <c r="D207" s="69"/>
      <c r="E207" s="70" t="b">
        <v>1</v>
      </c>
      <c r="F207" s="398" t="s">
        <v>1246</v>
      </c>
      <c r="G207" s="398" t="s">
        <v>1247</v>
      </c>
      <c r="H207" s="399" t="s">
        <v>1248</v>
      </c>
      <c r="I207" s="399" t="s">
        <v>1249</v>
      </c>
      <c r="J207" s="399" t="s">
        <v>1250</v>
      </c>
      <c r="K207" s="399" t="s">
        <v>209</v>
      </c>
      <c r="L207" s="451" t="s">
        <v>192</v>
      </c>
      <c r="M207" s="399"/>
      <c r="N207" s="399"/>
      <c r="O207" s="399"/>
      <c r="P207" s="399"/>
      <c r="Q207" s="399"/>
      <c r="R207" s="399"/>
      <c r="S207" s="464"/>
      <c r="T207" s="399"/>
      <c r="U207" s="464" t="s">
        <v>1251</v>
      </c>
      <c r="V207" s="400" t="str">
        <f>_xlfn.CONCAT($AH$14,"_",U207)</f>
        <v>3922_80Dx_Flow_BL</v>
      </c>
      <c r="W207" s="465" t="s">
        <v>234</v>
      </c>
      <c r="X207" s="449">
        <v>3922</v>
      </c>
      <c r="Y207" s="399" t="s">
        <v>272</v>
      </c>
      <c r="Z207" s="399" t="s">
        <v>1185</v>
      </c>
      <c r="AA207" s="399">
        <v>6</v>
      </c>
      <c r="AB207" s="401" t="s">
        <v>1186</v>
      </c>
      <c r="AC207" s="400" t="s">
        <v>141</v>
      </c>
      <c r="AD207" s="449" t="s">
        <v>199</v>
      </c>
      <c r="AE207" s="402" t="s">
        <v>1252</v>
      </c>
      <c r="AF207" s="459">
        <v>0</v>
      </c>
      <c r="AG207" s="459">
        <v>1</v>
      </c>
      <c r="AH207" s="459">
        <v>0</v>
      </c>
      <c r="AI207" s="403"/>
      <c r="AJ207" s="409"/>
      <c r="AK207" s="104"/>
    </row>
    <row r="208" spans="1:37" s="71" customFormat="1" ht="12.75" customHeight="1">
      <c r="A208" s="220"/>
      <c r="B208" s="69" t="s">
        <v>15</v>
      </c>
      <c r="C208" s="66">
        <v>719</v>
      </c>
      <c r="D208" s="70"/>
      <c r="E208" s="70"/>
      <c r="F208" s="98" t="s">
        <v>201</v>
      </c>
      <c r="G208" s="98" t="s">
        <v>201</v>
      </c>
      <c r="H208" s="70" t="s">
        <v>201</v>
      </c>
      <c r="I208" s="70" t="s">
        <v>1253</v>
      </c>
      <c r="J208" s="70" t="s">
        <v>1254</v>
      </c>
      <c r="K208" s="70" t="s">
        <v>209</v>
      </c>
      <c r="L208" s="57" t="s">
        <v>192</v>
      </c>
      <c r="M208" s="70"/>
      <c r="N208" s="70"/>
      <c r="O208" s="70"/>
      <c r="P208" s="70"/>
      <c r="Q208" s="70"/>
      <c r="R208" s="70"/>
      <c r="S208" s="69"/>
      <c r="T208" s="70"/>
      <c r="U208" s="69"/>
      <c r="V208" s="69"/>
      <c r="W208" s="100"/>
      <c r="X208" s="70"/>
      <c r="Y208" s="70"/>
      <c r="Z208" s="70"/>
      <c r="AA208" s="70"/>
      <c r="AB208" s="70"/>
      <c r="AC208" s="70"/>
      <c r="AD208" s="69"/>
      <c r="AE208" s="101"/>
      <c r="AF208" s="102"/>
      <c r="AG208" s="102"/>
      <c r="AH208" s="102"/>
      <c r="AI208" s="103"/>
      <c r="AJ208" s="266"/>
      <c r="AK208" s="104"/>
    </row>
    <row r="209" spans="1:43" s="319" customFormat="1" ht="12.75" customHeight="1">
      <c r="A209" s="220"/>
      <c r="B209" s="69" t="s">
        <v>46</v>
      </c>
      <c r="C209" s="66">
        <v>720</v>
      </c>
      <c r="D209" s="69" t="b">
        <v>1</v>
      </c>
      <c r="E209" s="70"/>
      <c r="F209" s="98" t="s">
        <v>1255</v>
      </c>
      <c r="G209" s="98" t="s">
        <v>1256</v>
      </c>
      <c r="H209" s="447" t="s">
        <v>1257</v>
      </c>
      <c r="I209" s="70" t="s">
        <v>1258</v>
      </c>
      <c r="J209" s="70" t="s">
        <v>1259</v>
      </c>
      <c r="K209" s="70" t="s">
        <v>209</v>
      </c>
      <c r="L209" s="57" t="s">
        <v>192</v>
      </c>
      <c r="M209" s="70"/>
      <c r="N209" s="70"/>
      <c r="O209" s="70"/>
      <c r="P209" s="70"/>
      <c r="Q209" s="70"/>
      <c r="R209" s="70"/>
      <c r="S209" s="447"/>
      <c r="T209" s="70"/>
      <c r="U209" s="447" t="s">
        <v>1260</v>
      </c>
      <c r="V209" s="69" t="str">
        <f>_xlfn.CONCAT($AH$14,"_",U209)</f>
        <v>3922_80FS2_BL</v>
      </c>
      <c r="W209" s="433" t="s">
        <v>234</v>
      </c>
      <c r="X209" s="66">
        <v>3922</v>
      </c>
      <c r="Y209" s="70" t="s">
        <v>272</v>
      </c>
      <c r="Z209" s="70" t="s">
        <v>1217</v>
      </c>
      <c r="AA209" s="70">
        <v>3</v>
      </c>
      <c r="AB209" s="67" t="s">
        <v>1186</v>
      </c>
      <c r="AC209" s="69" t="s">
        <v>141</v>
      </c>
      <c r="AD209" s="66" t="s">
        <v>199</v>
      </c>
      <c r="AE209" s="101" t="s">
        <v>1158</v>
      </c>
      <c r="AF209" s="423">
        <v>1</v>
      </c>
      <c r="AG209" s="423">
        <v>50</v>
      </c>
      <c r="AH209" s="423">
        <v>1</v>
      </c>
      <c r="AI209" s="103"/>
      <c r="AJ209" s="266"/>
      <c r="AK209" s="104"/>
    </row>
    <row r="210" spans="1:43" s="319" customFormat="1" ht="12.75" customHeight="1">
      <c r="A210" s="220"/>
      <c r="B210" s="69" t="s">
        <v>46</v>
      </c>
      <c r="C210" s="66">
        <v>721</v>
      </c>
      <c r="D210" s="69" t="b">
        <v>1</v>
      </c>
      <c r="E210" s="70"/>
      <c r="F210" s="98" t="s">
        <v>1261</v>
      </c>
      <c r="G210" s="98" t="s">
        <v>1262</v>
      </c>
      <c r="H210" s="447" t="s">
        <v>1263</v>
      </c>
      <c r="I210" s="70" t="s">
        <v>1264</v>
      </c>
      <c r="J210" s="70" t="s">
        <v>1265</v>
      </c>
      <c r="K210" s="70" t="s">
        <v>209</v>
      </c>
      <c r="L210" s="57" t="s">
        <v>192</v>
      </c>
      <c r="M210" s="70"/>
      <c r="N210" s="70"/>
      <c r="O210" s="70"/>
      <c r="P210" s="70"/>
      <c r="Q210" s="70"/>
      <c r="R210" s="70"/>
      <c r="S210" s="447"/>
      <c r="T210" s="70"/>
      <c r="U210" s="447" t="s">
        <v>1266</v>
      </c>
      <c r="V210" s="69" t="str">
        <f>_xlfn.CONCAT($AH$14,"_",U210)</f>
        <v>3922_80FS2_OL</v>
      </c>
      <c r="W210" s="433" t="s">
        <v>234</v>
      </c>
      <c r="X210" s="66">
        <v>3922</v>
      </c>
      <c r="Y210" s="70" t="s">
        <v>272</v>
      </c>
      <c r="Z210" s="70" t="s">
        <v>1217</v>
      </c>
      <c r="AA210" s="70">
        <v>4</v>
      </c>
      <c r="AB210" s="67" t="s">
        <v>1186</v>
      </c>
      <c r="AC210" s="69" t="s">
        <v>141</v>
      </c>
      <c r="AD210" s="66" t="s">
        <v>199</v>
      </c>
      <c r="AE210" s="101" t="s">
        <v>1158</v>
      </c>
      <c r="AF210" s="423">
        <v>1</v>
      </c>
      <c r="AG210" s="423">
        <v>50</v>
      </c>
      <c r="AH210" s="423">
        <v>1</v>
      </c>
      <c r="AI210" s="103"/>
      <c r="AJ210" s="266"/>
      <c r="AK210" s="104"/>
    </row>
    <row r="211" spans="1:43" s="71" customFormat="1" ht="12.75" customHeight="1">
      <c r="A211" s="220"/>
      <c r="B211" s="69" t="s">
        <v>15</v>
      </c>
      <c r="C211" s="66">
        <v>722</v>
      </c>
      <c r="D211" s="70"/>
      <c r="E211" s="70"/>
      <c r="F211" s="98" t="s">
        <v>201</v>
      </c>
      <c r="G211" s="98"/>
      <c r="H211" s="70" t="s">
        <v>201</v>
      </c>
      <c r="I211" s="70" t="s">
        <v>1267</v>
      </c>
      <c r="J211" s="70" t="s">
        <v>1268</v>
      </c>
      <c r="K211" s="70" t="s">
        <v>209</v>
      </c>
      <c r="L211" s="57" t="s">
        <v>192</v>
      </c>
      <c r="M211" s="70"/>
      <c r="N211" s="70"/>
      <c r="O211" s="70"/>
      <c r="P211" s="70"/>
      <c r="Q211" s="70"/>
      <c r="R211" s="70"/>
      <c r="S211"/>
      <c r="T211" s="70"/>
      <c r="U211"/>
      <c r="V211" s="69"/>
      <c r="W211" s="100"/>
      <c r="X211" s="70"/>
      <c r="Y211" s="70"/>
      <c r="Z211" s="70"/>
      <c r="AA211" s="70"/>
      <c r="AB211" s="70"/>
      <c r="AC211" s="70"/>
      <c r="AD211" s="69"/>
      <c r="AE211" s="101"/>
      <c r="AF211" s="423"/>
      <c r="AG211" s="423"/>
      <c r="AH211" s="423"/>
      <c r="AI211" s="103"/>
      <c r="AJ211" s="266"/>
      <c r="AK211" s="104"/>
    </row>
    <row r="212" spans="1:43" s="71" customFormat="1" ht="12.75" customHeight="1">
      <c r="A212" s="220"/>
      <c r="B212" s="69" t="s">
        <v>15</v>
      </c>
      <c r="C212" s="66">
        <v>723</v>
      </c>
      <c r="D212" s="70"/>
      <c r="E212" s="70"/>
      <c r="F212" s="98" t="s">
        <v>201</v>
      </c>
      <c r="G212" s="98"/>
      <c r="H212" s="70" t="s">
        <v>201</v>
      </c>
      <c r="I212" s="70" t="s">
        <v>1269</v>
      </c>
      <c r="J212" s="70" t="s">
        <v>1270</v>
      </c>
      <c r="K212" s="70" t="s">
        <v>209</v>
      </c>
      <c r="L212" s="57" t="s">
        <v>192</v>
      </c>
      <c r="M212" s="70"/>
      <c r="N212" s="70"/>
      <c r="O212" s="70"/>
      <c r="P212" s="70"/>
      <c r="Q212" s="70"/>
      <c r="R212" s="70"/>
      <c r="S212"/>
      <c r="T212" s="70"/>
      <c r="U212"/>
      <c r="V212" s="69"/>
      <c r="W212" s="100"/>
      <c r="X212" s="70"/>
      <c r="Y212" s="70"/>
      <c r="Z212" s="70"/>
      <c r="AA212" s="70"/>
      <c r="AB212" s="70"/>
      <c r="AC212" s="70"/>
      <c r="AD212" s="69"/>
      <c r="AE212" s="101"/>
      <c r="AF212" s="423"/>
      <c r="AG212" s="423"/>
      <c r="AH212" s="423"/>
      <c r="AI212" s="103"/>
      <c r="AJ212" s="266"/>
      <c r="AK212" s="104"/>
    </row>
    <row r="213" spans="1:43" s="319" customFormat="1" ht="12.75" customHeight="1">
      <c r="A213" s="220"/>
      <c r="B213" s="69" t="s">
        <v>46</v>
      </c>
      <c r="C213" s="66">
        <v>724</v>
      </c>
      <c r="D213" s="69" t="b">
        <v>1</v>
      </c>
      <c r="E213" s="70"/>
      <c r="F213" s="98" t="s">
        <v>1271</v>
      </c>
      <c r="G213" s="98" t="s">
        <v>1272</v>
      </c>
      <c r="H213" s="447" t="s">
        <v>1273</v>
      </c>
      <c r="I213" s="70" t="s">
        <v>1274</v>
      </c>
      <c r="J213" s="70" t="s">
        <v>1275</v>
      </c>
      <c r="K213" s="70" t="s">
        <v>209</v>
      </c>
      <c r="L213" s="57" t="s">
        <v>192</v>
      </c>
      <c r="M213" s="70"/>
      <c r="N213" s="70"/>
      <c r="O213" s="70"/>
      <c r="P213" s="70"/>
      <c r="Q213" s="70"/>
      <c r="R213" s="70"/>
      <c r="S213" s="447"/>
      <c r="T213" s="70"/>
      <c r="U213" s="447" t="s">
        <v>1276</v>
      </c>
      <c r="V213" s="69" t="str">
        <f>_xlfn.CONCAT($AH$14,"_",U213)</f>
        <v>3922_80FS3_BL</v>
      </c>
      <c r="W213" s="433" t="s">
        <v>234</v>
      </c>
      <c r="X213" s="66">
        <v>3922</v>
      </c>
      <c r="Y213" s="70" t="s">
        <v>272</v>
      </c>
      <c r="Z213" s="70" t="s">
        <v>1217</v>
      </c>
      <c r="AA213" s="70">
        <v>5</v>
      </c>
      <c r="AB213" s="67" t="s">
        <v>1186</v>
      </c>
      <c r="AC213" s="69" t="s">
        <v>141</v>
      </c>
      <c r="AD213" s="66" t="s">
        <v>199</v>
      </c>
      <c r="AE213" s="101" t="s">
        <v>1158</v>
      </c>
      <c r="AF213" s="423">
        <v>1</v>
      </c>
      <c r="AG213" s="423">
        <v>50</v>
      </c>
      <c r="AH213" s="423">
        <v>1</v>
      </c>
      <c r="AI213" s="103"/>
      <c r="AJ213" s="266"/>
      <c r="AK213" s="104"/>
    </row>
    <row r="214" spans="1:43" s="319" customFormat="1" ht="12.75" customHeight="1">
      <c r="A214" s="220"/>
      <c r="B214" s="69" t="s">
        <v>46</v>
      </c>
      <c r="C214" s="66">
        <v>725</v>
      </c>
      <c r="D214" s="69" t="b">
        <v>1</v>
      </c>
      <c r="E214" s="70"/>
      <c r="F214" s="98" t="s">
        <v>1277</v>
      </c>
      <c r="G214" s="98" t="s">
        <v>1278</v>
      </c>
      <c r="H214" s="447" t="s">
        <v>1279</v>
      </c>
      <c r="I214" s="70" t="s">
        <v>1280</v>
      </c>
      <c r="J214" s="70" t="s">
        <v>1281</v>
      </c>
      <c r="K214" s="70" t="s">
        <v>209</v>
      </c>
      <c r="L214" s="57" t="s">
        <v>192</v>
      </c>
      <c r="M214" s="70"/>
      <c r="N214" s="70"/>
      <c r="O214" s="70"/>
      <c r="P214" s="70"/>
      <c r="Q214" s="70"/>
      <c r="R214" s="70"/>
      <c r="S214" s="447"/>
      <c r="T214" s="70"/>
      <c r="U214" s="447" t="s">
        <v>1282</v>
      </c>
      <c r="V214" s="69" t="str">
        <f>_xlfn.CONCAT($AH$14,"_",U214)</f>
        <v>3922_80FS3_OL</v>
      </c>
      <c r="W214" s="433" t="s">
        <v>234</v>
      </c>
      <c r="X214" s="66">
        <v>3922</v>
      </c>
      <c r="Y214" s="70" t="s">
        <v>272</v>
      </c>
      <c r="Z214" s="70" t="s">
        <v>1217</v>
      </c>
      <c r="AA214" s="70">
        <v>6</v>
      </c>
      <c r="AB214" s="67" t="s">
        <v>1186</v>
      </c>
      <c r="AC214" s="69" t="s">
        <v>141</v>
      </c>
      <c r="AD214" s="66" t="s">
        <v>199</v>
      </c>
      <c r="AE214" s="101" t="s">
        <v>1158</v>
      </c>
      <c r="AF214" s="423">
        <v>1</v>
      </c>
      <c r="AG214" s="423">
        <v>50</v>
      </c>
      <c r="AH214" s="423">
        <v>1</v>
      </c>
      <c r="AI214" s="103"/>
      <c r="AJ214" s="266"/>
      <c r="AK214" s="104"/>
    </row>
    <row r="215" spans="1:43" s="71" customFormat="1" ht="12.75" customHeight="1">
      <c r="A215" s="220"/>
      <c r="B215" s="69" t="s">
        <v>15</v>
      </c>
      <c r="C215" s="66">
        <v>726</v>
      </c>
      <c r="D215" s="70"/>
      <c r="E215" s="70"/>
      <c r="F215" s="397" t="s">
        <v>201</v>
      </c>
      <c r="G215" s="397" t="s">
        <v>201</v>
      </c>
      <c r="H215" s="69" t="s">
        <v>201</v>
      </c>
      <c r="I215" s="70" t="s">
        <v>1283</v>
      </c>
      <c r="J215" s="70" t="s">
        <v>1284</v>
      </c>
      <c r="K215" s="70"/>
      <c r="L215" s="57" t="s">
        <v>192</v>
      </c>
      <c r="M215" s="70"/>
      <c r="N215" s="70"/>
      <c r="O215" s="70"/>
      <c r="P215" s="70"/>
      <c r="Q215" s="70"/>
      <c r="R215" s="70"/>
      <c r="S215" s="70"/>
      <c r="T215" s="70"/>
      <c r="U215" s="70"/>
      <c r="V215" s="69"/>
      <c r="W215" s="100"/>
      <c r="X215" s="70"/>
      <c r="Y215" s="70"/>
      <c r="Z215" s="70"/>
      <c r="AA215" s="70"/>
      <c r="AB215" s="70"/>
      <c r="AC215" s="70"/>
      <c r="AD215" s="69"/>
      <c r="AE215" s="101"/>
      <c r="AF215" s="102"/>
      <c r="AG215" s="102"/>
      <c r="AH215" s="102"/>
      <c r="AI215" s="103"/>
      <c r="AJ215" s="266"/>
      <c r="AK215" s="104"/>
    </row>
    <row r="216" spans="1:43" s="312" customFormat="1" ht="12.75" customHeight="1">
      <c r="A216" s="506" t="s">
        <v>1285</v>
      </c>
      <c r="B216" s="507"/>
      <c r="C216" s="507"/>
      <c r="D216" s="507"/>
      <c r="E216" s="507"/>
      <c r="F216" s="507"/>
      <c r="G216" s="507"/>
      <c r="H216" s="507"/>
      <c r="I216" s="507"/>
      <c r="J216" s="507"/>
      <c r="K216" s="507"/>
      <c r="L216" s="507"/>
      <c r="M216" s="507"/>
      <c r="N216" s="507"/>
      <c r="O216" s="507"/>
      <c r="P216" s="507"/>
      <c r="Q216" s="507"/>
      <c r="R216" s="507"/>
      <c r="S216" s="507"/>
      <c r="T216" s="507"/>
      <c r="U216" s="507"/>
      <c r="V216" s="507"/>
      <c r="W216" s="507"/>
      <c r="X216" s="507"/>
      <c r="Y216" s="507"/>
      <c r="Z216" s="507"/>
      <c r="AA216" s="507"/>
      <c r="AB216" s="507"/>
      <c r="AC216" s="507"/>
      <c r="AD216" s="507"/>
      <c r="AE216" s="507"/>
      <c r="AF216" s="507"/>
      <c r="AG216" s="507"/>
      <c r="AH216" s="507"/>
      <c r="AI216" s="507"/>
      <c r="AJ216" s="507"/>
      <c r="AK216" s="508"/>
      <c r="AL216" s="338"/>
      <c r="AM216" s="338"/>
      <c r="AN216" s="338"/>
      <c r="AO216" s="338"/>
      <c r="AP216" s="338"/>
      <c r="AQ216" s="338"/>
    </row>
    <row r="217" spans="1:43" s="312" customFormat="1" ht="12.75" customHeight="1">
      <c r="A217" s="509"/>
      <c r="B217" s="510"/>
      <c r="C217" s="510"/>
      <c r="D217" s="510"/>
      <c r="E217" s="510"/>
      <c r="F217" s="510"/>
      <c r="G217" s="510"/>
      <c r="H217" s="510"/>
      <c r="I217" s="510"/>
      <c r="J217" s="510"/>
      <c r="K217" s="510"/>
      <c r="L217" s="510"/>
      <c r="M217" s="510"/>
      <c r="N217" s="510"/>
      <c r="O217" s="510"/>
      <c r="P217" s="510"/>
      <c r="Q217" s="510"/>
      <c r="R217" s="510"/>
      <c r="S217" s="510"/>
      <c r="T217" s="510"/>
      <c r="U217" s="510"/>
      <c r="V217" s="510"/>
      <c r="W217" s="510"/>
      <c r="X217" s="510"/>
      <c r="Y217" s="510"/>
      <c r="Z217" s="510"/>
      <c r="AA217" s="510"/>
      <c r="AB217" s="510"/>
      <c r="AC217" s="510"/>
      <c r="AD217" s="510"/>
      <c r="AE217" s="510"/>
      <c r="AF217" s="510"/>
      <c r="AG217" s="510"/>
      <c r="AH217" s="510"/>
      <c r="AI217" s="510"/>
      <c r="AJ217" s="510"/>
      <c r="AK217" s="511"/>
      <c r="AL217" s="338"/>
      <c r="AM217" s="338"/>
      <c r="AN217" s="338"/>
      <c r="AO217" s="338"/>
      <c r="AP217" s="338"/>
      <c r="AQ217" s="338"/>
    </row>
    <row r="218" spans="1:43" s="71" customFormat="1" ht="12.75" customHeight="1">
      <c r="A218" s="220"/>
      <c r="B218" s="69" t="s">
        <v>15</v>
      </c>
      <c r="C218" s="66">
        <v>2001</v>
      </c>
      <c r="D218" s="69"/>
      <c r="E218" s="70"/>
      <c r="F218" s="98" t="s">
        <v>125</v>
      </c>
      <c r="G218" s="98"/>
      <c r="H218" s="70" t="s">
        <v>126</v>
      </c>
      <c r="I218" s="70" t="s">
        <v>1286</v>
      </c>
      <c r="J218" s="70" t="s">
        <v>1287</v>
      </c>
      <c r="K218" s="70" t="s">
        <v>129</v>
      </c>
      <c r="L218" s="99" t="s">
        <v>130</v>
      </c>
      <c r="M218" s="70"/>
      <c r="N218" s="70"/>
      <c r="O218" s="70"/>
      <c r="P218" s="70"/>
      <c r="Q218" s="70"/>
      <c r="R218" s="70"/>
      <c r="S218" s="70"/>
      <c r="T218" s="70"/>
      <c r="U218" s="70" t="s">
        <v>131</v>
      </c>
      <c r="V218" s="70"/>
      <c r="W218" s="100"/>
      <c r="X218" s="70"/>
      <c r="Y218" s="70" t="s">
        <v>126</v>
      </c>
      <c r="Z218" s="70"/>
      <c r="AA218" s="70"/>
      <c r="AB218" s="70"/>
      <c r="AC218" s="70"/>
      <c r="AD218" s="69"/>
      <c r="AE218" s="101"/>
      <c r="AF218" s="102">
        <v>0</v>
      </c>
      <c r="AG218" s="102">
        <v>1</v>
      </c>
      <c r="AH218" s="102"/>
      <c r="AI218" s="103"/>
      <c r="AJ218" s="266"/>
      <c r="AK218" s="104"/>
    </row>
    <row r="219" spans="1:43" s="71" customFormat="1" ht="12.75" customHeight="1">
      <c r="A219" s="220"/>
      <c r="B219" s="69" t="s">
        <v>23</v>
      </c>
      <c r="C219" s="66">
        <v>2002</v>
      </c>
      <c r="D219" s="69" t="b">
        <v>1</v>
      </c>
      <c r="E219" s="70"/>
      <c r="F219" s="98" t="s">
        <v>133</v>
      </c>
      <c r="G219" s="98"/>
      <c r="H219" s="70" t="s">
        <v>134</v>
      </c>
      <c r="I219" s="70" t="s">
        <v>1288</v>
      </c>
      <c r="J219" s="70" t="s">
        <v>1289</v>
      </c>
      <c r="K219" s="70" t="s">
        <v>137</v>
      </c>
      <c r="L219" s="99" t="s">
        <v>130</v>
      </c>
      <c r="M219" s="70"/>
      <c r="N219" s="70"/>
      <c r="O219" s="70"/>
      <c r="P219" s="70"/>
      <c r="Q219" s="70"/>
      <c r="R219" s="70"/>
      <c r="S219" s="70"/>
      <c r="T219" s="70"/>
      <c r="U219" s="70" t="s">
        <v>134</v>
      </c>
      <c r="V219" s="69" t="str">
        <f>_xlfn.CONCAT($AH$226,"_",U219)</f>
        <v>3923_SON</v>
      </c>
      <c r="W219" s="100" t="e">
        <f>VLOOKUP(#REF!,ComponentTypes!$A$2:$B$7,2,FALSE)</f>
        <v>#REF!</v>
      </c>
      <c r="X219" s="70">
        <v>3923</v>
      </c>
      <c r="Y219" s="70" t="s">
        <v>139</v>
      </c>
      <c r="Z219" s="70" t="s">
        <v>140</v>
      </c>
      <c r="AA219" s="70">
        <v>1</v>
      </c>
      <c r="AB219" s="70" t="s">
        <v>126</v>
      </c>
      <c r="AC219" s="69" t="s">
        <v>141</v>
      </c>
      <c r="AD219" s="69" t="s">
        <v>142</v>
      </c>
      <c r="AE219" s="101" t="s">
        <v>126</v>
      </c>
      <c r="AF219" s="102">
        <v>-999</v>
      </c>
      <c r="AG219" s="102">
        <v>999</v>
      </c>
      <c r="AH219" s="102" t="s">
        <v>143</v>
      </c>
      <c r="AI219" s="103"/>
      <c r="AJ219" s="266"/>
      <c r="AK219" s="104"/>
    </row>
    <row r="220" spans="1:43" s="71" customFormat="1" ht="12.75" customHeight="1">
      <c r="A220" s="220"/>
      <c r="B220" s="69" t="s">
        <v>23</v>
      </c>
      <c r="C220" s="66">
        <v>2003</v>
      </c>
      <c r="D220" s="69" t="b">
        <v>1</v>
      </c>
      <c r="E220" s="70"/>
      <c r="F220" s="98" t="s">
        <v>145</v>
      </c>
      <c r="G220" s="98"/>
      <c r="H220" s="70" t="s">
        <v>146</v>
      </c>
      <c r="I220" s="70" t="s">
        <v>1290</v>
      </c>
      <c r="J220" s="70" t="s">
        <v>1291</v>
      </c>
      <c r="K220" s="70" t="s">
        <v>149</v>
      </c>
      <c r="L220" s="99" t="s">
        <v>130</v>
      </c>
      <c r="M220" s="70"/>
      <c r="N220" s="70"/>
      <c r="O220" s="70"/>
      <c r="P220" s="70"/>
      <c r="Q220" s="70"/>
      <c r="R220" s="70"/>
      <c r="S220" s="70"/>
      <c r="T220" s="70"/>
      <c r="U220" s="70" t="s">
        <v>146</v>
      </c>
      <c r="V220" s="69" t="str">
        <f>_xlfn.CONCAT($AH$226,"_",U220)</f>
        <v>3923_INR</v>
      </c>
      <c r="W220" s="100" t="e">
        <f>VLOOKUP(#REF!,ComponentTypes!$A$2:$B$7,2,FALSE)</f>
        <v>#REF!</v>
      </c>
      <c r="X220" s="70">
        <v>3923</v>
      </c>
      <c r="Y220" s="70" t="s">
        <v>139</v>
      </c>
      <c r="Z220" s="70" t="s">
        <v>140</v>
      </c>
      <c r="AA220" s="70">
        <v>2</v>
      </c>
      <c r="AB220" s="70" t="s">
        <v>126</v>
      </c>
      <c r="AC220" s="69" t="s">
        <v>141</v>
      </c>
      <c r="AD220" s="69" t="s">
        <v>142</v>
      </c>
      <c r="AE220" s="101" t="s">
        <v>126</v>
      </c>
      <c r="AF220" s="102">
        <v>-999</v>
      </c>
      <c r="AG220" s="102">
        <v>999</v>
      </c>
      <c r="AH220" s="102" t="s">
        <v>146</v>
      </c>
      <c r="AI220" s="103"/>
      <c r="AJ220" s="266"/>
      <c r="AK220" s="104"/>
    </row>
    <row r="221" spans="1:43" s="71" customFormat="1" ht="12.75" customHeight="1">
      <c r="A221" s="220"/>
      <c r="B221" s="69" t="s">
        <v>15</v>
      </c>
      <c r="C221" s="66">
        <v>2004</v>
      </c>
      <c r="D221" s="69"/>
      <c r="E221" s="70"/>
      <c r="F221" s="98" t="s">
        <v>150</v>
      </c>
      <c r="G221" s="98"/>
      <c r="H221" s="70" t="s">
        <v>126</v>
      </c>
      <c r="I221" s="70" t="s">
        <v>1292</v>
      </c>
      <c r="J221" s="70" t="s">
        <v>1293</v>
      </c>
      <c r="K221" s="70" t="s">
        <v>153</v>
      </c>
      <c r="L221" s="99" t="s">
        <v>130</v>
      </c>
      <c r="M221" s="70"/>
      <c r="N221" s="70"/>
      <c r="O221" s="70"/>
      <c r="P221" s="70"/>
      <c r="Q221" s="70"/>
      <c r="R221" s="70"/>
      <c r="S221" s="70"/>
      <c r="T221" s="70"/>
      <c r="U221" s="70" t="s">
        <v>154</v>
      </c>
      <c r="V221" s="70"/>
      <c r="W221" s="100"/>
      <c r="X221" s="70"/>
      <c r="Y221" s="70" t="s">
        <v>126</v>
      </c>
      <c r="Z221" s="70"/>
      <c r="AA221" s="70"/>
      <c r="AB221" s="70"/>
      <c r="AC221" s="70"/>
      <c r="AD221" s="69"/>
      <c r="AE221" s="101"/>
      <c r="AF221" s="102"/>
      <c r="AG221" s="102"/>
      <c r="AH221" s="102"/>
      <c r="AI221" s="103"/>
      <c r="AJ221" s="266"/>
      <c r="AK221" s="104"/>
    </row>
    <row r="222" spans="1:43" s="71" customFormat="1" ht="12.75" customHeight="1">
      <c r="A222" s="220"/>
      <c r="B222" s="69" t="s">
        <v>23</v>
      </c>
      <c r="C222" s="66">
        <v>2005</v>
      </c>
      <c r="D222" s="69"/>
      <c r="E222" s="70"/>
      <c r="F222" s="98" t="s">
        <v>156</v>
      </c>
      <c r="G222" s="98"/>
      <c r="H222" s="70" t="s">
        <v>157</v>
      </c>
      <c r="I222" s="70" t="s">
        <v>1294</v>
      </c>
      <c r="J222" s="70" t="s">
        <v>1295</v>
      </c>
      <c r="K222" s="70" t="s">
        <v>160</v>
      </c>
      <c r="L222" s="99" t="s">
        <v>130</v>
      </c>
      <c r="M222" s="70"/>
      <c r="N222" s="70"/>
      <c r="O222" s="70"/>
      <c r="P222" s="70"/>
      <c r="Q222" s="70"/>
      <c r="R222" s="70"/>
      <c r="S222" s="70"/>
      <c r="T222" s="70"/>
      <c r="U222" s="70" t="s">
        <v>161</v>
      </c>
      <c r="V222" s="69" t="str">
        <f>_xlfn.CONCAT($AH$226,"_",U222)</f>
        <v>3923_RCPVER</v>
      </c>
      <c r="W222" s="100"/>
      <c r="X222" s="70">
        <v>3923</v>
      </c>
      <c r="Y222" s="70" t="s">
        <v>139</v>
      </c>
      <c r="Z222" s="70"/>
      <c r="AA222" s="70">
        <v>3</v>
      </c>
      <c r="AB222" s="70" t="s">
        <v>126</v>
      </c>
      <c r="AC222" s="69" t="s">
        <v>141</v>
      </c>
      <c r="AD222" s="69" t="s">
        <v>142</v>
      </c>
      <c r="AE222" s="101"/>
      <c r="AF222" s="102">
        <v>-999</v>
      </c>
      <c r="AG222" s="102">
        <v>999</v>
      </c>
      <c r="AH222" s="102">
        <v>1</v>
      </c>
      <c r="AI222" s="103"/>
      <c r="AJ222" s="266"/>
      <c r="AK222" s="104"/>
    </row>
    <row r="223" spans="1:43" s="71" customFormat="1" ht="12.75" customHeight="1">
      <c r="A223" s="220"/>
      <c r="B223" s="69" t="s">
        <v>23</v>
      </c>
      <c r="C223" s="66">
        <v>2006</v>
      </c>
      <c r="D223" s="69" t="b">
        <v>1</v>
      </c>
      <c r="E223" s="70"/>
      <c r="F223" s="98" t="s">
        <v>163</v>
      </c>
      <c r="G223" s="98"/>
      <c r="H223" s="70" t="s">
        <v>163</v>
      </c>
      <c r="I223" s="70" t="s">
        <v>1296</v>
      </c>
      <c r="J223" s="70" t="s">
        <v>1297</v>
      </c>
      <c r="K223" s="70" t="s">
        <v>166</v>
      </c>
      <c r="L223" s="99" t="s">
        <v>130</v>
      </c>
      <c r="M223" s="70"/>
      <c r="N223" s="70"/>
      <c r="O223" s="70"/>
      <c r="P223" s="70"/>
      <c r="Q223" s="70"/>
      <c r="R223" s="70"/>
      <c r="S223" s="70"/>
      <c r="T223" s="70"/>
      <c r="U223" s="70" t="s">
        <v>163</v>
      </c>
      <c r="V223" s="69" t="str">
        <f>_xlfn.CONCAT($AH$226,"_",U223)</f>
        <v>3923_Mode</v>
      </c>
      <c r="W223" s="100" t="e">
        <f>VLOOKUP(#REF!,ComponentTypes!$A$2:$B$7,2,FALSE)</f>
        <v>#REF!</v>
      </c>
      <c r="X223" s="70">
        <v>3923</v>
      </c>
      <c r="Y223" s="70" t="s">
        <v>139</v>
      </c>
      <c r="Z223" s="70" t="s">
        <v>140</v>
      </c>
      <c r="AA223" s="70">
        <v>4</v>
      </c>
      <c r="AB223" s="70" t="s">
        <v>126</v>
      </c>
      <c r="AC223" s="69" t="s">
        <v>141</v>
      </c>
      <c r="AD223" s="69" t="s">
        <v>142</v>
      </c>
      <c r="AE223" s="101"/>
      <c r="AF223" s="102">
        <v>0</v>
      </c>
      <c r="AG223" s="102">
        <v>999</v>
      </c>
      <c r="AH223" s="102">
        <v>1</v>
      </c>
      <c r="AI223" s="103"/>
      <c r="AJ223" s="266" t="s">
        <v>167</v>
      </c>
      <c r="AK223" s="104"/>
    </row>
    <row r="224" spans="1:43" s="71" customFormat="1" ht="12.75" customHeight="1">
      <c r="A224" s="220"/>
      <c r="B224" s="69" t="s">
        <v>23</v>
      </c>
      <c r="C224" s="66">
        <v>2007</v>
      </c>
      <c r="D224" s="69" t="b">
        <v>1</v>
      </c>
      <c r="E224" s="70"/>
      <c r="F224" s="98" t="s">
        <v>168</v>
      </c>
      <c r="G224" s="98"/>
      <c r="H224" s="70" t="s">
        <v>169</v>
      </c>
      <c r="I224" s="70" t="s">
        <v>1298</v>
      </c>
      <c r="J224" s="70" t="s">
        <v>1299</v>
      </c>
      <c r="K224" s="70" t="s">
        <v>172</v>
      </c>
      <c r="L224" s="99" t="s">
        <v>130</v>
      </c>
      <c r="M224" s="70"/>
      <c r="N224" s="70"/>
      <c r="O224" s="70"/>
      <c r="P224" s="70"/>
      <c r="Q224" s="70"/>
      <c r="R224" s="70"/>
      <c r="S224" s="70"/>
      <c r="T224" s="70"/>
      <c r="U224" s="70" t="s">
        <v>173</v>
      </c>
      <c r="V224" s="69" t="str">
        <f>_xlfn.CONCAT($AH$226,"_",U224)</f>
        <v>3923_IDESCR</v>
      </c>
      <c r="W224" s="100" t="e">
        <f>VLOOKUP(#REF!,ComponentTypes!$A$2:$B$7,2,FALSE)</f>
        <v>#REF!</v>
      </c>
      <c r="X224" s="70">
        <v>3923</v>
      </c>
      <c r="Y224" s="70" t="s">
        <v>139</v>
      </c>
      <c r="Z224" s="70" t="s">
        <v>140</v>
      </c>
      <c r="AA224" s="70">
        <v>5</v>
      </c>
      <c r="AB224" s="70" t="s">
        <v>126</v>
      </c>
      <c r="AC224" s="69" t="s">
        <v>141</v>
      </c>
      <c r="AD224" s="69" t="s">
        <v>142</v>
      </c>
      <c r="AE224" s="101" t="s">
        <v>126</v>
      </c>
      <c r="AF224" s="102">
        <v>-999</v>
      </c>
      <c r="AG224" s="102">
        <v>999</v>
      </c>
      <c r="AH224" s="102" t="s">
        <v>4</v>
      </c>
      <c r="AI224" s="103"/>
      <c r="AJ224" s="266"/>
      <c r="AK224" s="104"/>
    </row>
    <row r="225" spans="1:37" s="71" customFormat="1" ht="12.75" customHeight="1">
      <c r="A225" s="220"/>
      <c r="B225" s="69" t="s">
        <v>23</v>
      </c>
      <c r="C225" s="66">
        <v>2008</v>
      </c>
      <c r="D225" s="69" t="b">
        <v>1</v>
      </c>
      <c r="E225" s="70"/>
      <c r="F225" s="98" t="s">
        <v>174</v>
      </c>
      <c r="G225" s="98"/>
      <c r="H225" s="70" t="s">
        <v>175</v>
      </c>
      <c r="I225" s="70" t="s">
        <v>1300</v>
      </c>
      <c r="J225" s="70" t="s">
        <v>1301</v>
      </c>
      <c r="K225" s="70" t="s">
        <v>137</v>
      </c>
      <c r="L225" s="99" t="s">
        <v>130</v>
      </c>
      <c r="M225" s="70"/>
      <c r="N225" s="70"/>
      <c r="O225" s="70"/>
      <c r="P225" s="70"/>
      <c r="Q225" s="70"/>
      <c r="R225" s="70"/>
      <c r="S225" s="70"/>
      <c r="T225" s="70"/>
      <c r="U225" s="70" t="s">
        <v>175</v>
      </c>
      <c r="V225" s="69" t="str">
        <f>_xlfn.CONCAT($AH$226,"_",U225)</f>
        <v>3923_LNR</v>
      </c>
      <c r="W225" s="100" t="e">
        <f>VLOOKUP(#REF!,ComponentTypes!$A$2:$B$7,2,FALSE)</f>
        <v>#REF!</v>
      </c>
      <c r="X225" s="70">
        <v>3923</v>
      </c>
      <c r="Y225" s="70" t="s">
        <v>139</v>
      </c>
      <c r="Z225" s="70" t="s">
        <v>140</v>
      </c>
      <c r="AA225" s="70">
        <v>6</v>
      </c>
      <c r="AB225" s="70" t="s">
        <v>126</v>
      </c>
      <c r="AC225" s="69" t="s">
        <v>141</v>
      </c>
      <c r="AD225" s="69" t="s">
        <v>142</v>
      </c>
      <c r="AE225" s="101" t="s">
        <v>126</v>
      </c>
      <c r="AF225" s="102">
        <v>-999</v>
      </c>
      <c r="AG225" s="102">
        <v>999</v>
      </c>
      <c r="AH225" s="102" t="s">
        <v>178</v>
      </c>
      <c r="AI225" s="103"/>
      <c r="AJ225" s="266"/>
      <c r="AK225" s="104"/>
    </row>
    <row r="226" spans="1:37" s="71" customFormat="1" ht="12.75" customHeight="1">
      <c r="A226" s="220"/>
      <c r="B226" s="69" t="s">
        <v>23</v>
      </c>
      <c r="C226" s="66">
        <v>2009</v>
      </c>
      <c r="D226" s="69" t="b">
        <v>1</v>
      </c>
      <c r="E226" s="70"/>
      <c r="F226" s="98" t="s">
        <v>179</v>
      </c>
      <c r="G226" s="98"/>
      <c r="H226" s="70" t="s">
        <v>109</v>
      </c>
      <c r="I226" s="70" t="s">
        <v>1302</v>
      </c>
      <c r="J226" s="70" t="s">
        <v>1303</v>
      </c>
      <c r="K226" s="70" t="s">
        <v>166</v>
      </c>
      <c r="L226" s="99" t="s">
        <v>130</v>
      </c>
      <c r="M226" s="70"/>
      <c r="N226" s="70"/>
      <c r="O226" s="70"/>
      <c r="P226" s="70"/>
      <c r="Q226" s="70"/>
      <c r="R226" s="70"/>
      <c r="S226" s="70"/>
      <c r="T226" s="70"/>
      <c r="U226" s="70" t="s">
        <v>109</v>
      </c>
      <c r="V226" s="69" t="str">
        <f>_xlfn.CONCAT($AH$226,"_",U226)</f>
        <v>3923_VU</v>
      </c>
      <c r="W226" s="100" t="e">
        <f>VLOOKUP(#REF!,ComponentTypes!$A$2:$B$7,2,FALSE)</f>
        <v>#REF!</v>
      </c>
      <c r="X226" s="70">
        <v>3923</v>
      </c>
      <c r="Y226" s="70" t="s">
        <v>139</v>
      </c>
      <c r="Z226" s="70" t="s">
        <v>140</v>
      </c>
      <c r="AA226" s="70">
        <v>7</v>
      </c>
      <c r="AB226" s="70" t="s">
        <v>126</v>
      </c>
      <c r="AC226" s="69" t="s">
        <v>141</v>
      </c>
      <c r="AD226" s="69" t="s">
        <v>142</v>
      </c>
      <c r="AE226" s="101"/>
      <c r="AF226" s="102">
        <v>0</v>
      </c>
      <c r="AG226" s="102">
        <v>9999</v>
      </c>
      <c r="AH226" s="102">
        <v>3923</v>
      </c>
      <c r="AI226" s="103"/>
      <c r="AJ226" s="266"/>
      <c r="AK226" s="104"/>
    </row>
    <row r="227" spans="1:37" s="71" customFormat="1" ht="12.75" customHeight="1">
      <c r="A227" s="220"/>
      <c r="B227" s="69" t="s">
        <v>15</v>
      </c>
      <c r="C227" s="66">
        <v>2010</v>
      </c>
      <c r="D227" s="69"/>
      <c r="E227" s="70"/>
      <c r="F227" s="98" t="s">
        <v>182</v>
      </c>
      <c r="G227" s="98"/>
      <c r="H227" s="70" t="s">
        <v>183</v>
      </c>
      <c r="I227" s="70" t="s">
        <v>1304</v>
      </c>
      <c r="J227" s="70" t="s">
        <v>1305</v>
      </c>
      <c r="K227" s="70" t="s">
        <v>129</v>
      </c>
      <c r="L227" s="99" t="s">
        <v>130</v>
      </c>
      <c r="M227" s="70"/>
      <c r="N227" s="70"/>
      <c r="O227" s="70"/>
      <c r="P227" s="70"/>
      <c r="Q227" s="70"/>
      <c r="R227" s="70"/>
      <c r="S227" s="70"/>
      <c r="T227" s="70"/>
      <c r="U227" s="70" t="s">
        <v>186</v>
      </c>
      <c r="V227" s="70"/>
      <c r="W227" s="100"/>
      <c r="X227" s="70">
        <v>3923</v>
      </c>
      <c r="Y227" s="70" t="s">
        <v>126</v>
      </c>
      <c r="Z227" s="70"/>
      <c r="AA227" s="70"/>
      <c r="AB227" s="70"/>
      <c r="AC227" s="70"/>
      <c r="AD227" s="69"/>
      <c r="AE227" s="101"/>
      <c r="AF227" s="102"/>
      <c r="AG227" s="102"/>
      <c r="AH227" s="102"/>
      <c r="AI227" s="103"/>
      <c r="AJ227" s="266"/>
      <c r="AK227" s="104"/>
    </row>
    <row r="228" spans="1:37" s="71" customFormat="1" ht="12.75" customHeight="1">
      <c r="A228" s="220"/>
      <c r="B228" s="69" t="s">
        <v>59</v>
      </c>
      <c r="C228" s="66">
        <v>2011</v>
      </c>
      <c r="D228" s="69" t="b">
        <v>1</v>
      </c>
      <c r="E228" s="70"/>
      <c r="F228" s="98" t="s">
        <v>187</v>
      </c>
      <c r="G228" s="98" t="s">
        <v>188</v>
      </c>
      <c r="H228" s="70" t="s">
        <v>1306</v>
      </c>
      <c r="I228" s="70" t="s">
        <v>1307</v>
      </c>
      <c r="J228" s="70" t="s">
        <v>1308</v>
      </c>
      <c r="K228" s="70" t="s">
        <v>137</v>
      </c>
      <c r="L228" s="99" t="s">
        <v>1309</v>
      </c>
      <c r="M228" s="70"/>
      <c r="N228" s="70"/>
      <c r="O228" s="70"/>
      <c r="P228" s="70"/>
      <c r="Q228" s="70"/>
      <c r="R228" s="70"/>
      <c r="S228" s="70"/>
      <c r="T228" s="70" t="s">
        <v>1310</v>
      </c>
      <c r="U228" s="405" t="s">
        <v>1311</v>
      </c>
      <c r="V228" s="69" t="s">
        <v>1312</v>
      </c>
      <c r="W228" s="100" t="e">
        <f>VLOOKUP(#REF!,ComponentTypes!$A$2:$B$7,2,FALSE)</f>
        <v>#REF!</v>
      </c>
      <c r="X228" s="70">
        <v>3923</v>
      </c>
      <c r="Y228" s="69" t="s">
        <v>196</v>
      </c>
      <c r="Z228" s="70" t="s">
        <v>197</v>
      </c>
      <c r="AA228" s="70">
        <v>1</v>
      </c>
      <c r="AB228" s="67" t="s">
        <v>198</v>
      </c>
      <c r="AC228" s="69" t="s">
        <v>141</v>
      </c>
      <c r="AD228" s="69" t="s">
        <v>199</v>
      </c>
      <c r="AE228" s="101" t="s">
        <v>126</v>
      </c>
      <c r="AF228" s="102" t="s">
        <v>126</v>
      </c>
      <c r="AG228" s="102" t="s">
        <v>126</v>
      </c>
      <c r="AH228" s="102" t="s">
        <v>200</v>
      </c>
      <c r="AI228" s="103"/>
      <c r="AJ228" s="266"/>
      <c r="AK228" s="104"/>
    </row>
    <row r="229" spans="1:37" s="71" customFormat="1" ht="12.75" customHeight="1">
      <c r="A229" s="220"/>
      <c r="B229" s="69" t="s">
        <v>15</v>
      </c>
      <c r="C229" s="66">
        <v>2012</v>
      </c>
      <c r="D229" s="70"/>
      <c r="E229" s="70"/>
      <c r="F229" s="98" t="s">
        <v>201</v>
      </c>
      <c r="G229" s="98" t="s">
        <v>201</v>
      </c>
      <c r="H229" s="70" t="s">
        <v>201</v>
      </c>
      <c r="I229" s="70" t="s">
        <v>1313</v>
      </c>
      <c r="J229" s="70" t="s">
        <v>1314</v>
      </c>
      <c r="K229" s="70"/>
      <c r="L229" s="99" t="s">
        <v>1309</v>
      </c>
      <c r="M229" s="70"/>
      <c r="N229" s="70"/>
      <c r="O229" s="70"/>
      <c r="P229" s="70"/>
      <c r="Q229" s="70"/>
      <c r="R229" s="70"/>
      <c r="S229" s="70"/>
      <c r="T229" s="70"/>
      <c r="U229" s="70"/>
      <c r="V229" s="70"/>
      <c r="W229" s="100"/>
      <c r="X229" s="70"/>
      <c r="Y229" s="70"/>
      <c r="Z229" s="70"/>
      <c r="AA229" s="70"/>
      <c r="AB229" s="70"/>
      <c r="AC229" s="70"/>
      <c r="AD229" s="69"/>
      <c r="AE229" s="101"/>
      <c r="AF229" s="102"/>
      <c r="AG229" s="102"/>
      <c r="AH229" s="102"/>
      <c r="AI229" s="103"/>
      <c r="AJ229" s="266"/>
      <c r="AK229" s="104"/>
    </row>
    <row r="230" spans="1:37" s="319" customFormat="1" ht="12.75" customHeight="1">
      <c r="A230" s="220"/>
      <c r="B230" s="69" t="s">
        <v>46</v>
      </c>
      <c r="C230" s="66">
        <v>2100</v>
      </c>
      <c r="D230" s="69" t="b">
        <v>1</v>
      </c>
      <c r="E230" s="70"/>
      <c r="F230" s="98" t="s">
        <v>1315</v>
      </c>
      <c r="G230" s="98" t="s">
        <v>1316</v>
      </c>
      <c r="H230" s="70" t="s">
        <v>1317</v>
      </c>
      <c r="I230" s="70" t="s">
        <v>1318</v>
      </c>
      <c r="J230" s="70" t="s">
        <v>1319</v>
      </c>
      <c r="K230" s="70" t="s">
        <v>209</v>
      </c>
      <c r="L230" s="99" t="s">
        <v>1309</v>
      </c>
      <c r="M230" s="70" t="s">
        <v>242</v>
      </c>
      <c r="N230" s="70" t="s">
        <v>1320</v>
      </c>
      <c r="O230" s="70" t="s">
        <v>1321</v>
      </c>
      <c r="P230" s="69" t="s">
        <v>209</v>
      </c>
      <c r="Q230" s="70" t="s">
        <v>245</v>
      </c>
      <c r="R230" s="70"/>
      <c r="S230" s="70"/>
      <c r="T230" s="70"/>
      <c r="U230" s="405" t="s">
        <v>1322</v>
      </c>
      <c r="V230" s="69" t="s">
        <v>1323</v>
      </c>
      <c r="W230" s="100" t="e">
        <f>VLOOKUP(#REF!,ComponentTypes!$A$2:$B$7,2,FALSE)</f>
        <v>#REF!</v>
      </c>
      <c r="X230" s="70">
        <v>3923</v>
      </c>
      <c r="Y230" s="70" t="s">
        <v>212</v>
      </c>
      <c r="Z230" s="70" t="s">
        <v>213</v>
      </c>
      <c r="AA230" s="70">
        <v>1</v>
      </c>
      <c r="AB230" s="67" t="s">
        <v>198</v>
      </c>
      <c r="AC230" s="69" t="s">
        <v>141</v>
      </c>
      <c r="AD230" s="69" t="s">
        <v>214</v>
      </c>
      <c r="AE230" s="101" t="s">
        <v>215</v>
      </c>
      <c r="AF230" s="102">
        <v>10</v>
      </c>
      <c r="AG230" s="102">
        <v>100</v>
      </c>
      <c r="AH230" s="102">
        <v>40</v>
      </c>
      <c r="AI230" s="103"/>
      <c r="AJ230" s="266"/>
      <c r="AK230" s="104"/>
    </row>
    <row r="231" spans="1:37" s="319" customFormat="1" ht="12.75" customHeight="1">
      <c r="A231" s="220"/>
      <c r="B231" s="69" t="s">
        <v>46</v>
      </c>
      <c r="C231" s="66">
        <v>2101</v>
      </c>
      <c r="D231" s="69" t="b">
        <v>1</v>
      </c>
      <c r="E231" s="70"/>
      <c r="F231" s="98" t="s">
        <v>1324</v>
      </c>
      <c r="G231" s="98" t="s">
        <v>1325</v>
      </c>
      <c r="H231" s="70" t="s">
        <v>1326</v>
      </c>
      <c r="I231" s="70" t="s">
        <v>1327</v>
      </c>
      <c r="J231" s="70" t="s">
        <v>1328</v>
      </c>
      <c r="K231" s="70" t="s">
        <v>209</v>
      </c>
      <c r="L231" s="99" t="s">
        <v>1309</v>
      </c>
      <c r="M231" s="70" t="s">
        <v>242</v>
      </c>
      <c r="N231" s="70" t="s">
        <v>1329</v>
      </c>
      <c r="O231" s="70" t="s">
        <v>1330</v>
      </c>
      <c r="P231" s="70" t="s">
        <v>209</v>
      </c>
      <c r="Q231" s="70" t="s">
        <v>245</v>
      </c>
      <c r="R231" s="70"/>
      <c r="S231" s="70"/>
      <c r="T231" s="70"/>
      <c r="U231" s="405" t="s">
        <v>1331</v>
      </c>
      <c r="V231" s="69" t="s">
        <v>1332</v>
      </c>
      <c r="W231" s="100" t="e">
        <f>VLOOKUP(#REF!,ComponentTypes!$A$2:$B$7,2,FALSE)</f>
        <v>#REF!</v>
      </c>
      <c r="X231" s="70">
        <v>3923</v>
      </c>
      <c r="Y231" s="70" t="s">
        <v>212</v>
      </c>
      <c r="Z231" s="70" t="s">
        <v>213</v>
      </c>
      <c r="AA231" s="70">
        <v>2</v>
      </c>
      <c r="AB231" s="67" t="s">
        <v>198</v>
      </c>
      <c r="AC231" s="69" t="s">
        <v>141</v>
      </c>
      <c r="AD231" s="69" t="s">
        <v>214</v>
      </c>
      <c r="AE231" s="101" t="s">
        <v>215</v>
      </c>
      <c r="AF231" s="102">
        <v>10</v>
      </c>
      <c r="AG231" s="102">
        <v>100</v>
      </c>
      <c r="AH231" s="102">
        <v>25</v>
      </c>
      <c r="AI231" s="103"/>
      <c r="AJ231" s="266"/>
      <c r="AK231" s="104"/>
    </row>
    <row r="232" spans="1:37" s="71" customFormat="1" ht="12.75" customHeight="1">
      <c r="A232" s="220"/>
      <c r="B232" s="69" t="s">
        <v>15</v>
      </c>
      <c r="C232" s="66">
        <v>2102</v>
      </c>
      <c r="D232" s="70"/>
      <c r="E232" s="70"/>
      <c r="F232" s="98" t="s">
        <v>201</v>
      </c>
      <c r="G232" s="98" t="s">
        <v>201</v>
      </c>
      <c r="H232" s="70" t="s">
        <v>201</v>
      </c>
      <c r="I232" s="70" t="s">
        <v>1333</v>
      </c>
      <c r="J232" s="70" t="s">
        <v>1334</v>
      </c>
      <c r="K232" s="70" t="s">
        <v>209</v>
      </c>
      <c r="L232" s="99" t="s">
        <v>1309</v>
      </c>
      <c r="M232" s="70"/>
      <c r="N232" s="70"/>
      <c r="O232" s="70"/>
      <c r="P232" s="70"/>
      <c r="Q232" s="70"/>
      <c r="R232" s="70"/>
      <c r="S232" s="70"/>
      <c r="T232" s="70"/>
      <c r="U232" s="405"/>
      <c r="V232" s="70"/>
      <c r="W232" s="100"/>
      <c r="X232" s="70"/>
      <c r="Y232" s="70"/>
      <c r="Z232" s="70"/>
      <c r="AA232" s="70"/>
      <c r="AB232" s="70"/>
      <c r="AC232" s="70"/>
      <c r="AD232" s="69"/>
      <c r="AE232" s="101"/>
      <c r="AF232" s="102"/>
      <c r="AG232" s="102"/>
      <c r="AH232" s="102"/>
      <c r="AI232" s="103"/>
      <c r="AJ232" s="266"/>
      <c r="AK232" s="104"/>
    </row>
    <row r="233" spans="1:37" s="319" customFormat="1" ht="12.75" customHeight="1">
      <c r="A233" s="220"/>
      <c r="B233" s="69" t="s">
        <v>46</v>
      </c>
      <c r="C233" s="66">
        <v>2103</v>
      </c>
      <c r="D233" s="69" t="b">
        <v>1</v>
      </c>
      <c r="E233" s="70"/>
      <c r="F233" s="98" t="s">
        <v>1335</v>
      </c>
      <c r="G233" s="98" t="s">
        <v>1336</v>
      </c>
      <c r="H233" s="70" t="s">
        <v>1337</v>
      </c>
      <c r="I233" s="70" t="s">
        <v>1338</v>
      </c>
      <c r="J233" s="70" t="s">
        <v>1339</v>
      </c>
      <c r="K233" s="70" t="s">
        <v>209</v>
      </c>
      <c r="L233" s="99" t="s">
        <v>1309</v>
      </c>
      <c r="M233" s="70" t="s">
        <v>242</v>
      </c>
      <c r="N233" s="70" t="s">
        <v>1340</v>
      </c>
      <c r="O233" s="70" t="s">
        <v>1341</v>
      </c>
      <c r="P233" s="70" t="s">
        <v>209</v>
      </c>
      <c r="Q233" s="70" t="s">
        <v>245</v>
      </c>
      <c r="R233" s="70"/>
      <c r="S233" s="70"/>
      <c r="T233" s="70"/>
      <c r="U233" s="405" t="s">
        <v>1342</v>
      </c>
      <c r="V233" s="69" t="s">
        <v>1343</v>
      </c>
      <c r="W233" s="100" t="e">
        <f>VLOOKUP(#REF!,ComponentTypes!$A$2:$B$7,2,FALSE)</f>
        <v>#REF!</v>
      </c>
      <c r="X233" s="70">
        <v>3923</v>
      </c>
      <c r="Y233" s="70" t="s">
        <v>212</v>
      </c>
      <c r="Z233" s="70" t="s">
        <v>213</v>
      </c>
      <c r="AA233" s="70">
        <v>3</v>
      </c>
      <c r="AB233" s="67" t="s">
        <v>198</v>
      </c>
      <c r="AC233" s="69" t="s">
        <v>141</v>
      </c>
      <c r="AD233" s="69" t="s">
        <v>214</v>
      </c>
      <c r="AE233" s="101" t="s">
        <v>215</v>
      </c>
      <c r="AF233" s="102">
        <v>10</v>
      </c>
      <c r="AG233" s="102">
        <v>100</v>
      </c>
      <c r="AH233" s="102">
        <v>55</v>
      </c>
      <c r="AI233" s="103"/>
      <c r="AJ233" s="266"/>
      <c r="AK233" s="104"/>
    </row>
    <row r="234" spans="1:37" s="319" customFormat="1" ht="12.75" customHeight="1">
      <c r="A234" s="220"/>
      <c r="B234" s="69" t="s">
        <v>46</v>
      </c>
      <c r="C234" s="66">
        <v>2104</v>
      </c>
      <c r="D234" s="69" t="b">
        <v>1</v>
      </c>
      <c r="E234" s="70"/>
      <c r="F234" s="98" t="s">
        <v>1344</v>
      </c>
      <c r="G234" s="98" t="s">
        <v>1345</v>
      </c>
      <c r="H234" s="70" t="s">
        <v>1346</v>
      </c>
      <c r="I234" s="70" t="s">
        <v>1347</v>
      </c>
      <c r="J234" s="70" t="s">
        <v>1348</v>
      </c>
      <c r="K234" s="70" t="s">
        <v>209</v>
      </c>
      <c r="L234" s="99" t="s">
        <v>1309</v>
      </c>
      <c r="M234" s="70" t="s">
        <v>242</v>
      </c>
      <c r="N234" s="70" t="s">
        <v>1349</v>
      </c>
      <c r="O234" s="70" t="s">
        <v>1350</v>
      </c>
      <c r="P234" s="70" t="s">
        <v>209</v>
      </c>
      <c r="Q234" s="70" t="s">
        <v>245</v>
      </c>
      <c r="R234" s="70"/>
      <c r="S234" s="70"/>
      <c r="T234" s="70"/>
      <c r="U234" s="405" t="s">
        <v>1351</v>
      </c>
      <c r="V234" s="69" t="s">
        <v>1352</v>
      </c>
      <c r="W234" s="100" t="e">
        <f>VLOOKUP(#REF!,ComponentTypes!$A$2:$B$7,2,FALSE)</f>
        <v>#REF!</v>
      </c>
      <c r="X234" s="70">
        <v>3923</v>
      </c>
      <c r="Y234" s="70" t="s">
        <v>212</v>
      </c>
      <c r="Z234" s="70" t="s">
        <v>213</v>
      </c>
      <c r="AA234" s="70">
        <v>4</v>
      </c>
      <c r="AB234" s="67" t="s">
        <v>198</v>
      </c>
      <c r="AC234" s="69" t="s">
        <v>141</v>
      </c>
      <c r="AD234" s="69" t="s">
        <v>214</v>
      </c>
      <c r="AE234" s="101" t="s">
        <v>215</v>
      </c>
      <c r="AF234" s="102">
        <v>10</v>
      </c>
      <c r="AG234" s="102">
        <v>100</v>
      </c>
      <c r="AH234" s="102">
        <v>60</v>
      </c>
      <c r="AI234" s="103"/>
      <c r="AJ234" s="266"/>
      <c r="AK234" s="104"/>
    </row>
    <row r="235" spans="1:37" s="319" customFormat="1" ht="12.75" customHeight="1">
      <c r="A235" s="220"/>
      <c r="B235" s="69" t="s">
        <v>46</v>
      </c>
      <c r="C235" s="66">
        <v>2105</v>
      </c>
      <c r="D235" s="69" t="b">
        <v>1</v>
      </c>
      <c r="E235" s="70"/>
      <c r="F235" s="98" t="s">
        <v>1353</v>
      </c>
      <c r="G235" s="98" t="s">
        <v>1354</v>
      </c>
      <c r="H235" s="70" t="s">
        <v>1355</v>
      </c>
      <c r="I235" s="70" t="s">
        <v>1356</v>
      </c>
      <c r="J235" s="70" t="s">
        <v>1357</v>
      </c>
      <c r="K235" s="70" t="s">
        <v>209</v>
      </c>
      <c r="L235" s="99" t="s">
        <v>1309</v>
      </c>
      <c r="M235" s="70" t="s">
        <v>242</v>
      </c>
      <c r="N235" s="70" t="s">
        <v>1358</v>
      </c>
      <c r="O235" s="70" t="s">
        <v>1359</v>
      </c>
      <c r="P235" s="70" t="s">
        <v>209</v>
      </c>
      <c r="Q235" s="70" t="s">
        <v>245</v>
      </c>
      <c r="R235" s="70"/>
      <c r="S235" s="70"/>
      <c r="T235" s="70"/>
      <c r="U235" s="405" t="s">
        <v>1360</v>
      </c>
      <c r="V235" s="69" t="s">
        <v>1361</v>
      </c>
      <c r="W235" s="100" t="e">
        <f>VLOOKUP(#REF!,ComponentTypes!$A$2:$B$7,2,FALSE)</f>
        <v>#REF!</v>
      </c>
      <c r="X235" s="70">
        <v>3923</v>
      </c>
      <c r="Y235" s="70" t="s">
        <v>212</v>
      </c>
      <c r="Z235" s="70" t="s">
        <v>213</v>
      </c>
      <c r="AA235" s="70">
        <v>5</v>
      </c>
      <c r="AB235" s="67" t="s">
        <v>198</v>
      </c>
      <c r="AC235" s="69" t="s">
        <v>141</v>
      </c>
      <c r="AD235" s="69" t="s">
        <v>214</v>
      </c>
      <c r="AE235" s="101" t="s">
        <v>215</v>
      </c>
      <c r="AF235" s="102">
        <v>10</v>
      </c>
      <c r="AG235" s="102">
        <v>100</v>
      </c>
      <c r="AH235" s="102">
        <v>50</v>
      </c>
      <c r="AI235" s="103"/>
      <c r="AJ235" s="266"/>
      <c r="AK235" s="104"/>
    </row>
    <row r="236" spans="1:37" s="319" customFormat="1" ht="12.75" customHeight="1">
      <c r="A236" s="220"/>
      <c r="B236" s="69" t="s">
        <v>46</v>
      </c>
      <c r="C236" s="66">
        <v>2106</v>
      </c>
      <c r="D236" s="69" t="b">
        <v>1</v>
      </c>
      <c r="E236" s="70"/>
      <c r="F236" s="98" t="s">
        <v>1362</v>
      </c>
      <c r="G236" s="98" t="s">
        <v>1363</v>
      </c>
      <c r="H236" s="70" t="s">
        <v>1364</v>
      </c>
      <c r="I236" s="70" t="s">
        <v>1365</v>
      </c>
      <c r="J236" s="70" t="s">
        <v>1366</v>
      </c>
      <c r="K236" s="70" t="s">
        <v>209</v>
      </c>
      <c r="L236" s="99" t="s">
        <v>1309</v>
      </c>
      <c r="M236" s="70" t="s">
        <v>242</v>
      </c>
      <c r="N236" s="70" t="s">
        <v>1367</v>
      </c>
      <c r="O236" s="70" t="s">
        <v>1368</v>
      </c>
      <c r="P236" s="70" t="s">
        <v>209</v>
      </c>
      <c r="Q236" s="70" t="s">
        <v>245</v>
      </c>
      <c r="R236" s="70"/>
      <c r="S236" s="70"/>
      <c r="T236" s="70"/>
      <c r="U236" s="405" t="s">
        <v>1369</v>
      </c>
      <c r="V236" s="69" t="s">
        <v>1370</v>
      </c>
      <c r="W236" s="100" t="e">
        <f>VLOOKUP(#REF!,ComponentTypes!$A$2:$B$7,2,FALSE)</f>
        <v>#REF!</v>
      </c>
      <c r="X236" s="70">
        <v>3923</v>
      </c>
      <c r="Y236" s="70" t="s">
        <v>212</v>
      </c>
      <c r="Z236" s="70" t="s">
        <v>213</v>
      </c>
      <c r="AA236" s="70">
        <v>6</v>
      </c>
      <c r="AB236" s="67" t="s">
        <v>198</v>
      </c>
      <c r="AC236" s="69" t="s">
        <v>141</v>
      </c>
      <c r="AD236" s="69" t="s">
        <v>214</v>
      </c>
      <c r="AE236" s="101" t="s">
        <v>215</v>
      </c>
      <c r="AF236" s="102">
        <v>10</v>
      </c>
      <c r="AG236" s="102">
        <v>100</v>
      </c>
      <c r="AH236" s="102">
        <v>60</v>
      </c>
      <c r="AI236" s="103"/>
      <c r="AJ236" s="266"/>
      <c r="AK236" s="104"/>
    </row>
    <row r="237" spans="1:37" s="319" customFormat="1" ht="12.75" customHeight="1">
      <c r="A237" s="220"/>
      <c r="B237" s="69" t="s">
        <v>46</v>
      </c>
      <c r="C237" s="66">
        <v>2107</v>
      </c>
      <c r="D237" s="69" t="b">
        <v>1</v>
      </c>
      <c r="E237" s="70"/>
      <c r="F237" s="98" t="s">
        <v>1371</v>
      </c>
      <c r="G237" s="98" t="s">
        <v>1372</v>
      </c>
      <c r="H237" s="70" t="s">
        <v>1373</v>
      </c>
      <c r="I237" s="70" t="s">
        <v>1374</v>
      </c>
      <c r="J237" s="70" t="s">
        <v>1375</v>
      </c>
      <c r="K237" s="70" t="s">
        <v>209</v>
      </c>
      <c r="L237" s="99" t="s">
        <v>1309</v>
      </c>
      <c r="M237" s="70" t="s">
        <v>242</v>
      </c>
      <c r="N237" s="70" t="s">
        <v>1376</v>
      </c>
      <c r="O237" s="70" t="s">
        <v>1377</v>
      </c>
      <c r="P237" s="70" t="s">
        <v>209</v>
      </c>
      <c r="Q237" s="70" t="s">
        <v>245</v>
      </c>
      <c r="R237" s="70"/>
      <c r="S237" s="70"/>
      <c r="T237" s="70"/>
      <c r="U237" s="405" t="s">
        <v>1378</v>
      </c>
      <c r="V237" s="69" t="s">
        <v>1379</v>
      </c>
      <c r="W237" s="100" t="e">
        <f>VLOOKUP(#REF!,ComponentTypes!$A$2:$B$7,2,FALSE)</f>
        <v>#REF!</v>
      </c>
      <c r="X237" s="70">
        <v>3923</v>
      </c>
      <c r="Y237" s="70" t="s">
        <v>212</v>
      </c>
      <c r="Z237" s="70" t="s">
        <v>213</v>
      </c>
      <c r="AA237" s="70">
        <v>7</v>
      </c>
      <c r="AB237" s="67" t="s">
        <v>198</v>
      </c>
      <c r="AC237" s="69" t="s">
        <v>141</v>
      </c>
      <c r="AD237" s="69" t="s">
        <v>214</v>
      </c>
      <c r="AE237" s="101" t="s">
        <v>215</v>
      </c>
      <c r="AF237" s="102">
        <v>10</v>
      </c>
      <c r="AG237" s="102">
        <v>100</v>
      </c>
      <c r="AH237" s="102">
        <v>50</v>
      </c>
      <c r="AI237" s="103"/>
      <c r="AJ237" s="266"/>
      <c r="AK237" s="104"/>
    </row>
    <row r="238" spans="1:37" s="319" customFormat="1" ht="12.75" customHeight="1">
      <c r="A238" s="220"/>
      <c r="B238" s="69" t="s">
        <v>46</v>
      </c>
      <c r="C238" s="66">
        <v>2108</v>
      </c>
      <c r="D238" s="69" t="b">
        <v>1</v>
      </c>
      <c r="E238" s="70"/>
      <c r="F238" s="98" t="s">
        <v>1380</v>
      </c>
      <c r="G238" s="98" t="s">
        <v>1381</v>
      </c>
      <c r="H238" s="70" t="s">
        <v>1382</v>
      </c>
      <c r="I238" s="70" t="s">
        <v>1383</v>
      </c>
      <c r="J238" s="70" t="s">
        <v>1384</v>
      </c>
      <c r="K238" s="70" t="s">
        <v>209</v>
      </c>
      <c r="L238" s="99" t="s">
        <v>1309</v>
      </c>
      <c r="M238" s="70" t="s">
        <v>242</v>
      </c>
      <c r="N238" s="70" t="s">
        <v>1385</v>
      </c>
      <c r="O238" s="70" t="s">
        <v>1386</v>
      </c>
      <c r="P238" s="70" t="s">
        <v>209</v>
      </c>
      <c r="Q238" s="70" t="s">
        <v>245</v>
      </c>
      <c r="R238" s="70"/>
      <c r="S238" s="70"/>
      <c r="T238" s="70"/>
      <c r="U238" s="405" t="s">
        <v>1387</v>
      </c>
      <c r="V238" s="69" t="s">
        <v>1388</v>
      </c>
      <c r="W238" s="100" t="e">
        <f>VLOOKUP(#REF!,ComponentTypes!$A$2:$B$7,2,FALSE)</f>
        <v>#REF!</v>
      </c>
      <c r="X238" s="70">
        <v>3923</v>
      </c>
      <c r="Y238" s="70" t="s">
        <v>212</v>
      </c>
      <c r="Z238" s="70" t="s">
        <v>213</v>
      </c>
      <c r="AA238" s="70">
        <v>8</v>
      </c>
      <c r="AB238" s="67" t="s">
        <v>198</v>
      </c>
      <c r="AC238" s="69" t="s">
        <v>141</v>
      </c>
      <c r="AD238" s="69" t="s">
        <v>214</v>
      </c>
      <c r="AE238" s="101" t="s">
        <v>215</v>
      </c>
      <c r="AF238" s="102">
        <v>10</v>
      </c>
      <c r="AG238" s="102">
        <v>100</v>
      </c>
      <c r="AH238" s="102">
        <v>40</v>
      </c>
      <c r="AI238" s="103"/>
      <c r="AJ238" s="266"/>
      <c r="AK238" s="104"/>
    </row>
    <row r="239" spans="1:37" s="71" customFormat="1" ht="12.75" customHeight="1">
      <c r="A239" s="220"/>
      <c r="B239" s="69" t="s">
        <v>15</v>
      </c>
      <c r="C239" s="66">
        <v>2109</v>
      </c>
      <c r="D239" s="70"/>
      <c r="E239" s="70"/>
      <c r="F239" s="98" t="s">
        <v>201</v>
      </c>
      <c r="G239" s="98" t="s">
        <v>201</v>
      </c>
      <c r="H239" s="70" t="s">
        <v>201</v>
      </c>
      <c r="I239" s="70" t="s">
        <v>1389</v>
      </c>
      <c r="J239" s="70" t="s">
        <v>1390</v>
      </c>
      <c r="K239" s="70"/>
      <c r="L239" s="99" t="s">
        <v>1309</v>
      </c>
      <c r="M239" s="70"/>
      <c r="N239" s="70"/>
      <c r="O239" s="70"/>
      <c r="P239" s="70"/>
      <c r="Q239" s="70"/>
      <c r="R239" s="70"/>
      <c r="S239" s="70"/>
      <c r="T239" s="70"/>
      <c r="U239" s="405"/>
      <c r="V239" s="70"/>
      <c r="W239" s="100"/>
      <c r="X239" s="70"/>
      <c r="Y239" s="70"/>
      <c r="Z239" s="70"/>
      <c r="AA239" s="70"/>
      <c r="AB239" s="70"/>
      <c r="AC239" s="70"/>
      <c r="AD239" s="69"/>
      <c r="AE239" s="101"/>
      <c r="AF239" s="102"/>
      <c r="AG239" s="102"/>
      <c r="AH239" s="102"/>
      <c r="AI239" s="103"/>
      <c r="AJ239" s="266"/>
      <c r="AK239" s="104"/>
    </row>
    <row r="240" spans="1:37" s="319" customFormat="1" ht="12.75" customHeight="1">
      <c r="A240" s="220"/>
      <c r="B240" s="69" t="s">
        <v>46</v>
      </c>
      <c r="C240" s="69">
        <v>2150</v>
      </c>
      <c r="D240" s="69" t="b">
        <v>1</v>
      </c>
      <c r="E240" s="70"/>
      <c r="F240" s="98" t="s">
        <v>339</v>
      </c>
      <c r="G240" s="98" t="s">
        <v>340</v>
      </c>
      <c r="H240" s="70" t="s">
        <v>1391</v>
      </c>
      <c r="I240" s="70" t="s">
        <v>1392</v>
      </c>
      <c r="J240" s="70" t="s">
        <v>1393</v>
      </c>
      <c r="K240" s="70" t="s">
        <v>321</v>
      </c>
      <c r="L240" s="99" t="s">
        <v>1309</v>
      </c>
      <c r="M240" s="70"/>
      <c r="N240" s="70"/>
      <c r="O240" s="70"/>
      <c r="P240" s="70"/>
      <c r="Q240" s="70"/>
      <c r="R240" s="70"/>
      <c r="S240" s="70"/>
      <c r="T240" s="70"/>
      <c r="U240" s="405" t="s">
        <v>1394</v>
      </c>
      <c r="V240" s="69" t="s">
        <v>1395</v>
      </c>
      <c r="W240" s="100" t="e">
        <f>VLOOKUP(#REF!,ComponentTypes!$A$2:$B$7,2,FALSE)</f>
        <v>#REF!</v>
      </c>
      <c r="X240" s="70">
        <v>3923</v>
      </c>
      <c r="Y240" s="70" t="s">
        <v>272</v>
      </c>
      <c r="Z240" s="70" t="s">
        <v>197</v>
      </c>
      <c r="AA240" s="70">
        <v>2</v>
      </c>
      <c r="AB240" s="67" t="s">
        <v>198</v>
      </c>
      <c r="AC240" s="69" t="s">
        <v>141</v>
      </c>
      <c r="AD240" s="69" t="s">
        <v>199</v>
      </c>
      <c r="AE240" s="101"/>
      <c r="AF240" s="102">
        <v>0</v>
      </c>
      <c r="AG240" s="102">
        <v>1</v>
      </c>
      <c r="AH240" s="102">
        <v>0</v>
      </c>
      <c r="AI240" s="103"/>
      <c r="AJ240" s="266"/>
      <c r="AK240" s="104"/>
    </row>
    <row r="241" spans="1:37" s="319" customFormat="1" ht="12.75" customHeight="1">
      <c r="A241" s="220"/>
      <c r="B241" s="69" t="s">
        <v>46</v>
      </c>
      <c r="C241" s="69">
        <v>2151</v>
      </c>
      <c r="D241" s="69" t="b">
        <v>1</v>
      </c>
      <c r="E241" s="70"/>
      <c r="F241" s="98" t="s">
        <v>316</v>
      </c>
      <c r="G241" s="98" t="s">
        <v>317</v>
      </c>
      <c r="H241" s="70" t="s">
        <v>1396</v>
      </c>
      <c r="I241" s="70" t="s">
        <v>1397</v>
      </c>
      <c r="J241" s="70" t="s">
        <v>1398</v>
      </c>
      <c r="K241" s="70" t="s">
        <v>321</v>
      </c>
      <c r="L241" s="99" t="s">
        <v>1309</v>
      </c>
      <c r="M241" s="70"/>
      <c r="N241" s="70"/>
      <c r="O241" s="70"/>
      <c r="P241" s="70"/>
      <c r="Q241" s="70"/>
      <c r="R241" s="70"/>
      <c r="S241" s="70"/>
      <c r="T241" s="70" t="s">
        <v>1310</v>
      </c>
      <c r="U241" s="405" t="s">
        <v>1399</v>
      </c>
      <c r="V241" s="69" t="s">
        <v>1400</v>
      </c>
      <c r="W241" s="100" t="e">
        <f>VLOOKUP(#REF!,ComponentTypes!$A$2:$B$7,2,FALSE)</f>
        <v>#REF!</v>
      </c>
      <c r="X241" s="70">
        <v>3923</v>
      </c>
      <c r="Y241" s="70" t="s">
        <v>272</v>
      </c>
      <c r="Z241" s="70" t="s">
        <v>197</v>
      </c>
      <c r="AA241" s="70">
        <v>3</v>
      </c>
      <c r="AB241" s="67" t="s">
        <v>198</v>
      </c>
      <c r="AC241" s="69" t="s">
        <v>141</v>
      </c>
      <c r="AD241" s="69" t="s">
        <v>199</v>
      </c>
      <c r="AE241" s="101"/>
      <c r="AF241" s="102">
        <v>0</v>
      </c>
      <c r="AG241" s="102">
        <v>1</v>
      </c>
      <c r="AH241" s="102">
        <v>0</v>
      </c>
      <c r="AI241" s="103"/>
      <c r="AJ241" s="266"/>
      <c r="AK241" s="104"/>
    </row>
    <row r="242" spans="1:37" s="319" customFormat="1" ht="12.75" customHeight="1">
      <c r="A242" s="220"/>
      <c r="B242" s="69" t="s">
        <v>26</v>
      </c>
      <c r="C242" s="69">
        <v>2152</v>
      </c>
      <c r="D242" s="70"/>
      <c r="E242" s="70"/>
      <c r="F242" s="98" t="s">
        <v>201</v>
      </c>
      <c r="G242" s="98" t="s">
        <v>201</v>
      </c>
      <c r="H242" s="70" t="s">
        <v>201</v>
      </c>
      <c r="I242" s="70" t="s">
        <v>1401</v>
      </c>
      <c r="J242" s="70" t="s">
        <v>1402</v>
      </c>
      <c r="K242" s="70" t="s">
        <v>321</v>
      </c>
      <c r="L242" s="99" t="s">
        <v>1309</v>
      </c>
      <c r="M242" s="70"/>
      <c r="N242" s="70"/>
      <c r="O242" s="70"/>
      <c r="P242" s="70"/>
      <c r="Q242" s="70"/>
      <c r="R242" s="70"/>
      <c r="S242" s="70"/>
      <c r="T242" s="70"/>
      <c r="U242" s="70"/>
      <c r="V242" s="70"/>
      <c r="W242" s="100"/>
      <c r="X242" s="70"/>
      <c r="Y242" s="70"/>
      <c r="Z242" s="70"/>
      <c r="AA242" s="70"/>
      <c r="AB242" s="70"/>
      <c r="AC242" s="70"/>
      <c r="AD242" s="69"/>
      <c r="AE242" s="101"/>
      <c r="AF242" s="102"/>
      <c r="AG242" s="102"/>
      <c r="AH242" s="102"/>
      <c r="AI242" s="103"/>
      <c r="AJ242" s="266"/>
      <c r="AK242" s="104"/>
    </row>
    <row r="243" spans="1:37" s="319" customFormat="1" ht="12.75" customHeight="1">
      <c r="A243" s="220"/>
      <c r="B243" s="69" t="s">
        <v>26</v>
      </c>
      <c r="C243" s="69">
        <v>2153</v>
      </c>
      <c r="D243" s="70"/>
      <c r="E243" s="70"/>
      <c r="F243" s="98" t="s">
        <v>201</v>
      </c>
      <c r="G243" s="98" t="s">
        <v>201</v>
      </c>
      <c r="H243" s="70" t="s">
        <v>201</v>
      </c>
      <c r="I243" s="70" t="s">
        <v>1403</v>
      </c>
      <c r="J243" s="70" t="s">
        <v>1404</v>
      </c>
      <c r="K243" s="70" t="s">
        <v>321</v>
      </c>
      <c r="L243" s="99" t="s">
        <v>1309</v>
      </c>
      <c r="M243" s="70"/>
      <c r="N243" s="70"/>
      <c r="O243" s="70"/>
      <c r="P243" s="70"/>
      <c r="Q243" s="70"/>
      <c r="R243" s="70"/>
      <c r="S243" s="70"/>
      <c r="T243" s="70"/>
      <c r="U243" s="70"/>
      <c r="V243" s="70"/>
      <c r="W243" s="100"/>
      <c r="X243" s="70"/>
      <c r="Y243" s="70"/>
      <c r="Z243" s="70"/>
      <c r="AA243" s="70"/>
      <c r="AB243" s="70"/>
      <c r="AC243" s="70"/>
      <c r="AD243" s="69"/>
      <c r="AE243" s="101"/>
      <c r="AF243" s="102"/>
      <c r="AG243" s="102"/>
      <c r="AH243" s="102"/>
      <c r="AI243" s="103"/>
      <c r="AJ243" s="266"/>
      <c r="AK243" s="104"/>
    </row>
    <row r="244" spans="1:37" s="319" customFormat="1" ht="12.75" customHeight="1">
      <c r="A244" s="220"/>
      <c r="B244" s="69" t="s">
        <v>26</v>
      </c>
      <c r="C244" s="69">
        <v>2154</v>
      </c>
      <c r="D244" s="70"/>
      <c r="E244" s="70"/>
      <c r="F244" s="98" t="s">
        <v>201</v>
      </c>
      <c r="G244" s="98" t="s">
        <v>201</v>
      </c>
      <c r="H244" s="70" t="s">
        <v>201</v>
      </c>
      <c r="I244" s="70" t="s">
        <v>1405</v>
      </c>
      <c r="J244" s="70" t="s">
        <v>1406</v>
      </c>
      <c r="K244" s="70" t="s">
        <v>321</v>
      </c>
      <c r="L244" s="99" t="s">
        <v>1309</v>
      </c>
      <c r="M244" s="70"/>
      <c r="N244" s="70"/>
      <c r="O244" s="70"/>
      <c r="P244" s="70"/>
      <c r="Q244" s="70"/>
      <c r="R244" s="70"/>
      <c r="S244" s="70"/>
      <c r="T244" s="70"/>
      <c r="U244" s="70"/>
      <c r="V244" s="70"/>
      <c r="W244" s="100"/>
      <c r="X244" s="70"/>
      <c r="Y244" s="70"/>
      <c r="Z244" s="70"/>
      <c r="AA244" s="70"/>
      <c r="AB244" s="70"/>
      <c r="AC244" s="70"/>
      <c r="AD244" s="69"/>
      <c r="AE244" s="101"/>
      <c r="AF244" s="102"/>
      <c r="AG244" s="102"/>
      <c r="AH244" s="102"/>
      <c r="AI244" s="103"/>
      <c r="AJ244" s="266"/>
      <c r="AK244" s="104"/>
    </row>
    <row r="245" spans="1:37" s="319" customFormat="1" ht="12.75" customHeight="1">
      <c r="A245" s="220"/>
      <c r="B245" s="69" t="s">
        <v>26</v>
      </c>
      <c r="C245" s="69">
        <v>2155</v>
      </c>
      <c r="D245" s="70"/>
      <c r="E245" s="70"/>
      <c r="F245" s="98" t="s">
        <v>201</v>
      </c>
      <c r="G245" s="98" t="s">
        <v>201</v>
      </c>
      <c r="H245" s="70" t="s">
        <v>201</v>
      </c>
      <c r="I245" s="70" t="s">
        <v>1407</v>
      </c>
      <c r="J245" s="70" t="s">
        <v>1408</v>
      </c>
      <c r="K245" s="70" t="s">
        <v>321</v>
      </c>
      <c r="L245" s="99" t="s">
        <v>1309</v>
      </c>
      <c r="M245" s="70"/>
      <c r="N245" s="70"/>
      <c r="O245" s="70"/>
      <c r="P245" s="70"/>
      <c r="Q245" s="70"/>
      <c r="R245" s="70"/>
      <c r="S245" s="70"/>
      <c r="T245" s="70"/>
      <c r="U245" s="70"/>
      <c r="V245" s="70"/>
      <c r="W245" s="100"/>
      <c r="X245" s="70"/>
      <c r="Y245" s="70"/>
      <c r="Z245" s="70"/>
      <c r="AA245" s="70"/>
      <c r="AB245" s="70"/>
      <c r="AC245" s="70"/>
      <c r="AD245" s="69"/>
      <c r="AE245" s="101"/>
      <c r="AF245" s="102"/>
      <c r="AG245" s="102"/>
      <c r="AH245" s="102"/>
      <c r="AI245" s="103"/>
      <c r="AJ245" s="266"/>
      <c r="AK245" s="104"/>
    </row>
    <row r="246" spans="1:37" s="319" customFormat="1" ht="12.75" customHeight="1">
      <c r="A246" s="220"/>
      <c r="B246" s="69" t="s">
        <v>26</v>
      </c>
      <c r="C246" s="69">
        <v>2156</v>
      </c>
      <c r="D246" s="70"/>
      <c r="E246" s="70"/>
      <c r="F246" s="98" t="s">
        <v>201</v>
      </c>
      <c r="G246" s="98" t="s">
        <v>201</v>
      </c>
      <c r="H246" s="70" t="s">
        <v>201</v>
      </c>
      <c r="I246" s="70" t="s">
        <v>1409</v>
      </c>
      <c r="J246" s="70" t="s">
        <v>1410</v>
      </c>
      <c r="K246" s="70" t="s">
        <v>321</v>
      </c>
      <c r="L246" s="99" t="s">
        <v>1309</v>
      </c>
      <c r="M246" s="70"/>
      <c r="N246" s="70"/>
      <c r="O246" s="70"/>
      <c r="P246" s="70"/>
      <c r="Q246" s="70"/>
      <c r="R246" s="70"/>
      <c r="S246" s="70"/>
      <c r="T246" s="70"/>
      <c r="U246" s="70"/>
      <c r="V246" s="70"/>
      <c r="W246" s="100"/>
      <c r="X246" s="70"/>
      <c r="Y246" s="70"/>
      <c r="Z246" s="70"/>
      <c r="AA246" s="70"/>
      <c r="AB246" s="70"/>
      <c r="AC246" s="70"/>
      <c r="AD246" s="69"/>
      <c r="AE246" s="101"/>
      <c r="AF246" s="102"/>
      <c r="AG246" s="102"/>
      <c r="AH246" s="102"/>
      <c r="AI246" s="103"/>
      <c r="AJ246" s="266"/>
      <c r="AK246" s="104"/>
    </row>
    <row r="247" spans="1:37" s="319" customFormat="1" ht="12.75" customHeight="1">
      <c r="A247" s="220"/>
      <c r="B247" s="69" t="s">
        <v>26</v>
      </c>
      <c r="C247" s="69">
        <v>2157</v>
      </c>
      <c r="D247" s="70"/>
      <c r="E247" s="70"/>
      <c r="F247" s="98" t="s">
        <v>201</v>
      </c>
      <c r="G247" s="98" t="s">
        <v>201</v>
      </c>
      <c r="H247" s="70" t="s">
        <v>201</v>
      </c>
      <c r="I247" s="70" t="s">
        <v>1411</v>
      </c>
      <c r="J247" s="70" t="s">
        <v>1412</v>
      </c>
      <c r="K247" s="70" t="s">
        <v>321</v>
      </c>
      <c r="L247" s="99" t="s">
        <v>1309</v>
      </c>
      <c r="M247" s="70"/>
      <c r="N247" s="70"/>
      <c r="O247" s="70"/>
      <c r="P247" s="70"/>
      <c r="Q247" s="70"/>
      <c r="R247" s="70"/>
      <c r="S247" s="70"/>
      <c r="T247" s="70"/>
      <c r="U247" s="70"/>
      <c r="V247" s="70"/>
      <c r="W247" s="100"/>
      <c r="X247" s="70"/>
      <c r="Y247" s="70"/>
      <c r="Z247" s="70"/>
      <c r="AA247" s="70"/>
      <c r="AB247" s="70"/>
      <c r="AC247" s="70"/>
      <c r="AD247" s="69"/>
      <c r="AE247" s="101"/>
      <c r="AF247" s="102"/>
      <c r="AG247" s="102"/>
      <c r="AH247" s="102"/>
      <c r="AI247" s="103"/>
      <c r="AJ247" s="266"/>
      <c r="AK247" s="104"/>
    </row>
    <row r="248" spans="1:37" s="319" customFormat="1" ht="12.75" customHeight="1">
      <c r="A248" s="220"/>
      <c r="B248" s="69" t="s">
        <v>26</v>
      </c>
      <c r="C248" s="69">
        <v>2158</v>
      </c>
      <c r="D248" s="70"/>
      <c r="E248" s="70"/>
      <c r="F248" s="98" t="s">
        <v>201</v>
      </c>
      <c r="G248" s="98" t="s">
        <v>201</v>
      </c>
      <c r="H248" s="70" t="s">
        <v>201</v>
      </c>
      <c r="I248" s="70" t="s">
        <v>1413</v>
      </c>
      <c r="J248" s="70" t="s">
        <v>1414</v>
      </c>
      <c r="K248" s="70" t="s">
        <v>321</v>
      </c>
      <c r="L248" s="99" t="s">
        <v>1309</v>
      </c>
      <c r="M248" s="70"/>
      <c r="N248" s="70"/>
      <c r="O248" s="70"/>
      <c r="P248" s="70"/>
      <c r="Q248" s="70"/>
      <c r="R248" s="70"/>
      <c r="S248" s="70"/>
      <c r="T248" s="70"/>
      <c r="U248" s="70"/>
      <c r="V248" s="70"/>
      <c r="W248" s="100"/>
      <c r="X248" s="70"/>
      <c r="Y248" s="70"/>
      <c r="Z248" s="70"/>
      <c r="AA248" s="70"/>
      <c r="AB248" s="70"/>
      <c r="AC248" s="70"/>
      <c r="AD248" s="69"/>
      <c r="AE248" s="101"/>
      <c r="AF248" s="102"/>
      <c r="AG248" s="102"/>
      <c r="AH248" s="102"/>
      <c r="AI248" s="103"/>
      <c r="AJ248" s="266"/>
      <c r="AK248" s="104"/>
    </row>
    <row r="249" spans="1:37" s="319" customFormat="1" ht="12.75" customHeight="1">
      <c r="A249" s="220"/>
      <c r="B249" s="69" t="s">
        <v>26</v>
      </c>
      <c r="C249" s="69">
        <v>2159</v>
      </c>
      <c r="D249" s="70"/>
      <c r="E249" s="70"/>
      <c r="F249" s="98" t="s">
        <v>201</v>
      </c>
      <c r="G249" s="98" t="s">
        <v>201</v>
      </c>
      <c r="H249" s="70" t="s">
        <v>201</v>
      </c>
      <c r="I249" s="70" t="s">
        <v>1415</v>
      </c>
      <c r="J249" s="70" t="s">
        <v>1416</v>
      </c>
      <c r="K249" s="70" t="s">
        <v>321</v>
      </c>
      <c r="L249" s="99" t="s">
        <v>1309</v>
      </c>
      <c r="M249" s="70"/>
      <c r="N249" s="70"/>
      <c r="O249" s="70"/>
      <c r="P249" s="70"/>
      <c r="Q249" s="70"/>
      <c r="R249" s="70"/>
      <c r="S249" s="70"/>
      <c r="T249" s="70"/>
      <c r="U249" s="70"/>
      <c r="V249" s="70"/>
      <c r="W249" s="100"/>
      <c r="X249" s="70"/>
      <c r="Y249" s="70"/>
      <c r="Z249" s="70"/>
      <c r="AA249" s="70"/>
      <c r="AB249" s="70"/>
      <c r="AC249" s="70"/>
      <c r="AD249" s="69"/>
      <c r="AE249" s="101"/>
      <c r="AF249" s="102"/>
      <c r="AG249" s="102"/>
      <c r="AH249" s="102"/>
      <c r="AI249" s="103"/>
      <c r="AJ249" s="266"/>
      <c r="AK249" s="104"/>
    </row>
    <row r="250" spans="1:37" s="319" customFormat="1" ht="12.75" customHeight="1">
      <c r="A250" s="220"/>
      <c r="B250" s="69" t="s">
        <v>26</v>
      </c>
      <c r="C250" s="69">
        <v>2160</v>
      </c>
      <c r="D250" s="70"/>
      <c r="E250" s="70"/>
      <c r="F250" s="98" t="s">
        <v>201</v>
      </c>
      <c r="G250" s="98" t="s">
        <v>201</v>
      </c>
      <c r="H250" s="70" t="s">
        <v>201</v>
      </c>
      <c r="I250" s="70" t="s">
        <v>1417</v>
      </c>
      <c r="J250" s="70" t="s">
        <v>1418</v>
      </c>
      <c r="K250" s="70" t="s">
        <v>321</v>
      </c>
      <c r="L250" s="99" t="s">
        <v>1309</v>
      </c>
      <c r="M250" s="70"/>
      <c r="N250" s="70"/>
      <c r="O250" s="70"/>
      <c r="P250" s="70"/>
      <c r="Q250" s="70"/>
      <c r="R250" s="70"/>
      <c r="S250" s="70"/>
      <c r="T250" s="70"/>
      <c r="U250" s="70"/>
      <c r="V250" s="70"/>
      <c r="W250" s="100"/>
      <c r="X250" s="70"/>
      <c r="Y250" s="70"/>
      <c r="Z250" s="70"/>
      <c r="AA250" s="70"/>
      <c r="AB250" s="70"/>
      <c r="AC250" s="70"/>
      <c r="AD250" s="69"/>
      <c r="AE250" s="101"/>
      <c r="AF250" s="102"/>
      <c r="AG250" s="102"/>
      <c r="AH250" s="102"/>
      <c r="AI250" s="103"/>
      <c r="AJ250" s="266"/>
      <c r="AK250" s="104"/>
    </row>
    <row r="251" spans="1:37" s="319" customFormat="1" ht="12.75" customHeight="1">
      <c r="A251" s="220"/>
      <c r="B251" s="69" t="s">
        <v>26</v>
      </c>
      <c r="C251" s="69">
        <v>2161</v>
      </c>
      <c r="D251" s="70"/>
      <c r="E251" s="70"/>
      <c r="F251" s="98" t="s">
        <v>201</v>
      </c>
      <c r="G251" s="98" t="s">
        <v>201</v>
      </c>
      <c r="H251" s="70" t="s">
        <v>201</v>
      </c>
      <c r="I251" s="70" t="s">
        <v>1419</v>
      </c>
      <c r="J251" s="70" t="s">
        <v>1420</v>
      </c>
      <c r="K251" s="70" t="s">
        <v>321</v>
      </c>
      <c r="L251" s="99" t="s">
        <v>1309</v>
      </c>
      <c r="M251" s="70"/>
      <c r="N251" s="70"/>
      <c r="O251" s="70"/>
      <c r="P251" s="70"/>
      <c r="Q251" s="70"/>
      <c r="R251" s="70"/>
      <c r="S251" s="70"/>
      <c r="T251" s="70"/>
      <c r="U251" s="70"/>
      <c r="V251" s="70"/>
      <c r="W251" s="100"/>
      <c r="X251" s="70"/>
      <c r="Y251" s="70"/>
      <c r="Z251" s="70"/>
      <c r="AA251" s="70"/>
      <c r="AB251" s="70"/>
      <c r="AC251" s="70"/>
      <c r="AD251" s="69"/>
      <c r="AE251" s="101"/>
      <c r="AF251" s="102"/>
      <c r="AG251" s="102"/>
      <c r="AH251" s="102"/>
      <c r="AI251" s="103"/>
      <c r="AJ251" s="266"/>
      <c r="AK251" s="104"/>
    </row>
    <row r="252" spans="1:37" s="319" customFormat="1" ht="12.75" customHeight="1">
      <c r="A252" s="220"/>
      <c r="B252" s="69" t="s">
        <v>26</v>
      </c>
      <c r="C252" s="69">
        <v>2162</v>
      </c>
      <c r="D252" s="70"/>
      <c r="E252" s="70"/>
      <c r="F252" s="98" t="s">
        <v>201</v>
      </c>
      <c r="G252" s="98" t="s">
        <v>201</v>
      </c>
      <c r="H252" s="70" t="s">
        <v>201</v>
      </c>
      <c r="I252" s="70" t="s">
        <v>1421</v>
      </c>
      <c r="J252" s="70" t="s">
        <v>1422</v>
      </c>
      <c r="K252" s="70" t="s">
        <v>321</v>
      </c>
      <c r="L252" s="99" t="s">
        <v>1309</v>
      </c>
      <c r="M252" s="70"/>
      <c r="N252" s="70"/>
      <c r="O252" s="70"/>
      <c r="P252" s="70"/>
      <c r="Q252" s="70"/>
      <c r="R252" s="70"/>
      <c r="S252" s="70"/>
      <c r="T252" s="70"/>
      <c r="U252" s="70"/>
      <c r="V252" s="70"/>
      <c r="W252" s="100"/>
      <c r="X252" s="70"/>
      <c r="Y252" s="70"/>
      <c r="Z252" s="70"/>
      <c r="AA252" s="70"/>
      <c r="AB252" s="70"/>
      <c r="AC252" s="70"/>
      <c r="AD252" s="69"/>
      <c r="AE252" s="101"/>
      <c r="AF252" s="102"/>
      <c r="AG252" s="102"/>
      <c r="AH252" s="102"/>
      <c r="AI252" s="103"/>
      <c r="AJ252" s="266"/>
      <c r="AK252" s="104"/>
    </row>
    <row r="253" spans="1:37" s="319" customFormat="1" ht="12.75" customHeight="1">
      <c r="A253" s="220"/>
      <c r="B253" s="69" t="s">
        <v>26</v>
      </c>
      <c r="C253" s="69">
        <v>2163</v>
      </c>
      <c r="D253" s="70"/>
      <c r="E253" s="70"/>
      <c r="F253" s="98" t="s">
        <v>201</v>
      </c>
      <c r="G253" s="98" t="s">
        <v>201</v>
      </c>
      <c r="H253" s="70" t="s">
        <v>201</v>
      </c>
      <c r="I253" s="70" t="s">
        <v>1423</v>
      </c>
      <c r="J253" s="70" t="s">
        <v>1424</v>
      </c>
      <c r="K253" s="70" t="s">
        <v>321</v>
      </c>
      <c r="L253" s="99" t="s">
        <v>1309</v>
      </c>
      <c r="M253" s="70"/>
      <c r="N253" s="70"/>
      <c r="O253" s="70"/>
      <c r="P253" s="70"/>
      <c r="Q253" s="70"/>
      <c r="R253" s="70"/>
      <c r="S253" s="70"/>
      <c r="T253" s="70"/>
      <c r="U253" s="70"/>
      <c r="V253" s="70"/>
      <c r="W253" s="100"/>
      <c r="X253" s="70"/>
      <c r="Y253" s="70"/>
      <c r="Z253" s="70"/>
      <c r="AA253" s="70"/>
      <c r="AB253" s="70"/>
      <c r="AC253" s="70"/>
      <c r="AD253" s="69"/>
      <c r="AE253" s="101"/>
      <c r="AF253" s="102"/>
      <c r="AG253" s="102"/>
      <c r="AH253" s="102"/>
      <c r="AI253" s="103"/>
      <c r="AJ253" s="266"/>
      <c r="AK253" s="104"/>
    </row>
    <row r="254" spans="1:37" s="319" customFormat="1" ht="12.75" customHeight="1">
      <c r="A254" s="220"/>
      <c r="B254" s="69" t="s">
        <v>26</v>
      </c>
      <c r="C254" s="69">
        <v>2164</v>
      </c>
      <c r="D254" s="70"/>
      <c r="E254" s="70"/>
      <c r="F254" s="98" t="s">
        <v>201</v>
      </c>
      <c r="G254" s="98" t="s">
        <v>201</v>
      </c>
      <c r="H254" s="70" t="s">
        <v>201</v>
      </c>
      <c r="I254" s="70" t="s">
        <v>1425</v>
      </c>
      <c r="J254" s="70" t="s">
        <v>1426</v>
      </c>
      <c r="K254" s="70" t="s">
        <v>321</v>
      </c>
      <c r="L254" s="99" t="s">
        <v>1309</v>
      </c>
      <c r="M254" s="70"/>
      <c r="N254" s="70"/>
      <c r="O254" s="70"/>
      <c r="P254" s="70"/>
      <c r="Q254" s="70"/>
      <c r="R254" s="70"/>
      <c r="S254" s="70"/>
      <c r="T254" s="70"/>
      <c r="U254" s="70"/>
      <c r="V254" s="70"/>
      <c r="W254" s="100"/>
      <c r="X254" s="70"/>
      <c r="Y254" s="70"/>
      <c r="Z254" s="70"/>
      <c r="AA254" s="70"/>
      <c r="AB254" s="70"/>
      <c r="AC254" s="70"/>
      <c r="AD254" s="69"/>
      <c r="AE254" s="101"/>
      <c r="AF254" s="102"/>
      <c r="AG254" s="102"/>
      <c r="AH254" s="102"/>
      <c r="AI254" s="103"/>
      <c r="AJ254" s="266"/>
      <c r="AK254" s="104"/>
    </row>
    <row r="255" spans="1:37" s="319" customFormat="1" ht="12.75" customHeight="1">
      <c r="A255" s="220"/>
      <c r="B255" s="69" t="s">
        <v>26</v>
      </c>
      <c r="C255" s="69">
        <v>2165</v>
      </c>
      <c r="D255" s="70"/>
      <c r="E255" s="70"/>
      <c r="F255" s="98" t="s">
        <v>201</v>
      </c>
      <c r="G255" s="98" t="s">
        <v>201</v>
      </c>
      <c r="H255" s="70" t="s">
        <v>201</v>
      </c>
      <c r="I255" s="70" t="s">
        <v>1427</v>
      </c>
      <c r="J255" s="70" t="s">
        <v>1428</v>
      </c>
      <c r="K255" s="70" t="s">
        <v>321</v>
      </c>
      <c r="L255" s="99" t="s">
        <v>1309</v>
      </c>
      <c r="M255" s="70"/>
      <c r="N255" s="70"/>
      <c r="O255" s="70"/>
      <c r="P255" s="70"/>
      <c r="Q255" s="70"/>
      <c r="R255" s="70"/>
      <c r="S255" s="70"/>
      <c r="T255" s="70"/>
      <c r="U255" s="70"/>
      <c r="V255" s="70"/>
      <c r="W255" s="100"/>
      <c r="X255" s="70"/>
      <c r="Y255" s="70"/>
      <c r="Z255" s="70"/>
      <c r="AA255" s="70"/>
      <c r="AB255" s="70"/>
      <c r="AC255" s="70"/>
      <c r="AD255" s="69"/>
      <c r="AE255" s="101"/>
      <c r="AF255" s="102"/>
      <c r="AG255" s="102"/>
      <c r="AH255" s="102"/>
      <c r="AI255" s="103"/>
      <c r="AJ255" s="266"/>
      <c r="AK255" s="104"/>
    </row>
    <row r="256" spans="1:37" s="319" customFormat="1" ht="12.75" customHeight="1">
      <c r="A256" s="220"/>
      <c r="B256" s="69" t="s">
        <v>46</v>
      </c>
      <c r="C256" s="69">
        <v>2166</v>
      </c>
      <c r="D256" s="69" t="b">
        <v>1</v>
      </c>
      <c r="E256" s="70"/>
      <c r="F256" s="98" t="s">
        <v>1429</v>
      </c>
      <c r="G256" s="98" t="s">
        <v>1430</v>
      </c>
      <c r="H256" s="70" t="s">
        <v>1431</v>
      </c>
      <c r="I256" s="70" t="s">
        <v>1432</v>
      </c>
      <c r="J256" s="70" t="s">
        <v>1433</v>
      </c>
      <c r="K256" s="70" t="s">
        <v>166</v>
      </c>
      <c r="L256" s="99" t="s">
        <v>1309</v>
      </c>
      <c r="M256" s="70"/>
      <c r="N256" s="70"/>
      <c r="O256" s="70"/>
      <c r="P256" s="70"/>
      <c r="Q256" s="70"/>
      <c r="R256" s="70"/>
      <c r="S256" s="70"/>
      <c r="T256" s="70" t="s">
        <v>1310</v>
      </c>
      <c r="U256" s="405" t="s">
        <v>1434</v>
      </c>
      <c r="V256" s="69" t="s">
        <v>1435</v>
      </c>
      <c r="W256" s="100" t="e">
        <f>VLOOKUP(#REF!,ComponentTypes!$A$2:$B$7,2,FALSE)</f>
        <v>#REF!</v>
      </c>
      <c r="X256" s="70">
        <v>3923</v>
      </c>
      <c r="Y256" s="70" t="s">
        <v>272</v>
      </c>
      <c r="Z256" s="70" t="s">
        <v>197</v>
      </c>
      <c r="AA256" s="70">
        <v>4</v>
      </c>
      <c r="AB256" s="67" t="s">
        <v>198</v>
      </c>
      <c r="AC256" s="69" t="s">
        <v>141</v>
      </c>
      <c r="AD256" s="69" t="s">
        <v>199</v>
      </c>
      <c r="AE256" s="101" t="s">
        <v>1436</v>
      </c>
      <c r="AF256" s="102">
        <v>0</v>
      </c>
      <c r="AG256" s="102">
        <v>20</v>
      </c>
      <c r="AH256" s="102">
        <v>13</v>
      </c>
      <c r="AI256" s="103"/>
      <c r="AJ256" s="266"/>
      <c r="AK256" s="104"/>
    </row>
    <row r="257" spans="1:37" s="319" customFormat="1" ht="12.75" customHeight="1">
      <c r="A257" s="220"/>
      <c r="B257" s="69" t="s">
        <v>46</v>
      </c>
      <c r="C257" s="69">
        <v>2167</v>
      </c>
      <c r="D257" s="69" t="b">
        <v>1</v>
      </c>
      <c r="E257" s="70"/>
      <c r="F257" s="98" t="s">
        <v>1437</v>
      </c>
      <c r="G257" s="98" t="s">
        <v>1438</v>
      </c>
      <c r="H257" s="70" t="s">
        <v>1439</v>
      </c>
      <c r="I257" s="70" t="s">
        <v>1440</v>
      </c>
      <c r="J257" s="70" t="s">
        <v>1441</v>
      </c>
      <c r="K257" s="70" t="s">
        <v>166</v>
      </c>
      <c r="L257" s="99" t="s">
        <v>1309</v>
      </c>
      <c r="M257" s="70"/>
      <c r="N257" s="70"/>
      <c r="O257" s="70"/>
      <c r="P257" s="70"/>
      <c r="Q257" s="70"/>
      <c r="R257" s="70"/>
      <c r="S257" s="70"/>
      <c r="T257" s="70"/>
      <c r="U257" s="405" t="s">
        <v>1442</v>
      </c>
      <c r="V257" s="69" t="s">
        <v>1443</v>
      </c>
      <c r="W257" s="100" t="e">
        <f>VLOOKUP(#REF!,ComponentTypes!$A$2:$B$7,2,FALSE)</f>
        <v>#REF!</v>
      </c>
      <c r="X257" s="70">
        <v>3923</v>
      </c>
      <c r="Y257" s="70" t="s">
        <v>212</v>
      </c>
      <c r="Z257" s="70" t="s">
        <v>197</v>
      </c>
      <c r="AA257" s="70">
        <v>5</v>
      </c>
      <c r="AB257" s="67" t="s">
        <v>198</v>
      </c>
      <c r="AC257" s="69" t="s">
        <v>141</v>
      </c>
      <c r="AD257" s="69" t="s">
        <v>214</v>
      </c>
      <c r="AE257" s="101" t="s">
        <v>428</v>
      </c>
      <c r="AF257" s="102">
        <v>0</v>
      </c>
      <c r="AG257" s="102">
        <v>30000</v>
      </c>
      <c r="AH257" s="102">
        <v>2000</v>
      </c>
      <c r="AI257" s="103"/>
      <c r="AJ257" s="266"/>
      <c r="AK257" s="104"/>
    </row>
    <row r="258" spans="1:37" s="319" customFormat="1" ht="12.75" customHeight="1">
      <c r="A258" s="220"/>
      <c r="B258" s="69" t="s">
        <v>46</v>
      </c>
      <c r="C258" s="69">
        <v>2168</v>
      </c>
      <c r="D258" s="69" t="b">
        <v>1</v>
      </c>
      <c r="E258" s="70"/>
      <c r="F258" s="98" t="s">
        <v>1444</v>
      </c>
      <c r="G258" s="98" t="s">
        <v>1445</v>
      </c>
      <c r="H258" s="70" t="s">
        <v>1446</v>
      </c>
      <c r="I258" s="70" t="s">
        <v>1447</v>
      </c>
      <c r="J258" s="70" t="s">
        <v>1448</v>
      </c>
      <c r="K258" s="70" t="s">
        <v>166</v>
      </c>
      <c r="L258" s="99" t="s">
        <v>1309</v>
      </c>
      <c r="M258" s="70"/>
      <c r="N258" s="70"/>
      <c r="O258" s="70"/>
      <c r="P258" s="70"/>
      <c r="Q258" s="70"/>
      <c r="R258" s="70"/>
      <c r="S258" s="70"/>
      <c r="T258" s="70"/>
      <c r="U258" s="405" t="s">
        <v>1449</v>
      </c>
      <c r="V258" s="69" t="s">
        <v>1450</v>
      </c>
      <c r="W258" s="100" t="e">
        <f>VLOOKUP(#REF!,ComponentTypes!$A$2:$B$7,2,FALSE)</f>
        <v>#REF!</v>
      </c>
      <c r="X258" s="70">
        <v>3923</v>
      </c>
      <c r="Y258" s="70" t="s">
        <v>196</v>
      </c>
      <c r="Z258" s="70" t="s">
        <v>197</v>
      </c>
      <c r="AA258" s="70">
        <v>6</v>
      </c>
      <c r="AB258" s="67" t="s">
        <v>198</v>
      </c>
      <c r="AC258" s="69" t="s">
        <v>141</v>
      </c>
      <c r="AD258" s="69" t="s">
        <v>214</v>
      </c>
      <c r="AE258" s="101" t="s">
        <v>428</v>
      </c>
      <c r="AF258" s="102">
        <v>0</v>
      </c>
      <c r="AG258" s="102">
        <v>30000</v>
      </c>
      <c r="AH258" s="102">
        <v>2500</v>
      </c>
      <c r="AI258" s="103"/>
      <c r="AJ258" s="266"/>
      <c r="AK258" s="104"/>
    </row>
    <row r="259" spans="1:37" s="319" customFormat="1" ht="12.75" customHeight="1">
      <c r="A259" s="220"/>
      <c r="B259" s="69" t="s">
        <v>46</v>
      </c>
      <c r="C259" s="69">
        <v>2169</v>
      </c>
      <c r="D259" s="69" t="b">
        <v>1</v>
      </c>
      <c r="E259" s="70"/>
      <c r="F259" s="98" t="s">
        <v>1451</v>
      </c>
      <c r="G259" s="98" t="s">
        <v>1452</v>
      </c>
      <c r="H259" s="70" t="s">
        <v>1453</v>
      </c>
      <c r="I259" s="70" t="s">
        <v>1454</v>
      </c>
      <c r="J259" s="70" t="s">
        <v>1455</v>
      </c>
      <c r="K259" s="70" t="s">
        <v>166</v>
      </c>
      <c r="L259" s="99" t="s">
        <v>1309</v>
      </c>
      <c r="M259" s="70"/>
      <c r="N259" s="70"/>
      <c r="O259" s="70"/>
      <c r="P259" s="70"/>
      <c r="Q259" s="70"/>
      <c r="R259" s="70"/>
      <c r="S259" s="70"/>
      <c r="T259" s="70"/>
      <c r="U259" s="405" t="s">
        <v>1456</v>
      </c>
      <c r="V259" s="69" t="s">
        <v>1457</v>
      </c>
      <c r="W259" s="100" t="e">
        <f>VLOOKUP(#REF!,ComponentTypes!$A$2:$B$7,2,FALSE)</f>
        <v>#REF!</v>
      </c>
      <c r="X259" s="70">
        <v>3923</v>
      </c>
      <c r="Y259" s="70" t="s">
        <v>212</v>
      </c>
      <c r="Z259" s="70" t="s">
        <v>197</v>
      </c>
      <c r="AA259" s="70">
        <v>7</v>
      </c>
      <c r="AB259" s="67" t="s">
        <v>198</v>
      </c>
      <c r="AC259" s="69" t="s">
        <v>141</v>
      </c>
      <c r="AD259" s="69" t="s">
        <v>214</v>
      </c>
      <c r="AE259" s="101" t="s">
        <v>428</v>
      </c>
      <c r="AF259" s="102">
        <v>0</v>
      </c>
      <c r="AG259" s="102">
        <v>30000</v>
      </c>
      <c r="AH259" s="102">
        <v>2000</v>
      </c>
      <c r="AI259" s="103"/>
      <c r="AJ259" s="266"/>
      <c r="AK259" s="104"/>
    </row>
    <row r="260" spans="1:37" s="319" customFormat="1" ht="12.75" customHeight="1">
      <c r="A260" s="220"/>
      <c r="B260" s="69" t="s">
        <v>46</v>
      </c>
      <c r="C260" s="69">
        <v>2170</v>
      </c>
      <c r="D260" s="69" t="b">
        <v>1</v>
      </c>
      <c r="E260" s="70"/>
      <c r="F260" s="98" t="s">
        <v>1458</v>
      </c>
      <c r="G260" s="98" t="s">
        <v>1459</v>
      </c>
      <c r="H260" s="70" t="s">
        <v>1460</v>
      </c>
      <c r="I260" s="70" t="s">
        <v>1461</v>
      </c>
      <c r="J260" s="70" t="s">
        <v>1462</v>
      </c>
      <c r="K260" s="70" t="s">
        <v>166</v>
      </c>
      <c r="L260" s="99" t="s">
        <v>1309</v>
      </c>
      <c r="M260" s="70"/>
      <c r="N260" s="70"/>
      <c r="O260" s="70"/>
      <c r="P260" s="70"/>
      <c r="Q260" s="70"/>
      <c r="R260" s="70"/>
      <c r="S260" s="70"/>
      <c r="T260" s="70"/>
      <c r="U260" s="405" t="s">
        <v>1463</v>
      </c>
      <c r="V260" s="69" t="s">
        <v>1464</v>
      </c>
      <c r="W260" s="100" t="e">
        <f>VLOOKUP(#REF!,ComponentTypes!$A$2:$B$7,2,FALSE)</f>
        <v>#REF!</v>
      </c>
      <c r="X260" s="70">
        <v>3923</v>
      </c>
      <c r="Y260" s="70" t="s">
        <v>196</v>
      </c>
      <c r="Z260" s="70" t="s">
        <v>197</v>
      </c>
      <c r="AA260" s="70">
        <v>8</v>
      </c>
      <c r="AB260" s="67" t="s">
        <v>198</v>
      </c>
      <c r="AC260" s="69" t="s">
        <v>141</v>
      </c>
      <c r="AD260" s="69" t="s">
        <v>214</v>
      </c>
      <c r="AE260" s="101" t="s">
        <v>428</v>
      </c>
      <c r="AF260" s="102">
        <v>0</v>
      </c>
      <c r="AG260" s="102">
        <v>30000</v>
      </c>
      <c r="AH260" s="102">
        <v>2500</v>
      </c>
      <c r="AI260" s="103"/>
      <c r="AJ260" s="266"/>
      <c r="AK260" s="104"/>
    </row>
    <row r="261" spans="1:37" s="71" customFormat="1" ht="12.75" customHeight="1">
      <c r="A261" s="220"/>
      <c r="B261" s="69" t="s">
        <v>15</v>
      </c>
      <c r="C261" s="69">
        <v>2171</v>
      </c>
      <c r="D261" s="70"/>
      <c r="E261" s="70"/>
      <c r="F261" s="98" t="s">
        <v>201</v>
      </c>
      <c r="G261" s="98" t="s">
        <v>201</v>
      </c>
      <c r="H261" s="70" t="s">
        <v>201</v>
      </c>
      <c r="I261" s="70" t="s">
        <v>1465</v>
      </c>
      <c r="J261" s="70" t="s">
        <v>1466</v>
      </c>
      <c r="K261" s="70" t="s">
        <v>166</v>
      </c>
      <c r="L261" s="99" t="s">
        <v>1309</v>
      </c>
      <c r="M261" s="70"/>
      <c r="N261" s="70"/>
      <c r="O261" s="70"/>
      <c r="P261" s="70"/>
      <c r="Q261" s="70"/>
      <c r="R261" s="70"/>
      <c r="S261" s="70"/>
      <c r="T261" s="70"/>
      <c r="U261" s="405" t="s">
        <v>1467</v>
      </c>
      <c r="V261" s="70"/>
      <c r="W261" s="100"/>
      <c r="X261" s="70"/>
      <c r="Y261" s="70"/>
      <c r="Z261" s="70"/>
      <c r="AA261" s="70"/>
      <c r="AB261" s="70"/>
      <c r="AC261" s="70"/>
      <c r="AD261" s="69"/>
      <c r="AE261" s="101"/>
      <c r="AF261" s="102"/>
      <c r="AG261" s="102"/>
      <c r="AH261" s="102"/>
      <c r="AI261" s="103"/>
      <c r="AJ261" s="266"/>
      <c r="AK261" s="104"/>
    </row>
    <row r="262" spans="1:37" s="71" customFormat="1" ht="12.75" customHeight="1">
      <c r="A262" s="220"/>
      <c r="B262" s="69" t="s">
        <v>15</v>
      </c>
      <c r="C262" s="69">
        <v>2172</v>
      </c>
      <c r="D262" s="70"/>
      <c r="E262" s="70"/>
      <c r="F262" s="98" t="s">
        <v>201</v>
      </c>
      <c r="G262" s="98" t="s">
        <v>201</v>
      </c>
      <c r="H262" s="70" t="s">
        <v>201</v>
      </c>
      <c r="I262" s="70" t="s">
        <v>1468</v>
      </c>
      <c r="J262" s="70" t="s">
        <v>1469</v>
      </c>
      <c r="K262" s="70" t="s">
        <v>166</v>
      </c>
      <c r="L262" s="99" t="s">
        <v>1309</v>
      </c>
      <c r="M262" s="70"/>
      <c r="N262" s="70"/>
      <c r="O262" s="70"/>
      <c r="P262" s="70"/>
      <c r="Q262" s="70"/>
      <c r="R262" s="70"/>
      <c r="S262" s="70"/>
      <c r="T262" s="70"/>
      <c r="U262" s="405" t="s">
        <v>1470</v>
      </c>
      <c r="V262" s="70"/>
      <c r="W262" s="100"/>
      <c r="X262" s="70"/>
      <c r="Y262" s="70"/>
      <c r="Z262" s="70"/>
      <c r="AA262" s="70"/>
      <c r="AB262" s="70"/>
      <c r="AC262" s="70"/>
      <c r="AD262" s="69"/>
      <c r="AE262" s="101"/>
      <c r="AF262" s="102"/>
      <c r="AG262" s="102"/>
      <c r="AH262" s="102"/>
      <c r="AI262" s="103"/>
      <c r="AJ262" s="266"/>
      <c r="AK262" s="104"/>
    </row>
    <row r="263" spans="1:37" s="319" customFormat="1" ht="12.75" customHeight="1">
      <c r="A263" s="220"/>
      <c r="B263" s="69" t="s">
        <v>46</v>
      </c>
      <c r="C263" s="69">
        <v>2173</v>
      </c>
      <c r="D263" s="69" t="b">
        <v>1</v>
      </c>
      <c r="E263" s="70"/>
      <c r="F263" s="98" t="s">
        <v>1471</v>
      </c>
      <c r="G263" s="98" t="s">
        <v>1472</v>
      </c>
      <c r="H263" s="70" t="s">
        <v>1473</v>
      </c>
      <c r="I263" s="70" t="s">
        <v>1474</v>
      </c>
      <c r="J263" s="70" t="s">
        <v>1475</v>
      </c>
      <c r="K263" s="70" t="s">
        <v>209</v>
      </c>
      <c r="L263" s="99" t="s">
        <v>1309</v>
      </c>
      <c r="M263" s="70"/>
      <c r="N263" s="70"/>
      <c r="O263" s="70"/>
      <c r="P263" s="70"/>
      <c r="Q263" s="70"/>
      <c r="R263" s="70"/>
      <c r="S263" s="70"/>
      <c r="T263" s="70"/>
      <c r="U263" s="405" t="s">
        <v>1476</v>
      </c>
      <c r="V263" s="69" t="s">
        <v>1477</v>
      </c>
      <c r="W263" s="100" t="e">
        <f>VLOOKUP(#REF!,ComponentTypes!$A$2:$B$7,2,FALSE)</f>
        <v>#REF!</v>
      </c>
      <c r="X263" s="70">
        <v>3923</v>
      </c>
      <c r="Y263" s="70" t="s">
        <v>196</v>
      </c>
      <c r="Z263" s="70" t="s">
        <v>197</v>
      </c>
      <c r="AA263" s="70">
        <v>9</v>
      </c>
      <c r="AB263" s="67" t="s">
        <v>198</v>
      </c>
      <c r="AC263" s="69" t="s">
        <v>141</v>
      </c>
      <c r="AD263" s="69" t="s">
        <v>392</v>
      </c>
      <c r="AE263" s="101" t="s">
        <v>552</v>
      </c>
      <c r="AF263" s="424">
        <v>0.05</v>
      </c>
      <c r="AG263" s="424">
        <v>9.99</v>
      </c>
      <c r="AH263" s="424">
        <v>2</v>
      </c>
      <c r="AI263" s="103"/>
      <c r="AJ263" s="266"/>
      <c r="AK263" s="104"/>
    </row>
    <row r="264" spans="1:37" s="319" customFormat="1" ht="12.75" customHeight="1">
      <c r="A264" s="220"/>
      <c r="B264" s="69" t="s">
        <v>46</v>
      </c>
      <c r="C264" s="69">
        <v>2174</v>
      </c>
      <c r="D264" s="69" t="b">
        <v>1</v>
      </c>
      <c r="E264" s="70"/>
      <c r="F264" s="98" t="s">
        <v>1478</v>
      </c>
      <c r="G264" s="98" t="s">
        <v>1479</v>
      </c>
      <c r="H264" s="70" t="s">
        <v>1480</v>
      </c>
      <c r="I264" s="70" t="s">
        <v>1481</v>
      </c>
      <c r="J264" s="70" t="s">
        <v>1482</v>
      </c>
      <c r="K264" s="70" t="s">
        <v>209</v>
      </c>
      <c r="L264" s="99" t="s">
        <v>1309</v>
      </c>
      <c r="M264" s="70"/>
      <c r="N264" s="70"/>
      <c r="O264" s="70"/>
      <c r="P264" s="70"/>
      <c r="Q264" s="70"/>
      <c r="R264" s="70"/>
      <c r="S264" s="70"/>
      <c r="T264" s="70" t="s">
        <v>1310</v>
      </c>
      <c r="U264" s="405" t="s">
        <v>1483</v>
      </c>
      <c r="V264" s="69" t="s">
        <v>1484</v>
      </c>
      <c r="W264" s="100" t="e">
        <f>VLOOKUP(#REF!,ComponentTypes!$A$2:$B$7,2,FALSE)</f>
        <v>#REF!</v>
      </c>
      <c r="X264" s="70">
        <v>3923</v>
      </c>
      <c r="Y264" s="70" t="s">
        <v>196</v>
      </c>
      <c r="Z264" s="70" t="s">
        <v>197</v>
      </c>
      <c r="AA264" s="70">
        <v>10</v>
      </c>
      <c r="AB264" s="67" t="s">
        <v>198</v>
      </c>
      <c r="AC264" s="69" t="s">
        <v>141</v>
      </c>
      <c r="AD264" s="69" t="s">
        <v>419</v>
      </c>
      <c r="AE264" s="101" t="s">
        <v>420</v>
      </c>
      <c r="AF264" s="423">
        <v>-15</v>
      </c>
      <c r="AG264" s="423">
        <v>15</v>
      </c>
      <c r="AH264" s="423">
        <v>0</v>
      </c>
      <c r="AI264" s="103"/>
      <c r="AJ264" s="266"/>
      <c r="AK264" s="104"/>
    </row>
    <row r="265" spans="1:37" s="71" customFormat="1" ht="12.75" customHeight="1">
      <c r="A265" s="220"/>
      <c r="B265" s="69" t="s">
        <v>15</v>
      </c>
      <c r="C265" s="69">
        <v>2175</v>
      </c>
      <c r="D265" s="70"/>
      <c r="E265" s="70"/>
      <c r="F265" s="98" t="s">
        <v>201</v>
      </c>
      <c r="G265" s="98" t="s">
        <v>201</v>
      </c>
      <c r="H265" s="70" t="s">
        <v>201</v>
      </c>
      <c r="I265" s="70" t="s">
        <v>1485</v>
      </c>
      <c r="J265" s="70" t="s">
        <v>1486</v>
      </c>
      <c r="K265" s="70"/>
      <c r="L265" s="99" t="s">
        <v>1309</v>
      </c>
      <c r="M265" s="70"/>
      <c r="N265" s="70"/>
      <c r="O265" s="70"/>
      <c r="P265" s="70"/>
      <c r="Q265" s="70"/>
      <c r="R265" s="70"/>
      <c r="S265" s="70"/>
      <c r="T265" s="70"/>
      <c r="U265" s="405" t="s">
        <v>1487</v>
      </c>
      <c r="V265" s="70"/>
      <c r="W265" s="100"/>
      <c r="X265" s="70"/>
      <c r="Y265" s="70"/>
      <c r="Z265" s="70"/>
      <c r="AA265" s="70"/>
      <c r="AB265" s="70"/>
      <c r="AC265" s="70"/>
      <c r="AD265" s="69"/>
      <c r="AE265" s="101"/>
      <c r="AF265" s="102"/>
      <c r="AG265" s="102"/>
      <c r="AH265" s="102"/>
      <c r="AI265" s="103"/>
      <c r="AJ265" s="266"/>
      <c r="AK265" s="104"/>
    </row>
    <row r="266" spans="1:37" s="319" customFormat="1" ht="12.75" customHeight="1">
      <c r="A266" s="220"/>
      <c r="B266" s="69" t="s">
        <v>31</v>
      </c>
      <c r="C266" s="66">
        <v>2176</v>
      </c>
      <c r="D266" s="70"/>
      <c r="E266" s="70"/>
      <c r="F266" s="98"/>
      <c r="G266" s="98"/>
      <c r="H266" s="70"/>
      <c r="I266" s="70"/>
      <c r="J266" s="70"/>
      <c r="K266" s="70"/>
      <c r="L266" s="99"/>
      <c r="M266" s="70"/>
      <c r="N266" s="70"/>
      <c r="O266" s="70"/>
      <c r="P266" s="70"/>
      <c r="Q266" s="70"/>
      <c r="R266" s="70"/>
      <c r="S266" s="70"/>
      <c r="T266" s="70"/>
      <c r="U266" s="405" t="s">
        <v>1488</v>
      </c>
      <c r="V266" s="70"/>
      <c r="W266" s="100"/>
      <c r="X266" s="70"/>
      <c r="Y266" s="70"/>
      <c r="Z266" s="70"/>
      <c r="AA266" s="70"/>
      <c r="AB266" s="70"/>
      <c r="AC266" s="70"/>
      <c r="AD266" s="69"/>
      <c r="AE266" s="101"/>
      <c r="AF266" s="102"/>
      <c r="AG266" s="102"/>
      <c r="AH266" s="102"/>
      <c r="AI266" s="103"/>
      <c r="AJ266" s="266"/>
      <c r="AK266" s="104"/>
    </row>
    <row r="267" spans="1:37" s="319" customFormat="1" ht="12.75" customHeight="1">
      <c r="A267" s="220"/>
      <c r="B267" s="69" t="s">
        <v>46</v>
      </c>
      <c r="C267" s="66">
        <v>2200</v>
      </c>
      <c r="D267" s="69" t="b">
        <v>1</v>
      </c>
      <c r="E267" s="70"/>
      <c r="F267" s="98" t="s">
        <v>1489</v>
      </c>
      <c r="G267" s="98" t="s">
        <v>1490</v>
      </c>
      <c r="H267" s="70" t="s">
        <v>1491</v>
      </c>
      <c r="I267" s="70" t="s">
        <v>1492</v>
      </c>
      <c r="J267" s="70" t="s">
        <v>1493</v>
      </c>
      <c r="K267" s="70" t="s">
        <v>321</v>
      </c>
      <c r="L267" s="99" t="s">
        <v>1309</v>
      </c>
      <c r="M267" s="70"/>
      <c r="N267" s="70"/>
      <c r="O267" s="70"/>
      <c r="P267" s="70"/>
      <c r="Q267" s="70"/>
      <c r="R267" s="70"/>
      <c r="S267" s="70"/>
      <c r="T267" s="70" t="s">
        <v>1310</v>
      </c>
      <c r="U267" s="405" t="s">
        <v>1494</v>
      </c>
      <c r="V267" s="69" t="s">
        <v>1495</v>
      </c>
      <c r="W267" s="100" t="e">
        <f>VLOOKUP(#REF!,ComponentTypes!$A$2:$B$7,2,FALSE)</f>
        <v>#REF!</v>
      </c>
      <c r="X267" s="70">
        <v>3923</v>
      </c>
      <c r="Y267" s="70" t="s">
        <v>272</v>
      </c>
      <c r="Z267" s="70" t="s">
        <v>1496</v>
      </c>
      <c r="AA267" s="70">
        <v>1</v>
      </c>
      <c r="AB267" s="67" t="s">
        <v>198</v>
      </c>
      <c r="AC267" s="69" t="s">
        <v>141</v>
      </c>
      <c r="AD267" s="69" t="s">
        <v>199</v>
      </c>
      <c r="AE267" s="101"/>
      <c r="AF267" s="102">
        <v>0</v>
      </c>
      <c r="AG267" s="102">
        <v>1</v>
      </c>
      <c r="AH267" s="102">
        <v>1</v>
      </c>
      <c r="AI267" s="103"/>
      <c r="AJ267" s="266"/>
      <c r="AK267" s="104"/>
    </row>
    <row r="268" spans="1:37" s="319" customFormat="1" ht="12.75" customHeight="1">
      <c r="A268" s="220"/>
      <c r="B268" s="69" t="s">
        <v>46</v>
      </c>
      <c r="C268" s="66">
        <v>2201</v>
      </c>
      <c r="D268" s="69" t="b">
        <v>1</v>
      </c>
      <c r="E268" s="70"/>
      <c r="F268" s="98" t="s">
        <v>1497</v>
      </c>
      <c r="G268" s="98" t="s">
        <v>1498</v>
      </c>
      <c r="H268" s="70" t="s">
        <v>1499</v>
      </c>
      <c r="I268" s="70" t="s">
        <v>1500</v>
      </c>
      <c r="J268" s="70" t="s">
        <v>1501</v>
      </c>
      <c r="K268" s="70" t="s">
        <v>321</v>
      </c>
      <c r="L268" s="99" t="s">
        <v>1309</v>
      </c>
      <c r="M268" s="70"/>
      <c r="N268" s="70"/>
      <c r="O268" s="70"/>
      <c r="P268" s="70"/>
      <c r="Q268" s="70"/>
      <c r="R268" s="70"/>
      <c r="S268" s="70"/>
      <c r="T268" s="70" t="s">
        <v>1310</v>
      </c>
      <c r="U268" s="405" t="s">
        <v>1502</v>
      </c>
      <c r="V268" s="69" t="s">
        <v>1503</v>
      </c>
      <c r="W268" s="100" t="e">
        <f>VLOOKUP(#REF!,ComponentTypes!$A$2:$B$7,2,FALSE)</f>
        <v>#REF!</v>
      </c>
      <c r="X268" s="70">
        <v>3923</v>
      </c>
      <c r="Y268" s="70" t="s">
        <v>272</v>
      </c>
      <c r="Z268" s="70" t="s">
        <v>1496</v>
      </c>
      <c r="AA268" s="70">
        <v>2</v>
      </c>
      <c r="AB268" s="67" t="s">
        <v>198</v>
      </c>
      <c r="AC268" s="69" t="s">
        <v>141</v>
      </c>
      <c r="AD268" s="69" t="s">
        <v>199</v>
      </c>
      <c r="AE268" s="101"/>
      <c r="AF268" s="102">
        <v>0</v>
      </c>
      <c r="AG268" s="102">
        <v>1</v>
      </c>
      <c r="AH268" s="102">
        <v>1</v>
      </c>
      <c r="AI268" s="103"/>
      <c r="AJ268" s="266"/>
      <c r="AK268" s="104"/>
    </row>
    <row r="269" spans="1:37" s="71" customFormat="1" ht="12.75" customHeight="1">
      <c r="A269" s="220"/>
      <c r="B269" s="69" t="s">
        <v>15</v>
      </c>
      <c r="C269" s="66">
        <v>2202</v>
      </c>
      <c r="D269" s="70"/>
      <c r="E269" s="70"/>
      <c r="F269" s="98" t="s">
        <v>201</v>
      </c>
      <c r="G269" s="98" t="s">
        <v>201</v>
      </c>
      <c r="H269" s="70" t="s">
        <v>201</v>
      </c>
      <c r="I269" s="70" t="s">
        <v>1504</v>
      </c>
      <c r="J269" s="70" t="s">
        <v>1505</v>
      </c>
      <c r="K269" s="70" t="s">
        <v>321</v>
      </c>
      <c r="L269" s="99" t="s">
        <v>1309</v>
      </c>
      <c r="M269" s="70"/>
      <c r="N269" s="70"/>
      <c r="O269" s="70"/>
      <c r="P269" s="70"/>
      <c r="Q269" s="70"/>
      <c r="R269" s="70"/>
      <c r="S269" s="70"/>
      <c r="T269" s="70"/>
      <c r="U269" s="405" t="s">
        <v>1506</v>
      </c>
      <c r="V269" s="70"/>
      <c r="W269" s="100"/>
      <c r="X269" s="70"/>
      <c r="Y269" s="70"/>
      <c r="Z269" s="70"/>
      <c r="AA269" s="70"/>
      <c r="AB269" s="70"/>
      <c r="AC269" s="70"/>
      <c r="AD269" s="69"/>
      <c r="AE269" s="101"/>
      <c r="AF269" s="102"/>
      <c r="AG269" s="102"/>
      <c r="AH269" s="102"/>
      <c r="AI269" s="103"/>
      <c r="AJ269" s="266"/>
      <c r="AK269" s="104"/>
    </row>
    <row r="270" spans="1:37" s="71" customFormat="1" ht="12.75" customHeight="1">
      <c r="A270" s="220"/>
      <c r="B270" s="69" t="s">
        <v>15</v>
      </c>
      <c r="C270" s="66">
        <v>2203</v>
      </c>
      <c r="D270" s="70"/>
      <c r="E270" s="70"/>
      <c r="F270" s="98" t="s">
        <v>201</v>
      </c>
      <c r="G270" s="98" t="s">
        <v>201</v>
      </c>
      <c r="H270" s="70" t="s">
        <v>201</v>
      </c>
      <c r="I270" s="70" t="s">
        <v>1507</v>
      </c>
      <c r="J270" s="70" t="s">
        <v>1508</v>
      </c>
      <c r="K270" s="70" t="s">
        <v>321</v>
      </c>
      <c r="L270" s="99" t="s">
        <v>1309</v>
      </c>
      <c r="M270" s="70"/>
      <c r="N270" s="70"/>
      <c r="O270" s="70"/>
      <c r="P270" s="70"/>
      <c r="Q270" s="70"/>
      <c r="R270" s="70"/>
      <c r="S270" s="70"/>
      <c r="T270" s="70"/>
      <c r="U270" s="405" t="s">
        <v>1509</v>
      </c>
      <c r="V270" s="70"/>
      <c r="W270" s="100"/>
      <c r="X270" s="70"/>
      <c r="Y270" s="70"/>
      <c r="Z270" s="70"/>
      <c r="AA270" s="70"/>
      <c r="AB270" s="70"/>
      <c r="AC270" s="70"/>
      <c r="AD270" s="69"/>
      <c r="AE270" s="101"/>
      <c r="AF270" s="102"/>
      <c r="AG270" s="102"/>
      <c r="AH270" s="102"/>
      <c r="AI270" s="103"/>
      <c r="AJ270" s="266"/>
      <c r="AK270" s="104"/>
    </row>
    <row r="271" spans="1:37" s="71" customFormat="1" ht="12.75" customHeight="1">
      <c r="A271" s="220"/>
      <c r="B271" s="69" t="s">
        <v>15</v>
      </c>
      <c r="C271" s="66">
        <v>2204</v>
      </c>
      <c r="D271" s="70"/>
      <c r="E271" s="70"/>
      <c r="F271" s="98" t="s">
        <v>201</v>
      </c>
      <c r="G271" s="98" t="s">
        <v>201</v>
      </c>
      <c r="H271" s="70" t="s">
        <v>201</v>
      </c>
      <c r="I271" s="70" t="s">
        <v>1510</v>
      </c>
      <c r="J271" s="70" t="s">
        <v>1511</v>
      </c>
      <c r="K271" s="70" t="s">
        <v>321</v>
      </c>
      <c r="L271" s="99" t="s">
        <v>1309</v>
      </c>
      <c r="M271" s="70"/>
      <c r="N271" s="70"/>
      <c r="O271" s="70"/>
      <c r="P271" s="70"/>
      <c r="Q271" s="70"/>
      <c r="R271" s="70"/>
      <c r="S271" s="70"/>
      <c r="T271" s="70"/>
      <c r="U271" s="405" t="s">
        <v>1512</v>
      </c>
      <c r="V271" s="70"/>
      <c r="W271" s="100"/>
      <c r="X271" s="70"/>
      <c r="Y271" s="70"/>
      <c r="Z271" s="70"/>
      <c r="AA271" s="70"/>
      <c r="AB271" s="70"/>
      <c r="AC271" s="70"/>
      <c r="AD271" s="69"/>
      <c r="AE271" s="101"/>
      <c r="AF271" s="102"/>
      <c r="AG271" s="102"/>
      <c r="AH271" s="102"/>
      <c r="AI271" s="103"/>
      <c r="AJ271" s="266"/>
      <c r="AK271" s="104"/>
    </row>
    <row r="272" spans="1:37" s="71" customFormat="1" ht="12.75" customHeight="1">
      <c r="A272" s="220"/>
      <c r="B272" s="69" t="s">
        <v>15</v>
      </c>
      <c r="C272" s="66">
        <v>2205</v>
      </c>
      <c r="D272" s="70"/>
      <c r="E272" s="70"/>
      <c r="F272" s="98" t="s">
        <v>201</v>
      </c>
      <c r="G272" s="98" t="s">
        <v>201</v>
      </c>
      <c r="H272" s="70" t="s">
        <v>201</v>
      </c>
      <c r="I272" s="70" t="s">
        <v>1513</v>
      </c>
      <c r="J272" s="70" t="s">
        <v>1514</v>
      </c>
      <c r="K272" s="70" t="s">
        <v>321</v>
      </c>
      <c r="L272" s="99" t="s">
        <v>1309</v>
      </c>
      <c r="M272" s="70"/>
      <c r="N272" s="70"/>
      <c r="O272" s="70"/>
      <c r="P272" s="70"/>
      <c r="Q272" s="70"/>
      <c r="R272" s="70"/>
      <c r="S272" s="70"/>
      <c r="T272" s="70"/>
      <c r="U272" s="405" t="s">
        <v>1515</v>
      </c>
      <c r="V272" s="70"/>
      <c r="W272" s="100"/>
      <c r="X272" s="70"/>
      <c r="Y272" s="70"/>
      <c r="Z272" s="70"/>
      <c r="AA272" s="70"/>
      <c r="AB272" s="70"/>
      <c r="AC272" s="70"/>
      <c r="AD272" s="69"/>
      <c r="AE272" s="101"/>
      <c r="AF272" s="102"/>
      <c r="AG272" s="102"/>
      <c r="AH272" s="102"/>
      <c r="AI272" s="103"/>
      <c r="AJ272" s="266"/>
      <c r="AK272" s="104"/>
    </row>
    <row r="273" spans="1:37" s="71" customFormat="1" ht="12.75" customHeight="1">
      <c r="A273" s="220"/>
      <c r="B273" s="69" t="s">
        <v>15</v>
      </c>
      <c r="C273" s="66">
        <v>2206</v>
      </c>
      <c r="D273" s="70"/>
      <c r="E273" s="70"/>
      <c r="F273" s="98" t="s">
        <v>201</v>
      </c>
      <c r="G273" s="98" t="s">
        <v>201</v>
      </c>
      <c r="H273" s="70" t="s">
        <v>201</v>
      </c>
      <c r="I273" s="70" t="s">
        <v>1516</v>
      </c>
      <c r="J273" s="70" t="s">
        <v>1517</v>
      </c>
      <c r="K273" s="70" t="s">
        <v>321</v>
      </c>
      <c r="L273" s="99" t="s">
        <v>1309</v>
      </c>
      <c r="M273" s="70"/>
      <c r="N273" s="70"/>
      <c r="O273" s="70"/>
      <c r="P273" s="70"/>
      <c r="Q273" s="70"/>
      <c r="R273" s="70"/>
      <c r="S273" s="70"/>
      <c r="T273" s="70"/>
      <c r="U273" s="405" t="s">
        <v>1518</v>
      </c>
      <c r="V273" s="70"/>
      <c r="W273" s="100"/>
      <c r="X273" s="70"/>
      <c r="Y273" s="70"/>
      <c r="Z273" s="70"/>
      <c r="AA273" s="70"/>
      <c r="AB273" s="70"/>
      <c r="AC273" s="70"/>
      <c r="AD273" s="69"/>
      <c r="AE273" s="101"/>
      <c r="AF273" s="102"/>
      <c r="AG273" s="102"/>
      <c r="AH273" s="102"/>
      <c r="AI273" s="103"/>
      <c r="AJ273" s="266"/>
      <c r="AK273" s="104"/>
    </row>
    <row r="274" spans="1:37" s="71" customFormat="1" ht="12.75" customHeight="1">
      <c r="A274" s="220"/>
      <c r="B274" s="69" t="s">
        <v>15</v>
      </c>
      <c r="C274" s="66">
        <v>2207</v>
      </c>
      <c r="D274" s="70"/>
      <c r="E274" s="70"/>
      <c r="F274" s="98" t="s">
        <v>201</v>
      </c>
      <c r="G274" s="98" t="s">
        <v>201</v>
      </c>
      <c r="H274" s="70" t="s">
        <v>201</v>
      </c>
      <c r="I274" s="70" t="s">
        <v>1519</v>
      </c>
      <c r="J274" s="70" t="s">
        <v>1520</v>
      </c>
      <c r="K274" s="70" t="s">
        <v>321</v>
      </c>
      <c r="L274" s="99" t="s">
        <v>1309</v>
      </c>
      <c r="M274" s="70"/>
      <c r="N274" s="70"/>
      <c r="O274" s="70"/>
      <c r="P274" s="70"/>
      <c r="Q274" s="70"/>
      <c r="R274" s="70"/>
      <c r="S274" s="70"/>
      <c r="T274" s="70"/>
      <c r="U274" s="405" t="s">
        <v>1521</v>
      </c>
      <c r="V274" s="70"/>
      <c r="W274" s="100"/>
      <c r="X274" s="70"/>
      <c r="Y274" s="70"/>
      <c r="Z274" s="70"/>
      <c r="AA274" s="70"/>
      <c r="AB274" s="70"/>
      <c r="AC274" s="70"/>
      <c r="AD274" s="69"/>
      <c r="AE274" s="101"/>
      <c r="AF274" s="102"/>
      <c r="AG274" s="102"/>
      <c r="AH274" s="102"/>
      <c r="AI274" s="103"/>
      <c r="AJ274" s="266"/>
      <c r="AK274" s="104"/>
    </row>
    <row r="275" spans="1:37" s="319" customFormat="1" ht="12.75" customHeight="1">
      <c r="A275" s="220"/>
      <c r="B275" s="69" t="s">
        <v>46</v>
      </c>
      <c r="C275" s="66">
        <v>2208</v>
      </c>
      <c r="D275" s="69" t="b">
        <v>1</v>
      </c>
      <c r="E275" s="70"/>
      <c r="F275" s="98" t="s">
        <v>1522</v>
      </c>
      <c r="G275" s="98" t="s">
        <v>1523</v>
      </c>
      <c r="H275" s="70" t="s">
        <v>1524</v>
      </c>
      <c r="I275" s="70" t="s">
        <v>1525</v>
      </c>
      <c r="J275" s="70" t="s">
        <v>1526</v>
      </c>
      <c r="K275" s="70" t="s">
        <v>209</v>
      </c>
      <c r="L275" s="99" t="s">
        <v>1309</v>
      </c>
      <c r="M275" s="70"/>
      <c r="N275" s="70"/>
      <c r="O275" s="70"/>
      <c r="P275" s="70"/>
      <c r="Q275" s="70"/>
      <c r="R275" s="70"/>
      <c r="S275" s="70"/>
      <c r="T275" s="70" t="s">
        <v>1310</v>
      </c>
      <c r="U275" s="405" t="s">
        <v>1527</v>
      </c>
      <c r="V275" s="69" t="s">
        <v>1528</v>
      </c>
      <c r="W275" s="100" t="e">
        <f>VLOOKUP(#REF!,ComponentTypes!$A$2:$B$7,2,FALSE)</f>
        <v>#REF!</v>
      </c>
      <c r="X275" s="70">
        <v>3923</v>
      </c>
      <c r="Y275" s="70" t="s">
        <v>196</v>
      </c>
      <c r="Z275" s="70" t="s">
        <v>1496</v>
      </c>
      <c r="AA275" s="70">
        <v>3</v>
      </c>
      <c r="AB275" s="67" t="s">
        <v>198</v>
      </c>
      <c r="AC275" s="69" t="s">
        <v>141</v>
      </c>
      <c r="AD275" s="69" t="s">
        <v>392</v>
      </c>
      <c r="AE275" s="101" t="s">
        <v>373</v>
      </c>
      <c r="AF275" s="423">
        <v>182</v>
      </c>
      <c r="AG275" s="423">
        <v>234</v>
      </c>
      <c r="AH275" s="423">
        <v>200</v>
      </c>
      <c r="AI275" s="103"/>
      <c r="AJ275" s="266"/>
      <c r="AK275" s="104"/>
    </row>
    <row r="276" spans="1:37" s="319" customFormat="1" ht="12.75" customHeight="1">
      <c r="A276" s="220"/>
      <c r="B276" s="69" t="s">
        <v>46</v>
      </c>
      <c r="C276" s="66">
        <v>2209</v>
      </c>
      <c r="D276" s="69" t="b">
        <v>1</v>
      </c>
      <c r="E276" s="70"/>
      <c r="F276" s="98" t="s">
        <v>1529</v>
      </c>
      <c r="G276" s="98" t="s">
        <v>1530</v>
      </c>
      <c r="H276" s="70" t="s">
        <v>1531</v>
      </c>
      <c r="I276" s="70" t="s">
        <v>1532</v>
      </c>
      <c r="J276" s="70" t="s">
        <v>1533</v>
      </c>
      <c r="K276" s="70" t="s">
        <v>166</v>
      </c>
      <c r="L276" s="99" t="s">
        <v>1309</v>
      </c>
      <c r="M276" s="70"/>
      <c r="N276" s="70"/>
      <c r="O276" s="70"/>
      <c r="P276" s="70"/>
      <c r="Q276" s="70"/>
      <c r="R276" s="70"/>
      <c r="S276" s="70"/>
      <c r="T276" s="70" t="s">
        <v>1310</v>
      </c>
      <c r="U276" s="405" t="s">
        <v>1534</v>
      </c>
      <c r="V276" s="69" t="s">
        <v>1535</v>
      </c>
      <c r="W276" s="100" t="e">
        <f>VLOOKUP(#REF!,ComponentTypes!$A$2:$B$7,2,FALSE)</f>
        <v>#REF!</v>
      </c>
      <c r="X276" s="70">
        <v>3923</v>
      </c>
      <c r="Y276" s="70" t="s">
        <v>272</v>
      </c>
      <c r="Z276" s="70" t="s">
        <v>1496</v>
      </c>
      <c r="AA276" s="70">
        <v>4</v>
      </c>
      <c r="AB276" s="67" t="s">
        <v>198</v>
      </c>
      <c r="AC276" s="69" t="s">
        <v>141</v>
      </c>
      <c r="AD276" s="69" t="s">
        <v>199</v>
      </c>
      <c r="AE276" s="101"/>
      <c r="AF276" s="102">
        <v>0</v>
      </c>
      <c r="AG276" s="102">
        <v>15</v>
      </c>
      <c r="AH276" s="102">
        <v>1</v>
      </c>
      <c r="AI276" s="103"/>
      <c r="AJ276" s="266"/>
      <c r="AK276" s="104"/>
    </row>
    <row r="277" spans="1:37" s="319" customFormat="1" ht="12.75" customHeight="1">
      <c r="A277" s="220"/>
      <c r="B277" s="69" t="s">
        <v>46</v>
      </c>
      <c r="C277" s="66">
        <v>2210</v>
      </c>
      <c r="D277" s="69" t="b">
        <v>1</v>
      </c>
      <c r="E277" s="70"/>
      <c r="F277" s="98" t="s">
        <v>1536</v>
      </c>
      <c r="G277" s="98" t="s">
        <v>1537</v>
      </c>
      <c r="H277" s="70" t="s">
        <v>1538</v>
      </c>
      <c r="I277" s="70" t="s">
        <v>1539</v>
      </c>
      <c r="J277" s="70" t="s">
        <v>1540</v>
      </c>
      <c r="K277" s="70" t="s">
        <v>209</v>
      </c>
      <c r="L277" s="99" t="s">
        <v>1309</v>
      </c>
      <c r="M277" s="70"/>
      <c r="N277" s="70"/>
      <c r="O277" s="70"/>
      <c r="P277" s="70"/>
      <c r="Q277" s="70"/>
      <c r="R277" s="70"/>
      <c r="S277" s="70"/>
      <c r="T277" s="70" t="s">
        <v>1310</v>
      </c>
      <c r="U277" s="405" t="s">
        <v>1541</v>
      </c>
      <c r="V277" s="69" t="s">
        <v>1542</v>
      </c>
      <c r="W277" s="100" t="e">
        <f>VLOOKUP(#REF!,ComponentTypes!$A$2:$B$7,2,FALSE)</f>
        <v>#REF!</v>
      </c>
      <c r="X277" s="70">
        <v>3923</v>
      </c>
      <c r="Y277" s="70" t="s">
        <v>272</v>
      </c>
      <c r="Z277" s="70" t="s">
        <v>1496</v>
      </c>
      <c r="AA277" s="70">
        <v>5</v>
      </c>
      <c r="AB277" s="67" t="s">
        <v>198</v>
      </c>
      <c r="AC277" s="69" t="s">
        <v>141</v>
      </c>
      <c r="AD277" s="69" t="s">
        <v>199</v>
      </c>
      <c r="AE277" s="101" t="s">
        <v>373</v>
      </c>
      <c r="AF277" s="423">
        <v>0</v>
      </c>
      <c r="AG277" s="423">
        <v>8</v>
      </c>
      <c r="AH277" s="423">
        <v>0.9</v>
      </c>
      <c r="AI277" s="103"/>
      <c r="AJ277" s="266"/>
      <c r="AK277" s="104"/>
    </row>
    <row r="278" spans="1:37" s="71" customFormat="1" ht="12.75" customHeight="1">
      <c r="A278" s="220"/>
      <c r="B278" s="69" t="s">
        <v>15</v>
      </c>
      <c r="C278" s="66">
        <v>2211</v>
      </c>
      <c r="D278" s="70"/>
      <c r="E278" s="70"/>
      <c r="F278" s="98" t="s">
        <v>201</v>
      </c>
      <c r="G278" s="98" t="s">
        <v>201</v>
      </c>
      <c r="H278" s="70" t="s">
        <v>201</v>
      </c>
      <c r="I278" s="70" t="s">
        <v>1543</v>
      </c>
      <c r="J278" s="70" t="s">
        <v>1544</v>
      </c>
      <c r="K278" s="70" t="s">
        <v>209</v>
      </c>
      <c r="L278" s="99" t="s">
        <v>1309</v>
      </c>
      <c r="M278" s="70"/>
      <c r="N278" s="70"/>
      <c r="O278" s="70"/>
      <c r="P278" s="70"/>
      <c r="Q278" s="70"/>
      <c r="R278" s="70"/>
      <c r="S278" s="70"/>
      <c r="T278" s="70"/>
      <c r="U278" s="405" t="s">
        <v>1545</v>
      </c>
      <c r="V278" s="70"/>
      <c r="W278" s="100"/>
      <c r="X278" s="70"/>
      <c r="Y278" s="70"/>
      <c r="Z278" s="70"/>
      <c r="AA278" s="70"/>
      <c r="AB278" s="70"/>
      <c r="AC278" s="70"/>
      <c r="AD278" s="69"/>
      <c r="AE278" s="101"/>
      <c r="AF278" s="423"/>
      <c r="AG278" s="423"/>
      <c r="AH278" s="423"/>
      <c r="AI278" s="103"/>
      <c r="AJ278" s="266"/>
      <c r="AK278" s="104"/>
    </row>
    <row r="279" spans="1:37" s="319" customFormat="1" ht="12.75" customHeight="1">
      <c r="A279" s="220"/>
      <c r="B279" s="69" t="s">
        <v>46</v>
      </c>
      <c r="C279" s="66">
        <v>2212</v>
      </c>
      <c r="D279" s="69" t="b">
        <v>1</v>
      </c>
      <c r="E279" s="70"/>
      <c r="F279" s="98" t="s">
        <v>1546</v>
      </c>
      <c r="G279" s="98" t="s">
        <v>1547</v>
      </c>
      <c r="H279" s="70" t="s">
        <v>1548</v>
      </c>
      <c r="I279" s="70" t="s">
        <v>1549</v>
      </c>
      <c r="J279" s="70" t="s">
        <v>1550</v>
      </c>
      <c r="K279" s="70" t="s">
        <v>209</v>
      </c>
      <c r="L279" s="99" t="s">
        <v>1309</v>
      </c>
      <c r="M279" s="70"/>
      <c r="N279" s="70"/>
      <c r="O279" s="70"/>
      <c r="P279" s="70"/>
      <c r="Q279" s="70"/>
      <c r="R279" s="70"/>
      <c r="S279" s="70"/>
      <c r="T279" s="70" t="s">
        <v>1310</v>
      </c>
      <c r="U279" s="405" t="s">
        <v>1551</v>
      </c>
      <c r="V279" s="69" t="s">
        <v>1552</v>
      </c>
      <c r="W279" s="100" t="e">
        <f>VLOOKUP(#REF!,ComponentTypes!$A$2:$B$7,2,FALSE)</f>
        <v>#REF!</v>
      </c>
      <c r="X279" s="70">
        <v>3923</v>
      </c>
      <c r="Y279" s="70" t="s">
        <v>272</v>
      </c>
      <c r="Z279" s="70" t="s">
        <v>1496</v>
      </c>
      <c r="AA279" s="70">
        <v>6</v>
      </c>
      <c r="AB279" s="67" t="s">
        <v>198</v>
      </c>
      <c r="AC279" s="69" t="s">
        <v>141</v>
      </c>
      <c r="AD279" s="69" t="s">
        <v>199</v>
      </c>
      <c r="AE279" s="101" t="s">
        <v>373</v>
      </c>
      <c r="AF279" s="423">
        <v>0</v>
      </c>
      <c r="AG279" s="423">
        <v>8</v>
      </c>
      <c r="AH279" s="423">
        <v>0.7</v>
      </c>
      <c r="AI279" s="103"/>
      <c r="AJ279" s="266"/>
      <c r="AK279" s="104"/>
    </row>
    <row r="280" spans="1:37" s="319" customFormat="1" ht="12.75" customHeight="1">
      <c r="A280" s="220"/>
      <c r="B280" s="69" t="s">
        <v>46</v>
      </c>
      <c r="C280" s="66">
        <v>2213</v>
      </c>
      <c r="D280" s="69" t="b">
        <v>1</v>
      </c>
      <c r="E280" s="70"/>
      <c r="F280" s="98" t="s">
        <v>1553</v>
      </c>
      <c r="G280" s="98" t="s">
        <v>1554</v>
      </c>
      <c r="H280" s="70" t="s">
        <v>1555</v>
      </c>
      <c r="I280" s="70" t="s">
        <v>1556</v>
      </c>
      <c r="J280" s="70" t="s">
        <v>1557</v>
      </c>
      <c r="K280" s="70" t="s">
        <v>209</v>
      </c>
      <c r="L280" s="99" t="s">
        <v>1309</v>
      </c>
      <c r="M280" s="70"/>
      <c r="N280" s="70"/>
      <c r="O280" s="70"/>
      <c r="P280" s="70"/>
      <c r="Q280" s="70"/>
      <c r="R280" s="70"/>
      <c r="S280" s="70"/>
      <c r="T280" s="70" t="s">
        <v>1310</v>
      </c>
      <c r="U280" s="405" t="s">
        <v>1558</v>
      </c>
      <c r="V280" s="69" t="s">
        <v>1559</v>
      </c>
      <c r="W280" s="100" t="e">
        <f>VLOOKUP(#REF!,ComponentTypes!$A$2:$B$7,2,FALSE)</f>
        <v>#REF!</v>
      </c>
      <c r="X280" s="70">
        <v>3923</v>
      </c>
      <c r="Y280" s="70" t="s">
        <v>272</v>
      </c>
      <c r="Z280" s="70" t="s">
        <v>1496</v>
      </c>
      <c r="AA280" s="70">
        <v>7</v>
      </c>
      <c r="AB280" s="67" t="s">
        <v>198</v>
      </c>
      <c r="AC280" s="69" t="s">
        <v>141</v>
      </c>
      <c r="AD280" s="69" t="s">
        <v>199</v>
      </c>
      <c r="AE280" s="101" t="s">
        <v>373</v>
      </c>
      <c r="AF280" s="423">
        <v>0</v>
      </c>
      <c r="AG280" s="423">
        <v>8</v>
      </c>
      <c r="AH280" s="423">
        <v>0.9</v>
      </c>
      <c r="AI280" s="103"/>
      <c r="AJ280" s="266"/>
      <c r="AK280" s="104"/>
    </row>
    <row r="281" spans="1:37" s="319" customFormat="1" ht="12.75" customHeight="1">
      <c r="A281" s="220"/>
      <c r="B281" s="69" t="s">
        <v>46</v>
      </c>
      <c r="C281" s="66">
        <v>2214</v>
      </c>
      <c r="D281" s="69" t="b">
        <v>1</v>
      </c>
      <c r="E281" s="70"/>
      <c r="F281" s="98" t="s">
        <v>1560</v>
      </c>
      <c r="G281" s="98" t="s">
        <v>1561</v>
      </c>
      <c r="H281" s="70" t="s">
        <v>1562</v>
      </c>
      <c r="I281" s="70" t="s">
        <v>1563</v>
      </c>
      <c r="J281" s="70" t="s">
        <v>1564</v>
      </c>
      <c r="K281" s="70" t="s">
        <v>166</v>
      </c>
      <c r="L281" s="99" t="s">
        <v>1309</v>
      </c>
      <c r="M281" s="70"/>
      <c r="N281" s="70"/>
      <c r="O281" s="70"/>
      <c r="P281" s="70"/>
      <c r="Q281" s="70"/>
      <c r="R281" s="70"/>
      <c r="S281" s="70"/>
      <c r="T281" s="70"/>
      <c r="U281" s="405" t="s">
        <v>1565</v>
      </c>
      <c r="V281" s="69" t="s">
        <v>1566</v>
      </c>
      <c r="W281" s="100" t="e">
        <f>VLOOKUP(#REF!,ComponentTypes!$A$2:$B$7,2,FALSE)</f>
        <v>#REF!</v>
      </c>
      <c r="X281" s="70">
        <v>3923</v>
      </c>
      <c r="Y281" s="70" t="s">
        <v>196</v>
      </c>
      <c r="Z281" s="70" t="s">
        <v>1496</v>
      </c>
      <c r="AA281" s="70">
        <v>8</v>
      </c>
      <c r="AB281" s="67" t="s">
        <v>198</v>
      </c>
      <c r="AC281" s="69" t="s">
        <v>141</v>
      </c>
      <c r="AD281" s="69" t="s">
        <v>392</v>
      </c>
      <c r="AE281" s="101" t="s">
        <v>428</v>
      </c>
      <c r="AF281" s="102">
        <v>1</v>
      </c>
      <c r="AG281" s="102">
        <v>10</v>
      </c>
      <c r="AH281" s="102">
        <v>3</v>
      </c>
      <c r="AI281" s="103"/>
      <c r="AJ281" s="266"/>
      <c r="AK281" s="104"/>
    </row>
    <row r="282" spans="1:37" s="319" customFormat="1" ht="12.75" customHeight="1">
      <c r="A282" s="220"/>
      <c r="B282" s="69" t="s">
        <v>46</v>
      </c>
      <c r="C282" s="66">
        <v>2215</v>
      </c>
      <c r="D282" s="69" t="b">
        <v>1</v>
      </c>
      <c r="E282" s="70"/>
      <c r="F282" s="98" t="s">
        <v>1567</v>
      </c>
      <c r="G282" s="98" t="s">
        <v>1568</v>
      </c>
      <c r="H282" s="70" t="s">
        <v>1569</v>
      </c>
      <c r="I282" s="70" t="s">
        <v>1570</v>
      </c>
      <c r="J282" s="70" t="s">
        <v>1571</v>
      </c>
      <c r="K282" s="70" t="s">
        <v>166</v>
      </c>
      <c r="L282" s="99" t="s">
        <v>1309</v>
      </c>
      <c r="M282" s="70"/>
      <c r="N282" s="70"/>
      <c r="O282" s="70"/>
      <c r="P282" s="70"/>
      <c r="Q282" s="70"/>
      <c r="R282" s="70"/>
      <c r="S282" s="70"/>
      <c r="T282" s="70"/>
      <c r="U282" s="405" t="s">
        <v>1572</v>
      </c>
      <c r="V282" s="69" t="s">
        <v>1573</v>
      </c>
      <c r="W282" s="100" t="e">
        <f>VLOOKUP(#REF!,ComponentTypes!$A$2:$B$7,2,FALSE)</f>
        <v>#REF!</v>
      </c>
      <c r="X282" s="70">
        <v>3923</v>
      </c>
      <c r="Y282" s="70" t="s">
        <v>196</v>
      </c>
      <c r="Z282" s="70" t="s">
        <v>1496</v>
      </c>
      <c r="AA282" s="70">
        <v>9</v>
      </c>
      <c r="AB282" s="67" t="s">
        <v>198</v>
      </c>
      <c r="AC282" s="69" t="s">
        <v>141</v>
      </c>
      <c r="AD282" s="69" t="s">
        <v>392</v>
      </c>
      <c r="AE282" s="101" t="s">
        <v>428</v>
      </c>
      <c r="AF282" s="102">
        <v>1</v>
      </c>
      <c r="AG282" s="102">
        <v>10</v>
      </c>
      <c r="AH282" s="102">
        <v>3</v>
      </c>
      <c r="AI282" s="103"/>
      <c r="AJ282" s="266"/>
      <c r="AK282" s="104"/>
    </row>
    <row r="283" spans="1:37" s="319" customFormat="1" ht="12.75" customHeight="1">
      <c r="A283" s="220"/>
      <c r="B283" s="69" t="s">
        <v>46</v>
      </c>
      <c r="C283" s="66">
        <v>2216</v>
      </c>
      <c r="D283" s="69" t="b">
        <v>1</v>
      </c>
      <c r="E283" s="70"/>
      <c r="F283" s="98" t="s">
        <v>1574</v>
      </c>
      <c r="G283" s="98" t="s">
        <v>1575</v>
      </c>
      <c r="H283" s="70" t="s">
        <v>1576</v>
      </c>
      <c r="I283" s="70" t="s">
        <v>1577</v>
      </c>
      <c r="J283" s="70" t="s">
        <v>1578</v>
      </c>
      <c r="K283" s="70" t="s">
        <v>166</v>
      </c>
      <c r="L283" s="99" t="s">
        <v>1309</v>
      </c>
      <c r="M283" s="70"/>
      <c r="N283" s="70"/>
      <c r="O283" s="70"/>
      <c r="P283" s="70"/>
      <c r="Q283" s="70"/>
      <c r="R283" s="70"/>
      <c r="S283" s="70"/>
      <c r="T283" s="70"/>
      <c r="U283" s="405" t="s">
        <v>1579</v>
      </c>
      <c r="V283" s="69" t="s">
        <v>1580</v>
      </c>
      <c r="W283" s="100" t="e">
        <f>VLOOKUP(#REF!,ComponentTypes!$A$2:$B$7,2,FALSE)</f>
        <v>#REF!</v>
      </c>
      <c r="X283" s="70">
        <v>3923</v>
      </c>
      <c r="Y283" s="70" t="s">
        <v>196</v>
      </c>
      <c r="Z283" s="70" t="s">
        <v>1496</v>
      </c>
      <c r="AA283" s="70">
        <v>10</v>
      </c>
      <c r="AB283" s="67" t="s">
        <v>198</v>
      </c>
      <c r="AC283" s="69" t="s">
        <v>141</v>
      </c>
      <c r="AD283" s="69" t="s">
        <v>392</v>
      </c>
      <c r="AE283" s="101" t="s">
        <v>428</v>
      </c>
      <c r="AF283" s="102">
        <v>1</v>
      </c>
      <c r="AG283" s="102">
        <v>10</v>
      </c>
      <c r="AH283" s="102">
        <v>3</v>
      </c>
      <c r="AI283" s="103"/>
      <c r="AJ283" s="266"/>
      <c r="AK283" s="104"/>
    </row>
    <row r="284" spans="1:37" s="71" customFormat="1" ht="12.75" customHeight="1">
      <c r="A284" s="220"/>
      <c r="B284" s="69" t="s">
        <v>15</v>
      </c>
      <c r="C284" s="66">
        <v>2217</v>
      </c>
      <c r="D284" s="70"/>
      <c r="E284" s="70"/>
      <c r="F284" s="98" t="s">
        <v>201</v>
      </c>
      <c r="G284" s="98" t="s">
        <v>201</v>
      </c>
      <c r="H284" s="70" t="s">
        <v>201</v>
      </c>
      <c r="I284" s="70" t="s">
        <v>1581</v>
      </c>
      <c r="J284" s="70" t="s">
        <v>1582</v>
      </c>
      <c r="K284" s="70" t="s">
        <v>166</v>
      </c>
      <c r="L284" s="99" t="s">
        <v>1309</v>
      </c>
      <c r="M284" s="70"/>
      <c r="N284" s="70"/>
      <c r="O284" s="70"/>
      <c r="P284" s="70"/>
      <c r="Q284" s="70"/>
      <c r="R284" s="70"/>
      <c r="S284" s="70"/>
      <c r="T284" s="70"/>
      <c r="U284" s="405" t="s">
        <v>1583</v>
      </c>
      <c r="V284" s="70"/>
      <c r="W284" s="100"/>
      <c r="X284" s="70"/>
      <c r="Y284" s="70"/>
      <c r="Z284" s="70"/>
      <c r="AA284" s="70"/>
      <c r="AB284" s="70"/>
      <c r="AC284" s="70"/>
      <c r="AD284" s="69"/>
      <c r="AE284" s="101"/>
      <c r="AF284" s="102"/>
      <c r="AG284" s="102"/>
      <c r="AH284" s="102"/>
      <c r="AI284" s="103"/>
      <c r="AJ284" s="266"/>
      <c r="AK284" s="104"/>
    </row>
    <row r="285" spans="1:37" s="319" customFormat="1" ht="12.75" customHeight="1">
      <c r="A285" s="220"/>
      <c r="B285" s="69" t="s">
        <v>68</v>
      </c>
      <c r="C285" s="66">
        <v>2218</v>
      </c>
      <c r="D285" s="69" t="b">
        <v>1</v>
      </c>
      <c r="E285" s="70"/>
      <c r="F285" s="98" t="s">
        <v>1584</v>
      </c>
      <c r="G285" s="98" t="s">
        <v>1585</v>
      </c>
      <c r="H285" s="70" t="s">
        <v>1586</v>
      </c>
      <c r="I285" s="70" t="s">
        <v>1587</v>
      </c>
      <c r="J285" s="70" t="s">
        <v>1588</v>
      </c>
      <c r="K285" s="70" t="s">
        <v>209</v>
      </c>
      <c r="L285" s="99" t="s">
        <v>1309</v>
      </c>
      <c r="M285" s="70"/>
      <c r="N285" s="70"/>
      <c r="O285" s="70"/>
      <c r="P285" s="70"/>
      <c r="Q285" s="70"/>
      <c r="R285" s="70"/>
      <c r="S285" s="70"/>
      <c r="T285" s="70" t="s">
        <v>1310</v>
      </c>
      <c r="U285" s="405" t="s">
        <v>1589</v>
      </c>
      <c r="V285" s="69" t="s">
        <v>1590</v>
      </c>
      <c r="W285" s="100" t="e">
        <f>VLOOKUP(#REF!,ComponentTypes!$A$2:$B$7,2,FALSE)</f>
        <v>#REF!</v>
      </c>
      <c r="X285" s="70">
        <v>3923</v>
      </c>
      <c r="Y285" s="70" t="s">
        <v>196</v>
      </c>
      <c r="Z285" s="70" t="s">
        <v>1496</v>
      </c>
      <c r="AA285" s="70">
        <v>11</v>
      </c>
      <c r="AB285" s="67" t="s">
        <v>198</v>
      </c>
      <c r="AC285" s="69" t="s">
        <v>141</v>
      </c>
      <c r="AD285" s="69" t="s">
        <v>1591</v>
      </c>
      <c r="AE285" s="101" t="s">
        <v>373</v>
      </c>
      <c r="AF285" s="423">
        <v>0</v>
      </c>
      <c r="AG285" s="423">
        <v>148</v>
      </c>
      <c r="AH285" s="423">
        <v>143.6</v>
      </c>
      <c r="AI285" s="103"/>
      <c r="AJ285" s="266"/>
      <c r="AK285" s="104"/>
    </row>
    <row r="286" spans="1:37" s="319" customFormat="1" ht="12.75" customHeight="1">
      <c r="A286" s="220"/>
      <c r="B286" s="69" t="s">
        <v>68</v>
      </c>
      <c r="C286" s="66">
        <v>2219</v>
      </c>
      <c r="D286" s="69" t="b">
        <v>1</v>
      </c>
      <c r="E286" s="70"/>
      <c r="F286" s="98" t="s">
        <v>1592</v>
      </c>
      <c r="G286" s="98" t="s">
        <v>1593</v>
      </c>
      <c r="H286" s="70" t="s">
        <v>1594</v>
      </c>
      <c r="I286" s="70" t="s">
        <v>1595</v>
      </c>
      <c r="J286" s="70" t="s">
        <v>1596</v>
      </c>
      <c r="K286" s="70" t="s">
        <v>209</v>
      </c>
      <c r="L286" s="99" t="s">
        <v>1309</v>
      </c>
      <c r="M286" s="70"/>
      <c r="N286" s="70"/>
      <c r="O286" s="70"/>
      <c r="P286" s="70"/>
      <c r="Q286" s="70"/>
      <c r="R286" s="70"/>
      <c r="S286" s="70"/>
      <c r="T286" s="70" t="s">
        <v>1310</v>
      </c>
      <c r="U286" s="405" t="s">
        <v>1597</v>
      </c>
      <c r="V286" s="69" t="s">
        <v>1598</v>
      </c>
      <c r="W286" s="100" t="e">
        <f>VLOOKUP(#REF!,ComponentTypes!$A$2:$B$7,2,FALSE)</f>
        <v>#REF!</v>
      </c>
      <c r="X286" s="70">
        <v>3923</v>
      </c>
      <c r="Y286" s="70" t="s">
        <v>196</v>
      </c>
      <c r="Z286" s="70" t="s">
        <v>1496</v>
      </c>
      <c r="AA286" s="70">
        <v>12</v>
      </c>
      <c r="AB286" s="67" t="s">
        <v>198</v>
      </c>
      <c r="AC286" s="69" t="s">
        <v>141</v>
      </c>
      <c r="AD286" s="69" t="s">
        <v>1591</v>
      </c>
      <c r="AE286" s="101" t="s">
        <v>420</v>
      </c>
      <c r="AF286" s="423">
        <v>0</v>
      </c>
      <c r="AG286" s="423">
        <v>155</v>
      </c>
      <c r="AH286" s="423">
        <v>123</v>
      </c>
      <c r="AI286" s="103"/>
      <c r="AJ286" s="266"/>
      <c r="AK286" s="104"/>
    </row>
    <row r="287" spans="1:37" s="319" customFormat="1" ht="12.75" customHeight="1">
      <c r="A287" s="220"/>
      <c r="B287" s="69" t="s">
        <v>68</v>
      </c>
      <c r="C287" s="66">
        <v>2220</v>
      </c>
      <c r="D287" s="69" t="b">
        <v>1</v>
      </c>
      <c r="E287" s="70"/>
      <c r="F287" s="98" t="s">
        <v>1599</v>
      </c>
      <c r="G287" s="98" t="s">
        <v>1600</v>
      </c>
      <c r="H287" s="70" t="s">
        <v>1601</v>
      </c>
      <c r="I287" s="70" t="s">
        <v>1602</v>
      </c>
      <c r="J287" s="70" t="s">
        <v>1603</v>
      </c>
      <c r="K287" s="70" t="s">
        <v>209</v>
      </c>
      <c r="L287" s="99" t="s">
        <v>1309</v>
      </c>
      <c r="M287" s="70"/>
      <c r="N287" s="70"/>
      <c r="O287" s="70"/>
      <c r="P287" s="70"/>
      <c r="Q287" s="70"/>
      <c r="R287" s="70"/>
      <c r="S287" s="70"/>
      <c r="T287" s="70" t="s">
        <v>1310</v>
      </c>
      <c r="U287" s="405" t="s">
        <v>1604</v>
      </c>
      <c r="V287" s="69" t="s">
        <v>1605</v>
      </c>
      <c r="W287" s="100" t="e">
        <f>VLOOKUP(#REF!,ComponentTypes!$A$2:$B$7,2,FALSE)</f>
        <v>#REF!</v>
      </c>
      <c r="X287" s="70">
        <v>3923</v>
      </c>
      <c r="Y287" s="70" t="s">
        <v>196</v>
      </c>
      <c r="Z287" s="70" t="s">
        <v>1496</v>
      </c>
      <c r="AA287" s="70">
        <v>13</v>
      </c>
      <c r="AB287" s="67" t="s">
        <v>198</v>
      </c>
      <c r="AC287" s="69" t="s">
        <v>141</v>
      </c>
      <c r="AD287" s="69" t="s">
        <v>1591</v>
      </c>
      <c r="AE287" s="101" t="s">
        <v>420</v>
      </c>
      <c r="AF287" s="423">
        <v>0</v>
      </c>
      <c r="AG287" s="423">
        <v>155</v>
      </c>
      <c r="AH287" s="423">
        <v>117.2</v>
      </c>
      <c r="AI287" s="103"/>
      <c r="AJ287" s="266"/>
      <c r="AK287" s="104"/>
    </row>
    <row r="288" spans="1:37" s="71" customFormat="1" ht="12.75" customHeight="1">
      <c r="A288" s="220"/>
      <c r="B288" s="69" t="s">
        <v>15</v>
      </c>
      <c r="C288" s="66">
        <v>2221</v>
      </c>
      <c r="D288" s="70"/>
      <c r="E288" s="70"/>
      <c r="F288" s="98" t="s">
        <v>201</v>
      </c>
      <c r="G288" s="98" t="s">
        <v>201</v>
      </c>
      <c r="H288" s="70" t="s">
        <v>201</v>
      </c>
      <c r="I288" s="70" t="s">
        <v>1606</v>
      </c>
      <c r="J288" s="70" t="s">
        <v>1607</v>
      </c>
      <c r="K288" s="70"/>
      <c r="L288" s="99" t="s">
        <v>1309</v>
      </c>
      <c r="M288" s="70"/>
      <c r="N288" s="70"/>
      <c r="O288" s="70"/>
      <c r="P288" s="70"/>
      <c r="Q288" s="70"/>
      <c r="R288" s="70"/>
      <c r="S288" s="70"/>
      <c r="T288" s="70"/>
      <c r="U288" s="405" t="s">
        <v>1608</v>
      </c>
      <c r="V288" s="70"/>
      <c r="W288" s="100"/>
      <c r="X288" s="70"/>
      <c r="Y288" s="70"/>
      <c r="Z288" s="70"/>
      <c r="AA288" s="70"/>
      <c r="AB288" s="70"/>
      <c r="AC288" s="70"/>
      <c r="AD288" s="69"/>
      <c r="AE288" s="101"/>
      <c r="AF288" s="102"/>
      <c r="AG288" s="102"/>
      <c r="AH288" s="102"/>
      <c r="AI288" s="103"/>
      <c r="AJ288" s="266"/>
      <c r="AK288" s="104"/>
    </row>
    <row r="289" spans="1:37" s="71" customFormat="1" ht="12.75" customHeight="1">
      <c r="A289" s="220"/>
      <c r="B289" s="69" t="s">
        <v>53</v>
      </c>
      <c r="C289" s="66">
        <v>2300</v>
      </c>
      <c r="D289" s="69" t="b">
        <v>1</v>
      </c>
      <c r="E289" s="70"/>
      <c r="F289" s="98" t="s">
        <v>1609</v>
      </c>
      <c r="G289" s="98" t="s">
        <v>1610</v>
      </c>
      <c r="H289" s="70" t="s">
        <v>1611</v>
      </c>
      <c r="I289" s="70" t="s">
        <v>1612</v>
      </c>
      <c r="J289" s="70" t="s">
        <v>1613</v>
      </c>
      <c r="K289" s="70" t="s">
        <v>321</v>
      </c>
      <c r="L289" s="99" t="s">
        <v>1309</v>
      </c>
      <c r="M289" s="70"/>
      <c r="N289" s="70"/>
      <c r="O289" s="70"/>
      <c r="P289" s="70"/>
      <c r="Q289" s="70"/>
      <c r="R289" s="70"/>
      <c r="S289" s="70"/>
      <c r="T289" s="70" t="s">
        <v>1310</v>
      </c>
      <c r="U289" s="405" t="s">
        <v>1614</v>
      </c>
      <c r="V289" s="69" t="s">
        <v>1615</v>
      </c>
      <c r="W289" s="100" t="e">
        <f>VLOOKUP(#REF!,ComponentTypes!$A$2:$B$7,2,FALSE)</f>
        <v>#REF!</v>
      </c>
      <c r="X289" s="70">
        <v>3923</v>
      </c>
      <c r="Y289" s="70" t="s">
        <v>196</v>
      </c>
      <c r="Z289" s="70" t="s">
        <v>1616</v>
      </c>
      <c r="AA289" s="70">
        <v>1</v>
      </c>
      <c r="AB289" s="67" t="s">
        <v>198</v>
      </c>
      <c r="AC289" s="69" t="s">
        <v>141</v>
      </c>
      <c r="AD289" s="69" t="s">
        <v>392</v>
      </c>
      <c r="AE289" s="101"/>
      <c r="AF289" s="102">
        <v>0</v>
      </c>
      <c r="AG289" s="102">
        <v>1</v>
      </c>
      <c r="AH289" s="102">
        <v>1</v>
      </c>
      <c r="AI289" s="103"/>
      <c r="AJ289" s="266"/>
      <c r="AK289" s="104"/>
    </row>
    <row r="290" spans="1:37" s="71" customFormat="1" ht="12.75" customHeight="1">
      <c r="A290" s="220"/>
      <c r="B290" s="69" t="s">
        <v>53</v>
      </c>
      <c r="C290" s="66">
        <v>2301</v>
      </c>
      <c r="D290" s="69" t="b">
        <v>1</v>
      </c>
      <c r="E290" s="70"/>
      <c r="F290" s="98" t="s">
        <v>1617</v>
      </c>
      <c r="G290" s="98" t="s">
        <v>1618</v>
      </c>
      <c r="H290" s="70" t="s">
        <v>1619</v>
      </c>
      <c r="I290" s="70" t="s">
        <v>1620</v>
      </c>
      <c r="J290" s="70" t="s">
        <v>1621</v>
      </c>
      <c r="K290" s="70" t="s">
        <v>321</v>
      </c>
      <c r="L290" s="99" t="s">
        <v>1309</v>
      </c>
      <c r="M290" s="70"/>
      <c r="N290" s="70"/>
      <c r="O290" s="70"/>
      <c r="P290" s="70"/>
      <c r="Q290" s="70"/>
      <c r="R290" s="70"/>
      <c r="S290" s="70"/>
      <c r="T290" s="70" t="s">
        <v>1310</v>
      </c>
      <c r="U290" s="405" t="s">
        <v>1622</v>
      </c>
      <c r="V290" s="69" t="s">
        <v>1623</v>
      </c>
      <c r="W290" s="100" t="e">
        <f>VLOOKUP(#REF!,ComponentTypes!$A$2:$B$7,2,FALSE)</f>
        <v>#REF!</v>
      </c>
      <c r="X290" s="70">
        <v>3923</v>
      </c>
      <c r="Y290" s="70" t="s">
        <v>196</v>
      </c>
      <c r="Z290" s="70" t="s">
        <v>1616</v>
      </c>
      <c r="AA290" s="70">
        <v>2</v>
      </c>
      <c r="AB290" s="67" t="s">
        <v>198</v>
      </c>
      <c r="AC290" s="69" t="s">
        <v>141</v>
      </c>
      <c r="AD290" s="69" t="s">
        <v>392</v>
      </c>
      <c r="AE290" s="101"/>
      <c r="AF290" s="102">
        <v>0</v>
      </c>
      <c r="AG290" s="102">
        <v>1</v>
      </c>
      <c r="AH290" s="102">
        <v>1</v>
      </c>
      <c r="AI290" s="103"/>
      <c r="AJ290" s="266"/>
      <c r="AK290" s="104"/>
    </row>
    <row r="291" spans="1:37" s="71" customFormat="1" ht="12.75" customHeight="1">
      <c r="A291" s="220"/>
      <c r="B291" s="69" t="s">
        <v>53</v>
      </c>
      <c r="C291" s="66">
        <v>2302</v>
      </c>
      <c r="D291" s="69" t="b">
        <v>1</v>
      </c>
      <c r="E291" s="70"/>
      <c r="F291" s="98" t="s">
        <v>1624</v>
      </c>
      <c r="G291" s="98" t="s">
        <v>1625</v>
      </c>
      <c r="H291" s="70" t="s">
        <v>1626</v>
      </c>
      <c r="I291" s="70" t="s">
        <v>1627</v>
      </c>
      <c r="J291" s="70" t="s">
        <v>1628</v>
      </c>
      <c r="K291" s="70" t="s">
        <v>321</v>
      </c>
      <c r="L291" s="99" t="s">
        <v>1309</v>
      </c>
      <c r="M291" s="70"/>
      <c r="N291" s="70"/>
      <c r="O291" s="70"/>
      <c r="P291" s="70"/>
      <c r="Q291" s="70"/>
      <c r="R291" s="70"/>
      <c r="S291" s="70"/>
      <c r="T291" s="70" t="s">
        <v>1310</v>
      </c>
      <c r="U291" s="405" t="s">
        <v>1629</v>
      </c>
      <c r="V291" s="69" t="s">
        <v>1630</v>
      </c>
      <c r="W291" s="100" t="e">
        <f>VLOOKUP(#REF!,ComponentTypes!$A$2:$B$7,2,FALSE)</f>
        <v>#REF!</v>
      </c>
      <c r="X291" s="70">
        <v>3923</v>
      </c>
      <c r="Y291" s="70" t="s">
        <v>272</v>
      </c>
      <c r="Z291" s="70" t="s">
        <v>1616</v>
      </c>
      <c r="AA291" s="70">
        <v>3</v>
      </c>
      <c r="AB291" s="67" t="s">
        <v>198</v>
      </c>
      <c r="AC291" s="69" t="s">
        <v>141</v>
      </c>
      <c r="AD291" s="69" t="s">
        <v>199</v>
      </c>
      <c r="AE291" s="101"/>
      <c r="AF291" s="102">
        <v>0</v>
      </c>
      <c r="AG291" s="102">
        <v>1</v>
      </c>
      <c r="AH291" s="102">
        <v>1</v>
      </c>
      <c r="AI291" s="103"/>
      <c r="AJ291" s="266"/>
      <c r="AK291" s="104"/>
    </row>
    <row r="292" spans="1:37" s="71" customFormat="1" ht="12.75" customHeight="1">
      <c r="A292" s="220"/>
      <c r="B292" s="69" t="s">
        <v>53</v>
      </c>
      <c r="C292" s="66">
        <v>2303</v>
      </c>
      <c r="D292" s="69" t="b">
        <v>1</v>
      </c>
      <c r="E292" s="70"/>
      <c r="F292" s="98" t="s">
        <v>1631</v>
      </c>
      <c r="G292" s="98" t="s">
        <v>1632</v>
      </c>
      <c r="H292" s="70" t="s">
        <v>1633</v>
      </c>
      <c r="I292" s="70" t="s">
        <v>1634</v>
      </c>
      <c r="J292" s="70" t="s">
        <v>1635</v>
      </c>
      <c r="K292" s="70" t="s">
        <v>321</v>
      </c>
      <c r="L292" s="99" t="s">
        <v>1309</v>
      </c>
      <c r="M292" s="70"/>
      <c r="N292" s="70"/>
      <c r="O292" s="70"/>
      <c r="P292" s="70"/>
      <c r="Q292" s="70"/>
      <c r="R292" s="70"/>
      <c r="S292" s="70"/>
      <c r="T292" s="70" t="s">
        <v>1310</v>
      </c>
      <c r="U292" s="405" t="s">
        <v>1636</v>
      </c>
      <c r="V292" s="69" t="s">
        <v>1637</v>
      </c>
      <c r="W292" s="100" t="e">
        <f>VLOOKUP(#REF!,ComponentTypes!$A$2:$B$7,2,FALSE)</f>
        <v>#REF!</v>
      </c>
      <c r="X292" s="70">
        <v>3923</v>
      </c>
      <c r="Y292" s="70" t="s">
        <v>196</v>
      </c>
      <c r="Z292" s="70" t="s">
        <v>1616</v>
      </c>
      <c r="AA292" s="70">
        <v>4</v>
      </c>
      <c r="AB292" s="67" t="s">
        <v>198</v>
      </c>
      <c r="AC292" s="69" t="s">
        <v>141</v>
      </c>
      <c r="AD292" s="69" t="s">
        <v>392</v>
      </c>
      <c r="AE292" s="101"/>
      <c r="AF292" s="102">
        <v>0</v>
      </c>
      <c r="AG292" s="102">
        <v>1</v>
      </c>
      <c r="AH292" s="102">
        <v>1</v>
      </c>
      <c r="AI292" s="103"/>
      <c r="AJ292" s="266"/>
      <c r="AK292" s="104"/>
    </row>
    <row r="293" spans="1:37" s="71" customFormat="1" ht="12.75" customHeight="1">
      <c r="A293" s="220"/>
      <c r="B293" s="69" t="s">
        <v>53</v>
      </c>
      <c r="C293" s="66">
        <v>2304</v>
      </c>
      <c r="D293" s="69" t="b">
        <v>1</v>
      </c>
      <c r="E293" s="70"/>
      <c r="F293" s="98" t="s">
        <v>1638</v>
      </c>
      <c r="G293" s="98" t="s">
        <v>1639</v>
      </c>
      <c r="H293" s="70" t="s">
        <v>1640</v>
      </c>
      <c r="I293" s="70" t="s">
        <v>1641</v>
      </c>
      <c r="J293" s="70" t="s">
        <v>1642</v>
      </c>
      <c r="K293" s="70" t="s">
        <v>321</v>
      </c>
      <c r="L293" s="99" t="s">
        <v>1309</v>
      </c>
      <c r="M293" s="70"/>
      <c r="N293" s="70"/>
      <c r="O293" s="70"/>
      <c r="P293" s="70"/>
      <c r="Q293" s="70"/>
      <c r="R293" s="70"/>
      <c r="S293" s="70"/>
      <c r="T293" s="70" t="s">
        <v>1310</v>
      </c>
      <c r="U293" s="405" t="s">
        <v>1643</v>
      </c>
      <c r="V293" s="69" t="s">
        <v>1644</v>
      </c>
      <c r="W293" s="100" t="e">
        <f>VLOOKUP(#REF!,ComponentTypes!$A$2:$B$7,2,FALSE)</f>
        <v>#REF!</v>
      </c>
      <c r="X293" s="70">
        <v>3923</v>
      </c>
      <c r="Y293" s="70" t="s">
        <v>196</v>
      </c>
      <c r="Z293" s="70" t="s">
        <v>1616</v>
      </c>
      <c r="AA293" s="70">
        <v>5</v>
      </c>
      <c r="AB293" s="67" t="s">
        <v>198</v>
      </c>
      <c r="AC293" s="69" t="s">
        <v>141</v>
      </c>
      <c r="AD293" s="69" t="s">
        <v>392</v>
      </c>
      <c r="AE293" s="101"/>
      <c r="AF293" s="102">
        <v>0</v>
      </c>
      <c r="AG293" s="102">
        <v>1</v>
      </c>
      <c r="AH293" s="102">
        <v>1</v>
      </c>
      <c r="AI293" s="103"/>
      <c r="AJ293" s="266"/>
      <c r="AK293" s="104"/>
    </row>
    <row r="294" spans="1:37" s="71" customFormat="1" ht="12.75" customHeight="1">
      <c r="A294" s="220"/>
      <c r="B294" s="69" t="s">
        <v>15</v>
      </c>
      <c r="C294" s="66">
        <v>2305</v>
      </c>
      <c r="D294" s="70"/>
      <c r="E294" s="70"/>
      <c r="F294" s="98" t="s">
        <v>201</v>
      </c>
      <c r="G294" s="98" t="s">
        <v>201</v>
      </c>
      <c r="H294" s="70" t="s">
        <v>201</v>
      </c>
      <c r="I294" s="70" t="s">
        <v>1645</v>
      </c>
      <c r="J294" s="70" t="s">
        <v>1646</v>
      </c>
      <c r="K294" s="70" t="s">
        <v>321</v>
      </c>
      <c r="L294" s="99" t="s">
        <v>1309</v>
      </c>
      <c r="M294" s="70"/>
      <c r="N294" s="70"/>
      <c r="O294" s="70"/>
      <c r="P294" s="70"/>
      <c r="Q294" s="70"/>
      <c r="R294" s="70"/>
      <c r="S294" s="70"/>
      <c r="T294" s="70"/>
      <c r="U294" s="405" t="s">
        <v>1647</v>
      </c>
      <c r="V294" s="70"/>
      <c r="W294" s="100"/>
      <c r="X294" s="70"/>
      <c r="Y294" s="70"/>
      <c r="Z294" s="70"/>
      <c r="AA294" s="70"/>
      <c r="AB294" s="70"/>
      <c r="AC294" s="70"/>
      <c r="AD294" s="69"/>
      <c r="AE294" s="101"/>
      <c r="AF294" s="102"/>
      <c r="AG294" s="102"/>
      <c r="AH294" s="102"/>
      <c r="AI294" s="103"/>
      <c r="AJ294" s="266"/>
      <c r="AK294" s="104"/>
    </row>
    <row r="295" spans="1:37" s="71" customFormat="1" ht="12.75" customHeight="1">
      <c r="A295" s="220"/>
      <c r="B295" s="69" t="s">
        <v>15</v>
      </c>
      <c r="C295" s="66">
        <v>2306</v>
      </c>
      <c r="D295" s="70"/>
      <c r="E295" s="70"/>
      <c r="F295" s="98" t="s">
        <v>201</v>
      </c>
      <c r="G295" s="98" t="s">
        <v>201</v>
      </c>
      <c r="H295" s="70" t="s">
        <v>201</v>
      </c>
      <c r="I295" s="70" t="s">
        <v>1648</v>
      </c>
      <c r="J295" s="70" t="s">
        <v>1649</v>
      </c>
      <c r="K295" s="70" t="s">
        <v>321</v>
      </c>
      <c r="L295" s="99" t="s">
        <v>1309</v>
      </c>
      <c r="M295" s="70"/>
      <c r="N295" s="70"/>
      <c r="O295" s="70"/>
      <c r="P295" s="70"/>
      <c r="Q295" s="70"/>
      <c r="R295" s="70"/>
      <c r="S295" s="70"/>
      <c r="T295" s="70"/>
      <c r="U295" s="405" t="s">
        <v>1650</v>
      </c>
      <c r="V295" s="70"/>
      <c r="W295" s="100"/>
      <c r="X295" s="70"/>
      <c r="Y295" s="70"/>
      <c r="Z295" s="70"/>
      <c r="AA295" s="70"/>
      <c r="AB295" s="70"/>
      <c r="AC295" s="70"/>
      <c r="AD295" s="69"/>
      <c r="AE295" s="101"/>
      <c r="AF295" s="102"/>
      <c r="AG295" s="102"/>
      <c r="AH295" s="102"/>
      <c r="AI295" s="103"/>
      <c r="AJ295" s="266"/>
      <c r="AK295" s="104"/>
    </row>
    <row r="296" spans="1:37" s="71" customFormat="1" ht="12.75" customHeight="1">
      <c r="A296" s="220"/>
      <c r="B296" s="69" t="s">
        <v>15</v>
      </c>
      <c r="C296" s="66">
        <v>2307</v>
      </c>
      <c r="D296" s="70"/>
      <c r="E296" s="70"/>
      <c r="F296" s="98" t="s">
        <v>201</v>
      </c>
      <c r="G296" s="98" t="s">
        <v>201</v>
      </c>
      <c r="H296" s="70" t="s">
        <v>201</v>
      </c>
      <c r="I296" s="70" t="s">
        <v>1651</v>
      </c>
      <c r="J296" s="70" t="s">
        <v>1652</v>
      </c>
      <c r="K296" s="70" t="s">
        <v>321</v>
      </c>
      <c r="L296" s="99" t="s">
        <v>1309</v>
      </c>
      <c r="M296" s="70"/>
      <c r="N296" s="70"/>
      <c r="O296" s="70"/>
      <c r="P296" s="70"/>
      <c r="Q296" s="70"/>
      <c r="R296" s="70"/>
      <c r="S296" s="70"/>
      <c r="T296" s="70"/>
      <c r="U296" s="405" t="s">
        <v>1653</v>
      </c>
      <c r="V296" s="70"/>
      <c r="W296" s="100"/>
      <c r="X296" s="70"/>
      <c r="Y296" s="70"/>
      <c r="Z296" s="70"/>
      <c r="AA296" s="70"/>
      <c r="AB296" s="70"/>
      <c r="AC296" s="70"/>
      <c r="AD296" s="69"/>
      <c r="AE296" s="101"/>
      <c r="AF296" s="102"/>
      <c r="AG296" s="102"/>
      <c r="AH296" s="102"/>
      <c r="AI296" s="103"/>
      <c r="AJ296" s="266"/>
      <c r="AK296" s="104"/>
    </row>
    <row r="297" spans="1:37" s="319" customFormat="1" ht="12.75" customHeight="1">
      <c r="A297" s="220"/>
      <c r="B297" s="69" t="s">
        <v>46</v>
      </c>
      <c r="C297" s="66">
        <v>2308</v>
      </c>
      <c r="D297" s="69" t="b">
        <v>1</v>
      </c>
      <c r="E297" s="70"/>
      <c r="F297" s="98" t="s">
        <v>1654</v>
      </c>
      <c r="G297" s="98" t="s">
        <v>1655</v>
      </c>
      <c r="H297" s="70" t="s">
        <v>1656</v>
      </c>
      <c r="I297" s="70" t="s">
        <v>1657</v>
      </c>
      <c r="J297" s="70" t="s">
        <v>1658</v>
      </c>
      <c r="K297" s="70" t="s">
        <v>209</v>
      </c>
      <c r="L297" s="99" t="s">
        <v>1309</v>
      </c>
      <c r="M297" s="70"/>
      <c r="N297" s="70"/>
      <c r="O297" s="70"/>
      <c r="P297" s="70"/>
      <c r="Q297" s="70"/>
      <c r="R297" s="70"/>
      <c r="S297" s="70"/>
      <c r="T297" s="70" t="s">
        <v>1310</v>
      </c>
      <c r="U297" s="405" t="s">
        <v>1659</v>
      </c>
      <c r="V297" s="69" t="s">
        <v>1660</v>
      </c>
      <c r="W297" s="100" t="e">
        <f>VLOOKUP(#REF!,ComponentTypes!$A$2:$B$7,2,FALSE)</f>
        <v>#REF!</v>
      </c>
      <c r="X297" s="70">
        <v>3923</v>
      </c>
      <c r="Y297" s="70" t="s">
        <v>196</v>
      </c>
      <c r="Z297" s="70" t="s">
        <v>1616</v>
      </c>
      <c r="AA297" s="70">
        <v>6</v>
      </c>
      <c r="AB297" s="67" t="s">
        <v>198</v>
      </c>
      <c r="AC297" s="69" t="s">
        <v>141</v>
      </c>
      <c r="AD297" s="69" t="s">
        <v>392</v>
      </c>
      <c r="AE297" s="101" t="s">
        <v>373</v>
      </c>
      <c r="AF297" s="423">
        <v>294</v>
      </c>
      <c r="AG297" s="423">
        <v>407</v>
      </c>
      <c r="AH297" s="423">
        <v>350</v>
      </c>
      <c r="AI297" s="103"/>
      <c r="AJ297" s="266"/>
      <c r="AK297" s="104"/>
    </row>
    <row r="298" spans="1:37" s="71" customFormat="1" ht="12.75" customHeight="1">
      <c r="A298" s="220"/>
      <c r="B298" s="69" t="s">
        <v>53</v>
      </c>
      <c r="C298" s="66">
        <v>2309</v>
      </c>
      <c r="D298" s="69" t="b">
        <v>1</v>
      </c>
      <c r="E298" s="70"/>
      <c r="F298" s="98" t="s">
        <v>1661</v>
      </c>
      <c r="G298" s="98" t="s">
        <v>1662</v>
      </c>
      <c r="H298" s="70" t="s">
        <v>1663</v>
      </c>
      <c r="I298" s="70" t="s">
        <v>1664</v>
      </c>
      <c r="J298" s="70" t="s">
        <v>1665</v>
      </c>
      <c r="K298" s="70" t="s">
        <v>209</v>
      </c>
      <c r="L298" s="99" t="s">
        <v>1309</v>
      </c>
      <c r="M298" s="70"/>
      <c r="N298" s="70"/>
      <c r="O298" s="70"/>
      <c r="P298" s="70"/>
      <c r="Q298" s="70"/>
      <c r="R298" s="70"/>
      <c r="S298" s="70"/>
      <c r="T298" s="70" t="s">
        <v>1310</v>
      </c>
      <c r="U298" s="405" t="s">
        <v>1666</v>
      </c>
      <c r="V298" s="69" t="s">
        <v>1667</v>
      </c>
      <c r="W298" s="100" t="e">
        <f>VLOOKUP(#REF!,ComponentTypes!$A$2:$B$7,2,FALSE)</f>
        <v>#REF!</v>
      </c>
      <c r="X298" s="70">
        <v>3923</v>
      </c>
      <c r="Y298" s="70" t="s">
        <v>196</v>
      </c>
      <c r="Z298" s="70" t="s">
        <v>1616</v>
      </c>
      <c r="AA298" s="70">
        <v>7</v>
      </c>
      <c r="AB298" s="67" t="s">
        <v>198</v>
      </c>
      <c r="AC298" s="69" t="s">
        <v>141</v>
      </c>
      <c r="AD298" s="69" t="s">
        <v>392</v>
      </c>
      <c r="AE298" s="101" t="s">
        <v>373</v>
      </c>
      <c r="AF298" s="423">
        <v>414.5</v>
      </c>
      <c r="AG298" s="423">
        <v>604.5</v>
      </c>
      <c r="AH298" s="423">
        <v>500</v>
      </c>
      <c r="AI298" s="103"/>
      <c r="AJ298" s="266"/>
      <c r="AK298" s="104"/>
    </row>
    <row r="299" spans="1:37" s="319" customFormat="1" ht="12.75" customHeight="1">
      <c r="A299" s="220"/>
      <c r="B299" s="69" t="s">
        <v>46</v>
      </c>
      <c r="C299" s="66">
        <v>2310</v>
      </c>
      <c r="D299" s="69" t="b">
        <v>1</v>
      </c>
      <c r="E299" s="70"/>
      <c r="F299" s="98" t="s">
        <v>1668</v>
      </c>
      <c r="G299" s="98" t="s">
        <v>1669</v>
      </c>
      <c r="H299" s="70" t="s">
        <v>1670</v>
      </c>
      <c r="I299" s="70" t="s">
        <v>1671</v>
      </c>
      <c r="J299" s="70" t="s">
        <v>1672</v>
      </c>
      <c r="K299" s="70" t="s">
        <v>209</v>
      </c>
      <c r="L299" s="99" t="s">
        <v>1309</v>
      </c>
      <c r="M299" s="70"/>
      <c r="N299" s="70"/>
      <c r="O299" s="70"/>
      <c r="P299" s="70"/>
      <c r="Q299" s="70"/>
      <c r="R299" s="70"/>
      <c r="S299" s="70"/>
      <c r="T299" s="70"/>
      <c r="U299" s="405" t="s">
        <v>1673</v>
      </c>
      <c r="V299" s="69" t="s">
        <v>1674</v>
      </c>
      <c r="W299" s="100" t="e">
        <f>VLOOKUP(#REF!,ComponentTypes!$A$2:$B$7,2,FALSE)</f>
        <v>#REF!</v>
      </c>
      <c r="X299" s="70">
        <v>3923</v>
      </c>
      <c r="Y299" s="70" t="s">
        <v>272</v>
      </c>
      <c r="Z299" s="70" t="s">
        <v>1616</v>
      </c>
      <c r="AA299" s="70">
        <v>8</v>
      </c>
      <c r="AB299" s="67" t="s">
        <v>198</v>
      </c>
      <c r="AC299" s="69" t="s">
        <v>141</v>
      </c>
      <c r="AD299" s="69" t="s">
        <v>199</v>
      </c>
      <c r="AE299" s="101" t="s">
        <v>1675</v>
      </c>
      <c r="AF299" s="423">
        <v>2.5</v>
      </c>
      <c r="AG299" s="423">
        <v>6</v>
      </c>
      <c r="AH299" s="423">
        <v>3.5</v>
      </c>
      <c r="AI299" s="103"/>
      <c r="AJ299" s="266"/>
      <c r="AK299" s="104"/>
    </row>
    <row r="300" spans="1:37" s="319" customFormat="1" ht="12.75" customHeight="1">
      <c r="A300" s="220"/>
      <c r="B300" s="69" t="s">
        <v>46</v>
      </c>
      <c r="C300" s="66">
        <v>2311</v>
      </c>
      <c r="D300" s="69" t="b">
        <v>1</v>
      </c>
      <c r="E300" s="70"/>
      <c r="F300" s="98" t="s">
        <v>1676</v>
      </c>
      <c r="G300" s="98" t="s">
        <v>1677</v>
      </c>
      <c r="H300" s="70" t="s">
        <v>1678</v>
      </c>
      <c r="I300" s="70" t="s">
        <v>1679</v>
      </c>
      <c r="J300" s="70" t="s">
        <v>1680</v>
      </c>
      <c r="K300" s="70" t="s">
        <v>209</v>
      </c>
      <c r="L300" s="99" t="s">
        <v>1309</v>
      </c>
      <c r="M300" s="70"/>
      <c r="N300" s="70"/>
      <c r="O300" s="70"/>
      <c r="P300" s="70"/>
      <c r="Q300" s="70"/>
      <c r="R300" s="70"/>
      <c r="S300" s="70"/>
      <c r="T300" s="70" t="s">
        <v>1310</v>
      </c>
      <c r="U300" s="405" t="s">
        <v>1681</v>
      </c>
      <c r="V300" s="69" t="s">
        <v>1682</v>
      </c>
      <c r="W300" s="100" t="e">
        <f>VLOOKUP(#REF!,ComponentTypes!$A$2:$B$7,2,FALSE)</f>
        <v>#REF!</v>
      </c>
      <c r="X300" s="70">
        <v>3923</v>
      </c>
      <c r="Y300" s="70" t="s">
        <v>196</v>
      </c>
      <c r="Z300" s="70" t="s">
        <v>1616</v>
      </c>
      <c r="AA300" s="70">
        <v>9</v>
      </c>
      <c r="AB300" s="67" t="s">
        <v>198</v>
      </c>
      <c r="AC300" s="69" t="s">
        <v>141</v>
      </c>
      <c r="AD300" s="69" t="s">
        <v>392</v>
      </c>
      <c r="AE300" s="101" t="s">
        <v>1675</v>
      </c>
      <c r="AF300" s="423">
        <v>2.5</v>
      </c>
      <c r="AG300" s="423">
        <v>6</v>
      </c>
      <c r="AH300" s="423">
        <v>4</v>
      </c>
      <c r="AI300" s="103"/>
      <c r="AJ300" s="266"/>
      <c r="AK300" s="104"/>
    </row>
    <row r="301" spans="1:37" s="319" customFormat="1" ht="12.75" customHeight="1">
      <c r="A301" s="220"/>
      <c r="B301" s="69" t="s">
        <v>46</v>
      </c>
      <c r="C301" s="66">
        <v>2312</v>
      </c>
      <c r="D301" s="69" t="b">
        <v>1</v>
      </c>
      <c r="E301" s="70"/>
      <c r="F301" s="98" t="s">
        <v>1683</v>
      </c>
      <c r="G301" s="98" t="s">
        <v>1684</v>
      </c>
      <c r="H301" s="70" t="s">
        <v>1685</v>
      </c>
      <c r="I301" s="70" t="s">
        <v>1686</v>
      </c>
      <c r="J301" s="70" t="s">
        <v>1687</v>
      </c>
      <c r="K301" s="70" t="s">
        <v>209</v>
      </c>
      <c r="L301" s="99" t="s">
        <v>1309</v>
      </c>
      <c r="M301" s="70"/>
      <c r="N301" s="70"/>
      <c r="O301" s="70"/>
      <c r="P301" s="70"/>
      <c r="Q301" s="70"/>
      <c r="R301" s="70"/>
      <c r="S301" s="70"/>
      <c r="T301" s="70" t="s">
        <v>1310</v>
      </c>
      <c r="U301" s="405" t="s">
        <v>1688</v>
      </c>
      <c r="V301" s="69" t="s">
        <v>1689</v>
      </c>
      <c r="W301" s="100" t="e">
        <f>VLOOKUP(#REF!,ComponentTypes!$A$2:$B$7,2,FALSE)</f>
        <v>#REF!</v>
      </c>
      <c r="X301" s="70">
        <v>3923</v>
      </c>
      <c r="Y301" s="70" t="s">
        <v>272</v>
      </c>
      <c r="Z301" s="70" t="s">
        <v>1616</v>
      </c>
      <c r="AA301" s="70">
        <v>10</v>
      </c>
      <c r="AB301" s="67" t="s">
        <v>198</v>
      </c>
      <c r="AC301" s="69" t="s">
        <v>141</v>
      </c>
      <c r="AD301" s="69" t="s">
        <v>199</v>
      </c>
      <c r="AE301" s="101" t="s">
        <v>1675</v>
      </c>
      <c r="AF301" s="423">
        <v>2.5</v>
      </c>
      <c r="AG301" s="423">
        <v>6</v>
      </c>
      <c r="AH301" s="423">
        <v>4.5</v>
      </c>
      <c r="AI301" s="103"/>
      <c r="AJ301" s="266"/>
      <c r="AK301" s="104"/>
    </row>
    <row r="302" spans="1:37" s="319" customFormat="1" ht="12.75" customHeight="1">
      <c r="A302" s="220"/>
      <c r="B302" s="69" t="s">
        <v>46</v>
      </c>
      <c r="C302" s="66">
        <v>2313</v>
      </c>
      <c r="D302" s="69" t="b">
        <v>1</v>
      </c>
      <c r="E302" s="70"/>
      <c r="F302" s="98" t="s">
        <v>1690</v>
      </c>
      <c r="G302" s="98" t="s">
        <v>1691</v>
      </c>
      <c r="H302" s="70" t="s">
        <v>1692</v>
      </c>
      <c r="I302" s="70" t="s">
        <v>1693</v>
      </c>
      <c r="J302" s="70" t="s">
        <v>1694</v>
      </c>
      <c r="K302" s="70" t="s">
        <v>209</v>
      </c>
      <c r="L302" s="99" t="s">
        <v>1309</v>
      </c>
      <c r="M302" s="70"/>
      <c r="N302" s="70"/>
      <c r="O302" s="70"/>
      <c r="P302" s="70"/>
      <c r="Q302" s="70"/>
      <c r="R302" s="70"/>
      <c r="S302" s="70"/>
      <c r="T302" s="70"/>
      <c r="U302" s="405" t="s">
        <v>1695</v>
      </c>
      <c r="V302" s="69" t="s">
        <v>1696</v>
      </c>
      <c r="W302" s="100" t="s">
        <v>1697</v>
      </c>
      <c r="X302" s="70">
        <v>3923</v>
      </c>
      <c r="Y302" s="70" t="s">
        <v>196</v>
      </c>
      <c r="Z302" s="70" t="s">
        <v>1616</v>
      </c>
      <c r="AA302" s="70">
        <v>11</v>
      </c>
      <c r="AB302" s="67" t="s">
        <v>198</v>
      </c>
      <c r="AC302" s="69" t="s">
        <v>141</v>
      </c>
      <c r="AD302" s="69" t="s">
        <v>392</v>
      </c>
      <c r="AE302" s="101" t="s">
        <v>1081</v>
      </c>
      <c r="AF302" s="424">
        <v>30</v>
      </c>
      <c r="AG302" s="424">
        <v>140</v>
      </c>
      <c r="AH302" s="424">
        <v>51</v>
      </c>
      <c r="AI302" s="103"/>
      <c r="AJ302" s="266"/>
      <c r="AK302" s="104"/>
    </row>
    <row r="303" spans="1:37" s="319" customFormat="1" ht="12.75" customHeight="1">
      <c r="A303" s="220"/>
      <c r="B303" s="69" t="s">
        <v>46</v>
      </c>
      <c r="C303" s="66">
        <v>2314</v>
      </c>
      <c r="D303" s="69" t="b">
        <v>1</v>
      </c>
      <c r="E303" s="70"/>
      <c r="F303" s="98" t="s">
        <v>1698</v>
      </c>
      <c r="G303" s="98" t="s">
        <v>1699</v>
      </c>
      <c r="H303" s="70" t="s">
        <v>1700</v>
      </c>
      <c r="I303" s="70" t="s">
        <v>1701</v>
      </c>
      <c r="J303" s="70" t="s">
        <v>1702</v>
      </c>
      <c r="K303" s="70" t="s">
        <v>209</v>
      </c>
      <c r="L303" s="99" t="s">
        <v>1309</v>
      </c>
      <c r="M303" s="70"/>
      <c r="N303" s="70"/>
      <c r="O303" s="70"/>
      <c r="P303" s="70"/>
      <c r="Q303" s="70"/>
      <c r="R303" s="70"/>
      <c r="S303" s="70"/>
      <c r="T303" s="70"/>
      <c r="U303" s="405" t="s">
        <v>1703</v>
      </c>
      <c r="V303" s="69" t="s">
        <v>1704</v>
      </c>
      <c r="W303" s="100" t="e">
        <f>VLOOKUP(#REF!,ComponentTypes!$A$2:$B$7,2,FALSE)</f>
        <v>#REF!</v>
      </c>
      <c r="X303" s="70">
        <v>3923</v>
      </c>
      <c r="Y303" s="70" t="s">
        <v>196</v>
      </c>
      <c r="Z303" s="70" t="s">
        <v>1616</v>
      </c>
      <c r="AA303" s="70">
        <v>12</v>
      </c>
      <c r="AB303" s="67" t="s">
        <v>198</v>
      </c>
      <c r="AC303" s="69" t="s">
        <v>141</v>
      </c>
      <c r="AD303" s="69" t="s">
        <v>392</v>
      </c>
      <c r="AE303" s="101" t="s">
        <v>1081</v>
      </c>
      <c r="AF303" s="424">
        <v>30</v>
      </c>
      <c r="AG303" s="424">
        <v>140</v>
      </c>
      <c r="AH303" s="424">
        <v>51.5</v>
      </c>
      <c r="AI303" s="103"/>
      <c r="AJ303" s="266"/>
      <c r="AK303" s="104"/>
    </row>
    <row r="304" spans="1:37" s="319" customFormat="1" ht="12.75" customHeight="1">
      <c r="A304" s="220"/>
      <c r="B304" s="69" t="s">
        <v>46</v>
      </c>
      <c r="C304" s="66">
        <v>2315</v>
      </c>
      <c r="D304" s="69" t="b">
        <v>1</v>
      </c>
      <c r="E304" s="70"/>
      <c r="F304" s="98" t="s">
        <v>1705</v>
      </c>
      <c r="G304" s="98" t="s">
        <v>1706</v>
      </c>
      <c r="H304" s="70" t="s">
        <v>1707</v>
      </c>
      <c r="I304" s="70" t="s">
        <v>1708</v>
      </c>
      <c r="J304" s="70" t="s">
        <v>1709</v>
      </c>
      <c r="K304" s="70" t="s">
        <v>166</v>
      </c>
      <c r="L304" s="99" t="s">
        <v>1309</v>
      </c>
      <c r="M304" s="70"/>
      <c r="N304" s="70"/>
      <c r="O304" s="70"/>
      <c r="P304" s="70"/>
      <c r="Q304" s="70"/>
      <c r="R304" s="70"/>
      <c r="S304" s="70"/>
      <c r="T304" s="70"/>
      <c r="U304" s="405" t="s">
        <v>1710</v>
      </c>
      <c r="V304" s="69" t="s">
        <v>1711</v>
      </c>
      <c r="W304" s="100" t="e">
        <f>VLOOKUP(#REF!,ComponentTypes!$A$2:$B$7,2,FALSE)</f>
        <v>#REF!</v>
      </c>
      <c r="X304" s="70">
        <v>3923</v>
      </c>
      <c r="Y304" s="70" t="s">
        <v>196</v>
      </c>
      <c r="Z304" s="70" t="s">
        <v>1616</v>
      </c>
      <c r="AA304" s="70">
        <v>13</v>
      </c>
      <c r="AB304" s="67" t="s">
        <v>198</v>
      </c>
      <c r="AC304" s="69" t="s">
        <v>141</v>
      </c>
      <c r="AD304" s="69" t="s">
        <v>392</v>
      </c>
      <c r="AE304" s="101" t="s">
        <v>373</v>
      </c>
      <c r="AF304" s="102">
        <v>70</v>
      </c>
      <c r="AG304" s="102">
        <v>500</v>
      </c>
      <c r="AH304" s="102">
        <v>350</v>
      </c>
      <c r="AI304" s="103"/>
      <c r="AJ304" s="266"/>
      <c r="AK304" s="104"/>
    </row>
    <row r="305" spans="1:37" s="388" customFormat="1" ht="12.75" customHeight="1">
      <c r="A305" s="220"/>
      <c r="B305" s="69" t="s">
        <v>59</v>
      </c>
      <c r="C305" s="66">
        <v>2316</v>
      </c>
      <c r="D305" s="69"/>
      <c r="E305" s="70" t="b">
        <v>1</v>
      </c>
      <c r="F305" s="398" t="s">
        <v>1712</v>
      </c>
      <c r="G305" s="398" t="s">
        <v>1713</v>
      </c>
      <c r="H305" s="399" t="s">
        <v>1714</v>
      </c>
      <c r="I305" s="426" t="s">
        <v>1715</v>
      </c>
      <c r="J305" s="426" t="s">
        <v>1716</v>
      </c>
      <c r="K305" s="399" t="s">
        <v>209</v>
      </c>
      <c r="L305" s="427" t="s">
        <v>1309</v>
      </c>
      <c r="M305" s="426"/>
      <c r="N305" s="426"/>
      <c r="O305" s="426"/>
      <c r="P305" s="426"/>
      <c r="Q305" s="426"/>
      <c r="R305" s="426"/>
      <c r="S305" s="426"/>
      <c r="T305" s="426"/>
      <c r="U305" s="406" t="s">
        <v>1717</v>
      </c>
      <c r="V305" s="400" t="s">
        <v>1718</v>
      </c>
      <c r="W305" s="407" t="e">
        <f>VLOOKUP(#REF!,ComponentTypes!$A$2:$B$7,2,FALSE)</f>
        <v>#REF!</v>
      </c>
      <c r="X305" s="399">
        <v>3923</v>
      </c>
      <c r="Y305" s="399" t="s">
        <v>196</v>
      </c>
      <c r="Z305" s="399" t="s">
        <v>1616</v>
      </c>
      <c r="AA305" s="399">
        <v>14</v>
      </c>
      <c r="AB305" s="401" t="s">
        <v>198</v>
      </c>
      <c r="AC305" s="400" t="s">
        <v>141</v>
      </c>
      <c r="AD305" s="400" t="s">
        <v>392</v>
      </c>
      <c r="AE305" s="402" t="s">
        <v>1081</v>
      </c>
      <c r="AF305" s="408">
        <v>30</v>
      </c>
      <c r="AG305" s="408">
        <v>140</v>
      </c>
      <c r="AH305" s="408">
        <v>30</v>
      </c>
      <c r="AI305" s="403"/>
      <c r="AJ305" s="409"/>
      <c r="AK305" s="404"/>
    </row>
    <row r="306" spans="1:37" s="319" customFormat="1" ht="12.75" customHeight="1">
      <c r="A306" s="220"/>
      <c r="B306" s="69" t="s">
        <v>46</v>
      </c>
      <c r="C306" s="66">
        <v>2317</v>
      </c>
      <c r="D306" s="69" t="b">
        <v>1</v>
      </c>
      <c r="E306" s="70"/>
      <c r="F306" s="98" t="s">
        <v>1719</v>
      </c>
      <c r="G306" s="98" t="s">
        <v>1720</v>
      </c>
      <c r="H306" s="70" t="s">
        <v>1721</v>
      </c>
      <c r="I306" s="70" t="s">
        <v>1722</v>
      </c>
      <c r="J306" s="70" t="s">
        <v>1723</v>
      </c>
      <c r="K306" s="70" t="s">
        <v>209</v>
      </c>
      <c r="L306" s="99" t="s">
        <v>1309</v>
      </c>
      <c r="M306" s="70"/>
      <c r="N306" s="70"/>
      <c r="O306" s="70"/>
      <c r="P306" s="70"/>
      <c r="Q306" s="70"/>
      <c r="R306" s="70"/>
      <c r="S306" s="70"/>
      <c r="T306" s="70"/>
      <c r="U306" s="405" t="s">
        <v>1724</v>
      </c>
      <c r="V306" s="69" t="s">
        <v>1725</v>
      </c>
      <c r="W306" s="100" t="e">
        <f>VLOOKUP(#REF!,ComponentTypes!$A$2:$B$7,2,FALSE)</f>
        <v>#REF!</v>
      </c>
      <c r="X306" s="70">
        <v>3923</v>
      </c>
      <c r="Y306" s="70" t="s">
        <v>196</v>
      </c>
      <c r="Z306" s="70" t="s">
        <v>1616</v>
      </c>
      <c r="AA306" s="70">
        <v>15</v>
      </c>
      <c r="AB306" s="67" t="s">
        <v>198</v>
      </c>
      <c r="AC306" s="69" t="s">
        <v>141</v>
      </c>
      <c r="AD306" s="69" t="s">
        <v>392</v>
      </c>
      <c r="AE306" s="101" t="s">
        <v>1081</v>
      </c>
      <c r="AF306" s="424">
        <v>30</v>
      </c>
      <c r="AG306" s="424">
        <v>140</v>
      </c>
      <c r="AH306" s="424">
        <v>95.8</v>
      </c>
      <c r="AI306" s="103"/>
      <c r="AJ306" s="266"/>
      <c r="AK306" s="104"/>
    </row>
    <row r="307" spans="1:37" s="319" customFormat="1" ht="12.75" customHeight="1">
      <c r="A307" s="220"/>
      <c r="B307" s="69" t="s">
        <v>46</v>
      </c>
      <c r="C307" s="66">
        <v>2318</v>
      </c>
      <c r="D307" s="69" t="b">
        <v>1</v>
      </c>
      <c r="E307" s="70"/>
      <c r="F307" s="98" t="s">
        <v>1726</v>
      </c>
      <c r="G307" s="98" t="s">
        <v>1727</v>
      </c>
      <c r="H307" s="70" t="s">
        <v>1728</v>
      </c>
      <c r="I307" s="70" t="s">
        <v>1729</v>
      </c>
      <c r="J307" s="70" t="s">
        <v>1730</v>
      </c>
      <c r="K307" s="70" t="s">
        <v>166</v>
      </c>
      <c r="L307" s="99" t="s">
        <v>1309</v>
      </c>
      <c r="M307" s="70"/>
      <c r="N307" s="70"/>
      <c r="O307" s="70"/>
      <c r="P307" s="70"/>
      <c r="Q307" s="70"/>
      <c r="R307" s="70"/>
      <c r="S307" s="70"/>
      <c r="T307" s="70"/>
      <c r="U307" s="405" t="s">
        <v>1731</v>
      </c>
      <c r="V307" s="69" t="s">
        <v>1732</v>
      </c>
      <c r="W307" s="100" t="e">
        <f>VLOOKUP(#REF!,ComponentTypes!$A$2:$B$7,2,FALSE)</f>
        <v>#REF!</v>
      </c>
      <c r="X307" s="70">
        <v>3923</v>
      </c>
      <c r="Y307" s="70" t="s">
        <v>196</v>
      </c>
      <c r="Z307" s="70" t="s">
        <v>1616</v>
      </c>
      <c r="AA307" s="70">
        <v>16</v>
      </c>
      <c r="AB307" s="67" t="s">
        <v>198</v>
      </c>
      <c r="AC307" s="69" t="s">
        <v>141</v>
      </c>
      <c r="AD307" s="69" t="s">
        <v>392</v>
      </c>
      <c r="AE307" s="101" t="s">
        <v>373</v>
      </c>
      <c r="AF307" s="102">
        <v>70</v>
      </c>
      <c r="AG307" s="102">
        <v>350</v>
      </c>
      <c r="AH307" s="102">
        <v>235</v>
      </c>
      <c r="AI307" s="103"/>
      <c r="AJ307" s="266"/>
      <c r="AK307" s="104"/>
    </row>
    <row r="308" spans="1:37" s="319" customFormat="1" ht="12.75" customHeight="1">
      <c r="A308" s="220"/>
      <c r="B308" s="69" t="s">
        <v>46</v>
      </c>
      <c r="C308" s="66">
        <v>2319</v>
      </c>
      <c r="D308" s="69" t="b">
        <v>1</v>
      </c>
      <c r="E308" s="70"/>
      <c r="F308" s="98" t="s">
        <v>1733</v>
      </c>
      <c r="G308" s="98" t="s">
        <v>1734</v>
      </c>
      <c r="H308" s="70" t="s">
        <v>1735</v>
      </c>
      <c r="I308" s="70" t="s">
        <v>1736</v>
      </c>
      <c r="J308" s="70" t="s">
        <v>1737</v>
      </c>
      <c r="K308" s="70" t="s">
        <v>166</v>
      </c>
      <c r="L308" s="99" t="s">
        <v>1309</v>
      </c>
      <c r="M308" s="70"/>
      <c r="N308" s="70"/>
      <c r="O308" s="70"/>
      <c r="P308" s="70"/>
      <c r="Q308" s="70"/>
      <c r="R308" s="70"/>
      <c r="S308" s="70"/>
      <c r="T308" s="70"/>
      <c r="U308" s="405" t="s">
        <v>1738</v>
      </c>
      <c r="V308" s="69" t="s">
        <v>1739</v>
      </c>
      <c r="W308" s="100" t="e">
        <f>VLOOKUP(#REF!,ComponentTypes!$A$2:$B$7,2,FALSE)</f>
        <v>#REF!</v>
      </c>
      <c r="X308" s="70">
        <v>3923</v>
      </c>
      <c r="Y308" s="70" t="s">
        <v>196</v>
      </c>
      <c r="Z308" s="70" t="s">
        <v>1616</v>
      </c>
      <c r="AA308" s="70">
        <v>17</v>
      </c>
      <c r="AB308" s="67" t="s">
        <v>198</v>
      </c>
      <c r="AC308" s="69" t="s">
        <v>141</v>
      </c>
      <c r="AD308" s="69" t="s">
        <v>392</v>
      </c>
      <c r="AE308" s="101" t="s">
        <v>428</v>
      </c>
      <c r="AF308" s="102">
        <v>1</v>
      </c>
      <c r="AG308" s="102">
        <v>10</v>
      </c>
      <c r="AH308" s="102">
        <v>3</v>
      </c>
      <c r="AI308" s="103"/>
      <c r="AJ308" s="266"/>
      <c r="AK308" s="104"/>
    </row>
    <row r="309" spans="1:37" s="319" customFormat="1" ht="12.75" customHeight="1">
      <c r="A309" s="220"/>
      <c r="B309" s="69" t="s">
        <v>46</v>
      </c>
      <c r="C309" s="66">
        <v>2320</v>
      </c>
      <c r="D309" s="69" t="b">
        <v>1</v>
      </c>
      <c r="E309" s="70"/>
      <c r="F309" s="98" t="s">
        <v>1740</v>
      </c>
      <c r="G309" s="98" t="s">
        <v>1741</v>
      </c>
      <c r="H309" s="70" t="s">
        <v>1742</v>
      </c>
      <c r="I309" s="70" t="s">
        <v>1743</v>
      </c>
      <c r="J309" s="70" t="s">
        <v>1744</v>
      </c>
      <c r="K309" s="70" t="s">
        <v>166</v>
      </c>
      <c r="L309" s="99" t="s">
        <v>1309</v>
      </c>
      <c r="M309" s="70"/>
      <c r="N309" s="70"/>
      <c r="O309" s="70"/>
      <c r="P309" s="70"/>
      <c r="Q309" s="70"/>
      <c r="R309" s="70"/>
      <c r="S309" s="70"/>
      <c r="T309" s="70"/>
      <c r="U309" s="405" t="s">
        <v>1745</v>
      </c>
      <c r="V309" s="69" t="s">
        <v>1746</v>
      </c>
      <c r="W309" s="100" t="e">
        <f>VLOOKUP(#REF!,ComponentTypes!$A$2:$B$7,2,FALSE)</f>
        <v>#REF!</v>
      </c>
      <c r="X309" s="70">
        <v>3923</v>
      </c>
      <c r="Y309" s="70" t="s">
        <v>196</v>
      </c>
      <c r="Z309" s="70" t="s">
        <v>1616</v>
      </c>
      <c r="AA309" s="70">
        <v>18</v>
      </c>
      <c r="AB309" s="67" t="s">
        <v>198</v>
      </c>
      <c r="AC309" s="69" t="s">
        <v>141</v>
      </c>
      <c r="AD309" s="69" t="s">
        <v>392</v>
      </c>
      <c r="AE309" s="101" t="s">
        <v>373</v>
      </c>
      <c r="AF309" s="102">
        <v>70</v>
      </c>
      <c r="AG309" s="102">
        <v>350</v>
      </c>
      <c r="AH309" s="102">
        <v>260</v>
      </c>
      <c r="AI309" s="103"/>
      <c r="AJ309" s="266"/>
      <c r="AK309" s="104"/>
    </row>
    <row r="310" spans="1:37" s="71" customFormat="1" ht="12.75" customHeight="1">
      <c r="A310" s="220"/>
      <c r="B310" s="69" t="s">
        <v>15</v>
      </c>
      <c r="C310" s="66">
        <v>2321</v>
      </c>
      <c r="D310" s="70"/>
      <c r="E310" s="70"/>
      <c r="F310" s="98" t="s">
        <v>201</v>
      </c>
      <c r="G310" s="98" t="s">
        <v>201</v>
      </c>
      <c r="H310" s="70" t="s">
        <v>201</v>
      </c>
      <c r="I310" s="70" t="s">
        <v>1747</v>
      </c>
      <c r="J310" s="70" t="s">
        <v>1748</v>
      </c>
      <c r="K310" s="70"/>
      <c r="L310" s="99" t="s">
        <v>1309</v>
      </c>
      <c r="M310" s="70"/>
      <c r="N310" s="70"/>
      <c r="O310" s="70"/>
      <c r="P310" s="70"/>
      <c r="Q310" s="70"/>
      <c r="R310" s="70"/>
      <c r="S310" s="70"/>
      <c r="T310" s="70"/>
      <c r="U310" s="405" t="s">
        <v>1749</v>
      </c>
      <c r="V310" s="70"/>
      <c r="W310" s="100"/>
      <c r="X310" s="70"/>
      <c r="Y310" s="70"/>
      <c r="Z310" s="70"/>
      <c r="AA310" s="70"/>
      <c r="AB310" s="70"/>
      <c r="AC310" s="70"/>
      <c r="AD310" s="69"/>
      <c r="AE310" s="101"/>
      <c r="AF310" s="102"/>
      <c r="AG310" s="102"/>
      <c r="AH310" s="102"/>
      <c r="AI310" s="103"/>
      <c r="AJ310" s="266"/>
      <c r="AK310" s="104"/>
    </row>
    <row r="311" spans="1:37" s="388" customFormat="1" ht="12.75" customHeight="1">
      <c r="A311" s="220"/>
      <c r="B311" s="69" t="s">
        <v>59</v>
      </c>
      <c r="C311" s="69">
        <v>2400</v>
      </c>
      <c r="D311" s="69" t="b">
        <v>1</v>
      </c>
      <c r="E311" s="69"/>
      <c r="F311" s="69" t="s">
        <v>1750</v>
      </c>
      <c r="G311" s="69" t="s">
        <v>1751</v>
      </c>
      <c r="H311" s="69" t="s">
        <v>1752</v>
      </c>
      <c r="I311" s="69" t="s">
        <v>1753</v>
      </c>
      <c r="J311" s="69" t="s">
        <v>1754</v>
      </c>
      <c r="K311" s="69" t="s">
        <v>209</v>
      </c>
      <c r="L311" s="69" t="s">
        <v>1309</v>
      </c>
      <c r="M311" s="69"/>
      <c r="N311" s="69"/>
      <c r="O311" s="69"/>
      <c r="P311" s="69"/>
      <c r="Q311" s="69"/>
      <c r="R311" s="69"/>
      <c r="S311" s="69"/>
      <c r="T311" s="69"/>
      <c r="U311" s="69" t="s">
        <v>1755</v>
      </c>
      <c r="V311" s="69" t="s">
        <v>1756</v>
      </c>
      <c r="W311" s="69" t="e">
        <f>VLOOKUP(#REF!,ComponentTypes!$A$2:$B$7,2,FALSE)</f>
        <v>#REF!</v>
      </c>
      <c r="X311" s="69">
        <v>3923</v>
      </c>
      <c r="Y311" s="69" t="s">
        <v>196</v>
      </c>
      <c r="Z311" s="69" t="s">
        <v>1757</v>
      </c>
      <c r="AA311" s="69">
        <v>1</v>
      </c>
      <c r="AB311" s="69" t="s">
        <v>198</v>
      </c>
      <c r="AC311" s="69" t="s">
        <v>141</v>
      </c>
      <c r="AD311" s="69" t="s">
        <v>199</v>
      </c>
      <c r="AE311" s="69" t="s">
        <v>1758</v>
      </c>
      <c r="AF311" s="69">
        <v>0</v>
      </c>
      <c r="AG311" s="69">
        <v>1</v>
      </c>
      <c r="AH311" s="69">
        <v>0.44</v>
      </c>
      <c r="AI311" s="103"/>
      <c r="AJ311" s="266"/>
      <c r="AK311" s="104"/>
    </row>
    <row r="312" spans="1:37" s="388" customFormat="1" ht="12.75" customHeight="1">
      <c r="A312" s="220"/>
      <c r="B312" s="69" t="s">
        <v>59</v>
      </c>
      <c r="C312" s="69">
        <v>2401</v>
      </c>
      <c r="D312" s="69" t="b">
        <v>1</v>
      </c>
      <c r="E312" s="69"/>
      <c r="F312" s="69" t="s">
        <v>1759</v>
      </c>
      <c r="G312" s="69" t="s">
        <v>1760</v>
      </c>
      <c r="H312" s="69" t="s">
        <v>1761</v>
      </c>
      <c r="I312" s="69" t="s">
        <v>1762</v>
      </c>
      <c r="J312" s="69" t="s">
        <v>1763</v>
      </c>
      <c r="K312" s="69" t="s">
        <v>209</v>
      </c>
      <c r="L312" s="69" t="s">
        <v>1309</v>
      </c>
      <c r="M312" s="69"/>
      <c r="N312" s="69"/>
      <c r="O312" s="69"/>
      <c r="P312" s="69"/>
      <c r="Q312" s="69"/>
      <c r="R312" s="69"/>
      <c r="S312" s="69"/>
      <c r="T312" s="69"/>
      <c r="U312" s="69" t="s">
        <v>1764</v>
      </c>
      <c r="V312" s="69" t="s">
        <v>1765</v>
      </c>
      <c r="W312" s="69" t="e">
        <f>VLOOKUP(#REF!,ComponentTypes!$A$2:$B$7,2,FALSE)</f>
        <v>#REF!</v>
      </c>
      <c r="X312" s="69">
        <v>3923</v>
      </c>
      <c r="Y312" s="69" t="s">
        <v>196</v>
      </c>
      <c r="Z312" s="69" t="s">
        <v>1757</v>
      </c>
      <c r="AA312" s="69">
        <v>2</v>
      </c>
      <c r="AB312" s="69" t="s">
        <v>198</v>
      </c>
      <c r="AC312" s="69" t="s">
        <v>141</v>
      </c>
      <c r="AD312" s="69" t="s">
        <v>199</v>
      </c>
      <c r="AE312" s="69" t="s">
        <v>1758</v>
      </c>
      <c r="AF312" s="69">
        <v>0</v>
      </c>
      <c r="AG312" s="69">
        <v>1</v>
      </c>
      <c r="AH312" s="69">
        <v>0.62</v>
      </c>
      <c r="AI312" s="103"/>
      <c r="AJ312" s="266"/>
      <c r="AK312" s="104"/>
    </row>
    <row r="313" spans="1:37" s="388" customFormat="1" ht="12.75" customHeight="1">
      <c r="A313" s="220"/>
      <c r="B313" s="69" t="s">
        <v>68</v>
      </c>
      <c r="C313" s="69">
        <v>2402</v>
      </c>
      <c r="D313" s="69" t="b">
        <v>1</v>
      </c>
      <c r="E313" s="69"/>
      <c r="F313" s="69" t="s">
        <v>1766</v>
      </c>
      <c r="G313" s="69" t="s">
        <v>1767</v>
      </c>
      <c r="H313" s="69" t="s">
        <v>1768</v>
      </c>
      <c r="I313" s="69" t="s">
        <v>1769</v>
      </c>
      <c r="J313" s="69" t="s">
        <v>1770</v>
      </c>
      <c r="K313" s="69" t="s">
        <v>209</v>
      </c>
      <c r="L313" s="69" t="s">
        <v>1309</v>
      </c>
      <c r="M313" s="69"/>
      <c r="N313" s="69"/>
      <c r="O313" s="69"/>
      <c r="P313" s="69"/>
      <c r="Q313" s="69"/>
      <c r="R313" s="69"/>
      <c r="S313" s="69"/>
      <c r="T313" s="69"/>
      <c r="U313" s="69" t="s">
        <v>1771</v>
      </c>
      <c r="V313" s="69" t="s">
        <v>1772</v>
      </c>
      <c r="W313" s="69" t="e">
        <f>VLOOKUP(#REF!,ComponentTypes!$A$2:$B$7,2,FALSE)</f>
        <v>#REF!</v>
      </c>
      <c r="X313" s="69">
        <v>3923</v>
      </c>
      <c r="Y313" s="69" t="s">
        <v>196</v>
      </c>
      <c r="Z313" s="69" t="s">
        <v>1757</v>
      </c>
      <c r="AA313" s="69">
        <v>3</v>
      </c>
      <c r="AB313" s="69" t="s">
        <v>198</v>
      </c>
      <c r="AC313" s="69" t="s">
        <v>141</v>
      </c>
      <c r="AD313" s="69" t="s">
        <v>419</v>
      </c>
      <c r="AE313" s="69" t="s">
        <v>1758</v>
      </c>
      <c r="AF313" s="69">
        <v>-1</v>
      </c>
      <c r="AG313" s="69">
        <v>1</v>
      </c>
      <c r="AH313" s="69">
        <v>0</v>
      </c>
      <c r="AI313" s="103"/>
      <c r="AJ313" s="266"/>
      <c r="AK313" s="104"/>
    </row>
    <row r="314" spans="1:37" s="388" customFormat="1" ht="12.75" customHeight="1">
      <c r="A314" s="220"/>
      <c r="B314" s="69" t="s">
        <v>74</v>
      </c>
      <c r="C314" s="69">
        <v>2403</v>
      </c>
      <c r="D314" s="69" t="b">
        <v>1</v>
      </c>
      <c r="E314" s="69"/>
      <c r="F314" s="69" t="s">
        <v>1773</v>
      </c>
      <c r="G314" s="69" t="s">
        <v>1774</v>
      </c>
      <c r="H314" s="69" t="s">
        <v>1775</v>
      </c>
      <c r="I314" s="69" t="s">
        <v>1776</v>
      </c>
      <c r="J314" s="69" t="s">
        <v>1777</v>
      </c>
      <c r="K314" s="69" t="s">
        <v>209</v>
      </c>
      <c r="L314" s="69" t="s">
        <v>1309</v>
      </c>
      <c r="M314" s="69"/>
      <c r="N314" s="69"/>
      <c r="O314" s="69"/>
      <c r="P314" s="69"/>
      <c r="Q314" s="69"/>
      <c r="R314" s="69"/>
      <c r="S314" s="69"/>
      <c r="T314" s="69"/>
      <c r="U314" s="69" t="s">
        <v>1778</v>
      </c>
      <c r="V314" s="69" t="s">
        <v>1779</v>
      </c>
      <c r="W314" s="69" t="e">
        <f>VLOOKUP(#REF!,ComponentTypes!$A$2:$B$7,2,FALSE)</f>
        <v>#REF!</v>
      </c>
      <c r="X314" s="69">
        <v>3923</v>
      </c>
      <c r="Y314" s="69" t="s">
        <v>272</v>
      </c>
      <c r="Z314" s="69" t="s">
        <v>1757</v>
      </c>
      <c r="AA314" s="69">
        <v>4</v>
      </c>
      <c r="AB314" s="24" t="s">
        <v>1780</v>
      </c>
      <c r="AC314" s="69" t="s">
        <v>141</v>
      </c>
      <c r="AD314" s="69" t="s">
        <v>199</v>
      </c>
      <c r="AE314" s="69" t="s">
        <v>1781</v>
      </c>
      <c r="AF314" s="69">
        <v>0</v>
      </c>
      <c r="AG314" s="69">
        <v>600</v>
      </c>
      <c r="AH314" s="69">
        <v>40</v>
      </c>
      <c r="AI314" s="103"/>
      <c r="AJ314" s="266"/>
      <c r="AK314" s="104"/>
    </row>
    <row r="315" spans="1:37" s="388" customFormat="1" ht="12.75" customHeight="1">
      <c r="A315" s="220"/>
      <c r="B315" s="69" t="s">
        <v>74</v>
      </c>
      <c r="C315" s="69">
        <v>2404</v>
      </c>
      <c r="D315" s="69" t="b">
        <v>1</v>
      </c>
      <c r="E315" s="69"/>
      <c r="F315" s="69" t="s">
        <v>1782</v>
      </c>
      <c r="G315" s="69" t="s">
        <v>1783</v>
      </c>
      <c r="H315" s="69" t="s">
        <v>1784</v>
      </c>
      <c r="I315" s="69" t="s">
        <v>1785</v>
      </c>
      <c r="J315" s="69" t="s">
        <v>1786</v>
      </c>
      <c r="K315" s="69" t="s">
        <v>209</v>
      </c>
      <c r="L315" s="69" t="s">
        <v>1309</v>
      </c>
      <c r="M315" s="69"/>
      <c r="N315" s="69"/>
      <c r="O315" s="69"/>
      <c r="P315" s="69"/>
      <c r="Q315" s="69"/>
      <c r="R315" s="69"/>
      <c r="S315" s="69"/>
      <c r="T315" s="69"/>
      <c r="U315" s="69" t="s">
        <v>1787</v>
      </c>
      <c r="V315" s="69" t="s">
        <v>1788</v>
      </c>
      <c r="W315" s="69" t="e">
        <f>VLOOKUP(#REF!,ComponentTypes!$A$2:$B$7,2,FALSE)</f>
        <v>#REF!</v>
      </c>
      <c r="X315" s="69">
        <v>3923</v>
      </c>
      <c r="Y315" s="69" t="s">
        <v>272</v>
      </c>
      <c r="Z315" s="69" t="s">
        <v>1757</v>
      </c>
      <c r="AA315" s="69">
        <v>5</v>
      </c>
      <c r="AB315" s="24" t="s">
        <v>1780</v>
      </c>
      <c r="AC315" s="69" t="s">
        <v>141</v>
      </c>
      <c r="AD315" s="69" t="s">
        <v>199</v>
      </c>
      <c r="AE315" s="69" t="s">
        <v>1781</v>
      </c>
      <c r="AF315" s="69">
        <v>0</v>
      </c>
      <c r="AG315" s="69">
        <v>600</v>
      </c>
      <c r="AH315" s="69">
        <v>160</v>
      </c>
      <c r="AI315" s="103"/>
      <c r="AJ315" s="266"/>
      <c r="AK315" s="104"/>
    </row>
    <row r="316" spans="1:37" s="71" customFormat="1" ht="12.75" customHeight="1">
      <c r="A316" s="220"/>
      <c r="B316" s="69" t="s">
        <v>15</v>
      </c>
      <c r="C316" s="69">
        <v>2405</v>
      </c>
      <c r="D316" s="70"/>
      <c r="E316" s="70"/>
      <c r="F316" s="98" t="s">
        <v>201</v>
      </c>
      <c r="G316" s="98" t="s">
        <v>201</v>
      </c>
      <c r="H316" s="70" t="s">
        <v>201</v>
      </c>
      <c r="I316" s="70"/>
      <c r="J316" s="70" t="s">
        <v>1789</v>
      </c>
      <c r="K316" s="70"/>
      <c r="L316" s="99" t="s">
        <v>1309</v>
      </c>
      <c r="M316" s="70"/>
      <c r="N316" s="70"/>
      <c r="O316" s="70"/>
      <c r="P316" s="70"/>
      <c r="Q316" s="70"/>
      <c r="R316" s="70"/>
      <c r="S316" s="70"/>
      <c r="T316" s="70"/>
      <c r="U316" s="70" t="str">
        <f>CONCATENATE("par",E316)</f>
        <v>par</v>
      </c>
      <c r="V316" s="70"/>
      <c r="W316" s="100"/>
      <c r="X316" s="70"/>
      <c r="Y316" s="70"/>
      <c r="Z316" s="70"/>
      <c r="AA316" s="70"/>
      <c r="AB316" s="70"/>
      <c r="AC316" s="70"/>
      <c r="AD316" s="69"/>
      <c r="AE316" s="101"/>
      <c r="AF316" s="102"/>
      <c r="AG316" s="102"/>
      <c r="AH316" s="102"/>
      <c r="AI316" s="103"/>
      <c r="AJ316" s="266"/>
      <c r="AK316" s="104"/>
    </row>
    <row r="317" spans="1:37" s="71" customFormat="1" ht="12.75" customHeight="1">
      <c r="A317" s="220"/>
      <c r="B317" s="69" t="s">
        <v>15</v>
      </c>
      <c r="C317" s="69">
        <v>2406</v>
      </c>
      <c r="D317" s="70"/>
      <c r="E317" s="70"/>
      <c r="F317" s="98"/>
      <c r="G317" s="98"/>
      <c r="H317" s="70"/>
      <c r="I317" s="70"/>
      <c r="J317" s="70"/>
      <c r="K317" s="70"/>
      <c r="L317" s="99"/>
      <c r="M317" s="70"/>
      <c r="N317" s="70"/>
      <c r="O317" s="70"/>
      <c r="P317" s="70"/>
      <c r="Q317" s="70"/>
      <c r="R317" s="70"/>
      <c r="S317" s="70"/>
      <c r="T317" s="70"/>
      <c r="U317" s="70"/>
      <c r="V317" s="70"/>
      <c r="W317" s="100"/>
      <c r="X317" s="70"/>
      <c r="Y317" s="70"/>
      <c r="Z317" s="70"/>
      <c r="AA317" s="70"/>
      <c r="AB317" s="70"/>
      <c r="AC317" s="70"/>
      <c r="AD317" s="69"/>
      <c r="AE317" s="101"/>
      <c r="AF317" s="102"/>
      <c r="AG317" s="102"/>
      <c r="AH317" s="102"/>
      <c r="AI317" s="103"/>
      <c r="AJ317" s="266"/>
      <c r="AK317" s="104"/>
    </row>
    <row r="318" spans="1:37" ht="12.75" customHeight="1" thickBot="1">
      <c r="A318" s="221"/>
      <c r="B318" s="106"/>
      <c r="C318" s="105" t="s">
        <v>1790</v>
      </c>
      <c r="D318" s="105"/>
      <c r="E318" s="105"/>
      <c r="F318" s="106"/>
      <c r="G318" s="106"/>
      <c r="H318" s="106"/>
      <c r="I318" s="106"/>
      <c r="J318" s="106"/>
      <c r="K318" s="107"/>
      <c r="L318" s="107"/>
      <c r="M318" s="106"/>
      <c r="N318" s="106"/>
      <c r="O318" s="106"/>
      <c r="P318" s="106"/>
      <c r="Q318" s="106"/>
      <c r="R318" s="106"/>
      <c r="S318" s="106"/>
      <c r="T318" s="106"/>
      <c r="U318" s="106"/>
      <c r="V318" s="106"/>
      <c r="W318" s="106"/>
      <c r="X318" s="106"/>
      <c r="Y318" s="106"/>
      <c r="Z318" s="108"/>
      <c r="AA318" s="106"/>
      <c r="AB318" s="106"/>
      <c r="AC318" s="106"/>
      <c r="AD318" s="106"/>
      <c r="AE318" s="106"/>
      <c r="AF318" s="109"/>
      <c r="AG318" s="109"/>
      <c r="AH318" s="106"/>
      <c r="AI318" s="110"/>
      <c r="AJ318" s="110"/>
      <c r="AK318" s="111"/>
    </row>
    <row r="319" spans="1:37" ht="12" customHeight="1">
      <c r="V319" s="10"/>
      <c r="W319" s="10"/>
    </row>
    <row r="320" spans="1:37" ht="12.75" customHeight="1" thickBot="1">
      <c r="D320" s="50"/>
      <c r="E320" s="50"/>
      <c r="V320" s="10"/>
      <c r="W320" s="10"/>
    </row>
    <row r="321" spans="3:37" ht="12.75" customHeight="1" thickBot="1">
      <c r="C321" s="53"/>
      <c r="D321" s="52"/>
      <c r="E321" s="51"/>
      <c r="F321" s="39"/>
      <c r="G321" s="39"/>
      <c r="H321" s="11"/>
      <c r="I321" s="11"/>
      <c r="J321" s="11"/>
      <c r="K321" s="36" t="s">
        <v>1791</v>
      </c>
      <c r="L321" s="36"/>
      <c r="M321" s="11"/>
      <c r="N321" s="11"/>
      <c r="O321" s="11"/>
      <c r="P321" s="11"/>
      <c r="Q321" s="11"/>
      <c r="R321" s="11"/>
      <c r="S321" s="11"/>
      <c r="T321" s="11"/>
      <c r="U321" s="11"/>
      <c r="V321" s="11"/>
      <c r="W321" s="11"/>
      <c r="X321" s="11" t="s">
        <v>1792</v>
      </c>
      <c r="Y321" s="11" t="s">
        <v>1793</v>
      </c>
      <c r="Z321" s="11"/>
      <c r="AA321" s="11"/>
      <c r="AB321" s="11" t="s">
        <v>1794</v>
      </c>
      <c r="AC321" s="11"/>
      <c r="AD321" s="11"/>
      <c r="AE321" s="11" t="s">
        <v>1795</v>
      </c>
      <c r="AF321" s="11"/>
      <c r="AG321" s="11"/>
      <c r="AH321" s="256"/>
      <c r="AI321" s="260"/>
      <c r="AJ321" s="11" t="s">
        <v>1792</v>
      </c>
      <c r="AK321" s="27"/>
    </row>
    <row r="322" spans="3:37" ht="12" customHeight="1">
      <c r="C322" s="54"/>
      <c r="D322" s="40" t="b">
        <v>1</v>
      </c>
      <c r="E322" s="12" t="b">
        <v>1</v>
      </c>
      <c r="F322" s="40"/>
      <c r="G322" s="40"/>
      <c r="H322" s="12"/>
      <c r="I322" s="12"/>
      <c r="J322" s="12"/>
      <c r="K322" s="21" t="s">
        <v>321</v>
      </c>
      <c r="L322" s="21" t="s">
        <v>130</v>
      </c>
      <c r="M322" s="12"/>
      <c r="N322" s="12"/>
      <c r="O322" s="12"/>
      <c r="P322" s="12" t="s">
        <v>737</v>
      </c>
      <c r="Q322" s="12"/>
      <c r="R322" s="12"/>
      <c r="S322" s="12"/>
      <c r="T322" s="12" t="s">
        <v>193</v>
      </c>
      <c r="U322" s="12"/>
      <c r="V322" s="12"/>
      <c r="W322" s="21"/>
      <c r="X322" s="12" t="s">
        <v>1796</v>
      </c>
      <c r="Y322" s="12" t="s">
        <v>139</v>
      </c>
      <c r="Z322" s="12"/>
      <c r="AA322" s="22"/>
      <c r="AB322" s="24" t="s">
        <v>126</v>
      </c>
      <c r="AC322" s="24" t="s">
        <v>1797</v>
      </c>
      <c r="AD322" s="24" t="s">
        <v>1797</v>
      </c>
      <c r="AE322" s="12" t="s">
        <v>215</v>
      </c>
      <c r="AF322" s="12"/>
      <c r="AG322" s="12"/>
      <c r="AH322" s="257"/>
      <c r="AI322" s="261"/>
      <c r="AJ322" s="12" t="s">
        <v>1798</v>
      </c>
      <c r="AK322" s="28"/>
    </row>
    <row r="323" spans="3:37" ht="12" customHeight="1">
      <c r="C323" s="53"/>
      <c r="D323" s="41" t="b">
        <v>0</v>
      </c>
      <c r="E323" s="45" t="b">
        <v>0</v>
      </c>
      <c r="F323" s="41"/>
      <c r="G323" s="41"/>
      <c r="H323" s="18"/>
      <c r="I323" s="18"/>
      <c r="J323" s="45"/>
      <c r="K323" s="23" t="s">
        <v>1799</v>
      </c>
      <c r="L323" s="47" t="s">
        <v>1800</v>
      </c>
      <c r="M323" s="18"/>
      <c r="N323" s="45"/>
      <c r="O323" s="45"/>
      <c r="P323" s="18" t="s">
        <v>209</v>
      </c>
      <c r="Q323" s="45"/>
      <c r="R323" s="45"/>
      <c r="S323" s="45"/>
      <c r="T323" s="45" t="s">
        <v>1310</v>
      </c>
      <c r="U323" s="18"/>
      <c r="V323" s="18"/>
      <c r="W323" s="23"/>
      <c r="X323" s="18"/>
      <c r="Y323" s="18" t="s">
        <v>272</v>
      </c>
      <c r="Z323" s="18"/>
      <c r="AA323" s="22"/>
      <c r="AB323" s="48" t="s">
        <v>273</v>
      </c>
      <c r="AC323" s="48" t="s">
        <v>1801</v>
      </c>
      <c r="AD323" s="48" t="s">
        <v>1801</v>
      </c>
      <c r="AE323" s="18" t="s">
        <v>1802</v>
      </c>
      <c r="AF323" s="18"/>
      <c r="AG323" s="18"/>
      <c r="AH323" s="258"/>
      <c r="AI323" s="262"/>
      <c r="AJ323" s="45" t="s">
        <v>1803</v>
      </c>
      <c r="AK323" s="29"/>
    </row>
    <row r="324" spans="3:37" ht="12" customHeight="1">
      <c r="C324" s="53"/>
      <c r="D324" s="41"/>
      <c r="E324" s="45"/>
      <c r="F324" s="41"/>
      <c r="G324" s="41"/>
      <c r="H324" s="18"/>
      <c r="I324" s="18"/>
      <c r="J324" s="45"/>
      <c r="K324" s="23" t="s">
        <v>737</v>
      </c>
      <c r="L324" s="47" t="s">
        <v>1804</v>
      </c>
      <c r="M324" s="18"/>
      <c r="N324" s="45"/>
      <c r="O324" s="45"/>
      <c r="P324" s="18"/>
      <c r="Q324" s="45"/>
      <c r="R324" s="45"/>
      <c r="S324" s="45"/>
      <c r="T324" s="45"/>
      <c r="U324" s="18"/>
      <c r="V324" s="18"/>
      <c r="W324" s="23"/>
      <c r="X324" s="18"/>
      <c r="Y324" s="18" t="s">
        <v>196</v>
      </c>
      <c r="Z324" s="18"/>
      <c r="AA324" s="22"/>
      <c r="AB324" s="48" t="s">
        <v>198</v>
      </c>
      <c r="AC324" s="48" t="s">
        <v>1805</v>
      </c>
      <c r="AD324" s="48" t="s">
        <v>1805</v>
      </c>
      <c r="AE324" s="18" t="s">
        <v>373</v>
      </c>
      <c r="AF324" s="18"/>
      <c r="AG324" s="18"/>
      <c r="AH324" s="258"/>
      <c r="AI324" s="262"/>
      <c r="AJ324" s="45" t="s">
        <v>1806</v>
      </c>
      <c r="AK324" s="29"/>
    </row>
    <row r="325" spans="3:37">
      <c r="C325" s="53"/>
      <c r="D325" s="41"/>
      <c r="E325" s="45"/>
      <c r="F325" s="41"/>
      <c r="G325" s="41"/>
      <c r="H325" s="18"/>
      <c r="I325" s="18"/>
      <c r="J325" s="45"/>
      <c r="K325" s="23" t="s">
        <v>1807</v>
      </c>
      <c r="L325" s="47"/>
      <c r="M325" s="18"/>
      <c r="N325" s="45"/>
      <c r="O325" s="45"/>
      <c r="P325" s="18"/>
      <c r="Q325" s="45"/>
      <c r="R325" s="45"/>
      <c r="S325" s="45"/>
      <c r="T325" s="45"/>
      <c r="U325" s="18"/>
      <c r="V325" s="18"/>
      <c r="W325" s="18"/>
      <c r="X325" s="18"/>
      <c r="Y325" s="18" t="s">
        <v>212</v>
      </c>
      <c r="Z325" s="18"/>
      <c r="AA325" s="22"/>
      <c r="AB325" s="24" t="s">
        <v>1135</v>
      </c>
      <c r="AC325" s="24" t="s">
        <v>1808</v>
      </c>
      <c r="AD325" s="24" t="s">
        <v>1808</v>
      </c>
      <c r="AE325" s="18" t="s">
        <v>1809</v>
      </c>
      <c r="AF325" s="18"/>
      <c r="AG325" s="18"/>
      <c r="AH325" s="258"/>
      <c r="AI325" s="262"/>
      <c r="AJ325" s="45"/>
      <c r="AK325" s="29"/>
    </row>
    <row r="326" spans="3:37">
      <c r="C326" s="53"/>
      <c r="D326" s="41"/>
      <c r="E326" s="45"/>
      <c r="F326" s="41"/>
      <c r="G326" s="41"/>
      <c r="H326" s="18"/>
      <c r="I326" s="18"/>
      <c r="J326" s="45"/>
      <c r="K326" s="23" t="s">
        <v>166</v>
      </c>
      <c r="L326" s="47"/>
      <c r="M326" s="18"/>
      <c r="N326" s="45"/>
      <c r="O326" s="45"/>
      <c r="P326" s="18"/>
      <c r="Q326" s="45"/>
      <c r="R326" s="45"/>
      <c r="S326" s="45"/>
      <c r="T326" s="45"/>
      <c r="U326" s="18"/>
      <c r="V326" s="18"/>
      <c r="W326" s="18"/>
      <c r="X326" s="18"/>
      <c r="Y326" s="18" t="s">
        <v>126</v>
      </c>
      <c r="Z326" s="18"/>
      <c r="AA326" s="24"/>
      <c r="AB326" s="48" t="s">
        <v>1186</v>
      </c>
      <c r="AC326" s="24" t="s">
        <v>1810</v>
      </c>
      <c r="AD326" s="24" t="s">
        <v>1810</v>
      </c>
      <c r="AE326" s="18" t="s">
        <v>1675</v>
      </c>
      <c r="AF326" s="18"/>
      <c r="AG326" s="18"/>
      <c r="AH326" s="258"/>
      <c r="AI326" s="262"/>
      <c r="AJ326" s="45"/>
      <c r="AK326" s="29"/>
    </row>
    <row r="327" spans="3:37">
      <c r="C327" s="53"/>
      <c r="D327" s="41"/>
      <c r="E327" s="45"/>
      <c r="F327" s="41"/>
      <c r="G327" s="41"/>
      <c r="H327" s="18"/>
      <c r="I327" s="18"/>
      <c r="J327" s="45"/>
      <c r="K327" s="23" t="s">
        <v>209</v>
      </c>
      <c r="L327" s="47"/>
      <c r="M327" s="18"/>
      <c r="N327" s="45"/>
      <c r="O327" s="45"/>
      <c r="P327" s="18"/>
      <c r="Q327" s="45"/>
      <c r="R327" s="45"/>
      <c r="S327" s="45"/>
      <c r="T327" s="45"/>
      <c r="U327" s="18"/>
      <c r="V327" s="18"/>
      <c r="W327" s="18"/>
      <c r="X327" s="18"/>
      <c r="Y327" s="18"/>
      <c r="Z327" s="18"/>
      <c r="AA327" s="24"/>
      <c r="AB327" s="48" t="s">
        <v>1811</v>
      </c>
      <c r="AC327" s="24" t="s">
        <v>1812</v>
      </c>
      <c r="AD327" s="24" t="s">
        <v>1812</v>
      </c>
      <c r="AE327" s="18" t="s">
        <v>1781</v>
      </c>
      <c r="AF327" s="18"/>
      <c r="AG327" s="18"/>
      <c r="AH327" s="258"/>
      <c r="AI327" s="262"/>
      <c r="AJ327" s="45"/>
      <c r="AK327" s="29"/>
    </row>
    <row r="328" spans="3:37">
      <c r="C328" s="53"/>
      <c r="D328" s="41"/>
      <c r="E328" s="45"/>
      <c r="F328" s="41"/>
      <c r="G328" s="41"/>
      <c r="H328" s="18"/>
      <c r="I328" s="18"/>
      <c r="J328" s="45"/>
      <c r="K328" s="23" t="s">
        <v>1813</v>
      </c>
      <c r="L328" s="47"/>
      <c r="M328" s="18"/>
      <c r="N328" s="45"/>
      <c r="O328" s="45"/>
      <c r="P328" s="18"/>
      <c r="Q328" s="45"/>
      <c r="R328" s="45"/>
      <c r="S328" s="45"/>
      <c r="T328" s="45"/>
      <c r="U328" s="18"/>
      <c r="V328" s="18"/>
      <c r="W328" s="18"/>
      <c r="X328" s="18"/>
      <c r="Y328" s="18"/>
      <c r="Z328" s="18"/>
      <c r="AA328" s="24"/>
      <c r="AB328" s="48" t="s">
        <v>1814</v>
      </c>
      <c r="AC328" s="24" t="s">
        <v>1815</v>
      </c>
      <c r="AD328" s="24" t="s">
        <v>1815</v>
      </c>
      <c r="AE328" s="18" t="s">
        <v>1816</v>
      </c>
      <c r="AF328" s="18"/>
      <c r="AG328" s="18"/>
      <c r="AH328" s="258"/>
      <c r="AI328" s="262"/>
      <c r="AJ328" s="45"/>
      <c r="AK328" s="29"/>
    </row>
    <row r="329" spans="3:37">
      <c r="C329" s="53"/>
      <c r="D329" s="41"/>
      <c r="E329" s="45"/>
      <c r="F329" s="41"/>
      <c r="G329" s="41"/>
      <c r="H329" s="18"/>
      <c r="I329" s="18"/>
      <c r="J329" s="45"/>
      <c r="K329" s="23" t="s">
        <v>1817</v>
      </c>
      <c r="L329" s="47"/>
      <c r="M329" s="18"/>
      <c r="N329" s="45"/>
      <c r="O329" s="45"/>
      <c r="P329" s="18"/>
      <c r="Q329" s="45"/>
      <c r="R329" s="45"/>
      <c r="S329" s="45"/>
      <c r="T329" s="45"/>
      <c r="U329" s="18"/>
      <c r="V329" s="18"/>
      <c r="W329" s="18"/>
      <c r="X329" s="18"/>
      <c r="Y329" s="18"/>
      <c r="Z329" s="18"/>
      <c r="AA329" s="24"/>
      <c r="AB329" s="24" t="s">
        <v>1780</v>
      </c>
      <c r="AC329" s="24" t="s">
        <v>1818</v>
      </c>
      <c r="AD329" s="24" t="s">
        <v>1818</v>
      </c>
      <c r="AE329" s="18" t="s">
        <v>552</v>
      </c>
      <c r="AF329" s="18"/>
      <c r="AG329" s="18"/>
      <c r="AH329" s="258"/>
      <c r="AI329" s="262"/>
      <c r="AJ329" s="45"/>
      <c r="AK329" s="29"/>
    </row>
    <row r="330" spans="3:37">
      <c r="C330" s="53"/>
      <c r="D330" s="41"/>
      <c r="E330" s="45"/>
      <c r="F330" s="41"/>
      <c r="G330" s="41"/>
      <c r="H330" s="18"/>
      <c r="I330" s="18"/>
      <c r="J330" s="45"/>
      <c r="L330" s="47"/>
      <c r="M330" s="18"/>
      <c r="N330" s="45"/>
      <c r="O330" s="45"/>
      <c r="P330" s="18"/>
      <c r="Q330" s="45"/>
      <c r="R330" s="45"/>
      <c r="S330" s="45"/>
      <c r="T330" s="45"/>
      <c r="U330" s="18"/>
      <c r="V330" s="18"/>
      <c r="W330" s="18"/>
      <c r="X330" s="18"/>
      <c r="Y330" s="18"/>
      <c r="Z330" s="18"/>
      <c r="AA330" s="22"/>
      <c r="AB330" s="48" t="s">
        <v>1819</v>
      </c>
      <c r="AC330" s="48"/>
      <c r="AD330" s="32"/>
      <c r="AE330" s="18" t="s">
        <v>1820</v>
      </c>
      <c r="AF330" s="18"/>
      <c r="AG330" s="18"/>
      <c r="AH330" s="258"/>
      <c r="AI330" s="262"/>
      <c r="AJ330" s="45"/>
      <c r="AK330" s="29"/>
    </row>
    <row r="331" spans="3:37">
      <c r="C331" s="53"/>
      <c r="D331" s="41"/>
      <c r="E331" s="45"/>
      <c r="F331" s="41"/>
      <c r="G331" s="41"/>
      <c r="H331" s="18"/>
      <c r="I331" s="18"/>
      <c r="J331" s="45"/>
      <c r="K331" s="23"/>
      <c r="L331" s="47"/>
      <c r="M331" s="18"/>
      <c r="N331" s="45"/>
      <c r="O331" s="45"/>
      <c r="P331" s="18"/>
      <c r="Q331" s="45"/>
      <c r="R331" s="45"/>
      <c r="S331" s="45"/>
      <c r="T331" s="45"/>
      <c r="U331" s="18"/>
      <c r="V331" s="18"/>
      <c r="W331" s="18"/>
      <c r="X331" s="18"/>
      <c r="Y331" s="18"/>
      <c r="Z331" s="18"/>
      <c r="AA331" s="22"/>
      <c r="AB331" s="48" t="s">
        <v>1821</v>
      </c>
      <c r="AC331" s="48"/>
      <c r="AD331" s="23"/>
      <c r="AE331" s="18" t="s">
        <v>1822</v>
      </c>
      <c r="AF331" s="18"/>
      <c r="AG331" s="18"/>
      <c r="AH331" s="258"/>
      <c r="AI331" s="262"/>
      <c r="AJ331" s="45"/>
      <c r="AK331" s="29"/>
    </row>
    <row r="332" spans="3:37">
      <c r="C332" s="53"/>
      <c r="D332" s="41"/>
      <c r="E332" s="45"/>
      <c r="F332" s="41"/>
      <c r="G332" s="41"/>
      <c r="H332" s="18"/>
      <c r="I332" s="18"/>
      <c r="J332" s="45"/>
      <c r="K332" s="23"/>
      <c r="L332" s="47"/>
      <c r="M332" s="18"/>
      <c r="N332" s="45"/>
      <c r="O332" s="45"/>
      <c r="P332" s="18"/>
      <c r="Q332" s="45"/>
      <c r="R332" s="45"/>
      <c r="S332" s="45"/>
      <c r="T332" s="45"/>
      <c r="U332" s="18"/>
      <c r="V332" s="18"/>
      <c r="W332" s="18"/>
      <c r="X332" s="18"/>
      <c r="Y332" s="18"/>
      <c r="Z332" s="18"/>
      <c r="AA332" s="25"/>
      <c r="AB332" s="49"/>
      <c r="AC332" s="49"/>
      <c r="AD332" s="25"/>
      <c r="AE332" s="18"/>
      <c r="AF332" s="18"/>
      <c r="AG332" s="18"/>
      <c r="AH332" s="258"/>
      <c r="AI332" s="262"/>
      <c r="AJ332" s="45"/>
      <c r="AK332" s="29"/>
    </row>
    <row r="333" spans="3:37">
      <c r="C333" s="53"/>
      <c r="D333" s="41"/>
      <c r="E333" s="45"/>
      <c r="F333" s="41"/>
      <c r="G333" s="41"/>
      <c r="H333" s="18"/>
      <c r="I333" s="18"/>
      <c r="J333" s="45"/>
      <c r="K333" s="23"/>
      <c r="L333" s="47"/>
      <c r="M333" s="18"/>
      <c r="N333" s="45"/>
      <c r="O333" s="45"/>
      <c r="P333" s="18"/>
      <c r="Q333" s="45"/>
      <c r="R333" s="45"/>
      <c r="S333" s="45"/>
      <c r="T333" s="45"/>
      <c r="U333" s="18"/>
      <c r="V333" s="18"/>
      <c r="W333" s="18"/>
      <c r="X333" s="18"/>
      <c r="Y333" s="18"/>
      <c r="Z333" s="18"/>
      <c r="AA333" s="18"/>
      <c r="AB333" s="45"/>
      <c r="AC333" s="45"/>
      <c r="AD333" s="18"/>
      <c r="AE333" s="18"/>
      <c r="AF333" s="18"/>
      <c r="AG333" s="18"/>
      <c r="AH333" s="258"/>
      <c r="AI333" s="262"/>
      <c r="AJ333" s="45"/>
      <c r="AK333" s="29"/>
    </row>
    <row r="334" spans="3:37" ht="12" thickBot="1">
      <c r="C334" s="53"/>
      <c r="D334" s="42"/>
      <c r="E334" s="13"/>
      <c r="F334" s="42"/>
      <c r="G334" s="42"/>
      <c r="H334" s="13"/>
      <c r="I334" s="13"/>
      <c r="J334" s="13"/>
      <c r="K334" s="37"/>
      <c r="L334" s="37"/>
      <c r="M334" s="13"/>
      <c r="N334" s="13"/>
      <c r="O334" s="13"/>
      <c r="P334" s="13"/>
      <c r="Q334" s="13"/>
      <c r="R334" s="13"/>
      <c r="S334" s="13"/>
      <c r="T334" s="13"/>
      <c r="U334" s="13"/>
      <c r="V334" s="13"/>
      <c r="W334" s="13"/>
      <c r="X334" s="13"/>
      <c r="Y334" s="13"/>
      <c r="Z334" s="13"/>
      <c r="AA334" s="13"/>
      <c r="AB334" s="13"/>
      <c r="AC334" s="13"/>
      <c r="AD334" s="13"/>
      <c r="AE334" s="13"/>
      <c r="AF334" s="13"/>
      <c r="AG334" s="13"/>
      <c r="AH334" s="259"/>
      <c r="AI334" s="263"/>
      <c r="AJ334" s="13"/>
      <c r="AK334" s="26"/>
    </row>
    <row r="335" spans="3:37">
      <c r="C335" s="14"/>
      <c r="D335" s="14"/>
      <c r="E335" s="14"/>
      <c r="F335" s="14"/>
      <c r="G335" s="14"/>
      <c r="H335" s="14"/>
      <c r="I335" s="14"/>
      <c r="J335" s="14"/>
      <c r="K335" s="38"/>
      <c r="L335" s="38"/>
      <c r="M335" s="14"/>
      <c r="N335" s="14"/>
      <c r="O335" s="14"/>
      <c r="P335" s="14"/>
      <c r="Q335" s="14"/>
      <c r="R335" s="14"/>
      <c r="S335" s="14"/>
      <c r="T335" s="14"/>
      <c r="U335" s="14"/>
      <c r="V335" s="14"/>
      <c r="W335" s="14"/>
      <c r="X335" s="14"/>
      <c r="Y335" s="19"/>
      <c r="Z335" s="19"/>
      <c r="AA335" s="19"/>
      <c r="AB335" s="19"/>
      <c r="AC335" s="19"/>
      <c r="AD335" s="19"/>
      <c r="AE335" s="19"/>
      <c r="AF335" s="14"/>
      <c r="AG335" s="14"/>
      <c r="AH335" s="17"/>
      <c r="AI335" s="17"/>
      <c r="AJ335" s="19"/>
      <c r="AK335" s="19"/>
    </row>
  </sheetData>
  <autoFilter ref="A3:AQ319" xr:uid="{00000000-0001-0000-0100-000000000000}"/>
  <sortState xmlns:xlrd2="http://schemas.microsoft.com/office/spreadsheetml/2017/richdata2" ref="B2:AQ335">
    <sortCondition ref="Y2:Y335"/>
    <sortCondition ref="U2:U335"/>
  </sortState>
  <dataConsolidate/>
  <mergeCells count="2">
    <mergeCell ref="B4:AK5"/>
    <mergeCell ref="A216:AK217"/>
  </mergeCells>
  <phoneticPr fontId="0" type="noConversion"/>
  <conditionalFormatting sqref="K319:L319 H319 R318:U318 U319:V319">
    <cfRule type="cellIs" dxfId="5" priority="1203" stopIfTrue="1" operator="equal">
      <formula>" "</formula>
    </cfRule>
  </conditionalFormatting>
  <conditionalFormatting sqref="M318:Q318 H318:J318">
    <cfRule type="cellIs" dxfId="4" priority="3" stopIfTrue="1" operator="equal">
      <formula>" "</formula>
    </cfRule>
  </conditionalFormatting>
  <conditionalFormatting sqref="V318">
    <cfRule type="cellIs" dxfId="3" priority="2" stopIfTrue="1" operator="equal">
      <formula>" "</formula>
    </cfRule>
  </conditionalFormatting>
  <dataValidations count="40">
    <dataValidation type="list" allowBlank="1" sqref="Z319" xr:uid="{00000000-0002-0000-0100-000000000000}">
      <formula1>$Y$322:$Y$325</formula1>
    </dataValidation>
    <dataValidation type="list" allowBlank="1" sqref="AK218:AK240 AH319:AJ319 AK242:AK319 AK6:AK9 AK61:AK68 AK55:AK57 AK35:AK51 AK12:AK33 AK179:AK215 AK96:AK104 AK107:AK116 AK118:AK177" xr:uid="{00000000-0002-0000-0100-000006000000}">
      <formula1>$AJ$322:$AJ$324</formula1>
    </dataValidation>
    <dataValidation type="list" allowBlank="1" sqref="AE319" xr:uid="{00000000-0002-0000-0100-000007000000}">
      <formula1>$AE$322:$AE$333</formula1>
    </dataValidation>
    <dataValidation type="list" allowBlank="1" sqref="X319" xr:uid="{00000000-0002-0000-0100-000008000000}">
      <formula1>$X$322</formula1>
    </dataValidation>
    <dataValidation type="list" allowBlank="1" showInputMessage="1" showErrorMessage="1" sqref="P96:P104 P107:P116 P118:P177 P6:P33 P179:P215 P55:P57 P35:P51 P61:P89 P318:S318 P242:P317 P218:P240" xr:uid="{00000000-0002-0000-0100-00000B000000}">
      <formula1>$P$322:$P$323</formula1>
    </dataValidation>
    <dataValidation type="list" allowBlank="1" sqref="AK10:AK11 AJ11 AE218:AE318 AE6:AE215" xr:uid="{00000000-0002-0000-0100-00000E000000}">
      <formula1>#REF!</formula1>
    </dataValidation>
    <dataValidation type="textLength" operator="lessThanOrEqual" allowBlank="1" showInputMessage="1" showErrorMessage="1" errorTitle="UL/DL Tagnaam" error="Lengte mag maximum 24 karakters zijn i.f.v. EBR ticket." sqref="V6:V9 S18:S21 U18:U21 V218:V317 V11:V215" xr:uid="{2DC18568-605F-4DAE-B698-292743798576}">
      <formula1>24</formula1>
    </dataValidation>
    <dataValidation type="list" allowBlank="1" sqref="K319:L319" xr:uid="{00000000-0002-0000-0100-000004000000}">
      <formula1>$K$322:$K$328</formula1>
    </dataValidation>
    <dataValidation type="list" allowBlank="1" showInputMessage="1" showErrorMessage="1" sqref="K318:L318" xr:uid="{2B2BE842-04F3-46A0-BA77-C5A702DCDAAC}">
      <formula1>$K$322:$K$329</formula1>
    </dataValidation>
    <dataValidation operator="lessThanOrEqual" allowBlank="1" showInputMessage="1" showErrorMessage="1" errorTitle="UL/DL Tagnaam" error="Lengte mag maximum 24 karakters zijn i.f.v. EBR ticket." sqref="V10" xr:uid="{496275BA-8C9E-49EA-86E6-668FC2BB12D7}"/>
    <dataValidation type="list" allowBlank="1" showInputMessage="1" showErrorMessage="1" sqref="L6:L33 L107:L116 L118:L177 L179:L215 L61:L68 L54:L57 L35:L51 L96:L104 L218:L240 L242:L317" xr:uid="{00000000-0002-0000-0100-000011000000}">
      <formula1>$L$322:$L$330</formula1>
    </dataValidation>
    <dataValidation type="list" allowBlank="1" showInputMessage="1" showErrorMessage="1" sqref="D219:E240 D62:D68 E61:E68 D35:E51 D179:E215 D53:D54 D118:E177 D55:E57 D96:E104 D105:D106 D107:E116 D242:E317 D7:E33" xr:uid="{F03C9B89-3620-462A-BF9E-D5C883F3AADE}">
      <formula1>$D$322:$D$323</formula1>
    </dataValidation>
    <dataValidation type="list" errorStyle="warning" allowBlank="1" showInputMessage="1" showErrorMessage="1" errorTitle="String error" error="Vul String lengte in tussen vierkante haakjes" sqref="K6:K33 K118:K177 K53:K57 K179:K215 K61:K68 K35:K51 K96:K104 K107:K116 K242:K317 K218:K240" xr:uid="{A1C4B394-554F-4F2C-8E38-0D1F65E6B1C8}">
      <formula1>$K$322:$K$329</formula1>
    </dataValidation>
    <dataValidation type="list" allowBlank="1" showInputMessage="1" showErrorMessage="1" sqref="D34:E34 D61 D52 D69:E89 D58:E60 E53:E54" xr:uid="{39D1EDD3-B3BD-4437-A0E8-EE7D455187D0}">
      <formula1>$D$330:$D$331</formula1>
    </dataValidation>
    <dataValidation type="list" allowBlank="1" sqref="AK69:AK89 AK34 AK52:AK54 AK58:AK60" xr:uid="{9C254F61-84A0-46C4-9AD1-6562583CD66F}">
      <formula1>$AJ$330:$AJ$332</formula1>
    </dataValidation>
    <dataValidation type="list" allowBlank="1" showInputMessage="1" showErrorMessage="1" sqref="P34 P58:P60 P52:P54" xr:uid="{03584276-B6F7-46F0-8624-85C31C03AE9B}">
      <formula1>$P$330:$P$331</formula1>
    </dataValidation>
    <dataValidation type="list" errorStyle="warning" allowBlank="1" showInputMessage="1" showErrorMessage="1" errorTitle="String error" error="Vul String lengte in tussen vierkante haakjes" sqref="K178 K90:K95 K105:K106 K117 K241" xr:uid="{7151A28A-5253-4CC5-AD0A-66E0FE4FF417}">
      <formula1>$K$324:$K$331</formula1>
    </dataValidation>
    <dataValidation type="list" allowBlank="1" showInputMessage="1" showErrorMessage="1" sqref="D178:E178 E105:E106 D90:E95 D117:E117 D241:E241" xr:uid="{AEEE7E7A-0860-4650-B977-ECC92C92FB4A}">
      <formula1>$D$324:$D$325</formula1>
    </dataValidation>
    <dataValidation type="list" allowBlank="1" showInputMessage="1" showErrorMessage="1" sqref="L178 L90:L95 L241 L117 L105:L106" xr:uid="{F7CB1635-BDF7-4665-A4CB-279D491AED03}">
      <formula1>$L$324:$L$332</formula1>
    </dataValidation>
    <dataValidation type="list" allowBlank="1" showInputMessage="1" showErrorMessage="1" sqref="P178 P90:P95 P105:P106 P117 P241" xr:uid="{AD2AEDC4-EC8B-461F-A654-C1C89ACE0C6C}">
      <formula1>$P$324:$P$325</formula1>
    </dataValidation>
    <dataValidation type="list" allowBlank="1" sqref="AK178 AK241 AK105:AK106 AK117 AK90:AK95" xr:uid="{AB3629FF-7495-40E7-94EE-20F68CA70594}">
      <formula1>$AJ$324:$AJ$326</formula1>
    </dataValidation>
    <dataValidation type="list" allowBlank="1" showDropDown="1" showInputMessage="1" showErrorMessage="1" sqref="AB218:AB313 AB316:AB318 AB6:AB41 AB44:AB215" xr:uid="{A4FCC906-8D1B-4101-A49A-079248D6A88D}">
      <formula1>$AB$322:$AB$328</formula1>
    </dataValidation>
    <dataValidation type="list" allowBlank="1" showDropDown="1" showInputMessage="1" showErrorMessage="1" sqref="AC218:AC318 AD6:AD215" xr:uid="{A23A7E44-03FB-468B-BC0B-5C9602A0313C}">
      <formula1>$AC$322:$AC$329</formula1>
    </dataValidation>
    <dataValidation type="list" allowBlank="1" showDropDown="1" showInputMessage="1" showErrorMessage="1" sqref="AD218:AD318" xr:uid="{6CF8DBA6-C4C1-4ECA-823C-C981D2DEE89F}">
      <formula1>$AD$322:$AD$329</formula1>
    </dataValidation>
    <dataValidation type="list" allowBlank="1" showInputMessage="1" showErrorMessage="1" sqref="L34 L69:L89 L58:L60 L52:L53" xr:uid="{26E5D08C-226C-4127-B570-5EB5156FD68A}">
      <formula1>$L$330:$L$338</formula1>
    </dataValidation>
    <dataValidation type="list" errorStyle="warning" allowBlank="1" showInputMessage="1" showErrorMessage="1" errorTitle="String error" error="Vul String lengte in tussen vierkante haakjes" sqref="K34 K52 K58:K60 K69:K89" xr:uid="{3492B996-2839-4191-9D75-C347F895E823}">
      <formula1>$K$330:$K$337</formula1>
    </dataValidation>
    <dataValidation type="list" allowBlank="1" sqref="X105:X106 X90:X95 X117 X178" xr:uid="{DCEA8745-C10F-42E7-98F8-AACA7DC33C2A}">
      <formula1>$V$324</formula1>
    </dataValidation>
    <dataValidation type="list" allowBlank="1" showInputMessage="1" showErrorMessage="1" sqref="Y218:Y317 Y6:Y57 Y59 Y61:Y215" xr:uid="{7786E44B-9D53-42ED-8159-4FF0E8823D04}">
      <formula1>#REF!</formula1>
    </dataValidation>
    <dataValidation type="list" allowBlank="1" sqref="Z105:Z106 Z241 Z178 Z117 Z90:Z95" xr:uid="{E9EE9380-268C-4405-8A73-25DE36667018}">
      <formula1>$W$324:$W$327</formula1>
    </dataValidation>
    <dataValidation type="list" allowBlank="1" sqref="X34 X69:X89 X58:X60 X52:X54" xr:uid="{8B839888-E9E8-4958-91B7-D242745D2950}">
      <formula1>$V$330</formula1>
    </dataValidation>
    <dataValidation type="list" allowBlank="1" sqref="Z34 Z69:Z89 Z58:Z61 Z52" xr:uid="{42EF95EB-8407-419D-81C2-B97516C722D7}">
      <formula1>$W$330:$W$333</formula1>
    </dataValidation>
    <dataValidation type="list" allowBlank="1" sqref="Z6:Z33 Z218:Z240 Z242:Z317 Z35:Z51 Z107:Z116 Z96:Z104 Z53:Z57 Z118:Z177 Z179:Z215 Z62:Z68" xr:uid="{B2827BDF-76E9-4871-98FC-9B873479A791}">
      <formula1>$W$322:$W$325</formula1>
    </dataValidation>
    <dataValidation type="list" allowBlank="1" sqref="X6:X9 X179:X215 X61:X68 X55:X57 X11:X33 X96:X104 X107:X116 X118:X177 X35:X51 X218:X318" xr:uid="{97DFF8C0-0602-48DD-AC75-B6F737AF4D96}">
      <formula1>$V$322</formula1>
    </dataValidation>
    <dataValidation type="list" allowBlank="1" sqref="AJ90:AJ95 AJ241 AJ178 AJ117 AJ105:AJ106" xr:uid="{BB46BE69-15EE-45C3-8AC4-CE94B44A53E0}">
      <formula1>$AE$324:$AE$326</formula1>
    </dataValidation>
    <dataValidation type="list" allowBlank="1" sqref="AJ72" xr:uid="{AA374860-1275-4639-B018-BA600DAA3C2B}">
      <formula1>$AB$440:$AB$442</formula1>
    </dataValidation>
    <dataValidation type="list" allowBlank="1" sqref="AJ34 AJ52:AJ54 AJ58:AJ60 AJ73:AJ89 AJ69:AJ71" xr:uid="{59F2260B-B4CF-40B9-91A2-7C08D74D6B59}">
      <formula1>$AE$330:$AE$332</formula1>
    </dataValidation>
    <dataValidation type="list" allowBlank="1" sqref="AJ10" xr:uid="{B6DCD36C-B91B-48B2-80C4-37B1E27B4574}">
      <formula1>$AE$365:$AE$368</formula1>
    </dataValidation>
    <dataValidation type="list" allowBlank="1" sqref="AJ6:AJ9 AJ242:AJ317 AJ218:AJ240 AH318:AJ318 AJ118:AJ177 AJ107:AJ116 AJ96:AJ104 AJ179:AJ215 AJ12:AJ33 AJ35:AJ51 AJ55:AJ57 AJ61:AJ68" xr:uid="{FA413992-9A61-454E-AA20-5E2679B73700}">
      <formula1>$AE$322:$AE$324</formula1>
    </dataValidation>
    <dataValidation type="list" allowBlank="1" showInputMessage="1" showErrorMessage="1" sqref="Y58" xr:uid="{42A11242-CD4C-4CBE-9BCB-0B252AF8C62B}">
      <formula1>$Y$322:$Y$326</formula1>
    </dataValidation>
    <dataValidation type="list" allowBlank="1" showDropDown="1" sqref="AC6:AC215" xr:uid="{C9278348-A134-49CE-A8C1-07E4753E234E}">
      <formula1>$AC$322:$AC$329</formula1>
    </dataValidation>
  </dataValidations>
  <pageMargins left="0.74803149606299213" right="0.74803149606299213" top="1.299212598425197" bottom="0.98425196850393704" header="0.51181102362204722" footer="0.51181102362204722"/>
  <pageSetup paperSize="8" scale="37" fitToHeight="0" orientation="landscape" r:id="rId1"/>
  <headerFooter alignWithMargins="0">
    <oddHeader>&amp;LMachine Number : 84130003 84130004
Machine Name : IFC - VL1 - Filling Machine &amp; Capper
CU Number : 7002
VU Number : 3922 3923&amp;C
DOWNLOAD LIST&amp;RFilename: &amp;F
Date: &amp;D</oddHeader>
    <oddFooter>&amp;LBased on template :&amp;CDownloadList_CUxxxx_A3&amp;RPage &amp;P/&amp;N</oddFooter>
  </headerFooter>
  <drawing r:id="rId2"/>
  <legacyDrawing r:id="rId3"/>
  <controls>
    <mc:AlternateContent xmlns:mc="http://schemas.openxmlformats.org/markup-compatibility/2006">
      <mc:Choice Requires="x14">
        <control shapeId="1216" r:id="rId8" name="cmdGenerateRMSimport">
          <controlPr defaultSize="0" autoLine="0" r:id="rId9">
            <anchor moveWithCells="1">
              <from>
                <xdr:col>7</xdr:col>
                <xdr:colOff>0</xdr:colOff>
                <xdr:row>1</xdr:row>
                <xdr:rowOff>0</xdr:rowOff>
              </from>
              <to>
                <xdr:col>7</xdr:col>
                <xdr:colOff>1441450</xdr:colOff>
                <xdr:row>2</xdr:row>
                <xdr:rowOff>165100</xdr:rowOff>
              </to>
            </anchor>
          </controlPr>
        </control>
      </mc:Choice>
      <mc:Fallback>
        <control shapeId="1216" r:id="rId8" name="cmdGenerateRMSimport"/>
      </mc:Fallback>
    </mc:AlternateContent>
    <mc:AlternateContent xmlns:mc="http://schemas.openxmlformats.org/markup-compatibility/2006">
      <mc:Choice Requires="x14">
        <control shapeId="1225" r:id="rId6" name="Visual">
          <controlPr defaultSize="0" autoLine="0" r:id="rId7">
            <anchor moveWithCells="1">
              <from>
                <xdr:col>5</xdr:col>
                <xdr:colOff>133350</xdr:colOff>
                <xdr:row>0</xdr:row>
                <xdr:rowOff>31750</xdr:rowOff>
              </from>
              <to>
                <xdr:col>5</xdr:col>
                <xdr:colOff>2108200</xdr:colOff>
                <xdr:row>0</xdr:row>
                <xdr:rowOff>450850</xdr:rowOff>
              </to>
            </anchor>
          </controlPr>
        </control>
      </mc:Choice>
      <mc:Fallback>
        <control shapeId="1225" r:id="rId6" name="Visual"/>
      </mc:Fallback>
    </mc:AlternateContent>
    <mc:AlternateContent xmlns:mc="http://schemas.openxmlformats.org/markup-compatibility/2006">
      <mc:Choice Requires="x14">
        <control shapeId="1372" r:id="rId4" name="ListBoxAuthorization">
          <controlPr defaultSize="0" autoLine="0" r:id="rId5">
            <anchor moveWithCells="1">
              <from>
                <xdr:col>29</xdr:col>
                <xdr:colOff>0</xdr:colOff>
                <xdr:row>319</xdr:row>
                <xdr:rowOff>0</xdr:rowOff>
              </from>
              <to>
                <xdr:col>33</xdr:col>
                <xdr:colOff>476250</xdr:colOff>
                <xdr:row>328</xdr:row>
                <xdr:rowOff>0</xdr:rowOff>
              </to>
            </anchor>
          </controlPr>
        </control>
      </mc:Choice>
      <mc:Fallback>
        <control shapeId="1372" r:id="rId4" name="ListBoxAuthorization"/>
      </mc:Fallback>
    </mc:AlternateContent>
    <mc:AlternateContent xmlns:mc="http://schemas.openxmlformats.org/markup-compatibility/2006">
      <mc:Choice Requires="x14">
        <control shapeId="1234" r:id="rId10" name="Button 210">
          <controlPr defaultSize="0" print="0" autoFill="0" autoPict="0" macro="[0]!CommandButton1_Click">
            <anchor moveWithCells="1" sizeWithCells="1">
              <from>
                <xdr:col>5</xdr:col>
                <xdr:colOff>2247900</xdr:colOff>
                <xdr:row>0</xdr:row>
                <xdr:rowOff>107950</xdr:rowOff>
              </from>
              <to>
                <xdr:col>5</xdr:col>
                <xdr:colOff>3276600</xdr:colOff>
                <xdr:row>0</xdr:row>
                <xdr:rowOff>412750</xdr:rowOff>
              </to>
            </anchor>
          </controlPr>
        </control>
      </mc:Choice>
    </mc:AlternateContent>
    <mc:AlternateContent xmlns:mc="http://schemas.openxmlformats.org/markup-compatibility/2006">
      <mc:Choice Requires="x14">
        <control shapeId="1235" r:id="rId11" name="Button 211">
          <controlPr defaultSize="0" print="0" autoFill="0" autoPict="0" macro="[0]!CommandButton2_Click">
            <anchor moveWithCells="1" sizeWithCells="1">
              <from>
                <xdr:col>5</xdr:col>
                <xdr:colOff>3429000</xdr:colOff>
                <xdr:row>0</xdr:row>
                <xdr:rowOff>107950</xdr:rowOff>
              </from>
              <to>
                <xdr:col>6</xdr:col>
                <xdr:colOff>69850</xdr:colOff>
                <xdr:row>0</xdr:row>
                <xdr:rowOff>412750</xdr:rowOff>
              </to>
            </anchor>
          </controlPr>
        </control>
      </mc:Choice>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42AF8A6C-3DD7-47BF-A9B2-2D49B7DE6017}">
          <x14:formula1>
            <xm:f>OFFSET(StatusTags!$F$4,0,0,COUNTIF(StatusTags!$F$4:$F$80000,"&lt;&gt;"))</xm:f>
          </x14:formula1>
          <xm:sqref>T218:T227 T6:T15</xm:sqref>
        </x14:dataValidation>
        <x14:dataValidation type="list" allowBlank="1" showDropDown="1" showInputMessage="1" showErrorMessage="1" xr:uid="{2F1F42B9-F3CA-4532-BFE8-A9649D033831}">
          <x14:formula1>
            <xm:f>ComponentTypes!$B$2:$B$8</xm:f>
          </x14:formula1>
          <xm:sqref>W1:W35 W37:W1048576</xm:sqref>
        </x14:dataValidation>
        <x14:dataValidation type="list" allowBlank="1" showDropDown="1" showInputMessage="1" xr:uid="{24E64056-2880-47CC-94F5-D09906DD89D1}">
          <x14:formula1>
            <xm:f>ComponentTypes!$B$2:$B$8</xm:f>
          </x14:formula1>
          <xm:sqref>W36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00042E-65F3-4760-ABC9-84A8412BD50F}">
  <sheetPr codeName="Sheet10"/>
  <dimension ref="A1:E46"/>
  <sheetViews>
    <sheetView showGridLines="0" zoomScaleNormal="100" workbookViewId="0">
      <selection activeCell="C14" sqref="C14"/>
    </sheetView>
  </sheetViews>
  <sheetFormatPr defaultColWidth="9.33203125" defaultRowHeight="12.6"/>
  <cols>
    <col min="1" max="2" width="35.6640625" style="188" customWidth="1"/>
    <col min="3" max="3" width="35.6640625" style="199" customWidth="1"/>
    <col min="4" max="7" width="9.33203125" style="56" customWidth="1"/>
    <col min="8" max="16384" width="9.33203125" style="56"/>
  </cols>
  <sheetData>
    <row r="1" spans="1:5" s="202" customFormat="1" ht="20.100000000000001">
      <c r="A1" s="200" t="s">
        <v>1823</v>
      </c>
      <c r="B1" s="44"/>
      <c r="C1" s="201"/>
      <c r="D1" s="16"/>
      <c r="E1" s="16"/>
    </row>
    <row r="2" spans="1:5" s="202" customFormat="1" ht="12.95" thickBot="1">
      <c r="A2" s="203"/>
      <c r="B2" s="203"/>
      <c r="C2" s="204"/>
    </row>
    <row r="3" spans="1:5" s="202" customFormat="1">
      <c r="A3" s="205" t="s">
        <v>1824</v>
      </c>
      <c r="B3" s="206" t="s">
        <v>1825</v>
      </c>
      <c r="C3" s="204"/>
    </row>
    <row r="4" spans="1:5" s="202" customFormat="1">
      <c r="A4" s="207" t="s">
        <v>1826</v>
      </c>
      <c r="B4" s="208">
        <v>84130003</v>
      </c>
      <c r="C4" s="204"/>
    </row>
    <row r="5" spans="1:5" s="202" customFormat="1">
      <c r="A5" s="207" t="s">
        <v>1827</v>
      </c>
      <c r="B5" s="208">
        <v>7102</v>
      </c>
      <c r="C5" s="204"/>
    </row>
    <row r="6" spans="1:5" s="202" customFormat="1">
      <c r="A6" s="207" t="s">
        <v>1828</v>
      </c>
      <c r="B6" s="208"/>
      <c r="C6" s="204"/>
    </row>
    <row r="7" spans="1:5" s="202" customFormat="1">
      <c r="A7" s="207" t="s">
        <v>1829</v>
      </c>
      <c r="B7" s="208"/>
      <c r="C7" s="204"/>
    </row>
    <row r="8" spans="1:5" s="202" customFormat="1" ht="12.95" thickBot="1">
      <c r="A8" s="209" t="s">
        <v>1830</v>
      </c>
      <c r="B8" s="210"/>
      <c r="C8" s="204"/>
    </row>
    <row r="9" spans="1:5" ht="12.95" thickBot="1"/>
    <row r="10" spans="1:5" s="202" customFormat="1" ht="12.95" thickBot="1">
      <c r="A10" s="188"/>
      <c r="B10" s="211" t="s">
        <v>1831</v>
      </c>
      <c r="C10" s="212" t="s">
        <v>1832</v>
      </c>
    </row>
    <row r="11" spans="1:5" s="202" customFormat="1">
      <c r="A11" s="205" t="s">
        <v>1833</v>
      </c>
      <c r="B11" s="213" t="s">
        <v>1834</v>
      </c>
      <c r="C11" s="214">
        <v>3922</v>
      </c>
    </row>
    <row r="12" spans="1:5" s="202" customFormat="1">
      <c r="A12" s="215" t="s">
        <v>1835</v>
      </c>
      <c r="B12" s="213" t="s">
        <v>1836</v>
      </c>
      <c r="C12" s="214">
        <v>3923</v>
      </c>
    </row>
    <row r="13" spans="1:5" s="202" customFormat="1">
      <c r="A13" s="215" t="s">
        <v>1837</v>
      </c>
      <c r="B13" s="213"/>
      <c r="C13" s="214"/>
    </row>
    <row r="14" spans="1:5" s="202" customFormat="1">
      <c r="A14" s="215" t="s">
        <v>1838</v>
      </c>
      <c r="B14" s="213"/>
      <c r="C14" s="214"/>
    </row>
    <row r="15" spans="1:5" s="202" customFormat="1">
      <c r="A15" s="215" t="s">
        <v>1839</v>
      </c>
      <c r="B15" s="213"/>
      <c r="C15" s="214"/>
    </row>
    <row r="16" spans="1:5" s="202" customFormat="1">
      <c r="A16" s="215" t="s">
        <v>1840</v>
      </c>
      <c r="B16" s="213"/>
      <c r="C16" s="214"/>
    </row>
    <row r="17" spans="1:3" s="202" customFormat="1">
      <c r="A17" s="215" t="s">
        <v>1841</v>
      </c>
      <c r="B17" s="213"/>
      <c r="C17" s="214"/>
    </row>
    <row r="18" spans="1:3" s="202" customFormat="1">
      <c r="A18" s="215" t="s">
        <v>1842</v>
      </c>
      <c r="B18" s="213"/>
      <c r="C18" s="214"/>
    </row>
    <row r="19" spans="1:3" s="202" customFormat="1">
      <c r="A19" s="215" t="s">
        <v>1843</v>
      </c>
      <c r="B19" s="213"/>
      <c r="C19" s="214"/>
    </row>
    <row r="20" spans="1:3" s="202" customFormat="1" ht="12.95" thickBot="1">
      <c r="A20" s="209" t="s">
        <v>1844</v>
      </c>
      <c r="B20" s="216"/>
      <c r="C20" s="217"/>
    </row>
    <row r="21" spans="1:3" ht="12.95" thickBot="1"/>
    <row r="22" spans="1:3" s="202" customFormat="1" ht="12.95" thickBot="1">
      <c r="A22" s="205" t="s">
        <v>1845</v>
      </c>
      <c r="B22" s="206"/>
      <c r="C22" s="204"/>
    </row>
    <row r="23" spans="1:3" s="202" customFormat="1" ht="12.95" thickBot="1">
      <c r="A23" s="207" t="s">
        <v>1846</v>
      </c>
      <c r="B23" s="301"/>
      <c r="C23" s="302"/>
    </row>
    <row r="24" spans="1:3" s="202" customFormat="1">
      <c r="A24" s="207" t="s">
        <v>1847</v>
      </c>
      <c r="B24" s="208"/>
      <c r="C24" s="204"/>
    </row>
    <row r="25" spans="1:3" s="202" customFormat="1">
      <c r="A25" s="207" t="s">
        <v>1848</v>
      </c>
      <c r="B25" s="208"/>
      <c r="C25" s="204"/>
    </row>
    <row r="26" spans="1:3" s="202" customFormat="1">
      <c r="A26" s="207" t="s">
        <v>1849</v>
      </c>
      <c r="B26" s="208"/>
      <c r="C26" s="204"/>
    </row>
    <row r="27" spans="1:3" s="202" customFormat="1">
      <c r="A27" s="207" t="s">
        <v>1850</v>
      </c>
      <c r="B27" s="208"/>
      <c r="C27" s="204"/>
    </row>
    <row r="28" spans="1:3" s="202" customFormat="1">
      <c r="A28" s="207" t="s">
        <v>1851</v>
      </c>
      <c r="B28" s="208"/>
      <c r="C28" s="204"/>
    </row>
    <row r="29" spans="1:3" s="202" customFormat="1">
      <c r="A29" s="207" t="s">
        <v>1852</v>
      </c>
      <c r="B29" s="208"/>
      <c r="C29" s="204"/>
    </row>
    <row r="30" spans="1:3" s="202" customFormat="1" ht="12.95" thickBot="1">
      <c r="A30" s="209" t="s">
        <v>1853</v>
      </c>
      <c r="B30" s="210"/>
      <c r="C30" s="204"/>
    </row>
    <row r="31" spans="1:3" ht="12.95" thickBot="1"/>
    <row r="32" spans="1:3" s="202" customFormat="1">
      <c r="A32" s="205" t="s">
        <v>1854</v>
      </c>
      <c r="B32" s="206"/>
      <c r="C32" s="204"/>
    </row>
    <row r="33" spans="1:3" s="202" customFormat="1">
      <c r="A33" s="207" t="s">
        <v>1855</v>
      </c>
      <c r="B33" s="208" t="s">
        <v>1856</v>
      </c>
      <c r="C33" s="204"/>
    </row>
    <row r="34" spans="1:3" s="202" customFormat="1">
      <c r="A34" s="207" t="s">
        <v>1857</v>
      </c>
      <c r="B34" s="208" t="s">
        <v>1858</v>
      </c>
      <c r="C34" s="204"/>
    </row>
    <row r="35" spans="1:3" s="202" customFormat="1">
      <c r="A35" s="207" t="s">
        <v>1859</v>
      </c>
      <c r="B35" s="208" t="s">
        <v>1860</v>
      </c>
      <c r="C35" s="204"/>
    </row>
    <row r="36" spans="1:3" s="202" customFormat="1" ht="12.95" thickBot="1">
      <c r="A36" s="209" t="s">
        <v>1861</v>
      </c>
      <c r="B36" s="210" t="s">
        <v>1862</v>
      </c>
      <c r="C36" s="204"/>
    </row>
    <row r="37" spans="1:3" ht="12.95" thickBot="1"/>
    <row r="38" spans="1:3" ht="13.5" thickBot="1">
      <c r="A38" s="218" t="s">
        <v>1863</v>
      </c>
      <c r="B38" s="211" t="s">
        <v>1864</v>
      </c>
      <c r="C38" s="212" t="s">
        <v>1865</v>
      </c>
    </row>
    <row r="39" spans="1:3">
      <c r="A39" s="205" t="s">
        <v>1866</v>
      </c>
      <c r="B39" s="213"/>
      <c r="C39" s="214" t="s">
        <v>32</v>
      </c>
    </row>
    <row r="40" spans="1:3">
      <c r="A40" s="215" t="s">
        <v>1867</v>
      </c>
      <c r="B40" s="213" t="s">
        <v>24</v>
      </c>
      <c r="C40" s="214" t="s">
        <v>32</v>
      </c>
    </row>
    <row r="41" spans="1:3">
      <c r="A41" s="215" t="s">
        <v>9</v>
      </c>
      <c r="B41" s="213" t="s">
        <v>27</v>
      </c>
      <c r="C41" s="214" t="s">
        <v>1868</v>
      </c>
    </row>
    <row r="42" spans="1:3">
      <c r="A42" s="215" t="s">
        <v>10</v>
      </c>
      <c r="B42" s="213"/>
      <c r="C42" s="214"/>
    </row>
    <row r="43" spans="1:3">
      <c r="A43" s="215" t="s">
        <v>11</v>
      </c>
      <c r="B43" s="213"/>
      <c r="C43" s="214"/>
    </row>
    <row r="44" spans="1:3">
      <c r="A44" s="215" t="s">
        <v>12</v>
      </c>
      <c r="B44" s="213"/>
      <c r="C44" s="214"/>
    </row>
    <row r="45" spans="1:3">
      <c r="A45" s="215" t="s">
        <v>13</v>
      </c>
      <c r="B45" s="213"/>
      <c r="C45" s="214"/>
    </row>
    <row r="46" spans="1:3" ht="12.95" thickBot="1">
      <c r="A46" s="209" t="s">
        <v>14</v>
      </c>
      <c r="B46" s="216"/>
      <c r="C46" s="217" t="s">
        <v>32</v>
      </c>
    </row>
  </sheetData>
  <pageMargins left="0.74803149606299213" right="0.74803149606299213" top="1.2083333333333333" bottom="0.98425196850393704" header="0.51181102362204722" footer="0.51181102362204722"/>
  <pageSetup paperSize="9" orientation="landscape" r:id="rId1"/>
  <headerFooter alignWithMargins="0">
    <oddHeader>&amp;C
DOWNLOAD LIST&amp;RFilename: &amp;F
Date: &amp;D&amp;L&amp;9Machine Number : 84130003&amp;84130004
Machine Name : IFC - VL1 - Filling Machine &amp; Capper
CU Number : 7002
VU Number : 3922 3923</oddHeader>
    <oddFooter>&amp;LBased on template :&amp;CDownloadList_CUxxxx_A3&amp;RPage &amp;P/&amp;N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S1582"/>
  <sheetViews>
    <sheetView showGridLines="0" topLeftCell="F1" zoomScale="70" zoomScaleNormal="70" workbookViewId="0">
      <pane ySplit="3" topLeftCell="A4" activePane="bottomLeft" state="frozen"/>
      <selection pane="bottomLeft" activeCell="X1" sqref="X1:X1048576"/>
      <selection activeCell="A3" sqref="A3:B3"/>
    </sheetView>
  </sheetViews>
  <sheetFormatPr defaultColWidth="9.33203125" defaultRowHeight="11.45"/>
  <cols>
    <col min="1" max="1" width="15.6640625" style="71" customWidth="1"/>
    <col min="2" max="2" width="7.5" style="71" customWidth="1"/>
    <col min="3" max="3" width="10.6640625" style="71" customWidth="1"/>
    <col min="4" max="4" width="16.33203125" style="71" customWidth="1"/>
    <col min="5" max="5" width="13" style="71" customWidth="1"/>
    <col min="6" max="6" width="24.1640625" style="71" customWidth="1"/>
    <col min="7" max="7" width="32.33203125" style="71" customWidth="1"/>
    <col min="8" max="8" width="60.1640625" style="71" customWidth="1"/>
    <col min="9" max="11" width="17.5" style="71" customWidth="1"/>
    <col min="12" max="12" width="14.1640625" style="71" customWidth="1"/>
    <col min="13" max="16" width="16.1640625" style="71" customWidth="1"/>
    <col min="17" max="19" width="13.6640625" style="71" customWidth="1"/>
    <col min="20" max="20" width="15.6640625" style="10" customWidth="1"/>
    <col min="21" max="21" width="15.5" style="71" customWidth="1"/>
    <col min="22" max="22" width="14" style="170" customWidth="1"/>
    <col min="23" max="23" width="12.6640625" style="170" bestFit="1" customWidth="1"/>
    <col min="24" max="24" width="9.5" style="71" customWidth="1"/>
    <col min="25" max="25" width="8.33203125" style="71" customWidth="1"/>
    <col min="26" max="26" width="20.33203125" style="71" customWidth="1"/>
    <col min="27" max="27" width="7" style="71" customWidth="1"/>
    <col min="28" max="29" width="16.1640625" style="71" customWidth="1"/>
    <col min="30" max="30" width="17.6640625" style="71" customWidth="1"/>
    <col min="31" max="31" width="12.6640625" style="71" customWidth="1"/>
    <col min="32" max="32" width="10.5" style="71" customWidth="1"/>
    <col min="33" max="33" width="11.5" style="71" customWidth="1"/>
    <col min="34" max="35" width="14.6640625" style="55" customWidth="1"/>
    <col min="36" max="36" width="72" style="71" customWidth="1"/>
    <col min="37" max="37" width="11.1640625" style="71" customWidth="1"/>
    <col min="38" max="38" width="9.1640625" style="71" customWidth="1"/>
    <col min="39" max="39" width="22.5" style="71" customWidth="1"/>
    <col min="40" max="40" width="11.6640625" style="71" customWidth="1"/>
    <col min="41" max="16384" width="9.33203125" style="71"/>
  </cols>
  <sheetData>
    <row r="1" spans="1:42" s="171" customFormat="1" ht="36.75" customHeight="1" thickBot="1">
      <c r="C1" s="172" t="s">
        <v>1869</v>
      </c>
      <c r="D1" s="172"/>
      <c r="E1" s="172"/>
      <c r="T1" s="72"/>
      <c r="V1" s="173"/>
      <c r="W1" s="173"/>
      <c r="AH1" s="174"/>
      <c r="AI1" s="174"/>
    </row>
    <row r="2" spans="1:42" s="14" customFormat="1" ht="12" thickBot="1">
      <c r="A2" s="222"/>
      <c r="B2" s="177"/>
      <c r="C2" s="175"/>
      <c r="D2" s="175"/>
      <c r="E2" s="175"/>
      <c r="F2" s="176"/>
      <c r="G2" s="176"/>
      <c r="H2" s="177"/>
      <c r="I2" s="81" t="s">
        <v>1870</v>
      </c>
      <c r="J2" s="82"/>
      <c r="K2" s="82"/>
      <c r="L2" s="83"/>
      <c r="M2" s="81" t="s">
        <v>85</v>
      </c>
      <c r="N2" s="82"/>
      <c r="O2" s="84"/>
      <c r="P2" s="84"/>
      <c r="Q2" s="85"/>
      <c r="R2" s="84"/>
      <c r="S2" s="84"/>
      <c r="T2" s="183" t="s">
        <v>86</v>
      </c>
      <c r="U2" s="182"/>
      <c r="V2" s="175"/>
      <c r="W2" s="175"/>
      <c r="X2" s="177"/>
      <c r="Y2" s="177"/>
      <c r="Z2" s="178"/>
      <c r="AA2" s="177"/>
      <c r="AB2" s="177"/>
      <c r="AC2" s="177"/>
      <c r="AD2" s="177"/>
      <c r="AE2" s="179"/>
      <c r="AF2" s="176"/>
      <c r="AG2" s="176"/>
      <c r="AH2" s="180"/>
      <c r="AI2" s="180"/>
      <c r="AJ2" s="235"/>
      <c r="AK2" s="250"/>
    </row>
    <row r="3" spans="1:42" s="234" customFormat="1" ht="30" customHeight="1" thickBot="1">
      <c r="A3" s="227" t="s">
        <v>87</v>
      </c>
      <c r="B3" s="178" t="s">
        <v>88</v>
      </c>
      <c r="C3" s="180" t="s">
        <v>89</v>
      </c>
      <c r="D3" s="180" t="s">
        <v>90</v>
      </c>
      <c r="E3" s="180" t="s">
        <v>91</v>
      </c>
      <c r="F3" s="228" t="s">
        <v>92</v>
      </c>
      <c r="G3" s="228" t="s">
        <v>93</v>
      </c>
      <c r="H3" s="178" t="s">
        <v>94</v>
      </c>
      <c r="I3" s="229" t="s">
        <v>95</v>
      </c>
      <c r="J3" s="230" t="s">
        <v>96</v>
      </c>
      <c r="K3" s="231" t="s">
        <v>97</v>
      </c>
      <c r="L3" s="231" t="s">
        <v>98</v>
      </c>
      <c r="M3" s="232" t="s">
        <v>99</v>
      </c>
      <c r="N3" s="232" t="s">
        <v>100</v>
      </c>
      <c r="O3" s="230" t="s">
        <v>101</v>
      </c>
      <c r="P3" s="231" t="s">
        <v>102</v>
      </c>
      <c r="Q3" s="231" t="s">
        <v>98</v>
      </c>
      <c r="R3" s="231" t="s">
        <v>1871</v>
      </c>
      <c r="S3" s="231" t="s">
        <v>104</v>
      </c>
      <c r="T3" s="233" t="s">
        <v>105</v>
      </c>
      <c r="U3" s="233" t="s">
        <v>106</v>
      </c>
      <c r="V3" s="180" t="s">
        <v>107</v>
      </c>
      <c r="W3" s="180" t="s">
        <v>108</v>
      </c>
      <c r="X3" s="178" t="s">
        <v>109</v>
      </c>
      <c r="Y3" s="178" t="s">
        <v>110</v>
      </c>
      <c r="Z3" s="178" t="s">
        <v>111</v>
      </c>
      <c r="AA3" s="178" t="s">
        <v>112</v>
      </c>
      <c r="AB3" s="178" t="s">
        <v>113</v>
      </c>
      <c r="AC3" s="178" t="s">
        <v>114</v>
      </c>
      <c r="AD3" s="178" t="s">
        <v>115</v>
      </c>
      <c r="AE3" s="231" t="s">
        <v>116</v>
      </c>
      <c r="AF3" s="228" t="s">
        <v>117</v>
      </c>
      <c r="AG3" s="228" t="s">
        <v>118</v>
      </c>
      <c r="AH3" s="180" t="s">
        <v>119</v>
      </c>
      <c r="AI3" s="180" t="s">
        <v>120</v>
      </c>
      <c r="AJ3" s="236" t="s">
        <v>121</v>
      </c>
      <c r="AK3" s="267" t="s">
        <v>122</v>
      </c>
    </row>
    <row r="4" spans="1:42" ht="15" customHeight="1">
      <c r="A4" s="223"/>
      <c r="B4" s="116" t="s">
        <v>15</v>
      </c>
      <c r="C4" s="113">
        <v>1</v>
      </c>
      <c r="D4" s="114"/>
      <c r="E4" s="115"/>
      <c r="F4" s="116"/>
      <c r="G4" s="116"/>
      <c r="H4" s="116"/>
      <c r="I4" s="117"/>
      <c r="J4" s="116"/>
      <c r="K4" s="116"/>
      <c r="L4" s="117"/>
      <c r="M4" s="116"/>
      <c r="N4" s="118"/>
      <c r="O4" s="118"/>
      <c r="P4" s="118"/>
      <c r="Q4" s="119"/>
      <c r="R4" s="119"/>
      <c r="S4" s="119"/>
      <c r="T4" s="96"/>
      <c r="U4" s="116"/>
      <c r="V4" s="116"/>
      <c r="W4" s="120"/>
      <c r="X4" s="120"/>
      <c r="Y4" s="120"/>
      <c r="Z4" s="120"/>
      <c r="AA4" s="120"/>
      <c r="AB4" s="118"/>
      <c r="AC4" s="118"/>
      <c r="AD4" s="121"/>
      <c r="AE4" s="120"/>
      <c r="AF4" s="120"/>
      <c r="AG4" s="122"/>
      <c r="AH4" s="123"/>
      <c r="AI4" s="123"/>
      <c r="AJ4" s="123"/>
      <c r="AK4" s="124"/>
      <c r="AM4" s="245"/>
      <c r="AN4" s="202" t="s">
        <v>132</v>
      </c>
      <c r="AO4" s="246"/>
      <c r="AP4" s="246"/>
    </row>
    <row r="5" spans="1:42" ht="15" customHeight="1">
      <c r="A5" s="223"/>
      <c r="B5" s="116" t="s">
        <v>15</v>
      </c>
      <c r="C5" s="113">
        <v>2</v>
      </c>
      <c r="D5" s="114"/>
      <c r="E5" s="125"/>
      <c r="F5" s="116"/>
      <c r="G5" s="116"/>
      <c r="H5" s="116"/>
      <c r="I5" s="117"/>
      <c r="J5" s="116"/>
      <c r="K5" s="116"/>
      <c r="L5" s="117"/>
      <c r="M5" s="116"/>
      <c r="N5" s="118"/>
      <c r="O5" s="118"/>
      <c r="P5" s="118"/>
      <c r="Q5" s="119"/>
      <c r="R5" s="119"/>
      <c r="S5" s="119"/>
      <c r="T5" s="69"/>
      <c r="U5" s="116"/>
      <c r="V5" s="120"/>
      <c r="W5" s="120"/>
      <c r="X5" s="120"/>
      <c r="Y5" s="120"/>
      <c r="Z5" s="120"/>
      <c r="AA5" s="120"/>
      <c r="AB5" s="118"/>
      <c r="AC5" s="118"/>
      <c r="AD5" s="121"/>
      <c r="AE5" s="120"/>
      <c r="AF5" s="120"/>
      <c r="AG5" s="120"/>
      <c r="AH5" s="123"/>
      <c r="AI5" s="123"/>
      <c r="AJ5" s="123"/>
      <c r="AK5" s="124"/>
      <c r="AM5" s="247"/>
      <c r="AN5" s="202" t="s">
        <v>144</v>
      </c>
      <c r="AO5" s="246"/>
      <c r="AP5" s="246"/>
    </row>
    <row r="6" spans="1:42" ht="15" customHeight="1">
      <c r="A6" s="223"/>
      <c r="B6" s="116" t="s">
        <v>15</v>
      </c>
      <c r="C6" s="113">
        <v>3</v>
      </c>
      <c r="D6" s="114"/>
      <c r="E6" s="126"/>
      <c r="F6" s="116"/>
      <c r="G6" s="127"/>
      <c r="H6" s="116"/>
      <c r="I6" s="127"/>
      <c r="J6" s="127"/>
      <c r="K6" s="127"/>
      <c r="L6" s="127"/>
      <c r="M6" s="116"/>
      <c r="N6" s="118"/>
      <c r="O6" s="128"/>
      <c r="P6" s="128"/>
      <c r="Q6" s="119"/>
      <c r="R6" s="119"/>
      <c r="S6" s="119"/>
      <c r="T6" s="69"/>
      <c r="U6" s="116"/>
      <c r="V6" s="116"/>
      <c r="W6" s="120"/>
      <c r="X6" s="120"/>
      <c r="Y6" s="120"/>
      <c r="Z6" s="120"/>
      <c r="AA6" s="129"/>
      <c r="AB6" s="118"/>
      <c r="AC6" s="118"/>
      <c r="AD6" s="121"/>
      <c r="AE6" s="120"/>
      <c r="AF6" s="129"/>
      <c r="AG6" s="129"/>
      <c r="AH6" s="130"/>
      <c r="AI6" s="130"/>
      <c r="AJ6" s="130"/>
      <c r="AK6" s="131"/>
      <c r="AM6" s="246"/>
      <c r="AN6" s="246"/>
      <c r="AO6" s="246"/>
      <c r="AP6" s="246"/>
    </row>
    <row r="7" spans="1:42" ht="15" customHeight="1">
      <c r="A7" s="223"/>
      <c r="B7" s="116" t="s">
        <v>15</v>
      </c>
      <c r="C7" s="113">
        <v>4</v>
      </c>
      <c r="D7" s="114"/>
      <c r="E7" s="126"/>
      <c r="F7" s="116"/>
      <c r="G7" s="127"/>
      <c r="H7" s="116"/>
      <c r="I7" s="127"/>
      <c r="J7" s="127"/>
      <c r="K7" s="127"/>
      <c r="L7" s="127"/>
      <c r="M7" s="116"/>
      <c r="N7" s="118"/>
      <c r="O7" s="128"/>
      <c r="P7" s="128"/>
      <c r="Q7" s="119"/>
      <c r="R7" s="119"/>
      <c r="S7" s="119"/>
      <c r="T7" s="69"/>
      <c r="U7" s="116"/>
      <c r="V7" s="120"/>
      <c r="W7" s="120"/>
      <c r="X7" s="120"/>
      <c r="Y7" s="120"/>
      <c r="Z7" s="120"/>
      <c r="AA7" s="120"/>
      <c r="AB7" s="118"/>
      <c r="AC7" s="118"/>
      <c r="AD7" s="121"/>
      <c r="AE7" s="120"/>
      <c r="AF7" s="129"/>
      <c r="AG7" s="129"/>
      <c r="AH7" s="130"/>
      <c r="AI7" s="130"/>
      <c r="AJ7" s="130"/>
      <c r="AK7" s="131"/>
      <c r="AM7" s="248"/>
      <c r="AN7" s="202" t="s">
        <v>155</v>
      </c>
      <c r="AO7" s="246"/>
      <c r="AP7" s="246"/>
    </row>
    <row r="8" spans="1:42" ht="15" customHeight="1">
      <c r="A8" s="223"/>
      <c r="B8" s="116" t="s">
        <v>15</v>
      </c>
      <c r="C8" s="113">
        <v>5</v>
      </c>
      <c r="D8" s="57"/>
      <c r="E8" s="132"/>
      <c r="F8" s="116"/>
      <c r="G8" s="127"/>
      <c r="H8" s="116"/>
      <c r="I8" s="127"/>
      <c r="J8" s="127"/>
      <c r="K8" s="127"/>
      <c r="L8" s="127"/>
      <c r="M8" s="116"/>
      <c r="N8" s="118"/>
      <c r="O8" s="128"/>
      <c r="P8" s="128"/>
      <c r="Q8" s="119"/>
      <c r="R8" s="119"/>
      <c r="S8" s="119"/>
      <c r="T8" s="69"/>
      <c r="U8" s="116"/>
      <c r="V8" s="116"/>
      <c r="W8" s="116"/>
      <c r="X8" s="116"/>
      <c r="Y8" s="116"/>
      <c r="Z8" s="116"/>
      <c r="AA8" s="116"/>
      <c r="AB8" s="118"/>
      <c r="AC8" s="118"/>
      <c r="AD8" s="121"/>
      <c r="AE8" s="116"/>
      <c r="AF8" s="127"/>
      <c r="AG8" s="127"/>
      <c r="AH8" s="133"/>
      <c r="AI8" s="133"/>
      <c r="AJ8" s="133"/>
      <c r="AK8" s="134"/>
      <c r="AM8" s="249"/>
      <c r="AN8" s="202" t="s">
        <v>162</v>
      </c>
      <c r="AO8" s="246"/>
      <c r="AP8" s="246"/>
    </row>
    <row r="9" spans="1:42" ht="15" customHeight="1">
      <c r="A9" s="223"/>
      <c r="B9" s="116" t="s">
        <v>15</v>
      </c>
      <c r="C9" s="113">
        <v>6</v>
      </c>
      <c r="D9" s="114"/>
      <c r="E9" s="126"/>
      <c r="F9" s="116"/>
      <c r="G9" s="127"/>
      <c r="H9" s="116"/>
      <c r="I9" s="127"/>
      <c r="J9" s="127"/>
      <c r="K9" s="127"/>
      <c r="L9" s="127"/>
      <c r="M9" s="116"/>
      <c r="N9" s="118"/>
      <c r="O9" s="128"/>
      <c r="P9" s="128"/>
      <c r="Q9" s="119"/>
      <c r="R9" s="119"/>
      <c r="S9" s="119"/>
      <c r="T9" s="69"/>
      <c r="U9" s="116"/>
      <c r="V9" s="120"/>
      <c r="W9" s="120"/>
      <c r="X9" s="120"/>
      <c r="Y9" s="120"/>
      <c r="Z9" s="120"/>
      <c r="AA9" s="129"/>
      <c r="AB9" s="118"/>
      <c r="AC9" s="118"/>
      <c r="AD9" s="121"/>
      <c r="AE9" s="120"/>
      <c r="AF9" s="129"/>
      <c r="AG9" s="129"/>
      <c r="AH9" s="130"/>
      <c r="AI9" s="130"/>
      <c r="AJ9" s="130"/>
      <c r="AK9" s="131"/>
      <c r="AM9" s="246"/>
      <c r="AN9" s="246"/>
      <c r="AO9" s="246"/>
      <c r="AP9" s="246"/>
    </row>
    <row r="10" spans="1:42" ht="15" customHeight="1">
      <c r="A10" s="223"/>
      <c r="B10" s="116" t="s">
        <v>15</v>
      </c>
      <c r="C10" s="113">
        <v>7</v>
      </c>
      <c r="D10" s="114"/>
      <c r="E10" s="126"/>
      <c r="F10" s="116"/>
      <c r="G10" s="127"/>
      <c r="H10" s="116"/>
      <c r="I10" s="127"/>
      <c r="J10" s="127"/>
      <c r="K10" s="127"/>
      <c r="L10" s="127"/>
      <c r="M10" s="116"/>
      <c r="N10" s="118"/>
      <c r="O10" s="128"/>
      <c r="P10" s="128"/>
      <c r="Q10" s="119"/>
      <c r="R10" s="119"/>
      <c r="S10" s="119"/>
      <c r="T10" s="69"/>
      <c r="U10" s="116"/>
      <c r="V10" s="116"/>
      <c r="W10" s="120"/>
      <c r="X10" s="120"/>
      <c r="Y10" s="120"/>
      <c r="Z10" s="120"/>
      <c r="AA10" s="120"/>
      <c r="AB10" s="118"/>
      <c r="AC10" s="118"/>
      <c r="AD10" s="121"/>
      <c r="AE10" s="120"/>
      <c r="AF10" s="129"/>
      <c r="AG10" s="129"/>
      <c r="AH10" s="130"/>
      <c r="AI10" s="130"/>
      <c r="AJ10" s="130"/>
      <c r="AK10" s="131"/>
      <c r="AM10" s="246"/>
      <c r="AN10" s="246"/>
      <c r="AO10" s="246"/>
      <c r="AP10" s="246"/>
    </row>
    <row r="11" spans="1:42" ht="15" customHeight="1">
      <c r="A11" s="223"/>
      <c r="B11" s="116" t="s">
        <v>15</v>
      </c>
      <c r="C11" s="113">
        <v>8</v>
      </c>
      <c r="D11" s="114"/>
      <c r="E11" s="126"/>
      <c r="F11" s="116"/>
      <c r="G11" s="127"/>
      <c r="H11" s="116"/>
      <c r="I11" s="127"/>
      <c r="J11" s="127"/>
      <c r="K11" s="127"/>
      <c r="L11" s="127"/>
      <c r="M11" s="116"/>
      <c r="N11" s="118"/>
      <c r="O11" s="128"/>
      <c r="P11" s="128"/>
      <c r="Q11" s="119"/>
      <c r="R11" s="119"/>
      <c r="S11" s="119"/>
      <c r="T11" s="69"/>
      <c r="U11" s="116"/>
      <c r="V11" s="120"/>
      <c r="W11" s="120"/>
      <c r="X11" s="120"/>
      <c r="Y11" s="120"/>
      <c r="Z11" s="120"/>
      <c r="AA11" s="120"/>
      <c r="AB11" s="118"/>
      <c r="AC11" s="118"/>
      <c r="AD11" s="121"/>
      <c r="AE11" s="120"/>
      <c r="AF11" s="129"/>
      <c r="AG11" s="129"/>
      <c r="AH11" s="130"/>
      <c r="AI11" s="130"/>
      <c r="AJ11" s="130"/>
      <c r="AK11" s="131"/>
    </row>
    <row r="12" spans="1:42" ht="15" customHeight="1">
      <c r="A12" s="223"/>
      <c r="B12" s="116" t="s">
        <v>15</v>
      </c>
      <c r="C12" s="113">
        <v>9</v>
      </c>
      <c r="D12" s="114"/>
      <c r="E12" s="126"/>
      <c r="F12" s="116"/>
      <c r="G12" s="127"/>
      <c r="H12" s="116"/>
      <c r="I12" s="127"/>
      <c r="J12" s="127"/>
      <c r="K12" s="127"/>
      <c r="L12" s="127"/>
      <c r="M12" s="116"/>
      <c r="N12" s="128"/>
      <c r="O12" s="128"/>
      <c r="P12" s="128"/>
      <c r="Q12" s="119"/>
      <c r="R12" s="119"/>
      <c r="S12" s="119"/>
      <c r="T12" s="69"/>
      <c r="U12" s="116"/>
      <c r="V12" s="116"/>
      <c r="W12" s="120"/>
      <c r="X12" s="120"/>
      <c r="Y12" s="120"/>
      <c r="Z12" s="120"/>
      <c r="AA12" s="129"/>
      <c r="AB12" s="118"/>
      <c r="AC12" s="118"/>
      <c r="AD12" s="121"/>
      <c r="AE12" s="120"/>
      <c r="AF12" s="129"/>
      <c r="AG12" s="129"/>
      <c r="AH12" s="130"/>
      <c r="AI12" s="130"/>
      <c r="AJ12" s="130"/>
      <c r="AK12" s="131"/>
    </row>
    <row r="13" spans="1:42" ht="15" customHeight="1">
      <c r="A13" s="223"/>
      <c r="B13" s="116" t="s">
        <v>15</v>
      </c>
      <c r="C13" s="113">
        <v>10</v>
      </c>
      <c r="D13" s="114"/>
      <c r="E13" s="126"/>
      <c r="F13" s="116"/>
      <c r="G13" s="127"/>
      <c r="H13" s="116"/>
      <c r="I13" s="127"/>
      <c r="J13" s="127"/>
      <c r="K13" s="127"/>
      <c r="L13" s="127"/>
      <c r="M13" s="116"/>
      <c r="N13" s="128"/>
      <c r="O13" s="128"/>
      <c r="P13" s="128"/>
      <c r="Q13" s="119"/>
      <c r="R13" s="119"/>
      <c r="S13" s="119"/>
      <c r="T13" s="70"/>
      <c r="U13" s="116"/>
      <c r="V13" s="120"/>
      <c r="W13" s="120"/>
      <c r="X13" s="120"/>
      <c r="Y13" s="120"/>
      <c r="Z13" s="120"/>
      <c r="AA13" s="120"/>
      <c r="AB13" s="118"/>
      <c r="AC13" s="118"/>
      <c r="AD13" s="121"/>
      <c r="AE13" s="129"/>
      <c r="AF13" s="129"/>
      <c r="AG13" s="129"/>
      <c r="AH13" s="130"/>
      <c r="AI13" s="130"/>
      <c r="AJ13" s="130"/>
      <c r="AK13" s="131"/>
    </row>
    <row r="14" spans="1:42" ht="15" customHeight="1">
      <c r="A14" s="223"/>
      <c r="B14" s="116" t="s">
        <v>23</v>
      </c>
      <c r="C14" s="113">
        <v>11</v>
      </c>
      <c r="D14" s="57"/>
      <c r="E14" s="132"/>
      <c r="F14" s="116"/>
      <c r="G14" s="127"/>
      <c r="H14" s="116"/>
      <c r="I14" s="127"/>
      <c r="J14" s="127"/>
      <c r="K14" s="127"/>
      <c r="L14" s="127"/>
      <c r="M14" s="116"/>
      <c r="N14" s="128"/>
      <c r="O14" s="128"/>
      <c r="P14" s="128"/>
      <c r="Q14" s="119"/>
      <c r="R14" s="119"/>
      <c r="S14" s="119"/>
      <c r="T14" s="70"/>
      <c r="U14" s="116"/>
      <c r="V14" s="116"/>
      <c r="W14" s="116"/>
      <c r="X14" s="116"/>
      <c r="Y14" s="116"/>
      <c r="Z14" s="116"/>
      <c r="AA14" s="116"/>
      <c r="AB14" s="118"/>
      <c r="AC14" s="118"/>
      <c r="AD14" s="121"/>
      <c r="AE14" s="127"/>
      <c r="AF14" s="127"/>
      <c r="AG14" s="127"/>
      <c r="AH14" s="133"/>
      <c r="AI14" s="133"/>
      <c r="AJ14" s="133"/>
      <c r="AK14" s="134"/>
    </row>
    <row r="15" spans="1:42" ht="15" customHeight="1">
      <c r="A15" s="223"/>
      <c r="B15" s="116" t="s">
        <v>15</v>
      </c>
      <c r="C15" s="113">
        <v>12</v>
      </c>
      <c r="D15" s="114"/>
      <c r="E15" s="126"/>
      <c r="F15" s="116"/>
      <c r="G15" s="127"/>
      <c r="H15" s="116"/>
      <c r="I15" s="127"/>
      <c r="J15" s="127"/>
      <c r="K15" s="127"/>
      <c r="L15" s="127"/>
      <c r="M15" s="116"/>
      <c r="N15" s="128"/>
      <c r="O15" s="128"/>
      <c r="P15" s="128"/>
      <c r="Q15" s="119"/>
      <c r="R15" s="119"/>
      <c r="S15" s="119"/>
      <c r="T15" s="70"/>
      <c r="U15" s="116"/>
      <c r="V15" s="120"/>
      <c r="W15" s="120"/>
      <c r="X15" s="120"/>
      <c r="Y15" s="120"/>
      <c r="Z15" s="120"/>
      <c r="AA15" s="129"/>
      <c r="AB15" s="118"/>
      <c r="AC15" s="118"/>
      <c r="AD15" s="121"/>
      <c r="AE15" s="129"/>
      <c r="AF15" s="129"/>
      <c r="AG15" s="129"/>
      <c r="AH15" s="130"/>
      <c r="AI15" s="130"/>
      <c r="AJ15" s="130"/>
      <c r="AK15" s="131"/>
    </row>
    <row r="16" spans="1:42" ht="15" customHeight="1">
      <c r="A16" s="223"/>
      <c r="B16" s="116" t="s">
        <v>15</v>
      </c>
      <c r="C16" s="113">
        <v>13</v>
      </c>
      <c r="D16" s="114"/>
      <c r="E16" s="126"/>
      <c r="F16" s="116"/>
      <c r="G16" s="127"/>
      <c r="H16" s="116"/>
      <c r="I16" s="127"/>
      <c r="J16" s="127"/>
      <c r="K16" s="127"/>
      <c r="L16" s="127"/>
      <c r="M16" s="116"/>
      <c r="N16" s="128"/>
      <c r="O16" s="128"/>
      <c r="P16" s="128"/>
      <c r="Q16" s="119"/>
      <c r="R16" s="119"/>
      <c r="S16" s="119"/>
      <c r="T16" s="70"/>
      <c r="U16" s="116"/>
      <c r="V16" s="116"/>
      <c r="W16" s="120"/>
      <c r="X16" s="120"/>
      <c r="Y16" s="120"/>
      <c r="Z16" s="120"/>
      <c r="AA16" s="120"/>
      <c r="AB16" s="118"/>
      <c r="AC16" s="118"/>
      <c r="AD16" s="121"/>
      <c r="AE16" s="120"/>
      <c r="AF16" s="129"/>
      <c r="AG16" s="129"/>
      <c r="AH16" s="130"/>
      <c r="AI16" s="130"/>
      <c r="AJ16" s="130"/>
      <c r="AK16" s="131"/>
    </row>
    <row r="17" spans="1:45" ht="15" customHeight="1">
      <c r="A17" s="223"/>
      <c r="B17" s="116" t="s">
        <v>15</v>
      </c>
      <c r="C17" s="113">
        <v>14</v>
      </c>
      <c r="D17" s="114"/>
      <c r="E17" s="126"/>
      <c r="F17" s="116"/>
      <c r="G17" s="127"/>
      <c r="H17" s="116"/>
      <c r="I17" s="127"/>
      <c r="J17" s="127"/>
      <c r="K17" s="127"/>
      <c r="L17" s="127"/>
      <c r="M17" s="116"/>
      <c r="N17" s="128"/>
      <c r="O17" s="128"/>
      <c r="P17" s="128"/>
      <c r="Q17" s="119"/>
      <c r="R17" s="119"/>
      <c r="S17" s="119"/>
      <c r="T17" s="70"/>
      <c r="U17" s="116"/>
      <c r="V17" s="120"/>
      <c r="W17" s="120"/>
      <c r="X17" s="120"/>
      <c r="Y17" s="120"/>
      <c r="Z17" s="120"/>
      <c r="AA17" s="120"/>
      <c r="AB17" s="118"/>
      <c r="AC17" s="118"/>
      <c r="AD17" s="121"/>
      <c r="AE17" s="129"/>
      <c r="AF17" s="129"/>
      <c r="AG17" s="129"/>
      <c r="AH17" s="130"/>
      <c r="AI17" s="130"/>
      <c r="AJ17" s="130"/>
      <c r="AK17" s="131"/>
    </row>
    <row r="18" spans="1:45" ht="15" customHeight="1">
      <c r="A18" s="223"/>
      <c r="B18" s="116" t="s">
        <v>15</v>
      </c>
      <c r="C18" s="113">
        <v>15</v>
      </c>
      <c r="D18" s="114"/>
      <c r="E18" s="126"/>
      <c r="F18" s="116"/>
      <c r="G18" s="127"/>
      <c r="H18" s="116"/>
      <c r="I18" s="127"/>
      <c r="J18" s="127"/>
      <c r="K18" s="127"/>
      <c r="L18" s="127"/>
      <c r="M18" s="116"/>
      <c r="N18" s="128"/>
      <c r="O18" s="128"/>
      <c r="P18" s="128"/>
      <c r="Q18" s="119"/>
      <c r="R18" s="119"/>
      <c r="S18" s="119"/>
      <c r="T18" s="70"/>
      <c r="U18" s="116"/>
      <c r="V18" s="116"/>
      <c r="W18" s="120"/>
      <c r="X18" s="120"/>
      <c r="Y18" s="120"/>
      <c r="Z18" s="120"/>
      <c r="AA18" s="129"/>
      <c r="AB18" s="118"/>
      <c r="AC18" s="118"/>
      <c r="AD18" s="121"/>
      <c r="AE18" s="129"/>
      <c r="AF18" s="129"/>
      <c r="AG18" s="129"/>
      <c r="AH18" s="130"/>
      <c r="AI18" s="130"/>
      <c r="AJ18" s="130"/>
      <c r="AK18" s="131"/>
    </row>
    <row r="19" spans="1:45" ht="15" customHeight="1">
      <c r="A19" s="223"/>
      <c r="B19" s="116" t="s">
        <v>15</v>
      </c>
      <c r="C19" s="113">
        <v>16</v>
      </c>
      <c r="D19" s="114"/>
      <c r="E19" s="126"/>
      <c r="F19" s="116"/>
      <c r="G19" s="127"/>
      <c r="H19" s="116"/>
      <c r="I19" s="127"/>
      <c r="J19" s="127"/>
      <c r="K19" s="127"/>
      <c r="L19" s="127"/>
      <c r="M19" s="116"/>
      <c r="N19" s="128"/>
      <c r="O19" s="128"/>
      <c r="P19" s="128"/>
      <c r="Q19" s="119"/>
      <c r="R19" s="119"/>
      <c r="S19" s="119"/>
      <c r="T19" s="70"/>
      <c r="U19" s="116"/>
      <c r="V19" s="120"/>
      <c r="W19" s="120"/>
      <c r="X19" s="120"/>
      <c r="Y19" s="120"/>
      <c r="Z19" s="120"/>
      <c r="AA19" s="120"/>
      <c r="AB19" s="118"/>
      <c r="AC19" s="118"/>
      <c r="AD19" s="121"/>
      <c r="AE19" s="129"/>
      <c r="AF19" s="129"/>
      <c r="AG19" s="129"/>
      <c r="AH19" s="130"/>
      <c r="AI19" s="130"/>
      <c r="AJ19" s="130"/>
      <c r="AK19" s="131"/>
    </row>
    <row r="20" spans="1:45" ht="15" customHeight="1">
      <c r="A20" s="223"/>
      <c r="B20" s="116" t="s">
        <v>15</v>
      </c>
      <c r="C20" s="113">
        <v>17</v>
      </c>
      <c r="D20" s="114"/>
      <c r="E20" s="126"/>
      <c r="F20" s="116"/>
      <c r="G20" s="127"/>
      <c r="H20" s="116"/>
      <c r="I20" s="127"/>
      <c r="J20" s="127"/>
      <c r="K20" s="127"/>
      <c r="L20" s="127"/>
      <c r="M20" s="116"/>
      <c r="N20" s="128"/>
      <c r="O20" s="128"/>
      <c r="P20" s="128"/>
      <c r="Q20" s="119"/>
      <c r="R20" s="119"/>
      <c r="S20" s="119"/>
      <c r="T20" s="70"/>
      <c r="U20" s="116"/>
      <c r="V20" s="116"/>
      <c r="W20" s="120"/>
      <c r="X20" s="120"/>
      <c r="Y20" s="120"/>
      <c r="Z20" s="120"/>
      <c r="AA20" s="120"/>
      <c r="AB20" s="118"/>
      <c r="AC20" s="118"/>
      <c r="AD20" s="121"/>
      <c r="AE20" s="120"/>
      <c r="AF20" s="129"/>
      <c r="AG20" s="129"/>
      <c r="AH20" s="130"/>
      <c r="AI20" s="130"/>
      <c r="AJ20" s="130"/>
      <c r="AK20" s="131"/>
    </row>
    <row r="21" spans="1:45" ht="15" customHeight="1">
      <c r="A21" s="223"/>
      <c r="B21" s="116" t="s">
        <v>15</v>
      </c>
      <c r="C21" s="113">
        <v>18</v>
      </c>
      <c r="D21" s="114"/>
      <c r="E21" s="126"/>
      <c r="F21" s="116"/>
      <c r="G21" s="127"/>
      <c r="H21" s="116"/>
      <c r="I21" s="127"/>
      <c r="J21" s="127"/>
      <c r="K21" s="127"/>
      <c r="L21" s="127"/>
      <c r="M21" s="116"/>
      <c r="N21" s="128"/>
      <c r="O21" s="128"/>
      <c r="P21" s="128"/>
      <c r="Q21" s="119"/>
      <c r="R21" s="119"/>
      <c r="S21" s="119"/>
      <c r="T21" s="70"/>
      <c r="U21" s="116"/>
      <c r="V21" s="120"/>
      <c r="W21" s="120"/>
      <c r="X21" s="120"/>
      <c r="Y21" s="120"/>
      <c r="Z21" s="120"/>
      <c r="AA21" s="129"/>
      <c r="AB21" s="118"/>
      <c r="AC21" s="118"/>
      <c r="AD21" s="121"/>
      <c r="AE21" s="129"/>
      <c r="AF21" s="129"/>
      <c r="AG21" s="129"/>
      <c r="AH21" s="130"/>
      <c r="AI21" s="130"/>
      <c r="AJ21" s="130"/>
      <c r="AK21" s="131"/>
    </row>
    <row r="22" spans="1:45" ht="15" customHeight="1">
      <c r="A22" s="223"/>
      <c r="B22" s="116" t="s">
        <v>15</v>
      </c>
      <c r="C22" s="113">
        <v>19</v>
      </c>
      <c r="D22" s="114"/>
      <c r="E22" s="126"/>
      <c r="F22" s="116"/>
      <c r="G22" s="127"/>
      <c r="H22" s="116"/>
      <c r="I22" s="127"/>
      <c r="J22" s="127"/>
      <c r="K22" s="127"/>
      <c r="L22" s="127"/>
      <c r="M22" s="116"/>
      <c r="N22" s="128"/>
      <c r="O22" s="128"/>
      <c r="P22" s="128"/>
      <c r="Q22" s="119"/>
      <c r="R22" s="119"/>
      <c r="S22" s="119"/>
      <c r="T22" s="70"/>
      <c r="U22" s="116"/>
      <c r="V22" s="116"/>
      <c r="W22" s="120"/>
      <c r="X22" s="120"/>
      <c r="Y22" s="120"/>
      <c r="Z22" s="120"/>
      <c r="AA22" s="120"/>
      <c r="AB22" s="118"/>
      <c r="AC22" s="118"/>
      <c r="AD22" s="121"/>
      <c r="AE22" s="129"/>
      <c r="AF22" s="129"/>
      <c r="AG22" s="129"/>
      <c r="AH22" s="130"/>
      <c r="AI22" s="130"/>
      <c r="AJ22" s="130"/>
      <c r="AK22" s="131"/>
    </row>
    <row r="23" spans="1:45" ht="15" customHeight="1">
      <c r="A23" s="223"/>
      <c r="B23" s="116" t="s">
        <v>15</v>
      </c>
      <c r="C23" s="113">
        <v>20</v>
      </c>
      <c r="D23" s="114"/>
      <c r="E23" s="126"/>
      <c r="F23" s="116"/>
      <c r="G23" s="127"/>
      <c r="H23" s="116"/>
      <c r="I23" s="127"/>
      <c r="J23" s="127"/>
      <c r="K23" s="127"/>
      <c r="L23" s="127"/>
      <c r="M23" s="116"/>
      <c r="N23" s="128"/>
      <c r="O23" s="128"/>
      <c r="P23" s="128"/>
      <c r="Q23" s="119"/>
      <c r="R23" s="119"/>
      <c r="S23" s="119"/>
      <c r="T23" s="70"/>
      <c r="U23" s="116"/>
      <c r="V23" s="120"/>
      <c r="W23" s="120"/>
      <c r="X23" s="120"/>
      <c r="Y23" s="120"/>
      <c r="Z23" s="120"/>
      <c r="AA23" s="120"/>
      <c r="AB23" s="118"/>
      <c r="AC23" s="118"/>
      <c r="AD23" s="121"/>
      <c r="AE23" s="129"/>
      <c r="AF23" s="129"/>
      <c r="AG23" s="129"/>
      <c r="AH23" s="130"/>
      <c r="AI23" s="130"/>
      <c r="AJ23" s="130"/>
      <c r="AK23" s="131"/>
    </row>
    <row r="24" spans="1:45" ht="12.75" customHeight="1" thickBot="1">
      <c r="A24" s="224"/>
      <c r="B24" s="137"/>
      <c r="C24" s="136" t="s">
        <v>1790</v>
      </c>
      <c r="D24" s="136"/>
      <c r="E24" s="136"/>
      <c r="F24" s="137"/>
      <c r="G24" s="137"/>
      <c r="H24" s="137"/>
      <c r="I24" s="137"/>
      <c r="J24" s="137"/>
      <c r="K24" s="137"/>
      <c r="L24" s="137"/>
      <c r="M24" s="137"/>
      <c r="N24" s="137"/>
      <c r="O24" s="137"/>
      <c r="P24" s="137"/>
      <c r="Q24" s="137"/>
      <c r="R24" s="137"/>
      <c r="S24" s="137"/>
      <c r="T24" s="137"/>
      <c r="U24" s="138"/>
      <c r="V24" s="137"/>
      <c r="W24" s="137"/>
      <c r="X24" s="137"/>
      <c r="Y24" s="137"/>
      <c r="Z24" s="139"/>
      <c r="AA24" s="137"/>
      <c r="AB24" s="137"/>
      <c r="AC24" s="137"/>
      <c r="AD24" s="137"/>
      <c r="AE24" s="137"/>
      <c r="AF24" s="140"/>
      <c r="AG24" s="140"/>
      <c r="AH24" s="137"/>
      <c r="AI24" s="141"/>
      <c r="AJ24" s="141"/>
      <c r="AK24" s="142"/>
    </row>
    <row r="25" spans="1:45" ht="12" customHeight="1">
      <c r="T25" s="71"/>
      <c r="V25" s="71"/>
      <c r="W25" s="71"/>
    </row>
    <row r="26" spans="1:45" ht="12.75" customHeight="1" thickBot="1">
      <c r="V26" s="71"/>
      <c r="W26" s="71"/>
    </row>
    <row r="27" spans="1:45" ht="12.75" customHeight="1" thickBot="1">
      <c r="D27" s="143"/>
      <c r="E27" s="144"/>
      <c r="F27" s="145"/>
      <c r="G27" s="145"/>
      <c r="H27" s="146"/>
      <c r="I27" s="146"/>
      <c r="J27" s="146"/>
      <c r="K27" s="146"/>
      <c r="L27" s="146" t="s">
        <v>1791</v>
      </c>
      <c r="M27" s="146"/>
      <c r="N27" s="146"/>
      <c r="O27" s="146"/>
      <c r="P27" s="146"/>
      <c r="Q27" s="146"/>
      <c r="R27" s="146"/>
      <c r="S27" s="146"/>
      <c r="T27" s="146"/>
      <c r="U27" s="146"/>
      <c r="V27" s="146"/>
      <c r="W27" s="146"/>
      <c r="X27" s="146" t="s">
        <v>1792</v>
      </c>
      <c r="Y27" s="146" t="s">
        <v>1793</v>
      </c>
      <c r="Z27" s="146"/>
      <c r="AA27" s="146"/>
      <c r="AB27" s="146" t="s">
        <v>113</v>
      </c>
      <c r="AC27" s="146"/>
      <c r="AD27" s="146"/>
      <c r="AE27" s="146" t="s">
        <v>1795</v>
      </c>
      <c r="AF27" s="146"/>
      <c r="AG27" s="146"/>
      <c r="AH27" s="237"/>
      <c r="AI27" s="241"/>
      <c r="AJ27" s="146" t="s">
        <v>1792</v>
      </c>
      <c r="AK27" s="147"/>
    </row>
    <row r="28" spans="1:45" s="157" customFormat="1" ht="12" customHeight="1">
      <c r="A28" s="71"/>
      <c r="B28" s="71"/>
      <c r="C28" s="148"/>
      <c r="D28" s="149" t="b">
        <v>1</v>
      </c>
      <c r="E28" s="150"/>
      <c r="F28" s="149"/>
      <c r="G28" s="149"/>
      <c r="H28" s="151"/>
      <c r="I28" s="151"/>
      <c r="J28" s="151"/>
      <c r="K28" s="151"/>
      <c r="L28" s="151" t="s">
        <v>321</v>
      </c>
      <c r="M28" s="151"/>
      <c r="N28" s="151"/>
      <c r="O28" s="151"/>
      <c r="P28" s="151" t="s">
        <v>321</v>
      </c>
      <c r="Q28" s="152"/>
      <c r="R28" s="152"/>
      <c r="S28" s="152"/>
      <c r="T28" s="152"/>
      <c r="U28" s="151"/>
      <c r="V28" s="151"/>
      <c r="W28" s="153"/>
      <c r="X28" s="151" t="s">
        <v>1796</v>
      </c>
      <c r="Y28" s="151" t="s">
        <v>1872</v>
      </c>
      <c r="Z28" s="151"/>
      <c r="AA28" s="119"/>
      <c r="AB28" s="154" t="s">
        <v>1873</v>
      </c>
      <c r="AC28" s="154"/>
      <c r="AD28" s="155" t="s">
        <v>126</v>
      </c>
      <c r="AE28" s="151" t="s">
        <v>215</v>
      </c>
      <c r="AF28" s="151"/>
      <c r="AG28" s="151"/>
      <c r="AH28" s="238"/>
      <c r="AI28" s="242"/>
      <c r="AJ28" s="151" t="s">
        <v>1874</v>
      </c>
      <c r="AK28" s="156"/>
      <c r="AL28" s="71"/>
      <c r="AM28" s="71"/>
      <c r="AN28" s="71"/>
      <c r="AO28" s="71"/>
      <c r="AP28" s="71"/>
      <c r="AQ28" s="71"/>
      <c r="AR28" s="71"/>
      <c r="AS28" s="71"/>
    </row>
    <row r="29" spans="1:45" s="157" customFormat="1" ht="12" customHeight="1">
      <c r="A29" s="71"/>
      <c r="B29" s="71"/>
      <c r="C29" s="158"/>
      <c r="D29" s="159" t="b">
        <v>0</v>
      </c>
      <c r="E29" s="116"/>
      <c r="F29" s="159"/>
      <c r="G29" s="159"/>
      <c r="H29" s="117"/>
      <c r="I29" s="117"/>
      <c r="J29" s="116"/>
      <c r="K29" s="116"/>
      <c r="L29" s="117" t="s">
        <v>1799</v>
      </c>
      <c r="M29" s="117"/>
      <c r="N29" s="116"/>
      <c r="O29" s="116"/>
      <c r="P29" s="117" t="s">
        <v>1799</v>
      </c>
      <c r="Q29" s="160"/>
      <c r="R29" s="152"/>
      <c r="S29" s="152"/>
      <c r="T29" s="12"/>
      <c r="U29" s="117"/>
      <c r="V29" s="117"/>
      <c r="W29" s="161"/>
      <c r="X29" s="117"/>
      <c r="Y29" s="117"/>
      <c r="Z29" s="117"/>
      <c r="AA29" s="119"/>
      <c r="AB29" s="118"/>
      <c r="AC29" s="118"/>
      <c r="AD29" s="162"/>
      <c r="AE29" s="117" t="s">
        <v>1802</v>
      </c>
      <c r="AF29" s="117"/>
      <c r="AG29" s="117"/>
      <c r="AH29" s="239"/>
      <c r="AI29" s="243"/>
      <c r="AJ29" s="116" t="s">
        <v>1803</v>
      </c>
      <c r="AK29" s="163"/>
      <c r="AL29" s="71"/>
      <c r="AM29" s="71"/>
      <c r="AN29" s="71"/>
      <c r="AO29" s="71"/>
      <c r="AP29" s="71"/>
      <c r="AQ29" s="71"/>
      <c r="AR29" s="71"/>
      <c r="AS29" s="71"/>
    </row>
    <row r="30" spans="1:45" s="157" customFormat="1" ht="12" customHeight="1">
      <c r="A30" s="71"/>
      <c r="B30" s="71"/>
      <c r="C30" s="158"/>
      <c r="D30" s="159"/>
      <c r="E30" s="116"/>
      <c r="F30" s="159"/>
      <c r="G30" s="159"/>
      <c r="H30" s="117"/>
      <c r="I30" s="117"/>
      <c r="J30" s="116"/>
      <c r="K30" s="116"/>
      <c r="L30" s="117" t="s">
        <v>737</v>
      </c>
      <c r="M30" s="117"/>
      <c r="N30" s="116"/>
      <c r="O30" s="116"/>
      <c r="P30" s="117" t="s">
        <v>737</v>
      </c>
      <c r="Q30" s="160"/>
      <c r="R30" s="160"/>
      <c r="S30" s="160"/>
      <c r="T30" s="45"/>
      <c r="U30" s="117"/>
      <c r="V30" s="117"/>
      <c r="W30" s="161"/>
      <c r="X30" s="117"/>
      <c r="Y30" s="117"/>
      <c r="Z30" s="117"/>
      <c r="AA30" s="119"/>
      <c r="AB30" s="118"/>
      <c r="AC30" s="118"/>
      <c r="AD30" s="162"/>
      <c r="AE30" s="117" t="s">
        <v>373</v>
      </c>
      <c r="AF30" s="117"/>
      <c r="AG30" s="117"/>
      <c r="AH30" s="239"/>
      <c r="AI30" s="243"/>
      <c r="AJ30" s="116" t="s">
        <v>1875</v>
      </c>
      <c r="AK30" s="163"/>
      <c r="AL30" s="71"/>
      <c r="AM30" s="71"/>
      <c r="AN30" s="71"/>
      <c r="AO30" s="71"/>
      <c r="AP30" s="71"/>
      <c r="AQ30" s="71"/>
      <c r="AR30" s="71"/>
      <c r="AS30" s="71"/>
    </row>
    <row r="31" spans="1:45" s="157" customFormat="1">
      <c r="A31" s="71"/>
      <c r="B31" s="71"/>
      <c r="C31" s="158"/>
      <c r="D31" s="159"/>
      <c r="E31" s="116"/>
      <c r="F31" s="159"/>
      <c r="G31" s="159"/>
      <c r="H31" s="117"/>
      <c r="I31" s="117"/>
      <c r="J31" s="116"/>
      <c r="K31" s="116"/>
      <c r="L31" s="117" t="s">
        <v>1807</v>
      </c>
      <c r="M31" s="117"/>
      <c r="N31" s="116"/>
      <c r="O31" s="116"/>
      <c r="P31" s="117" t="s">
        <v>1807</v>
      </c>
      <c r="Q31" s="160"/>
      <c r="R31" s="160"/>
      <c r="S31" s="160"/>
      <c r="T31" s="45"/>
      <c r="U31" s="117"/>
      <c r="V31" s="117"/>
      <c r="W31" s="117"/>
      <c r="X31" s="117"/>
      <c r="Y31" s="117"/>
      <c r="Z31" s="117"/>
      <c r="AA31" s="119"/>
      <c r="AB31" s="154"/>
      <c r="AC31" s="154"/>
      <c r="AD31" s="155"/>
      <c r="AE31" s="117" t="s">
        <v>1809</v>
      </c>
      <c r="AF31" s="117"/>
      <c r="AG31" s="117"/>
      <c r="AH31" s="239"/>
      <c r="AI31" s="243"/>
      <c r="AJ31" s="116"/>
      <c r="AK31" s="163"/>
      <c r="AL31" s="71"/>
      <c r="AM31" s="71"/>
      <c r="AN31" s="71"/>
      <c r="AO31" s="71"/>
      <c r="AP31" s="71"/>
      <c r="AQ31" s="71"/>
      <c r="AR31" s="71"/>
      <c r="AS31" s="71"/>
    </row>
    <row r="32" spans="1:45" s="157" customFormat="1">
      <c r="A32" s="71"/>
      <c r="B32" s="71"/>
      <c r="C32" s="158"/>
      <c r="D32" s="159"/>
      <c r="E32" s="116"/>
      <c r="F32" s="159"/>
      <c r="G32" s="159"/>
      <c r="H32" s="117"/>
      <c r="I32" s="117"/>
      <c r="J32" s="116"/>
      <c r="K32" s="116"/>
      <c r="L32" s="117" t="s">
        <v>166</v>
      </c>
      <c r="M32" s="117"/>
      <c r="N32" s="116"/>
      <c r="O32" s="116"/>
      <c r="P32" s="117" t="s">
        <v>166</v>
      </c>
      <c r="Q32" s="160"/>
      <c r="R32" s="160"/>
      <c r="S32" s="160"/>
      <c r="T32" s="45"/>
      <c r="U32" s="117"/>
      <c r="V32" s="117"/>
      <c r="W32" s="117"/>
      <c r="X32" s="117"/>
      <c r="Y32" s="117"/>
      <c r="Z32" s="117"/>
      <c r="AA32" s="154"/>
      <c r="AB32" s="154"/>
      <c r="AC32" s="154"/>
      <c r="AD32" s="155"/>
      <c r="AE32" s="117" t="s">
        <v>1675</v>
      </c>
      <c r="AF32" s="117"/>
      <c r="AG32" s="117"/>
      <c r="AH32" s="239"/>
      <c r="AI32" s="243"/>
      <c r="AJ32" s="116"/>
      <c r="AK32" s="163"/>
      <c r="AL32" s="71"/>
      <c r="AM32" s="71"/>
      <c r="AN32" s="71"/>
      <c r="AO32" s="71"/>
      <c r="AP32" s="71"/>
      <c r="AQ32" s="71"/>
      <c r="AR32" s="71"/>
      <c r="AS32" s="71"/>
    </row>
    <row r="33" spans="1:45" s="157" customFormat="1">
      <c r="A33" s="71"/>
      <c r="B33" s="71"/>
      <c r="C33" s="158"/>
      <c r="D33" s="159"/>
      <c r="E33" s="116"/>
      <c r="F33" s="159"/>
      <c r="G33" s="159"/>
      <c r="H33" s="117"/>
      <c r="I33" s="117"/>
      <c r="J33" s="116"/>
      <c r="K33" s="116"/>
      <c r="L33" s="117" t="s">
        <v>209</v>
      </c>
      <c r="M33" s="117"/>
      <c r="N33" s="116"/>
      <c r="O33" s="116"/>
      <c r="P33" s="117" t="s">
        <v>209</v>
      </c>
      <c r="Q33" s="160"/>
      <c r="R33" s="160"/>
      <c r="S33" s="160"/>
      <c r="T33" s="45"/>
      <c r="U33" s="117"/>
      <c r="V33" s="117"/>
      <c r="W33" s="117"/>
      <c r="X33" s="117"/>
      <c r="Y33" s="117"/>
      <c r="Z33" s="117"/>
      <c r="AA33" s="154"/>
      <c r="AB33" s="154"/>
      <c r="AC33" s="154"/>
      <c r="AD33" s="155"/>
      <c r="AE33" s="117" t="s">
        <v>1781</v>
      </c>
      <c r="AF33" s="117"/>
      <c r="AG33" s="117"/>
      <c r="AH33" s="239"/>
      <c r="AI33" s="243"/>
      <c r="AJ33" s="116"/>
      <c r="AK33" s="163"/>
      <c r="AL33" s="71"/>
      <c r="AM33" s="71"/>
      <c r="AN33" s="71"/>
      <c r="AO33" s="71"/>
      <c r="AP33" s="71"/>
      <c r="AQ33" s="71"/>
      <c r="AR33" s="71"/>
      <c r="AS33" s="71"/>
    </row>
    <row r="34" spans="1:45" s="157" customFormat="1">
      <c r="A34" s="71"/>
      <c r="B34" s="71"/>
      <c r="C34" s="158"/>
      <c r="D34" s="159"/>
      <c r="E34" s="116"/>
      <c r="F34" s="159"/>
      <c r="G34" s="159"/>
      <c r="H34" s="117"/>
      <c r="I34" s="117"/>
      <c r="J34" s="116"/>
      <c r="K34" s="116"/>
      <c r="L34" s="117" t="s">
        <v>1813</v>
      </c>
      <c r="M34" s="117"/>
      <c r="N34" s="116"/>
      <c r="O34" s="116"/>
      <c r="P34" s="117" t="s">
        <v>1813</v>
      </c>
      <c r="Q34" s="160"/>
      <c r="R34" s="160"/>
      <c r="S34" s="160"/>
      <c r="T34" s="45"/>
      <c r="U34" s="117"/>
      <c r="V34" s="117"/>
      <c r="W34" s="117"/>
      <c r="X34" s="117"/>
      <c r="Y34" s="117"/>
      <c r="Z34" s="117"/>
      <c r="AA34" s="154"/>
      <c r="AB34" s="154"/>
      <c r="AC34" s="154"/>
      <c r="AD34" s="155"/>
      <c r="AE34" s="117" t="s">
        <v>1816</v>
      </c>
      <c r="AF34" s="117"/>
      <c r="AG34" s="117"/>
      <c r="AH34" s="239"/>
      <c r="AI34" s="243"/>
      <c r="AJ34" s="116"/>
      <c r="AK34" s="163"/>
      <c r="AL34" s="71"/>
      <c r="AM34" s="71"/>
      <c r="AN34" s="71"/>
      <c r="AO34" s="71"/>
      <c r="AP34" s="71"/>
      <c r="AQ34" s="71"/>
      <c r="AR34" s="71"/>
      <c r="AS34" s="71"/>
    </row>
    <row r="35" spans="1:45" s="157" customFormat="1">
      <c r="A35" s="71"/>
      <c r="B35" s="71"/>
      <c r="C35" s="158"/>
      <c r="D35" s="159"/>
      <c r="E35" s="116"/>
      <c r="F35" s="159"/>
      <c r="G35" s="159"/>
      <c r="H35" s="117"/>
      <c r="I35" s="117"/>
      <c r="J35" s="116"/>
      <c r="K35" s="116"/>
      <c r="M35" s="117"/>
      <c r="N35" s="116"/>
      <c r="O35" s="116"/>
      <c r="Q35" s="160"/>
      <c r="R35" s="160"/>
      <c r="S35" s="160"/>
      <c r="T35" s="45"/>
      <c r="U35" s="117"/>
      <c r="V35" s="117"/>
      <c r="W35" s="117"/>
      <c r="X35" s="117"/>
      <c r="Y35" s="117"/>
      <c r="Z35" s="117"/>
      <c r="AA35" s="154"/>
      <c r="AB35" s="154"/>
      <c r="AC35" s="154"/>
      <c r="AD35" s="154"/>
      <c r="AE35" s="117" t="s">
        <v>552</v>
      </c>
      <c r="AF35" s="117"/>
      <c r="AG35" s="117"/>
      <c r="AH35" s="239"/>
      <c r="AI35" s="243"/>
      <c r="AJ35" s="116"/>
      <c r="AK35" s="163"/>
      <c r="AL35" s="71"/>
      <c r="AM35" s="71"/>
      <c r="AN35" s="71"/>
      <c r="AO35" s="71"/>
      <c r="AP35" s="71"/>
      <c r="AQ35" s="71"/>
      <c r="AR35" s="71"/>
      <c r="AS35" s="71"/>
    </row>
    <row r="36" spans="1:45" s="157" customFormat="1">
      <c r="A36" s="71"/>
      <c r="B36" s="71"/>
      <c r="C36" s="158"/>
      <c r="D36" s="159"/>
      <c r="E36" s="116"/>
      <c r="F36" s="159"/>
      <c r="G36" s="159"/>
      <c r="H36" s="117"/>
      <c r="I36" s="117"/>
      <c r="J36" s="116"/>
      <c r="K36" s="116"/>
      <c r="L36" s="117"/>
      <c r="M36" s="117"/>
      <c r="N36" s="116"/>
      <c r="O36" s="116"/>
      <c r="P36" s="116"/>
      <c r="Q36" s="117"/>
      <c r="R36" s="117"/>
      <c r="S36" s="117"/>
      <c r="T36" s="45"/>
      <c r="U36" s="117"/>
      <c r="V36" s="117"/>
      <c r="W36" s="117"/>
      <c r="X36" s="117"/>
      <c r="Y36" s="117"/>
      <c r="Z36" s="117"/>
      <c r="AA36" s="119"/>
      <c r="AB36" s="118"/>
      <c r="AC36" s="118"/>
      <c r="AD36" s="119"/>
      <c r="AE36" s="117" t="s">
        <v>1820</v>
      </c>
      <c r="AF36" s="117"/>
      <c r="AG36" s="117"/>
      <c r="AH36" s="239"/>
      <c r="AI36" s="243"/>
      <c r="AJ36" s="116"/>
      <c r="AK36" s="163"/>
      <c r="AL36" s="71"/>
      <c r="AM36" s="71"/>
      <c r="AN36" s="71"/>
      <c r="AO36" s="71"/>
      <c r="AP36" s="71"/>
      <c r="AQ36" s="71"/>
      <c r="AR36" s="71"/>
      <c r="AS36" s="71"/>
    </row>
    <row r="37" spans="1:45" s="157" customFormat="1">
      <c r="A37" s="71"/>
      <c r="B37" s="71"/>
      <c r="C37" s="158"/>
      <c r="D37" s="159"/>
      <c r="E37" s="116"/>
      <c r="F37" s="159"/>
      <c r="G37" s="159"/>
      <c r="H37" s="117"/>
      <c r="I37" s="117"/>
      <c r="J37" s="116"/>
      <c r="K37" s="116"/>
      <c r="L37" s="117"/>
      <c r="M37" s="117"/>
      <c r="N37" s="116"/>
      <c r="O37" s="116"/>
      <c r="P37" s="116"/>
      <c r="Q37" s="117"/>
      <c r="R37" s="117"/>
      <c r="S37" s="117"/>
      <c r="T37" s="45"/>
      <c r="U37" s="117"/>
      <c r="V37" s="117"/>
      <c r="W37" s="117"/>
      <c r="X37" s="117"/>
      <c r="Y37" s="117"/>
      <c r="Z37" s="117"/>
      <c r="AA37" s="119"/>
      <c r="AB37" s="118"/>
      <c r="AC37" s="118"/>
      <c r="AD37" s="119"/>
      <c r="AE37" s="117" t="s">
        <v>1822</v>
      </c>
      <c r="AF37" s="117"/>
      <c r="AG37" s="117"/>
      <c r="AH37" s="239"/>
      <c r="AI37" s="243"/>
      <c r="AJ37" s="116"/>
      <c r="AK37" s="163"/>
      <c r="AL37" s="71"/>
      <c r="AM37" s="71"/>
      <c r="AN37" s="71"/>
      <c r="AO37" s="71"/>
      <c r="AP37" s="71"/>
      <c r="AQ37" s="71"/>
      <c r="AR37" s="71"/>
      <c r="AS37" s="71"/>
    </row>
    <row r="38" spans="1:45" s="157" customFormat="1">
      <c r="A38" s="71"/>
      <c r="B38" s="71"/>
      <c r="C38" s="158"/>
      <c r="D38" s="159"/>
      <c r="E38" s="116"/>
      <c r="F38" s="159"/>
      <c r="G38" s="159"/>
      <c r="H38" s="117"/>
      <c r="I38" s="117"/>
      <c r="J38" s="116"/>
      <c r="K38" s="116"/>
      <c r="L38" s="117"/>
      <c r="M38" s="117"/>
      <c r="N38" s="116"/>
      <c r="O38" s="116"/>
      <c r="P38" s="116"/>
      <c r="Q38" s="117"/>
      <c r="R38" s="117"/>
      <c r="S38" s="117"/>
      <c r="T38" s="45"/>
      <c r="U38" s="117"/>
      <c r="V38" s="117"/>
      <c r="W38" s="117"/>
      <c r="X38" s="117"/>
      <c r="Y38" s="117"/>
      <c r="Z38" s="117"/>
      <c r="AA38" s="164"/>
      <c r="AB38" s="165"/>
      <c r="AC38" s="165"/>
      <c r="AD38" s="164"/>
      <c r="AE38" s="117" t="s">
        <v>1876</v>
      </c>
      <c r="AF38" s="117"/>
      <c r="AG38" s="117"/>
      <c r="AH38" s="239"/>
      <c r="AI38" s="243"/>
      <c r="AJ38" s="116"/>
      <c r="AK38" s="163"/>
      <c r="AL38" s="71"/>
      <c r="AM38" s="71"/>
      <c r="AN38" s="71"/>
      <c r="AO38" s="71"/>
      <c r="AP38" s="71"/>
      <c r="AQ38" s="71"/>
      <c r="AR38" s="71"/>
      <c r="AS38" s="71"/>
    </row>
    <row r="39" spans="1:45" s="157" customFormat="1">
      <c r="A39" s="71"/>
      <c r="B39" s="71"/>
      <c r="C39" s="158"/>
      <c r="D39" s="159"/>
      <c r="E39" s="116"/>
      <c r="F39" s="159"/>
      <c r="G39" s="159"/>
      <c r="H39" s="117"/>
      <c r="I39" s="117"/>
      <c r="J39" s="116"/>
      <c r="K39" s="116"/>
      <c r="L39" s="117"/>
      <c r="M39" s="117"/>
      <c r="N39" s="116"/>
      <c r="O39" s="116"/>
      <c r="P39" s="116"/>
      <c r="Q39" s="117"/>
      <c r="R39" s="117"/>
      <c r="S39" s="117"/>
      <c r="T39" s="45"/>
      <c r="U39" s="117"/>
      <c r="V39" s="117"/>
      <c r="W39" s="117"/>
      <c r="X39" s="117"/>
      <c r="Y39" s="117"/>
      <c r="Z39" s="117"/>
      <c r="AA39" s="117"/>
      <c r="AB39" s="116"/>
      <c r="AC39" s="116"/>
      <c r="AD39" s="117"/>
      <c r="AE39" s="117"/>
      <c r="AF39" s="117"/>
      <c r="AG39" s="117"/>
      <c r="AH39" s="239"/>
      <c r="AI39" s="243"/>
      <c r="AJ39" s="116"/>
      <c r="AK39" s="163"/>
      <c r="AL39" s="71"/>
      <c r="AM39" s="71"/>
      <c r="AN39" s="71"/>
      <c r="AO39" s="71"/>
      <c r="AP39" s="71"/>
      <c r="AQ39" s="71"/>
      <c r="AR39" s="71"/>
      <c r="AS39" s="71"/>
    </row>
    <row r="40" spans="1:45" s="157" customFormat="1" ht="12" thickBot="1">
      <c r="A40" s="71"/>
      <c r="B40" s="71"/>
      <c r="C40" s="158"/>
      <c r="D40" s="135"/>
      <c r="E40" s="137"/>
      <c r="F40" s="166"/>
      <c r="G40" s="166"/>
      <c r="H40" s="137"/>
      <c r="I40" s="137"/>
      <c r="J40" s="137"/>
      <c r="K40" s="137"/>
      <c r="L40" s="137"/>
      <c r="M40" s="137"/>
      <c r="N40" s="137"/>
      <c r="O40" s="137"/>
      <c r="P40" s="137"/>
      <c r="Q40" s="137"/>
      <c r="R40" s="127"/>
      <c r="S40" s="127"/>
      <c r="T40" s="45"/>
      <c r="U40" s="137"/>
      <c r="V40" s="137"/>
      <c r="W40" s="137"/>
      <c r="X40" s="137"/>
      <c r="Y40" s="137"/>
      <c r="Z40" s="137"/>
      <c r="AA40" s="137"/>
      <c r="AB40" s="137"/>
      <c r="AC40" s="137"/>
      <c r="AD40" s="137"/>
      <c r="AE40" s="137"/>
      <c r="AF40" s="137"/>
      <c r="AG40" s="137"/>
      <c r="AH40" s="240"/>
      <c r="AI40" s="244"/>
      <c r="AJ40" s="137"/>
      <c r="AK40" s="142"/>
      <c r="AL40" s="71"/>
      <c r="AM40" s="71"/>
      <c r="AN40" s="71"/>
      <c r="AO40" s="71"/>
      <c r="AP40" s="71"/>
      <c r="AQ40" s="71"/>
      <c r="AR40" s="71"/>
      <c r="AS40" s="71"/>
    </row>
    <row r="41" spans="1:45" s="157" customFormat="1" ht="12" thickBot="1">
      <c r="A41" s="71"/>
      <c r="B41" s="71"/>
      <c r="C41" s="112"/>
      <c r="D41" s="112"/>
      <c r="E41" s="112"/>
      <c r="F41" s="112"/>
      <c r="G41" s="112"/>
      <c r="H41" s="112"/>
      <c r="I41" s="112"/>
      <c r="J41" s="112"/>
      <c r="K41" s="112"/>
      <c r="L41" s="167"/>
      <c r="M41" s="112"/>
      <c r="N41" s="112"/>
      <c r="O41" s="112"/>
      <c r="P41" s="112"/>
      <c r="Q41" s="112"/>
      <c r="R41" s="112"/>
      <c r="S41" s="112"/>
      <c r="T41" s="13"/>
      <c r="U41" s="112"/>
      <c r="V41" s="112"/>
      <c r="W41" s="112"/>
      <c r="X41" s="112"/>
      <c r="Y41" s="167"/>
      <c r="Z41" s="167"/>
      <c r="AA41" s="167"/>
      <c r="AB41" s="167"/>
      <c r="AC41" s="167"/>
      <c r="AD41" s="167"/>
      <c r="AE41" s="167"/>
      <c r="AF41" s="112"/>
      <c r="AG41" s="112"/>
      <c r="AH41" s="168"/>
      <c r="AI41" s="168"/>
      <c r="AJ41" s="167"/>
      <c r="AK41" s="167"/>
      <c r="AL41" s="71"/>
      <c r="AM41" s="71"/>
      <c r="AN41" s="71"/>
      <c r="AO41" s="71"/>
      <c r="AP41" s="71"/>
      <c r="AQ41" s="71"/>
      <c r="AR41" s="71"/>
      <c r="AS41" s="71"/>
    </row>
    <row r="42" spans="1:45" s="157" customFormat="1">
      <c r="A42" s="71"/>
      <c r="B42" s="71"/>
      <c r="C42" s="71"/>
      <c r="D42" s="71"/>
      <c r="E42" s="71"/>
      <c r="F42" s="71"/>
      <c r="G42" s="71"/>
      <c r="H42" s="71"/>
      <c r="I42" s="71"/>
      <c r="J42" s="71"/>
      <c r="K42" s="71"/>
      <c r="L42" s="71"/>
      <c r="M42" s="71"/>
      <c r="N42" s="71"/>
      <c r="O42" s="71"/>
      <c r="P42" s="71"/>
      <c r="Q42" s="71"/>
      <c r="R42" s="71"/>
      <c r="S42" s="71"/>
      <c r="T42" s="14"/>
      <c r="U42" s="71"/>
      <c r="V42" s="71"/>
      <c r="W42" s="71"/>
      <c r="X42" s="71"/>
      <c r="Y42" s="71"/>
      <c r="Z42" s="71"/>
      <c r="AA42" s="71"/>
      <c r="AB42" s="71"/>
      <c r="AC42" s="71"/>
      <c r="AD42" s="71"/>
      <c r="AE42" s="71"/>
      <c r="AF42" s="71"/>
      <c r="AG42" s="71"/>
      <c r="AH42" s="55"/>
      <c r="AI42" s="55"/>
      <c r="AJ42" s="71"/>
      <c r="AK42" s="71"/>
      <c r="AL42" s="71"/>
      <c r="AM42" s="71"/>
      <c r="AN42" s="71"/>
      <c r="AO42" s="71"/>
      <c r="AP42" s="71"/>
      <c r="AQ42" s="71"/>
      <c r="AR42" s="71"/>
      <c r="AS42" s="71"/>
    </row>
    <row r="43" spans="1:45" s="157" customFormat="1">
      <c r="A43" s="71"/>
      <c r="B43" s="71"/>
      <c r="C43" s="71"/>
      <c r="D43" s="71"/>
      <c r="E43" s="71"/>
      <c r="F43" s="71"/>
      <c r="G43" s="71"/>
      <c r="H43" s="71"/>
      <c r="I43" s="71"/>
      <c r="J43" s="71"/>
      <c r="K43" s="71"/>
      <c r="L43" s="71"/>
      <c r="M43" s="71"/>
      <c r="N43" s="71"/>
      <c r="O43" s="71"/>
      <c r="P43" s="71"/>
      <c r="Q43" s="71"/>
      <c r="R43" s="71"/>
      <c r="S43" s="71"/>
      <c r="T43" s="10"/>
      <c r="U43" s="71"/>
      <c r="V43" s="71"/>
      <c r="W43" s="71"/>
      <c r="X43" s="71"/>
      <c r="Y43" s="71"/>
      <c r="Z43" s="71"/>
      <c r="AA43" s="71"/>
      <c r="AB43" s="71"/>
      <c r="AC43" s="71"/>
      <c r="AD43" s="71"/>
      <c r="AE43" s="71"/>
      <c r="AF43" s="71"/>
      <c r="AG43" s="71"/>
      <c r="AH43" s="55"/>
      <c r="AI43" s="55"/>
      <c r="AJ43" s="71"/>
      <c r="AK43" s="71"/>
      <c r="AL43" s="71"/>
      <c r="AM43" s="71"/>
      <c r="AN43" s="71"/>
      <c r="AO43" s="71"/>
      <c r="AP43" s="71"/>
      <c r="AQ43" s="71"/>
      <c r="AR43" s="71"/>
      <c r="AS43" s="71"/>
    </row>
    <row r="44" spans="1:45" s="169" customFormat="1" ht="12">
      <c r="C44" s="71"/>
      <c r="D44" s="71"/>
      <c r="E44" s="71"/>
      <c r="F44" s="71"/>
      <c r="G44" s="71"/>
      <c r="H44" s="71"/>
      <c r="I44" s="71"/>
      <c r="J44" s="71"/>
      <c r="K44" s="71"/>
      <c r="L44" s="71"/>
      <c r="M44" s="71"/>
      <c r="N44" s="71"/>
      <c r="O44" s="71"/>
      <c r="P44" s="71"/>
      <c r="Q44" s="71"/>
      <c r="R44" s="71"/>
      <c r="S44" s="71"/>
      <c r="T44" s="10"/>
      <c r="U44" s="71"/>
      <c r="V44" s="71"/>
      <c r="W44" s="71"/>
      <c r="X44" s="71"/>
      <c r="Y44" s="71"/>
      <c r="Z44" s="71"/>
      <c r="AA44" s="71"/>
      <c r="AB44" s="71"/>
      <c r="AC44" s="71"/>
      <c r="AD44" s="71"/>
      <c r="AE44" s="71"/>
      <c r="AF44" s="71"/>
      <c r="AG44" s="71"/>
      <c r="AH44" s="55"/>
      <c r="AI44" s="55"/>
      <c r="AJ44" s="71"/>
      <c r="AK44" s="71"/>
    </row>
    <row r="45" spans="1:45">
      <c r="V45" s="71"/>
      <c r="W45" s="71"/>
    </row>
    <row r="46" spans="1:45">
      <c r="V46" s="71"/>
      <c r="W46" s="71"/>
    </row>
    <row r="47" spans="1:45">
      <c r="V47" s="71"/>
      <c r="W47" s="71"/>
    </row>
    <row r="48" spans="1:45">
      <c r="V48" s="71"/>
      <c r="W48" s="71"/>
    </row>
    <row r="49" spans="1:45">
      <c r="V49" s="71"/>
      <c r="W49" s="71"/>
    </row>
    <row r="50" spans="1:45">
      <c r="V50" s="71"/>
      <c r="W50" s="71"/>
    </row>
    <row r="51" spans="1:45">
      <c r="V51" s="71"/>
      <c r="W51" s="71"/>
    </row>
    <row r="52" spans="1:45">
      <c r="V52" s="71"/>
      <c r="W52" s="71"/>
    </row>
    <row r="53" spans="1:45">
      <c r="V53" s="71"/>
      <c r="W53" s="71"/>
    </row>
    <row r="54" spans="1:45">
      <c r="V54" s="71"/>
      <c r="W54" s="71"/>
    </row>
    <row r="55" spans="1:45">
      <c r="V55" s="71"/>
      <c r="W55" s="71"/>
    </row>
    <row r="56" spans="1:45">
      <c r="V56" s="71"/>
      <c r="W56" s="71"/>
    </row>
    <row r="57" spans="1:45">
      <c r="V57" s="71"/>
      <c r="W57" s="71"/>
    </row>
    <row r="58" spans="1:45">
      <c r="A58" s="112"/>
      <c r="B58" s="112"/>
      <c r="V58" s="71"/>
      <c r="W58" s="71"/>
    </row>
    <row r="59" spans="1:45">
      <c r="V59" s="71"/>
      <c r="W59" s="71"/>
    </row>
    <row r="60" spans="1:45" s="157" customFormat="1">
      <c r="A60" s="71"/>
      <c r="B60" s="71"/>
      <c r="C60" s="71"/>
      <c r="D60" s="71"/>
      <c r="E60" s="71"/>
      <c r="F60" s="71"/>
      <c r="G60" s="71"/>
      <c r="H60" s="71"/>
      <c r="I60" s="71"/>
      <c r="J60" s="71"/>
      <c r="K60" s="71"/>
      <c r="L60" s="71"/>
      <c r="M60" s="71"/>
      <c r="N60" s="71"/>
      <c r="O60" s="71"/>
      <c r="P60" s="71"/>
      <c r="Q60" s="71"/>
      <c r="R60" s="71"/>
      <c r="S60" s="71"/>
      <c r="T60" s="10"/>
      <c r="U60" s="71"/>
      <c r="V60" s="71"/>
      <c r="W60" s="71"/>
      <c r="X60" s="71"/>
      <c r="Y60" s="71"/>
      <c r="Z60" s="71"/>
      <c r="AA60" s="71"/>
      <c r="AB60" s="71"/>
      <c r="AC60" s="71"/>
      <c r="AD60" s="71"/>
      <c r="AE60" s="71"/>
      <c r="AF60" s="71"/>
      <c r="AG60" s="71"/>
      <c r="AH60" s="55"/>
      <c r="AI60" s="55"/>
      <c r="AJ60" s="71"/>
      <c r="AK60" s="71"/>
      <c r="AL60" s="71"/>
      <c r="AM60" s="71"/>
      <c r="AN60" s="71"/>
      <c r="AO60" s="71"/>
      <c r="AP60" s="71"/>
      <c r="AQ60" s="71"/>
      <c r="AR60" s="71"/>
      <c r="AS60" s="71"/>
    </row>
    <row r="61" spans="1:45" s="157" customFormat="1">
      <c r="A61" s="71"/>
      <c r="B61" s="71"/>
      <c r="C61" s="71"/>
      <c r="D61" s="71"/>
      <c r="E61" s="71"/>
      <c r="F61" s="71"/>
      <c r="G61" s="71"/>
      <c r="H61" s="71"/>
      <c r="I61" s="71"/>
      <c r="J61" s="71"/>
      <c r="K61" s="71"/>
      <c r="L61" s="71"/>
      <c r="M61" s="71"/>
      <c r="N61" s="71"/>
      <c r="O61" s="71"/>
      <c r="P61" s="71"/>
      <c r="Q61" s="71"/>
      <c r="R61" s="71"/>
      <c r="S61" s="71"/>
      <c r="T61" s="10"/>
      <c r="U61" s="71"/>
      <c r="V61" s="71"/>
      <c r="W61" s="71"/>
      <c r="X61" s="71"/>
      <c r="Y61" s="71"/>
      <c r="Z61" s="71"/>
      <c r="AA61" s="71"/>
      <c r="AB61" s="71"/>
      <c r="AC61" s="71"/>
      <c r="AD61" s="71"/>
      <c r="AE61" s="71"/>
      <c r="AF61" s="71"/>
      <c r="AG61" s="71"/>
      <c r="AH61" s="55"/>
      <c r="AI61" s="55"/>
      <c r="AJ61" s="71"/>
      <c r="AK61" s="71"/>
      <c r="AL61" s="71"/>
      <c r="AM61" s="71"/>
      <c r="AN61" s="71"/>
      <c r="AO61" s="71"/>
      <c r="AP61" s="71"/>
      <c r="AQ61" s="71"/>
      <c r="AR61" s="71"/>
      <c r="AS61" s="71"/>
    </row>
    <row r="62" spans="1:45" s="157" customFormat="1">
      <c r="A62" s="71"/>
      <c r="B62" s="71"/>
      <c r="C62" s="71"/>
      <c r="D62" s="71"/>
      <c r="E62" s="71"/>
      <c r="F62" s="71"/>
      <c r="G62" s="71"/>
      <c r="H62" s="71"/>
      <c r="I62" s="71"/>
      <c r="J62" s="71"/>
      <c r="K62" s="71"/>
      <c r="L62" s="71"/>
      <c r="M62" s="71"/>
      <c r="N62" s="71"/>
      <c r="O62" s="71"/>
      <c r="P62" s="71"/>
      <c r="Q62" s="71"/>
      <c r="R62" s="71"/>
      <c r="S62" s="71"/>
      <c r="T62" s="10"/>
      <c r="U62" s="71"/>
      <c r="V62" s="71"/>
      <c r="W62" s="71"/>
      <c r="X62" s="71"/>
      <c r="Y62" s="71"/>
      <c r="Z62" s="71"/>
      <c r="AA62" s="71"/>
      <c r="AB62" s="71"/>
      <c r="AC62" s="71"/>
      <c r="AD62" s="71"/>
      <c r="AE62" s="71"/>
      <c r="AF62" s="71"/>
      <c r="AG62" s="71"/>
      <c r="AH62" s="55"/>
      <c r="AI62" s="55"/>
      <c r="AJ62" s="71"/>
      <c r="AK62" s="71"/>
      <c r="AL62" s="71"/>
      <c r="AM62" s="71"/>
      <c r="AN62" s="71"/>
      <c r="AO62" s="71"/>
      <c r="AP62" s="71"/>
      <c r="AQ62" s="71"/>
      <c r="AR62" s="71"/>
      <c r="AS62" s="71"/>
    </row>
    <row r="63" spans="1:45" s="157" customFormat="1">
      <c r="A63" s="71"/>
      <c r="B63" s="71"/>
      <c r="C63" s="71"/>
      <c r="D63" s="71"/>
      <c r="E63" s="71"/>
      <c r="F63" s="71"/>
      <c r="G63" s="71"/>
      <c r="H63" s="71"/>
      <c r="I63" s="71"/>
      <c r="J63" s="71"/>
      <c r="K63" s="71"/>
      <c r="L63" s="71"/>
      <c r="M63" s="71"/>
      <c r="N63" s="71"/>
      <c r="O63" s="71"/>
      <c r="P63" s="71"/>
      <c r="Q63" s="71"/>
      <c r="R63" s="71"/>
      <c r="S63" s="71"/>
      <c r="T63" s="10"/>
      <c r="U63" s="71"/>
      <c r="V63" s="71"/>
      <c r="W63" s="71"/>
      <c r="X63" s="71"/>
      <c r="Y63" s="71"/>
      <c r="Z63" s="71"/>
      <c r="AA63" s="71"/>
      <c r="AB63" s="71"/>
      <c r="AC63" s="71"/>
      <c r="AD63" s="71"/>
      <c r="AE63" s="71"/>
      <c r="AF63" s="71"/>
      <c r="AG63" s="71"/>
      <c r="AH63" s="55"/>
      <c r="AI63" s="55"/>
      <c r="AJ63" s="71"/>
      <c r="AK63" s="71"/>
      <c r="AL63" s="71"/>
      <c r="AM63" s="71"/>
      <c r="AN63" s="71"/>
      <c r="AO63" s="71"/>
      <c r="AP63" s="71"/>
      <c r="AQ63" s="71"/>
      <c r="AR63" s="71"/>
      <c r="AS63" s="71"/>
    </row>
    <row r="64" spans="1:45" s="157" customFormat="1">
      <c r="A64" s="71"/>
      <c r="B64" s="71"/>
      <c r="C64" s="71"/>
      <c r="D64" s="71"/>
      <c r="E64" s="71"/>
      <c r="F64" s="71"/>
      <c r="G64" s="71"/>
      <c r="H64" s="71"/>
      <c r="I64" s="71"/>
      <c r="J64" s="71"/>
      <c r="K64" s="71"/>
      <c r="L64" s="71"/>
      <c r="M64" s="71"/>
      <c r="N64" s="71"/>
      <c r="O64" s="71"/>
      <c r="P64" s="71"/>
      <c r="Q64" s="71"/>
      <c r="R64" s="71"/>
      <c r="S64" s="71"/>
      <c r="T64" s="10"/>
      <c r="U64" s="71"/>
      <c r="V64" s="71"/>
      <c r="W64" s="71"/>
      <c r="X64" s="71"/>
      <c r="Y64" s="71"/>
      <c r="Z64" s="71"/>
      <c r="AA64" s="71"/>
      <c r="AB64" s="71"/>
      <c r="AC64" s="71"/>
      <c r="AD64" s="71"/>
      <c r="AE64" s="71"/>
      <c r="AF64" s="71"/>
      <c r="AG64" s="71"/>
      <c r="AH64" s="55"/>
      <c r="AI64" s="55"/>
      <c r="AJ64" s="71"/>
      <c r="AK64" s="71"/>
      <c r="AL64" s="71"/>
      <c r="AM64" s="71"/>
      <c r="AN64" s="71"/>
      <c r="AO64" s="71"/>
      <c r="AP64" s="71"/>
      <c r="AQ64" s="71"/>
      <c r="AR64" s="71"/>
      <c r="AS64" s="71"/>
    </row>
    <row r="65" spans="1:45" s="157" customFormat="1">
      <c r="A65" s="71"/>
      <c r="B65" s="71"/>
      <c r="C65" s="71"/>
      <c r="D65" s="71"/>
      <c r="E65" s="71"/>
      <c r="F65" s="71"/>
      <c r="G65" s="71"/>
      <c r="H65" s="71"/>
      <c r="I65" s="71"/>
      <c r="J65" s="71"/>
      <c r="K65" s="71"/>
      <c r="L65" s="71"/>
      <c r="M65" s="71"/>
      <c r="N65" s="71"/>
      <c r="O65" s="71"/>
      <c r="P65" s="71"/>
      <c r="Q65" s="71"/>
      <c r="R65" s="71"/>
      <c r="S65" s="71"/>
      <c r="T65" s="10"/>
      <c r="U65" s="71"/>
      <c r="V65" s="71"/>
      <c r="W65" s="71"/>
      <c r="X65" s="71"/>
      <c r="Y65" s="71"/>
      <c r="Z65" s="71"/>
      <c r="AA65" s="71"/>
      <c r="AB65" s="71"/>
      <c r="AC65" s="71"/>
      <c r="AD65" s="71"/>
      <c r="AE65" s="71"/>
      <c r="AF65" s="71"/>
      <c r="AG65" s="71"/>
      <c r="AH65" s="55"/>
      <c r="AI65" s="55"/>
      <c r="AJ65" s="71"/>
      <c r="AK65" s="71"/>
      <c r="AL65" s="71"/>
      <c r="AM65" s="71"/>
      <c r="AN65" s="71"/>
      <c r="AO65" s="71"/>
      <c r="AP65" s="71"/>
      <c r="AQ65" s="71"/>
      <c r="AR65" s="71"/>
      <c r="AS65" s="71"/>
    </row>
    <row r="66" spans="1:45" s="157" customFormat="1">
      <c r="A66" s="71"/>
      <c r="B66" s="71"/>
      <c r="C66" s="71"/>
      <c r="D66" s="71"/>
      <c r="E66" s="71"/>
      <c r="F66" s="71"/>
      <c r="G66" s="71"/>
      <c r="H66" s="71"/>
      <c r="I66" s="71"/>
      <c r="J66" s="71"/>
      <c r="K66" s="71"/>
      <c r="L66" s="71"/>
      <c r="M66" s="71"/>
      <c r="N66" s="71"/>
      <c r="O66" s="71"/>
      <c r="P66" s="71"/>
      <c r="Q66" s="71"/>
      <c r="R66" s="71"/>
      <c r="S66" s="71"/>
      <c r="T66" s="10"/>
      <c r="U66" s="71"/>
      <c r="V66" s="71"/>
      <c r="W66" s="71"/>
      <c r="X66" s="71"/>
      <c r="Y66" s="71"/>
      <c r="Z66" s="71"/>
      <c r="AA66" s="71"/>
      <c r="AB66" s="71"/>
      <c r="AC66" s="71"/>
      <c r="AD66" s="71"/>
      <c r="AE66" s="71"/>
      <c r="AF66" s="71"/>
      <c r="AG66" s="71"/>
      <c r="AH66" s="55"/>
      <c r="AI66" s="55"/>
      <c r="AJ66" s="71"/>
      <c r="AK66" s="71"/>
      <c r="AL66" s="71"/>
      <c r="AM66" s="71"/>
      <c r="AN66" s="71"/>
      <c r="AO66" s="71"/>
      <c r="AP66" s="71"/>
      <c r="AQ66" s="71"/>
      <c r="AR66" s="71"/>
      <c r="AS66" s="71"/>
    </row>
    <row r="67" spans="1:45" s="157" customFormat="1">
      <c r="A67" s="71"/>
      <c r="B67" s="71"/>
      <c r="C67" s="71"/>
      <c r="D67" s="71"/>
      <c r="E67" s="71"/>
      <c r="F67" s="71"/>
      <c r="G67" s="71"/>
      <c r="H67" s="71"/>
      <c r="I67" s="71"/>
      <c r="J67" s="71"/>
      <c r="K67" s="71"/>
      <c r="L67" s="71"/>
      <c r="M67" s="71"/>
      <c r="N67" s="71"/>
      <c r="O67" s="71"/>
      <c r="P67" s="71"/>
      <c r="Q67" s="71"/>
      <c r="R67" s="71"/>
      <c r="S67" s="71"/>
      <c r="T67" s="10"/>
      <c r="U67" s="71"/>
      <c r="V67" s="71"/>
      <c r="W67" s="71"/>
      <c r="X67" s="71"/>
      <c r="Y67" s="71"/>
      <c r="Z67" s="71"/>
      <c r="AA67" s="71"/>
      <c r="AB67" s="71"/>
      <c r="AC67" s="71"/>
      <c r="AD67" s="71"/>
      <c r="AE67" s="71"/>
      <c r="AF67" s="71"/>
      <c r="AG67" s="71"/>
      <c r="AH67" s="55"/>
      <c r="AI67" s="55"/>
      <c r="AJ67" s="71"/>
      <c r="AK67" s="71"/>
      <c r="AL67" s="71"/>
      <c r="AM67" s="71"/>
      <c r="AN67" s="71"/>
      <c r="AO67" s="71"/>
      <c r="AP67" s="71"/>
      <c r="AQ67" s="71"/>
      <c r="AR67" s="71"/>
      <c r="AS67" s="71"/>
    </row>
    <row r="68" spans="1:45" s="157" customFormat="1">
      <c r="A68" s="71"/>
      <c r="B68" s="71"/>
      <c r="C68" s="71"/>
      <c r="D68" s="71"/>
      <c r="E68" s="71"/>
      <c r="F68" s="71"/>
      <c r="G68" s="71"/>
      <c r="H68" s="71"/>
      <c r="I68" s="71"/>
      <c r="J68" s="71"/>
      <c r="K68" s="71"/>
      <c r="L68" s="71"/>
      <c r="M68" s="71"/>
      <c r="N68" s="71"/>
      <c r="O68" s="71"/>
      <c r="P68" s="71"/>
      <c r="Q68" s="71"/>
      <c r="R68" s="71"/>
      <c r="S68" s="71"/>
      <c r="T68" s="10"/>
      <c r="U68" s="71"/>
      <c r="V68" s="71"/>
      <c r="W68" s="71"/>
      <c r="X68" s="71"/>
      <c r="Y68" s="71"/>
      <c r="Z68" s="71"/>
      <c r="AA68" s="71"/>
      <c r="AB68" s="71"/>
      <c r="AC68" s="71"/>
      <c r="AD68" s="71"/>
      <c r="AE68" s="71"/>
      <c r="AF68" s="71"/>
      <c r="AG68" s="71"/>
      <c r="AH68" s="55"/>
      <c r="AI68" s="55"/>
      <c r="AJ68" s="71"/>
      <c r="AK68" s="71"/>
      <c r="AL68" s="71"/>
      <c r="AM68" s="71"/>
      <c r="AN68" s="71"/>
      <c r="AO68" s="71"/>
      <c r="AP68" s="71"/>
      <c r="AQ68" s="71"/>
      <c r="AR68" s="71"/>
      <c r="AS68" s="71"/>
    </row>
    <row r="69" spans="1:45" s="157" customFormat="1">
      <c r="A69" s="71"/>
      <c r="B69" s="71"/>
      <c r="C69" s="71"/>
      <c r="D69" s="71"/>
      <c r="E69" s="71"/>
      <c r="F69" s="71"/>
      <c r="G69" s="71"/>
      <c r="H69" s="71"/>
      <c r="I69" s="71"/>
      <c r="J69" s="71"/>
      <c r="K69" s="71"/>
      <c r="L69" s="71"/>
      <c r="M69" s="71"/>
      <c r="N69" s="71"/>
      <c r="O69" s="71"/>
      <c r="P69" s="71"/>
      <c r="Q69" s="71"/>
      <c r="R69" s="71"/>
      <c r="S69" s="71"/>
      <c r="T69" s="10"/>
      <c r="U69" s="71"/>
      <c r="V69" s="71"/>
      <c r="W69" s="71"/>
      <c r="X69" s="71"/>
      <c r="Y69" s="71"/>
      <c r="Z69" s="71"/>
      <c r="AA69" s="71"/>
      <c r="AB69" s="71"/>
      <c r="AC69" s="71"/>
      <c r="AD69" s="71"/>
      <c r="AE69" s="71"/>
      <c r="AF69" s="71"/>
      <c r="AG69" s="71"/>
      <c r="AH69" s="55"/>
      <c r="AI69" s="55"/>
      <c r="AJ69" s="71"/>
      <c r="AK69" s="71"/>
      <c r="AL69" s="71"/>
      <c r="AM69" s="71"/>
      <c r="AN69" s="71"/>
      <c r="AO69" s="71"/>
      <c r="AP69" s="71"/>
      <c r="AQ69" s="71"/>
      <c r="AR69" s="71"/>
      <c r="AS69" s="71"/>
    </row>
    <row r="70" spans="1:45" s="157" customFormat="1">
      <c r="A70" s="71"/>
      <c r="B70" s="71"/>
      <c r="C70" s="71"/>
      <c r="D70" s="71"/>
      <c r="E70" s="71"/>
      <c r="F70" s="71"/>
      <c r="G70" s="71"/>
      <c r="H70" s="71"/>
      <c r="I70" s="71"/>
      <c r="J70" s="71"/>
      <c r="K70" s="71"/>
      <c r="L70" s="71"/>
      <c r="M70" s="71"/>
      <c r="N70" s="71"/>
      <c r="O70" s="71"/>
      <c r="P70" s="71"/>
      <c r="Q70" s="71"/>
      <c r="R70" s="71"/>
      <c r="S70" s="71"/>
      <c r="T70" s="10"/>
      <c r="U70" s="71"/>
      <c r="V70" s="71"/>
      <c r="W70" s="71"/>
      <c r="X70" s="71"/>
      <c r="Y70" s="71"/>
      <c r="Z70" s="71"/>
      <c r="AA70" s="71"/>
      <c r="AB70" s="71"/>
      <c r="AC70" s="71"/>
      <c r="AD70" s="71"/>
      <c r="AE70" s="71"/>
      <c r="AF70" s="71"/>
      <c r="AG70" s="71"/>
      <c r="AH70" s="55"/>
      <c r="AI70" s="55"/>
      <c r="AJ70" s="71"/>
      <c r="AK70" s="71"/>
      <c r="AL70" s="71"/>
      <c r="AM70" s="71"/>
      <c r="AN70" s="71"/>
      <c r="AO70" s="71"/>
      <c r="AP70" s="71"/>
      <c r="AQ70" s="71"/>
      <c r="AR70" s="71"/>
      <c r="AS70" s="71"/>
    </row>
    <row r="71" spans="1:45" s="157" customFormat="1">
      <c r="A71" s="71"/>
      <c r="B71" s="71"/>
      <c r="C71" s="71"/>
      <c r="D71" s="71"/>
      <c r="E71" s="71"/>
      <c r="F71" s="71"/>
      <c r="G71" s="71"/>
      <c r="H71" s="71"/>
      <c r="I71" s="71"/>
      <c r="J71" s="71"/>
      <c r="K71" s="71"/>
      <c r="L71" s="71"/>
      <c r="M71" s="71"/>
      <c r="N71" s="71"/>
      <c r="O71" s="71"/>
      <c r="P71" s="71"/>
      <c r="Q71" s="71"/>
      <c r="R71" s="71"/>
      <c r="S71" s="71"/>
      <c r="T71" s="10"/>
      <c r="U71" s="71"/>
      <c r="V71" s="71"/>
      <c r="W71" s="71"/>
      <c r="X71" s="71"/>
      <c r="Y71" s="71"/>
      <c r="Z71" s="71"/>
      <c r="AA71" s="71"/>
      <c r="AB71" s="71"/>
      <c r="AC71" s="71"/>
      <c r="AD71" s="71"/>
      <c r="AE71" s="71"/>
      <c r="AF71" s="71"/>
      <c r="AG71" s="71"/>
      <c r="AH71" s="55"/>
      <c r="AI71" s="55"/>
      <c r="AJ71" s="71"/>
      <c r="AK71" s="71"/>
      <c r="AL71" s="71"/>
      <c r="AM71" s="71"/>
      <c r="AN71" s="71"/>
      <c r="AO71" s="71"/>
      <c r="AP71" s="71"/>
      <c r="AQ71" s="71"/>
      <c r="AR71" s="71"/>
      <c r="AS71" s="71"/>
    </row>
    <row r="72" spans="1:45" s="157" customFormat="1">
      <c r="A72" s="71"/>
      <c r="B72" s="71"/>
      <c r="C72" s="71"/>
      <c r="D72" s="71"/>
      <c r="E72" s="71"/>
      <c r="F72" s="71"/>
      <c r="G72" s="71"/>
      <c r="H72" s="71"/>
      <c r="I72" s="71"/>
      <c r="J72" s="71"/>
      <c r="K72" s="71"/>
      <c r="L72" s="71"/>
      <c r="M72" s="71"/>
      <c r="N72" s="71"/>
      <c r="O72" s="71"/>
      <c r="P72" s="71"/>
      <c r="Q72" s="71"/>
      <c r="R72" s="71"/>
      <c r="S72" s="71"/>
      <c r="T72" s="10"/>
      <c r="U72" s="71"/>
      <c r="V72" s="71"/>
      <c r="W72" s="71"/>
      <c r="X72" s="71"/>
      <c r="Y72" s="71"/>
      <c r="Z72" s="71"/>
      <c r="AA72" s="71"/>
      <c r="AB72" s="71"/>
      <c r="AC72" s="71"/>
      <c r="AD72" s="71"/>
      <c r="AE72" s="71"/>
      <c r="AF72" s="71"/>
      <c r="AG72" s="71"/>
      <c r="AH72" s="55"/>
      <c r="AI72" s="55"/>
      <c r="AJ72" s="71"/>
      <c r="AK72" s="71"/>
      <c r="AL72" s="71"/>
      <c r="AM72" s="71"/>
      <c r="AN72" s="71"/>
      <c r="AO72" s="71"/>
      <c r="AP72" s="71"/>
      <c r="AQ72" s="71"/>
      <c r="AR72" s="71"/>
      <c r="AS72" s="71"/>
    </row>
    <row r="73" spans="1:45" s="157" customFormat="1">
      <c r="A73" s="71"/>
      <c r="B73" s="71"/>
      <c r="C73" s="71"/>
      <c r="D73" s="71"/>
      <c r="E73" s="71"/>
      <c r="F73" s="71"/>
      <c r="G73" s="71"/>
      <c r="H73" s="71"/>
      <c r="I73" s="71"/>
      <c r="J73" s="71"/>
      <c r="K73" s="71"/>
      <c r="L73" s="71"/>
      <c r="M73" s="71"/>
      <c r="N73" s="71"/>
      <c r="O73" s="71"/>
      <c r="P73" s="71"/>
      <c r="Q73" s="71"/>
      <c r="R73" s="71"/>
      <c r="S73" s="71"/>
      <c r="T73" s="10"/>
      <c r="U73" s="71"/>
      <c r="V73" s="71"/>
      <c r="W73" s="71"/>
      <c r="X73" s="71"/>
      <c r="Y73" s="71"/>
      <c r="Z73" s="71"/>
      <c r="AA73" s="71"/>
      <c r="AB73" s="71"/>
      <c r="AC73" s="71"/>
      <c r="AD73" s="71"/>
      <c r="AE73" s="71"/>
      <c r="AF73" s="71"/>
      <c r="AG73" s="71"/>
      <c r="AH73" s="55"/>
      <c r="AI73" s="55"/>
      <c r="AJ73" s="71"/>
      <c r="AK73" s="71"/>
      <c r="AL73" s="71"/>
      <c r="AM73" s="71"/>
      <c r="AN73" s="71"/>
      <c r="AO73" s="71"/>
      <c r="AP73" s="71"/>
      <c r="AQ73" s="71"/>
      <c r="AR73" s="71"/>
      <c r="AS73" s="71"/>
    </row>
    <row r="74" spans="1:45" s="157" customFormat="1">
      <c r="A74" s="71"/>
      <c r="B74" s="71"/>
      <c r="C74" s="71"/>
      <c r="D74" s="71"/>
      <c r="E74" s="71"/>
      <c r="F74" s="71"/>
      <c r="G74" s="71"/>
      <c r="H74" s="71"/>
      <c r="I74" s="71"/>
      <c r="J74" s="71"/>
      <c r="K74" s="71"/>
      <c r="L74" s="71"/>
      <c r="M74" s="71"/>
      <c r="N74" s="71"/>
      <c r="O74" s="71"/>
      <c r="P74" s="71"/>
      <c r="Q74" s="71"/>
      <c r="R74" s="71"/>
      <c r="S74" s="71"/>
      <c r="T74" s="10"/>
      <c r="U74" s="71"/>
      <c r="V74" s="71"/>
      <c r="W74" s="71"/>
      <c r="X74" s="71"/>
      <c r="Y74" s="71"/>
      <c r="Z74" s="71"/>
      <c r="AA74" s="71"/>
      <c r="AB74" s="71"/>
      <c r="AC74" s="71"/>
      <c r="AD74" s="71"/>
      <c r="AE74" s="71"/>
      <c r="AF74" s="71"/>
      <c r="AG74" s="71"/>
      <c r="AH74" s="55"/>
      <c r="AI74" s="55"/>
      <c r="AJ74" s="71"/>
      <c r="AK74" s="71"/>
      <c r="AL74" s="71"/>
      <c r="AM74" s="71"/>
      <c r="AN74" s="71"/>
      <c r="AO74" s="71"/>
      <c r="AP74" s="71"/>
      <c r="AQ74" s="71"/>
      <c r="AR74" s="71"/>
      <c r="AS74" s="71"/>
    </row>
    <row r="75" spans="1:45" s="157" customFormat="1">
      <c r="A75" s="71"/>
      <c r="B75" s="71"/>
      <c r="C75" s="71"/>
      <c r="D75" s="71"/>
      <c r="E75" s="71"/>
      <c r="F75" s="71"/>
      <c r="G75" s="71"/>
      <c r="H75" s="71"/>
      <c r="I75" s="71"/>
      <c r="J75" s="71"/>
      <c r="K75" s="71"/>
      <c r="L75" s="71"/>
      <c r="M75" s="71"/>
      <c r="N75" s="71"/>
      <c r="O75" s="71"/>
      <c r="P75" s="71"/>
      <c r="Q75" s="71"/>
      <c r="R75" s="71"/>
      <c r="S75" s="71"/>
      <c r="T75" s="10"/>
      <c r="U75" s="71"/>
      <c r="V75" s="71"/>
      <c r="W75" s="71"/>
      <c r="X75" s="71"/>
      <c r="Y75" s="71"/>
      <c r="Z75" s="71"/>
      <c r="AA75" s="71"/>
      <c r="AB75" s="71"/>
      <c r="AC75" s="71"/>
      <c r="AD75" s="71"/>
      <c r="AE75" s="71"/>
      <c r="AF75" s="71"/>
      <c r="AG75" s="71"/>
      <c r="AH75" s="55"/>
      <c r="AI75" s="55"/>
      <c r="AJ75" s="71"/>
      <c r="AK75" s="71"/>
      <c r="AL75" s="71"/>
      <c r="AM75" s="71"/>
      <c r="AN75" s="71"/>
      <c r="AO75" s="71"/>
      <c r="AP75" s="71"/>
      <c r="AQ75" s="71"/>
      <c r="AR75" s="71"/>
      <c r="AS75" s="71"/>
    </row>
    <row r="76" spans="1:45" s="157" customFormat="1">
      <c r="A76" s="71"/>
      <c r="B76" s="71"/>
      <c r="C76" s="71"/>
      <c r="D76" s="71"/>
      <c r="E76" s="71"/>
      <c r="F76" s="71"/>
      <c r="G76" s="71"/>
      <c r="H76" s="71"/>
      <c r="I76" s="71"/>
      <c r="J76" s="71"/>
      <c r="K76" s="71"/>
      <c r="L76" s="71"/>
      <c r="M76" s="71"/>
      <c r="N76" s="71"/>
      <c r="O76" s="71"/>
      <c r="P76" s="71"/>
      <c r="Q76" s="71"/>
      <c r="R76" s="71"/>
      <c r="S76" s="71"/>
      <c r="T76" s="10"/>
      <c r="U76" s="71"/>
      <c r="V76" s="71"/>
      <c r="W76" s="71"/>
      <c r="X76" s="71"/>
      <c r="Y76" s="71"/>
      <c r="Z76" s="71"/>
      <c r="AA76" s="71"/>
      <c r="AB76" s="71"/>
      <c r="AC76" s="71"/>
      <c r="AD76" s="71"/>
      <c r="AE76" s="71"/>
      <c r="AF76" s="71"/>
      <c r="AG76" s="71"/>
      <c r="AH76" s="55"/>
      <c r="AI76" s="55"/>
      <c r="AJ76" s="71"/>
      <c r="AK76" s="71"/>
      <c r="AL76" s="71"/>
      <c r="AM76" s="71"/>
      <c r="AN76" s="71"/>
      <c r="AO76" s="71"/>
      <c r="AP76" s="71"/>
      <c r="AQ76" s="71"/>
      <c r="AR76" s="71"/>
      <c r="AS76" s="71"/>
    </row>
    <row r="77" spans="1:45" s="157" customFormat="1">
      <c r="A77" s="71"/>
      <c r="B77" s="71"/>
      <c r="C77" s="71"/>
      <c r="D77" s="71"/>
      <c r="E77" s="71"/>
      <c r="F77" s="71"/>
      <c r="G77" s="71"/>
      <c r="H77" s="71"/>
      <c r="I77" s="71"/>
      <c r="J77" s="71"/>
      <c r="K77" s="71"/>
      <c r="L77" s="71"/>
      <c r="M77" s="71"/>
      <c r="N77" s="71"/>
      <c r="O77" s="71"/>
      <c r="P77" s="71"/>
      <c r="Q77" s="71"/>
      <c r="R77" s="71"/>
      <c r="S77" s="71"/>
      <c r="T77" s="10"/>
      <c r="U77" s="71"/>
      <c r="V77" s="71"/>
      <c r="W77" s="71"/>
      <c r="X77" s="71"/>
      <c r="Y77" s="71"/>
      <c r="Z77" s="71"/>
      <c r="AA77" s="71"/>
      <c r="AB77" s="71"/>
      <c r="AC77" s="71"/>
      <c r="AD77" s="71"/>
      <c r="AE77" s="71"/>
      <c r="AF77" s="71"/>
      <c r="AG77" s="71"/>
      <c r="AH77" s="55"/>
      <c r="AI77" s="55"/>
      <c r="AJ77" s="71"/>
      <c r="AK77" s="71"/>
      <c r="AL77" s="71"/>
      <c r="AM77" s="71"/>
      <c r="AN77" s="71"/>
      <c r="AO77" s="71"/>
      <c r="AP77" s="71"/>
      <c r="AQ77" s="71"/>
      <c r="AR77" s="71"/>
      <c r="AS77" s="71"/>
    </row>
    <row r="78" spans="1:45" s="157" customFormat="1">
      <c r="A78" s="71"/>
      <c r="B78" s="71"/>
      <c r="C78" s="71"/>
      <c r="D78" s="71"/>
      <c r="E78" s="71"/>
      <c r="F78" s="71"/>
      <c r="G78" s="71"/>
      <c r="H78" s="71"/>
      <c r="I78" s="71"/>
      <c r="J78" s="71"/>
      <c r="K78" s="71"/>
      <c r="L78" s="71"/>
      <c r="M78" s="71"/>
      <c r="N78" s="71"/>
      <c r="O78" s="71"/>
      <c r="P78" s="71"/>
      <c r="Q78" s="71"/>
      <c r="R78" s="71"/>
      <c r="S78" s="71"/>
      <c r="T78" s="10"/>
      <c r="U78" s="71"/>
      <c r="V78" s="71"/>
      <c r="W78" s="71"/>
      <c r="X78" s="71"/>
      <c r="Y78" s="71"/>
      <c r="Z78" s="71"/>
      <c r="AA78" s="71"/>
      <c r="AB78" s="71"/>
      <c r="AC78" s="71"/>
      <c r="AD78" s="71"/>
      <c r="AE78" s="71"/>
      <c r="AF78" s="71"/>
      <c r="AG78" s="71"/>
      <c r="AH78" s="55"/>
      <c r="AI78" s="55"/>
      <c r="AJ78" s="71"/>
      <c r="AK78" s="71"/>
      <c r="AL78" s="71"/>
      <c r="AM78" s="71"/>
      <c r="AN78" s="71"/>
      <c r="AO78" s="71"/>
      <c r="AP78" s="71"/>
      <c r="AQ78" s="71"/>
      <c r="AR78" s="71"/>
      <c r="AS78" s="71"/>
    </row>
    <row r="79" spans="1:45" s="157" customFormat="1">
      <c r="A79" s="71"/>
      <c r="B79" s="71"/>
      <c r="C79" s="71"/>
      <c r="D79" s="71"/>
      <c r="E79" s="71"/>
      <c r="F79" s="71"/>
      <c r="G79" s="71"/>
      <c r="H79" s="71"/>
      <c r="I79" s="71"/>
      <c r="J79" s="71"/>
      <c r="K79" s="71"/>
      <c r="L79" s="71"/>
      <c r="M79" s="71"/>
      <c r="N79" s="71"/>
      <c r="O79" s="71"/>
      <c r="P79" s="71"/>
      <c r="Q79" s="71"/>
      <c r="R79" s="71"/>
      <c r="S79" s="71"/>
      <c r="T79" s="10"/>
      <c r="U79" s="71"/>
      <c r="V79" s="71"/>
      <c r="W79" s="71"/>
      <c r="X79" s="71"/>
      <c r="Y79" s="71"/>
      <c r="Z79" s="71"/>
      <c r="AA79" s="71"/>
      <c r="AB79" s="71"/>
      <c r="AC79" s="71"/>
      <c r="AD79" s="71"/>
      <c r="AE79" s="71"/>
      <c r="AF79" s="71"/>
      <c r="AG79" s="71"/>
      <c r="AH79" s="55"/>
      <c r="AI79" s="55"/>
      <c r="AJ79" s="71"/>
      <c r="AK79" s="71"/>
      <c r="AL79" s="71"/>
      <c r="AM79" s="71"/>
      <c r="AN79" s="71"/>
      <c r="AO79" s="71"/>
      <c r="AP79" s="71"/>
      <c r="AQ79" s="71"/>
      <c r="AR79" s="71"/>
      <c r="AS79" s="71"/>
    </row>
    <row r="80" spans="1:45" s="157" customFormat="1">
      <c r="A80" s="71"/>
      <c r="B80" s="71"/>
      <c r="C80" s="71"/>
      <c r="D80" s="71"/>
      <c r="E80" s="71"/>
      <c r="F80" s="71"/>
      <c r="G80" s="71"/>
      <c r="H80" s="71"/>
      <c r="I80" s="71"/>
      <c r="J80" s="71"/>
      <c r="K80" s="71"/>
      <c r="L80" s="71"/>
      <c r="M80" s="71"/>
      <c r="N80" s="71"/>
      <c r="O80" s="71"/>
      <c r="P80" s="71"/>
      <c r="Q80" s="71"/>
      <c r="R80" s="71"/>
      <c r="S80" s="71"/>
      <c r="T80" s="10"/>
      <c r="U80" s="71"/>
      <c r="V80" s="71"/>
      <c r="W80" s="71"/>
      <c r="X80" s="71"/>
      <c r="Y80" s="71"/>
      <c r="Z80" s="71"/>
      <c r="AA80" s="71"/>
      <c r="AB80" s="71"/>
      <c r="AC80" s="71"/>
      <c r="AD80" s="71"/>
      <c r="AE80" s="71"/>
      <c r="AF80" s="71"/>
      <c r="AG80" s="71"/>
      <c r="AH80" s="55"/>
      <c r="AI80" s="55"/>
      <c r="AJ80" s="71"/>
      <c r="AK80" s="71"/>
      <c r="AL80" s="71"/>
      <c r="AM80" s="71"/>
      <c r="AN80" s="71"/>
      <c r="AO80" s="71"/>
      <c r="AP80" s="71"/>
      <c r="AQ80" s="71"/>
      <c r="AR80" s="71"/>
      <c r="AS80" s="71"/>
    </row>
    <row r="81" spans="1:45" s="157" customFormat="1">
      <c r="A81" s="71"/>
      <c r="B81" s="71"/>
      <c r="C81" s="71"/>
      <c r="D81" s="71"/>
      <c r="E81" s="71"/>
      <c r="F81" s="71"/>
      <c r="G81" s="71"/>
      <c r="H81" s="71"/>
      <c r="I81" s="71"/>
      <c r="J81" s="71"/>
      <c r="K81" s="71"/>
      <c r="L81" s="71"/>
      <c r="M81" s="71"/>
      <c r="N81" s="71"/>
      <c r="O81" s="71"/>
      <c r="P81" s="71"/>
      <c r="Q81" s="71"/>
      <c r="R81" s="71"/>
      <c r="S81" s="71"/>
      <c r="T81" s="10"/>
      <c r="U81" s="71"/>
      <c r="V81" s="71"/>
      <c r="W81" s="71"/>
      <c r="X81" s="71"/>
      <c r="Y81" s="71"/>
      <c r="Z81" s="71"/>
      <c r="AA81" s="71"/>
      <c r="AB81" s="71"/>
      <c r="AC81" s="71"/>
      <c r="AD81" s="71"/>
      <c r="AE81" s="71"/>
      <c r="AF81" s="71"/>
      <c r="AG81" s="71"/>
      <c r="AH81" s="55"/>
      <c r="AI81" s="55"/>
      <c r="AJ81" s="71"/>
      <c r="AK81" s="71"/>
      <c r="AL81" s="71"/>
      <c r="AM81" s="71"/>
      <c r="AN81" s="71"/>
      <c r="AO81" s="71"/>
      <c r="AP81" s="71"/>
      <c r="AQ81" s="71"/>
      <c r="AR81" s="71"/>
      <c r="AS81" s="71"/>
    </row>
    <row r="82" spans="1:45" s="157" customFormat="1">
      <c r="A82" s="71"/>
      <c r="B82" s="71"/>
      <c r="C82" s="71"/>
      <c r="D82" s="71"/>
      <c r="E82" s="71"/>
      <c r="F82" s="71"/>
      <c r="G82" s="71"/>
      <c r="H82" s="71"/>
      <c r="I82" s="71"/>
      <c r="J82" s="71"/>
      <c r="K82" s="71"/>
      <c r="L82" s="71"/>
      <c r="M82" s="71"/>
      <c r="N82" s="71"/>
      <c r="O82" s="71"/>
      <c r="P82" s="71"/>
      <c r="Q82" s="71"/>
      <c r="R82" s="71"/>
      <c r="S82" s="71"/>
      <c r="T82" s="10"/>
      <c r="U82" s="71"/>
      <c r="V82" s="71"/>
      <c r="W82" s="71"/>
      <c r="X82" s="71"/>
      <c r="Y82" s="71"/>
      <c r="Z82" s="71"/>
      <c r="AA82" s="71"/>
      <c r="AB82" s="71"/>
      <c r="AC82" s="71"/>
      <c r="AD82" s="71"/>
      <c r="AE82" s="71"/>
      <c r="AF82" s="71"/>
      <c r="AG82" s="71"/>
      <c r="AH82" s="55"/>
      <c r="AI82" s="55"/>
      <c r="AJ82" s="71"/>
      <c r="AK82" s="71"/>
      <c r="AL82" s="71"/>
      <c r="AM82" s="71"/>
      <c r="AN82" s="71"/>
      <c r="AO82" s="71"/>
      <c r="AP82" s="71"/>
      <c r="AQ82" s="71"/>
      <c r="AR82" s="71"/>
      <c r="AS82" s="71"/>
    </row>
    <row r="83" spans="1:45" s="157" customFormat="1">
      <c r="A83" s="71"/>
      <c r="B83" s="71"/>
      <c r="C83" s="71"/>
      <c r="D83" s="71"/>
      <c r="E83" s="71"/>
      <c r="F83" s="71"/>
      <c r="G83" s="71"/>
      <c r="H83" s="71"/>
      <c r="I83" s="71"/>
      <c r="J83" s="71"/>
      <c r="K83" s="71"/>
      <c r="L83" s="71"/>
      <c r="M83" s="71"/>
      <c r="N83" s="71"/>
      <c r="O83" s="71"/>
      <c r="P83" s="71"/>
      <c r="Q83" s="71"/>
      <c r="R83" s="71"/>
      <c r="S83" s="71"/>
      <c r="T83" s="10"/>
      <c r="U83" s="71"/>
      <c r="V83" s="71"/>
      <c r="W83" s="71"/>
      <c r="X83" s="71"/>
      <c r="Y83" s="71"/>
      <c r="Z83" s="71"/>
      <c r="AA83" s="71"/>
      <c r="AB83" s="71"/>
      <c r="AC83" s="71"/>
      <c r="AD83" s="71"/>
      <c r="AE83" s="71"/>
      <c r="AF83" s="71"/>
      <c r="AG83" s="71"/>
      <c r="AH83" s="55"/>
      <c r="AI83" s="55"/>
      <c r="AJ83" s="71"/>
      <c r="AK83" s="71"/>
      <c r="AL83" s="71"/>
      <c r="AM83" s="71"/>
      <c r="AN83" s="71"/>
      <c r="AO83" s="71"/>
      <c r="AP83" s="71"/>
      <c r="AQ83" s="71"/>
      <c r="AR83" s="71"/>
      <c r="AS83" s="71"/>
    </row>
    <row r="84" spans="1:45" s="157" customFormat="1">
      <c r="A84" s="71"/>
      <c r="B84" s="71"/>
      <c r="C84" s="71"/>
      <c r="D84" s="71"/>
      <c r="E84" s="71"/>
      <c r="F84" s="71"/>
      <c r="G84" s="71"/>
      <c r="H84" s="71"/>
      <c r="I84" s="71"/>
      <c r="J84" s="71"/>
      <c r="K84" s="71"/>
      <c r="L84" s="71"/>
      <c r="M84" s="71"/>
      <c r="N84" s="71"/>
      <c r="O84" s="71"/>
      <c r="P84" s="71"/>
      <c r="Q84" s="71"/>
      <c r="R84" s="71"/>
      <c r="S84" s="71"/>
      <c r="T84" s="10"/>
      <c r="U84" s="71"/>
      <c r="V84" s="71"/>
      <c r="W84" s="71"/>
      <c r="X84" s="71"/>
      <c r="Y84" s="71"/>
      <c r="Z84" s="71"/>
      <c r="AA84" s="71"/>
      <c r="AB84" s="71"/>
      <c r="AC84" s="71"/>
      <c r="AD84" s="71"/>
      <c r="AE84" s="71"/>
      <c r="AF84" s="71"/>
      <c r="AG84" s="71"/>
      <c r="AH84" s="55"/>
      <c r="AI84" s="55"/>
      <c r="AJ84" s="71"/>
      <c r="AK84" s="71"/>
      <c r="AL84" s="71"/>
      <c r="AM84" s="71"/>
      <c r="AN84" s="71"/>
      <c r="AO84" s="71"/>
      <c r="AP84" s="71"/>
      <c r="AQ84" s="71"/>
      <c r="AR84" s="71"/>
      <c r="AS84" s="71"/>
    </row>
    <row r="85" spans="1:45" s="157" customFormat="1">
      <c r="A85" s="71"/>
      <c r="B85" s="71"/>
      <c r="C85" s="71"/>
      <c r="D85" s="71"/>
      <c r="E85" s="71"/>
      <c r="F85" s="71"/>
      <c r="G85" s="71"/>
      <c r="H85" s="71"/>
      <c r="I85" s="71"/>
      <c r="J85" s="71"/>
      <c r="K85" s="71"/>
      <c r="L85" s="71"/>
      <c r="M85" s="71"/>
      <c r="N85" s="71"/>
      <c r="O85" s="71"/>
      <c r="P85" s="71"/>
      <c r="Q85" s="71"/>
      <c r="R85" s="71"/>
      <c r="S85" s="71"/>
      <c r="T85" s="10"/>
      <c r="U85" s="71"/>
      <c r="V85" s="71"/>
      <c r="W85" s="71"/>
      <c r="X85" s="71"/>
      <c r="Y85" s="71"/>
      <c r="Z85" s="71"/>
      <c r="AA85" s="71"/>
      <c r="AB85" s="71"/>
      <c r="AC85" s="71"/>
      <c r="AD85" s="71"/>
      <c r="AE85" s="71"/>
      <c r="AF85" s="71"/>
      <c r="AG85" s="71"/>
      <c r="AH85" s="55"/>
      <c r="AI85" s="55"/>
      <c r="AJ85" s="71"/>
      <c r="AK85" s="71"/>
      <c r="AL85" s="71"/>
      <c r="AM85" s="71"/>
      <c r="AN85" s="71"/>
      <c r="AO85" s="71"/>
      <c r="AP85" s="71"/>
      <c r="AQ85" s="71"/>
      <c r="AR85" s="71"/>
      <c r="AS85" s="71"/>
    </row>
    <row r="86" spans="1:45" s="157" customFormat="1">
      <c r="A86" s="71"/>
      <c r="B86" s="71"/>
      <c r="C86" s="71"/>
      <c r="D86" s="71"/>
      <c r="E86" s="71"/>
      <c r="F86" s="71"/>
      <c r="G86" s="71"/>
      <c r="H86" s="71"/>
      <c r="I86" s="71"/>
      <c r="J86" s="71"/>
      <c r="K86" s="71"/>
      <c r="L86" s="71"/>
      <c r="M86" s="71"/>
      <c r="N86" s="71"/>
      <c r="O86" s="71"/>
      <c r="P86" s="71"/>
      <c r="Q86" s="71"/>
      <c r="R86" s="71"/>
      <c r="S86" s="71"/>
      <c r="T86" s="10"/>
      <c r="U86" s="71"/>
      <c r="V86" s="71"/>
      <c r="W86" s="71"/>
      <c r="X86" s="71"/>
      <c r="Y86" s="71"/>
      <c r="Z86" s="71"/>
      <c r="AA86" s="71"/>
      <c r="AB86" s="71"/>
      <c r="AC86" s="71"/>
      <c r="AD86" s="71"/>
      <c r="AE86" s="71"/>
      <c r="AF86" s="71"/>
      <c r="AG86" s="71"/>
      <c r="AH86" s="55"/>
      <c r="AI86" s="55"/>
      <c r="AJ86" s="71"/>
      <c r="AK86" s="71"/>
      <c r="AL86" s="71"/>
      <c r="AM86" s="71"/>
      <c r="AN86" s="71"/>
      <c r="AO86" s="71"/>
      <c r="AP86" s="71"/>
      <c r="AQ86" s="71"/>
      <c r="AR86" s="71"/>
      <c r="AS86" s="71"/>
    </row>
    <row r="87" spans="1:45" s="157" customFormat="1">
      <c r="A87" s="71"/>
      <c r="B87" s="71"/>
      <c r="C87" s="71"/>
      <c r="D87" s="71"/>
      <c r="E87" s="71"/>
      <c r="F87" s="71"/>
      <c r="G87" s="71"/>
      <c r="H87" s="71"/>
      <c r="I87" s="71"/>
      <c r="J87" s="71"/>
      <c r="K87" s="71"/>
      <c r="L87" s="71"/>
      <c r="M87" s="71"/>
      <c r="N87" s="71"/>
      <c r="O87" s="71"/>
      <c r="P87" s="71"/>
      <c r="Q87" s="71"/>
      <c r="R87" s="71"/>
      <c r="S87" s="71"/>
      <c r="T87" s="10"/>
      <c r="U87" s="71"/>
      <c r="V87" s="71"/>
      <c r="W87" s="71"/>
      <c r="X87" s="71"/>
      <c r="Y87" s="71"/>
      <c r="Z87" s="71"/>
      <c r="AA87" s="71"/>
      <c r="AB87" s="71"/>
      <c r="AC87" s="71"/>
      <c r="AD87" s="71"/>
      <c r="AE87" s="71"/>
      <c r="AF87" s="71"/>
      <c r="AG87" s="71"/>
      <c r="AH87" s="55"/>
      <c r="AI87" s="55"/>
      <c r="AJ87" s="71"/>
      <c r="AK87" s="71"/>
      <c r="AL87" s="71"/>
      <c r="AM87" s="71"/>
      <c r="AN87" s="71"/>
      <c r="AO87" s="71"/>
      <c r="AP87" s="71"/>
      <c r="AQ87" s="71"/>
      <c r="AR87" s="71"/>
      <c r="AS87" s="71"/>
    </row>
    <row r="88" spans="1:45" s="157" customFormat="1">
      <c r="A88" s="71"/>
      <c r="B88" s="71"/>
      <c r="C88" s="71"/>
      <c r="D88" s="71"/>
      <c r="E88" s="71"/>
      <c r="F88" s="71"/>
      <c r="G88" s="71"/>
      <c r="H88" s="71"/>
      <c r="I88" s="71"/>
      <c r="J88" s="71"/>
      <c r="K88" s="71"/>
      <c r="L88" s="71"/>
      <c r="M88" s="71"/>
      <c r="N88" s="71"/>
      <c r="O88" s="71"/>
      <c r="P88" s="71"/>
      <c r="Q88" s="71"/>
      <c r="R88" s="71"/>
      <c r="S88" s="71"/>
      <c r="T88" s="10"/>
      <c r="U88" s="71"/>
      <c r="V88" s="71"/>
      <c r="W88" s="71"/>
      <c r="X88" s="71"/>
      <c r="Y88" s="71"/>
      <c r="Z88" s="71"/>
      <c r="AA88" s="71"/>
      <c r="AB88" s="71"/>
      <c r="AC88" s="71"/>
      <c r="AD88" s="71"/>
      <c r="AE88" s="71"/>
      <c r="AF88" s="71"/>
      <c r="AG88" s="71"/>
      <c r="AH88" s="55"/>
      <c r="AI88" s="55"/>
      <c r="AJ88" s="71"/>
      <c r="AK88" s="71"/>
      <c r="AL88" s="71"/>
      <c r="AM88" s="71"/>
      <c r="AN88" s="71"/>
      <c r="AO88" s="71"/>
      <c r="AP88" s="71"/>
      <c r="AQ88" s="71"/>
      <c r="AR88" s="71"/>
      <c r="AS88" s="71"/>
    </row>
    <row r="89" spans="1:45" s="157" customFormat="1">
      <c r="A89" s="71"/>
      <c r="B89" s="71"/>
      <c r="C89" s="71"/>
      <c r="D89" s="71"/>
      <c r="E89" s="71"/>
      <c r="F89" s="71"/>
      <c r="G89" s="71"/>
      <c r="H89" s="71"/>
      <c r="I89" s="71"/>
      <c r="J89" s="71"/>
      <c r="K89" s="71"/>
      <c r="L89" s="71"/>
      <c r="M89" s="71"/>
      <c r="N89" s="71"/>
      <c r="O89" s="71"/>
      <c r="P89" s="71"/>
      <c r="Q89" s="71"/>
      <c r="R89" s="71"/>
      <c r="S89" s="71"/>
      <c r="T89" s="10"/>
      <c r="U89" s="71"/>
      <c r="V89" s="71"/>
      <c r="W89" s="71"/>
      <c r="X89" s="71"/>
      <c r="Y89" s="71"/>
      <c r="Z89" s="71"/>
      <c r="AA89" s="71"/>
      <c r="AB89" s="71"/>
      <c r="AC89" s="71"/>
      <c r="AD89" s="71"/>
      <c r="AE89" s="71"/>
      <c r="AF89" s="71"/>
      <c r="AG89" s="71"/>
      <c r="AH89" s="55"/>
      <c r="AI89" s="55"/>
      <c r="AJ89" s="71"/>
      <c r="AK89" s="71"/>
      <c r="AL89" s="71"/>
      <c r="AM89" s="71"/>
      <c r="AN89" s="71"/>
      <c r="AO89" s="71"/>
      <c r="AP89" s="71"/>
      <c r="AQ89" s="71"/>
      <c r="AR89" s="71"/>
      <c r="AS89" s="71"/>
    </row>
    <row r="90" spans="1:45" s="157" customFormat="1">
      <c r="A90" s="71"/>
      <c r="B90" s="71"/>
      <c r="C90" s="71"/>
      <c r="D90" s="71"/>
      <c r="E90" s="71"/>
      <c r="F90" s="71"/>
      <c r="G90" s="71"/>
      <c r="H90" s="71"/>
      <c r="I90" s="71"/>
      <c r="J90" s="71"/>
      <c r="K90" s="71"/>
      <c r="L90" s="71"/>
      <c r="M90" s="71"/>
      <c r="N90" s="71"/>
      <c r="O90" s="71"/>
      <c r="P90" s="71"/>
      <c r="Q90" s="71"/>
      <c r="R90" s="71"/>
      <c r="S90" s="71"/>
      <c r="T90" s="10"/>
      <c r="U90" s="71"/>
      <c r="V90" s="71"/>
      <c r="W90" s="71"/>
      <c r="X90" s="71"/>
      <c r="Y90" s="71"/>
      <c r="Z90" s="71"/>
      <c r="AA90" s="71"/>
      <c r="AB90" s="71"/>
      <c r="AC90" s="71"/>
      <c r="AD90" s="71"/>
      <c r="AE90" s="71"/>
      <c r="AF90" s="71"/>
      <c r="AG90" s="71"/>
      <c r="AH90" s="55"/>
      <c r="AI90" s="55"/>
      <c r="AJ90" s="71"/>
      <c r="AK90" s="71"/>
      <c r="AL90" s="71"/>
      <c r="AM90" s="71"/>
      <c r="AN90" s="71"/>
      <c r="AO90" s="71"/>
      <c r="AP90" s="71"/>
      <c r="AQ90" s="71"/>
      <c r="AR90" s="71"/>
      <c r="AS90" s="71"/>
    </row>
    <row r="91" spans="1:45" s="157" customFormat="1">
      <c r="A91" s="71"/>
      <c r="B91" s="71"/>
      <c r="C91" s="71"/>
      <c r="D91" s="71"/>
      <c r="E91" s="71"/>
      <c r="F91" s="71"/>
      <c r="G91" s="71"/>
      <c r="H91" s="71"/>
      <c r="I91" s="71"/>
      <c r="J91" s="71"/>
      <c r="K91" s="71"/>
      <c r="L91" s="71"/>
      <c r="M91" s="71"/>
      <c r="N91" s="71"/>
      <c r="O91" s="71"/>
      <c r="P91" s="71"/>
      <c r="Q91" s="71"/>
      <c r="R91" s="71"/>
      <c r="S91" s="71"/>
      <c r="T91" s="10"/>
      <c r="U91" s="71"/>
      <c r="V91" s="71"/>
      <c r="W91" s="71"/>
      <c r="X91" s="71"/>
      <c r="Y91" s="71"/>
      <c r="Z91" s="71"/>
      <c r="AA91" s="71"/>
      <c r="AB91" s="71"/>
      <c r="AC91" s="71"/>
      <c r="AD91" s="71"/>
      <c r="AE91" s="71"/>
      <c r="AF91" s="71"/>
      <c r="AG91" s="71"/>
      <c r="AH91" s="55"/>
      <c r="AI91" s="55"/>
      <c r="AJ91" s="71"/>
      <c r="AK91" s="71"/>
      <c r="AL91" s="71"/>
      <c r="AM91" s="71"/>
      <c r="AN91" s="71"/>
      <c r="AO91" s="71"/>
      <c r="AP91" s="71"/>
      <c r="AQ91" s="71"/>
      <c r="AR91" s="71"/>
      <c r="AS91" s="71"/>
    </row>
    <row r="92" spans="1:45" s="157" customFormat="1">
      <c r="A92" s="71"/>
      <c r="B92" s="71"/>
      <c r="C92" s="71"/>
      <c r="D92" s="71"/>
      <c r="E92" s="71"/>
      <c r="F92" s="71"/>
      <c r="G92" s="71"/>
      <c r="H92" s="71"/>
      <c r="I92" s="71"/>
      <c r="J92" s="71"/>
      <c r="K92" s="71"/>
      <c r="L92" s="71"/>
      <c r="M92" s="71"/>
      <c r="N92" s="71"/>
      <c r="O92" s="71"/>
      <c r="P92" s="71"/>
      <c r="Q92" s="71"/>
      <c r="R92" s="71"/>
      <c r="S92" s="71"/>
      <c r="T92" s="10"/>
      <c r="U92" s="71"/>
      <c r="V92" s="71"/>
      <c r="W92" s="71"/>
      <c r="X92" s="71"/>
      <c r="Y92" s="71"/>
      <c r="Z92" s="71"/>
      <c r="AA92" s="71"/>
      <c r="AB92" s="71"/>
      <c r="AC92" s="71"/>
      <c r="AD92" s="71"/>
      <c r="AE92" s="71"/>
      <c r="AF92" s="71"/>
      <c r="AG92" s="71"/>
      <c r="AH92" s="55"/>
      <c r="AI92" s="55"/>
      <c r="AJ92" s="71"/>
      <c r="AK92" s="71"/>
      <c r="AL92" s="71"/>
      <c r="AM92" s="71"/>
      <c r="AN92" s="71"/>
      <c r="AO92" s="71"/>
      <c r="AP92" s="71"/>
      <c r="AQ92" s="71"/>
      <c r="AR92" s="71"/>
      <c r="AS92" s="71"/>
    </row>
    <row r="93" spans="1:45" s="157" customFormat="1">
      <c r="A93" s="71"/>
      <c r="B93" s="71"/>
      <c r="C93" s="71"/>
      <c r="D93" s="71"/>
      <c r="E93" s="71"/>
      <c r="F93" s="71"/>
      <c r="G93" s="71"/>
      <c r="H93" s="71"/>
      <c r="I93" s="71"/>
      <c r="J93" s="71"/>
      <c r="K93" s="71"/>
      <c r="L93" s="71"/>
      <c r="M93" s="71"/>
      <c r="N93" s="71"/>
      <c r="O93" s="71"/>
      <c r="P93" s="71"/>
      <c r="Q93" s="71"/>
      <c r="R93" s="71"/>
      <c r="S93" s="71"/>
      <c r="T93" s="10"/>
      <c r="U93" s="71"/>
      <c r="V93" s="71"/>
      <c r="W93" s="71"/>
      <c r="X93" s="71"/>
      <c r="Y93" s="71"/>
      <c r="Z93" s="71"/>
      <c r="AA93" s="71"/>
      <c r="AB93" s="71"/>
      <c r="AC93" s="71"/>
      <c r="AD93" s="71"/>
      <c r="AE93" s="71"/>
      <c r="AF93" s="71"/>
      <c r="AG93" s="71"/>
      <c r="AH93" s="55"/>
      <c r="AI93" s="55"/>
      <c r="AJ93" s="71"/>
      <c r="AK93" s="71"/>
      <c r="AL93" s="71"/>
      <c r="AM93" s="71"/>
      <c r="AN93" s="71"/>
      <c r="AO93" s="71"/>
      <c r="AP93" s="71"/>
      <c r="AQ93" s="71"/>
      <c r="AR93" s="71"/>
      <c r="AS93" s="71"/>
    </row>
    <row r="94" spans="1:45" s="157" customFormat="1">
      <c r="A94" s="71"/>
      <c r="B94" s="71"/>
      <c r="C94" s="71"/>
      <c r="D94" s="71"/>
      <c r="E94" s="71"/>
      <c r="F94" s="71"/>
      <c r="G94" s="71"/>
      <c r="H94" s="71"/>
      <c r="I94" s="71"/>
      <c r="J94" s="71"/>
      <c r="K94" s="71"/>
      <c r="L94" s="71"/>
      <c r="M94" s="71"/>
      <c r="N94" s="71"/>
      <c r="O94" s="71"/>
      <c r="P94" s="71"/>
      <c r="Q94" s="71"/>
      <c r="R94" s="71"/>
      <c r="S94" s="71"/>
      <c r="T94" s="10"/>
      <c r="U94" s="71"/>
      <c r="V94" s="71"/>
      <c r="W94" s="71"/>
      <c r="X94" s="71"/>
      <c r="Y94" s="71"/>
      <c r="Z94" s="71"/>
      <c r="AA94" s="71"/>
      <c r="AB94" s="71"/>
      <c r="AC94" s="71"/>
      <c r="AD94" s="71"/>
      <c r="AE94" s="71"/>
      <c r="AF94" s="71"/>
      <c r="AG94" s="71"/>
      <c r="AH94" s="55"/>
      <c r="AI94" s="55"/>
      <c r="AJ94" s="71"/>
      <c r="AK94" s="71"/>
      <c r="AL94" s="71"/>
      <c r="AM94" s="71"/>
      <c r="AN94" s="71"/>
      <c r="AO94" s="71"/>
      <c r="AP94" s="71"/>
      <c r="AQ94" s="71"/>
      <c r="AR94" s="71"/>
      <c r="AS94" s="71"/>
    </row>
    <row r="95" spans="1:45" s="157" customFormat="1">
      <c r="A95" s="71"/>
      <c r="B95" s="71"/>
      <c r="C95" s="71"/>
      <c r="D95" s="71"/>
      <c r="E95" s="71"/>
      <c r="F95" s="71"/>
      <c r="G95" s="71"/>
      <c r="H95" s="71"/>
      <c r="I95" s="71"/>
      <c r="J95" s="71"/>
      <c r="K95" s="71"/>
      <c r="L95" s="71"/>
      <c r="M95" s="71"/>
      <c r="N95" s="71"/>
      <c r="O95" s="71"/>
      <c r="P95" s="71"/>
      <c r="Q95" s="71"/>
      <c r="R95" s="71"/>
      <c r="S95" s="71"/>
      <c r="T95" s="10"/>
      <c r="U95" s="71"/>
      <c r="V95" s="71"/>
      <c r="W95" s="71"/>
      <c r="X95" s="71"/>
      <c r="Y95" s="71"/>
      <c r="Z95" s="71"/>
      <c r="AA95" s="71"/>
      <c r="AB95" s="71"/>
      <c r="AC95" s="71"/>
      <c r="AD95" s="71"/>
      <c r="AE95" s="71"/>
      <c r="AF95" s="71"/>
      <c r="AG95" s="71"/>
      <c r="AH95" s="55"/>
      <c r="AI95" s="55"/>
      <c r="AJ95" s="71"/>
      <c r="AK95" s="71"/>
      <c r="AL95" s="71"/>
      <c r="AM95" s="71"/>
      <c r="AN95" s="71"/>
      <c r="AO95" s="71"/>
      <c r="AP95" s="71"/>
      <c r="AQ95" s="71"/>
      <c r="AR95" s="71"/>
      <c r="AS95" s="71"/>
    </row>
    <row r="96" spans="1:45" s="157" customFormat="1">
      <c r="A96" s="71"/>
      <c r="B96" s="71"/>
      <c r="C96" s="71"/>
      <c r="D96" s="71"/>
      <c r="E96" s="71"/>
      <c r="F96" s="71"/>
      <c r="G96" s="71"/>
      <c r="H96" s="71"/>
      <c r="I96" s="71"/>
      <c r="J96" s="71"/>
      <c r="K96" s="71"/>
      <c r="L96" s="71"/>
      <c r="M96" s="71"/>
      <c r="N96" s="71"/>
      <c r="O96" s="71"/>
      <c r="P96" s="71"/>
      <c r="Q96" s="71"/>
      <c r="R96" s="71"/>
      <c r="S96" s="71"/>
      <c r="T96" s="10"/>
      <c r="U96" s="71"/>
      <c r="V96" s="71"/>
      <c r="W96" s="71"/>
      <c r="X96" s="71"/>
      <c r="Y96" s="71"/>
      <c r="Z96" s="71"/>
      <c r="AA96" s="71"/>
      <c r="AB96" s="71"/>
      <c r="AC96" s="71"/>
      <c r="AD96" s="71"/>
      <c r="AE96" s="71"/>
      <c r="AF96" s="71"/>
      <c r="AG96" s="71"/>
      <c r="AH96" s="55"/>
      <c r="AI96" s="55"/>
      <c r="AJ96" s="71"/>
      <c r="AK96" s="71"/>
      <c r="AL96" s="71"/>
      <c r="AM96" s="71"/>
      <c r="AN96" s="71"/>
      <c r="AO96" s="71"/>
      <c r="AP96" s="71"/>
      <c r="AQ96" s="71"/>
      <c r="AR96" s="71"/>
      <c r="AS96" s="71"/>
    </row>
    <row r="97" spans="1:45" s="157" customFormat="1">
      <c r="A97" s="71"/>
      <c r="B97" s="71"/>
      <c r="C97" s="71"/>
      <c r="D97" s="71"/>
      <c r="E97" s="71"/>
      <c r="F97" s="71"/>
      <c r="G97" s="71"/>
      <c r="H97" s="71"/>
      <c r="I97" s="71"/>
      <c r="J97" s="71"/>
      <c r="K97" s="71"/>
      <c r="L97" s="71"/>
      <c r="M97" s="71"/>
      <c r="N97" s="71"/>
      <c r="O97" s="71"/>
      <c r="P97" s="71"/>
      <c r="Q97" s="71"/>
      <c r="R97" s="71"/>
      <c r="S97" s="71"/>
      <c r="T97" s="10"/>
      <c r="U97" s="71"/>
      <c r="V97" s="71"/>
      <c r="W97" s="71"/>
      <c r="X97" s="71"/>
      <c r="Y97" s="71"/>
      <c r="Z97" s="71"/>
      <c r="AA97" s="71"/>
      <c r="AB97" s="71"/>
      <c r="AC97" s="71"/>
      <c r="AD97" s="71"/>
      <c r="AE97" s="71"/>
      <c r="AF97" s="71"/>
      <c r="AG97" s="71"/>
      <c r="AH97" s="55"/>
      <c r="AI97" s="55"/>
      <c r="AJ97" s="71"/>
      <c r="AK97" s="71"/>
      <c r="AL97" s="71"/>
      <c r="AM97" s="71"/>
      <c r="AN97" s="71"/>
      <c r="AO97" s="71"/>
      <c r="AP97" s="71"/>
      <c r="AQ97" s="71"/>
      <c r="AR97" s="71"/>
      <c r="AS97" s="71"/>
    </row>
    <row r="98" spans="1:45" s="157" customFormat="1">
      <c r="A98" s="71"/>
      <c r="B98" s="71"/>
      <c r="C98" s="71"/>
      <c r="D98" s="71"/>
      <c r="E98" s="71"/>
      <c r="F98" s="71"/>
      <c r="G98" s="71"/>
      <c r="H98" s="71"/>
      <c r="I98" s="71"/>
      <c r="J98" s="71"/>
      <c r="K98" s="71"/>
      <c r="L98" s="71"/>
      <c r="M98" s="71"/>
      <c r="N98" s="71"/>
      <c r="O98" s="71"/>
      <c r="P98" s="71"/>
      <c r="Q98" s="71"/>
      <c r="R98" s="71"/>
      <c r="S98" s="71"/>
      <c r="T98" s="10"/>
      <c r="U98" s="71"/>
      <c r="V98" s="71"/>
      <c r="W98" s="71"/>
      <c r="X98" s="71"/>
      <c r="Y98" s="71"/>
      <c r="Z98" s="71"/>
      <c r="AA98" s="71"/>
      <c r="AB98" s="71"/>
      <c r="AC98" s="71"/>
      <c r="AD98" s="71"/>
      <c r="AE98" s="71"/>
      <c r="AF98" s="71"/>
      <c r="AG98" s="71"/>
      <c r="AH98" s="55"/>
      <c r="AI98" s="55"/>
      <c r="AJ98" s="71"/>
      <c r="AK98" s="71"/>
      <c r="AL98" s="71"/>
      <c r="AM98" s="71"/>
      <c r="AN98" s="71"/>
      <c r="AO98" s="71"/>
      <c r="AP98" s="71"/>
      <c r="AQ98" s="71"/>
      <c r="AR98" s="71"/>
      <c r="AS98" s="71"/>
    </row>
    <row r="99" spans="1:45" s="157" customFormat="1">
      <c r="A99" s="71"/>
      <c r="B99" s="71"/>
      <c r="C99" s="71"/>
      <c r="D99" s="71"/>
      <c r="E99" s="71"/>
      <c r="F99" s="71"/>
      <c r="G99" s="71"/>
      <c r="H99" s="71"/>
      <c r="I99" s="71"/>
      <c r="J99" s="71"/>
      <c r="K99" s="71"/>
      <c r="L99" s="71"/>
      <c r="M99" s="71"/>
      <c r="N99" s="71"/>
      <c r="O99" s="71"/>
      <c r="P99" s="71"/>
      <c r="Q99" s="71"/>
      <c r="R99" s="71"/>
      <c r="S99" s="71"/>
      <c r="T99" s="10"/>
      <c r="U99" s="71"/>
      <c r="V99" s="71"/>
      <c r="W99" s="71"/>
      <c r="X99" s="71"/>
      <c r="Y99" s="71"/>
      <c r="Z99" s="71"/>
      <c r="AA99" s="71"/>
      <c r="AB99" s="71"/>
      <c r="AC99" s="71"/>
      <c r="AD99" s="71"/>
      <c r="AE99" s="71"/>
      <c r="AF99" s="71"/>
      <c r="AG99" s="71"/>
      <c r="AH99" s="55"/>
      <c r="AI99" s="55"/>
      <c r="AJ99" s="71"/>
      <c r="AK99" s="71"/>
      <c r="AL99" s="71"/>
      <c r="AM99" s="71"/>
      <c r="AN99" s="71"/>
      <c r="AO99" s="71"/>
      <c r="AP99" s="71"/>
      <c r="AQ99" s="71"/>
      <c r="AR99" s="71"/>
      <c r="AS99" s="71"/>
    </row>
    <row r="100" spans="1:45" s="157" customFormat="1">
      <c r="A100" s="71"/>
      <c r="B100" s="71"/>
      <c r="C100" s="71"/>
      <c r="D100" s="71"/>
      <c r="E100" s="71"/>
      <c r="F100" s="71"/>
      <c r="G100" s="71"/>
      <c r="H100" s="71"/>
      <c r="I100" s="71"/>
      <c r="J100" s="71"/>
      <c r="K100" s="71"/>
      <c r="L100" s="71"/>
      <c r="M100" s="71"/>
      <c r="N100" s="71"/>
      <c r="O100" s="71"/>
      <c r="P100" s="71"/>
      <c r="Q100" s="71"/>
      <c r="R100" s="71"/>
      <c r="S100" s="71"/>
      <c r="T100" s="10"/>
      <c r="U100" s="71"/>
      <c r="V100" s="71"/>
      <c r="W100" s="71"/>
      <c r="X100" s="71"/>
      <c r="Y100" s="71"/>
      <c r="Z100" s="71"/>
      <c r="AA100" s="71"/>
      <c r="AB100" s="71"/>
      <c r="AC100" s="71"/>
      <c r="AD100" s="71"/>
      <c r="AE100" s="71"/>
      <c r="AF100" s="71"/>
      <c r="AG100" s="71"/>
      <c r="AH100" s="55"/>
      <c r="AI100" s="55"/>
      <c r="AJ100" s="71"/>
      <c r="AK100" s="71"/>
      <c r="AL100" s="71"/>
      <c r="AM100" s="71"/>
      <c r="AN100" s="71"/>
      <c r="AO100" s="71"/>
      <c r="AP100" s="71"/>
      <c r="AQ100" s="71"/>
      <c r="AR100" s="71"/>
      <c r="AS100" s="71"/>
    </row>
    <row r="101" spans="1:45" s="157" customFormat="1">
      <c r="A101" s="71"/>
      <c r="B101" s="71"/>
      <c r="C101" s="71"/>
      <c r="D101" s="71"/>
      <c r="E101" s="71"/>
      <c r="F101" s="71"/>
      <c r="G101" s="71"/>
      <c r="H101" s="71"/>
      <c r="I101" s="71"/>
      <c r="J101" s="71"/>
      <c r="K101" s="71"/>
      <c r="L101" s="71"/>
      <c r="M101" s="71"/>
      <c r="N101" s="71"/>
      <c r="O101" s="71"/>
      <c r="P101" s="71"/>
      <c r="Q101" s="71"/>
      <c r="R101" s="71"/>
      <c r="S101" s="71"/>
      <c r="T101" s="10"/>
      <c r="U101" s="71"/>
      <c r="V101" s="71"/>
      <c r="W101" s="71"/>
      <c r="X101" s="71"/>
      <c r="Y101" s="71"/>
      <c r="Z101" s="71"/>
      <c r="AA101" s="71"/>
      <c r="AB101" s="71"/>
      <c r="AC101" s="71"/>
      <c r="AD101" s="71"/>
      <c r="AE101" s="71"/>
      <c r="AF101" s="71"/>
      <c r="AG101" s="71"/>
      <c r="AH101" s="55"/>
      <c r="AI101" s="55"/>
      <c r="AJ101" s="71"/>
      <c r="AK101" s="71"/>
      <c r="AL101" s="71"/>
      <c r="AM101" s="71"/>
      <c r="AN101" s="71"/>
      <c r="AO101" s="71"/>
      <c r="AP101" s="71"/>
      <c r="AQ101" s="71"/>
      <c r="AR101" s="71"/>
      <c r="AS101" s="71"/>
    </row>
    <row r="102" spans="1:45" s="157" customFormat="1">
      <c r="A102" s="71"/>
      <c r="B102" s="71"/>
      <c r="C102" s="71"/>
      <c r="D102" s="71"/>
      <c r="E102" s="71"/>
      <c r="F102" s="71"/>
      <c r="G102" s="71"/>
      <c r="H102" s="71"/>
      <c r="I102" s="71"/>
      <c r="J102" s="71"/>
      <c r="K102" s="71"/>
      <c r="L102" s="71"/>
      <c r="M102" s="71"/>
      <c r="N102" s="71"/>
      <c r="O102" s="71"/>
      <c r="P102" s="71"/>
      <c r="Q102" s="71"/>
      <c r="R102" s="71"/>
      <c r="S102" s="71"/>
      <c r="T102" s="10"/>
      <c r="U102" s="71"/>
      <c r="V102" s="71"/>
      <c r="W102" s="71"/>
      <c r="X102" s="71"/>
      <c r="Y102" s="71"/>
      <c r="Z102" s="71"/>
      <c r="AA102" s="71"/>
      <c r="AB102" s="71"/>
      <c r="AC102" s="71"/>
      <c r="AD102" s="71"/>
      <c r="AE102" s="71"/>
      <c r="AF102" s="71"/>
      <c r="AG102" s="71"/>
      <c r="AH102" s="55"/>
      <c r="AI102" s="55"/>
      <c r="AJ102" s="71"/>
      <c r="AK102" s="71"/>
      <c r="AL102" s="71"/>
      <c r="AM102" s="71"/>
      <c r="AN102" s="71"/>
      <c r="AO102" s="71"/>
      <c r="AP102" s="71"/>
      <c r="AQ102" s="71"/>
      <c r="AR102" s="71"/>
      <c r="AS102" s="71"/>
    </row>
    <row r="103" spans="1:45" s="157" customFormat="1">
      <c r="A103" s="71"/>
      <c r="B103" s="71"/>
      <c r="C103" s="71"/>
      <c r="D103" s="71"/>
      <c r="E103" s="71"/>
      <c r="F103" s="71"/>
      <c r="G103" s="71"/>
      <c r="H103" s="71"/>
      <c r="I103" s="71"/>
      <c r="J103" s="71"/>
      <c r="K103" s="71"/>
      <c r="L103" s="71"/>
      <c r="M103" s="71"/>
      <c r="N103" s="71"/>
      <c r="O103" s="71"/>
      <c r="P103" s="71"/>
      <c r="Q103" s="71"/>
      <c r="R103" s="71"/>
      <c r="S103" s="71"/>
      <c r="T103" s="10"/>
      <c r="U103" s="71"/>
      <c r="V103" s="71"/>
      <c r="W103" s="71"/>
      <c r="X103" s="71"/>
      <c r="Y103" s="71"/>
      <c r="Z103" s="71"/>
      <c r="AA103" s="71"/>
      <c r="AB103" s="71"/>
      <c r="AC103" s="71"/>
      <c r="AD103" s="71"/>
      <c r="AE103" s="71"/>
      <c r="AF103" s="71"/>
      <c r="AG103" s="71"/>
      <c r="AH103" s="55"/>
      <c r="AI103" s="55"/>
      <c r="AJ103" s="71"/>
      <c r="AK103" s="71"/>
      <c r="AL103" s="71"/>
      <c r="AM103" s="71"/>
      <c r="AN103" s="71"/>
      <c r="AO103" s="71"/>
      <c r="AP103" s="71"/>
      <c r="AQ103" s="71"/>
      <c r="AR103" s="71"/>
      <c r="AS103" s="71"/>
    </row>
    <row r="104" spans="1:45" s="157" customFormat="1">
      <c r="A104" s="71"/>
      <c r="B104" s="71"/>
      <c r="C104" s="71"/>
      <c r="D104" s="71"/>
      <c r="E104" s="71"/>
      <c r="F104" s="71"/>
      <c r="G104" s="71"/>
      <c r="H104" s="71"/>
      <c r="I104" s="71"/>
      <c r="J104" s="71"/>
      <c r="K104" s="71"/>
      <c r="L104" s="71"/>
      <c r="M104" s="71"/>
      <c r="N104" s="71"/>
      <c r="O104" s="71"/>
      <c r="P104" s="71"/>
      <c r="Q104" s="71"/>
      <c r="R104" s="71"/>
      <c r="S104" s="71"/>
      <c r="T104" s="10"/>
      <c r="U104" s="71"/>
      <c r="V104" s="71"/>
      <c r="W104" s="71"/>
      <c r="X104" s="71"/>
      <c r="Y104" s="71"/>
      <c r="Z104" s="71"/>
      <c r="AA104" s="71"/>
      <c r="AB104" s="71"/>
      <c r="AC104" s="71"/>
      <c r="AD104" s="71"/>
      <c r="AE104" s="71"/>
      <c r="AF104" s="71"/>
      <c r="AG104" s="71"/>
      <c r="AH104" s="55"/>
      <c r="AI104" s="55"/>
      <c r="AJ104" s="71"/>
      <c r="AK104" s="71"/>
      <c r="AL104" s="71"/>
      <c r="AM104" s="71"/>
      <c r="AN104" s="71"/>
      <c r="AO104" s="71"/>
      <c r="AP104" s="71"/>
      <c r="AQ104" s="71"/>
      <c r="AR104" s="71"/>
      <c r="AS104" s="71"/>
    </row>
    <row r="105" spans="1:45" s="157" customFormat="1">
      <c r="A105" s="71"/>
      <c r="B105" s="71"/>
      <c r="C105" s="71"/>
      <c r="D105" s="71"/>
      <c r="E105" s="71"/>
      <c r="F105" s="71"/>
      <c r="G105" s="71"/>
      <c r="H105" s="71"/>
      <c r="I105" s="71"/>
      <c r="J105" s="71"/>
      <c r="K105" s="71"/>
      <c r="L105" s="71"/>
      <c r="M105" s="71"/>
      <c r="N105" s="71"/>
      <c r="O105" s="71"/>
      <c r="P105" s="71"/>
      <c r="Q105" s="71"/>
      <c r="R105" s="71"/>
      <c r="S105" s="71"/>
      <c r="T105" s="10"/>
      <c r="U105" s="71"/>
      <c r="V105" s="71"/>
      <c r="W105" s="71"/>
      <c r="X105" s="71"/>
      <c r="Y105" s="71"/>
      <c r="Z105" s="71"/>
      <c r="AA105" s="71"/>
      <c r="AB105" s="71"/>
      <c r="AC105" s="71"/>
      <c r="AD105" s="71"/>
      <c r="AE105" s="71"/>
      <c r="AF105" s="71"/>
      <c r="AG105" s="71"/>
      <c r="AH105" s="55"/>
      <c r="AI105" s="55"/>
      <c r="AJ105" s="71"/>
      <c r="AK105" s="71"/>
      <c r="AL105" s="71"/>
      <c r="AM105" s="71"/>
      <c r="AN105" s="71"/>
      <c r="AO105" s="71"/>
      <c r="AP105" s="71"/>
      <c r="AQ105" s="71"/>
      <c r="AR105" s="71"/>
      <c r="AS105" s="71"/>
    </row>
    <row r="106" spans="1:45" s="157" customFormat="1">
      <c r="A106" s="71"/>
      <c r="B106" s="71"/>
      <c r="C106" s="71"/>
      <c r="D106" s="71"/>
      <c r="E106" s="71"/>
      <c r="F106" s="71"/>
      <c r="G106" s="71"/>
      <c r="H106" s="71"/>
      <c r="I106" s="71"/>
      <c r="J106" s="71"/>
      <c r="K106" s="71"/>
      <c r="L106" s="71"/>
      <c r="M106" s="71"/>
      <c r="N106" s="71"/>
      <c r="O106" s="71"/>
      <c r="P106" s="71"/>
      <c r="Q106" s="71"/>
      <c r="R106" s="71"/>
      <c r="S106" s="71"/>
      <c r="T106" s="10"/>
      <c r="U106" s="71"/>
      <c r="V106" s="71"/>
      <c r="W106" s="71"/>
      <c r="X106" s="71"/>
      <c r="Y106" s="71"/>
      <c r="Z106" s="71"/>
      <c r="AA106" s="71"/>
      <c r="AB106" s="71"/>
      <c r="AC106" s="71"/>
      <c r="AD106" s="71"/>
      <c r="AE106" s="71"/>
      <c r="AF106" s="71"/>
      <c r="AG106" s="71"/>
      <c r="AH106" s="55"/>
      <c r="AI106" s="55"/>
      <c r="AJ106" s="71"/>
      <c r="AK106" s="71"/>
      <c r="AL106" s="71"/>
      <c r="AM106" s="71"/>
      <c r="AN106" s="71"/>
      <c r="AO106" s="71"/>
      <c r="AP106" s="71"/>
      <c r="AQ106" s="71"/>
      <c r="AR106" s="71"/>
      <c r="AS106" s="71"/>
    </row>
    <row r="107" spans="1:45" s="157" customFormat="1">
      <c r="A107" s="71"/>
      <c r="B107" s="71"/>
      <c r="C107" s="71"/>
      <c r="D107" s="71"/>
      <c r="E107" s="71"/>
      <c r="F107" s="71"/>
      <c r="G107" s="71"/>
      <c r="H107" s="71"/>
      <c r="I107" s="71"/>
      <c r="J107" s="71"/>
      <c r="K107" s="71"/>
      <c r="L107" s="71"/>
      <c r="M107" s="71"/>
      <c r="N107" s="71"/>
      <c r="O107" s="71"/>
      <c r="P107" s="71"/>
      <c r="Q107" s="71"/>
      <c r="R107" s="71"/>
      <c r="S107" s="71"/>
      <c r="T107" s="10"/>
      <c r="U107" s="71"/>
      <c r="V107" s="71"/>
      <c r="W107" s="71"/>
      <c r="X107" s="71"/>
      <c r="Y107" s="71"/>
      <c r="Z107" s="71"/>
      <c r="AA107" s="71"/>
      <c r="AB107" s="71"/>
      <c r="AC107" s="71"/>
      <c r="AD107" s="71"/>
      <c r="AE107" s="71"/>
      <c r="AF107" s="71"/>
      <c r="AG107" s="71"/>
      <c r="AH107" s="55"/>
      <c r="AI107" s="55"/>
      <c r="AJ107" s="71"/>
      <c r="AK107" s="71"/>
      <c r="AL107" s="71"/>
      <c r="AM107" s="71"/>
      <c r="AN107" s="71"/>
      <c r="AO107" s="71"/>
      <c r="AP107" s="71"/>
      <c r="AQ107" s="71"/>
      <c r="AR107" s="71"/>
      <c r="AS107" s="71"/>
    </row>
    <row r="108" spans="1:45" s="157" customFormat="1">
      <c r="A108" s="71"/>
      <c r="B108" s="71"/>
      <c r="C108" s="71"/>
      <c r="D108" s="71"/>
      <c r="E108" s="71"/>
      <c r="F108" s="71"/>
      <c r="G108" s="71"/>
      <c r="H108" s="71"/>
      <c r="I108" s="71"/>
      <c r="J108" s="71"/>
      <c r="K108" s="71"/>
      <c r="L108" s="71"/>
      <c r="M108" s="71"/>
      <c r="N108" s="71"/>
      <c r="O108" s="71"/>
      <c r="P108" s="71"/>
      <c r="Q108" s="71"/>
      <c r="R108" s="71"/>
      <c r="S108" s="71"/>
      <c r="T108" s="10"/>
      <c r="U108" s="71"/>
      <c r="V108" s="71"/>
      <c r="W108" s="71"/>
      <c r="X108" s="71"/>
      <c r="Y108" s="71"/>
      <c r="Z108" s="71"/>
      <c r="AA108" s="71"/>
      <c r="AB108" s="71"/>
      <c r="AC108" s="71"/>
      <c r="AD108" s="71"/>
      <c r="AE108" s="71"/>
      <c r="AF108" s="71"/>
      <c r="AG108" s="71"/>
      <c r="AH108" s="55"/>
      <c r="AI108" s="55"/>
      <c r="AJ108" s="71"/>
      <c r="AK108" s="71"/>
      <c r="AL108" s="71"/>
      <c r="AM108" s="71"/>
      <c r="AN108" s="71"/>
      <c r="AO108" s="71"/>
      <c r="AP108" s="71"/>
      <c r="AQ108" s="71"/>
      <c r="AR108" s="71"/>
      <c r="AS108" s="71"/>
    </row>
    <row r="109" spans="1:45" s="157" customFormat="1">
      <c r="A109" s="71"/>
      <c r="B109" s="71"/>
      <c r="C109" s="71"/>
      <c r="D109" s="71"/>
      <c r="E109" s="71"/>
      <c r="F109" s="71"/>
      <c r="G109" s="71"/>
      <c r="H109" s="71"/>
      <c r="I109" s="71"/>
      <c r="J109" s="71"/>
      <c r="K109" s="71"/>
      <c r="L109" s="71"/>
      <c r="M109" s="71"/>
      <c r="N109" s="71"/>
      <c r="O109" s="71"/>
      <c r="P109" s="71"/>
      <c r="Q109" s="71"/>
      <c r="R109" s="71"/>
      <c r="S109" s="71"/>
      <c r="T109" s="10"/>
      <c r="U109" s="71"/>
      <c r="V109" s="71"/>
      <c r="W109" s="71"/>
      <c r="X109" s="71"/>
      <c r="Y109" s="71"/>
      <c r="Z109" s="71"/>
      <c r="AA109" s="71"/>
      <c r="AB109" s="71"/>
      <c r="AC109" s="71"/>
      <c r="AD109" s="71"/>
      <c r="AE109" s="71"/>
      <c r="AF109" s="71"/>
      <c r="AG109" s="71"/>
      <c r="AH109" s="55"/>
      <c r="AI109" s="55"/>
      <c r="AJ109" s="71"/>
      <c r="AK109" s="71"/>
      <c r="AL109" s="71"/>
      <c r="AM109" s="71"/>
      <c r="AN109" s="71"/>
      <c r="AO109" s="71"/>
      <c r="AP109" s="71"/>
      <c r="AQ109" s="71"/>
      <c r="AR109" s="71"/>
      <c r="AS109" s="71"/>
    </row>
    <row r="110" spans="1:45" s="157" customFormat="1">
      <c r="A110" s="71"/>
      <c r="B110" s="71"/>
      <c r="C110" s="71"/>
      <c r="D110" s="71"/>
      <c r="E110" s="71"/>
      <c r="F110" s="71"/>
      <c r="G110" s="71"/>
      <c r="H110" s="71"/>
      <c r="I110" s="71"/>
      <c r="J110" s="71"/>
      <c r="K110" s="71"/>
      <c r="L110" s="71"/>
      <c r="M110" s="71"/>
      <c r="N110" s="71"/>
      <c r="O110" s="71"/>
      <c r="P110" s="71"/>
      <c r="Q110" s="71"/>
      <c r="R110" s="71"/>
      <c r="S110" s="71"/>
      <c r="T110" s="10"/>
      <c r="U110" s="71"/>
      <c r="V110" s="71"/>
      <c r="W110" s="71"/>
      <c r="X110" s="71"/>
      <c r="Y110" s="71"/>
      <c r="Z110" s="71"/>
      <c r="AA110" s="71"/>
      <c r="AB110" s="71"/>
      <c r="AC110" s="71"/>
      <c r="AD110" s="71"/>
      <c r="AE110" s="71"/>
      <c r="AF110" s="71"/>
      <c r="AG110" s="71"/>
      <c r="AH110" s="55"/>
      <c r="AI110" s="55"/>
      <c r="AJ110" s="71"/>
      <c r="AK110" s="71"/>
      <c r="AL110" s="71"/>
      <c r="AM110" s="71"/>
      <c r="AN110" s="71"/>
      <c r="AO110" s="71"/>
      <c r="AP110" s="71"/>
      <c r="AQ110" s="71"/>
      <c r="AR110" s="71"/>
      <c r="AS110" s="71"/>
    </row>
    <row r="111" spans="1:45" s="157" customFormat="1">
      <c r="A111" s="71"/>
      <c r="B111" s="71"/>
      <c r="C111" s="71"/>
      <c r="D111" s="71"/>
      <c r="E111" s="71"/>
      <c r="F111" s="71"/>
      <c r="G111" s="71"/>
      <c r="H111" s="71"/>
      <c r="I111" s="71"/>
      <c r="J111" s="71"/>
      <c r="K111" s="71"/>
      <c r="L111" s="71"/>
      <c r="M111" s="71"/>
      <c r="N111" s="71"/>
      <c r="O111" s="71"/>
      <c r="P111" s="71"/>
      <c r="Q111" s="71"/>
      <c r="R111" s="71"/>
      <c r="S111" s="71"/>
      <c r="T111" s="10"/>
      <c r="U111" s="71"/>
      <c r="V111" s="71"/>
      <c r="W111" s="71"/>
      <c r="X111" s="71"/>
      <c r="Y111" s="71"/>
      <c r="Z111" s="71"/>
      <c r="AA111" s="71"/>
      <c r="AB111" s="71"/>
      <c r="AC111" s="71"/>
      <c r="AD111" s="71"/>
      <c r="AE111" s="71"/>
      <c r="AF111" s="71"/>
      <c r="AG111" s="71"/>
      <c r="AH111" s="55"/>
      <c r="AI111" s="55"/>
      <c r="AJ111" s="71"/>
      <c r="AK111" s="71"/>
      <c r="AL111" s="71"/>
      <c r="AM111" s="71"/>
      <c r="AN111" s="71"/>
      <c r="AO111" s="71"/>
      <c r="AP111" s="71"/>
      <c r="AQ111" s="71"/>
      <c r="AR111" s="71"/>
      <c r="AS111" s="71"/>
    </row>
    <row r="112" spans="1:45" s="157" customFormat="1">
      <c r="A112" s="71"/>
      <c r="B112" s="71"/>
      <c r="C112" s="71"/>
      <c r="D112" s="71"/>
      <c r="E112" s="71"/>
      <c r="F112" s="71"/>
      <c r="G112" s="71"/>
      <c r="H112" s="71"/>
      <c r="I112" s="71"/>
      <c r="J112" s="71"/>
      <c r="K112" s="71"/>
      <c r="L112" s="71"/>
      <c r="M112" s="71"/>
      <c r="N112" s="71"/>
      <c r="O112" s="71"/>
      <c r="P112" s="71"/>
      <c r="Q112" s="71"/>
      <c r="R112" s="71"/>
      <c r="S112" s="71"/>
      <c r="T112" s="10"/>
      <c r="U112" s="71"/>
      <c r="V112" s="71"/>
      <c r="W112" s="71"/>
      <c r="X112" s="71"/>
      <c r="Y112" s="71"/>
      <c r="Z112" s="71"/>
      <c r="AA112" s="71"/>
      <c r="AB112" s="71"/>
      <c r="AC112" s="71"/>
      <c r="AD112" s="71"/>
      <c r="AE112" s="71"/>
      <c r="AF112" s="71"/>
      <c r="AG112" s="71"/>
      <c r="AH112" s="55"/>
      <c r="AI112" s="55"/>
      <c r="AJ112" s="71"/>
      <c r="AK112" s="71"/>
      <c r="AL112" s="71"/>
      <c r="AM112" s="71"/>
      <c r="AN112" s="71"/>
      <c r="AO112" s="71"/>
      <c r="AP112" s="71"/>
      <c r="AQ112" s="71"/>
      <c r="AR112" s="71"/>
      <c r="AS112" s="71"/>
    </row>
    <row r="113" spans="1:45" s="157" customFormat="1">
      <c r="A113" s="71"/>
      <c r="B113" s="71"/>
      <c r="C113" s="71"/>
      <c r="D113" s="71"/>
      <c r="E113" s="71"/>
      <c r="F113" s="71"/>
      <c r="G113" s="71"/>
      <c r="H113" s="71"/>
      <c r="I113" s="71"/>
      <c r="J113" s="71"/>
      <c r="K113" s="71"/>
      <c r="L113" s="71"/>
      <c r="M113" s="71"/>
      <c r="N113" s="71"/>
      <c r="O113" s="71"/>
      <c r="P113" s="71"/>
      <c r="Q113" s="71"/>
      <c r="R113" s="71"/>
      <c r="S113" s="71"/>
      <c r="T113" s="10"/>
      <c r="U113" s="71"/>
      <c r="V113" s="71"/>
      <c r="W113" s="71"/>
      <c r="X113" s="71"/>
      <c r="Y113" s="71"/>
      <c r="Z113" s="71"/>
      <c r="AA113" s="71"/>
      <c r="AB113" s="71"/>
      <c r="AC113" s="71"/>
      <c r="AD113" s="71"/>
      <c r="AE113" s="71"/>
      <c r="AF113" s="71"/>
      <c r="AG113" s="71"/>
      <c r="AH113" s="55"/>
      <c r="AI113" s="55"/>
      <c r="AJ113" s="71"/>
      <c r="AK113" s="71"/>
      <c r="AL113" s="71"/>
      <c r="AM113" s="71"/>
      <c r="AN113" s="71"/>
      <c r="AO113" s="71"/>
      <c r="AP113" s="71"/>
      <c r="AQ113" s="71"/>
      <c r="AR113" s="71"/>
      <c r="AS113" s="71"/>
    </row>
    <row r="114" spans="1:45" s="157" customFormat="1">
      <c r="A114" s="71"/>
      <c r="B114" s="71"/>
      <c r="C114" s="71"/>
      <c r="D114" s="71"/>
      <c r="E114" s="71"/>
      <c r="F114" s="71"/>
      <c r="G114" s="71"/>
      <c r="H114" s="71"/>
      <c r="I114" s="71"/>
      <c r="J114" s="71"/>
      <c r="K114" s="71"/>
      <c r="L114" s="71"/>
      <c r="M114" s="71"/>
      <c r="N114" s="71"/>
      <c r="O114" s="71"/>
      <c r="P114" s="71"/>
      <c r="Q114" s="71"/>
      <c r="R114" s="71"/>
      <c r="S114" s="71"/>
      <c r="T114" s="10"/>
      <c r="U114" s="71"/>
      <c r="V114" s="71"/>
      <c r="W114" s="71"/>
      <c r="X114" s="71"/>
      <c r="Y114" s="71"/>
      <c r="Z114" s="71"/>
      <c r="AA114" s="71"/>
      <c r="AB114" s="71"/>
      <c r="AC114" s="71"/>
      <c r="AD114" s="71"/>
      <c r="AE114" s="71"/>
      <c r="AF114" s="71"/>
      <c r="AG114" s="71"/>
      <c r="AH114" s="55"/>
      <c r="AI114" s="55"/>
      <c r="AJ114" s="71"/>
      <c r="AK114" s="71"/>
      <c r="AL114" s="71"/>
      <c r="AM114" s="71"/>
      <c r="AN114" s="71"/>
      <c r="AO114" s="71"/>
      <c r="AP114" s="71"/>
      <c r="AQ114" s="71"/>
      <c r="AR114" s="71"/>
      <c r="AS114" s="71"/>
    </row>
    <row r="115" spans="1:45" s="157" customFormat="1">
      <c r="A115" s="71"/>
      <c r="B115" s="71"/>
      <c r="C115" s="71"/>
      <c r="D115" s="71"/>
      <c r="E115" s="71"/>
      <c r="F115" s="71"/>
      <c r="G115" s="71"/>
      <c r="H115" s="71"/>
      <c r="I115" s="71"/>
      <c r="J115" s="71"/>
      <c r="K115" s="71"/>
      <c r="L115" s="71"/>
      <c r="M115" s="71"/>
      <c r="N115" s="71"/>
      <c r="O115" s="71"/>
      <c r="P115" s="71"/>
      <c r="Q115" s="71"/>
      <c r="R115" s="71"/>
      <c r="S115" s="71"/>
      <c r="T115" s="10"/>
      <c r="U115" s="71"/>
      <c r="V115" s="71"/>
      <c r="W115" s="71"/>
      <c r="X115" s="71"/>
      <c r="Y115" s="71"/>
      <c r="Z115" s="71"/>
      <c r="AA115" s="71"/>
      <c r="AB115" s="71"/>
      <c r="AC115" s="71"/>
      <c r="AD115" s="71"/>
      <c r="AE115" s="71"/>
      <c r="AF115" s="71"/>
      <c r="AG115" s="71"/>
      <c r="AH115" s="55"/>
      <c r="AI115" s="55"/>
      <c r="AJ115" s="71"/>
      <c r="AK115" s="71"/>
      <c r="AL115" s="71"/>
      <c r="AM115" s="71"/>
      <c r="AN115" s="71"/>
      <c r="AO115" s="71"/>
      <c r="AP115" s="71"/>
      <c r="AQ115" s="71"/>
      <c r="AR115" s="71"/>
      <c r="AS115" s="71"/>
    </row>
    <row r="116" spans="1:45" s="157" customFormat="1">
      <c r="A116" s="71"/>
      <c r="B116" s="71"/>
      <c r="C116" s="71"/>
      <c r="D116" s="71"/>
      <c r="E116" s="71"/>
      <c r="F116" s="71"/>
      <c r="G116" s="71"/>
      <c r="H116" s="71"/>
      <c r="I116" s="71"/>
      <c r="J116" s="71"/>
      <c r="K116" s="71"/>
      <c r="L116" s="71"/>
      <c r="M116" s="71"/>
      <c r="N116" s="71"/>
      <c r="O116" s="71"/>
      <c r="P116" s="71"/>
      <c r="Q116" s="71"/>
      <c r="R116" s="71"/>
      <c r="S116" s="71"/>
      <c r="T116" s="10"/>
      <c r="U116" s="71"/>
      <c r="V116" s="71"/>
      <c r="W116" s="71"/>
      <c r="X116" s="71"/>
      <c r="Y116" s="71"/>
      <c r="Z116" s="71"/>
      <c r="AA116" s="71"/>
      <c r="AB116" s="71"/>
      <c r="AC116" s="71"/>
      <c r="AD116" s="71"/>
      <c r="AE116" s="71"/>
      <c r="AF116" s="71"/>
      <c r="AG116" s="71"/>
      <c r="AH116" s="55"/>
      <c r="AI116" s="55"/>
      <c r="AJ116" s="71"/>
      <c r="AK116" s="71"/>
      <c r="AL116" s="71"/>
      <c r="AM116" s="71"/>
      <c r="AN116" s="71"/>
      <c r="AO116" s="71"/>
      <c r="AP116" s="71"/>
      <c r="AQ116" s="71"/>
      <c r="AR116" s="71"/>
      <c r="AS116" s="71"/>
    </row>
    <row r="117" spans="1:45" s="157" customFormat="1">
      <c r="A117" s="71"/>
      <c r="B117" s="71"/>
      <c r="C117" s="71"/>
      <c r="D117" s="71"/>
      <c r="E117" s="71"/>
      <c r="F117" s="71"/>
      <c r="G117" s="71"/>
      <c r="H117" s="71"/>
      <c r="I117" s="71"/>
      <c r="J117" s="71"/>
      <c r="K117" s="71"/>
      <c r="L117" s="71"/>
      <c r="M117" s="71"/>
      <c r="N117" s="71"/>
      <c r="O117" s="71"/>
      <c r="P117" s="71"/>
      <c r="Q117" s="71"/>
      <c r="R117" s="71"/>
      <c r="S117" s="71"/>
      <c r="T117" s="10"/>
      <c r="U117" s="71"/>
      <c r="V117" s="71"/>
      <c r="W117" s="71"/>
      <c r="X117" s="71"/>
      <c r="Y117" s="71"/>
      <c r="Z117" s="71"/>
      <c r="AA117" s="71"/>
      <c r="AB117" s="71"/>
      <c r="AC117" s="71"/>
      <c r="AD117" s="71"/>
      <c r="AE117" s="71"/>
      <c r="AF117" s="71"/>
      <c r="AG117" s="71"/>
      <c r="AH117" s="55"/>
      <c r="AI117" s="55"/>
      <c r="AJ117" s="71"/>
      <c r="AK117" s="71"/>
      <c r="AL117" s="71"/>
      <c r="AM117" s="71"/>
      <c r="AN117" s="71"/>
      <c r="AO117" s="71"/>
      <c r="AP117" s="71"/>
      <c r="AQ117" s="71"/>
      <c r="AR117" s="71"/>
      <c r="AS117" s="71"/>
    </row>
    <row r="118" spans="1:45" s="157" customFormat="1">
      <c r="A118" s="71"/>
      <c r="B118" s="71"/>
      <c r="C118" s="71"/>
      <c r="D118" s="71"/>
      <c r="E118" s="71"/>
      <c r="F118" s="71"/>
      <c r="G118" s="71"/>
      <c r="H118" s="71"/>
      <c r="I118" s="71"/>
      <c r="J118" s="71"/>
      <c r="K118" s="71"/>
      <c r="L118" s="71"/>
      <c r="M118" s="71"/>
      <c r="N118" s="71"/>
      <c r="O118" s="71"/>
      <c r="P118" s="71"/>
      <c r="Q118" s="71"/>
      <c r="R118" s="71"/>
      <c r="S118" s="71"/>
      <c r="T118" s="10"/>
      <c r="U118" s="71"/>
      <c r="V118" s="71"/>
      <c r="W118" s="71"/>
      <c r="X118" s="71"/>
      <c r="Y118" s="71"/>
      <c r="Z118" s="71"/>
      <c r="AA118" s="71"/>
      <c r="AB118" s="71"/>
      <c r="AC118" s="71"/>
      <c r="AD118" s="71"/>
      <c r="AE118" s="71"/>
      <c r="AF118" s="71"/>
      <c r="AG118" s="71"/>
      <c r="AH118" s="55"/>
      <c r="AI118" s="55"/>
      <c r="AJ118" s="71"/>
      <c r="AK118" s="71"/>
      <c r="AL118" s="71"/>
      <c r="AM118" s="71"/>
      <c r="AN118" s="71"/>
      <c r="AO118" s="71"/>
      <c r="AP118" s="71"/>
      <c r="AQ118" s="71"/>
      <c r="AR118" s="71"/>
      <c r="AS118" s="71"/>
    </row>
    <row r="119" spans="1:45" s="157" customFormat="1">
      <c r="A119" s="71"/>
      <c r="B119" s="71"/>
      <c r="C119" s="71"/>
      <c r="D119" s="71"/>
      <c r="E119" s="71"/>
      <c r="F119" s="71"/>
      <c r="G119" s="71"/>
      <c r="H119" s="71"/>
      <c r="I119" s="71"/>
      <c r="J119" s="71"/>
      <c r="K119" s="71"/>
      <c r="L119" s="71"/>
      <c r="M119" s="71"/>
      <c r="N119" s="71"/>
      <c r="O119" s="71"/>
      <c r="P119" s="71"/>
      <c r="Q119" s="71"/>
      <c r="R119" s="71"/>
      <c r="S119" s="71"/>
      <c r="T119" s="10"/>
      <c r="U119" s="71"/>
      <c r="V119" s="71"/>
      <c r="W119" s="71"/>
      <c r="X119" s="71"/>
      <c r="Y119" s="71"/>
      <c r="Z119" s="71"/>
      <c r="AA119" s="71"/>
      <c r="AB119" s="71"/>
      <c r="AC119" s="71"/>
      <c r="AD119" s="71"/>
      <c r="AE119" s="71"/>
      <c r="AF119" s="71"/>
      <c r="AG119" s="71"/>
      <c r="AH119" s="55"/>
      <c r="AI119" s="55"/>
      <c r="AJ119" s="71"/>
      <c r="AK119" s="71"/>
      <c r="AL119" s="71"/>
      <c r="AM119" s="71"/>
      <c r="AN119" s="71"/>
      <c r="AO119" s="71"/>
      <c r="AP119" s="71"/>
      <c r="AQ119" s="71"/>
      <c r="AR119" s="71"/>
      <c r="AS119" s="71"/>
    </row>
    <row r="120" spans="1:45" s="157" customFormat="1">
      <c r="A120" s="71"/>
      <c r="B120" s="71"/>
      <c r="C120" s="71"/>
      <c r="D120" s="71"/>
      <c r="E120" s="71"/>
      <c r="F120" s="71"/>
      <c r="G120" s="71"/>
      <c r="H120" s="71"/>
      <c r="I120" s="71"/>
      <c r="J120" s="71"/>
      <c r="K120" s="71"/>
      <c r="L120" s="71"/>
      <c r="M120" s="71"/>
      <c r="N120" s="71"/>
      <c r="O120" s="71"/>
      <c r="P120" s="71"/>
      <c r="Q120" s="71"/>
      <c r="R120" s="71"/>
      <c r="S120" s="71"/>
      <c r="T120" s="10"/>
      <c r="U120" s="71"/>
      <c r="V120" s="71"/>
      <c r="W120" s="71"/>
      <c r="X120" s="71"/>
      <c r="Y120" s="71"/>
      <c r="Z120" s="71"/>
      <c r="AA120" s="71"/>
      <c r="AB120" s="71"/>
      <c r="AC120" s="71"/>
      <c r="AD120" s="71"/>
      <c r="AE120" s="71"/>
      <c r="AF120" s="71"/>
      <c r="AG120" s="71"/>
      <c r="AH120" s="55"/>
      <c r="AI120" s="55"/>
      <c r="AJ120" s="71"/>
      <c r="AK120" s="71"/>
      <c r="AL120" s="71"/>
      <c r="AM120" s="71"/>
      <c r="AN120" s="71"/>
      <c r="AO120" s="71"/>
      <c r="AP120" s="71"/>
      <c r="AQ120" s="71"/>
      <c r="AR120" s="71"/>
      <c r="AS120" s="71"/>
    </row>
    <row r="121" spans="1:45" s="157" customFormat="1">
      <c r="A121" s="71"/>
      <c r="B121" s="71"/>
      <c r="C121" s="71"/>
      <c r="D121" s="71"/>
      <c r="E121" s="71"/>
      <c r="F121" s="71"/>
      <c r="G121" s="71"/>
      <c r="H121" s="71"/>
      <c r="I121" s="71"/>
      <c r="J121" s="71"/>
      <c r="K121" s="71"/>
      <c r="L121" s="71"/>
      <c r="M121" s="71"/>
      <c r="N121" s="71"/>
      <c r="O121" s="71"/>
      <c r="P121" s="71"/>
      <c r="Q121" s="71"/>
      <c r="R121" s="71"/>
      <c r="S121" s="71"/>
      <c r="T121" s="10"/>
      <c r="U121" s="71"/>
      <c r="V121" s="71"/>
      <c r="W121" s="71"/>
      <c r="X121" s="71"/>
      <c r="Y121" s="71"/>
      <c r="Z121" s="71"/>
      <c r="AA121" s="71"/>
      <c r="AB121" s="71"/>
      <c r="AC121" s="71"/>
      <c r="AD121" s="71"/>
      <c r="AE121" s="71"/>
      <c r="AF121" s="71"/>
      <c r="AG121" s="71"/>
      <c r="AH121" s="55"/>
      <c r="AI121" s="55"/>
      <c r="AJ121" s="71"/>
      <c r="AK121" s="71"/>
      <c r="AL121" s="71"/>
      <c r="AM121" s="71"/>
      <c r="AN121" s="71"/>
      <c r="AO121" s="71"/>
      <c r="AP121" s="71"/>
      <c r="AQ121" s="71"/>
      <c r="AR121" s="71"/>
      <c r="AS121" s="71"/>
    </row>
    <row r="122" spans="1:45" s="157" customFormat="1">
      <c r="A122" s="71"/>
      <c r="B122" s="71"/>
      <c r="C122" s="71"/>
      <c r="D122" s="71"/>
      <c r="E122" s="71"/>
      <c r="F122" s="71"/>
      <c r="G122" s="71"/>
      <c r="H122" s="71"/>
      <c r="I122" s="71"/>
      <c r="J122" s="71"/>
      <c r="K122" s="71"/>
      <c r="L122" s="71"/>
      <c r="M122" s="71"/>
      <c r="N122" s="71"/>
      <c r="O122" s="71"/>
      <c r="P122" s="71"/>
      <c r="Q122" s="71"/>
      <c r="R122" s="71"/>
      <c r="S122" s="71"/>
      <c r="T122" s="10"/>
      <c r="U122" s="71"/>
      <c r="V122" s="71"/>
      <c r="W122" s="71"/>
      <c r="X122" s="71"/>
      <c r="Y122" s="71"/>
      <c r="Z122" s="71"/>
      <c r="AA122" s="71"/>
      <c r="AB122" s="71"/>
      <c r="AC122" s="71"/>
      <c r="AD122" s="71"/>
      <c r="AE122" s="71"/>
      <c r="AF122" s="71"/>
      <c r="AG122" s="71"/>
      <c r="AH122" s="55"/>
      <c r="AI122" s="55"/>
      <c r="AJ122" s="71"/>
      <c r="AK122" s="71"/>
      <c r="AL122" s="71"/>
      <c r="AM122" s="71"/>
      <c r="AN122" s="71"/>
      <c r="AO122" s="71"/>
      <c r="AP122" s="71"/>
      <c r="AQ122" s="71"/>
      <c r="AR122" s="71"/>
      <c r="AS122" s="71"/>
    </row>
    <row r="123" spans="1:45" s="157" customFormat="1">
      <c r="A123" s="71"/>
      <c r="B123" s="71"/>
      <c r="C123" s="71"/>
      <c r="D123" s="71"/>
      <c r="E123" s="71"/>
      <c r="F123" s="71"/>
      <c r="G123" s="71"/>
      <c r="H123" s="71"/>
      <c r="I123" s="71"/>
      <c r="J123" s="71"/>
      <c r="K123" s="71"/>
      <c r="L123" s="71"/>
      <c r="M123" s="71"/>
      <c r="N123" s="71"/>
      <c r="O123" s="71"/>
      <c r="P123" s="71"/>
      <c r="Q123" s="71"/>
      <c r="R123" s="71"/>
      <c r="S123" s="71"/>
      <c r="T123" s="10"/>
      <c r="U123" s="71"/>
      <c r="V123" s="71"/>
      <c r="W123" s="71"/>
      <c r="X123" s="71"/>
      <c r="Y123" s="71"/>
      <c r="Z123" s="71"/>
      <c r="AA123" s="71"/>
      <c r="AB123" s="71"/>
      <c r="AC123" s="71"/>
      <c r="AD123" s="71"/>
      <c r="AE123" s="71"/>
      <c r="AF123" s="71"/>
      <c r="AG123" s="71"/>
      <c r="AH123" s="55"/>
      <c r="AI123" s="55"/>
      <c r="AJ123" s="71"/>
      <c r="AK123" s="71"/>
      <c r="AL123" s="71"/>
      <c r="AM123" s="71"/>
      <c r="AN123" s="71"/>
      <c r="AO123" s="71"/>
      <c r="AP123" s="71"/>
      <c r="AQ123" s="71"/>
      <c r="AR123" s="71"/>
      <c r="AS123" s="71"/>
    </row>
    <row r="124" spans="1:45" s="157" customFormat="1">
      <c r="A124" s="71"/>
      <c r="B124" s="71"/>
      <c r="C124" s="71"/>
      <c r="D124" s="71"/>
      <c r="E124" s="71"/>
      <c r="F124" s="71"/>
      <c r="G124" s="71"/>
      <c r="H124" s="71"/>
      <c r="I124" s="71"/>
      <c r="J124" s="71"/>
      <c r="K124" s="71"/>
      <c r="L124" s="71"/>
      <c r="M124" s="71"/>
      <c r="N124" s="71"/>
      <c r="O124" s="71"/>
      <c r="P124" s="71"/>
      <c r="Q124" s="71"/>
      <c r="R124" s="71"/>
      <c r="S124" s="71"/>
      <c r="T124" s="10"/>
      <c r="U124" s="71"/>
      <c r="V124" s="71"/>
      <c r="W124" s="71"/>
      <c r="X124" s="71"/>
      <c r="Y124" s="71"/>
      <c r="Z124" s="71"/>
      <c r="AA124" s="71"/>
      <c r="AB124" s="71"/>
      <c r="AC124" s="71"/>
      <c r="AD124" s="71"/>
      <c r="AE124" s="71"/>
      <c r="AF124" s="71"/>
      <c r="AG124" s="71"/>
      <c r="AH124" s="55"/>
      <c r="AI124" s="55"/>
      <c r="AJ124" s="71"/>
      <c r="AK124" s="71"/>
      <c r="AL124" s="71"/>
      <c r="AM124" s="71"/>
      <c r="AN124" s="71"/>
      <c r="AO124" s="71"/>
      <c r="AP124" s="71"/>
      <c r="AQ124" s="71"/>
      <c r="AR124" s="71"/>
      <c r="AS124" s="71"/>
    </row>
    <row r="125" spans="1:45" s="157" customFormat="1">
      <c r="A125" s="71"/>
      <c r="B125" s="71"/>
      <c r="C125" s="71"/>
      <c r="D125" s="71"/>
      <c r="E125" s="71"/>
      <c r="F125" s="71"/>
      <c r="G125" s="71"/>
      <c r="H125" s="71"/>
      <c r="I125" s="71"/>
      <c r="J125" s="71"/>
      <c r="K125" s="71"/>
      <c r="L125" s="71"/>
      <c r="M125" s="71"/>
      <c r="N125" s="71"/>
      <c r="O125" s="71"/>
      <c r="P125" s="71"/>
      <c r="Q125" s="71"/>
      <c r="R125" s="71"/>
      <c r="S125" s="71"/>
      <c r="T125" s="10"/>
      <c r="U125" s="71"/>
      <c r="V125" s="71"/>
      <c r="W125" s="71"/>
      <c r="X125" s="71"/>
      <c r="Y125" s="71"/>
      <c r="Z125" s="71"/>
      <c r="AA125" s="71"/>
      <c r="AB125" s="71"/>
      <c r="AC125" s="71"/>
      <c r="AD125" s="71"/>
      <c r="AE125" s="71"/>
      <c r="AF125" s="71"/>
      <c r="AG125" s="71"/>
      <c r="AH125" s="55"/>
      <c r="AI125" s="55"/>
      <c r="AJ125" s="71"/>
      <c r="AK125" s="71"/>
      <c r="AL125" s="71"/>
      <c r="AM125" s="71"/>
      <c r="AN125" s="71"/>
      <c r="AO125" s="71"/>
      <c r="AP125" s="71"/>
      <c r="AQ125" s="71"/>
      <c r="AR125" s="71"/>
      <c r="AS125" s="71"/>
    </row>
    <row r="126" spans="1:45" s="157" customFormat="1">
      <c r="A126" s="71"/>
      <c r="B126" s="71"/>
      <c r="C126" s="71"/>
      <c r="D126" s="71"/>
      <c r="E126" s="71"/>
      <c r="F126" s="71"/>
      <c r="G126" s="71"/>
      <c r="H126" s="71"/>
      <c r="I126" s="71"/>
      <c r="J126" s="71"/>
      <c r="K126" s="71"/>
      <c r="L126" s="71"/>
      <c r="M126" s="71"/>
      <c r="N126" s="71"/>
      <c r="O126" s="71"/>
      <c r="P126" s="71"/>
      <c r="Q126" s="71"/>
      <c r="R126" s="71"/>
      <c r="S126" s="71"/>
      <c r="T126" s="10"/>
      <c r="U126" s="71"/>
      <c r="V126" s="71"/>
      <c r="W126" s="71"/>
      <c r="X126" s="71"/>
      <c r="Y126" s="71"/>
      <c r="Z126" s="71"/>
      <c r="AA126" s="71"/>
      <c r="AB126" s="71"/>
      <c r="AC126" s="71"/>
      <c r="AD126" s="71"/>
      <c r="AE126" s="71"/>
      <c r="AF126" s="71"/>
      <c r="AG126" s="71"/>
      <c r="AH126" s="55"/>
      <c r="AI126" s="55"/>
      <c r="AJ126" s="71"/>
      <c r="AK126" s="71"/>
      <c r="AL126" s="71"/>
      <c r="AM126" s="71"/>
      <c r="AN126" s="71"/>
      <c r="AO126" s="71"/>
      <c r="AP126" s="71"/>
      <c r="AQ126" s="71"/>
      <c r="AR126" s="71"/>
      <c r="AS126" s="71"/>
    </row>
    <row r="127" spans="1:45" s="157" customFormat="1">
      <c r="A127" s="71"/>
      <c r="B127" s="71"/>
      <c r="C127" s="71"/>
      <c r="D127" s="71"/>
      <c r="E127" s="71"/>
      <c r="F127" s="71"/>
      <c r="G127" s="71"/>
      <c r="H127" s="71"/>
      <c r="I127" s="71"/>
      <c r="J127" s="71"/>
      <c r="K127" s="71"/>
      <c r="L127" s="71"/>
      <c r="M127" s="71"/>
      <c r="N127" s="71"/>
      <c r="O127" s="71"/>
      <c r="P127" s="71"/>
      <c r="Q127" s="71"/>
      <c r="R127" s="71"/>
      <c r="S127" s="71"/>
      <c r="T127" s="10"/>
      <c r="U127" s="71"/>
      <c r="V127" s="71"/>
      <c r="W127" s="71"/>
      <c r="X127" s="71"/>
      <c r="Y127" s="71"/>
      <c r="Z127" s="71"/>
      <c r="AA127" s="71"/>
      <c r="AB127" s="71"/>
      <c r="AC127" s="71"/>
      <c r="AD127" s="71"/>
      <c r="AE127" s="71"/>
      <c r="AF127" s="71"/>
      <c r="AG127" s="71"/>
      <c r="AH127" s="55"/>
      <c r="AI127" s="55"/>
      <c r="AJ127" s="71"/>
      <c r="AK127" s="71"/>
      <c r="AL127" s="71"/>
      <c r="AM127" s="71"/>
      <c r="AN127" s="71"/>
      <c r="AO127" s="71"/>
      <c r="AP127" s="71"/>
      <c r="AQ127" s="71"/>
      <c r="AR127" s="71"/>
      <c r="AS127" s="71"/>
    </row>
    <row r="128" spans="1:45" s="157" customFormat="1">
      <c r="A128" s="71"/>
      <c r="B128" s="71"/>
      <c r="C128" s="71"/>
      <c r="D128" s="71"/>
      <c r="E128" s="71"/>
      <c r="F128" s="71"/>
      <c r="G128" s="71"/>
      <c r="H128" s="71"/>
      <c r="I128" s="71"/>
      <c r="J128" s="71"/>
      <c r="K128" s="71"/>
      <c r="L128" s="71"/>
      <c r="M128" s="71"/>
      <c r="N128" s="71"/>
      <c r="O128" s="71"/>
      <c r="P128" s="71"/>
      <c r="Q128" s="71"/>
      <c r="R128" s="71"/>
      <c r="S128" s="71"/>
      <c r="T128" s="10"/>
      <c r="U128" s="71"/>
      <c r="V128" s="71"/>
      <c r="W128" s="71"/>
      <c r="X128" s="71"/>
      <c r="Y128" s="71"/>
      <c r="Z128" s="71"/>
      <c r="AA128" s="71"/>
      <c r="AB128" s="71"/>
      <c r="AC128" s="71"/>
      <c r="AD128" s="71"/>
      <c r="AE128" s="71"/>
      <c r="AF128" s="71"/>
      <c r="AG128" s="71"/>
      <c r="AH128" s="55"/>
      <c r="AI128" s="55"/>
      <c r="AJ128" s="71"/>
      <c r="AK128" s="71"/>
      <c r="AL128" s="71"/>
      <c r="AM128" s="71"/>
      <c r="AN128" s="71"/>
      <c r="AO128" s="71"/>
      <c r="AP128" s="71"/>
      <c r="AQ128" s="71"/>
      <c r="AR128" s="71"/>
      <c r="AS128" s="71"/>
    </row>
    <row r="129" spans="1:45" s="157" customFormat="1">
      <c r="A129" s="71"/>
      <c r="B129" s="71"/>
      <c r="C129" s="71"/>
      <c r="D129" s="71"/>
      <c r="E129" s="71"/>
      <c r="F129" s="71"/>
      <c r="G129" s="71"/>
      <c r="H129" s="71"/>
      <c r="I129" s="71"/>
      <c r="J129" s="71"/>
      <c r="K129" s="71"/>
      <c r="L129" s="71"/>
      <c r="M129" s="71"/>
      <c r="N129" s="71"/>
      <c r="O129" s="71"/>
      <c r="P129" s="71"/>
      <c r="Q129" s="71"/>
      <c r="R129" s="71"/>
      <c r="S129" s="71"/>
      <c r="T129" s="10"/>
      <c r="U129" s="71"/>
      <c r="V129" s="71"/>
      <c r="W129" s="71"/>
      <c r="X129" s="71"/>
      <c r="Y129" s="71"/>
      <c r="Z129" s="71"/>
      <c r="AA129" s="71"/>
      <c r="AB129" s="71"/>
      <c r="AC129" s="71"/>
      <c r="AD129" s="71"/>
      <c r="AE129" s="71"/>
      <c r="AF129" s="71"/>
      <c r="AG129" s="71"/>
      <c r="AH129" s="55"/>
      <c r="AI129" s="55"/>
      <c r="AJ129" s="71"/>
      <c r="AK129" s="71"/>
      <c r="AL129" s="71"/>
      <c r="AM129" s="71"/>
      <c r="AN129" s="71"/>
      <c r="AO129" s="71"/>
      <c r="AP129" s="71"/>
      <c r="AQ129" s="71"/>
      <c r="AR129" s="71"/>
      <c r="AS129" s="71"/>
    </row>
    <row r="130" spans="1:45" s="157" customFormat="1">
      <c r="A130" s="71"/>
      <c r="B130" s="71"/>
      <c r="C130" s="71"/>
      <c r="D130" s="71"/>
      <c r="E130" s="71"/>
      <c r="F130" s="71"/>
      <c r="G130" s="71"/>
      <c r="H130" s="71"/>
      <c r="I130" s="71"/>
      <c r="J130" s="71"/>
      <c r="K130" s="71"/>
      <c r="L130" s="71"/>
      <c r="M130" s="71"/>
      <c r="N130" s="71"/>
      <c r="O130" s="71"/>
      <c r="P130" s="71"/>
      <c r="Q130" s="71"/>
      <c r="R130" s="71"/>
      <c r="S130" s="71"/>
      <c r="T130" s="10"/>
      <c r="U130" s="71"/>
      <c r="V130" s="71"/>
      <c r="W130" s="71"/>
      <c r="X130" s="71"/>
      <c r="Y130" s="71"/>
      <c r="Z130" s="71"/>
      <c r="AA130" s="71"/>
      <c r="AB130" s="71"/>
      <c r="AC130" s="71"/>
      <c r="AD130" s="71"/>
      <c r="AE130" s="71"/>
      <c r="AF130" s="71"/>
      <c r="AG130" s="71"/>
      <c r="AH130" s="55"/>
      <c r="AI130" s="55"/>
      <c r="AJ130" s="71"/>
      <c r="AK130" s="71"/>
      <c r="AL130" s="71"/>
      <c r="AM130" s="71"/>
      <c r="AN130" s="71"/>
      <c r="AO130" s="71"/>
      <c r="AP130" s="71"/>
      <c r="AQ130" s="71"/>
      <c r="AR130" s="71"/>
      <c r="AS130" s="71"/>
    </row>
    <row r="131" spans="1:45" s="157" customFormat="1">
      <c r="A131" s="71"/>
      <c r="B131" s="71"/>
      <c r="C131" s="71"/>
      <c r="D131" s="71"/>
      <c r="E131" s="71"/>
      <c r="F131" s="71"/>
      <c r="G131" s="71"/>
      <c r="H131" s="71"/>
      <c r="I131" s="71"/>
      <c r="J131" s="71"/>
      <c r="K131" s="71"/>
      <c r="L131" s="71"/>
      <c r="M131" s="71"/>
      <c r="N131" s="71"/>
      <c r="O131" s="71"/>
      <c r="P131" s="71"/>
      <c r="Q131" s="71"/>
      <c r="R131" s="71"/>
      <c r="S131" s="71"/>
      <c r="T131" s="10"/>
      <c r="U131" s="71"/>
      <c r="V131" s="71"/>
      <c r="W131" s="71"/>
      <c r="X131" s="71"/>
      <c r="Y131" s="71"/>
      <c r="Z131" s="71"/>
      <c r="AA131" s="71"/>
      <c r="AB131" s="71"/>
      <c r="AC131" s="71"/>
      <c r="AD131" s="71"/>
      <c r="AE131" s="71"/>
      <c r="AF131" s="71"/>
      <c r="AG131" s="71"/>
      <c r="AH131" s="55"/>
      <c r="AI131" s="55"/>
      <c r="AJ131" s="71"/>
      <c r="AK131" s="71"/>
      <c r="AL131" s="71"/>
      <c r="AM131" s="71"/>
      <c r="AN131" s="71"/>
      <c r="AO131" s="71"/>
      <c r="AP131" s="71"/>
      <c r="AQ131" s="71"/>
      <c r="AR131" s="71"/>
      <c r="AS131" s="71"/>
    </row>
    <row r="132" spans="1:45" s="157" customFormat="1">
      <c r="A132" s="71"/>
      <c r="B132" s="71"/>
      <c r="C132" s="71"/>
      <c r="D132" s="71"/>
      <c r="E132" s="71"/>
      <c r="F132" s="71"/>
      <c r="G132" s="71"/>
      <c r="H132" s="71"/>
      <c r="I132" s="71"/>
      <c r="J132" s="71"/>
      <c r="K132" s="71"/>
      <c r="L132" s="71"/>
      <c r="M132" s="71"/>
      <c r="N132" s="71"/>
      <c r="O132" s="71"/>
      <c r="P132" s="71"/>
      <c r="Q132" s="71"/>
      <c r="R132" s="71"/>
      <c r="S132" s="71"/>
      <c r="T132" s="10"/>
      <c r="U132" s="71"/>
      <c r="V132" s="71"/>
      <c r="W132" s="71"/>
      <c r="X132" s="71"/>
      <c r="Y132" s="71"/>
      <c r="Z132" s="71"/>
      <c r="AA132" s="71"/>
      <c r="AB132" s="71"/>
      <c r="AC132" s="71"/>
      <c r="AD132" s="71"/>
      <c r="AE132" s="71"/>
      <c r="AF132" s="71"/>
      <c r="AG132" s="71"/>
      <c r="AH132" s="55"/>
      <c r="AI132" s="55"/>
      <c r="AJ132" s="71"/>
      <c r="AK132" s="71"/>
      <c r="AL132" s="71"/>
      <c r="AM132" s="71"/>
      <c r="AN132" s="71"/>
      <c r="AO132" s="71"/>
      <c r="AP132" s="71"/>
      <c r="AQ132" s="71"/>
      <c r="AR132" s="71"/>
      <c r="AS132" s="71"/>
    </row>
    <row r="133" spans="1:45" s="157" customFormat="1">
      <c r="A133" s="71"/>
      <c r="B133" s="71"/>
      <c r="C133" s="71"/>
      <c r="D133" s="71"/>
      <c r="E133" s="71"/>
      <c r="F133" s="71"/>
      <c r="G133" s="71"/>
      <c r="H133" s="71"/>
      <c r="I133" s="71"/>
      <c r="J133" s="71"/>
      <c r="K133" s="71"/>
      <c r="L133" s="71"/>
      <c r="M133" s="71"/>
      <c r="N133" s="71"/>
      <c r="O133" s="71"/>
      <c r="P133" s="71"/>
      <c r="Q133" s="71"/>
      <c r="R133" s="71"/>
      <c r="S133" s="71"/>
      <c r="T133" s="10"/>
      <c r="U133" s="71"/>
      <c r="V133" s="71"/>
      <c r="W133" s="71"/>
      <c r="X133" s="71"/>
      <c r="Y133" s="71"/>
      <c r="Z133" s="71"/>
      <c r="AA133" s="71"/>
      <c r="AB133" s="71"/>
      <c r="AC133" s="71"/>
      <c r="AD133" s="71"/>
      <c r="AE133" s="71"/>
      <c r="AF133" s="71"/>
      <c r="AG133" s="71"/>
      <c r="AH133" s="55"/>
      <c r="AI133" s="55"/>
      <c r="AJ133" s="71"/>
      <c r="AK133" s="71"/>
      <c r="AL133" s="71"/>
      <c r="AM133" s="71"/>
      <c r="AN133" s="71"/>
      <c r="AO133" s="71"/>
      <c r="AP133" s="71"/>
      <c r="AQ133" s="71"/>
      <c r="AR133" s="71"/>
      <c r="AS133" s="71"/>
    </row>
    <row r="134" spans="1:45" s="157" customFormat="1">
      <c r="A134" s="71"/>
      <c r="B134" s="71"/>
      <c r="C134" s="71"/>
      <c r="D134" s="71"/>
      <c r="E134" s="71"/>
      <c r="F134" s="71"/>
      <c r="G134" s="71"/>
      <c r="H134" s="71"/>
      <c r="I134" s="71"/>
      <c r="J134" s="71"/>
      <c r="K134" s="71"/>
      <c r="L134" s="71"/>
      <c r="M134" s="71"/>
      <c r="N134" s="71"/>
      <c r="O134" s="71"/>
      <c r="P134" s="71"/>
      <c r="Q134" s="71"/>
      <c r="R134" s="71"/>
      <c r="S134" s="71"/>
      <c r="T134" s="10"/>
      <c r="U134" s="71"/>
      <c r="V134" s="71"/>
      <c r="W134" s="71"/>
      <c r="X134" s="71"/>
      <c r="Y134" s="71"/>
      <c r="Z134" s="71"/>
      <c r="AA134" s="71"/>
      <c r="AB134" s="71"/>
      <c r="AC134" s="71"/>
      <c r="AD134" s="71"/>
      <c r="AE134" s="71"/>
      <c r="AF134" s="71"/>
      <c r="AG134" s="71"/>
      <c r="AH134" s="55"/>
      <c r="AI134" s="55"/>
      <c r="AJ134" s="71"/>
      <c r="AK134" s="71"/>
      <c r="AL134" s="71"/>
      <c r="AM134" s="71"/>
      <c r="AN134" s="71"/>
      <c r="AO134" s="71"/>
      <c r="AP134" s="71"/>
      <c r="AQ134" s="71"/>
      <c r="AR134" s="71"/>
      <c r="AS134" s="71"/>
    </row>
    <row r="135" spans="1:45" s="157" customFormat="1">
      <c r="A135" s="71"/>
      <c r="B135" s="71"/>
      <c r="C135" s="71"/>
      <c r="D135" s="71"/>
      <c r="E135" s="71"/>
      <c r="F135" s="71"/>
      <c r="G135" s="71"/>
      <c r="H135" s="71"/>
      <c r="I135" s="71"/>
      <c r="J135" s="71"/>
      <c r="K135" s="71"/>
      <c r="L135" s="71"/>
      <c r="M135" s="71"/>
      <c r="N135" s="71"/>
      <c r="O135" s="71"/>
      <c r="P135" s="71"/>
      <c r="Q135" s="71"/>
      <c r="R135" s="71"/>
      <c r="S135" s="71"/>
      <c r="T135" s="10"/>
      <c r="U135" s="71"/>
      <c r="V135" s="71"/>
      <c r="W135" s="71"/>
      <c r="X135" s="71"/>
      <c r="Y135" s="71"/>
      <c r="Z135" s="71"/>
      <c r="AA135" s="71"/>
      <c r="AB135" s="71"/>
      <c r="AC135" s="71"/>
      <c r="AD135" s="71"/>
      <c r="AE135" s="71"/>
      <c r="AF135" s="71"/>
      <c r="AG135" s="71"/>
      <c r="AH135" s="55"/>
      <c r="AI135" s="55"/>
      <c r="AJ135" s="71"/>
      <c r="AK135" s="71"/>
      <c r="AL135" s="71"/>
      <c r="AM135" s="71"/>
      <c r="AN135" s="71"/>
      <c r="AO135" s="71"/>
      <c r="AP135" s="71"/>
      <c r="AQ135" s="71"/>
      <c r="AR135" s="71"/>
      <c r="AS135" s="71"/>
    </row>
    <row r="136" spans="1:45" s="157" customFormat="1">
      <c r="A136" s="71"/>
      <c r="B136" s="71"/>
      <c r="C136" s="71"/>
      <c r="D136" s="71"/>
      <c r="E136" s="71"/>
      <c r="F136" s="71"/>
      <c r="G136" s="71"/>
      <c r="H136" s="71"/>
      <c r="I136" s="71"/>
      <c r="J136" s="71"/>
      <c r="K136" s="71"/>
      <c r="L136" s="71"/>
      <c r="M136" s="71"/>
      <c r="N136" s="71"/>
      <c r="O136" s="71"/>
      <c r="P136" s="71"/>
      <c r="Q136" s="71"/>
      <c r="R136" s="71"/>
      <c r="S136" s="71"/>
      <c r="T136" s="10"/>
      <c r="U136" s="71"/>
      <c r="V136" s="71"/>
      <c r="W136" s="71"/>
      <c r="X136" s="71"/>
      <c r="Y136" s="71"/>
      <c r="Z136" s="71"/>
      <c r="AA136" s="71"/>
      <c r="AB136" s="71"/>
      <c r="AC136" s="71"/>
      <c r="AD136" s="71"/>
      <c r="AE136" s="71"/>
      <c r="AF136" s="71"/>
      <c r="AG136" s="71"/>
      <c r="AH136" s="55"/>
      <c r="AI136" s="55"/>
      <c r="AJ136" s="71"/>
      <c r="AK136" s="71"/>
      <c r="AL136" s="71"/>
      <c r="AM136" s="71"/>
      <c r="AN136" s="71"/>
      <c r="AO136" s="71"/>
      <c r="AP136" s="71"/>
      <c r="AQ136" s="71"/>
      <c r="AR136" s="71"/>
      <c r="AS136" s="71"/>
    </row>
    <row r="137" spans="1:45" s="157" customFormat="1">
      <c r="A137" s="71"/>
      <c r="B137" s="71"/>
      <c r="C137" s="71"/>
      <c r="D137" s="71"/>
      <c r="E137" s="71"/>
      <c r="F137" s="71"/>
      <c r="G137" s="71"/>
      <c r="H137" s="71"/>
      <c r="I137" s="71"/>
      <c r="J137" s="71"/>
      <c r="K137" s="71"/>
      <c r="L137" s="71"/>
      <c r="M137" s="71"/>
      <c r="N137" s="71"/>
      <c r="O137" s="71"/>
      <c r="P137" s="71"/>
      <c r="Q137" s="71"/>
      <c r="R137" s="71"/>
      <c r="S137" s="71"/>
      <c r="T137" s="10"/>
      <c r="U137" s="71"/>
      <c r="V137" s="71"/>
      <c r="W137" s="71"/>
      <c r="X137" s="71"/>
      <c r="Y137" s="71"/>
      <c r="Z137" s="71"/>
      <c r="AA137" s="71"/>
      <c r="AB137" s="71"/>
      <c r="AC137" s="71"/>
      <c r="AD137" s="71"/>
      <c r="AE137" s="71"/>
      <c r="AF137" s="71"/>
      <c r="AG137" s="71"/>
      <c r="AH137" s="55"/>
      <c r="AI137" s="55"/>
      <c r="AJ137" s="71"/>
      <c r="AK137" s="71"/>
      <c r="AL137" s="71"/>
      <c r="AM137" s="71"/>
      <c r="AN137" s="71"/>
      <c r="AO137" s="71"/>
      <c r="AP137" s="71"/>
      <c r="AQ137" s="71"/>
      <c r="AR137" s="71"/>
      <c r="AS137" s="71"/>
    </row>
    <row r="138" spans="1:45" s="157" customFormat="1">
      <c r="A138" s="71"/>
      <c r="B138" s="71"/>
      <c r="C138" s="71"/>
      <c r="D138" s="71"/>
      <c r="E138" s="71"/>
      <c r="F138" s="71"/>
      <c r="G138" s="71"/>
      <c r="H138" s="71"/>
      <c r="I138" s="71"/>
      <c r="J138" s="71"/>
      <c r="K138" s="71"/>
      <c r="L138" s="71"/>
      <c r="M138" s="71"/>
      <c r="N138" s="71"/>
      <c r="O138" s="71"/>
      <c r="P138" s="71"/>
      <c r="Q138" s="71"/>
      <c r="R138" s="71"/>
      <c r="S138" s="71"/>
      <c r="T138" s="10"/>
      <c r="U138" s="71"/>
      <c r="V138" s="71"/>
      <c r="W138" s="71"/>
      <c r="X138" s="71"/>
      <c r="Y138" s="71"/>
      <c r="Z138" s="71"/>
      <c r="AA138" s="71"/>
      <c r="AB138" s="71"/>
      <c r="AC138" s="71"/>
      <c r="AD138" s="71"/>
      <c r="AE138" s="71"/>
      <c r="AF138" s="71"/>
      <c r="AG138" s="71"/>
      <c r="AH138" s="55"/>
      <c r="AI138" s="55"/>
      <c r="AJ138" s="71"/>
      <c r="AK138" s="71"/>
      <c r="AL138" s="71"/>
      <c r="AM138" s="71"/>
      <c r="AN138" s="71"/>
      <c r="AO138" s="71"/>
      <c r="AP138" s="71"/>
      <c r="AQ138" s="71"/>
      <c r="AR138" s="71"/>
      <c r="AS138" s="71"/>
    </row>
    <row r="139" spans="1:45" s="157" customFormat="1">
      <c r="A139" s="71"/>
      <c r="B139" s="71"/>
      <c r="C139" s="71"/>
      <c r="D139" s="71"/>
      <c r="E139" s="71"/>
      <c r="F139" s="71"/>
      <c r="G139" s="71"/>
      <c r="H139" s="71"/>
      <c r="I139" s="71"/>
      <c r="J139" s="71"/>
      <c r="K139" s="71"/>
      <c r="L139" s="71"/>
      <c r="M139" s="71"/>
      <c r="N139" s="71"/>
      <c r="O139" s="71"/>
      <c r="P139" s="71"/>
      <c r="Q139" s="71"/>
      <c r="R139" s="71"/>
      <c r="S139" s="71"/>
      <c r="T139" s="10"/>
      <c r="U139" s="71"/>
      <c r="V139" s="71"/>
      <c r="W139" s="71"/>
      <c r="X139" s="71"/>
      <c r="Y139" s="71"/>
      <c r="Z139" s="71"/>
      <c r="AA139" s="71"/>
      <c r="AB139" s="71"/>
      <c r="AC139" s="71"/>
      <c r="AD139" s="71"/>
      <c r="AE139" s="71"/>
      <c r="AF139" s="71"/>
      <c r="AG139" s="71"/>
      <c r="AH139" s="55"/>
      <c r="AI139" s="55"/>
      <c r="AJ139" s="71"/>
      <c r="AK139" s="71"/>
      <c r="AL139" s="71"/>
      <c r="AM139" s="71"/>
      <c r="AN139" s="71"/>
      <c r="AO139" s="71"/>
      <c r="AP139" s="71"/>
      <c r="AQ139" s="71"/>
      <c r="AR139" s="71"/>
      <c r="AS139" s="71"/>
    </row>
    <row r="140" spans="1:45">
      <c r="V140" s="71"/>
      <c r="W140" s="71"/>
    </row>
    <row r="141" spans="1:45">
      <c r="V141" s="71"/>
      <c r="W141" s="71"/>
    </row>
    <row r="142" spans="1:45">
      <c r="V142" s="71"/>
      <c r="W142" s="71"/>
    </row>
    <row r="143" spans="1:45">
      <c r="V143" s="71"/>
      <c r="W143" s="71"/>
    </row>
    <row r="144" spans="1:45">
      <c r="V144" s="71"/>
      <c r="W144" s="71"/>
    </row>
    <row r="145" spans="22:23">
      <c r="V145" s="71"/>
      <c r="W145" s="71"/>
    </row>
    <row r="146" spans="22:23">
      <c r="V146" s="71"/>
      <c r="W146" s="71"/>
    </row>
    <row r="147" spans="22:23">
      <c r="V147" s="71"/>
      <c r="W147" s="71"/>
    </row>
    <row r="148" spans="22:23">
      <c r="V148" s="71"/>
      <c r="W148" s="71"/>
    </row>
    <row r="149" spans="22:23">
      <c r="V149" s="71"/>
      <c r="W149" s="71"/>
    </row>
    <row r="150" spans="22:23">
      <c r="V150" s="71"/>
      <c r="W150" s="71"/>
    </row>
    <row r="151" spans="22:23">
      <c r="V151" s="71"/>
      <c r="W151" s="71"/>
    </row>
    <row r="152" spans="22:23">
      <c r="V152" s="71"/>
      <c r="W152" s="71"/>
    </row>
    <row r="153" spans="22:23">
      <c r="V153" s="71"/>
      <c r="W153" s="71"/>
    </row>
    <row r="154" spans="22:23">
      <c r="V154" s="71"/>
      <c r="W154" s="71"/>
    </row>
    <row r="155" spans="22:23">
      <c r="V155" s="71"/>
      <c r="W155" s="71"/>
    </row>
    <row r="156" spans="22:23">
      <c r="V156" s="71"/>
      <c r="W156" s="71"/>
    </row>
    <row r="157" spans="22:23">
      <c r="V157" s="71"/>
      <c r="W157" s="71"/>
    </row>
    <row r="158" spans="22:23">
      <c r="V158" s="71"/>
      <c r="W158" s="71"/>
    </row>
    <row r="159" spans="22:23">
      <c r="V159" s="71"/>
      <c r="W159" s="71"/>
    </row>
    <row r="160" spans="22:23">
      <c r="V160" s="71"/>
      <c r="W160" s="71"/>
    </row>
    <row r="161" spans="22:23">
      <c r="V161" s="71"/>
      <c r="W161" s="71"/>
    </row>
    <row r="162" spans="22:23">
      <c r="V162" s="71"/>
      <c r="W162" s="71"/>
    </row>
    <row r="163" spans="22:23">
      <c r="V163" s="71"/>
      <c r="W163" s="71"/>
    </row>
    <row r="164" spans="22:23">
      <c r="V164" s="71"/>
      <c r="W164" s="71"/>
    </row>
    <row r="165" spans="22:23">
      <c r="V165" s="71"/>
      <c r="W165" s="71"/>
    </row>
    <row r="166" spans="22:23">
      <c r="V166" s="71"/>
      <c r="W166" s="71"/>
    </row>
    <row r="167" spans="22:23">
      <c r="V167" s="71"/>
      <c r="W167" s="71"/>
    </row>
    <row r="168" spans="22:23">
      <c r="V168" s="71"/>
      <c r="W168" s="71"/>
    </row>
    <row r="169" spans="22:23">
      <c r="V169" s="71"/>
      <c r="W169" s="71"/>
    </row>
    <row r="170" spans="22:23">
      <c r="V170" s="71"/>
      <c r="W170" s="71"/>
    </row>
    <row r="171" spans="22:23">
      <c r="V171" s="71"/>
      <c r="W171" s="71"/>
    </row>
    <row r="172" spans="22:23">
      <c r="V172" s="71"/>
      <c r="W172" s="71"/>
    </row>
    <row r="173" spans="22:23">
      <c r="V173" s="71"/>
      <c r="W173" s="71"/>
    </row>
    <row r="174" spans="22:23">
      <c r="V174" s="71"/>
      <c r="W174" s="71"/>
    </row>
    <row r="175" spans="22:23">
      <c r="V175" s="71"/>
      <c r="W175" s="71"/>
    </row>
    <row r="176" spans="22:23">
      <c r="V176" s="71"/>
      <c r="W176" s="71"/>
    </row>
    <row r="177" spans="22:23">
      <c r="V177" s="71"/>
      <c r="W177" s="71"/>
    </row>
    <row r="178" spans="22:23">
      <c r="V178" s="71"/>
      <c r="W178" s="71"/>
    </row>
    <row r="179" spans="22:23">
      <c r="V179" s="71"/>
      <c r="W179" s="71"/>
    </row>
    <row r="180" spans="22:23">
      <c r="V180" s="71"/>
      <c r="W180" s="71"/>
    </row>
    <row r="181" spans="22:23">
      <c r="V181" s="71"/>
      <c r="W181" s="71"/>
    </row>
    <row r="182" spans="22:23">
      <c r="V182" s="71"/>
      <c r="W182" s="71"/>
    </row>
    <row r="183" spans="22:23">
      <c r="V183" s="71"/>
      <c r="W183" s="71"/>
    </row>
    <row r="184" spans="22:23">
      <c r="V184" s="71"/>
      <c r="W184" s="71"/>
    </row>
    <row r="185" spans="22:23">
      <c r="V185" s="71"/>
      <c r="W185" s="71"/>
    </row>
    <row r="186" spans="22:23">
      <c r="V186" s="71"/>
      <c r="W186" s="71"/>
    </row>
    <row r="187" spans="22:23">
      <c r="V187" s="71"/>
      <c r="W187" s="71"/>
    </row>
    <row r="188" spans="22:23">
      <c r="V188" s="71"/>
      <c r="W188" s="71"/>
    </row>
    <row r="189" spans="22:23">
      <c r="V189" s="71"/>
      <c r="W189" s="71"/>
    </row>
    <row r="190" spans="22:23">
      <c r="V190" s="71"/>
      <c r="W190" s="71"/>
    </row>
    <row r="191" spans="22:23">
      <c r="V191" s="71"/>
      <c r="W191" s="71"/>
    </row>
    <row r="192" spans="22:23">
      <c r="V192" s="71"/>
      <c r="W192" s="71"/>
    </row>
    <row r="193" spans="22:23">
      <c r="V193" s="71"/>
      <c r="W193" s="71"/>
    </row>
    <row r="194" spans="22:23">
      <c r="V194" s="71"/>
      <c r="W194" s="71"/>
    </row>
    <row r="195" spans="22:23">
      <c r="V195" s="71"/>
      <c r="W195" s="71"/>
    </row>
    <row r="196" spans="22:23">
      <c r="V196" s="71"/>
      <c r="W196" s="71"/>
    </row>
    <row r="197" spans="22:23">
      <c r="V197" s="71"/>
      <c r="W197" s="71"/>
    </row>
    <row r="198" spans="22:23">
      <c r="V198" s="71"/>
      <c r="W198" s="71"/>
    </row>
    <row r="199" spans="22:23">
      <c r="V199" s="71"/>
      <c r="W199" s="71"/>
    </row>
    <row r="200" spans="22:23">
      <c r="V200" s="71"/>
      <c r="W200" s="71"/>
    </row>
    <row r="201" spans="22:23">
      <c r="V201" s="71"/>
      <c r="W201" s="71"/>
    </row>
    <row r="202" spans="22:23">
      <c r="V202" s="71"/>
      <c r="W202" s="71"/>
    </row>
    <row r="203" spans="22:23">
      <c r="V203" s="71"/>
      <c r="W203" s="71"/>
    </row>
    <row r="204" spans="22:23">
      <c r="V204" s="71"/>
      <c r="W204" s="71"/>
    </row>
    <row r="205" spans="22:23">
      <c r="V205" s="71"/>
      <c r="W205" s="71"/>
    </row>
    <row r="206" spans="22:23">
      <c r="V206" s="71"/>
      <c r="W206" s="71"/>
    </row>
    <row r="207" spans="22:23">
      <c r="V207" s="71"/>
      <c r="W207" s="71"/>
    </row>
    <row r="208" spans="22:23">
      <c r="V208" s="71"/>
      <c r="W208" s="71"/>
    </row>
    <row r="209" spans="22:23">
      <c r="V209" s="71"/>
      <c r="W209" s="71"/>
    </row>
    <row r="210" spans="22:23">
      <c r="V210" s="71"/>
      <c r="W210" s="71"/>
    </row>
    <row r="211" spans="22:23">
      <c r="V211" s="71"/>
      <c r="W211" s="71"/>
    </row>
    <row r="212" spans="22:23">
      <c r="V212" s="71"/>
      <c r="W212" s="71"/>
    </row>
    <row r="213" spans="22:23">
      <c r="V213" s="71"/>
      <c r="W213" s="71"/>
    </row>
    <row r="214" spans="22:23">
      <c r="V214" s="71"/>
      <c r="W214" s="71"/>
    </row>
    <row r="215" spans="22:23">
      <c r="V215" s="71"/>
      <c r="W215" s="71"/>
    </row>
    <row r="216" spans="22:23">
      <c r="V216" s="71"/>
      <c r="W216" s="71"/>
    </row>
    <row r="217" spans="22:23">
      <c r="V217" s="71"/>
      <c r="W217" s="71"/>
    </row>
    <row r="218" spans="22:23">
      <c r="V218" s="71"/>
      <c r="W218" s="71"/>
    </row>
    <row r="219" spans="22:23">
      <c r="V219" s="71"/>
      <c r="W219" s="71"/>
    </row>
    <row r="220" spans="22:23">
      <c r="V220" s="71"/>
      <c r="W220" s="71"/>
    </row>
    <row r="221" spans="22:23">
      <c r="V221" s="71"/>
      <c r="W221" s="71"/>
    </row>
    <row r="222" spans="22:23">
      <c r="V222" s="71"/>
      <c r="W222" s="71"/>
    </row>
    <row r="223" spans="22:23">
      <c r="V223" s="71"/>
      <c r="W223" s="71"/>
    </row>
    <row r="224" spans="22:23">
      <c r="V224" s="71"/>
      <c r="W224" s="71"/>
    </row>
    <row r="225" spans="22:23">
      <c r="V225" s="71"/>
      <c r="W225" s="71"/>
    </row>
    <row r="226" spans="22:23">
      <c r="V226" s="71"/>
      <c r="W226" s="71"/>
    </row>
    <row r="227" spans="22:23">
      <c r="V227" s="71"/>
      <c r="W227" s="71"/>
    </row>
    <row r="228" spans="22:23">
      <c r="V228" s="71"/>
      <c r="W228" s="71"/>
    </row>
    <row r="229" spans="22:23">
      <c r="V229" s="71"/>
      <c r="W229" s="71"/>
    </row>
    <row r="230" spans="22:23">
      <c r="V230" s="71"/>
      <c r="W230" s="71"/>
    </row>
    <row r="231" spans="22:23">
      <c r="V231" s="71"/>
      <c r="W231" s="71"/>
    </row>
    <row r="232" spans="22:23">
      <c r="V232" s="71"/>
      <c r="W232" s="71"/>
    </row>
    <row r="233" spans="22:23">
      <c r="V233" s="71"/>
      <c r="W233" s="71"/>
    </row>
    <row r="234" spans="22:23">
      <c r="V234" s="71"/>
      <c r="W234" s="71"/>
    </row>
    <row r="235" spans="22:23">
      <c r="V235" s="71"/>
      <c r="W235" s="71"/>
    </row>
    <row r="236" spans="22:23">
      <c r="V236" s="71"/>
      <c r="W236" s="71"/>
    </row>
    <row r="237" spans="22:23">
      <c r="V237" s="71"/>
      <c r="W237" s="71"/>
    </row>
    <row r="238" spans="22:23">
      <c r="V238" s="71"/>
      <c r="W238" s="71"/>
    </row>
    <row r="239" spans="22:23">
      <c r="V239" s="71"/>
      <c r="W239" s="71"/>
    </row>
    <row r="240" spans="22:23">
      <c r="V240" s="71"/>
      <c r="W240" s="71"/>
    </row>
    <row r="241" spans="22:23">
      <c r="V241" s="71"/>
      <c r="W241" s="71"/>
    </row>
    <row r="242" spans="22:23">
      <c r="V242" s="71"/>
      <c r="W242" s="71"/>
    </row>
    <row r="243" spans="22:23">
      <c r="V243" s="71"/>
      <c r="W243" s="71"/>
    </row>
    <row r="244" spans="22:23">
      <c r="V244" s="71"/>
      <c r="W244" s="71"/>
    </row>
    <row r="245" spans="22:23">
      <c r="V245" s="71"/>
      <c r="W245" s="71"/>
    </row>
    <row r="246" spans="22:23">
      <c r="V246" s="71"/>
      <c r="W246" s="71"/>
    </row>
    <row r="247" spans="22:23">
      <c r="V247" s="71"/>
      <c r="W247" s="71"/>
    </row>
    <row r="248" spans="22:23">
      <c r="V248" s="71"/>
      <c r="W248" s="71"/>
    </row>
    <row r="249" spans="22:23">
      <c r="V249" s="71"/>
      <c r="W249" s="71"/>
    </row>
    <row r="250" spans="22:23">
      <c r="V250" s="71"/>
      <c r="W250" s="71"/>
    </row>
    <row r="251" spans="22:23">
      <c r="V251" s="71"/>
      <c r="W251" s="71"/>
    </row>
    <row r="252" spans="22:23">
      <c r="V252" s="71"/>
      <c r="W252" s="71"/>
    </row>
    <row r="253" spans="22:23">
      <c r="V253" s="71"/>
      <c r="W253" s="71"/>
    </row>
    <row r="254" spans="22:23">
      <c r="V254" s="71"/>
      <c r="W254" s="71"/>
    </row>
    <row r="255" spans="22:23">
      <c r="V255" s="71"/>
      <c r="W255" s="71"/>
    </row>
    <row r="256" spans="22:23">
      <c r="V256" s="71"/>
      <c r="W256" s="71"/>
    </row>
    <row r="257" spans="22:23">
      <c r="V257" s="71"/>
      <c r="W257" s="71"/>
    </row>
    <row r="258" spans="22:23">
      <c r="V258" s="71"/>
      <c r="W258" s="71"/>
    </row>
    <row r="259" spans="22:23">
      <c r="V259" s="71"/>
      <c r="W259" s="71"/>
    </row>
    <row r="260" spans="22:23">
      <c r="V260" s="71"/>
      <c r="W260" s="71"/>
    </row>
    <row r="261" spans="22:23">
      <c r="V261" s="71"/>
      <c r="W261" s="71"/>
    </row>
    <row r="262" spans="22:23">
      <c r="V262" s="71"/>
      <c r="W262" s="71"/>
    </row>
    <row r="263" spans="22:23">
      <c r="V263" s="71"/>
      <c r="W263" s="71"/>
    </row>
    <row r="264" spans="22:23">
      <c r="V264" s="71"/>
      <c r="W264" s="71"/>
    </row>
    <row r="265" spans="22:23">
      <c r="V265" s="71"/>
      <c r="W265" s="71"/>
    </row>
    <row r="266" spans="22:23">
      <c r="V266" s="71"/>
      <c r="W266" s="71"/>
    </row>
    <row r="267" spans="22:23">
      <c r="V267" s="71"/>
      <c r="W267" s="71"/>
    </row>
    <row r="268" spans="22:23">
      <c r="V268" s="71"/>
      <c r="W268" s="71"/>
    </row>
    <row r="269" spans="22:23">
      <c r="V269" s="71"/>
      <c r="W269" s="71"/>
    </row>
    <row r="270" spans="22:23">
      <c r="V270" s="71"/>
      <c r="W270" s="71"/>
    </row>
    <row r="271" spans="22:23">
      <c r="V271" s="71"/>
      <c r="W271" s="71"/>
    </row>
    <row r="272" spans="22:23">
      <c r="V272" s="71"/>
      <c r="W272" s="71"/>
    </row>
    <row r="273" spans="22:23">
      <c r="V273" s="71"/>
      <c r="W273" s="71"/>
    </row>
    <row r="274" spans="22:23">
      <c r="V274" s="71"/>
      <c r="W274" s="71"/>
    </row>
    <row r="275" spans="22:23">
      <c r="V275" s="71"/>
      <c r="W275" s="71"/>
    </row>
    <row r="276" spans="22:23">
      <c r="V276" s="71"/>
      <c r="W276" s="71"/>
    </row>
    <row r="277" spans="22:23">
      <c r="V277" s="71"/>
      <c r="W277" s="71"/>
    </row>
    <row r="278" spans="22:23">
      <c r="V278" s="71"/>
      <c r="W278" s="71"/>
    </row>
    <row r="279" spans="22:23">
      <c r="V279" s="71"/>
      <c r="W279" s="71"/>
    </row>
    <row r="280" spans="22:23">
      <c r="V280" s="71"/>
      <c r="W280" s="71"/>
    </row>
    <row r="281" spans="22:23">
      <c r="V281" s="71"/>
      <c r="W281" s="71"/>
    </row>
    <row r="282" spans="22:23">
      <c r="V282" s="71"/>
      <c r="W282" s="71"/>
    </row>
    <row r="283" spans="22:23">
      <c r="V283" s="71"/>
      <c r="W283" s="71"/>
    </row>
    <row r="284" spans="22:23">
      <c r="V284" s="71"/>
      <c r="W284" s="71"/>
    </row>
    <row r="285" spans="22:23">
      <c r="V285" s="71"/>
      <c r="W285" s="71"/>
    </row>
    <row r="286" spans="22:23">
      <c r="V286" s="71"/>
      <c r="W286" s="71"/>
    </row>
    <row r="287" spans="22:23">
      <c r="V287" s="71"/>
      <c r="W287" s="71"/>
    </row>
    <row r="288" spans="22:23">
      <c r="V288" s="71"/>
      <c r="W288" s="71"/>
    </row>
    <row r="289" spans="22:23">
      <c r="V289" s="71"/>
      <c r="W289" s="71"/>
    </row>
    <row r="290" spans="22:23">
      <c r="V290" s="71"/>
      <c r="W290" s="71"/>
    </row>
    <row r="291" spans="22:23">
      <c r="V291" s="71"/>
      <c r="W291" s="71"/>
    </row>
    <row r="292" spans="22:23">
      <c r="V292" s="71"/>
      <c r="W292" s="71"/>
    </row>
    <row r="293" spans="22:23">
      <c r="V293" s="71"/>
      <c r="W293" s="71"/>
    </row>
    <row r="294" spans="22:23">
      <c r="V294" s="71"/>
      <c r="W294" s="71"/>
    </row>
    <row r="295" spans="22:23">
      <c r="V295" s="71"/>
      <c r="W295" s="71"/>
    </row>
    <row r="296" spans="22:23">
      <c r="V296" s="71"/>
      <c r="W296" s="71"/>
    </row>
    <row r="297" spans="22:23">
      <c r="V297" s="71"/>
      <c r="W297" s="71"/>
    </row>
    <row r="298" spans="22:23">
      <c r="V298" s="71"/>
      <c r="W298" s="71"/>
    </row>
    <row r="299" spans="22:23">
      <c r="V299" s="71"/>
      <c r="W299" s="71"/>
    </row>
    <row r="300" spans="22:23">
      <c r="V300" s="71"/>
      <c r="W300" s="71"/>
    </row>
    <row r="301" spans="22:23">
      <c r="V301" s="71"/>
      <c r="W301" s="71"/>
    </row>
    <row r="302" spans="22:23">
      <c r="V302" s="71"/>
      <c r="W302" s="71"/>
    </row>
    <row r="303" spans="22:23">
      <c r="V303" s="71"/>
      <c r="W303" s="71"/>
    </row>
    <row r="304" spans="22:23">
      <c r="V304" s="71"/>
      <c r="W304" s="71"/>
    </row>
    <row r="305" spans="22:23">
      <c r="V305" s="71"/>
      <c r="W305" s="71"/>
    </row>
    <row r="306" spans="22:23">
      <c r="V306" s="71"/>
      <c r="W306" s="71"/>
    </row>
    <row r="307" spans="22:23">
      <c r="V307" s="71"/>
      <c r="W307" s="71"/>
    </row>
    <row r="308" spans="22:23">
      <c r="V308" s="71"/>
      <c r="W308" s="71"/>
    </row>
    <row r="309" spans="22:23">
      <c r="V309" s="71"/>
      <c r="W309" s="71"/>
    </row>
    <row r="310" spans="22:23">
      <c r="V310" s="71"/>
      <c r="W310" s="71"/>
    </row>
    <row r="311" spans="22:23">
      <c r="V311" s="71"/>
      <c r="W311" s="71"/>
    </row>
    <row r="312" spans="22:23">
      <c r="V312" s="71"/>
      <c r="W312" s="71"/>
    </row>
    <row r="313" spans="22:23">
      <c r="V313" s="71"/>
      <c r="W313" s="71"/>
    </row>
    <row r="314" spans="22:23">
      <c r="V314" s="71"/>
      <c r="W314" s="71"/>
    </row>
    <row r="315" spans="22:23">
      <c r="V315" s="71"/>
      <c r="W315" s="71"/>
    </row>
    <row r="316" spans="22:23">
      <c r="V316" s="71"/>
      <c r="W316" s="71"/>
    </row>
    <row r="317" spans="22:23">
      <c r="V317" s="71"/>
      <c r="W317" s="71"/>
    </row>
    <row r="318" spans="22:23">
      <c r="V318" s="71"/>
      <c r="W318" s="71"/>
    </row>
    <row r="319" spans="22:23">
      <c r="V319" s="71"/>
      <c r="W319" s="71"/>
    </row>
    <row r="320" spans="22:23">
      <c r="V320" s="71"/>
      <c r="W320" s="71"/>
    </row>
    <row r="321" spans="22:23">
      <c r="V321" s="71"/>
      <c r="W321" s="71"/>
    </row>
    <row r="322" spans="22:23">
      <c r="V322" s="71"/>
      <c r="W322" s="71"/>
    </row>
    <row r="323" spans="22:23">
      <c r="V323" s="71"/>
      <c r="W323" s="71"/>
    </row>
    <row r="324" spans="22:23">
      <c r="V324" s="71"/>
      <c r="W324" s="71"/>
    </row>
    <row r="325" spans="22:23">
      <c r="V325" s="71"/>
      <c r="W325" s="71"/>
    </row>
    <row r="326" spans="22:23">
      <c r="V326" s="71"/>
      <c r="W326" s="71"/>
    </row>
    <row r="327" spans="22:23">
      <c r="V327" s="71"/>
      <c r="W327" s="71"/>
    </row>
    <row r="328" spans="22:23">
      <c r="V328" s="71"/>
      <c r="W328" s="71"/>
    </row>
    <row r="329" spans="22:23">
      <c r="V329" s="71"/>
      <c r="W329" s="71"/>
    </row>
    <row r="330" spans="22:23">
      <c r="V330" s="71"/>
      <c r="W330" s="71"/>
    </row>
    <row r="331" spans="22:23">
      <c r="V331" s="71"/>
      <c r="W331" s="71"/>
    </row>
    <row r="332" spans="22:23">
      <c r="V332" s="71"/>
      <c r="W332" s="71"/>
    </row>
    <row r="333" spans="22:23">
      <c r="V333" s="71"/>
      <c r="W333" s="71"/>
    </row>
    <row r="334" spans="22:23">
      <c r="V334" s="71"/>
      <c r="W334" s="71"/>
    </row>
    <row r="335" spans="22:23">
      <c r="V335" s="71"/>
      <c r="W335" s="71"/>
    </row>
    <row r="336" spans="22:23">
      <c r="V336" s="71"/>
      <c r="W336" s="71"/>
    </row>
    <row r="337" spans="22:23">
      <c r="V337" s="71"/>
      <c r="W337" s="71"/>
    </row>
    <row r="338" spans="22:23">
      <c r="V338" s="71"/>
      <c r="W338" s="71"/>
    </row>
    <row r="339" spans="22:23">
      <c r="V339" s="71"/>
      <c r="W339" s="71"/>
    </row>
    <row r="340" spans="22:23">
      <c r="V340" s="71"/>
      <c r="W340" s="71"/>
    </row>
    <row r="341" spans="22:23">
      <c r="V341" s="71"/>
      <c r="W341" s="71"/>
    </row>
    <row r="342" spans="22:23">
      <c r="V342" s="71"/>
      <c r="W342" s="71"/>
    </row>
    <row r="343" spans="22:23">
      <c r="V343" s="71"/>
      <c r="W343" s="71"/>
    </row>
    <row r="344" spans="22:23">
      <c r="V344" s="71"/>
      <c r="W344" s="71"/>
    </row>
    <row r="345" spans="22:23">
      <c r="V345" s="71"/>
      <c r="W345" s="71"/>
    </row>
    <row r="346" spans="22:23">
      <c r="V346" s="71"/>
      <c r="W346" s="71"/>
    </row>
    <row r="347" spans="22:23">
      <c r="V347" s="71"/>
      <c r="W347" s="71"/>
    </row>
    <row r="348" spans="22:23">
      <c r="V348" s="71"/>
      <c r="W348" s="71"/>
    </row>
    <row r="349" spans="22:23">
      <c r="V349" s="71"/>
      <c r="W349" s="71"/>
    </row>
    <row r="350" spans="22:23">
      <c r="V350" s="71"/>
      <c r="W350" s="71"/>
    </row>
    <row r="351" spans="22:23">
      <c r="V351" s="71"/>
      <c r="W351" s="71"/>
    </row>
    <row r="352" spans="22:23">
      <c r="V352" s="71"/>
      <c r="W352" s="71"/>
    </row>
    <row r="353" spans="22:23">
      <c r="V353" s="71"/>
      <c r="W353" s="71"/>
    </row>
    <row r="354" spans="22:23">
      <c r="V354" s="71"/>
      <c r="W354" s="71"/>
    </row>
    <row r="355" spans="22:23">
      <c r="V355" s="71"/>
      <c r="W355" s="71"/>
    </row>
    <row r="356" spans="22:23">
      <c r="V356" s="71"/>
      <c r="W356" s="71"/>
    </row>
    <row r="357" spans="22:23">
      <c r="V357" s="71"/>
      <c r="W357" s="71"/>
    </row>
    <row r="358" spans="22:23">
      <c r="V358" s="71"/>
      <c r="W358" s="71"/>
    </row>
    <row r="359" spans="22:23">
      <c r="V359" s="71"/>
      <c r="W359" s="71"/>
    </row>
    <row r="360" spans="22:23">
      <c r="V360" s="71"/>
      <c r="W360" s="71"/>
    </row>
    <row r="361" spans="22:23">
      <c r="V361" s="71"/>
      <c r="W361" s="71"/>
    </row>
    <row r="362" spans="22:23">
      <c r="V362" s="71"/>
      <c r="W362" s="71"/>
    </row>
    <row r="363" spans="22:23">
      <c r="V363" s="71"/>
      <c r="W363" s="71"/>
    </row>
    <row r="364" spans="22:23">
      <c r="V364" s="71"/>
      <c r="W364" s="71"/>
    </row>
    <row r="365" spans="22:23">
      <c r="V365" s="71"/>
      <c r="W365" s="71"/>
    </row>
    <row r="366" spans="22:23">
      <c r="V366" s="71"/>
      <c r="W366" s="71"/>
    </row>
    <row r="367" spans="22:23">
      <c r="V367" s="71"/>
      <c r="W367" s="71"/>
    </row>
    <row r="368" spans="22:23">
      <c r="V368" s="71"/>
      <c r="W368" s="71"/>
    </row>
    <row r="369" spans="22:23">
      <c r="V369" s="71"/>
      <c r="W369" s="71"/>
    </row>
    <row r="370" spans="22:23">
      <c r="V370" s="71"/>
      <c r="W370" s="71"/>
    </row>
    <row r="371" spans="22:23">
      <c r="V371" s="71"/>
      <c r="W371" s="71"/>
    </row>
    <row r="372" spans="22:23">
      <c r="V372" s="71"/>
      <c r="W372" s="71"/>
    </row>
    <row r="373" spans="22:23">
      <c r="V373" s="71"/>
      <c r="W373" s="71"/>
    </row>
    <row r="374" spans="22:23">
      <c r="V374" s="71"/>
      <c r="W374" s="71"/>
    </row>
    <row r="375" spans="22:23">
      <c r="V375" s="71"/>
      <c r="W375" s="71"/>
    </row>
    <row r="376" spans="22:23">
      <c r="V376" s="71"/>
      <c r="W376" s="71"/>
    </row>
    <row r="377" spans="22:23">
      <c r="V377" s="71"/>
      <c r="W377" s="71"/>
    </row>
    <row r="378" spans="22:23">
      <c r="V378" s="71"/>
      <c r="W378" s="71"/>
    </row>
    <row r="379" spans="22:23">
      <c r="V379" s="71"/>
      <c r="W379" s="71"/>
    </row>
    <row r="380" spans="22:23">
      <c r="V380" s="71"/>
      <c r="W380" s="71"/>
    </row>
    <row r="381" spans="22:23">
      <c r="V381" s="71"/>
      <c r="W381" s="71"/>
    </row>
    <row r="382" spans="22:23">
      <c r="V382" s="71"/>
      <c r="W382" s="71"/>
    </row>
    <row r="383" spans="22:23">
      <c r="V383" s="71"/>
      <c r="W383" s="71"/>
    </row>
    <row r="384" spans="22:23">
      <c r="V384" s="71"/>
      <c r="W384" s="71"/>
    </row>
    <row r="385" spans="22:23">
      <c r="V385" s="71"/>
      <c r="W385" s="71"/>
    </row>
    <row r="386" spans="22:23">
      <c r="V386" s="71"/>
      <c r="W386" s="71"/>
    </row>
    <row r="387" spans="22:23">
      <c r="V387" s="71"/>
      <c r="W387" s="71"/>
    </row>
    <row r="388" spans="22:23">
      <c r="V388" s="71"/>
      <c r="W388" s="71"/>
    </row>
    <row r="389" spans="22:23">
      <c r="V389" s="71"/>
      <c r="W389" s="71"/>
    </row>
    <row r="390" spans="22:23">
      <c r="V390" s="71"/>
      <c r="W390" s="71"/>
    </row>
    <row r="391" spans="22:23">
      <c r="V391" s="71"/>
      <c r="W391" s="71"/>
    </row>
    <row r="392" spans="22:23">
      <c r="V392" s="71"/>
      <c r="W392" s="71"/>
    </row>
    <row r="393" spans="22:23">
      <c r="V393" s="71"/>
      <c r="W393" s="71"/>
    </row>
    <row r="394" spans="22:23">
      <c r="V394" s="71"/>
      <c r="W394" s="71"/>
    </row>
    <row r="395" spans="22:23">
      <c r="V395" s="71"/>
      <c r="W395" s="71"/>
    </row>
    <row r="396" spans="22:23">
      <c r="V396" s="71"/>
      <c r="W396" s="71"/>
    </row>
    <row r="397" spans="22:23">
      <c r="V397" s="71"/>
      <c r="W397" s="71"/>
    </row>
    <row r="398" spans="22:23">
      <c r="V398" s="71"/>
      <c r="W398" s="71"/>
    </row>
    <row r="399" spans="22:23">
      <c r="V399" s="71"/>
      <c r="W399" s="71"/>
    </row>
    <row r="400" spans="22:23">
      <c r="V400" s="71"/>
      <c r="W400" s="71"/>
    </row>
    <row r="401" spans="22:23">
      <c r="V401" s="71"/>
      <c r="W401" s="71"/>
    </row>
    <row r="402" spans="22:23">
      <c r="V402" s="71"/>
      <c r="W402" s="71"/>
    </row>
    <row r="403" spans="22:23">
      <c r="V403" s="71"/>
      <c r="W403" s="71"/>
    </row>
    <row r="404" spans="22:23">
      <c r="V404" s="71"/>
      <c r="W404" s="71"/>
    </row>
    <row r="405" spans="22:23">
      <c r="V405" s="71"/>
      <c r="W405" s="71"/>
    </row>
    <row r="406" spans="22:23">
      <c r="V406" s="71"/>
      <c r="W406" s="71"/>
    </row>
    <row r="407" spans="22:23">
      <c r="V407" s="71"/>
      <c r="W407" s="71"/>
    </row>
    <row r="408" spans="22:23">
      <c r="V408" s="71"/>
      <c r="W408" s="71"/>
    </row>
    <row r="409" spans="22:23">
      <c r="V409" s="71"/>
      <c r="W409" s="71"/>
    </row>
    <row r="410" spans="22:23">
      <c r="V410" s="71"/>
      <c r="W410" s="71"/>
    </row>
    <row r="411" spans="22:23">
      <c r="V411" s="71"/>
      <c r="W411" s="71"/>
    </row>
    <row r="412" spans="22:23">
      <c r="V412" s="71"/>
      <c r="W412" s="71"/>
    </row>
    <row r="413" spans="22:23">
      <c r="V413" s="71"/>
      <c r="W413" s="71"/>
    </row>
    <row r="414" spans="22:23">
      <c r="V414" s="71"/>
      <c r="W414" s="71"/>
    </row>
    <row r="415" spans="22:23">
      <c r="V415" s="71"/>
      <c r="W415" s="71"/>
    </row>
    <row r="416" spans="22:23">
      <c r="V416" s="71"/>
      <c r="W416" s="71"/>
    </row>
    <row r="417" spans="22:23">
      <c r="V417" s="71"/>
      <c r="W417" s="71"/>
    </row>
    <row r="418" spans="22:23">
      <c r="V418" s="71"/>
      <c r="W418" s="71"/>
    </row>
    <row r="419" spans="22:23">
      <c r="V419" s="71"/>
      <c r="W419" s="71"/>
    </row>
    <row r="420" spans="22:23">
      <c r="V420" s="71"/>
      <c r="W420" s="71"/>
    </row>
    <row r="421" spans="22:23">
      <c r="V421" s="71"/>
      <c r="W421" s="71"/>
    </row>
    <row r="422" spans="22:23">
      <c r="V422" s="71"/>
      <c r="W422" s="71"/>
    </row>
    <row r="423" spans="22:23">
      <c r="V423" s="71"/>
      <c r="W423" s="71"/>
    </row>
    <row r="424" spans="22:23">
      <c r="V424" s="71"/>
      <c r="W424" s="71"/>
    </row>
    <row r="425" spans="22:23">
      <c r="V425" s="71"/>
      <c r="W425" s="71"/>
    </row>
    <row r="426" spans="22:23">
      <c r="V426" s="71"/>
      <c r="W426" s="71"/>
    </row>
    <row r="427" spans="22:23">
      <c r="V427" s="71"/>
      <c r="W427" s="71"/>
    </row>
    <row r="428" spans="22:23">
      <c r="V428" s="71"/>
      <c r="W428" s="71"/>
    </row>
    <row r="429" spans="22:23">
      <c r="V429" s="71"/>
      <c r="W429" s="71"/>
    </row>
    <row r="430" spans="22:23">
      <c r="V430" s="71"/>
      <c r="W430" s="71"/>
    </row>
    <row r="431" spans="22:23">
      <c r="V431" s="71"/>
      <c r="W431" s="71"/>
    </row>
    <row r="432" spans="22:23">
      <c r="V432" s="71"/>
      <c r="W432" s="71"/>
    </row>
    <row r="433" spans="22:23">
      <c r="V433" s="71"/>
      <c r="W433" s="71"/>
    </row>
    <row r="434" spans="22:23">
      <c r="V434" s="71"/>
      <c r="W434" s="71"/>
    </row>
    <row r="435" spans="22:23">
      <c r="V435" s="71"/>
      <c r="W435" s="71"/>
    </row>
    <row r="436" spans="22:23">
      <c r="V436" s="71"/>
      <c r="W436" s="71"/>
    </row>
    <row r="437" spans="22:23">
      <c r="V437" s="71"/>
      <c r="W437" s="71"/>
    </row>
    <row r="438" spans="22:23">
      <c r="V438" s="71"/>
      <c r="W438" s="71"/>
    </row>
    <row r="439" spans="22:23">
      <c r="V439" s="71"/>
      <c r="W439" s="71"/>
    </row>
    <row r="440" spans="22:23">
      <c r="V440" s="71"/>
      <c r="W440" s="71"/>
    </row>
    <row r="441" spans="22:23">
      <c r="V441" s="71"/>
      <c r="W441" s="71"/>
    </row>
    <row r="442" spans="22:23">
      <c r="V442" s="71"/>
      <c r="W442" s="71"/>
    </row>
    <row r="443" spans="22:23">
      <c r="V443" s="71"/>
      <c r="W443" s="71"/>
    </row>
    <row r="444" spans="22:23">
      <c r="V444" s="71"/>
      <c r="W444" s="71"/>
    </row>
    <row r="445" spans="22:23">
      <c r="V445" s="71"/>
      <c r="W445" s="71"/>
    </row>
    <row r="446" spans="22:23">
      <c r="V446" s="71"/>
      <c r="W446" s="71"/>
    </row>
    <row r="447" spans="22:23">
      <c r="V447" s="71"/>
      <c r="W447" s="71"/>
    </row>
    <row r="448" spans="22:23">
      <c r="V448" s="71"/>
      <c r="W448" s="71"/>
    </row>
    <row r="449" spans="22:23">
      <c r="V449" s="71"/>
      <c r="W449" s="71"/>
    </row>
    <row r="450" spans="22:23">
      <c r="V450" s="71"/>
      <c r="W450" s="71"/>
    </row>
    <row r="451" spans="22:23">
      <c r="V451" s="71"/>
      <c r="W451" s="71"/>
    </row>
    <row r="452" spans="22:23">
      <c r="V452" s="71"/>
      <c r="W452" s="71"/>
    </row>
    <row r="453" spans="22:23">
      <c r="V453" s="71"/>
      <c r="W453" s="71"/>
    </row>
    <row r="454" spans="22:23">
      <c r="V454" s="71"/>
      <c r="W454" s="71"/>
    </row>
    <row r="455" spans="22:23">
      <c r="V455" s="71"/>
      <c r="W455" s="71"/>
    </row>
    <row r="456" spans="22:23">
      <c r="V456" s="71"/>
      <c r="W456" s="71"/>
    </row>
    <row r="457" spans="22:23">
      <c r="V457" s="71"/>
      <c r="W457" s="71"/>
    </row>
    <row r="458" spans="22:23">
      <c r="V458" s="71"/>
      <c r="W458" s="71"/>
    </row>
    <row r="459" spans="22:23">
      <c r="V459" s="71"/>
      <c r="W459" s="71"/>
    </row>
    <row r="460" spans="22:23">
      <c r="V460" s="71"/>
      <c r="W460" s="71"/>
    </row>
    <row r="461" spans="22:23">
      <c r="V461" s="71"/>
      <c r="W461" s="71"/>
    </row>
    <row r="462" spans="22:23">
      <c r="V462" s="71"/>
      <c r="W462" s="71"/>
    </row>
    <row r="463" spans="22:23">
      <c r="V463" s="71"/>
      <c r="W463" s="71"/>
    </row>
    <row r="464" spans="22:23">
      <c r="V464" s="71"/>
      <c r="W464" s="71"/>
    </row>
    <row r="465" spans="22:23">
      <c r="V465" s="71"/>
      <c r="W465" s="71"/>
    </row>
    <row r="466" spans="22:23">
      <c r="V466" s="71"/>
      <c r="W466" s="71"/>
    </row>
    <row r="467" spans="22:23">
      <c r="V467" s="71"/>
      <c r="W467" s="71"/>
    </row>
    <row r="468" spans="22:23">
      <c r="V468" s="71"/>
      <c r="W468" s="71"/>
    </row>
    <row r="469" spans="22:23">
      <c r="V469" s="71"/>
      <c r="W469" s="71"/>
    </row>
    <row r="470" spans="22:23">
      <c r="V470" s="71"/>
      <c r="W470" s="71"/>
    </row>
    <row r="471" spans="22:23">
      <c r="V471" s="71"/>
      <c r="W471" s="71"/>
    </row>
    <row r="472" spans="22:23">
      <c r="V472" s="71"/>
      <c r="W472" s="71"/>
    </row>
    <row r="473" spans="22:23">
      <c r="V473" s="71"/>
      <c r="W473" s="71"/>
    </row>
    <row r="474" spans="22:23">
      <c r="V474" s="71"/>
      <c r="W474" s="71"/>
    </row>
    <row r="475" spans="22:23">
      <c r="V475" s="71"/>
      <c r="W475" s="71"/>
    </row>
    <row r="476" spans="22:23">
      <c r="V476" s="71"/>
      <c r="W476" s="71"/>
    </row>
    <row r="477" spans="22:23">
      <c r="V477" s="71"/>
      <c r="W477" s="71"/>
    </row>
    <row r="478" spans="22:23">
      <c r="V478" s="71"/>
      <c r="W478" s="71"/>
    </row>
    <row r="479" spans="22:23">
      <c r="V479" s="71"/>
      <c r="W479" s="71"/>
    </row>
    <row r="480" spans="22:23">
      <c r="V480" s="71"/>
      <c r="W480" s="71"/>
    </row>
    <row r="481" spans="22:23">
      <c r="V481" s="71"/>
      <c r="W481" s="71"/>
    </row>
    <row r="482" spans="22:23">
      <c r="V482" s="71"/>
      <c r="W482" s="71"/>
    </row>
    <row r="483" spans="22:23">
      <c r="V483" s="71"/>
      <c r="W483" s="71"/>
    </row>
    <row r="484" spans="22:23">
      <c r="V484" s="71"/>
      <c r="W484" s="71"/>
    </row>
    <row r="485" spans="22:23">
      <c r="V485" s="71"/>
      <c r="W485" s="71"/>
    </row>
    <row r="486" spans="22:23">
      <c r="V486" s="71"/>
      <c r="W486" s="71"/>
    </row>
    <row r="487" spans="22:23">
      <c r="V487" s="71"/>
      <c r="W487" s="71"/>
    </row>
    <row r="488" spans="22:23">
      <c r="V488" s="71"/>
      <c r="W488" s="71"/>
    </row>
    <row r="489" spans="22:23">
      <c r="V489" s="71"/>
      <c r="W489" s="71"/>
    </row>
    <row r="490" spans="22:23">
      <c r="V490" s="71"/>
      <c r="W490" s="71"/>
    </row>
    <row r="491" spans="22:23">
      <c r="V491" s="71"/>
      <c r="W491" s="71"/>
    </row>
    <row r="492" spans="22:23">
      <c r="V492" s="71"/>
      <c r="W492" s="71"/>
    </row>
    <row r="493" spans="22:23">
      <c r="V493" s="71"/>
      <c r="W493" s="71"/>
    </row>
    <row r="494" spans="22:23">
      <c r="V494" s="71"/>
      <c r="W494" s="71"/>
    </row>
    <row r="495" spans="22:23">
      <c r="V495" s="71"/>
      <c r="W495" s="71"/>
    </row>
    <row r="496" spans="22:23">
      <c r="V496" s="71"/>
      <c r="W496" s="71"/>
    </row>
    <row r="497" spans="22:23">
      <c r="V497" s="71"/>
      <c r="W497" s="71"/>
    </row>
    <row r="498" spans="22:23">
      <c r="V498" s="71"/>
      <c r="W498" s="71"/>
    </row>
    <row r="499" spans="22:23">
      <c r="V499" s="71"/>
      <c r="W499" s="71"/>
    </row>
    <row r="500" spans="22:23">
      <c r="V500" s="71"/>
      <c r="W500" s="71"/>
    </row>
    <row r="501" spans="22:23">
      <c r="V501" s="71"/>
      <c r="W501" s="71"/>
    </row>
    <row r="502" spans="22:23">
      <c r="V502" s="71"/>
      <c r="W502" s="71"/>
    </row>
    <row r="503" spans="22:23">
      <c r="V503" s="71"/>
      <c r="W503" s="71"/>
    </row>
    <row r="504" spans="22:23">
      <c r="V504" s="71"/>
      <c r="W504" s="71"/>
    </row>
    <row r="505" spans="22:23">
      <c r="V505" s="71"/>
      <c r="W505" s="71"/>
    </row>
    <row r="506" spans="22:23">
      <c r="V506" s="71"/>
      <c r="W506" s="71"/>
    </row>
    <row r="507" spans="22:23">
      <c r="V507" s="71"/>
      <c r="W507" s="71"/>
    </row>
    <row r="508" spans="22:23">
      <c r="V508" s="71"/>
      <c r="W508" s="71"/>
    </row>
    <row r="509" spans="22:23">
      <c r="V509" s="71"/>
      <c r="W509" s="71"/>
    </row>
    <row r="510" spans="22:23">
      <c r="V510" s="71"/>
      <c r="W510" s="71"/>
    </row>
    <row r="511" spans="22:23">
      <c r="V511" s="71"/>
      <c r="W511" s="71"/>
    </row>
    <row r="512" spans="22:23">
      <c r="V512" s="71"/>
      <c r="W512" s="71"/>
    </row>
    <row r="513" spans="22:23">
      <c r="V513" s="71"/>
      <c r="W513" s="71"/>
    </row>
    <row r="514" spans="22:23">
      <c r="V514" s="71"/>
      <c r="W514" s="71"/>
    </row>
    <row r="515" spans="22:23">
      <c r="V515" s="71"/>
      <c r="W515" s="71"/>
    </row>
    <row r="516" spans="22:23">
      <c r="V516" s="71"/>
      <c r="W516" s="71"/>
    </row>
    <row r="517" spans="22:23">
      <c r="V517" s="71"/>
      <c r="W517" s="71"/>
    </row>
    <row r="518" spans="22:23">
      <c r="V518" s="71"/>
      <c r="W518" s="71"/>
    </row>
    <row r="519" spans="22:23">
      <c r="V519" s="71"/>
      <c r="W519" s="71"/>
    </row>
    <row r="520" spans="22:23">
      <c r="V520" s="71"/>
      <c r="W520" s="71"/>
    </row>
    <row r="521" spans="22:23">
      <c r="V521" s="71"/>
      <c r="W521" s="71"/>
    </row>
    <row r="522" spans="22:23">
      <c r="V522" s="71"/>
      <c r="W522" s="71"/>
    </row>
    <row r="523" spans="22:23">
      <c r="V523" s="71"/>
      <c r="W523" s="71"/>
    </row>
    <row r="524" spans="22:23">
      <c r="V524" s="71"/>
      <c r="W524" s="71"/>
    </row>
    <row r="525" spans="22:23">
      <c r="V525" s="71"/>
      <c r="W525" s="71"/>
    </row>
    <row r="526" spans="22:23">
      <c r="V526" s="71"/>
      <c r="W526" s="71"/>
    </row>
    <row r="527" spans="22:23">
      <c r="V527" s="71"/>
      <c r="W527" s="71"/>
    </row>
    <row r="528" spans="22:23">
      <c r="V528" s="71"/>
      <c r="W528" s="71"/>
    </row>
    <row r="529" spans="22:23">
      <c r="V529" s="71"/>
      <c r="W529" s="71"/>
    </row>
    <row r="530" spans="22:23">
      <c r="V530" s="71"/>
      <c r="W530" s="71"/>
    </row>
    <row r="531" spans="22:23">
      <c r="V531" s="71"/>
      <c r="W531" s="71"/>
    </row>
    <row r="532" spans="22:23">
      <c r="V532" s="71"/>
      <c r="W532" s="71"/>
    </row>
    <row r="533" spans="22:23">
      <c r="V533" s="71"/>
      <c r="W533" s="71"/>
    </row>
    <row r="534" spans="22:23">
      <c r="V534" s="71"/>
      <c r="W534" s="71"/>
    </row>
    <row r="535" spans="22:23">
      <c r="V535" s="71"/>
      <c r="W535" s="71"/>
    </row>
    <row r="536" spans="22:23">
      <c r="V536" s="71"/>
      <c r="W536" s="71"/>
    </row>
    <row r="537" spans="22:23">
      <c r="V537" s="71"/>
      <c r="W537" s="71"/>
    </row>
    <row r="538" spans="22:23">
      <c r="V538" s="71"/>
      <c r="W538" s="71"/>
    </row>
    <row r="539" spans="22:23">
      <c r="V539" s="71"/>
      <c r="W539" s="71"/>
    </row>
    <row r="540" spans="22:23">
      <c r="V540" s="71"/>
      <c r="W540" s="71"/>
    </row>
    <row r="541" spans="22:23">
      <c r="V541" s="71"/>
      <c r="W541" s="71"/>
    </row>
    <row r="542" spans="22:23">
      <c r="V542" s="71"/>
      <c r="W542" s="71"/>
    </row>
    <row r="543" spans="22:23">
      <c r="V543" s="71"/>
      <c r="W543" s="71"/>
    </row>
    <row r="544" spans="22:23">
      <c r="V544" s="71"/>
      <c r="W544" s="71"/>
    </row>
    <row r="545" spans="22:23">
      <c r="V545" s="71"/>
      <c r="W545" s="71"/>
    </row>
    <row r="546" spans="22:23">
      <c r="V546" s="71"/>
      <c r="W546" s="71"/>
    </row>
    <row r="547" spans="22:23">
      <c r="V547" s="71"/>
      <c r="W547" s="71"/>
    </row>
    <row r="548" spans="22:23">
      <c r="V548" s="71"/>
      <c r="W548" s="71"/>
    </row>
    <row r="549" spans="22:23">
      <c r="V549" s="71"/>
      <c r="W549" s="71"/>
    </row>
    <row r="550" spans="22:23">
      <c r="V550" s="71"/>
      <c r="W550" s="71"/>
    </row>
    <row r="551" spans="22:23">
      <c r="V551" s="71"/>
      <c r="W551" s="71"/>
    </row>
    <row r="552" spans="22:23">
      <c r="V552" s="71"/>
      <c r="W552" s="71"/>
    </row>
    <row r="553" spans="22:23">
      <c r="V553" s="71"/>
      <c r="W553" s="71"/>
    </row>
    <row r="554" spans="22:23">
      <c r="V554" s="71"/>
      <c r="W554" s="71"/>
    </row>
    <row r="555" spans="22:23">
      <c r="V555" s="71"/>
      <c r="W555" s="71"/>
    </row>
    <row r="556" spans="22:23">
      <c r="V556" s="71"/>
      <c r="W556" s="71"/>
    </row>
    <row r="557" spans="22:23">
      <c r="V557" s="71"/>
      <c r="W557" s="71"/>
    </row>
    <row r="558" spans="22:23">
      <c r="V558" s="71"/>
      <c r="W558" s="71"/>
    </row>
    <row r="559" spans="22:23">
      <c r="V559" s="71"/>
      <c r="W559" s="71"/>
    </row>
    <row r="560" spans="22:23">
      <c r="V560" s="71"/>
      <c r="W560" s="71"/>
    </row>
    <row r="561" spans="22:23">
      <c r="V561" s="71"/>
      <c r="W561" s="71"/>
    </row>
    <row r="562" spans="22:23">
      <c r="V562" s="71"/>
      <c r="W562" s="71"/>
    </row>
    <row r="563" spans="22:23">
      <c r="V563" s="71"/>
      <c r="W563" s="71"/>
    </row>
    <row r="564" spans="22:23">
      <c r="V564" s="71"/>
      <c r="W564" s="71"/>
    </row>
    <row r="565" spans="22:23">
      <c r="V565" s="71"/>
      <c r="W565" s="71"/>
    </row>
    <row r="566" spans="22:23">
      <c r="V566" s="71"/>
      <c r="W566" s="71"/>
    </row>
    <row r="567" spans="22:23">
      <c r="V567" s="71"/>
      <c r="W567" s="71"/>
    </row>
    <row r="568" spans="22:23">
      <c r="V568" s="71"/>
      <c r="W568" s="71"/>
    </row>
    <row r="569" spans="22:23">
      <c r="V569" s="71"/>
      <c r="W569" s="71"/>
    </row>
    <row r="570" spans="22:23">
      <c r="V570" s="71"/>
      <c r="W570" s="71"/>
    </row>
    <row r="571" spans="22:23">
      <c r="V571" s="71"/>
      <c r="W571" s="71"/>
    </row>
    <row r="572" spans="22:23">
      <c r="V572" s="71"/>
      <c r="W572" s="71"/>
    </row>
    <row r="573" spans="22:23">
      <c r="V573" s="71"/>
      <c r="W573" s="71"/>
    </row>
    <row r="574" spans="22:23">
      <c r="V574" s="71"/>
      <c r="W574" s="71"/>
    </row>
    <row r="575" spans="22:23">
      <c r="V575" s="71"/>
      <c r="W575" s="71"/>
    </row>
    <row r="576" spans="22:23">
      <c r="V576" s="71"/>
      <c r="W576" s="71"/>
    </row>
    <row r="577" spans="22:23">
      <c r="V577" s="71"/>
      <c r="W577" s="71"/>
    </row>
    <row r="578" spans="22:23">
      <c r="V578" s="71"/>
      <c r="W578" s="71"/>
    </row>
    <row r="579" spans="22:23">
      <c r="V579" s="71"/>
      <c r="W579" s="71"/>
    </row>
    <row r="580" spans="22:23">
      <c r="V580" s="71"/>
      <c r="W580" s="71"/>
    </row>
    <row r="581" spans="22:23">
      <c r="V581" s="71"/>
      <c r="W581" s="71"/>
    </row>
    <row r="582" spans="22:23">
      <c r="V582" s="71"/>
      <c r="W582" s="71"/>
    </row>
    <row r="583" spans="22:23">
      <c r="V583" s="71"/>
      <c r="W583" s="71"/>
    </row>
    <row r="584" spans="22:23">
      <c r="V584" s="71"/>
      <c r="W584" s="71"/>
    </row>
    <row r="585" spans="22:23">
      <c r="V585" s="71"/>
      <c r="W585" s="71"/>
    </row>
    <row r="586" spans="22:23">
      <c r="V586" s="71"/>
      <c r="W586" s="71"/>
    </row>
    <row r="587" spans="22:23">
      <c r="V587" s="71"/>
      <c r="W587" s="71"/>
    </row>
    <row r="588" spans="22:23">
      <c r="V588" s="71"/>
      <c r="W588" s="71"/>
    </row>
    <row r="589" spans="22:23">
      <c r="V589" s="71"/>
      <c r="W589" s="71"/>
    </row>
    <row r="590" spans="22:23">
      <c r="V590" s="71"/>
      <c r="W590" s="71"/>
    </row>
    <row r="591" spans="22:23">
      <c r="V591" s="71"/>
      <c r="W591" s="71"/>
    </row>
    <row r="592" spans="22:23">
      <c r="V592" s="71"/>
      <c r="W592" s="71"/>
    </row>
    <row r="593" spans="22:23">
      <c r="V593" s="71"/>
      <c r="W593" s="71"/>
    </row>
    <row r="594" spans="22:23">
      <c r="V594" s="71"/>
      <c r="W594" s="71"/>
    </row>
    <row r="595" spans="22:23">
      <c r="V595" s="71"/>
      <c r="W595" s="71"/>
    </row>
    <row r="596" spans="22:23">
      <c r="V596" s="71"/>
      <c r="W596" s="71"/>
    </row>
    <row r="597" spans="22:23">
      <c r="V597" s="71"/>
      <c r="W597" s="71"/>
    </row>
    <row r="598" spans="22:23">
      <c r="V598" s="71"/>
      <c r="W598" s="71"/>
    </row>
    <row r="599" spans="22:23">
      <c r="V599" s="71"/>
      <c r="W599" s="71"/>
    </row>
    <row r="600" spans="22:23">
      <c r="V600" s="71"/>
      <c r="W600" s="71"/>
    </row>
    <row r="601" spans="22:23">
      <c r="V601" s="71"/>
      <c r="W601" s="71"/>
    </row>
    <row r="602" spans="22:23">
      <c r="V602" s="71"/>
      <c r="W602" s="71"/>
    </row>
    <row r="603" spans="22:23">
      <c r="V603" s="71"/>
      <c r="W603" s="71"/>
    </row>
    <row r="604" spans="22:23">
      <c r="V604" s="71"/>
      <c r="W604" s="71"/>
    </row>
    <row r="605" spans="22:23">
      <c r="V605" s="71"/>
      <c r="W605" s="71"/>
    </row>
    <row r="606" spans="22:23">
      <c r="V606" s="71"/>
      <c r="W606" s="71"/>
    </row>
    <row r="607" spans="22:23">
      <c r="V607" s="71"/>
      <c r="W607" s="71"/>
    </row>
    <row r="608" spans="22:23">
      <c r="V608" s="71"/>
      <c r="W608" s="71"/>
    </row>
    <row r="609" spans="22:23">
      <c r="V609" s="71"/>
      <c r="W609" s="71"/>
    </row>
    <row r="610" spans="22:23">
      <c r="V610" s="71"/>
      <c r="W610" s="71"/>
    </row>
    <row r="611" spans="22:23">
      <c r="V611" s="71"/>
      <c r="W611" s="71"/>
    </row>
    <row r="612" spans="22:23">
      <c r="V612" s="71"/>
      <c r="W612" s="71"/>
    </row>
    <row r="613" spans="22:23">
      <c r="V613" s="71"/>
      <c r="W613" s="71"/>
    </row>
    <row r="614" spans="22:23">
      <c r="V614" s="71"/>
      <c r="W614" s="71"/>
    </row>
    <row r="615" spans="22:23">
      <c r="V615" s="71"/>
      <c r="W615" s="71"/>
    </row>
    <row r="616" spans="22:23">
      <c r="V616" s="71"/>
      <c r="W616" s="71"/>
    </row>
    <row r="617" spans="22:23">
      <c r="V617" s="71"/>
      <c r="W617" s="71"/>
    </row>
    <row r="618" spans="22:23">
      <c r="V618" s="71"/>
      <c r="W618" s="71"/>
    </row>
    <row r="619" spans="22:23">
      <c r="V619" s="71"/>
      <c r="W619" s="71"/>
    </row>
    <row r="620" spans="22:23">
      <c r="V620" s="71"/>
      <c r="W620" s="71"/>
    </row>
    <row r="621" spans="22:23">
      <c r="V621" s="71"/>
      <c r="W621" s="71"/>
    </row>
    <row r="622" spans="22:23">
      <c r="V622" s="71"/>
      <c r="W622" s="71"/>
    </row>
    <row r="623" spans="22:23">
      <c r="V623" s="71"/>
      <c r="W623" s="71"/>
    </row>
    <row r="624" spans="22:23">
      <c r="V624" s="71"/>
      <c r="W624" s="71"/>
    </row>
    <row r="625" spans="22:23">
      <c r="V625" s="71"/>
      <c r="W625" s="71"/>
    </row>
    <row r="626" spans="22:23">
      <c r="V626" s="71"/>
      <c r="W626" s="71"/>
    </row>
    <row r="627" spans="22:23">
      <c r="V627" s="71"/>
      <c r="W627" s="71"/>
    </row>
    <row r="628" spans="22:23">
      <c r="V628" s="71"/>
      <c r="W628" s="71"/>
    </row>
    <row r="629" spans="22:23">
      <c r="V629" s="71"/>
      <c r="W629" s="71"/>
    </row>
    <row r="630" spans="22:23">
      <c r="V630" s="71"/>
      <c r="W630" s="71"/>
    </row>
    <row r="631" spans="22:23">
      <c r="V631" s="71"/>
      <c r="W631" s="71"/>
    </row>
    <row r="632" spans="22:23">
      <c r="V632" s="71"/>
      <c r="W632" s="71"/>
    </row>
    <row r="633" spans="22:23">
      <c r="V633" s="71"/>
      <c r="W633" s="71"/>
    </row>
    <row r="634" spans="22:23">
      <c r="V634" s="71"/>
      <c r="W634" s="71"/>
    </row>
    <row r="635" spans="22:23">
      <c r="V635" s="71"/>
      <c r="W635" s="71"/>
    </row>
    <row r="636" spans="22:23">
      <c r="V636" s="71"/>
      <c r="W636" s="71"/>
    </row>
    <row r="637" spans="22:23">
      <c r="V637" s="71"/>
      <c r="W637" s="71"/>
    </row>
    <row r="638" spans="22:23">
      <c r="V638" s="71"/>
      <c r="W638" s="71"/>
    </row>
    <row r="639" spans="22:23">
      <c r="V639" s="71"/>
      <c r="W639" s="71"/>
    </row>
    <row r="640" spans="22:23">
      <c r="V640" s="71"/>
      <c r="W640" s="71"/>
    </row>
    <row r="641" spans="22:23">
      <c r="V641" s="71"/>
      <c r="W641" s="71"/>
    </row>
    <row r="642" spans="22:23">
      <c r="V642" s="71"/>
      <c r="W642" s="71"/>
    </row>
    <row r="643" spans="22:23">
      <c r="V643" s="71"/>
      <c r="W643" s="71"/>
    </row>
    <row r="644" spans="22:23">
      <c r="V644" s="71"/>
      <c r="W644" s="71"/>
    </row>
    <row r="645" spans="22:23">
      <c r="V645" s="71"/>
      <c r="W645" s="71"/>
    </row>
    <row r="646" spans="22:23">
      <c r="V646" s="71"/>
      <c r="W646" s="71"/>
    </row>
    <row r="647" spans="22:23">
      <c r="V647" s="71"/>
      <c r="W647" s="71"/>
    </row>
    <row r="648" spans="22:23">
      <c r="V648" s="71"/>
      <c r="W648" s="71"/>
    </row>
    <row r="649" spans="22:23">
      <c r="V649" s="71"/>
      <c r="W649" s="71"/>
    </row>
    <row r="650" spans="22:23">
      <c r="V650" s="71"/>
      <c r="W650" s="71"/>
    </row>
    <row r="651" spans="22:23">
      <c r="V651" s="71"/>
      <c r="W651" s="71"/>
    </row>
    <row r="652" spans="22:23">
      <c r="V652" s="71"/>
      <c r="W652" s="71"/>
    </row>
    <row r="653" spans="22:23">
      <c r="V653" s="71"/>
      <c r="W653" s="71"/>
    </row>
    <row r="654" spans="22:23">
      <c r="V654" s="71"/>
      <c r="W654" s="71"/>
    </row>
    <row r="655" spans="22:23">
      <c r="V655" s="71"/>
      <c r="W655" s="71"/>
    </row>
    <row r="656" spans="22:23">
      <c r="V656" s="71"/>
      <c r="W656" s="71"/>
    </row>
    <row r="657" spans="22:23">
      <c r="V657" s="71"/>
      <c r="W657" s="71"/>
    </row>
    <row r="658" spans="22:23">
      <c r="V658" s="71"/>
      <c r="W658" s="71"/>
    </row>
    <row r="659" spans="22:23">
      <c r="V659" s="71"/>
      <c r="W659" s="71"/>
    </row>
    <row r="660" spans="22:23">
      <c r="V660" s="71"/>
      <c r="W660" s="71"/>
    </row>
    <row r="661" spans="22:23">
      <c r="V661" s="71"/>
      <c r="W661" s="71"/>
    </row>
    <row r="662" spans="22:23">
      <c r="V662" s="71"/>
      <c r="W662" s="71"/>
    </row>
    <row r="663" spans="22:23">
      <c r="V663" s="71"/>
      <c r="W663" s="71"/>
    </row>
    <row r="664" spans="22:23">
      <c r="V664" s="71"/>
      <c r="W664" s="71"/>
    </row>
    <row r="665" spans="22:23">
      <c r="V665" s="71"/>
      <c r="W665" s="71"/>
    </row>
    <row r="666" spans="22:23">
      <c r="V666" s="71"/>
      <c r="W666" s="71"/>
    </row>
    <row r="667" spans="22:23">
      <c r="V667" s="71"/>
      <c r="W667" s="71"/>
    </row>
    <row r="668" spans="22:23">
      <c r="V668" s="71"/>
      <c r="W668" s="71"/>
    </row>
    <row r="669" spans="22:23">
      <c r="V669" s="71"/>
      <c r="W669" s="71"/>
    </row>
    <row r="670" spans="22:23">
      <c r="V670" s="71"/>
      <c r="W670" s="71"/>
    </row>
    <row r="671" spans="22:23">
      <c r="V671" s="71"/>
      <c r="W671" s="71"/>
    </row>
    <row r="672" spans="22:23">
      <c r="V672" s="71"/>
      <c r="W672" s="71"/>
    </row>
    <row r="673" spans="22:23">
      <c r="V673" s="71"/>
      <c r="W673" s="71"/>
    </row>
    <row r="674" spans="22:23">
      <c r="V674" s="71"/>
      <c r="W674" s="71"/>
    </row>
    <row r="675" spans="22:23">
      <c r="V675" s="71"/>
      <c r="W675" s="71"/>
    </row>
    <row r="676" spans="22:23">
      <c r="V676" s="71"/>
      <c r="W676" s="71"/>
    </row>
    <row r="677" spans="22:23">
      <c r="V677" s="71"/>
      <c r="W677" s="71"/>
    </row>
    <row r="678" spans="22:23">
      <c r="V678" s="71"/>
      <c r="W678" s="71"/>
    </row>
    <row r="679" spans="22:23">
      <c r="V679" s="71"/>
      <c r="W679" s="71"/>
    </row>
    <row r="680" spans="22:23">
      <c r="V680" s="71"/>
      <c r="W680" s="71"/>
    </row>
    <row r="681" spans="22:23">
      <c r="V681" s="71"/>
      <c r="W681" s="71"/>
    </row>
    <row r="682" spans="22:23">
      <c r="V682" s="71"/>
      <c r="W682" s="71"/>
    </row>
    <row r="683" spans="22:23">
      <c r="V683" s="71"/>
      <c r="W683" s="71"/>
    </row>
    <row r="684" spans="22:23">
      <c r="V684" s="71"/>
      <c r="W684" s="71"/>
    </row>
    <row r="685" spans="22:23">
      <c r="V685" s="71"/>
      <c r="W685" s="71"/>
    </row>
    <row r="686" spans="22:23">
      <c r="V686" s="71"/>
      <c r="W686" s="71"/>
    </row>
    <row r="687" spans="22:23">
      <c r="V687" s="71"/>
      <c r="W687" s="71"/>
    </row>
    <row r="688" spans="22:23">
      <c r="V688" s="71"/>
      <c r="W688" s="71"/>
    </row>
    <row r="689" spans="22:23">
      <c r="V689" s="71"/>
      <c r="W689" s="71"/>
    </row>
    <row r="690" spans="22:23">
      <c r="V690" s="71"/>
      <c r="W690" s="71"/>
    </row>
    <row r="691" spans="22:23">
      <c r="V691" s="71"/>
      <c r="W691" s="71"/>
    </row>
    <row r="692" spans="22:23">
      <c r="V692" s="71"/>
      <c r="W692" s="71"/>
    </row>
    <row r="693" spans="22:23">
      <c r="V693" s="71"/>
      <c r="W693" s="71"/>
    </row>
    <row r="694" spans="22:23">
      <c r="V694" s="71"/>
      <c r="W694" s="71"/>
    </row>
    <row r="695" spans="22:23">
      <c r="V695" s="71"/>
      <c r="W695" s="71"/>
    </row>
    <row r="696" spans="22:23">
      <c r="V696" s="71"/>
      <c r="W696" s="71"/>
    </row>
    <row r="697" spans="22:23">
      <c r="V697" s="71"/>
      <c r="W697" s="71"/>
    </row>
    <row r="698" spans="22:23">
      <c r="V698" s="71"/>
      <c r="W698" s="71"/>
    </row>
    <row r="699" spans="22:23">
      <c r="V699" s="71"/>
      <c r="W699" s="71"/>
    </row>
    <row r="700" spans="22:23">
      <c r="V700" s="71"/>
      <c r="W700" s="71"/>
    </row>
    <row r="701" spans="22:23">
      <c r="V701" s="71"/>
      <c r="W701" s="71"/>
    </row>
    <row r="702" spans="22:23">
      <c r="V702" s="71"/>
      <c r="W702" s="71"/>
    </row>
    <row r="703" spans="22:23">
      <c r="V703" s="71"/>
      <c r="W703" s="71"/>
    </row>
    <row r="704" spans="22:23">
      <c r="V704" s="71"/>
      <c r="W704" s="71"/>
    </row>
    <row r="705" spans="22:23">
      <c r="V705" s="71"/>
      <c r="W705" s="71"/>
    </row>
    <row r="706" spans="22:23">
      <c r="V706" s="71"/>
      <c r="W706" s="71"/>
    </row>
    <row r="707" spans="22:23">
      <c r="V707" s="71"/>
      <c r="W707" s="71"/>
    </row>
    <row r="708" spans="22:23">
      <c r="V708" s="71"/>
      <c r="W708" s="71"/>
    </row>
    <row r="709" spans="22:23">
      <c r="V709" s="71"/>
      <c r="W709" s="71"/>
    </row>
    <row r="710" spans="22:23">
      <c r="V710" s="71"/>
      <c r="W710" s="71"/>
    </row>
    <row r="711" spans="22:23">
      <c r="V711" s="71"/>
      <c r="W711" s="71"/>
    </row>
    <row r="712" spans="22:23">
      <c r="V712" s="71"/>
      <c r="W712" s="71"/>
    </row>
    <row r="713" spans="22:23">
      <c r="V713" s="71"/>
      <c r="W713" s="71"/>
    </row>
    <row r="714" spans="22:23">
      <c r="V714" s="71"/>
      <c r="W714" s="71"/>
    </row>
    <row r="715" spans="22:23">
      <c r="V715" s="71"/>
      <c r="W715" s="71"/>
    </row>
    <row r="716" spans="22:23">
      <c r="V716" s="71"/>
      <c r="W716" s="71"/>
    </row>
    <row r="717" spans="22:23">
      <c r="V717" s="71"/>
      <c r="W717" s="71"/>
    </row>
    <row r="718" spans="22:23">
      <c r="V718" s="71"/>
      <c r="W718" s="71"/>
    </row>
    <row r="719" spans="22:23">
      <c r="V719" s="71"/>
      <c r="W719" s="71"/>
    </row>
    <row r="720" spans="22:23">
      <c r="V720" s="71"/>
      <c r="W720" s="71"/>
    </row>
    <row r="721" spans="22:23">
      <c r="V721" s="71"/>
      <c r="W721" s="71"/>
    </row>
    <row r="722" spans="22:23">
      <c r="V722" s="71"/>
      <c r="W722" s="71"/>
    </row>
    <row r="723" spans="22:23">
      <c r="V723" s="71"/>
      <c r="W723" s="71"/>
    </row>
    <row r="724" spans="22:23">
      <c r="V724" s="71"/>
      <c r="W724" s="71"/>
    </row>
    <row r="725" spans="22:23">
      <c r="V725" s="71"/>
      <c r="W725" s="71"/>
    </row>
    <row r="726" spans="22:23">
      <c r="V726" s="71"/>
      <c r="W726" s="71"/>
    </row>
    <row r="727" spans="22:23">
      <c r="V727" s="71"/>
      <c r="W727" s="71"/>
    </row>
    <row r="728" spans="22:23">
      <c r="V728" s="71"/>
      <c r="W728" s="71"/>
    </row>
    <row r="729" spans="22:23">
      <c r="V729" s="71"/>
      <c r="W729" s="71"/>
    </row>
    <row r="730" spans="22:23">
      <c r="V730" s="71"/>
      <c r="W730" s="71"/>
    </row>
    <row r="731" spans="22:23">
      <c r="V731" s="71"/>
      <c r="W731" s="71"/>
    </row>
    <row r="732" spans="22:23">
      <c r="V732" s="71"/>
      <c r="W732" s="71"/>
    </row>
    <row r="733" spans="22:23">
      <c r="V733" s="71"/>
      <c r="W733" s="71"/>
    </row>
    <row r="734" spans="22:23">
      <c r="V734" s="71"/>
      <c r="W734" s="71"/>
    </row>
    <row r="735" spans="22:23">
      <c r="V735" s="71"/>
      <c r="W735" s="71"/>
    </row>
    <row r="736" spans="22:23">
      <c r="V736" s="71"/>
      <c r="W736" s="71"/>
    </row>
    <row r="737" spans="22:23">
      <c r="V737" s="71"/>
      <c r="W737" s="71"/>
    </row>
    <row r="738" spans="22:23">
      <c r="V738" s="71"/>
      <c r="W738" s="71"/>
    </row>
    <row r="739" spans="22:23">
      <c r="V739" s="71"/>
      <c r="W739" s="71"/>
    </row>
    <row r="740" spans="22:23">
      <c r="V740" s="71"/>
      <c r="W740" s="71"/>
    </row>
    <row r="741" spans="22:23">
      <c r="V741" s="71"/>
      <c r="W741" s="71"/>
    </row>
    <row r="742" spans="22:23">
      <c r="V742" s="71"/>
      <c r="W742" s="71"/>
    </row>
    <row r="743" spans="22:23">
      <c r="V743" s="71"/>
      <c r="W743" s="71"/>
    </row>
    <row r="744" spans="22:23">
      <c r="V744" s="71"/>
      <c r="W744" s="71"/>
    </row>
    <row r="745" spans="22:23">
      <c r="V745" s="71"/>
      <c r="W745" s="71"/>
    </row>
    <row r="746" spans="22:23">
      <c r="V746" s="71"/>
      <c r="W746" s="71"/>
    </row>
    <row r="747" spans="22:23">
      <c r="V747" s="71"/>
      <c r="W747" s="71"/>
    </row>
    <row r="748" spans="22:23">
      <c r="V748" s="71"/>
      <c r="W748" s="71"/>
    </row>
    <row r="749" spans="22:23">
      <c r="V749" s="71"/>
      <c r="W749" s="71"/>
    </row>
    <row r="750" spans="22:23">
      <c r="V750" s="71"/>
      <c r="W750" s="71"/>
    </row>
    <row r="751" spans="22:23">
      <c r="V751" s="71"/>
      <c r="W751" s="71"/>
    </row>
    <row r="752" spans="22:23">
      <c r="V752" s="71"/>
      <c r="W752" s="71"/>
    </row>
    <row r="753" spans="22:23">
      <c r="V753" s="71"/>
      <c r="W753" s="71"/>
    </row>
    <row r="754" spans="22:23">
      <c r="V754" s="71"/>
      <c r="W754" s="71"/>
    </row>
    <row r="755" spans="22:23">
      <c r="V755" s="71"/>
      <c r="W755" s="71"/>
    </row>
    <row r="756" spans="22:23">
      <c r="V756" s="71"/>
      <c r="W756" s="71"/>
    </row>
    <row r="757" spans="22:23">
      <c r="V757" s="71"/>
      <c r="W757" s="71"/>
    </row>
    <row r="758" spans="22:23">
      <c r="V758" s="71"/>
      <c r="W758" s="71"/>
    </row>
    <row r="759" spans="22:23">
      <c r="V759" s="71"/>
      <c r="W759" s="71"/>
    </row>
    <row r="760" spans="22:23">
      <c r="V760" s="71"/>
      <c r="W760" s="71"/>
    </row>
    <row r="761" spans="22:23">
      <c r="V761" s="71"/>
      <c r="W761" s="71"/>
    </row>
    <row r="762" spans="22:23">
      <c r="V762" s="71"/>
      <c r="W762" s="71"/>
    </row>
    <row r="763" spans="22:23">
      <c r="V763" s="71"/>
      <c r="W763" s="71"/>
    </row>
    <row r="764" spans="22:23">
      <c r="V764" s="71"/>
      <c r="W764" s="71"/>
    </row>
    <row r="765" spans="22:23">
      <c r="V765" s="71"/>
      <c r="W765" s="71"/>
    </row>
    <row r="766" spans="22:23">
      <c r="V766" s="71"/>
      <c r="W766" s="71"/>
    </row>
    <row r="767" spans="22:23">
      <c r="V767" s="71"/>
      <c r="W767" s="71"/>
    </row>
    <row r="768" spans="22:23">
      <c r="V768" s="71"/>
      <c r="W768" s="71"/>
    </row>
    <row r="769" spans="22:23">
      <c r="V769" s="71"/>
      <c r="W769" s="71"/>
    </row>
    <row r="770" spans="22:23">
      <c r="V770" s="71"/>
      <c r="W770" s="71"/>
    </row>
    <row r="771" spans="22:23">
      <c r="V771" s="71"/>
      <c r="W771" s="71"/>
    </row>
    <row r="772" spans="22:23">
      <c r="V772" s="71"/>
      <c r="W772" s="71"/>
    </row>
    <row r="773" spans="22:23">
      <c r="V773" s="71"/>
      <c r="W773" s="71"/>
    </row>
    <row r="774" spans="22:23">
      <c r="V774" s="71"/>
      <c r="W774" s="71"/>
    </row>
    <row r="775" spans="22:23">
      <c r="V775" s="71"/>
      <c r="W775" s="71"/>
    </row>
    <row r="776" spans="22:23">
      <c r="V776" s="71"/>
      <c r="W776" s="71"/>
    </row>
    <row r="777" spans="22:23">
      <c r="V777" s="71"/>
      <c r="W777" s="71"/>
    </row>
    <row r="778" spans="22:23">
      <c r="V778" s="71"/>
      <c r="W778" s="71"/>
    </row>
    <row r="779" spans="22:23">
      <c r="V779" s="71"/>
      <c r="W779" s="71"/>
    </row>
    <row r="780" spans="22:23">
      <c r="V780" s="71"/>
      <c r="W780" s="71"/>
    </row>
    <row r="781" spans="22:23">
      <c r="V781" s="71"/>
      <c r="W781" s="71"/>
    </row>
    <row r="782" spans="22:23">
      <c r="V782" s="71"/>
      <c r="W782" s="71"/>
    </row>
    <row r="783" spans="22:23">
      <c r="V783" s="71"/>
      <c r="W783" s="71"/>
    </row>
    <row r="784" spans="22:23">
      <c r="V784" s="71"/>
      <c r="W784" s="71"/>
    </row>
    <row r="785" spans="22:23">
      <c r="V785" s="71"/>
      <c r="W785" s="71"/>
    </row>
    <row r="786" spans="22:23">
      <c r="V786" s="71"/>
      <c r="W786" s="71"/>
    </row>
    <row r="787" spans="22:23">
      <c r="V787" s="71"/>
      <c r="W787" s="71"/>
    </row>
    <row r="788" spans="22:23">
      <c r="V788" s="71"/>
      <c r="W788" s="71"/>
    </row>
    <row r="789" spans="22:23">
      <c r="V789" s="71"/>
      <c r="W789" s="71"/>
    </row>
    <row r="790" spans="22:23">
      <c r="V790" s="71"/>
      <c r="W790" s="71"/>
    </row>
    <row r="791" spans="22:23">
      <c r="V791" s="71"/>
      <c r="W791" s="71"/>
    </row>
    <row r="792" spans="22:23">
      <c r="V792" s="71"/>
      <c r="W792" s="71"/>
    </row>
    <row r="793" spans="22:23">
      <c r="V793" s="71"/>
      <c r="W793" s="71"/>
    </row>
    <row r="794" spans="22:23">
      <c r="V794" s="71"/>
      <c r="W794" s="71"/>
    </row>
    <row r="795" spans="22:23">
      <c r="V795" s="71"/>
      <c r="W795" s="71"/>
    </row>
    <row r="796" spans="22:23">
      <c r="V796" s="71"/>
      <c r="W796" s="71"/>
    </row>
    <row r="797" spans="22:23">
      <c r="V797" s="71"/>
      <c r="W797" s="71"/>
    </row>
    <row r="798" spans="22:23">
      <c r="V798" s="71"/>
      <c r="W798" s="71"/>
    </row>
    <row r="799" spans="22:23">
      <c r="V799" s="71"/>
      <c r="W799" s="71"/>
    </row>
    <row r="800" spans="22:23">
      <c r="V800" s="71"/>
      <c r="W800" s="71"/>
    </row>
    <row r="801" spans="22:23">
      <c r="V801" s="71"/>
      <c r="W801" s="71"/>
    </row>
    <row r="802" spans="22:23">
      <c r="V802" s="71"/>
      <c r="W802" s="71"/>
    </row>
    <row r="803" spans="22:23">
      <c r="V803" s="71"/>
      <c r="W803" s="71"/>
    </row>
    <row r="804" spans="22:23">
      <c r="V804" s="71"/>
      <c r="W804" s="71"/>
    </row>
    <row r="805" spans="22:23">
      <c r="V805" s="71"/>
      <c r="W805" s="71"/>
    </row>
    <row r="806" spans="22:23">
      <c r="V806" s="71"/>
      <c r="W806" s="71"/>
    </row>
    <row r="807" spans="22:23">
      <c r="V807" s="71"/>
      <c r="W807" s="71"/>
    </row>
    <row r="808" spans="22:23">
      <c r="V808" s="71"/>
      <c r="W808" s="71"/>
    </row>
    <row r="809" spans="22:23">
      <c r="V809" s="71"/>
      <c r="W809" s="71"/>
    </row>
    <row r="810" spans="22:23">
      <c r="V810" s="71"/>
      <c r="W810" s="71"/>
    </row>
    <row r="811" spans="22:23">
      <c r="V811" s="71"/>
      <c r="W811" s="71"/>
    </row>
    <row r="812" spans="22:23">
      <c r="V812" s="71"/>
      <c r="W812" s="71"/>
    </row>
    <row r="813" spans="22:23">
      <c r="V813" s="71"/>
      <c r="W813" s="71"/>
    </row>
    <row r="814" spans="22:23">
      <c r="V814" s="71"/>
      <c r="W814" s="71"/>
    </row>
    <row r="815" spans="22:23">
      <c r="V815" s="71"/>
      <c r="W815" s="71"/>
    </row>
    <row r="816" spans="22:23">
      <c r="V816" s="71"/>
      <c r="W816" s="71"/>
    </row>
    <row r="817" spans="22:23">
      <c r="V817" s="71"/>
      <c r="W817" s="71"/>
    </row>
    <row r="818" spans="22:23">
      <c r="V818" s="71"/>
      <c r="W818" s="71"/>
    </row>
    <row r="819" spans="22:23">
      <c r="V819" s="71"/>
      <c r="W819" s="71"/>
    </row>
    <row r="820" spans="22:23">
      <c r="V820" s="71"/>
      <c r="W820" s="71"/>
    </row>
    <row r="821" spans="22:23">
      <c r="V821" s="71"/>
      <c r="W821" s="71"/>
    </row>
    <row r="822" spans="22:23">
      <c r="V822" s="71"/>
      <c r="W822" s="71"/>
    </row>
    <row r="823" spans="22:23">
      <c r="V823" s="71"/>
      <c r="W823" s="71"/>
    </row>
    <row r="824" spans="22:23">
      <c r="V824" s="71"/>
      <c r="W824" s="71"/>
    </row>
    <row r="825" spans="22:23">
      <c r="V825" s="71"/>
      <c r="W825" s="71"/>
    </row>
    <row r="826" spans="22:23">
      <c r="V826" s="71"/>
      <c r="W826" s="71"/>
    </row>
    <row r="827" spans="22:23">
      <c r="V827" s="71"/>
      <c r="W827" s="71"/>
    </row>
    <row r="828" spans="22:23">
      <c r="V828" s="71"/>
      <c r="W828" s="71"/>
    </row>
    <row r="829" spans="22:23">
      <c r="V829" s="71"/>
      <c r="W829" s="71"/>
    </row>
    <row r="830" spans="22:23">
      <c r="V830" s="71"/>
      <c r="W830" s="71"/>
    </row>
    <row r="831" spans="22:23">
      <c r="V831" s="71"/>
      <c r="W831" s="71"/>
    </row>
    <row r="832" spans="22:23">
      <c r="V832" s="71"/>
      <c r="W832" s="71"/>
    </row>
    <row r="833" spans="22:23">
      <c r="V833" s="71"/>
      <c r="W833" s="71"/>
    </row>
    <row r="834" spans="22:23">
      <c r="V834" s="71"/>
      <c r="W834" s="71"/>
    </row>
    <row r="835" spans="22:23">
      <c r="V835" s="71"/>
      <c r="W835" s="71"/>
    </row>
    <row r="836" spans="22:23">
      <c r="V836" s="71"/>
      <c r="W836" s="71"/>
    </row>
    <row r="837" spans="22:23">
      <c r="V837" s="71"/>
      <c r="W837" s="71"/>
    </row>
    <row r="838" spans="22:23">
      <c r="V838" s="71"/>
      <c r="W838" s="71"/>
    </row>
    <row r="839" spans="22:23">
      <c r="V839" s="71"/>
      <c r="W839" s="71"/>
    </row>
    <row r="840" spans="22:23">
      <c r="V840" s="71"/>
      <c r="W840" s="71"/>
    </row>
    <row r="841" spans="22:23">
      <c r="V841" s="71"/>
      <c r="W841" s="71"/>
    </row>
    <row r="842" spans="22:23">
      <c r="V842" s="71"/>
      <c r="W842" s="71"/>
    </row>
    <row r="843" spans="22:23">
      <c r="V843" s="71"/>
      <c r="W843" s="71"/>
    </row>
    <row r="844" spans="22:23">
      <c r="V844" s="71"/>
      <c r="W844" s="71"/>
    </row>
    <row r="845" spans="22:23">
      <c r="V845" s="71"/>
      <c r="W845" s="71"/>
    </row>
    <row r="846" spans="22:23">
      <c r="V846" s="71"/>
      <c r="W846" s="71"/>
    </row>
    <row r="847" spans="22:23">
      <c r="V847" s="71"/>
      <c r="W847" s="71"/>
    </row>
    <row r="848" spans="22:23">
      <c r="V848" s="71"/>
      <c r="W848" s="71"/>
    </row>
    <row r="849" spans="22:23">
      <c r="V849" s="71"/>
      <c r="W849" s="71"/>
    </row>
    <row r="850" spans="22:23">
      <c r="V850" s="71"/>
      <c r="W850" s="71"/>
    </row>
    <row r="851" spans="22:23">
      <c r="V851" s="71"/>
      <c r="W851" s="71"/>
    </row>
    <row r="852" spans="22:23">
      <c r="V852" s="71"/>
      <c r="W852" s="71"/>
    </row>
    <row r="853" spans="22:23">
      <c r="V853" s="71"/>
      <c r="W853" s="71"/>
    </row>
    <row r="854" spans="22:23">
      <c r="V854" s="71"/>
      <c r="W854" s="71"/>
    </row>
    <row r="855" spans="22:23">
      <c r="V855" s="71"/>
      <c r="W855" s="71"/>
    </row>
    <row r="856" spans="22:23">
      <c r="V856" s="71"/>
      <c r="W856" s="71"/>
    </row>
    <row r="857" spans="22:23">
      <c r="V857" s="71"/>
      <c r="W857" s="71"/>
    </row>
    <row r="858" spans="22:23">
      <c r="V858" s="71"/>
      <c r="W858" s="71"/>
    </row>
    <row r="859" spans="22:23">
      <c r="V859" s="71"/>
      <c r="W859" s="71"/>
    </row>
    <row r="860" spans="22:23">
      <c r="V860" s="71"/>
      <c r="W860" s="71"/>
    </row>
    <row r="861" spans="22:23">
      <c r="V861" s="71"/>
      <c r="W861" s="71"/>
    </row>
    <row r="862" spans="22:23">
      <c r="V862" s="71"/>
      <c r="W862" s="71"/>
    </row>
    <row r="863" spans="22:23">
      <c r="V863" s="71"/>
      <c r="W863" s="71"/>
    </row>
    <row r="864" spans="22:23">
      <c r="V864" s="71"/>
      <c r="W864" s="71"/>
    </row>
    <row r="865" spans="22:23">
      <c r="V865" s="71"/>
      <c r="W865" s="71"/>
    </row>
    <row r="866" spans="22:23">
      <c r="V866" s="71"/>
      <c r="W866" s="71"/>
    </row>
    <row r="867" spans="22:23">
      <c r="V867" s="71"/>
      <c r="W867" s="71"/>
    </row>
    <row r="868" spans="22:23">
      <c r="V868" s="71"/>
      <c r="W868" s="71"/>
    </row>
    <row r="869" spans="22:23">
      <c r="V869" s="71"/>
      <c r="W869" s="71"/>
    </row>
    <row r="870" spans="22:23">
      <c r="V870" s="71"/>
      <c r="W870" s="71"/>
    </row>
    <row r="871" spans="22:23">
      <c r="V871" s="71"/>
      <c r="W871" s="71"/>
    </row>
    <row r="872" spans="22:23">
      <c r="V872" s="71"/>
      <c r="W872" s="71"/>
    </row>
    <row r="873" spans="22:23">
      <c r="V873" s="71"/>
      <c r="W873" s="71"/>
    </row>
    <row r="874" spans="22:23">
      <c r="V874" s="71"/>
      <c r="W874" s="71"/>
    </row>
    <row r="875" spans="22:23">
      <c r="V875" s="71"/>
      <c r="W875" s="71"/>
    </row>
    <row r="876" spans="22:23">
      <c r="V876" s="71"/>
      <c r="W876" s="71"/>
    </row>
    <row r="877" spans="22:23">
      <c r="V877" s="71"/>
      <c r="W877" s="71"/>
    </row>
    <row r="878" spans="22:23">
      <c r="V878" s="71"/>
      <c r="W878" s="71"/>
    </row>
    <row r="879" spans="22:23">
      <c r="V879" s="71"/>
      <c r="W879" s="71"/>
    </row>
    <row r="880" spans="22:23">
      <c r="V880" s="71"/>
      <c r="W880" s="71"/>
    </row>
    <row r="881" spans="22:23">
      <c r="V881" s="71"/>
      <c r="W881" s="71"/>
    </row>
    <row r="882" spans="22:23">
      <c r="V882" s="71"/>
      <c r="W882" s="71"/>
    </row>
    <row r="883" spans="22:23">
      <c r="V883" s="71"/>
      <c r="W883" s="71"/>
    </row>
    <row r="884" spans="22:23">
      <c r="V884" s="71"/>
      <c r="W884" s="71"/>
    </row>
    <row r="885" spans="22:23">
      <c r="V885" s="71"/>
      <c r="W885" s="71"/>
    </row>
    <row r="886" spans="22:23">
      <c r="V886" s="71"/>
      <c r="W886" s="71"/>
    </row>
    <row r="887" spans="22:23">
      <c r="V887" s="71"/>
      <c r="W887" s="71"/>
    </row>
    <row r="888" spans="22:23">
      <c r="V888" s="71"/>
      <c r="W888" s="71"/>
    </row>
    <row r="889" spans="22:23">
      <c r="V889" s="71"/>
      <c r="W889" s="71"/>
    </row>
    <row r="890" spans="22:23">
      <c r="V890" s="71"/>
      <c r="W890" s="71"/>
    </row>
    <row r="891" spans="22:23">
      <c r="V891" s="71"/>
      <c r="W891" s="71"/>
    </row>
    <row r="892" spans="22:23">
      <c r="V892" s="71"/>
      <c r="W892" s="71"/>
    </row>
    <row r="893" spans="22:23">
      <c r="V893" s="71"/>
      <c r="W893" s="71"/>
    </row>
    <row r="894" spans="22:23">
      <c r="V894" s="71"/>
      <c r="W894" s="71"/>
    </row>
    <row r="895" spans="22:23">
      <c r="V895" s="71"/>
      <c r="W895" s="71"/>
    </row>
    <row r="896" spans="22:23">
      <c r="V896" s="71"/>
      <c r="W896" s="71"/>
    </row>
    <row r="897" spans="22:23">
      <c r="V897" s="71"/>
      <c r="W897" s="71"/>
    </row>
    <row r="898" spans="22:23">
      <c r="V898" s="71"/>
      <c r="W898" s="71"/>
    </row>
    <row r="899" spans="22:23">
      <c r="V899" s="71"/>
      <c r="W899" s="71"/>
    </row>
    <row r="900" spans="22:23">
      <c r="V900" s="71"/>
      <c r="W900" s="71"/>
    </row>
    <row r="901" spans="22:23">
      <c r="V901" s="71"/>
      <c r="W901" s="71"/>
    </row>
    <row r="902" spans="22:23">
      <c r="V902" s="71"/>
      <c r="W902" s="71"/>
    </row>
    <row r="903" spans="22:23">
      <c r="V903" s="71"/>
      <c r="W903" s="71"/>
    </row>
    <row r="904" spans="22:23">
      <c r="V904" s="71"/>
      <c r="W904" s="71"/>
    </row>
    <row r="905" spans="22:23">
      <c r="V905" s="71"/>
      <c r="W905" s="71"/>
    </row>
    <row r="906" spans="22:23">
      <c r="V906" s="71"/>
      <c r="W906" s="71"/>
    </row>
    <row r="907" spans="22:23">
      <c r="V907" s="71"/>
      <c r="W907" s="71"/>
    </row>
    <row r="908" spans="22:23">
      <c r="V908" s="71"/>
      <c r="W908" s="71"/>
    </row>
    <row r="909" spans="22:23">
      <c r="V909" s="71"/>
      <c r="W909" s="71"/>
    </row>
    <row r="910" spans="22:23">
      <c r="V910" s="71"/>
      <c r="W910" s="71"/>
    </row>
    <row r="911" spans="22:23">
      <c r="V911" s="71"/>
      <c r="W911" s="71"/>
    </row>
    <row r="912" spans="22:23">
      <c r="V912" s="71"/>
      <c r="W912" s="71"/>
    </row>
    <row r="913" spans="22:23">
      <c r="V913" s="71"/>
      <c r="W913" s="71"/>
    </row>
    <row r="914" spans="22:23">
      <c r="V914" s="71"/>
      <c r="W914" s="71"/>
    </row>
    <row r="915" spans="22:23">
      <c r="V915" s="71"/>
      <c r="W915" s="71"/>
    </row>
    <row r="916" spans="22:23">
      <c r="V916" s="71"/>
      <c r="W916" s="71"/>
    </row>
    <row r="917" spans="22:23">
      <c r="V917" s="71"/>
      <c r="W917" s="71"/>
    </row>
    <row r="918" spans="22:23">
      <c r="V918" s="71"/>
      <c r="W918" s="71"/>
    </row>
    <row r="919" spans="22:23">
      <c r="V919" s="71"/>
      <c r="W919" s="71"/>
    </row>
    <row r="920" spans="22:23">
      <c r="V920" s="71"/>
      <c r="W920" s="71"/>
    </row>
    <row r="921" spans="22:23">
      <c r="V921" s="71"/>
      <c r="W921" s="71"/>
    </row>
    <row r="922" spans="22:23">
      <c r="V922" s="71"/>
      <c r="W922" s="71"/>
    </row>
    <row r="923" spans="22:23">
      <c r="V923" s="71"/>
      <c r="W923" s="71"/>
    </row>
    <row r="924" spans="22:23">
      <c r="V924" s="71"/>
      <c r="W924" s="71"/>
    </row>
    <row r="925" spans="22:23">
      <c r="V925" s="71"/>
      <c r="W925" s="71"/>
    </row>
    <row r="926" spans="22:23">
      <c r="V926" s="71"/>
      <c r="W926" s="71"/>
    </row>
    <row r="927" spans="22:23">
      <c r="V927" s="71"/>
      <c r="W927" s="71"/>
    </row>
    <row r="928" spans="22:23">
      <c r="V928" s="71"/>
      <c r="W928" s="71"/>
    </row>
    <row r="929" spans="22:23">
      <c r="V929" s="71"/>
      <c r="W929" s="71"/>
    </row>
    <row r="930" spans="22:23">
      <c r="V930" s="71"/>
      <c r="W930" s="71"/>
    </row>
    <row r="931" spans="22:23">
      <c r="V931" s="71"/>
      <c r="W931" s="71"/>
    </row>
    <row r="932" spans="22:23">
      <c r="V932" s="71"/>
      <c r="W932" s="71"/>
    </row>
    <row r="933" spans="22:23">
      <c r="V933" s="71"/>
      <c r="W933" s="71"/>
    </row>
    <row r="934" spans="22:23">
      <c r="V934" s="71"/>
      <c r="W934" s="71"/>
    </row>
    <row r="935" spans="22:23">
      <c r="V935" s="71"/>
      <c r="W935" s="71"/>
    </row>
    <row r="936" spans="22:23">
      <c r="V936" s="71"/>
      <c r="W936" s="71"/>
    </row>
    <row r="937" spans="22:23">
      <c r="V937" s="71"/>
      <c r="W937" s="71"/>
    </row>
    <row r="938" spans="22:23">
      <c r="V938" s="71"/>
      <c r="W938" s="71"/>
    </row>
    <row r="939" spans="22:23">
      <c r="V939" s="71"/>
      <c r="W939" s="71"/>
    </row>
    <row r="940" spans="22:23">
      <c r="V940" s="71"/>
      <c r="W940" s="71"/>
    </row>
    <row r="941" spans="22:23">
      <c r="V941" s="71"/>
      <c r="W941" s="71"/>
    </row>
    <row r="942" spans="22:23">
      <c r="V942" s="71"/>
      <c r="W942" s="71"/>
    </row>
    <row r="943" spans="22:23">
      <c r="V943" s="71"/>
      <c r="W943" s="71"/>
    </row>
    <row r="944" spans="22:23">
      <c r="V944" s="71"/>
      <c r="W944" s="71"/>
    </row>
    <row r="945" spans="22:23">
      <c r="V945" s="71"/>
      <c r="W945" s="71"/>
    </row>
    <row r="946" spans="22:23">
      <c r="V946" s="71"/>
      <c r="W946" s="71"/>
    </row>
    <row r="947" spans="22:23">
      <c r="V947" s="71"/>
      <c r="W947" s="71"/>
    </row>
    <row r="948" spans="22:23">
      <c r="V948" s="71"/>
      <c r="W948" s="71"/>
    </row>
    <row r="949" spans="22:23">
      <c r="V949" s="71"/>
      <c r="W949" s="71"/>
    </row>
    <row r="950" spans="22:23">
      <c r="V950" s="71"/>
      <c r="W950" s="71"/>
    </row>
    <row r="951" spans="22:23">
      <c r="V951" s="71"/>
      <c r="W951" s="71"/>
    </row>
    <row r="952" spans="22:23">
      <c r="V952" s="71"/>
      <c r="W952" s="71"/>
    </row>
    <row r="953" spans="22:23">
      <c r="V953" s="71"/>
      <c r="W953" s="71"/>
    </row>
    <row r="954" spans="22:23">
      <c r="V954" s="71"/>
      <c r="W954" s="71"/>
    </row>
    <row r="955" spans="22:23">
      <c r="V955" s="71"/>
      <c r="W955" s="71"/>
    </row>
    <row r="956" spans="22:23">
      <c r="V956" s="71"/>
      <c r="W956" s="71"/>
    </row>
    <row r="957" spans="22:23">
      <c r="V957" s="71"/>
      <c r="W957" s="71"/>
    </row>
    <row r="958" spans="22:23">
      <c r="V958" s="71"/>
      <c r="W958" s="71"/>
    </row>
    <row r="959" spans="22:23">
      <c r="V959" s="71"/>
      <c r="W959" s="71"/>
    </row>
    <row r="960" spans="22:23">
      <c r="V960" s="71"/>
      <c r="W960" s="71"/>
    </row>
    <row r="961" spans="22:23">
      <c r="V961" s="71"/>
      <c r="W961" s="71"/>
    </row>
    <row r="962" spans="22:23">
      <c r="V962" s="71"/>
      <c r="W962" s="71"/>
    </row>
    <row r="963" spans="22:23">
      <c r="V963" s="71"/>
      <c r="W963" s="71"/>
    </row>
    <row r="964" spans="22:23">
      <c r="V964" s="71"/>
      <c r="W964" s="71"/>
    </row>
    <row r="965" spans="22:23">
      <c r="V965" s="71"/>
      <c r="W965" s="71"/>
    </row>
    <row r="966" spans="22:23">
      <c r="V966" s="71"/>
      <c r="W966" s="71"/>
    </row>
    <row r="967" spans="22:23">
      <c r="V967" s="71"/>
      <c r="W967" s="71"/>
    </row>
    <row r="968" spans="22:23">
      <c r="V968" s="71"/>
      <c r="W968" s="71"/>
    </row>
    <row r="969" spans="22:23">
      <c r="V969" s="71"/>
      <c r="W969" s="71"/>
    </row>
    <row r="970" spans="22:23">
      <c r="V970" s="71"/>
      <c r="W970" s="71"/>
    </row>
    <row r="971" spans="22:23">
      <c r="V971" s="71"/>
      <c r="W971" s="71"/>
    </row>
    <row r="972" spans="22:23">
      <c r="V972" s="71"/>
      <c r="W972" s="71"/>
    </row>
    <row r="973" spans="22:23">
      <c r="V973" s="71"/>
      <c r="W973" s="71"/>
    </row>
    <row r="974" spans="22:23">
      <c r="V974" s="71"/>
      <c r="W974" s="71"/>
    </row>
    <row r="975" spans="22:23">
      <c r="V975" s="71"/>
      <c r="W975" s="71"/>
    </row>
    <row r="976" spans="22:23">
      <c r="V976" s="71"/>
      <c r="W976" s="71"/>
    </row>
    <row r="977" spans="22:23">
      <c r="V977" s="71"/>
      <c r="W977" s="71"/>
    </row>
    <row r="978" spans="22:23">
      <c r="V978" s="71"/>
      <c r="W978" s="71"/>
    </row>
    <row r="979" spans="22:23">
      <c r="V979" s="71"/>
      <c r="W979" s="71"/>
    </row>
    <row r="980" spans="22:23">
      <c r="V980" s="71"/>
      <c r="W980" s="71"/>
    </row>
    <row r="981" spans="22:23">
      <c r="V981" s="71"/>
      <c r="W981" s="71"/>
    </row>
    <row r="982" spans="22:23">
      <c r="V982" s="71"/>
      <c r="W982" s="71"/>
    </row>
    <row r="983" spans="22:23">
      <c r="V983" s="71"/>
      <c r="W983" s="71"/>
    </row>
    <row r="984" spans="22:23">
      <c r="V984" s="71"/>
      <c r="W984" s="71"/>
    </row>
    <row r="985" spans="22:23">
      <c r="V985" s="71"/>
      <c r="W985" s="71"/>
    </row>
    <row r="986" spans="22:23">
      <c r="V986" s="71"/>
      <c r="W986" s="71"/>
    </row>
    <row r="987" spans="22:23">
      <c r="V987" s="71"/>
      <c r="W987" s="71"/>
    </row>
    <row r="988" spans="22:23">
      <c r="V988" s="71"/>
      <c r="W988" s="71"/>
    </row>
    <row r="989" spans="22:23">
      <c r="V989" s="71"/>
      <c r="W989" s="71"/>
    </row>
    <row r="990" spans="22:23">
      <c r="V990" s="71"/>
      <c r="W990" s="71"/>
    </row>
    <row r="991" spans="22:23">
      <c r="V991" s="71"/>
      <c r="W991" s="71"/>
    </row>
    <row r="992" spans="22:23">
      <c r="V992" s="71"/>
      <c r="W992" s="71"/>
    </row>
    <row r="993" spans="22:23">
      <c r="V993" s="71"/>
      <c r="W993" s="71"/>
    </row>
    <row r="994" spans="22:23">
      <c r="V994" s="71"/>
      <c r="W994" s="71"/>
    </row>
    <row r="995" spans="22:23">
      <c r="V995" s="71"/>
      <c r="W995" s="71"/>
    </row>
    <row r="996" spans="22:23">
      <c r="V996" s="71"/>
      <c r="W996" s="71"/>
    </row>
    <row r="997" spans="22:23">
      <c r="V997" s="71"/>
      <c r="W997" s="71"/>
    </row>
    <row r="998" spans="22:23">
      <c r="V998" s="71"/>
      <c r="W998" s="71"/>
    </row>
    <row r="999" spans="22:23">
      <c r="V999" s="71"/>
      <c r="W999" s="71"/>
    </row>
    <row r="1000" spans="22:23">
      <c r="V1000" s="71"/>
      <c r="W1000" s="71"/>
    </row>
    <row r="1001" spans="22:23">
      <c r="V1001" s="71"/>
      <c r="W1001" s="71"/>
    </row>
    <row r="1002" spans="22:23">
      <c r="V1002" s="71"/>
      <c r="W1002" s="71"/>
    </row>
    <row r="1003" spans="22:23">
      <c r="V1003" s="71"/>
      <c r="W1003" s="71"/>
    </row>
    <row r="1004" spans="22:23">
      <c r="V1004" s="71"/>
      <c r="W1004" s="71"/>
    </row>
    <row r="1005" spans="22:23">
      <c r="V1005" s="71"/>
      <c r="W1005" s="71"/>
    </row>
    <row r="1006" spans="22:23">
      <c r="V1006" s="71"/>
      <c r="W1006" s="71"/>
    </row>
    <row r="1007" spans="22:23">
      <c r="V1007" s="71"/>
      <c r="W1007" s="71"/>
    </row>
    <row r="1008" spans="22:23">
      <c r="V1008" s="71"/>
      <c r="W1008" s="71"/>
    </row>
    <row r="1009" spans="22:23">
      <c r="V1009" s="71"/>
      <c r="W1009" s="71"/>
    </row>
    <row r="1010" spans="22:23">
      <c r="V1010" s="71"/>
      <c r="W1010" s="71"/>
    </row>
    <row r="1011" spans="22:23">
      <c r="V1011" s="71"/>
      <c r="W1011" s="71"/>
    </row>
    <row r="1012" spans="22:23">
      <c r="V1012" s="71"/>
      <c r="W1012" s="71"/>
    </row>
    <row r="1013" spans="22:23">
      <c r="V1013" s="71"/>
      <c r="W1013" s="71"/>
    </row>
    <row r="1014" spans="22:23">
      <c r="V1014" s="71"/>
      <c r="W1014" s="71"/>
    </row>
    <row r="1015" spans="22:23">
      <c r="V1015" s="71"/>
      <c r="W1015" s="71"/>
    </row>
    <row r="1016" spans="22:23">
      <c r="V1016" s="71"/>
      <c r="W1016" s="71"/>
    </row>
    <row r="1017" spans="22:23">
      <c r="V1017" s="71"/>
      <c r="W1017" s="71"/>
    </row>
    <row r="1018" spans="22:23">
      <c r="V1018" s="71"/>
      <c r="W1018" s="71"/>
    </row>
    <row r="1019" spans="22:23">
      <c r="V1019" s="71"/>
      <c r="W1019" s="71"/>
    </row>
    <row r="1020" spans="22:23">
      <c r="V1020" s="71"/>
      <c r="W1020" s="71"/>
    </row>
    <row r="1021" spans="22:23">
      <c r="V1021" s="71"/>
      <c r="W1021" s="71"/>
    </row>
    <row r="1022" spans="22:23">
      <c r="V1022" s="71"/>
      <c r="W1022" s="71"/>
    </row>
    <row r="1023" spans="22:23">
      <c r="V1023" s="71"/>
      <c r="W1023" s="71"/>
    </row>
    <row r="1024" spans="22:23">
      <c r="V1024" s="71"/>
      <c r="W1024" s="71"/>
    </row>
    <row r="1025" spans="22:23">
      <c r="V1025" s="71"/>
      <c r="W1025" s="71"/>
    </row>
    <row r="1026" spans="22:23">
      <c r="V1026" s="71"/>
      <c r="W1026" s="71"/>
    </row>
    <row r="1027" spans="22:23">
      <c r="V1027" s="71"/>
      <c r="W1027" s="71"/>
    </row>
    <row r="1028" spans="22:23">
      <c r="V1028" s="71"/>
      <c r="W1028" s="71"/>
    </row>
    <row r="1029" spans="22:23">
      <c r="V1029" s="71"/>
      <c r="W1029" s="71"/>
    </row>
    <row r="1030" spans="22:23">
      <c r="V1030" s="71"/>
      <c r="W1030" s="71"/>
    </row>
    <row r="1031" spans="22:23">
      <c r="V1031" s="71"/>
      <c r="W1031" s="71"/>
    </row>
    <row r="1032" spans="22:23">
      <c r="V1032" s="71"/>
      <c r="W1032" s="71"/>
    </row>
    <row r="1033" spans="22:23">
      <c r="V1033" s="71"/>
      <c r="W1033" s="71"/>
    </row>
    <row r="1034" spans="22:23">
      <c r="V1034" s="71"/>
      <c r="W1034" s="71"/>
    </row>
    <row r="1035" spans="22:23">
      <c r="V1035" s="71"/>
      <c r="W1035" s="71"/>
    </row>
    <row r="1036" spans="22:23">
      <c r="V1036" s="71"/>
      <c r="W1036" s="71"/>
    </row>
    <row r="1037" spans="22:23">
      <c r="V1037" s="71"/>
      <c r="W1037" s="71"/>
    </row>
    <row r="1038" spans="22:23">
      <c r="V1038" s="71"/>
      <c r="W1038" s="71"/>
    </row>
    <row r="1039" spans="22:23">
      <c r="V1039" s="71"/>
      <c r="W1039" s="71"/>
    </row>
    <row r="1040" spans="22:23">
      <c r="V1040" s="71"/>
      <c r="W1040" s="71"/>
    </row>
    <row r="1041" spans="22:23">
      <c r="V1041" s="71"/>
      <c r="W1041" s="71"/>
    </row>
    <row r="1042" spans="22:23">
      <c r="V1042" s="71"/>
      <c r="W1042" s="71"/>
    </row>
    <row r="1043" spans="22:23">
      <c r="V1043" s="71"/>
      <c r="W1043" s="71"/>
    </row>
    <row r="1044" spans="22:23">
      <c r="V1044" s="71"/>
      <c r="W1044" s="71"/>
    </row>
    <row r="1045" spans="22:23">
      <c r="V1045" s="71"/>
      <c r="W1045" s="71"/>
    </row>
    <row r="1046" spans="22:23">
      <c r="V1046" s="71"/>
      <c r="W1046" s="71"/>
    </row>
    <row r="1047" spans="22:23">
      <c r="V1047" s="71"/>
      <c r="W1047" s="71"/>
    </row>
    <row r="1048" spans="22:23">
      <c r="V1048" s="71"/>
      <c r="W1048" s="71"/>
    </row>
    <row r="1049" spans="22:23">
      <c r="V1049" s="71"/>
      <c r="W1049" s="71"/>
    </row>
    <row r="1050" spans="22:23">
      <c r="V1050" s="71"/>
      <c r="W1050" s="71"/>
    </row>
    <row r="1051" spans="22:23">
      <c r="V1051" s="71"/>
      <c r="W1051" s="71"/>
    </row>
    <row r="1052" spans="22:23">
      <c r="V1052" s="71"/>
      <c r="W1052" s="71"/>
    </row>
    <row r="1053" spans="22:23">
      <c r="V1053" s="71"/>
      <c r="W1053" s="71"/>
    </row>
    <row r="1054" spans="22:23">
      <c r="V1054" s="71"/>
      <c r="W1054" s="71"/>
    </row>
    <row r="1055" spans="22:23">
      <c r="V1055" s="71"/>
      <c r="W1055" s="71"/>
    </row>
    <row r="1056" spans="22:23">
      <c r="V1056" s="71"/>
      <c r="W1056" s="71"/>
    </row>
    <row r="1057" spans="22:23">
      <c r="V1057" s="71"/>
      <c r="W1057" s="71"/>
    </row>
    <row r="1058" spans="22:23">
      <c r="V1058" s="71"/>
      <c r="W1058" s="71"/>
    </row>
    <row r="1059" spans="22:23">
      <c r="V1059" s="71"/>
      <c r="W1059" s="71"/>
    </row>
    <row r="1060" spans="22:23">
      <c r="V1060" s="71"/>
      <c r="W1060" s="71"/>
    </row>
    <row r="1061" spans="22:23">
      <c r="V1061" s="71"/>
      <c r="W1061" s="71"/>
    </row>
    <row r="1062" spans="22:23">
      <c r="V1062" s="71"/>
      <c r="W1062" s="71"/>
    </row>
    <row r="1063" spans="22:23">
      <c r="V1063" s="71"/>
      <c r="W1063" s="71"/>
    </row>
    <row r="1064" spans="22:23">
      <c r="V1064" s="71"/>
      <c r="W1064" s="71"/>
    </row>
    <row r="1065" spans="22:23">
      <c r="V1065" s="71"/>
      <c r="W1065" s="71"/>
    </row>
    <row r="1066" spans="22:23">
      <c r="V1066" s="71"/>
      <c r="W1066" s="71"/>
    </row>
    <row r="1067" spans="22:23">
      <c r="V1067" s="71"/>
      <c r="W1067" s="71"/>
    </row>
    <row r="1068" spans="22:23">
      <c r="V1068" s="71"/>
      <c r="W1068" s="71"/>
    </row>
    <row r="1069" spans="22:23">
      <c r="V1069" s="71"/>
      <c r="W1069" s="71"/>
    </row>
    <row r="1070" spans="22:23">
      <c r="V1070" s="71"/>
      <c r="W1070" s="71"/>
    </row>
    <row r="1071" spans="22:23">
      <c r="V1071" s="71"/>
      <c r="W1071" s="71"/>
    </row>
    <row r="1072" spans="22:23">
      <c r="V1072" s="71"/>
      <c r="W1072" s="71"/>
    </row>
    <row r="1073" spans="22:23">
      <c r="V1073" s="71"/>
      <c r="W1073" s="71"/>
    </row>
    <row r="1074" spans="22:23">
      <c r="V1074" s="71"/>
      <c r="W1074" s="71"/>
    </row>
    <row r="1075" spans="22:23">
      <c r="V1075" s="71"/>
      <c r="W1075" s="71"/>
    </row>
    <row r="1076" spans="22:23">
      <c r="V1076" s="71"/>
      <c r="W1076" s="71"/>
    </row>
    <row r="1077" spans="22:23">
      <c r="V1077" s="71"/>
      <c r="W1077" s="71"/>
    </row>
    <row r="1078" spans="22:23">
      <c r="V1078" s="71"/>
      <c r="W1078" s="71"/>
    </row>
    <row r="1079" spans="22:23">
      <c r="V1079" s="71"/>
      <c r="W1079" s="71"/>
    </row>
    <row r="1080" spans="22:23">
      <c r="V1080" s="71"/>
      <c r="W1080" s="71"/>
    </row>
    <row r="1081" spans="22:23">
      <c r="V1081" s="71"/>
      <c r="W1081" s="71"/>
    </row>
    <row r="1082" spans="22:23">
      <c r="V1082" s="71"/>
      <c r="W1082" s="71"/>
    </row>
    <row r="1083" spans="22:23">
      <c r="V1083" s="71"/>
      <c r="W1083" s="71"/>
    </row>
    <row r="1084" spans="22:23">
      <c r="V1084" s="71"/>
      <c r="W1084" s="71"/>
    </row>
    <row r="1085" spans="22:23">
      <c r="V1085" s="71"/>
      <c r="W1085" s="71"/>
    </row>
    <row r="1086" spans="22:23">
      <c r="V1086" s="71"/>
      <c r="W1086" s="71"/>
    </row>
    <row r="1087" spans="22:23">
      <c r="V1087" s="71"/>
      <c r="W1087" s="71"/>
    </row>
    <row r="1088" spans="22:23">
      <c r="V1088" s="71"/>
      <c r="W1088" s="71"/>
    </row>
    <row r="1089" spans="22:23">
      <c r="V1089" s="71"/>
      <c r="W1089" s="71"/>
    </row>
    <row r="1090" spans="22:23">
      <c r="V1090" s="71"/>
      <c r="W1090" s="71"/>
    </row>
    <row r="1091" spans="22:23">
      <c r="V1091" s="71"/>
      <c r="W1091" s="71"/>
    </row>
    <row r="1092" spans="22:23">
      <c r="V1092" s="71"/>
      <c r="W1092" s="71"/>
    </row>
    <row r="1093" spans="22:23">
      <c r="V1093" s="71"/>
      <c r="W1093" s="71"/>
    </row>
    <row r="1094" spans="22:23">
      <c r="V1094" s="71"/>
      <c r="W1094" s="71"/>
    </row>
    <row r="1095" spans="22:23">
      <c r="V1095" s="71"/>
      <c r="W1095" s="71"/>
    </row>
    <row r="1096" spans="22:23">
      <c r="V1096" s="71"/>
      <c r="W1096" s="71"/>
    </row>
    <row r="1097" spans="22:23">
      <c r="V1097" s="71"/>
      <c r="W1097" s="71"/>
    </row>
    <row r="1098" spans="22:23">
      <c r="V1098" s="71"/>
      <c r="W1098" s="71"/>
    </row>
    <row r="1099" spans="22:23">
      <c r="V1099" s="71"/>
      <c r="W1099" s="71"/>
    </row>
    <row r="1100" spans="22:23">
      <c r="V1100" s="71"/>
      <c r="W1100" s="71"/>
    </row>
    <row r="1101" spans="22:23">
      <c r="V1101" s="71"/>
      <c r="W1101" s="71"/>
    </row>
    <row r="1102" spans="22:23">
      <c r="V1102" s="71"/>
      <c r="W1102" s="71"/>
    </row>
    <row r="1103" spans="22:23">
      <c r="V1103" s="71"/>
      <c r="W1103" s="71"/>
    </row>
    <row r="1104" spans="22:23">
      <c r="V1104" s="71"/>
      <c r="W1104" s="71"/>
    </row>
    <row r="1105" spans="22:23">
      <c r="V1105" s="71"/>
      <c r="W1105" s="71"/>
    </row>
    <row r="1106" spans="22:23">
      <c r="V1106" s="71"/>
      <c r="W1106" s="71"/>
    </row>
    <row r="1107" spans="22:23">
      <c r="V1107" s="71"/>
      <c r="W1107" s="71"/>
    </row>
    <row r="1108" spans="22:23">
      <c r="V1108" s="71"/>
      <c r="W1108" s="71"/>
    </row>
    <row r="1109" spans="22:23">
      <c r="V1109" s="71"/>
      <c r="W1109" s="71"/>
    </row>
    <row r="1110" spans="22:23">
      <c r="V1110" s="71"/>
      <c r="W1110" s="71"/>
    </row>
    <row r="1111" spans="22:23">
      <c r="V1111" s="71"/>
      <c r="W1111" s="71"/>
    </row>
    <row r="1112" spans="22:23">
      <c r="V1112" s="71"/>
      <c r="W1112" s="71"/>
    </row>
    <row r="1113" spans="22:23">
      <c r="V1113" s="71"/>
      <c r="W1113" s="71"/>
    </row>
    <row r="1114" spans="22:23">
      <c r="V1114" s="71"/>
      <c r="W1114" s="71"/>
    </row>
    <row r="1115" spans="22:23">
      <c r="V1115" s="71"/>
      <c r="W1115" s="71"/>
    </row>
    <row r="1116" spans="22:23">
      <c r="V1116" s="71"/>
      <c r="W1116" s="71"/>
    </row>
    <row r="1117" spans="22:23">
      <c r="V1117" s="71"/>
      <c r="W1117" s="71"/>
    </row>
    <row r="1118" spans="22:23">
      <c r="V1118" s="71"/>
      <c r="W1118" s="71"/>
    </row>
    <row r="1119" spans="22:23">
      <c r="V1119" s="71"/>
      <c r="W1119" s="71"/>
    </row>
    <row r="1120" spans="22:23">
      <c r="V1120" s="71"/>
      <c r="W1120" s="71"/>
    </row>
    <row r="1121" spans="22:23">
      <c r="V1121" s="71"/>
      <c r="W1121" s="71"/>
    </row>
    <row r="1122" spans="22:23">
      <c r="V1122" s="71"/>
      <c r="W1122" s="71"/>
    </row>
    <row r="1123" spans="22:23">
      <c r="V1123" s="71"/>
      <c r="W1123" s="71"/>
    </row>
    <row r="1124" spans="22:23">
      <c r="V1124" s="71"/>
      <c r="W1124" s="71"/>
    </row>
    <row r="1125" spans="22:23">
      <c r="V1125" s="71"/>
      <c r="W1125" s="71"/>
    </row>
    <row r="1126" spans="22:23">
      <c r="V1126" s="71"/>
      <c r="W1126" s="71"/>
    </row>
    <row r="1127" spans="22:23">
      <c r="V1127" s="71"/>
      <c r="W1127" s="71"/>
    </row>
    <row r="1128" spans="22:23">
      <c r="V1128" s="71"/>
      <c r="W1128" s="71"/>
    </row>
    <row r="1129" spans="22:23">
      <c r="V1129" s="71"/>
      <c r="W1129" s="71"/>
    </row>
    <row r="1130" spans="22:23">
      <c r="V1130" s="71"/>
      <c r="W1130" s="71"/>
    </row>
    <row r="1131" spans="22:23">
      <c r="V1131" s="71"/>
      <c r="W1131" s="71"/>
    </row>
    <row r="1132" spans="22:23">
      <c r="V1132" s="71"/>
      <c r="W1132" s="71"/>
    </row>
    <row r="1133" spans="22:23">
      <c r="V1133" s="71"/>
      <c r="W1133" s="71"/>
    </row>
    <row r="1134" spans="22:23">
      <c r="V1134" s="71"/>
      <c r="W1134" s="71"/>
    </row>
    <row r="1135" spans="22:23">
      <c r="V1135" s="71"/>
      <c r="W1135" s="71"/>
    </row>
    <row r="1136" spans="22:23">
      <c r="V1136" s="71"/>
      <c r="W1136" s="71"/>
    </row>
    <row r="1137" spans="22:23">
      <c r="V1137" s="71"/>
      <c r="W1137" s="71"/>
    </row>
    <row r="1138" spans="22:23">
      <c r="V1138" s="71"/>
      <c r="W1138" s="71"/>
    </row>
    <row r="1139" spans="22:23">
      <c r="V1139" s="71"/>
      <c r="W1139" s="71"/>
    </row>
    <row r="1140" spans="22:23">
      <c r="V1140" s="71"/>
      <c r="W1140" s="71"/>
    </row>
    <row r="1141" spans="22:23">
      <c r="V1141" s="71"/>
      <c r="W1141" s="71"/>
    </row>
    <row r="1142" spans="22:23">
      <c r="V1142" s="71"/>
      <c r="W1142" s="71"/>
    </row>
    <row r="1143" spans="22:23">
      <c r="V1143" s="71"/>
      <c r="W1143" s="71"/>
    </row>
    <row r="1144" spans="22:23">
      <c r="V1144" s="71"/>
      <c r="W1144" s="71"/>
    </row>
    <row r="1145" spans="22:23">
      <c r="V1145" s="71"/>
      <c r="W1145" s="71"/>
    </row>
    <row r="1146" spans="22:23">
      <c r="V1146" s="71"/>
      <c r="W1146" s="71"/>
    </row>
    <row r="1147" spans="22:23">
      <c r="V1147" s="71"/>
      <c r="W1147" s="71"/>
    </row>
    <row r="1148" spans="22:23">
      <c r="V1148" s="71"/>
      <c r="W1148" s="71"/>
    </row>
    <row r="1149" spans="22:23">
      <c r="V1149" s="71"/>
      <c r="W1149" s="71"/>
    </row>
    <row r="1150" spans="22:23">
      <c r="V1150" s="71"/>
      <c r="W1150" s="71"/>
    </row>
    <row r="1151" spans="22:23">
      <c r="V1151" s="71"/>
      <c r="W1151" s="71"/>
    </row>
    <row r="1152" spans="22:23">
      <c r="V1152" s="71"/>
      <c r="W1152" s="71"/>
    </row>
    <row r="1153" spans="22:23">
      <c r="V1153" s="71"/>
      <c r="W1153" s="71"/>
    </row>
    <row r="1154" spans="22:23">
      <c r="V1154" s="71"/>
      <c r="W1154" s="71"/>
    </row>
    <row r="1155" spans="22:23">
      <c r="V1155" s="71"/>
      <c r="W1155" s="71"/>
    </row>
    <row r="1156" spans="22:23">
      <c r="V1156" s="71"/>
      <c r="W1156" s="71"/>
    </row>
    <row r="1157" spans="22:23">
      <c r="V1157" s="71"/>
      <c r="W1157" s="71"/>
    </row>
    <row r="1158" spans="22:23">
      <c r="V1158" s="71"/>
      <c r="W1158" s="71"/>
    </row>
    <row r="1159" spans="22:23">
      <c r="V1159" s="71"/>
      <c r="W1159" s="71"/>
    </row>
    <row r="1160" spans="22:23">
      <c r="V1160" s="71"/>
      <c r="W1160" s="71"/>
    </row>
    <row r="1161" spans="22:23">
      <c r="V1161" s="71"/>
      <c r="W1161" s="71"/>
    </row>
    <row r="1162" spans="22:23">
      <c r="V1162" s="71"/>
      <c r="W1162" s="71"/>
    </row>
    <row r="1163" spans="22:23">
      <c r="V1163" s="71"/>
      <c r="W1163" s="71"/>
    </row>
    <row r="1164" spans="22:23">
      <c r="V1164" s="71"/>
      <c r="W1164" s="71"/>
    </row>
    <row r="1165" spans="22:23">
      <c r="V1165" s="71"/>
      <c r="W1165" s="71"/>
    </row>
    <row r="1166" spans="22:23">
      <c r="V1166" s="71"/>
      <c r="W1166" s="71"/>
    </row>
    <row r="1167" spans="22:23">
      <c r="V1167" s="71"/>
      <c r="W1167" s="71"/>
    </row>
    <row r="1168" spans="22:23">
      <c r="V1168" s="71"/>
      <c r="W1168" s="71"/>
    </row>
    <row r="1169" spans="22:23">
      <c r="V1169" s="71"/>
      <c r="W1169" s="71"/>
    </row>
    <row r="1170" spans="22:23">
      <c r="V1170" s="71"/>
      <c r="W1170" s="71"/>
    </row>
    <row r="1171" spans="22:23">
      <c r="V1171" s="71"/>
      <c r="W1171" s="71"/>
    </row>
    <row r="1172" spans="22:23">
      <c r="V1172" s="71"/>
      <c r="W1172" s="71"/>
    </row>
    <row r="1173" spans="22:23">
      <c r="V1173" s="71"/>
      <c r="W1173" s="71"/>
    </row>
    <row r="1174" spans="22:23">
      <c r="V1174" s="71"/>
      <c r="W1174" s="71"/>
    </row>
    <row r="1175" spans="22:23">
      <c r="V1175" s="71"/>
      <c r="W1175" s="71"/>
    </row>
    <row r="1176" spans="22:23">
      <c r="V1176" s="71"/>
      <c r="W1176" s="71"/>
    </row>
    <row r="1177" spans="22:23">
      <c r="V1177" s="71"/>
      <c r="W1177" s="71"/>
    </row>
    <row r="1178" spans="22:23">
      <c r="V1178" s="71"/>
      <c r="W1178" s="71"/>
    </row>
    <row r="1179" spans="22:23">
      <c r="V1179" s="71"/>
      <c r="W1179" s="71"/>
    </row>
    <row r="1180" spans="22:23">
      <c r="V1180" s="71"/>
      <c r="W1180" s="71"/>
    </row>
    <row r="1181" spans="22:23">
      <c r="V1181" s="71"/>
      <c r="W1181" s="71"/>
    </row>
    <row r="1182" spans="22:23">
      <c r="V1182" s="71"/>
      <c r="W1182" s="71"/>
    </row>
    <row r="1183" spans="22:23">
      <c r="V1183" s="71"/>
      <c r="W1183" s="71"/>
    </row>
    <row r="1184" spans="22:23">
      <c r="V1184" s="71"/>
      <c r="W1184" s="71"/>
    </row>
    <row r="1185" spans="22:23">
      <c r="V1185" s="71"/>
      <c r="W1185" s="71"/>
    </row>
    <row r="1186" spans="22:23">
      <c r="V1186" s="71"/>
      <c r="W1186" s="71"/>
    </row>
    <row r="1187" spans="22:23">
      <c r="V1187" s="71"/>
      <c r="W1187" s="71"/>
    </row>
    <row r="1188" spans="22:23">
      <c r="V1188" s="71"/>
      <c r="W1188" s="71"/>
    </row>
    <row r="1189" spans="22:23">
      <c r="V1189" s="71"/>
      <c r="W1189" s="71"/>
    </row>
    <row r="1190" spans="22:23">
      <c r="V1190" s="71"/>
      <c r="W1190" s="71"/>
    </row>
    <row r="1191" spans="22:23">
      <c r="V1191" s="71"/>
      <c r="W1191" s="71"/>
    </row>
    <row r="1192" spans="22:23">
      <c r="V1192" s="71"/>
      <c r="W1192" s="71"/>
    </row>
    <row r="1193" spans="22:23">
      <c r="V1193" s="71"/>
      <c r="W1193" s="71"/>
    </row>
    <row r="1194" spans="22:23">
      <c r="V1194" s="71"/>
      <c r="W1194" s="71"/>
    </row>
    <row r="1195" spans="22:23">
      <c r="V1195" s="71"/>
      <c r="W1195" s="71"/>
    </row>
    <row r="1196" spans="22:23">
      <c r="V1196" s="71"/>
      <c r="W1196" s="71"/>
    </row>
    <row r="1197" spans="22:23">
      <c r="V1197" s="71"/>
      <c r="W1197" s="71"/>
    </row>
    <row r="1198" spans="22:23">
      <c r="V1198" s="71"/>
      <c r="W1198" s="71"/>
    </row>
    <row r="1199" spans="22:23">
      <c r="V1199" s="71"/>
      <c r="W1199" s="71"/>
    </row>
    <row r="1200" spans="22:23">
      <c r="V1200" s="71"/>
      <c r="W1200" s="71"/>
    </row>
    <row r="1201" spans="22:23">
      <c r="V1201" s="71"/>
      <c r="W1201" s="71"/>
    </row>
    <row r="1202" spans="22:23">
      <c r="V1202" s="71"/>
      <c r="W1202" s="71"/>
    </row>
    <row r="1203" spans="22:23">
      <c r="V1203" s="71"/>
      <c r="W1203" s="71"/>
    </row>
    <row r="1204" spans="22:23">
      <c r="V1204" s="71"/>
      <c r="W1204" s="71"/>
    </row>
    <row r="1205" spans="22:23">
      <c r="V1205" s="71"/>
      <c r="W1205" s="71"/>
    </row>
    <row r="1206" spans="22:23">
      <c r="V1206" s="71"/>
      <c r="W1206" s="71"/>
    </row>
    <row r="1207" spans="22:23">
      <c r="V1207" s="71"/>
      <c r="W1207" s="71"/>
    </row>
    <row r="1208" spans="22:23">
      <c r="V1208" s="71"/>
      <c r="W1208" s="71"/>
    </row>
    <row r="1209" spans="22:23">
      <c r="V1209" s="71"/>
      <c r="W1209" s="71"/>
    </row>
    <row r="1210" spans="22:23">
      <c r="V1210" s="71"/>
      <c r="W1210" s="71"/>
    </row>
    <row r="1211" spans="22:23">
      <c r="V1211" s="71"/>
      <c r="W1211" s="71"/>
    </row>
    <row r="1212" spans="22:23">
      <c r="V1212" s="71"/>
      <c r="W1212" s="71"/>
    </row>
    <row r="1213" spans="22:23">
      <c r="V1213" s="71"/>
      <c r="W1213" s="71"/>
    </row>
    <row r="1214" spans="22:23">
      <c r="V1214" s="71"/>
      <c r="W1214" s="71"/>
    </row>
    <row r="1215" spans="22:23">
      <c r="V1215" s="71"/>
      <c r="W1215" s="71"/>
    </row>
    <row r="1216" spans="22:23">
      <c r="V1216" s="71"/>
      <c r="W1216" s="71"/>
    </row>
    <row r="1217" spans="22:23">
      <c r="V1217" s="71"/>
      <c r="W1217" s="71"/>
    </row>
    <row r="1218" spans="22:23">
      <c r="V1218" s="71"/>
      <c r="W1218" s="71"/>
    </row>
    <row r="1219" spans="22:23">
      <c r="V1219" s="71"/>
      <c r="W1219" s="71"/>
    </row>
    <row r="1220" spans="22:23">
      <c r="V1220" s="71"/>
      <c r="W1220" s="71"/>
    </row>
    <row r="1221" spans="22:23">
      <c r="V1221" s="71"/>
      <c r="W1221" s="71"/>
    </row>
    <row r="1222" spans="22:23">
      <c r="V1222" s="71"/>
      <c r="W1222" s="71"/>
    </row>
    <row r="1223" spans="22:23">
      <c r="V1223" s="71"/>
      <c r="W1223" s="71"/>
    </row>
    <row r="1224" spans="22:23">
      <c r="V1224" s="71"/>
      <c r="W1224" s="71"/>
    </row>
    <row r="1225" spans="22:23">
      <c r="V1225" s="71"/>
      <c r="W1225" s="71"/>
    </row>
    <row r="1226" spans="22:23">
      <c r="V1226" s="71"/>
      <c r="W1226" s="71"/>
    </row>
    <row r="1227" spans="22:23">
      <c r="V1227" s="71"/>
      <c r="W1227" s="71"/>
    </row>
    <row r="1228" spans="22:23">
      <c r="V1228" s="71"/>
      <c r="W1228" s="71"/>
    </row>
    <row r="1229" spans="22:23">
      <c r="V1229" s="71"/>
      <c r="W1229" s="71"/>
    </row>
    <row r="1230" spans="22:23">
      <c r="V1230" s="71"/>
      <c r="W1230" s="71"/>
    </row>
    <row r="1231" spans="22:23">
      <c r="V1231" s="71"/>
      <c r="W1231" s="71"/>
    </row>
    <row r="1232" spans="22:23">
      <c r="V1232" s="71"/>
      <c r="W1232" s="71"/>
    </row>
    <row r="1233" spans="22:23">
      <c r="V1233" s="71"/>
      <c r="W1233" s="71"/>
    </row>
    <row r="1234" spans="22:23">
      <c r="V1234" s="71"/>
      <c r="W1234" s="71"/>
    </row>
    <row r="1235" spans="22:23">
      <c r="V1235" s="71"/>
      <c r="W1235" s="71"/>
    </row>
    <row r="1236" spans="22:23">
      <c r="V1236" s="71"/>
      <c r="W1236" s="71"/>
    </row>
    <row r="1237" spans="22:23">
      <c r="V1237" s="71"/>
      <c r="W1237" s="71"/>
    </row>
    <row r="1238" spans="22:23">
      <c r="V1238" s="71"/>
      <c r="W1238" s="71"/>
    </row>
    <row r="1239" spans="22:23">
      <c r="V1239" s="71"/>
      <c r="W1239" s="71"/>
    </row>
    <row r="1240" spans="22:23">
      <c r="V1240" s="71"/>
      <c r="W1240" s="71"/>
    </row>
    <row r="1241" spans="22:23">
      <c r="V1241" s="71"/>
      <c r="W1241" s="71"/>
    </row>
    <row r="1242" spans="22:23">
      <c r="V1242" s="71"/>
      <c r="W1242" s="71"/>
    </row>
    <row r="1243" spans="22:23">
      <c r="V1243" s="71"/>
      <c r="W1243" s="71"/>
    </row>
    <row r="1244" spans="22:23">
      <c r="V1244" s="71"/>
      <c r="W1244" s="71"/>
    </row>
    <row r="1245" spans="22:23">
      <c r="V1245" s="71"/>
      <c r="W1245" s="71"/>
    </row>
    <row r="1246" spans="22:23">
      <c r="V1246" s="71"/>
      <c r="W1246" s="71"/>
    </row>
    <row r="1247" spans="22:23">
      <c r="V1247" s="71"/>
      <c r="W1247" s="71"/>
    </row>
    <row r="1248" spans="22:23">
      <c r="V1248" s="71"/>
      <c r="W1248" s="71"/>
    </row>
    <row r="1249" spans="22:23">
      <c r="V1249" s="71"/>
      <c r="W1249" s="71"/>
    </row>
    <row r="1250" spans="22:23">
      <c r="V1250" s="71"/>
      <c r="W1250" s="71"/>
    </row>
    <row r="1251" spans="22:23">
      <c r="V1251" s="71"/>
      <c r="W1251" s="71"/>
    </row>
    <row r="1252" spans="22:23">
      <c r="V1252" s="71"/>
      <c r="W1252" s="71"/>
    </row>
    <row r="1253" spans="22:23">
      <c r="V1253" s="71"/>
      <c r="W1253" s="71"/>
    </row>
    <row r="1254" spans="22:23">
      <c r="V1254" s="71"/>
      <c r="W1254" s="71"/>
    </row>
    <row r="1255" spans="22:23">
      <c r="V1255" s="71"/>
      <c r="W1255" s="71"/>
    </row>
    <row r="1256" spans="22:23">
      <c r="V1256" s="71"/>
      <c r="W1256" s="71"/>
    </row>
    <row r="1257" spans="22:23">
      <c r="V1257" s="71"/>
      <c r="W1257" s="71"/>
    </row>
    <row r="1258" spans="22:23">
      <c r="V1258" s="71"/>
      <c r="W1258" s="71"/>
    </row>
    <row r="1259" spans="22:23">
      <c r="V1259" s="71"/>
      <c r="W1259" s="71"/>
    </row>
    <row r="1260" spans="22:23">
      <c r="V1260" s="71"/>
      <c r="W1260" s="71"/>
    </row>
    <row r="1261" spans="22:23">
      <c r="V1261" s="71"/>
      <c r="W1261" s="71"/>
    </row>
    <row r="1262" spans="22:23">
      <c r="V1262" s="71"/>
      <c r="W1262" s="71"/>
    </row>
    <row r="1263" spans="22:23">
      <c r="V1263" s="71"/>
      <c r="W1263" s="71"/>
    </row>
    <row r="1264" spans="22:23">
      <c r="V1264" s="71"/>
      <c r="W1264" s="71"/>
    </row>
    <row r="1265" spans="22:23">
      <c r="V1265" s="71"/>
      <c r="W1265" s="71"/>
    </row>
    <row r="1266" spans="22:23">
      <c r="V1266" s="71"/>
      <c r="W1266" s="71"/>
    </row>
    <row r="1267" spans="22:23">
      <c r="V1267" s="71"/>
      <c r="W1267" s="71"/>
    </row>
    <row r="1268" spans="22:23">
      <c r="V1268" s="71"/>
      <c r="W1268" s="71"/>
    </row>
    <row r="1269" spans="22:23">
      <c r="V1269" s="71"/>
      <c r="W1269" s="71"/>
    </row>
    <row r="1270" spans="22:23">
      <c r="V1270" s="71"/>
      <c r="W1270" s="71"/>
    </row>
    <row r="1271" spans="22:23">
      <c r="V1271" s="71"/>
      <c r="W1271" s="71"/>
    </row>
    <row r="1272" spans="22:23">
      <c r="V1272" s="71"/>
      <c r="W1272" s="71"/>
    </row>
    <row r="1273" spans="22:23">
      <c r="V1273" s="71"/>
      <c r="W1273" s="71"/>
    </row>
    <row r="1274" spans="22:23">
      <c r="V1274" s="71"/>
      <c r="W1274" s="71"/>
    </row>
    <row r="1275" spans="22:23">
      <c r="V1275" s="71"/>
      <c r="W1275" s="71"/>
    </row>
    <row r="1276" spans="22:23">
      <c r="V1276" s="71"/>
      <c r="W1276" s="71"/>
    </row>
    <row r="1277" spans="22:23">
      <c r="V1277" s="71"/>
      <c r="W1277" s="71"/>
    </row>
    <row r="1278" spans="22:23">
      <c r="V1278" s="71"/>
      <c r="W1278" s="71"/>
    </row>
    <row r="1279" spans="22:23">
      <c r="V1279" s="71"/>
      <c r="W1279" s="71"/>
    </row>
    <row r="1280" spans="22:23">
      <c r="V1280" s="71"/>
      <c r="W1280" s="71"/>
    </row>
    <row r="1281" spans="22:23">
      <c r="V1281" s="71"/>
      <c r="W1281" s="71"/>
    </row>
    <row r="1282" spans="22:23">
      <c r="V1282" s="71"/>
      <c r="W1282" s="71"/>
    </row>
    <row r="1283" spans="22:23">
      <c r="V1283" s="71"/>
      <c r="W1283" s="71"/>
    </row>
    <row r="1284" spans="22:23">
      <c r="V1284" s="71"/>
      <c r="W1284" s="71"/>
    </row>
    <row r="1285" spans="22:23">
      <c r="V1285" s="71"/>
      <c r="W1285" s="71"/>
    </row>
    <row r="1286" spans="22:23">
      <c r="V1286" s="71"/>
      <c r="W1286" s="71"/>
    </row>
    <row r="1287" spans="22:23">
      <c r="V1287" s="71"/>
      <c r="W1287" s="71"/>
    </row>
    <row r="1288" spans="22:23">
      <c r="V1288" s="71"/>
      <c r="W1288" s="71"/>
    </row>
    <row r="1289" spans="22:23">
      <c r="V1289" s="71"/>
      <c r="W1289" s="71"/>
    </row>
    <row r="1290" spans="22:23">
      <c r="V1290" s="71"/>
      <c r="W1290" s="71"/>
    </row>
    <row r="1291" spans="22:23">
      <c r="V1291" s="71"/>
      <c r="W1291" s="71"/>
    </row>
    <row r="1292" spans="22:23">
      <c r="V1292" s="71"/>
      <c r="W1292" s="71"/>
    </row>
    <row r="1293" spans="22:23">
      <c r="V1293" s="71"/>
      <c r="W1293" s="71"/>
    </row>
    <row r="1294" spans="22:23">
      <c r="V1294" s="71"/>
      <c r="W1294" s="71"/>
    </row>
    <row r="1295" spans="22:23">
      <c r="V1295" s="71"/>
      <c r="W1295" s="71"/>
    </row>
    <row r="1296" spans="22:23">
      <c r="V1296" s="71"/>
      <c r="W1296" s="71"/>
    </row>
    <row r="1297" spans="22:23">
      <c r="V1297" s="71"/>
      <c r="W1297" s="71"/>
    </row>
    <row r="1298" spans="22:23">
      <c r="V1298" s="71"/>
      <c r="W1298" s="71"/>
    </row>
    <row r="1299" spans="22:23">
      <c r="V1299" s="71"/>
      <c r="W1299" s="71"/>
    </row>
    <row r="1300" spans="22:23">
      <c r="V1300" s="71"/>
      <c r="W1300" s="71"/>
    </row>
    <row r="1301" spans="22:23">
      <c r="V1301" s="71"/>
      <c r="W1301" s="71"/>
    </row>
    <row r="1302" spans="22:23">
      <c r="V1302" s="71"/>
      <c r="W1302" s="71"/>
    </row>
    <row r="1303" spans="22:23">
      <c r="V1303" s="71"/>
      <c r="W1303" s="71"/>
    </row>
    <row r="1304" spans="22:23">
      <c r="V1304" s="71"/>
      <c r="W1304" s="71"/>
    </row>
    <row r="1305" spans="22:23">
      <c r="V1305" s="71"/>
      <c r="W1305" s="71"/>
    </row>
    <row r="1306" spans="22:23">
      <c r="V1306" s="71"/>
      <c r="W1306" s="71"/>
    </row>
    <row r="1307" spans="22:23">
      <c r="V1307" s="71"/>
      <c r="W1307" s="71"/>
    </row>
    <row r="1308" spans="22:23">
      <c r="V1308" s="71"/>
      <c r="W1308" s="71"/>
    </row>
    <row r="1309" spans="22:23">
      <c r="V1309" s="71"/>
      <c r="W1309" s="71"/>
    </row>
    <row r="1310" spans="22:23">
      <c r="V1310" s="71"/>
      <c r="W1310" s="71"/>
    </row>
    <row r="1311" spans="22:23">
      <c r="V1311" s="71"/>
      <c r="W1311" s="71"/>
    </row>
    <row r="1312" spans="22:23">
      <c r="V1312" s="71"/>
      <c r="W1312" s="71"/>
    </row>
    <row r="1313" spans="22:23">
      <c r="V1313" s="71"/>
      <c r="W1313" s="71"/>
    </row>
    <row r="1314" spans="22:23">
      <c r="V1314" s="71"/>
      <c r="W1314" s="71"/>
    </row>
    <row r="1315" spans="22:23">
      <c r="V1315" s="71"/>
      <c r="W1315" s="71"/>
    </row>
    <row r="1316" spans="22:23">
      <c r="V1316" s="71"/>
      <c r="W1316" s="71"/>
    </row>
    <row r="1317" spans="22:23">
      <c r="V1317" s="71"/>
      <c r="W1317" s="71"/>
    </row>
    <row r="1318" spans="22:23">
      <c r="V1318" s="71"/>
      <c r="W1318" s="71"/>
    </row>
    <row r="1319" spans="22:23">
      <c r="V1319" s="71"/>
      <c r="W1319" s="71"/>
    </row>
    <row r="1320" spans="22:23">
      <c r="V1320" s="71"/>
      <c r="W1320" s="71"/>
    </row>
    <row r="1321" spans="22:23">
      <c r="V1321" s="71"/>
      <c r="W1321" s="71"/>
    </row>
    <row r="1322" spans="22:23">
      <c r="V1322" s="71"/>
      <c r="W1322" s="71"/>
    </row>
    <row r="1323" spans="22:23">
      <c r="V1323" s="71"/>
      <c r="W1323" s="71"/>
    </row>
    <row r="1324" spans="22:23">
      <c r="V1324" s="71"/>
      <c r="W1324" s="71"/>
    </row>
    <row r="1325" spans="22:23">
      <c r="V1325" s="71"/>
      <c r="W1325" s="71"/>
    </row>
    <row r="1326" spans="22:23">
      <c r="V1326" s="71"/>
      <c r="W1326" s="71"/>
    </row>
    <row r="1327" spans="22:23">
      <c r="V1327" s="71"/>
      <c r="W1327" s="71"/>
    </row>
    <row r="1328" spans="22:23">
      <c r="V1328" s="71"/>
      <c r="W1328" s="71"/>
    </row>
    <row r="1329" spans="22:23">
      <c r="V1329" s="71"/>
      <c r="W1329" s="71"/>
    </row>
    <row r="1330" spans="22:23">
      <c r="V1330" s="71"/>
      <c r="W1330" s="71"/>
    </row>
    <row r="1331" spans="22:23">
      <c r="V1331" s="71"/>
      <c r="W1331" s="71"/>
    </row>
    <row r="1332" spans="22:23">
      <c r="V1332" s="71"/>
      <c r="W1332" s="71"/>
    </row>
    <row r="1333" spans="22:23">
      <c r="V1333" s="71"/>
      <c r="W1333" s="71"/>
    </row>
    <row r="1334" spans="22:23">
      <c r="V1334" s="71"/>
      <c r="W1334" s="71"/>
    </row>
    <row r="1335" spans="22:23">
      <c r="V1335" s="71"/>
      <c r="W1335" s="71"/>
    </row>
    <row r="1336" spans="22:23">
      <c r="V1336" s="71"/>
      <c r="W1336" s="71"/>
    </row>
    <row r="1337" spans="22:23">
      <c r="V1337" s="71"/>
      <c r="W1337" s="71"/>
    </row>
    <row r="1338" spans="22:23">
      <c r="V1338" s="71"/>
      <c r="W1338" s="71"/>
    </row>
    <row r="1339" spans="22:23">
      <c r="V1339" s="71"/>
      <c r="W1339" s="71"/>
    </row>
    <row r="1340" spans="22:23">
      <c r="V1340" s="71"/>
      <c r="W1340" s="71"/>
    </row>
    <row r="1341" spans="22:23">
      <c r="V1341" s="71"/>
      <c r="W1341" s="71"/>
    </row>
    <row r="1342" spans="22:23">
      <c r="V1342" s="71"/>
      <c r="W1342" s="71"/>
    </row>
    <row r="1343" spans="22:23">
      <c r="V1343" s="71"/>
      <c r="W1343" s="71"/>
    </row>
    <row r="1344" spans="22:23">
      <c r="V1344" s="71"/>
      <c r="W1344" s="71"/>
    </row>
    <row r="1345" spans="22:23">
      <c r="V1345" s="71"/>
      <c r="W1345" s="71"/>
    </row>
    <row r="1346" spans="22:23">
      <c r="V1346" s="71"/>
      <c r="W1346" s="71"/>
    </row>
    <row r="1347" spans="22:23">
      <c r="V1347" s="71"/>
      <c r="W1347" s="71"/>
    </row>
    <row r="1348" spans="22:23">
      <c r="V1348" s="71"/>
      <c r="W1348" s="71"/>
    </row>
    <row r="1349" spans="22:23">
      <c r="V1349" s="71"/>
      <c r="W1349" s="71"/>
    </row>
    <row r="1350" spans="22:23">
      <c r="V1350" s="71"/>
      <c r="W1350" s="71"/>
    </row>
    <row r="1351" spans="22:23">
      <c r="V1351" s="71"/>
      <c r="W1351" s="71"/>
    </row>
    <row r="1352" spans="22:23">
      <c r="V1352" s="71"/>
      <c r="W1352" s="71"/>
    </row>
    <row r="1353" spans="22:23">
      <c r="V1353" s="71"/>
      <c r="W1353" s="71"/>
    </row>
    <row r="1354" spans="22:23">
      <c r="V1354" s="71"/>
      <c r="W1354" s="71"/>
    </row>
    <row r="1355" spans="22:23">
      <c r="V1355" s="71"/>
      <c r="W1355" s="71"/>
    </row>
    <row r="1356" spans="22:23">
      <c r="V1356" s="71"/>
      <c r="W1356" s="71"/>
    </row>
    <row r="1357" spans="22:23">
      <c r="V1357" s="71"/>
      <c r="W1357" s="71"/>
    </row>
    <row r="1358" spans="22:23">
      <c r="V1358" s="71"/>
      <c r="W1358" s="71"/>
    </row>
    <row r="1359" spans="22:23">
      <c r="V1359" s="71"/>
      <c r="W1359" s="71"/>
    </row>
    <row r="1360" spans="22:23">
      <c r="V1360" s="71"/>
      <c r="W1360" s="71"/>
    </row>
    <row r="1361" spans="22:23">
      <c r="V1361" s="71"/>
      <c r="W1361" s="71"/>
    </row>
    <row r="1362" spans="22:23">
      <c r="V1362" s="71"/>
      <c r="W1362" s="71"/>
    </row>
    <row r="1363" spans="22:23">
      <c r="V1363" s="71"/>
      <c r="W1363" s="71"/>
    </row>
    <row r="1364" spans="22:23">
      <c r="V1364" s="71"/>
      <c r="W1364" s="71"/>
    </row>
    <row r="1365" spans="22:23">
      <c r="V1365" s="71"/>
      <c r="W1365" s="71"/>
    </row>
    <row r="1366" spans="22:23">
      <c r="V1366" s="71"/>
      <c r="W1366" s="71"/>
    </row>
    <row r="1367" spans="22:23">
      <c r="V1367" s="71"/>
      <c r="W1367" s="71"/>
    </row>
    <row r="1368" spans="22:23">
      <c r="V1368" s="71"/>
      <c r="W1368" s="71"/>
    </row>
    <row r="1369" spans="22:23">
      <c r="V1369" s="71"/>
      <c r="W1369" s="71"/>
    </row>
    <row r="1370" spans="22:23">
      <c r="V1370" s="71"/>
      <c r="W1370" s="71"/>
    </row>
    <row r="1371" spans="22:23">
      <c r="V1371" s="71"/>
      <c r="W1371" s="71"/>
    </row>
    <row r="1372" spans="22:23">
      <c r="V1372" s="71"/>
      <c r="W1372" s="71"/>
    </row>
    <row r="1373" spans="22:23">
      <c r="V1373" s="71"/>
      <c r="W1373" s="71"/>
    </row>
    <row r="1374" spans="22:23">
      <c r="V1374" s="71"/>
      <c r="W1374" s="71"/>
    </row>
    <row r="1375" spans="22:23">
      <c r="V1375" s="71"/>
      <c r="W1375" s="71"/>
    </row>
    <row r="1376" spans="22:23">
      <c r="V1376" s="71"/>
      <c r="W1376" s="71"/>
    </row>
    <row r="1377" spans="22:23">
      <c r="V1377" s="71"/>
      <c r="W1377" s="71"/>
    </row>
    <row r="1378" spans="22:23">
      <c r="V1378" s="71"/>
      <c r="W1378" s="71"/>
    </row>
    <row r="1379" spans="22:23">
      <c r="V1379" s="71"/>
      <c r="W1379" s="71"/>
    </row>
    <row r="1380" spans="22:23">
      <c r="V1380" s="71"/>
      <c r="W1380" s="71"/>
    </row>
    <row r="1381" spans="22:23">
      <c r="V1381" s="71"/>
      <c r="W1381" s="71"/>
    </row>
    <row r="1382" spans="22:23">
      <c r="V1382" s="71"/>
      <c r="W1382" s="71"/>
    </row>
    <row r="1383" spans="22:23">
      <c r="V1383" s="71"/>
      <c r="W1383" s="71"/>
    </row>
    <row r="1384" spans="22:23">
      <c r="V1384" s="71"/>
      <c r="W1384" s="71"/>
    </row>
    <row r="1385" spans="22:23">
      <c r="V1385" s="71"/>
      <c r="W1385" s="71"/>
    </row>
    <row r="1386" spans="22:23">
      <c r="V1386" s="71"/>
      <c r="W1386" s="71"/>
    </row>
    <row r="1387" spans="22:23">
      <c r="V1387" s="71"/>
      <c r="W1387" s="71"/>
    </row>
    <row r="1388" spans="22:23">
      <c r="V1388" s="71"/>
      <c r="W1388" s="71"/>
    </row>
    <row r="1389" spans="22:23">
      <c r="V1389" s="71"/>
      <c r="W1389" s="71"/>
    </row>
    <row r="1390" spans="22:23">
      <c r="V1390" s="71"/>
      <c r="W1390" s="71"/>
    </row>
    <row r="1391" spans="22:23">
      <c r="V1391" s="71"/>
      <c r="W1391" s="71"/>
    </row>
    <row r="1392" spans="22:23">
      <c r="V1392" s="71"/>
      <c r="W1392" s="71"/>
    </row>
    <row r="1393" spans="22:23">
      <c r="V1393" s="71"/>
      <c r="W1393" s="71"/>
    </row>
    <row r="1394" spans="22:23">
      <c r="V1394" s="71"/>
      <c r="W1394" s="71"/>
    </row>
    <row r="1395" spans="22:23">
      <c r="V1395" s="71"/>
      <c r="W1395" s="71"/>
    </row>
    <row r="1396" spans="22:23">
      <c r="V1396" s="71"/>
      <c r="W1396" s="71"/>
    </row>
    <row r="1397" spans="22:23">
      <c r="V1397" s="71"/>
      <c r="W1397" s="71"/>
    </row>
    <row r="1398" spans="22:23">
      <c r="V1398" s="71"/>
      <c r="W1398" s="71"/>
    </row>
    <row r="1399" spans="22:23">
      <c r="V1399" s="71"/>
      <c r="W1399" s="71"/>
    </row>
    <row r="1400" spans="22:23">
      <c r="V1400" s="71"/>
      <c r="W1400" s="71"/>
    </row>
    <row r="1401" spans="22:23">
      <c r="V1401" s="71"/>
      <c r="W1401" s="71"/>
    </row>
    <row r="1402" spans="22:23">
      <c r="V1402" s="71"/>
      <c r="W1402" s="71"/>
    </row>
    <row r="1403" spans="22:23">
      <c r="V1403" s="71"/>
      <c r="W1403" s="71"/>
    </row>
    <row r="1404" spans="22:23">
      <c r="V1404" s="71"/>
      <c r="W1404" s="71"/>
    </row>
    <row r="1405" spans="22:23">
      <c r="V1405" s="71"/>
      <c r="W1405" s="71"/>
    </row>
    <row r="1406" spans="22:23">
      <c r="V1406" s="71"/>
      <c r="W1406" s="71"/>
    </row>
    <row r="1407" spans="22:23">
      <c r="V1407" s="71"/>
      <c r="W1407" s="71"/>
    </row>
    <row r="1408" spans="22:23">
      <c r="V1408" s="71"/>
      <c r="W1408" s="71"/>
    </row>
    <row r="1409" spans="22:23">
      <c r="V1409" s="71"/>
      <c r="W1409" s="71"/>
    </row>
    <row r="1410" spans="22:23">
      <c r="V1410" s="71"/>
      <c r="W1410" s="71"/>
    </row>
    <row r="1411" spans="22:23">
      <c r="V1411" s="71"/>
      <c r="W1411" s="71"/>
    </row>
    <row r="1412" spans="22:23">
      <c r="V1412" s="71"/>
      <c r="W1412" s="71"/>
    </row>
    <row r="1413" spans="22:23">
      <c r="V1413" s="71"/>
      <c r="W1413" s="71"/>
    </row>
    <row r="1414" spans="22:23">
      <c r="V1414" s="71"/>
      <c r="W1414" s="71"/>
    </row>
    <row r="1415" spans="22:23">
      <c r="V1415" s="71"/>
      <c r="W1415" s="71"/>
    </row>
    <row r="1416" spans="22:23">
      <c r="V1416" s="71"/>
      <c r="W1416" s="71"/>
    </row>
    <row r="1417" spans="22:23">
      <c r="V1417" s="71"/>
      <c r="W1417" s="71"/>
    </row>
    <row r="1418" spans="22:23">
      <c r="V1418" s="71"/>
      <c r="W1418" s="71"/>
    </row>
    <row r="1419" spans="22:23">
      <c r="V1419" s="71"/>
      <c r="W1419" s="71"/>
    </row>
    <row r="1420" spans="22:23">
      <c r="V1420" s="71"/>
      <c r="W1420" s="71"/>
    </row>
    <row r="1421" spans="22:23">
      <c r="V1421" s="71"/>
      <c r="W1421" s="71"/>
    </row>
    <row r="1422" spans="22:23">
      <c r="V1422" s="71"/>
      <c r="W1422" s="71"/>
    </row>
    <row r="1423" spans="22:23">
      <c r="V1423" s="71"/>
      <c r="W1423" s="71"/>
    </row>
    <row r="1424" spans="22:23">
      <c r="V1424" s="71"/>
      <c r="W1424" s="71"/>
    </row>
    <row r="1425" spans="22:23">
      <c r="V1425" s="71"/>
      <c r="W1425" s="71"/>
    </row>
    <row r="1426" spans="22:23">
      <c r="V1426" s="71"/>
      <c r="W1426" s="71"/>
    </row>
    <row r="1427" spans="22:23">
      <c r="V1427" s="71"/>
      <c r="W1427" s="71"/>
    </row>
    <row r="1428" spans="22:23">
      <c r="V1428" s="71"/>
      <c r="W1428" s="71"/>
    </row>
    <row r="1429" spans="22:23">
      <c r="V1429" s="71"/>
      <c r="W1429" s="71"/>
    </row>
    <row r="1430" spans="22:23">
      <c r="V1430" s="71"/>
      <c r="W1430" s="71"/>
    </row>
    <row r="1431" spans="22:23">
      <c r="V1431" s="71"/>
      <c r="W1431" s="71"/>
    </row>
    <row r="1432" spans="22:23">
      <c r="V1432" s="71"/>
      <c r="W1432" s="71"/>
    </row>
    <row r="1433" spans="22:23">
      <c r="V1433" s="71"/>
      <c r="W1433" s="71"/>
    </row>
    <row r="1434" spans="22:23">
      <c r="V1434" s="71"/>
      <c r="W1434" s="71"/>
    </row>
    <row r="1435" spans="22:23">
      <c r="V1435" s="71"/>
      <c r="W1435" s="71"/>
    </row>
    <row r="1436" spans="22:23">
      <c r="V1436" s="71"/>
      <c r="W1436" s="71"/>
    </row>
    <row r="1437" spans="22:23">
      <c r="V1437" s="71"/>
      <c r="W1437" s="71"/>
    </row>
    <row r="1438" spans="22:23">
      <c r="V1438" s="71"/>
      <c r="W1438" s="71"/>
    </row>
    <row r="1439" spans="22:23">
      <c r="V1439" s="71"/>
      <c r="W1439" s="71"/>
    </row>
    <row r="1440" spans="22:23">
      <c r="V1440" s="71"/>
      <c r="W1440" s="71"/>
    </row>
    <row r="1441" spans="22:23">
      <c r="V1441" s="71"/>
      <c r="W1441" s="71"/>
    </row>
    <row r="1442" spans="22:23">
      <c r="V1442" s="71"/>
      <c r="W1442" s="71"/>
    </row>
    <row r="1443" spans="22:23">
      <c r="V1443" s="71"/>
      <c r="W1443" s="71"/>
    </row>
    <row r="1444" spans="22:23">
      <c r="V1444" s="71"/>
      <c r="W1444" s="71"/>
    </row>
    <row r="1445" spans="22:23">
      <c r="V1445" s="71"/>
      <c r="W1445" s="71"/>
    </row>
    <row r="1446" spans="22:23">
      <c r="V1446" s="71"/>
      <c r="W1446" s="71"/>
    </row>
    <row r="1447" spans="22:23">
      <c r="V1447" s="71"/>
      <c r="W1447" s="71"/>
    </row>
    <row r="1448" spans="22:23">
      <c r="V1448" s="71"/>
      <c r="W1448" s="71"/>
    </row>
    <row r="1449" spans="22:23">
      <c r="V1449" s="71"/>
      <c r="W1449" s="71"/>
    </row>
    <row r="1450" spans="22:23">
      <c r="V1450" s="71"/>
      <c r="W1450" s="71"/>
    </row>
    <row r="1451" spans="22:23">
      <c r="V1451" s="71"/>
      <c r="W1451" s="71"/>
    </row>
    <row r="1452" spans="22:23">
      <c r="V1452" s="71"/>
      <c r="W1452" s="71"/>
    </row>
    <row r="1453" spans="22:23">
      <c r="V1453" s="71"/>
      <c r="W1453" s="71"/>
    </row>
    <row r="1454" spans="22:23">
      <c r="V1454" s="71"/>
      <c r="W1454" s="71"/>
    </row>
    <row r="1455" spans="22:23">
      <c r="V1455" s="71"/>
      <c r="W1455" s="71"/>
    </row>
    <row r="1456" spans="22:23">
      <c r="V1456" s="71"/>
      <c r="W1456" s="71"/>
    </row>
    <row r="1457" spans="22:23">
      <c r="V1457" s="71"/>
      <c r="W1457" s="71"/>
    </row>
    <row r="1458" spans="22:23">
      <c r="V1458" s="71"/>
      <c r="W1458" s="71"/>
    </row>
    <row r="1459" spans="22:23">
      <c r="V1459" s="71"/>
      <c r="W1459" s="71"/>
    </row>
    <row r="1460" spans="22:23">
      <c r="V1460" s="71"/>
      <c r="W1460" s="71"/>
    </row>
    <row r="1461" spans="22:23">
      <c r="V1461" s="71"/>
      <c r="W1461" s="71"/>
    </row>
    <row r="1462" spans="22:23">
      <c r="V1462" s="71"/>
      <c r="W1462" s="71"/>
    </row>
    <row r="1463" spans="22:23">
      <c r="V1463" s="71"/>
      <c r="W1463" s="71"/>
    </row>
    <row r="1464" spans="22:23">
      <c r="V1464" s="71"/>
      <c r="W1464" s="71"/>
    </row>
    <row r="1465" spans="22:23">
      <c r="V1465" s="71"/>
      <c r="W1465" s="71"/>
    </row>
    <row r="1466" spans="22:23">
      <c r="V1466" s="71"/>
      <c r="W1466" s="71"/>
    </row>
    <row r="1467" spans="22:23">
      <c r="V1467" s="71"/>
      <c r="W1467" s="71"/>
    </row>
    <row r="1468" spans="22:23">
      <c r="V1468" s="71"/>
      <c r="W1468" s="71"/>
    </row>
    <row r="1469" spans="22:23">
      <c r="V1469" s="71"/>
      <c r="W1469" s="71"/>
    </row>
    <row r="1470" spans="22:23">
      <c r="V1470" s="71"/>
      <c r="W1470" s="71"/>
    </row>
    <row r="1471" spans="22:23">
      <c r="V1471" s="71"/>
      <c r="W1471" s="71"/>
    </row>
    <row r="1472" spans="22:23">
      <c r="V1472" s="71"/>
      <c r="W1472" s="71"/>
    </row>
    <row r="1473" spans="22:23">
      <c r="V1473" s="71"/>
      <c r="W1473" s="71"/>
    </row>
    <row r="1474" spans="22:23">
      <c r="V1474" s="71"/>
      <c r="W1474" s="71"/>
    </row>
    <row r="1475" spans="22:23">
      <c r="V1475" s="71"/>
      <c r="W1475" s="71"/>
    </row>
    <row r="1476" spans="22:23">
      <c r="V1476" s="71"/>
      <c r="W1476" s="71"/>
    </row>
    <row r="1477" spans="22:23">
      <c r="V1477" s="71"/>
      <c r="W1477" s="71"/>
    </row>
    <row r="1478" spans="22:23">
      <c r="V1478" s="71"/>
      <c r="W1478" s="71"/>
    </row>
    <row r="1479" spans="22:23">
      <c r="V1479" s="71"/>
      <c r="W1479" s="71"/>
    </row>
    <row r="1480" spans="22:23">
      <c r="V1480" s="71"/>
      <c r="W1480" s="71"/>
    </row>
    <row r="1481" spans="22:23">
      <c r="V1481" s="71"/>
      <c r="W1481" s="71"/>
    </row>
    <row r="1482" spans="22:23">
      <c r="V1482" s="71"/>
      <c r="W1482" s="71"/>
    </row>
    <row r="1483" spans="22:23">
      <c r="V1483" s="71"/>
      <c r="W1483" s="71"/>
    </row>
    <row r="1484" spans="22:23">
      <c r="V1484" s="71"/>
      <c r="W1484" s="71"/>
    </row>
    <row r="1485" spans="22:23">
      <c r="V1485" s="71"/>
      <c r="W1485" s="71"/>
    </row>
    <row r="1486" spans="22:23">
      <c r="V1486" s="71"/>
      <c r="W1486" s="71"/>
    </row>
    <row r="1487" spans="22:23">
      <c r="V1487" s="71"/>
      <c r="W1487" s="71"/>
    </row>
    <row r="1488" spans="22:23">
      <c r="V1488" s="71"/>
      <c r="W1488" s="71"/>
    </row>
    <row r="1489" spans="22:23">
      <c r="V1489" s="71"/>
      <c r="W1489" s="71"/>
    </row>
    <row r="1490" spans="22:23">
      <c r="V1490" s="71"/>
      <c r="W1490" s="71"/>
    </row>
    <row r="1491" spans="22:23">
      <c r="V1491" s="71"/>
      <c r="W1491" s="71"/>
    </row>
    <row r="1492" spans="22:23">
      <c r="V1492" s="71"/>
      <c r="W1492" s="71"/>
    </row>
    <row r="1493" spans="22:23">
      <c r="V1493" s="71"/>
      <c r="W1493" s="71"/>
    </row>
    <row r="1494" spans="22:23">
      <c r="V1494" s="71"/>
      <c r="W1494" s="71"/>
    </row>
    <row r="1495" spans="22:23">
      <c r="V1495" s="71"/>
      <c r="W1495" s="71"/>
    </row>
    <row r="1496" spans="22:23">
      <c r="V1496" s="71"/>
      <c r="W1496" s="71"/>
    </row>
    <row r="1497" spans="22:23">
      <c r="V1497" s="71"/>
      <c r="W1497" s="71"/>
    </row>
    <row r="1498" spans="22:23">
      <c r="V1498" s="71"/>
      <c r="W1498" s="71"/>
    </row>
    <row r="1499" spans="22:23">
      <c r="V1499" s="71"/>
      <c r="W1499" s="71"/>
    </row>
    <row r="1500" spans="22:23">
      <c r="V1500" s="71"/>
      <c r="W1500" s="71"/>
    </row>
    <row r="1501" spans="22:23">
      <c r="V1501" s="71"/>
      <c r="W1501" s="71"/>
    </row>
    <row r="1502" spans="22:23">
      <c r="V1502" s="71"/>
      <c r="W1502" s="71"/>
    </row>
    <row r="1503" spans="22:23">
      <c r="V1503" s="71"/>
      <c r="W1503" s="71"/>
    </row>
    <row r="1504" spans="22:23">
      <c r="V1504" s="71"/>
      <c r="W1504" s="71"/>
    </row>
    <row r="1505" spans="22:23">
      <c r="V1505" s="71"/>
      <c r="W1505" s="71"/>
    </row>
    <row r="1506" spans="22:23">
      <c r="V1506" s="71"/>
      <c r="W1506" s="71"/>
    </row>
    <row r="1507" spans="22:23">
      <c r="V1507" s="71"/>
      <c r="W1507" s="71"/>
    </row>
    <row r="1508" spans="22:23">
      <c r="V1508" s="71"/>
      <c r="W1508" s="71"/>
    </row>
    <row r="1509" spans="22:23">
      <c r="V1509" s="71"/>
      <c r="W1509" s="71"/>
    </row>
    <row r="1510" spans="22:23">
      <c r="V1510" s="71"/>
      <c r="W1510" s="71"/>
    </row>
    <row r="1511" spans="22:23">
      <c r="V1511" s="71"/>
      <c r="W1511" s="71"/>
    </row>
    <row r="1512" spans="22:23">
      <c r="V1512" s="71"/>
      <c r="W1512" s="71"/>
    </row>
    <row r="1513" spans="22:23">
      <c r="V1513" s="71"/>
      <c r="W1513" s="71"/>
    </row>
    <row r="1514" spans="22:23">
      <c r="V1514" s="71"/>
      <c r="W1514" s="71"/>
    </row>
    <row r="1515" spans="22:23">
      <c r="V1515" s="71"/>
      <c r="W1515" s="71"/>
    </row>
    <row r="1516" spans="22:23">
      <c r="V1516" s="71"/>
      <c r="W1516" s="71"/>
    </row>
    <row r="1517" spans="22:23">
      <c r="V1517" s="71"/>
      <c r="W1517" s="71"/>
    </row>
    <row r="1518" spans="22:23">
      <c r="V1518" s="71"/>
      <c r="W1518" s="71"/>
    </row>
    <row r="1519" spans="22:23">
      <c r="V1519" s="71"/>
      <c r="W1519" s="71"/>
    </row>
    <row r="1520" spans="22:23">
      <c r="V1520" s="71"/>
      <c r="W1520" s="71"/>
    </row>
    <row r="1521" spans="22:23">
      <c r="V1521" s="71"/>
      <c r="W1521" s="71"/>
    </row>
    <row r="1522" spans="22:23">
      <c r="V1522" s="71"/>
      <c r="W1522" s="71"/>
    </row>
    <row r="1523" spans="22:23">
      <c r="V1523" s="71"/>
      <c r="W1523" s="71"/>
    </row>
    <row r="1524" spans="22:23">
      <c r="V1524" s="71"/>
      <c r="W1524" s="71"/>
    </row>
    <row r="1525" spans="22:23">
      <c r="V1525" s="71"/>
      <c r="W1525" s="71"/>
    </row>
    <row r="1526" spans="22:23">
      <c r="V1526" s="71"/>
      <c r="W1526" s="71"/>
    </row>
    <row r="1527" spans="22:23">
      <c r="V1527" s="71"/>
      <c r="W1527" s="71"/>
    </row>
    <row r="1528" spans="22:23">
      <c r="V1528" s="71"/>
      <c r="W1528" s="71"/>
    </row>
    <row r="1529" spans="22:23">
      <c r="V1529" s="71"/>
      <c r="W1529" s="71"/>
    </row>
    <row r="1530" spans="22:23">
      <c r="V1530" s="71"/>
      <c r="W1530" s="71"/>
    </row>
    <row r="1531" spans="22:23">
      <c r="V1531" s="71"/>
      <c r="W1531" s="71"/>
    </row>
    <row r="1532" spans="22:23">
      <c r="V1532" s="71"/>
      <c r="W1532" s="71"/>
    </row>
    <row r="1533" spans="22:23">
      <c r="V1533" s="71"/>
      <c r="W1533" s="71"/>
    </row>
    <row r="1534" spans="22:23">
      <c r="V1534" s="71"/>
      <c r="W1534" s="71"/>
    </row>
    <row r="1535" spans="22:23">
      <c r="V1535" s="71"/>
      <c r="W1535" s="71"/>
    </row>
    <row r="1536" spans="22:23">
      <c r="V1536" s="71"/>
      <c r="W1536" s="71"/>
    </row>
    <row r="1537" spans="22:23">
      <c r="V1537" s="71"/>
      <c r="W1537" s="71"/>
    </row>
    <row r="1538" spans="22:23">
      <c r="V1538" s="71"/>
      <c r="W1538" s="71"/>
    </row>
    <row r="1539" spans="22:23">
      <c r="V1539" s="71"/>
      <c r="W1539" s="71"/>
    </row>
    <row r="1540" spans="22:23">
      <c r="V1540" s="71"/>
      <c r="W1540" s="71"/>
    </row>
    <row r="1541" spans="22:23">
      <c r="V1541" s="71"/>
      <c r="W1541" s="71"/>
    </row>
    <row r="1542" spans="22:23">
      <c r="V1542" s="71"/>
      <c r="W1542" s="71"/>
    </row>
    <row r="1543" spans="22:23">
      <c r="V1543" s="71"/>
      <c r="W1543" s="71"/>
    </row>
    <row r="1544" spans="22:23">
      <c r="V1544" s="71"/>
      <c r="W1544" s="71"/>
    </row>
    <row r="1545" spans="22:23">
      <c r="V1545" s="71"/>
      <c r="W1545" s="71"/>
    </row>
    <row r="1546" spans="22:23">
      <c r="V1546" s="71"/>
      <c r="W1546" s="71"/>
    </row>
    <row r="1547" spans="22:23">
      <c r="V1547" s="71"/>
      <c r="W1547" s="71"/>
    </row>
    <row r="1548" spans="22:23">
      <c r="V1548" s="71"/>
      <c r="W1548" s="71"/>
    </row>
    <row r="1549" spans="22:23">
      <c r="V1549" s="71"/>
      <c r="W1549" s="71"/>
    </row>
    <row r="1550" spans="22:23">
      <c r="V1550" s="71"/>
      <c r="W1550" s="71"/>
    </row>
    <row r="1551" spans="22:23">
      <c r="V1551" s="71"/>
      <c r="W1551" s="71"/>
    </row>
    <row r="1552" spans="22:23">
      <c r="V1552" s="71"/>
      <c r="W1552" s="71"/>
    </row>
    <row r="1553" spans="22:23">
      <c r="V1553" s="71"/>
      <c r="W1553" s="71"/>
    </row>
    <row r="1554" spans="22:23">
      <c r="V1554" s="71"/>
      <c r="W1554" s="71"/>
    </row>
    <row r="1555" spans="22:23">
      <c r="V1555" s="71"/>
      <c r="W1555" s="71"/>
    </row>
    <row r="1556" spans="22:23">
      <c r="V1556" s="71"/>
      <c r="W1556" s="71"/>
    </row>
    <row r="1557" spans="22:23">
      <c r="V1557" s="71"/>
      <c r="W1557" s="71"/>
    </row>
    <row r="1558" spans="22:23">
      <c r="V1558" s="71"/>
      <c r="W1558" s="71"/>
    </row>
    <row r="1559" spans="22:23">
      <c r="V1559" s="71"/>
      <c r="W1559" s="71"/>
    </row>
    <row r="1560" spans="22:23">
      <c r="V1560" s="71"/>
      <c r="W1560" s="71"/>
    </row>
    <row r="1561" spans="22:23">
      <c r="V1561" s="71"/>
      <c r="W1561" s="71"/>
    </row>
    <row r="1562" spans="22:23">
      <c r="V1562" s="71"/>
      <c r="W1562" s="71"/>
    </row>
    <row r="1563" spans="22:23">
      <c r="V1563" s="71"/>
      <c r="W1563" s="71"/>
    </row>
    <row r="1564" spans="22:23">
      <c r="V1564" s="71"/>
      <c r="W1564" s="71"/>
    </row>
    <row r="1565" spans="22:23">
      <c r="V1565" s="71"/>
      <c r="W1565" s="71"/>
    </row>
    <row r="1566" spans="22:23">
      <c r="V1566" s="71"/>
      <c r="W1566" s="71"/>
    </row>
    <row r="1567" spans="22:23">
      <c r="V1567" s="71"/>
      <c r="W1567" s="71"/>
    </row>
    <row r="1568" spans="22:23">
      <c r="V1568" s="71"/>
      <c r="W1568" s="71"/>
    </row>
    <row r="1569" spans="22:23">
      <c r="V1569" s="71"/>
      <c r="W1569" s="71"/>
    </row>
    <row r="1570" spans="22:23">
      <c r="V1570" s="71"/>
      <c r="W1570" s="71"/>
    </row>
    <row r="1571" spans="22:23">
      <c r="V1571" s="71"/>
      <c r="W1571" s="71"/>
    </row>
    <row r="1572" spans="22:23">
      <c r="V1572" s="71"/>
      <c r="W1572" s="71"/>
    </row>
    <row r="1573" spans="22:23">
      <c r="V1573" s="71"/>
      <c r="W1573" s="71"/>
    </row>
    <row r="1574" spans="22:23">
      <c r="V1574" s="71"/>
      <c r="W1574" s="71"/>
    </row>
    <row r="1575" spans="22:23">
      <c r="V1575" s="71"/>
      <c r="W1575" s="71"/>
    </row>
    <row r="1576" spans="22:23">
      <c r="V1576" s="71"/>
      <c r="W1576" s="71"/>
    </row>
    <row r="1577" spans="22:23">
      <c r="V1577" s="71"/>
      <c r="W1577" s="71"/>
    </row>
    <row r="1578" spans="22:23">
      <c r="V1578" s="71"/>
      <c r="W1578" s="71"/>
    </row>
    <row r="1579" spans="22:23">
      <c r="V1579" s="71"/>
      <c r="W1579" s="71"/>
    </row>
    <row r="1580" spans="22:23">
      <c r="V1580" s="71"/>
      <c r="W1580" s="71"/>
    </row>
    <row r="1581" spans="22:23">
      <c r="V1581" s="71"/>
      <c r="W1581" s="71"/>
    </row>
    <row r="1582" spans="22:23">
      <c r="V1582" s="71"/>
      <c r="W1582" s="71"/>
    </row>
  </sheetData>
  <sheetProtection formatCells="0" formatColumns="0" formatRows="0" insertRows="0" deleteRows="0" autoFilter="0"/>
  <conditionalFormatting sqref="L25 H24:H25 I24:K24 U24:V25 M24:T24">
    <cfRule type="cellIs" dxfId="2" priority="3" stopIfTrue="1" operator="equal">
      <formula>" "</formula>
    </cfRule>
  </conditionalFormatting>
  <conditionalFormatting sqref="V5 V7 V9 V11 V13 V15 V17 V19 V21 V23">
    <cfRule type="cellIs" dxfId="1" priority="2" stopIfTrue="1" operator="equal">
      <formula>" "</formula>
    </cfRule>
  </conditionalFormatting>
  <dataValidations count="17">
    <dataValidation type="list" allowBlank="1" sqref="X24:X25" xr:uid="{00000000-0002-0000-0200-000001000000}">
      <formula1>$X$28</formula1>
    </dataValidation>
    <dataValidation type="list" allowBlank="1" sqref="Z25 Y24:Y25" xr:uid="{00000000-0002-0000-0200-000003000000}">
      <formula1>$Y$28:$Y$31</formula1>
    </dataValidation>
    <dataValidation type="list" allowBlank="1" sqref="AE24:AE25" xr:uid="{00000000-0002-0000-0200-000005000000}">
      <formula1>$AE$28:$AE$39</formula1>
    </dataValidation>
    <dataValidation type="list" allowBlank="1" sqref="AH24:AK25" xr:uid="{00000000-0002-0000-0200-000006000000}">
      <formula1>$AJ$28:$AJ$30</formula1>
    </dataValidation>
    <dataValidation type="list" allowBlank="1" showInputMessage="1" showErrorMessage="1" sqref="D4:D23" xr:uid="{9E01F623-867F-4A65-9C09-BDBB66A4C6C7}">
      <formula1>$D$28:$D$29</formula1>
    </dataValidation>
    <dataValidation type="textLength" operator="lessThan" allowBlank="1" showInputMessage="1" showErrorMessage="1" sqref="F4:H23" xr:uid="{7D6142C4-C0A1-4587-942F-D329E7A3B048}">
      <formula1>75</formula1>
    </dataValidation>
    <dataValidation allowBlank="1" sqref="M4:M23" xr:uid="{A900C0E2-3C05-4FE8-9138-58089E999F93}"/>
    <dataValidation type="textLength" operator="lessThanOrEqual" allowBlank="1" showInputMessage="1" showErrorMessage="1" sqref="U4:V23" xr:uid="{C43C9375-E34E-4269-9E4E-47CAD9F2DB73}">
      <formula1>24</formula1>
    </dataValidation>
    <dataValidation type="list" allowBlank="1" sqref="AG4:AH23" xr:uid="{EC70F311-950F-4C8E-B0A6-02E9AF7DE2E4}">
      <formula1>$AB$603:$AB$605</formula1>
    </dataValidation>
    <dataValidation type="list" allowBlank="1" showInputMessage="1" showErrorMessage="1" sqref="O4:O23" xr:uid="{70942426-C94B-45BF-928C-9ADB17A2E864}">
      <formula1>$O$28:$O$35</formula1>
    </dataValidation>
    <dataValidation type="list" allowBlank="1" showInputMessage="1" showErrorMessage="1" sqref="P4:P23" xr:uid="{526E38A5-6A6E-49C6-9B72-2D83D7A145B5}">
      <formula1>$P$28:$P$34</formula1>
    </dataValidation>
    <dataValidation type="list" allowBlank="1" showInputMessage="1" showErrorMessage="1" sqref="Q4:S23" xr:uid="{EC6EAF7E-FFCC-4127-BC13-69DCCDBD0F2F}">
      <formula1>$Q$28:$Q$34</formula1>
    </dataValidation>
    <dataValidation type="list" allowBlank="1" showInputMessage="1" showErrorMessage="1" sqref="X4:X23" xr:uid="{412D1F04-3BED-4E24-908F-8812FBFC29AF}">
      <formula1>$X$28:$X$31</formula1>
    </dataValidation>
    <dataValidation type="list" allowBlank="1" sqref="AE4:AE23 Y4:Y23" xr:uid="{D6A9BE8B-157D-49B1-BAE2-BEC690963E61}">
      <formula1>#REF!</formula1>
    </dataValidation>
    <dataValidation type="list" allowBlank="1" sqref="L4:L25" xr:uid="{00000000-0002-0000-0200-000008000000}">
      <formula1>$L$28:$L$34</formula1>
    </dataValidation>
    <dataValidation type="list" allowBlank="1" showErrorMessage="1" errorTitle="Wrong input" error="Only I, V or blanks are allowed" sqref="W24:W25" xr:uid="{00000000-0002-0000-0200-000000000000}">
      <formula1>#REF!</formula1>
    </dataValidation>
    <dataValidation type="list" allowBlank="1" showInputMessage="1" showErrorMessage="1" sqref="W4:W23" xr:uid="{4D236214-F59B-4133-A2BC-094E6AF25757}">
      <formula1>#REF!</formula1>
    </dataValidation>
  </dataValidations>
  <pageMargins left="0.74803149606299213" right="0.74803149606299213" top="1.1023622047244095" bottom="0.98425196850393704" header="0.51181102362204722" footer="0.51181102362204722"/>
  <pageSetup paperSize="9" fitToHeight="0" orientation="landscape" r:id="rId1"/>
  <headerFooter alignWithMargins="0">
    <oddHeader>&amp;C
DOWNLOAD LIST&amp;RFilename: &amp;F
Date: &amp;D&amp;L&amp;9Machine Number : 84130003&amp;84130004
Machine Name : IFC - VL1 - Filling Machine &amp; Capper
CU Number : 7002
VU Number : 3922 3923</oddHeader>
    <oddFooter>&amp;LBased on template :&amp;CDownloadList_CUxxxx_A3&amp;RPage &amp;P/&amp;N</oddFooter>
  </headerFooter>
  <drawing r:id="rId2"/>
  <legacyDrawing r:id="rId3"/>
  <controls>
    <mc:AlternateContent xmlns:mc="http://schemas.openxmlformats.org/markup-compatibility/2006">
      <mc:Choice Requires="x14">
        <control shapeId="4097" r:id="rId6" name="cmdGenerateRMSimport">
          <controlPr defaultSize="0" autoLine="0" r:id="rId7">
            <anchor moveWithCells="1">
              <from>
                <xdr:col>7</xdr:col>
                <xdr:colOff>1403350</xdr:colOff>
                <xdr:row>0</xdr:row>
                <xdr:rowOff>107950</xdr:rowOff>
              </from>
              <to>
                <xdr:col>7</xdr:col>
                <xdr:colOff>3155950</xdr:colOff>
                <xdr:row>0</xdr:row>
                <xdr:rowOff>419100</xdr:rowOff>
              </to>
            </anchor>
          </controlPr>
        </control>
      </mc:Choice>
      <mc:Fallback>
        <control shapeId="4097" r:id="rId6" name="cmdGenerateRMSimport"/>
      </mc:Fallback>
    </mc:AlternateContent>
    <mc:AlternateContent xmlns:mc="http://schemas.openxmlformats.org/markup-compatibility/2006">
      <mc:Choice Requires="x14">
        <control shapeId="4103" r:id="rId4" name="Visual">
          <controlPr defaultSize="0" autoLine="0" r:id="rId5">
            <anchor moveWithCells="1">
              <from>
                <xdr:col>5</xdr:col>
                <xdr:colOff>69850</xdr:colOff>
                <xdr:row>0</xdr:row>
                <xdr:rowOff>31750</xdr:rowOff>
              </from>
              <to>
                <xdr:col>6</xdr:col>
                <xdr:colOff>647700</xdr:colOff>
                <xdr:row>0</xdr:row>
                <xdr:rowOff>450850</xdr:rowOff>
              </to>
            </anchor>
          </controlPr>
        </control>
      </mc:Choice>
      <mc:Fallback>
        <control shapeId="4103" r:id="rId4" name="Visual"/>
      </mc:Fallback>
    </mc:AlternateContent>
    <mc:AlternateContent xmlns:mc="http://schemas.openxmlformats.org/markup-compatibility/2006">
      <mc:Choice Requires="x14">
        <control shapeId="4104" r:id="rId8" name="Button 8">
          <controlPr defaultSize="0" print="0" autoFill="0" autoPict="0" macro="[0]!CommandButton1_Click">
            <anchor moveWithCells="1" sizeWithCells="1">
              <from>
                <xdr:col>6</xdr:col>
                <xdr:colOff>876300</xdr:colOff>
                <xdr:row>0</xdr:row>
                <xdr:rowOff>76200</xdr:rowOff>
              </from>
              <to>
                <xdr:col>7</xdr:col>
                <xdr:colOff>69850</xdr:colOff>
                <xdr:row>0</xdr:row>
                <xdr:rowOff>412750</xdr:rowOff>
              </to>
            </anchor>
          </controlPr>
        </control>
      </mc:Choice>
    </mc:AlternateContent>
    <mc:AlternateContent xmlns:mc="http://schemas.openxmlformats.org/markup-compatibility/2006">
      <mc:Choice Requires="x14">
        <control shapeId="4105" r:id="rId9" name="Button 9">
          <controlPr defaultSize="0" print="0" autoFill="0" autoPict="0" macro="[0]!CommandButton2_Click">
            <anchor moveWithCells="1" sizeWithCells="1">
              <from>
                <xdr:col>7</xdr:col>
                <xdr:colOff>222250</xdr:colOff>
                <xdr:row>0</xdr:row>
                <xdr:rowOff>76200</xdr:rowOff>
              </from>
              <to>
                <xdr:col>7</xdr:col>
                <xdr:colOff>1250950</xdr:colOff>
                <xdr:row>0</xdr:row>
                <xdr:rowOff>412750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10997F5-320A-454E-8832-AA0253185A8F}">
          <x14:formula1>
            <xm:f>OFFSET(StatusTags!$F$4,0,0,COUNTIF(StatusTags!$F$4:$F$80000,"&lt;&gt;"))</xm:f>
          </x14:formula1>
          <xm:sqref>T4:T23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0AC55-60D8-417C-A811-B48575A0B262}">
  <sheetPr codeName="Sheet9"/>
  <dimension ref="A1:AF14"/>
  <sheetViews>
    <sheetView workbookViewId="0">
      <selection activeCell="F6" sqref="F6"/>
    </sheetView>
  </sheetViews>
  <sheetFormatPr defaultColWidth="9.33203125" defaultRowHeight="9.9499999999999993"/>
  <cols>
    <col min="3" max="3" width="60.5" bestFit="1" customWidth="1"/>
    <col min="5" max="5" width="27.6640625" bestFit="1" customWidth="1"/>
    <col min="6" max="6" width="29.1640625" customWidth="1"/>
  </cols>
  <sheetData>
    <row r="1" spans="1:32" s="72" customFormat="1" ht="36.75" customHeight="1" thickBot="1">
      <c r="B1" s="73" t="s">
        <v>1877</v>
      </c>
      <c r="F1" s="74"/>
      <c r="M1" s="75"/>
      <c r="N1" s="75"/>
      <c r="AE1" s="76"/>
      <c r="AF1" s="76"/>
    </row>
    <row r="2" spans="1:32" ht="12" thickBot="1">
      <c r="A2" s="77"/>
      <c r="B2" s="78"/>
      <c r="C2" s="79"/>
      <c r="D2" s="81" t="s">
        <v>86</v>
      </c>
      <c r="E2" s="82"/>
      <c r="F2" s="83"/>
    </row>
    <row r="3" spans="1:32" ht="23.45" thickBot="1">
      <c r="A3" s="77" t="s">
        <v>88</v>
      </c>
      <c r="B3" s="78" t="s">
        <v>89</v>
      </c>
      <c r="C3" s="93" t="s">
        <v>1878</v>
      </c>
      <c r="D3" s="94" t="s">
        <v>1879</v>
      </c>
      <c r="E3" s="95" t="s">
        <v>96</v>
      </c>
      <c r="F3" s="94" t="s">
        <v>1880</v>
      </c>
    </row>
    <row r="4" spans="1:32" ht="12.95" thickBot="1">
      <c r="A4" s="315" t="s">
        <v>23</v>
      </c>
      <c r="B4" s="96">
        <v>1</v>
      </c>
      <c r="C4" s="96" t="s">
        <v>1881</v>
      </c>
      <c r="D4" s="96" t="s">
        <v>1882</v>
      </c>
      <c r="E4" s="67" t="s">
        <v>1883</v>
      </c>
      <c r="F4" s="68" t="s">
        <v>1884</v>
      </c>
    </row>
    <row r="5" spans="1:32" s="181" customFormat="1" ht="12.6">
      <c r="A5" s="97" t="s">
        <v>15</v>
      </c>
      <c r="B5" s="66">
        <v>2</v>
      </c>
      <c r="C5" s="96" t="s">
        <v>1885</v>
      </c>
      <c r="D5" s="66" t="s">
        <v>1886</v>
      </c>
      <c r="E5" s="67" t="s">
        <v>1887</v>
      </c>
      <c r="F5" s="68" t="s">
        <v>1888</v>
      </c>
    </row>
    <row r="6" spans="1:32" ht="12.6">
      <c r="A6" s="97" t="s">
        <v>15</v>
      </c>
      <c r="B6" s="66">
        <v>3</v>
      </c>
      <c r="C6" s="66" t="s">
        <v>1889</v>
      </c>
      <c r="D6" s="66" t="s">
        <v>1890</v>
      </c>
      <c r="E6" s="67" t="s">
        <v>1891</v>
      </c>
      <c r="F6" s="68" t="s">
        <v>1892</v>
      </c>
    </row>
    <row r="7" spans="1:32" ht="12.6">
      <c r="A7" s="97" t="s">
        <v>15</v>
      </c>
      <c r="B7" s="66">
        <v>4</v>
      </c>
      <c r="C7" s="66" t="s">
        <v>1893</v>
      </c>
      <c r="D7" s="66" t="s">
        <v>1894</v>
      </c>
      <c r="E7" s="67" t="s">
        <v>1895</v>
      </c>
      <c r="F7" s="68" t="s">
        <v>1896</v>
      </c>
    </row>
    <row r="8" spans="1:32" ht="12.6">
      <c r="A8" s="97" t="s">
        <v>15</v>
      </c>
      <c r="B8" s="66">
        <v>5</v>
      </c>
      <c r="C8" s="66" t="s">
        <v>1897</v>
      </c>
      <c r="D8" s="66" t="s">
        <v>1898</v>
      </c>
      <c r="E8" s="67" t="s">
        <v>1899</v>
      </c>
      <c r="F8" s="68" t="s">
        <v>1900</v>
      </c>
    </row>
    <row r="9" spans="1:32" ht="12.6">
      <c r="A9" s="97" t="s">
        <v>15</v>
      </c>
      <c r="B9" s="66">
        <v>6</v>
      </c>
      <c r="C9" s="66" t="s">
        <v>1901</v>
      </c>
      <c r="D9" s="66" t="s">
        <v>1902</v>
      </c>
      <c r="E9" s="67" t="s">
        <v>1903</v>
      </c>
      <c r="F9" s="68" t="s">
        <v>1904</v>
      </c>
    </row>
    <row r="10" spans="1:32" ht="12.6">
      <c r="A10" s="97" t="s">
        <v>15</v>
      </c>
      <c r="B10" s="66">
        <v>7</v>
      </c>
      <c r="C10" s="66" t="s">
        <v>1905</v>
      </c>
      <c r="D10" s="66" t="s">
        <v>1906</v>
      </c>
      <c r="E10" s="67" t="s">
        <v>1907</v>
      </c>
      <c r="F10" s="68" t="s">
        <v>1908</v>
      </c>
    </row>
    <row r="11" spans="1:32" ht="12.6">
      <c r="A11" s="97" t="s">
        <v>15</v>
      </c>
      <c r="B11" s="66">
        <v>8</v>
      </c>
      <c r="C11" s="66" t="s">
        <v>1909</v>
      </c>
      <c r="D11" s="66" t="s">
        <v>1910</v>
      </c>
      <c r="E11" s="67" t="s">
        <v>1911</v>
      </c>
      <c r="F11" s="68" t="s">
        <v>1912</v>
      </c>
    </row>
    <row r="12" spans="1:32" ht="12.6">
      <c r="A12" s="97" t="s">
        <v>15</v>
      </c>
      <c r="B12" s="66">
        <v>9</v>
      </c>
      <c r="C12" s="66" t="s">
        <v>1913</v>
      </c>
      <c r="D12" s="66" t="s">
        <v>1914</v>
      </c>
      <c r="E12" s="67" t="s">
        <v>1915</v>
      </c>
      <c r="F12" s="68" t="s">
        <v>1916</v>
      </c>
    </row>
    <row r="13" spans="1:32" ht="12.6">
      <c r="A13" s="97" t="s">
        <v>15</v>
      </c>
      <c r="B13" s="66">
        <v>10</v>
      </c>
      <c r="C13" s="66" t="s">
        <v>1917</v>
      </c>
      <c r="D13" s="66" t="s">
        <v>1918</v>
      </c>
      <c r="E13" s="67" t="s">
        <v>1919</v>
      </c>
      <c r="F13" s="68" t="s">
        <v>1920</v>
      </c>
    </row>
    <row r="14" spans="1:32" ht="12.6">
      <c r="F14" s="184"/>
    </row>
  </sheetData>
  <dataConsolidate/>
  <phoneticPr fontId="0" type="noConversion"/>
  <pageMargins left="0.7" right="0.7" top="0.75" bottom="0.75" header="0.3" footer="0.3"/>
  <pageSetup paperSize="9" orientation="portrait" r:id="rId1"/>
  <headerFooter>
    <oddHeader>&amp;L&amp;9Machine Number : 84130003&amp;84130004
Machine Name : IFC - VL1 - Filling Machine &amp; Capper
CU Number : 7002
VU Number : 3922 3923</oddHead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C102"/>
  <sheetViews>
    <sheetView workbookViewId="0">
      <selection activeCell="B8" sqref="B8"/>
    </sheetView>
  </sheetViews>
  <sheetFormatPr defaultColWidth="9.33203125" defaultRowHeight="9.9499999999999993"/>
  <cols>
    <col min="1" max="1" width="23.5" style="16" bestFit="1" customWidth="1"/>
    <col min="2" max="2" width="35.5" style="46" customWidth="1"/>
    <col min="3" max="3" width="212.5" style="16" bestFit="1" customWidth="1"/>
    <col min="4" max="16384" width="9.33203125" style="16"/>
  </cols>
  <sheetData>
    <row r="1" spans="1:3" ht="18">
      <c r="A1" s="30" t="s">
        <v>1921</v>
      </c>
    </row>
    <row r="2" spans="1:3" ht="10.5">
      <c r="A2" s="31"/>
    </row>
    <row r="3" spans="1:3" ht="10.5">
      <c r="A3" s="31"/>
    </row>
    <row r="4" spans="1:3" ht="10.5">
      <c r="A4" s="322" t="s">
        <v>4</v>
      </c>
      <c r="B4" s="323" t="s">
        <v>1922</v>
      </c>
      <c r="C4" s="324" t="s">
        <v>1923</v>
      </c>
    </row>
    <row r="5" spans="1:3">
      <c r="A5" s="325" t="s">
        <v>1827</v>
      </c>
      <c r="B5" s="326">
        <v>7002</v>
      </c>
      <c r="C5" s="327" t="s">
        <v>1924</v>
      </c>
    </row>
    <row r="6" spans="1:3">
      <c r="A6" s="328" t="s">
        <v>1832</v>
      </c>
      <c r="B6" s="329" t="s">
        <v>1925</v>
      </c>
      <c r="C6" s="330" t="s">
        <v>1926</v>
      </c>
    </row>
    <row r="7" spans="1:3">
      <c r="A7" s="331" t="s">
        <v>1927</v>
      </c>
      <c r="B7" s="332" t="s">
        <v>1928</v>
      </c>
      <c r="C7" s="333" t="s">
        <v>1929</v>
      </c>
    </row>
    <row r="8" spans="1:3">
      <c r="A8" s="328" t="s">
        <v>1930</v>
      </c>
      <c r="B8" s="329" t="s">
        <v>1931</v>
      </c>
      <c r="C8" s="330" t="s">
        <v>1932</v>
      </c>
    </row>
    <row r="9" spans="1:3">
      <c r="A9" s="331" t="s">
        <v>1933</v>
      </c>
      <c r="B9" s="332" t="b">
        <v>1</v>
      </c>
      <c r="C9" s="333" t="s">
        <v>1934</v>
      </c>
    </row>
    <row r="10" spans="1:3">
      <c r="A10" s="328" t="s">
        <v>1935</v>
      </c>
      <c r="B10" s="329" t="b">
        <v>1</v>
      </c>
      <c r="C10" s="330" t="s">
        <v>1936</v>
      </c>
    </row>
    <row r="11" spans="1:3">
      <c r="A11" s="331" t="s">
        <v>1937</v>
      </c>
      <c r="B11" s="332" t="b">
        <v>0</v>
      </c>
      <c r="C11" s="334" t="s">
        <v>1938</v>
      </c>
    </row>
    <row r="12" spans="1:3">
      <c r="A12" s="328" t="s">
        <v>1939</v>
      </c>
      <c r="B12" s="329" t="b">
        <v>1</v>
      </c>
      <c r="C12" s="330" t="s">
        <v>1940</v>
      </c>
    </row>
    <row r="13" spans="1:3">
      <c r="A13" s="331" t="s">
        <v>1941</v>
      </c>
      <c r="B13" s="332" t="b">
        <v>1</v>
      </c>
      <c r="C13" s="334" t="s">
        <v>1942</v>
      </c>
    </row>
    <row r="14" spans="1:3">
      <c r="A14" s="328" t="s">
        <v>1943</v>
      </c>
      <c r="B14" s="329" t="b">
        <v>0</v>
      </c>
      <c r="C14" s="330" t="s">
        <v>1944</v>
      </c>
    </row>
    <row r="15" spans="1:3">
      <c r="A15" s="331" t="s">
        <v>1945</v>
      </c>
      <c r="B15" s="332" t="s">
        <v>1946</v>
      </c>
      <c r="C15" s="333" t="s">
        <v>1947</v>
      </c>
    </row>
    <row r="16" spans="1:3">
      <c r="A16" s="331" t="s">
        <v>1948</v>
      </c>
      <c r="B16" s="332" t="s">
        <v>1949</v>
      </c>
      <c r="C16" s="333"/>
    </row>
    <row r="17" spans="1:3">
      <c r="A17" s="331" t="s">
        <v>1950</v>
      </c>
      <c r="B17" s="332" t="s">
        <v>1951</v>
      </c>
      <c r="C17" s="333"/>
    </row>
    <row r="18" spans="1:3">
      <c r="A18" s="331" t="s">
        <v>1952</v>
      </c>
      <c r="B18" s="332" t="s">
        <v>1953</v>
      </c>
      <c r="C18" s="333"/>
    </row>
    <row r="19" spans="1:3">
      <c r="A19" s="328" t="s">
        <v>1954</v>
      </c>
      <c r="B19" s="329" t="s">
        <v>1955</v>
      </c>
      <c r="C19" s="330" t="s">
        <v>1956</v>
      </c>
    </row>
    <row r="20" spans="1:3">
      <c r="A20" s="331" t="s">
        <v>1957</v>
      </c>
      <c r="B20" s="332" t="s">
        <v>1958</v>
      </c>
      <c r="C20" s="333" t="s">
        <v>1959</v>
      </c>
    </row>
    <row r="21" spans="1:3">
      <c r="A21" s="328" t="s">
        <v>1960</v>
      </c>
      <c r="B21" s="329" t="s">
        <v>1961</v>
      </c>
      <c r="C21" s="330" t="s">
        <v>1962</v>
      </c>
    </row>
    <row r="22" spans="1:3">
      <c r="A22" s="331" t="s">
        <v>1963</v>
      </c>
      <c r="B22" s="332" t="s">
        <v>1964</v>
      </c>
      <c r="C22" s="333" t="s">
        <v>1965</v>
      </c>
    </row>
    <row r="23" spans="1:3">
      <c r="A23" s="331" t="s">
        <v>1966</v>
      </c>
      <c r="B23" s="332" t="s">
        <v>1967</v>
      </c>
      <c r="C23" s="333" t="s">
        <v>1968</v>
      </c>
    </row>
    <row r="24" spans="1:3">
      <c r="A24" s="328" t="s">
        <v>1969</v>
      </c>
      <c r="B24" s="329" t="s">
        <v>1970</v>
      </c>
      <c r="C24" s="330" t="s">
        <v>1971</v>
      </c>
    </row>
    <row r="25" spans="1:3">
      <c r="A25" s="331" t="s">
        <v>1972</v>
      </c>
      <c r="B25" s="332" t="s">
        <v>1973</v>
      </c>
      <c r="C25" s="333" t="s">
        <v>1974</v>
      </c>
    </row>
    <row r="26" spans="1:3">
      <c r="A26" s="335" t="s">
        <v>1975</v>
      </c>
      <c r="B26" s="336" t="s">
        <v>1976</v>
      </c>
      <c r="C26" s="337" t="s">
        <v>1974</v>
      </c>
    </row>
    <row r="27" spans="1:3" ht="10.5">
      <c r="A27" s="34"/>
      <c r="B27" s="33"/>
    </row>
    <row r="28" spans="1:3">
      <c r="A28" s="43"/>
      <c r="B28" s="44"/>
    </row>
    <row r="29" spans="1:3">
      <c r="A29" s="43"/>
      <c r="B29" s="44"/>
    </row>
    <row r="30" spans="1:3">
      <c r="A30" s="43"/>
      <c r="B30" s="44"/>
    </row>
    <row r="31" spans="1:3">
      <c r="A31" s="43"/>
      <c r="B31" s="44"/>
    </row>
    <row r="32" spans="1:3">
      <c r="A32" s="43"/>
      <c r="B32" s="44"/>
    </row>
    <row r="33" spans="1:2">
      <c r="A33" s="43"/>
      <c r="B33" s="44"/>
    </row>
    <row r="34" spans="1:2">
      <c r="A34" s="43"/>
      <c r="B34" s="44"/>
    </row>
    <row r="35" spans="1:2">
      <c r="A35" s="43"/>
      <c r="B35" s="44"/>
    </row>
    <row r="36" spans="1:2">
      <c r="A36" s="43"/>
      <c r="B36" s="44"/>
    </row>
    <row r="37" spans="1:2">
      <c r="A37" s="43"/>
      <c r="B37" s="44"/>
    </row>
    <row r="38" spans="1:2">
      <c r="A38" s="43"/>
      <c r="B38" s="44"/>
    </row>
    <row r="39" spans="1:2">
      <c r="A39" s="43"/>
      <c r="B39" s="44"/>
    </row>
    <row r="40" spans="1:2">
      <c r="A40" s="43"/>
      <c r="B40" s="44"/>
    </row>
    <row r="41" spans="1:2">
      <c r="A41" s="43"/>
      <c r="B41" s="44"/>
    </row>
    <row r="42" spans="1:2">
      <c r="A42" s="43"/>
      <c r="B42" s="44"/>
    </row>
    <row r="43" spans="1:2">
      <c r="A43" s="43"/>
      <c r="B43" s="44"/>
    </row>
    <row r="44" spans="1:2">
      <c r="A44" s="43"/>
      <c r="B44" s="44"/>
    </row>
    <row r="45" spans="1:2">
      <c r="A45" s="43"/>
      <c r="B45" s="44"/>
    </row>
    <row r="46" spans="1:2">
      <c r="A46" s="43"/>
      <c r="B46" s="44"/>
    </row>
    <row r="47" spans="1:2">
      <c r="A47" s="43"/>
      <c r="B47" s="44"/>
    </row>
    <row r="48" spans="1:2">
      <c r="A48" s="43"/>
      <c r="B48" s="44"/>
    </row>
    <row r="49" spans="1:2">
      <c r="A49" s="43"/>
      <c r="B49" s="44"/>
    </row>
    <row r="50" spans="1:2">
      <c r="A50" s="43"/>
      <c r="B50" s="44"/>
    </row>
    <row r="51" spans="1:2">
      <c r="A51" s="43"/>
      <c r="B51" s="44"/>
    </row>
    <row r="52" spans="1:2">
      <c r="A52" s="43"/>
      <c r="B52" s="44"/>
    </row>
    <row r="53" spans="1:2">
      <c r="A53" s="43"/>
      <c r="B53" s="44"/>
    </row>
    <row r="54" spans="1:2">
      <c r="A54" s="43"/>
      <c r="B54" s="44"/>
    </row>
    <row r="55" spans="1:2">
      <c r="A55" s="43"/>
      <c r="B55" s="44"/>
    </row>
    <row r="56" spans="1:2">
      <c r="A56" s="43"/>
      <c r="B56" s="44"/>
    </row>
    <row r="57" spans="1:2">
      <c r="A57" s="43"/>
      <c r="B57" s="44"/>
    </row>
    <row r="58" spans="1:2">
      <c r="A58" s="43"/>
      <c r="B58" s="44"/>
    </row>
    <row r="59" spans="1:2">
      <c r="A59" s="43"/>
      <c r="B59" s="44"/>
    </row>
    <row r="60" spans="1:2">
      <c r="A60" s="43"/>
      <c r="B60" s="44"/>
    </row>
    <row r="61" spans="1:2">
      <c r="A61" s="43"/>
      <c r="B61" s="44"/>
    </row>
    <row r="62" spans="1:2">
      <c r="A62" s="43"/>
      <c r="B62" s="44"/>
    </row>
    <row r="63" spans="1:2">
      <c r="A63" s="43"/>
      <c r="B63" s="44"/>
    </row>
    <row r="64" spans="1:2">
      <c r="A64" s="43"/>
      <c r="B64" s="44"/>
    </row>
    <row r="65" spans="1:2">
      <c r="A65" s="43"/>
      <c r="B65" s="44"/>
    </row>
    <row r="66" spans="1:2">
      <c r="A66" s="43"/>
      <c r="B66" s="44"/>
    </row>
    <row r="67" spans="1:2">
      <c r="A67" s="43"/>
      <c r="B67" s="44"/>
    </row>
    <row r="68" spans="1:2">
      <c r="A68" s="43"/>
      <c r="B68" s="44"/>
    </row>
    <row r="69" spans="1:2">
      <c r="A69" s="43"/>
      <c r="B69" s="44"/>
    </row>
    <row r="70" spans="1:2">
      <c r="A70" s="43"/>
      <c r="B70" s="44"/>
    </row>
    <row r="71" spans="1:2">
      <c r="A71" s="43"/>
      <c r="B71" s="44"/>
    </row>
    <row r="72" spans="1:2">
      <c r="A72" s="43"/>
      <c r="B72" s="44"/>
    </row>
    <row r="73" spans="1:2">
      <c r="A73" s="43"/>
      <c r="B73" s="44"/>
    </row>
    <row r="74" spans="1:2">
      <c r="A74" s="43"/>
      <c r="B74" s="44"/>
    </row>
    <row r="75" spans="1:2">
      <c r="A75" s="43"/>
      <c r="B75" s="44"/>
    </row>
    <row r="76" spans="1:2">
      <c r="A76" s="43"/>
      <c r="B76" s="44"/>
    </row>
    <row r="77" spans="1:2">
      <c r="A77" s="43"/>
      <c r="B77" s="44"/>
    </row>
    <row r="78" spans="1:2">
      <c r="A78" s="43"/>
      <c r="B78" s="44"/>
    </row>
    <row r="79" spans="1:2">
      <c r="A79" s="43"/>
      <c r="B79" s="44"/>
    </row>
    <row r="80" spans="1:2">
      <c r="A80" s="43"/>
      <c r="B80" s="44"/>
    </row>
    <row r="81" spans="1:2">
      <c r="A81" s="43"/>
      <c r="B81" s="44"/>
    </row>
    <row r="82" spans="1:2">
      <c r="A82" s="43"/>
      <c r="B82" s="44"/>
    </row>
    <row r="83" spans="1:2">
      <c r="A83" s="43"/>
      <c r="B83" s="44"/>
    </row>
    <row r="84" spans="1:2">
      <c r="A84" s="43"/>
      <c r="B84" s="44"/>
    </row>
    <row r="85" spans="1:2">
      <c r="A85" s="43"/>
      <c r="B85" s="44"/>
    </row>
    <row r="86" spans="1:2">
      <c r="A86" s="43"/>
      <c r="B86" s="44"/>
    </row>
    <row r="87" spans="1:2">
      <c r="A87" s="43"/>
      <c r="B87" s="44"/>
    </row>
    <row r="88" spans="1:2">
      <c r="A88" s="43"/>
      <c r="B88" s="44"/>
    </row>
    <row r="89" spans="1:2">
      <c r="A89" s="43"/>
      <c r="B89" s="44"/>
    </row>
    <row r="90" spans="1:2">
      <c r="A90" s="43"/>
      <c r="B90" s="44"/>
    </row>
    <row r="91" spans="1:2">
      <c r="A91" s="43"/>
      <c r="B91" s="44"/>
    </row>
    <row r="92" spans="1:2">
      <c r="A92" s="43"/>
      <c r="B92" s="44"/>
    </row>
    <row r="93" spans="1:2">
      <c r="A93" s="43"/>
      <c r="B93" s="44"/>
    </row>
    <row r="94" spans="1:2">
      <c r="A94" s="43"/>
      <c r="B94" s="44"/>
    </row>
    <row r="95" spans="1:2">
      <c r="A95" s="43"/>
      <c r="B95" s="44"/>
    </row>
    <row r="96" spans="1:2" ht="10.5">
      <c r="A96" s="34"/>
      <c r="B96" s="33"/>
    </row>
    <row r="97" spans="1:2">
      <c r="A97" s="43"/>
      <c r="B97" s="44"/>
    </row>
    <row r="98" spans="1:2">
      <c r="A98" s="43"/>
      <c r="B98" s="44"/>
    </row>
    <row r="99" spans="1:2">
      <c r="A99" s="43"/>
      <c r="B99" s="44"/>
    </row>
    <row r="100" spans="1:2">
      <c r="A100" s="43"/>
      <c r="B100" s="44"/>
    </row>
    <row r="101" spans="1:2">
      <c r="A101" s="43"/>
      <c r="B101" s="44"/>
    </row>
    <row r="102" spans="1:2">
      <c r="A102" s="43"/>
      <c r="B102" s="44"/>
    </row>
  </sheetData>
  <pageMargins left="0.74803149606299213" right="0.74803149606299213" top="1.1023622047244095" bottom="0.98425196850393704" header="0.51181102362204722" footer="0.51181102362204722"/>
  <pageSetup paperSize="9" orientation="landscape" r:id="rId1"/>
  <headerFooter alignWithMargins="0">
    <oddHeader>&amp;C
DOWNLOAD LIST&amp;RFilename: &amp;F
Date: &amp;D&amp;L&amp;9Machine Number : 84130003&amp;84130004
Machine Name : IFC - VL1 - Filling Machine &amp; Capper
CU Number : 7002
VU Number : 3922 3923</oddHeader>
    <oddFooter>&amp;LBased on template :&amp;CDownloadList_CUxxxx_A3&amp;RPage &amp;P/&amp;N</oddFooter>
  </headerFooter>
  <drawing r:id="rId2"/>
  <legacyDrawing r:id="rId3"/>
  <controls>
    <mc:AlternateContent xmlns:mc="http://schemas.openxmlformats.org/markup-compatibility/2006">
      <mc:Choice Requires="x14">
        <control shapeId="5121" r:id="rId4" name="cmdGenerateRMSimport">
          <controlPr defaultSize="0" autoLine="0" r:id="rId5">
            <anchor moveWithCells="1">
              <from>
                <xdr:col>2</xdr:col>
                <xdr:colOff>755650</xdr:colOff>
                <xdr:row>0</xdr:row>
                <xdr:rowOff>69850</xdr:rowOff>
              </from>
              <to>
                <xdr:col>2</xdr:col>
                <xdr:colOff>2508250</xdr:colOff>
                <xdr:row>2</xdr:row>
                <xdr:rowOff>0</xdr:rowOff>
              </to>
            </anchor>
          </controlPr>
        </control>
      </mc:Choice>
      <mc:Fallback>
        <control shapeId="5121" r:id="rId4" name="cmdGenerateRMSimport"/>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DEA55-69DC-4D39-8D45-B661CD2EFE0D}">
  <sheetPr codeName="Sheet8"/>
  <dimension ref="A1:I11"/>
  <sheetViews>
    <sheetView workbookViewId="0">
      <selection activeCell="B11" sqref="B11:I11"/>
    </sheetView>
  </sheetViews>
  <sheetFormatPr defaultColWidth="9.33203125" defaultRowHeight="9.9499999999999993"/>
  <cols>
    <col min="1" max="16384" width="9.33203125" style="61"/>
  </cols>
  <sheetData>
    <row r="1" spans="1:9" ht="120" customHeight="1">
      <c r="B1" s="62" t="s">
        <v>1977</v>
      </c>
      <c r="C1" s="62" t="s">
        <v>1978</v>
      </c>
      <c r="D1" s="62" t="s">
        <v>1979</v>
      </c>
      <c r="E1" s="62" t="s">
        <v>1980</v>
      </c>
      <c r="F1" s="62" t="s">
        <v>1981</v>
      </c>
      <c r="G1" s="62" t="s">
        <v>1982</v>
      </c>
      <c r="H1" s="62" t="s">
        <v>1983</v>
      </c>
      <c r="I1" s="62" t="s">
        <v>1984</v>
      </c>
    </row>
    <row r="2" spans="1:9" ht="14.45">
      <c r="A2" s="63" t="s">
        <v>618</v>
      </c>
      <c r="B2" s="64">
        <v>1</v>
      </c>
      <c r="C2" s="65">
        <v>1</v>
      </c>
      <c r="D2" s="65">
        <v>1</v>
      </c>
      <c r="E2" s="65">
        <v>1</v>
      </c>
      <c r="F2" s="65">
        <v>1</v>
      </c>
      <c r="G2" s="65">
        <v>1</v>
      </c>
      <c r="H2" s="65">
        <v>1</v>
      </c>
      <c r="I2" s="65">
        <v>1</v>
      </c>
    </row>
    <row r="3" spans="1:9" ht="14.45">
      <c r="A3" s="63" t="s">
        <v>624</v>
      </c>
      <c r="B3" s="64">
        <v>0</v>
      </c>
      <c r="C3" s="65">
        <v>1</v>
      </c>
      <c r="D3" s="65">
        <v>1</v>
      </c>
      <c r="E3" s="65">
        <v>1</v>
      </c>
      <c r="F3" s="65">
        <v>1</v>
      </c>
      <c r="G3" s="65">
        <v>1</v>
      </c>
      <c r="H3" s="65">
        <v>1</v>
      </c>
      <c r="I3" s="65">
        <v>0</v>
      </c>
    </row>
    <row r="4" spans="1:9" ht="14.45">
      <c r="A4" s="63" t="s">
        <v>1985</v>
      </c>
      <c r="B4" s="64">
        <v>0</v>
      </c>
      <c r="C4" s="65">
        <v>0</v>
      </c>
      <c r="D4" s="65">
        <v>1</v>
      </c>
      <c r="E4" s="65">
        <v>1</v>
      </c>
      <c r="F4" s="65">
        <v>1</v>
      </c>
      <c r="G4" s="65">
        <v>1</v>
      </c>
      <c r="H4" s="65">
        <v>1</v>
      </c>
      <c r="I4" s="65">
        <v>0</v>
      </c>
    </row>
    <row r="5" spans="1:9" ht="14.45">
      <c r="A5" s="63" t="s">
        <v>1986</v>
      </c>
      <c r="B5" s="64">
        <v>0</v>
      </c>
      <c r="C5" s="65">
        <v>0</v>
      </c>
      <c r="D5" s="65">
        <v>0</v>
      </c>
      <c r="E5" s="65">
        <v>1</v>
      </c>
      <c r="F5" s="65">
        <v>1</v>
      </c>
      <c r="G5" s="65">
        <v>1</v>
      </c>
      <c r="H5" s="65">
        <v>1</v>
      </c>
      <c r="I5" s="65">
        <v>0</v>
      </c>
    </row>
    <row r="6" spans="1:9" ht="14.45">
      <c r="A6" s="63" t="s">
        <v>1987</v>
      </c>
      <c r="B6" s="64">
        <v>0</v>
      </c>
      <c r="C6" s="65">
        <v>0</v>
      </c>
      <c r="D6" s="65">
        <v>0</v>
      </c>
      <c r="E6" s="65">
        <v>0</v>
      </c>
      <c r="F6" s="65">
        <v>1</v>
      </c>
      <c r="G6" s="65">
        <v>1</v>
      </c>
      <c r="H6" s="65">
        <v>1</v>
      </c>
      <c r="I6" s="65">
        <v>0</v>
      </c>
    </row>
    <row r="7" spans="1:9" ht="14.45">
      <c r="A7" s="63" t="s">
        <v>1988</v>
      </c>
      <c r="B7" s="64">
        <v>0</v>
      </c>
      <c r="C7" s="65">
        <v>0</v>
      </c>
      <c r="D7" s="65">
        <v>0</v>
      </c>
      <c r="E7" s="65">
        <v>0</v>
      </c>
      <c r="F7" s="65">
        <v>0</v>
      </c>
      <c r="G7" s="65">
        <v>1</v>
      </c>
      <c r="H7" s="65">
        <v>1</v>
      </c>
      <c r="I7" s="65">
        <v>0</v>
      </c>
    </row>
    <row r="8" spans="1:9" ht="14.45">
      <c r="A8" s="63" t="s">
        <v>1989</v>
      </c>
      <c r="B8" s="64">
        <v>0</v>
      </c>
      <c r="C8" s="65">
        <v>0</v>
      </c>
      <c r="D8" s="65">
        <v>1</v>
      </c>
      <c r="E8" s="65">
        <v>0</v>
      </c>
      <c r="F8" s="65">
        <v>1</v>
      </c>
      <c r="G8" s="65">
        <v>1</v>
      </c>
      <c r="H8" s="65">
        <v>1</v>
      </c>
      <c r="I8" s="65">
        <v>0</v>
      </c>
    </row>
    <row r="9" spans="1:9" ht="14.45">
      <c r="A9" s="63" t="s">
        <v>1990</v>
      </c>
      <c r="B9" s="64">
        <v>0</v>
      </c>
      <c r="C9" s="65">
        <v>0</v>
      </c>
      <c r="D9" s="65">
        <v>1</v>
      </c>
      <c r="E9" s="65">
        <v>0</v>
      </c>
      <c r="F9" s="65">
        <v>0</v>
      </c>
      <c r="G9" s="65">
        <v>1</v>
      </c>
      <c r="H9" s="65">
        <v>1</v>
      </c>
      <c r="I9" s="65">
        <v>0</v>
      </c>
    </row>
    <row r="10" spans="1:9" ht="14.45">
      <c r="A10" s="63" t="s">
        <v>1991</v>
      </c>
      <c r="B10" s="64">
        <v>0</v>
      </c>
      <c r="C10" s="65">
        <v>0</v>
      </c>
      <c r="D10" s="65">
        <v>0</v>
      </c>
      <c r="E10" s="65">
        <v>0</v>
      </c>
      <c r="F10" s="65">
        <v>0</v>
      </c>
      <c r="G10" s="65">
        <v>0</v>
      </c>
      <c r="H10" s="65">
        <v>0</v>
      </c>
      <c r="I10" s="65">
        <v>0</v>
      </c>
    </row>
    <row r="11" spans="1:9" ht="14.45">
      <c r="A11" s="63" t="s">
        <v>1992</v>
      </c>
      <c r="B11" s="64">
        <v>0</v>
      </c>
      <c r="C11" s="65">
        <v>0</v>
      </c>
      <c r="D11" s="65">
        <v>0</v>
      </c>
      <c r="E11" s="65">
        <v>0</v>
      </c>
      <c r="F11" s="65">
        <v>0</v>
      </c>
      <c r="G11" s="65">
        <v>0</v>
      </c>
      <c r="H11" s="65">
        <v>0</v>
      </c>
      <c r="I11" s="65">
        <v>0</v>
      </c>
    </row>
  </sheetData>
  <conditionalFormatting sqref="B2:I11">
    <cfRule type="cellIs" dxfId="0" priority="1" operator="lessThan">
      <formula>0.5</formula>
    </cfRule>
  </conditionalFormatting>
  <pageMargins left="0.7" right="0.7" top="0.75" bottom="0.75" header="0.3" footer="0.3"/>
  <pageSetup paperSize="9" orientation="portrait" r:id="rId1"/>
  <headerFooter>
    <oddHeader>&amp;L&amp;9Machine Number : 84130003&amp;84130004
Machine Name : IFC - VL1 - Filling Machine &amp; Capper
CU Number : 7002
VU Number : 3922 3923</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59C80-8FFF-422B-BC4A-6C2C5D732EF4}">
  <sheetPr codeName="Sheet5"/>
  <dimension ref="A1:F8"/>
  <sheetViews>
    <sheetView zoomScaleNormal="100" workbookViewId="0">
      <selection activeCell="J8" sqref="J8"/>
    </sheetView>
  </sheetViews>
  <sheetFormatPr defaultColWidth="9.33203125" defaultRowHeight="9.9499999999999993"/>
  <cols>
    <col min="1" max="1" width="19" style="16" customWidth="1"/>
    <col min="2" max="2" width="13.33203125" style="16" customWidth="1"/>
    <col min="3" max="16384" width="9.33203125" style="16"/>
  </cols>
  <sheetData>
    <row r="1" spans="1:6" ht="11.1" thickBot="1">
      <c r="A1" s="367" t="s">
        <v>1993</v>
      </c>
      <c r="B1" s="368" t="s">
        <v>1994</v>
      </c>
      <c r="C1" s="368" t="s">
        <v>1995</v>
      </c>
      <c r="D1" s="368" t="s">
        <v>1996</v>
      </c>
      <c r="E1" s="368" t="s">
        <v>1997</v>
      </c>
      <c r="F1" s="369" t="s">
        <v>1998</v>
      </c>
    </row>
    <row r="2" spans="1:6">
      <c r="A2" s="370" t="s">
        <v>1999</v>
      </c>
      <c r="B2" s="16" t="s">
        <v>234</v>
      </c>
      <c r="C2" s="16" t="s">
        <v>441</v>
      </c>
      <c r="D2" s="16" t="s">
        <v>441</v>
      </c>
      <c r="F2" s="371">
        <v>1</v>
      </c>
    </row>
    <row r="3" spans="1:6">
      <c r="A3" s="370" t="s">
        <v>2000</v>
      </c>
      <c r="B3" s="16" t="s">
        <v>271</v>
      </c>
      <c r="D3" s="16" t="s">
        <v>441</v>
      </c>
      <c r="F3" s="371">
        <v>2</v>
      </c>
    </row>
    <row r="4" spans="1:6">
      <c r="A4" s="370" t="s">
        <v>189</v>
      </c>
      <c r="B4" s="16" t="s">
        <v>195</v>
      </c>
      <c r="D4" s="16" t="s">
        <v>441</v>
      </c>
      <c r="F4" s="371">
        <v>3</v>
      </c>
    </row>
    <row r="5" spans="1:6">
      <c r="A5" s="370" t="s">
        <v>2001</v>
      </c>
      <c r="B5" s="16" t="s">
        <v>289</v>
      </c>
      <c r="D5" s="16" t="s">
        <v>441</v>
      </c>
      <c r="F5" s="371">
        <v>4</v>
      </c>
    </row>
    <row r="6" spans="1:6">
      <c r="A6" s="370" t="s">
        <v>2002</v>
      </c>
      <c r="B6" s="16" t="s">
        <v>1697</v>
      </c>
      <c r="D6" s="16" t="s">
        <v>441</v>
      </c>
      <c r="F6" s="371">
        <v>5</v>
      </c>
    </row>
    <row r="7" spans="1:6">
      <c r="A7" s="370" t="s">
        <v>140</v>
      </c>
      <c r="B7" s="16" t="s">
        <v>138</v>
      </c>
      <c r="C7" s="16" t="s">
        <v>441</v>
      </c>
      <c r="D7" s="16" t="s">
        <v>441</v>
      </c>
      <c r="F7" s="371">
        <v>6</v>
      </c>
    </row>
    <row r="8" spans="1:6" ht="10.5" thickBot="1">
      <c r="A8" s="372" t="s">
        <v>2003</v>
      </c>
      <c r="B8" s="373" t="s">
        <v>2004</v>
      </c>
      <c r="C8" s="373"/>
      <c r="D8" s="373"/>
      <c r="E8" s="373" t="s">
        <v>441</v>
      </c>
      <c r="F8" s="374">
        <v>7</v>
      </c>
    </row>
  </sheetData>
  <pageMargins left="0.7" right="0.7" top="0.75" bottom="0.75" header="0.3" footer="0.3"/>
  <pageSetup orientation="portrait" r:id="rId1"/>
  <headerFooter>
    <oddHeader>&amp;L&amp;9Machine Number : 84130003&amp;84130004
Machine Name : IFC - VL1 - Filling Machine &amp; Capper
CU Number : 7002
VU Number : 3922 3923</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4:E11"/>
  <sheetViews>
    <sheetView showGridLines="0" zoomScaleNormal="100" workbookViewId="0"/>
  </sheetViews>
  <sheetFormatPr defaultColWidth="9.33203125" defaultRowHeight="14.1"/>
  <cols>
    <col min="1" max="1" width="1.6640625" style="1" customWidth="1"/>
    <col min="2" max="2" width="30" style="1" customWidth="1"/>
    <col min="3" max="3" width="13.33203125" style="1" customWidth="1"/>
    <col min="4" max="4" width="39.5" style="1" customWidth="1"/>
    <col min="5" max="16384" width="9.33203125" style="1"/>
  </cols>
  <sheetData>
    <row r="4" spans="2:5" ht="15.95">
      <c r="B4" s="317" t="s">
        <v>2005</v>
      </c>
      <c r="C4" s="318">
        <f>COUNTA('Download list'!F6:F319)-COUNTIF('Download list'!F6:F319,"Spare")</f>
        <v>308</v>
      </c>
      <c r="D4" s="9" t="s">
        <v>2006</v>
      </c>
      <c r="E4" s="8"/>
    </row>
    <row r="5" spans="2:5" ht="7.5" customHeight="1">
      <c r="B5" s="2"/>
      <c r="C5" s="3"/>
    </row>
    <row r="6" spans="2:5">
      <c r="B6" s="4" t="s">
        <v>2007</v>
      </c>
      <c r="C6" s="5">
        <f>COUNTIF('Download list'!$Y$6:$Y$319,"P1")</f>
        <v>14</v>
      </c>
    </row>
    <row r="7" spans="2:5">
      <c r="B7" s="4" t="s">
        <v>2008</v>
      </c>
      <c r="C7" s="5">
        <f>COUNTIF('Download list'!$Y$6:$Y$319,"P2")</f>
        <v>116</v>
      </c>
    </row>
    <row r="8" spans="2:5">
      <c r="B8" s="4" t="s">
        <v>2009</v>
      </c>
      <c r="C8" s="5">
        <f>COUNTIF('Download list'!$Y$6:$Y$319,"P3")</f>
        <v>67</v>
      </c>
    </row>
    <row r="9" spans="2:5">
      <c r="B9" s="6" t="s">
        <v>2010</v>
      </c>
      <c r="C9" s="7">
        <f>COUNTIF('Download list'!$Y$6:$Y$319,"P4")</f>
        <v>27</v>
      </c>
    </row>
    <row r="11" spans="2:5">
      <c r="B11" s="317" t="s">
        <v>2011</v>
      </c>
      <c r="C11" s="15" t="s">
        <v>23</v>
      </c>
    </row>
  </sheetData>
  <phoneticPr fontId="0" type="noConversion"/>
  <pageMargins left="0.74803149606299213" right="0.74803149606299213" top="1.1023622047244095" bottom="0.98425196850393704" header="0.51181102362204722" footer="0.51181102362204722"/>
  <pageSetup paperSize="9" orientation="landscape" r:id="rId1"/>
  <headerFooter alignWithMargins="0">
    <oddHeader>&amp;C
DOWNLOAD LIST&amp;RFilename: &amp;F
Date: &amp;D&amp;L&amp;9Machine Number : 84130003&amp;84130004
Machine Name : IFC - VL1 - Filling Machine &amp; Capper
CU Number : 7002
VU Number : 3922 3923</oddHeader>
    <oddFooter>&amp;LBased on template :&amp;CDownloadList_CUxxxx_A3&amp;RPage &amp;P/&amp;N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FE3E2-5232-4D00-9335-5B54A65A0C80}">
  <sheetPr codeName="Sheet11"/>
  <dimension ref="A1:D20"/>
  <sheetViews>
    <sheetView showGridLines="0" zoomScaleNormal="100" workbookViewId="0"/>
  </sheetViews>
  <sheetFormatPr defaultColWidth="9.33203125" defaultRowHeight="12.6"/>
  <cols>
    <col min="1" max="1" width="8.6640625" style="193" customWidth="1"/>
    <col min="2" max="2" width="25.6640625" style="193" customWidth="1"/>
    <col min="3" max="3" width="15.6640625" style="193" customWidth="1"/>
    <col min="4" max="4" width="109.6640625" style="188" customWidth="1"/>
    <col min="5" max="16384" width="9.33203125" style="56"/>
  </cols>
  <sheetData>
    <row r="1" spans="1:4" s="188" customFormat="1" ht="20.100000000000001">
      <c r="A1" s="185" t="s">
        <v>2012</v>
      </c>
      <c r="B1" s="186"/>
      <c r="C1" s="186"/>
      <c r="D1" s="187"/>
    </row>
    <row r="2" spans="1:4" ht="20.45" thickBot="1">
      <c r="A2" s="189"/>
      <c r="B2" s="190"/>
      <c r="C2" s="190"/>
      <c r="D2" s="187"/>
    </row>
    <row r="3" spans="1:4" s="193" customFormat="1" ht="30" customHeight="1">
      <c r="A3" s="191" t="s">
        <v>88</v>
      </c>
      <c r="B3" s="192" t="s">
        <v>2</v>
      </c>
      <c r="C3" s="192" t="s">
        <v>3</v>
      </c>
      <c r="D3" s="192" t="s">
        <v>4</v>
      </c>
    </row>
    <row r="4" spans="1:4">
      <c r="A4" s="57" t="s">
        <v>15</v>
      </c>
      <c r="B4" s="57" t="s">
        <v>24</v>
      </c>
      <c r="C4" s="58"/>
      <c r="D4" s="194" t="s">
        <v>2013</v>
      </c>
    </row>
    <row r="5" spans="1:4" ht="24.95">
      <c r="A5" s="57" t="s">
        <v>23</v>
      </c>
      <c r="B5" s="57" t="s">
        <v>2014</v>
      </c>
      <c r="C5" s="58">
        <v>43794</v>
      </c>
      <c r="D5" s="194" t="s">
        <v>2015</v>
      </c>
    </row>
    <row r="6" spans="1:4" ht="24.95">
      <c r="A6" s="57" t="s">
        <v>26</v>
      </c>
      <c r="B6" s="59" t="s">
        <v>2016</v>
      </c>
      <c r="C6" s="60" t="s">
        <v>2017</v>
      </c>
      <c r="D6" s="195" t="s">
        <v>2018</v>
      </c>
    </row>
    <row r="7" spans="1:4" ht="50.1">
      <c r="A7" s="57" t="s">
        <v>31</v>
      </c>
      <c r="B7" s="59" t="s">
        <v>2019</v>
      </c>
      <c r="C7" s="58">
        <v>43859</v>
      </c>
      <c r="D7" s="195" t="s">
        <v>2020</v>
      </c>
    </row>
    <row r="8" spans="1:4" ht="62.45">
      <c r="A8" s="57" t="s">
        <v>36</v>
      </c>
      <c r="B8" s="57" t="s">
        <v>2021</v>
      </c>
      <c r="C8" s="58">
        <v>44589</v>
      </c>
      <c r="D8" s="196" t="s">
        <v>2022</v>
      </c>
    </row>
    <row r="9" spans="1:4">
      <c r="A9" s="57"/>
      <c r="B9" s="57"/>
      <c r="C9" s="57"/>
      <c r="D9" s="197"/>
    </row>
    <row r="10" spans="1:4">
      <c r="A10" s="57"/>
      <c r="B10" s="57"/>
      <c r="C10" s="57"/>
      <c r="D10" s="197"/>
    </row>
    <row r="11" spans="1:4">
      <c r="A11" s="57"/>
      <c r="B11" s="57"/>
      <c r="C11" s="57"/>
      <c r="D11" s="197"/>
    </row>
    <row r="12" spans="1:4">
      <c r="A12" s="57"/>
      <c r="B12" s="57"/>
      <c r="C12" s="57"/>
      <c r="D12" s="197"/>
    </row>
    <row r="13" spans="1:4">
      <c r="A13" s="57"/>
      <c r="B13" s="57"/>
      <c r="C13" s="57"/>
      <c r="D13" s="197"/>
    </row>
    <row r="14" spans="1:4">
      <c r="A14" s="57"/>
      <c r="B14" s="57"/>
      <c r="C14" s="57"/>
      <c r="D14" s="197"/>
    </row>
    <row r="15" spans="1:4">
      <c r="A15" s="57"/>
      <c r="B15" s="57"/>
      <c r="C15" s="57"/>
      <c r="D15" s="197"/>
    </row>
    <row r="16" spans="1:4">
      <c r="A16" s="57"/>
      <c r="B16" s="57"/>
      <c r="C16" s="57"/>
      <c r="D16" s="197"/>
    </row>
    <row r="17" spans="1:4">
      <c r="A17" s="57"/>
      <c r="B17" s="57"/>
      <c r="C17" s="57"/>
      <c r="D17" s="197"/>
    </row>
    <row r="18" spans="1:4">
      <c r="A18" s="57"/>
      <c r="B18" s="57"/>
      <c r="C18" s="57"/>
      <c r="D18" s="197"/>
    </row>
    <row r="19" spans="1:4">
      <c r="A19" s="57"/>
      <c r="B19" s="57"/>
      <c r="C19" s="57"/>
      <c r="D19" s="197"/>
    </row>
    <row r="20" spans="1:4">
      <c r="A20" s="57"/>
      <c r="B20" s="57"/>
      <c r="C20" s="57"/>
      <c r="D20" s="197"/>
    </row>
  </sheetData>
  <pageMargins left="0.74803149606299213" right="0.74803149606299213" top="1.2083333333333333" bottom="0.98425196850393704" header="0.51181102362204722" footer="0.51181102362204722"/>
  <pageSetup paperSize="9" orientation="landscape" r:id="rId1"/>
  <headerFooter alignWithMargins="0">
    <oddHeader>&amp;C
DOWNLOAD LIST&amp;RFilename: &amp;F
Date: &amp;D&amp;L&amp;9Machine Number : 84130003&amp;84130004
Machine Name : IFC - VL1 - Filling Machine &amp; Capper
CU Number : 7002
VU Number : 3922 3923</oddHeader>
    <oddFooter>&amp;LBased on template :&amp;CDownloadList_CUxxxx_A3&amp;RPage &amp;P/&amp;N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596579382B69149A835DEFE0E132D53" ma:contentTypeVersion="4" ma:contentTypeDescription="Create a new document." ma:contentTypeScope="" ma:versionID="ab97049ab69d6c31926ba3984516367f">
  <xsd:schema xmlns:xsd="http://www.w3.org/2001/XMLSchema" xmlns:xs="http://www.w3.org/2001/XMLSchema" xmlns:p="http://schemas.microsoft.com/office/2006/metadata/properties" xmlns:ns2="9242fad9-1d17-4546-a2ad-13cc31a6d3be" targetNamespace="http://schemas.microsoft.com/office/2006/metadata/properties" ma:root="true" ma:fieldsID="f17d7a2905985b64c475d1b5e74a8538" ns2:_="">
    <xsd:import namespace="9242fad9-1d17-4546-a2ad-13cc31a6d3be"/>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242fad9-1d17-4546-a2ad-13cc31a6d3b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31A0D21-5FB1-4B61-A8F0-57CC6077ABCF}"/>
</file>

<file path=customXml/itemProps2.xml><?xml version="1.0" encoding="utf-8"?>
<ds:datastoreItem xmlns:ds="http://schemas.openxmlformats.org/officeDocument/2006/customXml" ds:itemID="{5F177067-8CE9-4E9D-B671-72487EDF60D3}"/>
</file>

<file path=customXml/itemProps3.xml><?xml version="1.0" encoding="utf-8"?>
<ds:datastoreItem xmlns:ds="http://schemas.openxmlformats.org/officeDocument/2006/customXml" ds:itemID="{72842A32-747B-4673-919A-B3D00A7BBF3E}"/>
</file>

<file path=docProps/app.xml><?xml version="1.0" encoding="utf-8"?>
<Properties xmlns="http://schemas.openxmlformats.org/officeDocument/2006/extended-properties" xmlns:vt="http://schemas.openxmlformats.org/officeDocument/2006/docPropsVTypes">
  <Application>Microsoft Excel Online</Application>
  <Manager/>
  <Company>Pfizer</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Download list (DB12)</dc:title>
  <dc:subject/>
  <dc:creator>Oberndörfer, Bernd</dc:creator>
  <cp:keywords/>
  <dc:description/>
  <cp:lastModifiedBy>Bresseleers, Nick</cp:lastModifiedBy>
  <cp:revision/>
  <dcterms:created xsi:type="dcterms:W3CDTF">1998-01-20T12:15:24Z</dcterms:created>
  <dcterms:modified xsi:type="dcterms:W3CDTF">2025-02-18T13:29:44Z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achine Name">
    <vt:lpwstr>IFC - VL1 - Filling Machine &amp; Capper</vt:lpwstr>
  </property>
  <property fmtid="{D5CDD505-2E9C-101B-9397-08002B2CF9AE}" pid="3" name="Machine Number">
    <vt:lpwstr>84130003&amp;84130004</vt:lpwstr>
  </property>
  <property fmtid="{D5CDD505-2E9C-101B-9397-08002B2CF9AE}" pid="4" name="CU Number">
    <vt:lpwstr>7002</vt:lpwstr>
  </property>
  <property fmtid="{D5CDD505-2E9C-101B-9397-08002B2CF9AE}" pid="5" name="VU Number">
    <vt:lpwstr>3922 3923</vt:lpwstr>
  </property>
  <property fmtid="{D5CDD505-2E9C-101B-9397-08002B2CF9AE}" pid="6" name="ContentTypeId">
    <vt:lpwstr>0x010100B596579382B69149A835DEFE0E132D53</vt:lpwstr>
  </property>
  <property fmtid="{D5CDD505-2E9C-101B-9397-08002B2CF9AE}" pid="7" name="_dlc_DocIdItemGuid">
    <vt:lpwstr>83c1df0f-b66d-42fe-b762-9fb76527d5bd</vt:lpwstr>
  </property>
  <property fmtid="{D5CDD505-2E9C-101B-9397-08002B2CF9AE}" pid="8" name="MediaServiceImageTags">
    <vt:lpwstr/>
  </property>
  <property fmtid="{D5CDD505-2E9C-101B-9397-08002B2CF9AE}" pid="9" name="MSIP_Label_4791b42f-c435-42ca-9531-75a3f42aae3d_Enabled">
    <vt:lpwstr>true</vt:lpwstr>
  </property>
  <property fmtid="{D5CDD505-2E9C-101B-9397-08002B2CF9AE}" pid="10" name="MSIP_Label_4791b42f-c435-42ca-9531-75a3f42aae3d_SetDate">
    <vt:lpwstr>2023-04-04T08:52:20Z</vt:lpwstr>
  </property>
  <property fmtid="{D5CDD505-2E9C-101B-9397-08002B2CF9AE}" pid="11" name="MSIP_Label_4791b42f-c435-42ca-9531-75a3f42aae3d_Method">
    <vt:lpwstr>Privileged</vt:lpwstr>
  </property>
  <property fmtid="{D5CDD505-2E9C-101B-9397-08002B2CF9AE}" pid="12" name="MSIP_Label_4791b42f-c435-42ca-9531-75a3f42aae3d_Name">
    <vt:lpwstr>4791b42f-c435-42ca-9531-75a3f42aae3d</vt:lpwstr>
  </property>
  <property fmtid="{D5CDD505-2E9C-101B-9397-08002B2CF9AE}" pid="13" name="MSIP_Label_4791b42f-c435-42ca-9531-75a3f42aae3d_SiteId">
    <vt:lpwstr>7a916015-20ae-4ad1-9170-eefd915e9272</vt:lpwstr>
  </property>
  <property fmtid="{D5CDD505-2E9C-101B-9397-08002B2CF9AE}" pid="14" name="MSIP_Label_4791b42f-c435-42ca-9531-75a3f42aae3d_ActionId">
    <vt:lpwstr>b3e7aa34-cb70-4d06-b014-509288b29de7</vt:lpwstr>
  </property>
  <property fmtid="{D5CDD505-2E9C-101B-9397-08002B2CF9AE}" pid="15" name="MSIP_Label_4791b42f-c435-42ca-9531-75a3f42aae3d_ContentBits">
    <vt:lpwstr>0</vt:lpwstr>
  </property>
</Properties>
</file>