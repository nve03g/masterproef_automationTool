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19" codeName="{00000000-0000-0000-0000-000000000000}"/>
  <fileSharing readOnlyRecommended="1"/>
  <workbookPr codeName="ThisWorkbook"/>
  <mc:AlternateContent xmlns:mc="http://schemas.openxmlformats.org/markup-compatibility/2006">
    <mc:Choice Requires="x15">
      <x15ac:absPath xmlns:x15ac="http://schemas.microsoft.com/office/spreadsheetml/2010/11/ac" url="\\PUUPAMLANFST\Global\NBRE\Templates lijsten\"/>
    </mc:Choice>
  </mc:AlternateContent>
  <xr:revisionPtr revIDLastSave="0" documentId="13_ncr:1_{647D81CC-5243-4BA5-9E7E-1C733B4E8338}" xr6:coauthVersionLast="47" xr6:coauthVersionMax="47" xr10:uidLastSave="{00000000-0000-0000-0000-000000000000}"/>
  <bookViews>
    <workbookView xWindow="-30828" yWindow="-4188" windowWidth="30936" windowHeight="16896" tabRatio="872" firstSheet="15" activeTab="15" xr2:uid="{00000000-000D-0000-FFFF-FFFF00000000}"/>
  </bookViews>
  <sheets>
    <sheet name="Version control" sheetId="12" r:id="rId1"/>
    <sheet name="General info" sheetId="15" r:id="rId2"/>
    <sheet name="Bit commands" sheetId="1" r:id="rId3"/>
    <sheet name="Bit info" sheetId="2" r:id="rId4"/>
    <sheet name="CP Object Status" sheetId="18" r:id="rId5"/>
    <sheet name="Interlock" sheetId="17" r:id="rId6"/>
    <sheet name="Buttons" sheetId="13" r:id="rId7"/>
    <sheet name="Motor (6 bytes)" sheetId="4" r:id="rId8"/>
    <sheet name="Valve" sheetId="5" r:id="rId9"/>
    <sheet name="Motor (48 bytes)" sheetId="6" r:id="rId10"/>
    <sheet name="Input value" sheetId="7" r:id="rId11"/>
    <sheet name="Measurement" sheetId="8" r:id="rId12"/>
    <sheet name="Controller" sheetId="9" r:id="rId13"/>
    <sheet name="Output values" sheetId="10" r:id="rId14"/>
    <sheet name="General" sheetId="11" r:id="rId15"/>
    <sheet name="Template history" sheetId="16" r:id="rId16"/>
    <sheet name="Help" sheetId="20" state="hidden" r:id="rId17"/>
  </sheets>
  <externalReferences>
    <externalReference r:id="rId18"/>
    <externalReference r:id="rId19"/>
    <externalReference r:id="rId20"/>
    <externalReference r:id="rId21"/>
    <externalReference r:id="rId22"/>
    <externalReference r:id="rId23"/>
    <externalReference r:id="rId24"/>
  </externalReferences>
  <definedNames>
    <definedName name="_xlnm._FilterDatabase" localSheetId="2" hidden="1">'Bit commands'!$A$3:$S$3</definedName>
    <definedName name="_xlnm._FilterDatabase" localSheetId="3" hidden="1">'Bit info'!$A$3:$M$3</definedName>
    <definedName name="_xlnm._FilterDatabase" localSheetId="6" hidden="1">Buttons!$A$3:$AB$3</definedName>
    <definedName name="_xlnm._FilterDatabase" localSheetId="12" hidden="1">Controller!$A$3:$BF$3</definedName>
    <definedName name="_xlnm._FilterDatabase" localSheetId="4" hidden="1">'CP Object Status'!$A$3:$J$164</definedName>
    <definedName name="_xlnm._FilterDatabase" localSheetId="10" hidden="1">'Input value'!$A$3:$AE$3</definedName>
    <definedName name="_xlnm._FilterDatabase" localSheetId="5" hidden="1">Interlock!$A$3:$R$2053</definedName>
    <definedName name="_xlnm._FilterDatabase" localSheetId="11" hidden="1">Measurement!$A$3:$AK$3</definedName>
    <definedName name="_xlnm._FilterDatabase" localSheetId="9" hidden="1">'Motor (48 bytes)'!$A$3:$AW$3</definedName>
    <definedName name="_xlnm._FilterDatabase" localSheetId="7" hidden="1">'Motor (6 bytes)'!$A$3:$W$3</definedName>
    <definedName name="_xlnm._FilterDatabase" localSheetId="13" hidden="1">'Output values'!$A$3:$AG$3</definedName>
    <definedName name="_xlnm._FilterDatabase" localSheetId="8" hidden="1">Valve!$A$3:$X$3</definedName>
    <definedName name="ACwvu.check." localSheetId="2">'Bit commands'!$C$1:$S$29</definedName>
    <definedName name="ACwvu.check." localSheetId="3">'Bit info'!$C$1:$L$45</definedName>
    <definedName name="ACwvu.check." localSheetId="6">Buttons!$C$1:$AA$8</definedName>
    <definedName name="ACwvu.check." localSheetId="12">Controller!$C$1:$BC$8</definedName>
    <definedName name="ACwvu.check." localSheetId="4">'CP Object Status'!$C$1:$I$165</definedName>
    <definedName name="ACwvu.check." localSheetId="10">'Input value'!$B$1:$AC$24</definedName>
    <definedName name="ACwvu.check." localSheetId="5">Interlock!$C$1:$P$2054</definedName>
    <definedName name="ACwvu.check." localSheetId="11">Measurement!$C$1:$AI$34</definedName>
    <definedName name="ACwvu.check." localSheetId="9">'Motor (48 bytes)'!$C$1:$AT$18</definedName>
    <definedName name="ACwvu.check." localSheetId="7">'Motor (6 bytes)'!$C$1:$U$8</definedName>
    <definedName name="ACwvu.check." localSheetId="8">Valve!$B$1:$V$19</definedName>
    <definedName name="ACwvu.normal." localSheetId="2">'Bit commands'!$C$1:$T$29</definedName>
    <definedName name="ACwvu.normal." localSheetId="3">'Bit info'!$C$1:$N$45</definedName>
    <definedName name="ACwvu.normal." localSheetId="6">Buttons!$C$1:$AA$8</definedName>
    <definedName name="ACwvu.normal." localSheetId="12">Controller!$C$1:$BC$8</definedName>
    <definedName name="ACwvu.normal." localSheetId="4">'CP Object Status'!$C$1:$K$165</definedName>
    <definedName name="ACwvu.normal." localSheetId="10">'Input value'!$B$1:$AF$24</definedName>
    <definedName name="ACwvu.normal." localSheetId="5">Interlock!$C$1:$S$2054</definedName>
    <definedName name="ACwvu.normal." localSheetId="11">Measurement!$C$1:$AL$34</definedName>
    <definedName name="ACwvu.normal." localSheetId="9">'Motor (48 bytes)'!$C$1:$AT$18</definedName>
    <definedName name="ACwvu.normal." localSheetId="7">'Motor (6 bytes)'!$C$1:$U$8</definedName>
    <definedName name="ACwvu.normal." localSheetId="8">Valve!$B$1:$Y$19</definedName>
    <definedName name="address">'Output values'!$E$3</definedName>
    <definedName name="_xlnm.Print_Area" localSheetId="3">'Bit info'!$B$1:$M$56</definedName>
    <definedName name="_xlnm.Print_Area" localSheetId="6">Buttons!$B$1:$AB$34</definedName>
    <definedName name="_xlnm.Print_Area" localSheetId="12">Controller!$B$1:$BF$82</definedName>
    <definedName name="_xlnm.Print_Area" localSheetId="4">'CP Object Status'!$B$1:$J$167</definedName>
    <definedName name="_xlnm.Print_Area" localSheetId="10">'Input value'!$B$1:$AE$82</definedName>
    <definedName name="_xlnm.Print_Area" localSheetId="5">Interlock!$B$1:$R$2056</definedName>
    <definedName name="_xlnm.Print_Area" localSheetId="11">Measurement!$B$1:$AK$92</definedName>
    <definedName name="_xlnm.Print_Area" localSheetId="9">'Motor (48 bytes)'!$B$1:$AW$82</definedName>
    <definedName name="_xlnm.Print_Area" localSheetId="7">'Motor (6 bytes)'!$B$1:$W$35</definedName>
    <definedName name="_xlnm.Print_Area" localSheetId="13">'Output values'!$B$1:$AG$101</definedName>
    <definedName name="_xlnm.Print_Area" localSheetId="8">Valve!$B$1:$X$35</definedName>
    <definedName name="_xlnm.Print_Titles" localSheetId="2">'Bit commands'!$1:$3</definedName>
    <definedName name="_xlnm.Print_Titles" localSheetId="3">'Bit info'!$1:$3</definedName>
    <definedName name="_xlnm.Print_Titles" localSheetId="6">Buttons!$1:$3</definedName>
    <definedName name="_xlnm.Print_Titles" localSheetId="12">Controller!$1:$3</definedName>
    <definedName name="_xlnm.Print_Titles" localSheetId="4">'CP Object Status'!$1:$3</definedName>
    <definedName name="_xlnm.Print_Titles" localSheetId="10">'Input value'!$1:$3</definedName>
    <definedName name="_xlnm.Print_Titles" localSheetId="5">Interlock!$1:$3</definedName>
    <definedName name="_xlnm.Print_Titles" localSheetId="11">Measurement!$1:$3</definedName>
    <definedName name="_xlnm.Print_Titles" localSheetId="9">'Motor (48 bytes)'!$1:$3</definedName>
    <definedName name="_xlnm.Print_Titles" localSheetId="7">'Motor (6 bytes)'!$1:$3</definedName>
    <definedName name="_xlnm.Print_Titles" localSheetId="13">'Output values'!$1:$3</definedName>
    <definedName name="_xlnm.Print_Titles" localSheetId="8">Valve!$1:$3</definedName>
    <definedName name="BC_Absolute">'Bit commands'!$E$3</definedName>
    <definedName name="BC_Buttontype">'Bit commands'!$N$3</definedName>
    <definedName name="BC_CRFPCN">'Bit commands'!$A$3</definedName>
    <definedName name="BC_Passfail">'Bit commands'!$S$3</definedName>
    <definedName name="BC_PLC_Data_Type">'Bit commands'!$G$3</definedName>
    <definedName name="BC_Symbolic">'Bit commands'!$F$3</definedName>
    <definedName name="BC_WinCC_Tagname">'Bit commands'!$M$3</definedName>
    <definedName name="BI_Absolute">'Bit info'!$E$3</definedName>
    <definedName name="BI_Class">'Bit info'!$H$3</definedName>
    <definedName name="BI_CRFPCN">'Bit info'!$A$3</definedName>
    <definedName name="BI_Linked_Interlock_object">'Bit info'!$G$3</definedName>
    <definedName name="BI_Passfail">'Bit info'!$M$3</definedName>
    <definedName name="BI_Symbolic">'Bit info'!$F$3</definedName>
    <definedName name="BI_WinCC_Tagname">'Bit info'!$J$3</definedName>
    <definedName name="BT_Absolute">Buttons!$E$3</definedName>
    <definedName name="BT_BehaviourCode">Buttons!$P$3</definedName>
    <definedName name="BT_Linked_Interlock_object">Buttons!$I$3</definedName>
    <definedName name="BT_Passfail">Buttons!$AB$3</definedName>
    <definedName name="BT_Symbolic">Buttons!$F$3</definedName>
    <definedName name="Checkbox3">"Check Box 3"</definedName>
    <definedName name="CP_Absolute">#REF!</definedName>
    <definedName name="CP_CRFPCN">#REF!</definedName>
    <definedName name="CP_Passfail">#REF!</definedName>
    <definedName name="CP_Symbolic" localSheetId="16">'[1]Colour pictures'!#REF!</definedName>
    <definedName name="CP_Symbolic" localSheetId="5">'[2]Colour pictures'!#REF!</definedName>
    <definedName name="CP_Symbolic">#REF!</definedName>
    <definedName name="CT_Absolute">Controller!$E$3</definedName>
    <definedName name="CT_HIST_Address_OUT">Controller!$BA$3</definedName>
    <definedName name="CT_HIST_Address_PV">Controller!$AZ$3</definedName>
    <definedName name="CT_HIST_Address_SP">Controller!$AY$3</definedName>
    <definedName name="CT_HIST_GMP">Controller!$AW$3</definedName>
    <definedName name="CT_HIST_Graphname">Controller!$AX$3</definedName>
    <definedName name="CT_HIST_Scan_time">Controller!$AV$3</definedName>
    <definedName name="CT_HIST_Tag_name_OUT">Controller!$AU$3</definedName>
    <definedName name="CT_HIST_Tag_name_PV">Controller!$AT$3</definedName>
    <definedName name="CT_HIST_Tag_name_SP">Controller!$AS$3</definedName>
    <definedName name="CT_OUT_Range_Max">Controller!$AF$3</definedName>
    <definedName name="CT_OUT_Range_Min">Controller!$AE$3</definedName>
    <definedName name="CT_Passfail">Controller!$BF$3</definedName>
    <definedName name="CT_PV_Range_Max">Controller!$AD$3</definedName>
    <definedName name="CT_PV_Range_Min">Controller!$AC$3</definedName>
    <definedName name="CT_SP_Range_Max">Controller!$AB$3</definedName>
    <definedName name="CT_SP_Range_Min">Controller!$AA$3</definedName>
    <definedName name="CT_Symbolic">Controller!$F$3</definedName>
    <definedName name="CT_Virtual_Unit">Controller!$BE$3</definedName>
    <definedName name="description_en">'Output values'!$G$3</definedName>
    <definedName name="description_nl">'Output values'!$H$3</definedName>
    <definedName name="dropdown" localSheetId="2">'Bit commands'!$O$31:$O$32</definedName>
    <definedName name="format" localSheetId="6">'Output values'!#REF!</definedName>
    <definedName name="format" localSheetId="4">'[3]Output values'!#REF!</definedName>
    <definedName name="format" localSheetId="16">'[1]Output values'!#REF!</definedName>
    <definedName name="format" localSheetId="5">'[4]Output values'!#REF!</definedName>
    <definedName name="format">'Output values'!#REF!</definedName>
    <definedName name="group">'Output values'!$P$3</definedName>
    <definedName name="HIST_Graphname_Controller">Controller!$AX$4:$AX$25</definedName>
    <definedName name="HIST_Graphname_Meas">Measurement!$AG$4:$AG$35</definedName>
    <definedName name="HIST_Graphname_Motor">'Motor (48 bytes)'!$AP$4:$AP$25</definedName>
    <definedName name="HIST_Graphname_Output">'Output values'!$AC$4:$AC$43</definedName>
    <definedName name="IL_Absolute" localSheetId="16">#REF!</definedName>
    <definedName name="IL_Absolute" localSheetId="5">#REF!</definedName>
    <definedName name="IL_Absolute">#REF!</definedName>
    <definedName name="IL_CRFPCN" localSheetId="5">#REF!</definedName>
    <definedName name="IL_CRFPCN">#REF!</definedName>
    <definedName name="IL_Linked_Interlock_object" localSheetId="5">#REF!</definedName>
    <definedName name="IL_Linked_Interlock_object">#REF!</definedName>
    <definedName name="IL_Passfail" localSheetId="5">#REF!</definedName>
    <definedName name="IL_Passfail">#REF!</definedName>
    <definedName name="IL_Symbolic" localSheetId="5">#REF!</definedName>
    <definedName name="IL_Symbolic">#REF!</definedName>
    <definedName name="IN_Absolute">'Input value'!$E$3</definedName>
    <definedName name="IN_Passfail">'Input value'!$AE$3</definedName>
    <definedName name="IN_Range_Max">'Input value'!$N$3</definedName>
    <definedName name="IN_Range_Min">'Input value'!$M$3</definedName>
    <definedName name="IN_Signed">'Input value'!$P$3</definedName>
    <definedName name="IN_Symbolic">'Input value'!$F$3</definedName>
    <definedName name="IN_Type">'Input value'!$O$3</definedName>
    <definedName name="IN_Virtual_Unit">'Input value'!$AD$3</definedName>
    <definedName name="initial_value">'Output values'!$R$3</definedName>
    <definedName name="LMT_Absolute">'Motor (6 bytes)'!$E$3</definedName>
    <definedName name="LMT_Passfail">'Motor (6 bytes)'!$W$3</definedName>
    <definedName name="LMT_Symbolic">'Motor (6 bytes)'!$F$3</definedName>
    <definedName name="MS_Absolute">Measurement!$E$3</definedName>
    <definedName name="MS_HIST_GMP">Measurement!$AF$3</definedName>
    <definedName name="MS_HIST_Graphname">Measurement!$AG$3</definedName>
    <definedName name="MS_HIST_Scan_time">Measurement!$AE$3</definedName>
    <definedName name="MS_HIST_Tag_name">Measurement!$AD$3</definedName>
    <definedName name="MS_Passfail">Measurement!$AK$3</definedName>
    <definedName name="MS_Range_Max">Measurement!$W$3</definedName>
    <definedName name="MS_Range_Min">Measurement!$V$3</definedName>
    <definedName name="MS_Symbolic">Measurement!$F$3</definedName>
    <definedName name="MS_Virtual_Unit">Measurement!$AJ$3</definedName>
    <definedName name="MT_Absolute">'Motor (48 bytes)'!$E$3</definedName>
    <definedName name="MT_HIST_Address_PV">'Motor (48 bytes)'!$AR$3</definedName>
    <definedName name="MT_HIST_Address_SP">'Motor (48 bytes)'!$AQ$3</definedName>
    <definedName name="MT_HIST_GMP">'Motor (48 bytes)'!$AO$3</definedName>
    <definedName name="MT_HIST_Graphname">'Motor (48 bytes)'!$AP$3</definedName>
    <definedName name="MT_HIST_Scan_time">'Motor (48 bytes)'!$AN$3</definedName>
    <definedName name="MT_HIST_Tag_name_PV">'Motor (48 bytes)'!$AM$3</definedName>
    <definedName name="MT_HIST_Tag_name_SP">'Motor (48 bytes)'!$AL$3</definedName>
    <definedName name="MT_Passfail">'Motor (48 bytes)'!$AW$3</definedName>
    <definedName name="MT_PV_Range_Max">'Motor (48 bytes)'!$AB$3</definedName>
    <definedName name="MT_PV_Range_Min">'Motor (48 bytes)'!$AA$3</definedName>
    <definedName name="MT_SP_Range_Max">'Motor (48 bytes)'!$Z$3</definedName>
    <definedName name="MT_SP_Range_Min">'Motor (48 bytes)'!$Y$3</definedName>
    <definedName name="MT_Symbolic">'Motor (48 bytes)'!$F$3</definedName>
    <definedName name="MT_Virtual_Unit">'Motor (48 bytes)'!$AV$3</definedName>
    <definedName name="OUT_Absolute">'Output values'!$E$3</definedName>
    <definedName name="OUT_HIST_GMP">'Output values'!$AB$3</definedName>
    <definedName name="OUT_HIST_Graphname">'Output values'!$AC$3</definedName>
    <definedName name="OUT_HIST_Scan_time">'Output values'!$AA$3</definedName>
    <definedName name="OUT_HIST_Tag_name">'Output values'!$Z$3</definedName>
    <definedName name="OUT_HIST_type" localSheetId="16">'[1]Output values'!#REF!</definedName>
    <definedName name="OUT_HIST_type">'Output values'!#REF!</definedName>
    <definedName name="OUT_Passfail">'Output values'!$AG$3</definedName>
    <definedName name="OUT_Range_Max">'Output values'!$O$3</definedName>
    <definedName name="OUT_Range_Min">'Output values'!$N$3</definedName>
    <definedName name="OUT_Signed">'Output values'!$J$3</definedName>
    <definedName name="OUT_Symbolic">'Output values'!$F$3</definedName>
    <definedName name="OUT_Type">'Output values'!$I$3</definedName>
    <definedName name="OUT_Virtual_Unit">'Output values'!$AF$3</definedName>
    <definedName name="Overrule">General!$H$3</definedName>
    <definedName name="pfizernr">'Output values'!$C$3</definedName>
    <definedName name="PfizerTools">General!$H$4</definedName>
    <definedName name="qdf" localSheetId="16">'[5]Output values'!#REF!</definedName>
    <definedName name="qdf">'[6]Output values'!#REF!</definedName>
    <definedName name="qdsf">'[7]Output values'!#REF!</definedName>
    <definedName name="range_max">'Output values'!$O$3</definedName>
    <definedName name="range_min">'Output values'!$N$3</definedName>
    <definedName name="remarks" localSheetId="4">'[3]Output values'!#REF!</definedName>
    <definedName name="remarks" localSheetId="16">'[1]Output values'!#REF!</definedName>
    <definedName name="remarks" localSheetId="5">'[6]Output values'!#REF!</definedName>
    <definedName name="remarks">'Output values'!#REF!</definedName>
    <definedName name="Rwvu.normal." localSheetId="2">'Bit commands'!$S:$S</definedName>
    <definedName name="sequence">'Output values'!$Q$3</definedName>
    <definedName name="Swvu.check." localSheetId="2">'Bit commands'!$C$1:$S$29</definedName>
    <definedName name="Swvu.check." localSheetId="3">'Bit info'!$C$1:$L$45</definedName>
    <definedName name="Swvu.check." localSheetId="6">Buttons!$C$1:$AA$8</definedName>
    <definedName name="Swvu.check." localSheetId="12">Controller!$C$1:$BC$8</definedName>
    <definedName name="Swvu.check." localSheetId="4">'CP Object Status'!$C$1:$I$165</definedName>
    <definedName name="Swvu.check." localSheetId="10">'Input value'!$B$1:$AC$24</definedName>
    <definedName name="Swvu.check." localSheetId="5">Interlock!$C$1:$P$2054</definedName>
    <definedName name="Swvu.check." localSheetId="11">Measurement!$C$1:$AI$34</definedName>
    <definedName name="Swvu.check." localSheetId="9">'Motor (48 bytes)'!$C$1:$AT$18</definedName>
    <definedName name="Swvu.check." localSheetId="7">'Motor (6 bytes)'!$C$1:$U$8</definedName>
    <definedName name="Swvu.check." localSheetId="8">Valve!$B$1:$V$19</definedName>
    <definedName name="Swvu.normal." localSheetId="2">'Bit commands'!$C$1:$T$29</definedName>
    <definedName name="Swvu.normal." localSheetId="3">'Bit info'!$C$1:$N$45</definedName>
    <definedName name="Swvu.normal." localSheetId="6">Buttons!$C$1:$AA$8</definedName>
    <definedName name="Swvu.normal." localSheetId="12">Controller!$C$1:$BC$8</definedName>
    <definedName name="Swvu.normal." localSheetId="4">'CP Object Status'!$C$1:$K$165</definedName>
    <definedName name="Swvu.normal." localSheetId="10">'Input value'!$B$1:$AF$24</definedName>
    <definedName name="Swvu.normal." localSheetId="5">Interlock!$C$1:$S$2054</definedName>
    <definedName name="Swvu.normal." localSheetId="11">Measurement!$C$1:$AL$34</definedName>
    <definedName name="Swvu.normal." localSheetId="9">'Motor (48 bytes)'!$C$1:$AT$18</definedName>
    <definedName name="Swvu.normal." localSheetId="7">'Motor (6 bytes)'!$C$1:$U$8</definedName>
    <definedName name="Swvu.normal." localSheetId="8">Valve!$B$1:$Y$19</definedName>
    <definedName name="tag_scada">'Output values'!$D$3</definedName>
    <definedName name="type">'Output values'!$I$3</definedName>
    <definedName name="unit">'Output values'!$L$3</definedName>
    <definedName name="ViewingMode">General!$H$5</definedName>
    <definedName name="VLV_Absolute">Valve!$E$3</definedName>
    <definedName name="VLV_Passfail">Valve!$X$3</definedName>
    <definedName name="VLV_Symbolic">Valve!$F$3</definedName>
    <definedName name="Z_8A020E3E_4D3D_11D2_BFAA_444553540000_.wvu.Cols" localSheetId="2">'Bit commands'!$S:$S</definedName>
    <definedName name="Z_8F7659F1_7704_11D1_AB85_00609709CD69_.wvu.Cols" localSheetId="2">'Bit commands'!$S:$S</definedName>
  </definedNames>
  <calcPr calcId="191028"/>
  <customWorkbookViews>
    <customWorkbookView name="check (document)" guid="{8A020E3D-4D3D-11D2-BFAA-444553540000}" maximized="1" windowWidth="796" windowHeight="432" activeSheetId="2"/>
    <customWorkbookView name="normal (document)" guid="{8A020E3E-4D3D-11D2-BFAA-444553540000}" maximized="1" windowWidth="796" windowHeight="432"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8" i="6" l="1"/>
  <c r="A5" i="20" a="1"/>
  <c r="A5" i="20" s="1"/>
  <c r="B35" i="20"/>
  <c r="B37" i="20"/>
  <c r="B42" i="20"/>
  <c r="B43" i="20"/>
  <c r="B44" i="20"/>
  <c r="B45" i="20"/>
  <c r="B46" i="20"/>
  <c r="B51" i="20"/>
  <c r="B53" i="20"/>
  <c r="B54" i="20"/>
  <c r="B55" i="20"/>
  <c r="B56" i="20"/>
  <c r="B57" i="20"/>
  <c r="B58" i="20"/>
  <c r="B59" i="20"/>
  <c r="B66" i="20"/>
  <c r="B67" i="20"/>
  <c r="B68" i="20"/>
  <c r="B69" i="20"/>
  <c r="B70" i="20"/>
  <c r="B71" i="20"/>
  <c r="B73" i="20"/>
  <c r="B79" i="20"/>
  <c r="B81" i="20"/>
  <c r="B82" i="20"/>
  <c r="B86" i="20"/>
  <c r="B89" i="20"/>
  <c r="B90" i="20"/>
  <c r="B91" i="20"/>
  <c r="B92" i="20"/>
  <c r="B93" i="20"/>
  <c r="B94" i="20"/>
  <c r="B102" i="20"/>
  <c r="B103" i="20"/>
  <c r="B104" i="20"/>
  <c r="B105" i="20"/>
  <c r="B106" i="20"/>
  <c r="B108" i="20"/>
  <c r="B109" i="20"/>
  <c r="B114" i="20"/>
  <c r="B115" i="20"/>
  <c r="B117" i="20"/>
  <c r="B118" i="20"/>
  <c r="B122" i="20"/>
  <c r="B125" i="20"/>
  <c r="B127" i="20"/>
  <c r="B128" i="20"/>
  <c r="B129" i="20"/>
  <c r="B130" i="20"/>
  <c r="B137" i="20"/>
  <c r="B138" i="20"/>
  <c r="B139" i="20"/>
  <c r="B140" i="20"/>
  <c r="B141" i="20"/>
  <c r="B142" i="20"/>
  <c r="B143" i="20"/>
  <c r="B144" i="20"/>
  <c r="B145" i="20"/>
  <c r="B150" i="20"/>
  <c r="B151" i="20"/>
  <c r="B153" i="20"/>
  <c r="B154" i="20"/>
  <c r="B157" i="20"/>
  <c r="B159" i="20"/>
  <c r="B161" i="20"/>
  <c r="B162" i="20"/>
  <c r="B163" i="20"/>
  <c r="B164" i="20"/>
  <c r="B165" i="20"/>
  <c r="B166" i="20"/>
  <c r="B173" i="20"/>
  <c r="B175" i="20"/>
  <c r="B176" i="20"/>
  <c r="B177" i="20"/>
  <c r="B178" i="20"/>
  <c r="B179" i="20"/>
  <c r="B180" i="20"/>
  <c r="B186" i="20"/>
  <c r="B187" i="20"/>
  <c r="B189" i="20"/>
  <c r="B190" i="20"/>
  <c r="B192" i="20"/>
  <c r="B194" i="20"/>
  <c r="B198" i="20"/>
  <c r="B199" i="20"/>
  <c r="B200" i="20"/>
  <c r="B201" i="20"/>
  <c r="B202" i="20"/>
  <c r="B210" i="20"/>
  <c r="B211" i="20"/>
  <c r="B212" i="20"/>
  <c r="B213" i="20"/>
  <c r="B214" i="20"/>
  <c r="B215" i="20"/>
  <c r="B216" i="20"/>
  <c r="B223" i="20"/>
  <c r="B224" i="20"/>
  <c r="B225" i="20"/>
  <c r="B226" i="20"/>
  <c r="B227" i="20"/>
  <c r="B229" i="20"/>
  <c r="B234" i="20"/>
  <c r="B235" i="20"/>
  <c r="B236" i="20"/>
  <c r="B237" i="20"/>
  <c r="B238" i="20"/>
  <c r="B243" i="20"/>
  <c r="B245" i="20"/>
  <c r="B246" i="20"/>
  <c r="B247" i="20"/>
  <c r="B248" i="20"/>
  <c r="B249" i="20"/>
  <c r="B250" i="20"/>
  <c r="B251" i="20"/>
  <c r="B258" i="20"/>
  <c r="B259" i="20"/>
  <c r="B260" i="20"/>
  <c r="B261" i="20"/>
  <c r="B262" i="20"/>
  <c r="B263" i="20"/>
  <c r="B265" i="20"/>
  <c r="B271" i="20"/>
  <c r="B273" i="20"/>
  <c r="B274" i="20"/>
  <c r="B278" i="20"/>
  <c r="B281" i="20"/>
  <c r="B282" i="20"/>
  <c r="B283" i="20"/>
  <c r="B284" i="20"/>
  <c r="B285" i="20"/>
  <c r="B286" i="20"/>
  <c r="B294" i="20"/>
  <c r="B295" i="20"/>
  <c r="B296" i="20"/>
  <c r="B297" i="20"/>
  <c r="B298" i="20"/>
  <c r="B300" i="20"/>
  <c r="B301" i="20"/>
  <c r="B306" i="20"/>
  <c r="B307" i="20"/>
  <c r="B309" i="20"/>
  <c r="B310" i="20"/>
  <c r="B314" i="20"/>
  <c r="B317" i="20"/>
  <c r="B319" i="20"/>
  <c r="B320" i="20"/>
  <c r="B321" i="20"/>
  <c r="B322" i="20"/>
  <c r="B329" i="20"/>
  <c r="B330" i="20"/>
  <c r="B331" i="20"/>
  <c r="B332" i="20"/>
  <c r="B333" i="20"/>
  <c r="B334" i="20"/>
  <c r="B335" i="20"/>
  <c r="B336" i="20"/>
  <c r="B337" i="20"/>
  <c r="B342" i="20"/>
  <c r="B343" i="20"/>
  <c r="B345" i="20"/>
  <c r="B346" i="20"/>
  <c r="B349" i="20"/>
  <c r="B351" i="20"/>
  <c r="B353" i="20"/>
  <c r="B354" i="20"/>
  <c r="B355" i="20"/>
  <c r="B356" i="20"/>
  <c r="B357" i="20"/>
  <c r="B358" i="20"/>
  <c r="B365" i="20"/>
  <c r="B367" i="20"/>
  <c r="B368" i="20"/>
  <c r="B369" i="20"/>
  <c r="B370" i="20"/>
  <c r="B371" i="20"/>
  <c r="B372" i="20"/>
  <c r="B378" i="20"/>
  <c r="B379" i="20"/>
  <c r="B381" i="20"/>
  <c r="B382" i="20"/>
  <c r="B384" i="20"/>
  <c r="B386" i="20"/>
  <c r="B390" i="20"/>
  <c r="B391" i="20"/>
  <c r="B392" i="20"/>
  <c r="B393" i="20"/>
  <c r="B394" i="20"/>
  <c r="B399" i="20"/>
  <c r="B401" i="20"/>
  <c r="B28" i="20"/>
  <c r="B29" i="20"/>
  <c r="B30" i="20"/>
  <c r="B31" i="20"/>
  <c r="B33" i="20"/>
  <c r="B34" i="20"/>
  <c r="B1605" i="20"/>
  <c r="B1604" i="20"/>
  <c r="B1603" i="20"/>
  <c r="B1602" i="20"/>
  <c r="B1601" i="20"/>
  <c r="B1600" i="20"/>
  <c r="B1599" i="20"/>
  <c r="B1598" i="20"/>
  <c r="B1597" i="20"/>
  <c r="B1596" i="20"/>
  <c r="B1595" i="20"/>
  <c r="B1594" i="20"/>
  <c r="B1593" i="20"/>
  <c r="B1592" i="20"/>
  <c r="B1591" i="20"/>
  <c r="B1590" i="20"/>
  <c r="B1589" i="20"/>
  <c r="B1588" i="20"/>
  <c r="B1587" i="20"/>
  <c r="B1586" i="20"/>
  <c r="B1585" i="20"/>
  <c r="B1584" i="20"/>
  <c r="B1583" i="20"/>
  <c r="B1582" i="20"/>
  <c r="B1581" i="20"/>
  <c r="B1580" i="20"/>
  <c r="B1579" i="20"/>
  <c r="B1578" i="20"/>
  <c r="B1577" i="20"/>
  <c r="B1576" i="20"/>
  <c r="B1575" i="20"/>
  <c r="B1574" i="20"/>
  <c r="B1573" i="20"/>
  <c r="B1572" i="20"/>
  <c r="B1571" i="20"/>
  <c r="B1570" i="20"/>
  <c r="B1569" i="20"/>
  <c r="B1568" i="20"/>
  <c r="B1567" i="20"/>
  <c r="B1566" i="20"/>
  <c r="B1565" i="20"/>
  <c r="B1564" i="20"/>
  <c r="B1563" i="20"/>
  <c r="B1562" i="20"/>
  <c r="B1561" i="20"/>
  <c r="B1560" i="20"/>
  <c r="B1559" i="20"/>
  <c r="B1558" i="20"/>
  <c r="B1557" i="20"/>
  <c r="B1556" i="20"/>
  <c r="B1555" i="20"/>
  <c r="B1554" i="20"/>
  <c r="B1553" i="20"/>
  <c r="B1552" i="20"/>
  <c r="B1551" i="20"/>
  <c r="B1550" i="20"/>
  <c r="B1549" i="20"/>
  <c r="B1548" i="20"/>
  <c r="B1547" i="20"/>
  <c r="B1546" i="20"/>
  <c r="B1545" i="20"/>
  <c r="B1544" i="20"/>
  <c r="B1543" i="20"/>
  <c r="B1542" i="20"/>
  <c r="B1541" i="20"/>
  <c r="B1540" i="20"/>
  <c r="B1539" i="20"/>
  <c r="B1538" i="20"/>
  <c r="B1537" i="20"/>
  <c r="B1536" i="20"/>
  <c r="B1535" i="20"/>
  <c r="B1534" i="20"/>
  <c r="B1533" i="20"/>
  <c r="B1532" i="20"/>
  <c r="B1531" i="20"/>
  <c r="B1530" i="20"/>
  <c r="B1529" i="20"/>
  <c r="B1528" i="20"/>
  <c r="B1527" i="20"/>
  <c r="B1526" i="20"/>
  <c r="B1525" i="20"/>
  <c r="B1524" i="20"/>
  <c r="B1523" i="20"/>
  <c r="B1522" i="20"/>
  <c r="B1521" i="20"/>
  <c r="B1520" i="20"/>
  <c r="B1519" i="20"/>
  <c r="B1518" i="20"/>
  <c r="B1517" i="20"/>
  <c r="B1516" i="20"/>
  <c r="B1515" i="20"/>
  <c r="B1514" i="20"/>
  <c r="B1513" i="20"/>
  <c r="B1512" i="20"/>
  <c r="B1511" i="20"/>
  <c r="B1510" i="20"/>
  <c r="B1509" i="20"/>
  <c r="B1508" i="20"/>
  <c r="B1507" i="20"/>
  <c r="B1506" i="20"/>
  <c r="B1505" i="20"/>
  <c r="B1504" i="20"/>
  <c r="B1503" i="20"/>
  <c r="B1502" i="20"/>
  <c r="B1501" i="20"/>
  <c r="B1500" i="20"/>
  <c r="B1499" i="20"/>
  <c r="B1498" i="20"/>
  <c r="B1497" i="20"/>
  <c r="B1496" i="20"/>
  <c r="B1495" i="20"/>
  <c r="B1494" i="20"/>
  <c r="B1493" i="20"/>
  <c r="B1492" i="20"/>
  <c r="B1491" i="20"/>
  <c r="B1490" i="20"/>
  <c r="B1489" i="20"/>
  <c r="B1488" i="20"/>
  <c r="B1487" i="20"/>
  <c r="B1486" i="20"/>
  <c r="B1485" i="20"/>
  <c r="B1484" i="20"/>
  <c r="B1483" i="20"/>
  <c r="B1482" i="20"/>
  <c r="B1481" i="20"/>
  <c r="B1480" i="20"/>
  <c r="B1479" i="20"/>
  <c r="B1478" i="20"/>
  <c r="B1477" i="20"/>
  <c r="B1476" i="20"/>
  <c r="B1475" i="20"/>
  <c r="B1474" i="20"/>
  <c r="B1473" i="20"/>
  <c r="B1472" i="20"/>
  <c r="B1471" i="20"/>
  <c r="B1470" i="20"/>
  <c r="B1469" i="20"/>
  <c r="B1468" i="20"/>
  <c r="B1467" i="20"/>
  <c r="B1466" i="20"/>
  <c r="B1465" i="20"/>
  <c r="B1464" i="20"/>
  <c r="B1463" i="20"/>
  <c r="B1462" i="20"/>
  <c r="B1461" i="20"/>
  <c r="B1460" i="20"/>
  <c r="B1459" i="20"/>
  <c r="B1458" i="20"/>
  <c r="B1457" i="20"/>
  <c r="B1456" i="20"/>
  <c r="B1455" i="20"/>
  <c r="B1454" i="20"/>
  <c r="B1453" i="20"/>
  <c r="B1452" i="20"/>
  <c r="B1451" i="20"/>
  <c r="B1450" i="20"/>
  <c r="B1449" i="20"/>
  <c r="B1448" i="20"/>
  <c r="B1447" i="20"/>
  <c r="B1446" i="20"/>
  <c r="B1445" i="20"/>
  <c r="B1444" i="20"/>
  <c r="B1443" i="20"/>
  <c r="B1442" i="20"/>
  <c r="B1441" i="20"/>
  <c r="B1440" i="20"/>
  <c r="B1439" i="20"/>
  <c r="B1438" i="20"/>
  <c r="B1437" i="20"/>
  <c r="B1436" i="20"/>
  <c r="B1435" i="20"/>
  <c r="B1434" i="20"/>
  <c r="B1433" i="20"/>
  <c r="B1432" i="20"/>
  <c r="B1431" i="20"/>
  <c r="B1430" i="20"/>
  <c r="B1429" i="20"/>
  <c r="B1428" i="20"/>
  <c r="B1427" i="20"/>
  <c r="B1426" i="20"/>
  <c r="B1425" i="20"/>
  <c r="B1424" i="20"/>
  <c r="B1423" i="20"/>
  <c r="B1422" i="20"/>
  <c r="B1421" i="20"/>
  <c r="B1420" i="20"/>
  <c r="B1419" i="20"/>
  <c r="B1418" i="20"/>
  <c r="B1417" i="20"/>
  <c r="B1416" i="20"/>
  <c r="B1415" i="20"/>
  <c r="B1414" i="20"/>
  <c r="B1413" i="20"/>
  <c r="B1412" i="20"/>
  <c r="B1411" i="20"/>
  <c r="B1410" i="20"/>
  <c r="B1409" i="20"/>
  <c r="B1408" i="20"/>
  <c r="B1407" i="20"/>
  <c r="B1406" i="20"/>
  <c r="B1405" i="20"/>
  <c r="B1404" i="20"/>
  <c r="B1403" i="20"/>
  <c r="B1402" i="20"/>
  <c r="B1401" i="20"/>
  <c r="B1400" i="20"/>
  <c r="B1399" i="20"/>
  <c r="B1398" i="20"/>
  <c r="B1397" i="20"/>
  <c r="B1396" i="20"/>
  <c r="B1395" i="20"/>
  <c r="B1394" i="20"/>
  <c r="B1393" i="20"/>
  <c r="B1392" i="20"/>
  <c r="B1391" i="20"/>
  <c r="B1390" i="20"/>
  <c r="B1389" i="20"/>
  <c r="B1388" i="20"/>
  <c r="B1387" i="20"/>
  <c r="B1386" i="20"/>
  <c r="B1385" i="20"/>
  <c r="B1384" i="20"/>
  <c r="B1383" i="20"/>
  <c r="B1382" i="20"/>
  <c r="B1381" i="20"/>
  <c r="B1380" i="20"/>
  <c r="B1379" i="20"/>
  <c r="B1378" i="20"/>
  <c r="B1377" i="20"/>
  <c r="B1376" i="20"/>
  <c r="B1375" i="20"/>
  <c r="B1374" i="20"/>
  <c r="B1373" i="20"/>
  <c r="B1372" i="20"/>
  <c r="B1371" i="20"/>
  <c r="B1370" i="20"/>
  <c r="B1369" i="20"/>
  <c r="B1368" i="20"/>
  <c r="B1367" i="20"/>
  <c r="B1366" i="20"/>
  <c r="B1365" i="20"/>
  <c r="B1364" i="20"/>
  <c r="B1363" i="20"/>
  <c r="B1362" i="20"/>
  <c r="B1361" i="20"/>
  <c r="B1360" i="20"/>
  <c r="B1359" i="20"/>
  <c r="B1358" i="20"/>
  <c r="B1357" i="20"/>
  <c r="B1356" i="20"/>
  <c r="B1355" i="20"/>
  <c r="B1354" i="20"/>
  <c r="B1353" i="20"/>
  <c r="B1352" i="20"/>
  <c r="B1351" i="20"/>
  <c r="B1350" i="20"/>
  <c r="B1349" i="20"/>
  <c r="B1348" i="20"/>
  <c r="B1347" i="20"/>
  <c r="B1346" i="20"/>
  <c r="B1345" i="20"/>
  <c r="B1344" i="20"/>
  <c r="B1343" i="20"/>
  <c r="B1342" i="20"/>
  <c r="B1341" i="20"/>
  <c r="B1340" i="20"/>
  <c r="B1339" i="20"/>
  <c r="B1338" i="20"/>
  <c r="B1337" i="20"/>
  <c r="B1336" i="20"/>
  <c r="B1335" i="20"/>
  <c r="B1334" i="20"/>
  <c r="B1333" i="20"/>
  <c r="B1332" i="20"/>
  <c r="B1331" i="20"/>
  <c r="B1330" i="20"/>
  <c r="B1329" i="20"/>
  <c r="B1328" i="20"/>
  <c r="B1327" i="20"/>
  <c r="B1326" i="20"/>
  <c r="B1325" i="20"/>
  <c r="B1324" i="20"/>
  <c r="B1323" i="20"/>
  <c r="B1322" i="20"/>
  <c r="B1321" i="20"/>
  <c r="B1320" i="20"/>
  <c r="B1319" i="20"/>
  <c r="B1318" i="20"/>
  <c r="B1317" i="20"/>
  <c r="B1316" i="20"/>
  <c r="B1315" i="20"/>
  <c r="B1314" i="20"/>
  <c r="B1313" i="20"/>
  <c r="B1312" i="20"/>
  <c r="B1311" i="20"/>
  <c r="B1310" i="20"/>
  <c r="B1309" i="20"/>
  <c r="B1308" i="20"/>
  <c r="B1307" i="20"/>
  <c r="B1306" i="20"/>
  <c r="B1305" i="20"/>
  <c r="B1304" i="20"/>
  <c r="B1303" i="20"/>
  <c r="B1302" i="20"/>
  <c r="B1301" i="20"/>
  <c r="B1300" i="20"/>
  <c r="B1299" i="20"/>
  <c r="B1298" i="20"/>
  <c r="B1297" i="20"/>
  <c r="B1296" i="20"/>
  <c r="B1295" i="20"/>
  <c r="B1294" i="20"/>
  <c r="B1293" i="20"/>
  <c r="B1292" i="20"/>
  <c r="B1291" i="20"/>
  <c r="B1290" i="20"/>
  <c r="B1289" i="20"/>
  <c r="B1288" i="20"/>
  <c r="B1287" i="20"/>
  <c r="B1286" i="20"/>
  <c r="B1285" i="20"/>
  <c r="B1284" i="20"/>
  <c r="B1283" i="20"/>
  <c r="B1282" i="20"/>
  <c r="B1281" i="20"/>
  <c r="B1280" i="20"/>
  <c r="B1279" i="20"/>
  <c r="B1278" i="20"/>
  <c r="B1277" i="20"/>
  <c r="B1276" i="20"/>
  <c r="B1275" i="20"/>
  <c r="B1274" i="20"/>
  <c r="B1273" i="20"/>
  <c r="B1272" i="20"/>
  <c r="B1271" i="20"/>
  <c r="B1270" i="20"/>
  <c r="B1269" i="20"/>
  <c r="B1268" i="20"/>
  <c r="B1267" i="20"/>
  <c r="B1266" i="20"/>
  <c r="B1265" i="20"/>
  <c r="B1264" i="20"/>
  <c r="B1263" i="20"/>
  <c r="B1262" i="20"/>
  <c r="B1261" i="20"/>
  <c r="B1260" i="20"/>
  <c r="B1259" i="20"/>
  <c r="B1258" i="20"/>
  <c r="B1257" i="20"/>
  <c r="B1256" i="20"/>
  <c r="B1255" i="20"/>
  <c r="B1254" i="20"/>
  <c r="B1253" i="20"/>
  <c r="B1252" i="20"/>
  <c r="B1251" i="20"/>
  <c r="B1250" i="20"/>
  <c r="B1249" i="20"/>
  <c r="A1209" i="20" a="1"/>
  <c r="B1248" i="20" s="1"/>
  <c r="B1208" i="20"/>
  <c r="B1207" i="20"/>
  <c r="B1206" i="20"/>
  <c r="B1205" i="20"/>
  <c r="B1204" i="20"/>
  <c r="B1203" i="20"/>
  <c r="B1202" i="20"/>
  <c r="B1201" i="20"/>
  <c r="B1200" i="20"/>
  <c r="B1199" i="20"/>
  <c r="B1198" i="20"/>
  <c r="B1197" i="20"/>
  <c r="B1196" i="20"/>
  <c r="B1195" i="20"/>
  <c r="B1194" i="20"/>
  <c r="B1193" i="20"/>
  <c r="B1192" i="20"/>
  <c r="B1191" i="20"/>
  <c r="B1190" i="20"/>
  <c r="B1189" i="20"/>
  <c r="B1188" i="20"/>
  <c r="B1187" i="20"/>
  <c r="B1186" i="20"/>
  <c r="B1185" i="20"/>
  <c r="B1184" i="20"/>
  <c r="B1183" i="20"/>
  <c r="B1182" i="20"/>
  <c r="B1181" i="20"/>
  <c r="B1180" i="20"/>
  <c r="B1179" i="20"/>
  <c r="B1178" i="20"/>
  <c r="B1177" i="20"/>
  <c r="B1176" i="20"/>
  <c r="B1175" i="20"/>
  <c r="B1174" i="20"/>
  <c r="B1173" i="20"/>
  <c r="B1172" i="20"/>
  <c r="B1171" i="20"/>
  <c r="B1170" i="20"/>
  <c r="B1169" i="20"/>
  <c r="B1168" i="20"/>
  <c r="B1167" i="20"/>
  <c r="B1166" i="20"/>
  <c r="B1165" i="20"/>
  <c r="B1164" i="20"/>
  <c r="B1163" i="20"/>
  <c r="B1162" i="20"/>
  <c r="B1161" i="20"/>
  <c r="B1160" i="20"/>
  <c r="B1159" i="20"/>
  <c r="B1158" i="20"/>
  <c r="B1157" i="20"/>
  <c r="B1156" i="20"/>
  <c r="B1155" i="20"/>
  <c r="B1154" i="20"/>
  <c r="B1153" i="20"/>
  <c r="B1152" i="20"/>
  <c r="B1151" i="20"/>
  <c r="B1150" i="20"/>
  <c r="B1149" i="20"/>
  <c r="B1148" i="20"/>
  <c r="B1147" i="20"/>
  <c r="B1146" i="20"/>
  <c r="B1145" i="20"/>
  <c r="B1144" i="20"/>
  <c r="B1143" i="20"/>
  <c r="B1142" i="20"/>
  <c r="B1141" i="20"/>
  <c r="B1140" i="20"/>
  <c r="B1139" i="20"/>
  <c r="B1138" i="20"/>
  <c r="B1137" i="20"/>
  <c r="B1136" i="20"/>
  <c r="B1135" i="20"/>
  <c r="B1134" i="20"/>
  <c r="B1133" i="20"/>
  <c r="B1132" i="20"/>
  <c r="B1131" i="20"/>
  <c r="B1130" i="20"/>
  <c r="B1129" i="20"/>
  <c r="B1128" i="20"/>
  <c r="B1127" i="20"/>
  <c r="B1126" i="20"/>
  <c r="B1125" i="20"/>
  <c r="B1124" i="20"/>
  <c r="B1123" i="20"/>
  <c r="B1122" i="20"/>
  <c r="B1121" i="20"/>
  <c r="B1120" i="20"/>
  <c r="B1119" i="20"/>
  <c r="B1118" i="20"/>
  <c r="B1117" i="20"/>
  <c r="B1116" i="20"/>
  <c r="B1115" i="20"/>
  <c r="B1114" i="20"/>
  <c r="B1113" i="20"/>
  <c r="B1112" i="20"/>
  <c r="B1111" i="20"/>
  <c r="B1110" i="20"/>
  <c r="B1109" i="20"/>
  <c r="B1108" i="20"/>
  <c r="B1107" i="20"/>
  <c r="B1106" i="20"/>
  <c r="B1105" i="20"/>
  <c r="B1104" i="20"/>
  <c r="B1103" i="20"/>
  <c r="B1102" i="20"/>
  <c r="B1101" i="20"/>
  <c r="B1100" i="20"/>
  <c r="B1099" i="20"/>
  <c r="B1098" i="20"/>
  <c r="B1097" i="20"/>
  <c r="B1096" i="20"/>
  <c r="B1095" i="20"/>
  <c r="B1094" i="20"/>
  <c r="B1093" i="20"/>
  <c r="B1092" i="20"/>
  <c r="B1091" i="20"/>
  <c r="B1090" i="20"/>
  <c r="B1089" i="20"/>
  <c r="B1088" i="20"/>
  <c r="B1087" i="20"/>
  <c r="B1086" i="20"/>
  <c r="B1085" i="20"/>
  <c r="B1084" i="20"/>
  <c r="B1083" i="20"/>
  <c r="B1082" i="20"/>
  <c r="B1081" i="20"/>
  <c r="B1080" i="20"/>
  <c r="B1079" i="20"/>
  <c r="B1078" i="20"/>
  <c r="B1077" i="20"/>
  <c r="B1076" i="20"/>
  <c r="B1075" i="20"/>
  <c r="B1074" i="20"/>
  <c r="B1073" i="20"/>
  <c r="B1072" i="20"/>
  <c r="B1071" i="20"/>
  <c r="B1070" i="20"/>
  <c r="B1069" i="20"/>
  <c r="B1068" i="20"/>
  <c r="B1067" i="20"/>
  <c r="B1066" i="20"/>
  <c r="B1065" i="20"/>
  <c r="B1064" i="20"/>
  <c r="B1063" i="20"/>
  <c r="B1062" i="20"/>
  <c r="B1061" i="20"/>
  <c r="B1060" i="20"/>
  <c r="B1059" i="20"/>
  <c r="B1058" i="20"/>
  <c r="B1057" i="20"/>
  <c r="B1056" i="20"/>
  <c r="B1055" i="20"/>
  <c r="B1054" i="20"/>
  <c r="B1053" i="20"/>
  <c r="B1052" i="20"/>
  <c r="B1051" i="20"/>
  <c r="B1050" i="20"/>
  <c r="B1049" i="20"/>
  <c r="B1048" i="20"/>
  <c r="B1047" i="20"/>
  <c r="B1046" i="20"/>
  <c r="B1045" i="20"/>
  <c r="B1044" i="20"/>
  <c r="B1043" i="20"/>
  <c r="B1042" i="20"/>
  <c r="B1041" i="20"/>
  <c r="B1040" i="20"/>
  <c r="B1039" i="20"/>
  <c r="B1038" i="20"/>
  <c r="B1037" i="20"/>
  <c r="B1036" i="20"/>
  <c r="B1035" i="20"/>
  <c r="B1034" i="20"/>
  <c r="B1033" i="20"/>
  <c r="B1032" i="20"/>
  <c r="B1031" i="20"/>
  <c r="B1030" i="20"/>
  <c r="B1029" i="20"/>
  <c r="B1028" i="20"/>
  <c r="B1027" i="20"/>
  <c r="B1026" i="20"/>
  <c r="B1025" i="20"/>
  <c r="B1024" i="20"/>
  <c r="B1023" i="20"/>
  <c r="B1022" i="20"/>
  <c r="B1021" i="20"/>
  <c r="B1020" i="20"/>
  <c r="B1019" i="20"/>
  <c r="B1018" i="20"/>
  <c r="B1017" i="20"/>
  <c r="B1016" i="20"/>
  <c r="B1015" i="20"/>
  <c r="B1014" i="20"/>
  <c r="B1013" i="20"/>
  <c r="B1012" i="20"/>
  <c r="B1011" i="20"/>
  <c r="B1010" i="20"/>
  <c r="B1009" i="20"/>
  <c r="B1008" i="20"/>
  <c r="B1007" i="20"/>
  <c r="B1006" i="20"/>
  <c r="B1005" i="20"/>
  <c r="B1004" i="20"/>
  <c r="B1003" i="20"/>
  <c r="B1002" i="20"/>
  <c r="B1001" i="20"/>
  <c r="B1000" i="20"/>
  <c r="B999" i="20"/>
  <c r="B998" i="20"/>
  <c r="B997" i="20"/>
  <c r="B996" i="20"/>
  <c r="B995" i="20"/>
  <c r="B994" i="20"/>
  <c r="B993" i="20"/>
  <c r="B992" i="20"/>
  <c r="B991" i="20"/>
  <c r="B990" i="20"/>
  <c r="B989" i="20"/>
  <c r="B988" i="20"/>
  <c r="B987" i="20"/>
  <c r="B986" i="20"/>
  <c r="B985" i="20"/>
  <c r="B984" i="20"/>
  <c r="B983" i="20"/>
  <c r="B982" i="20"/>
  <c r="B981" i="20"/>
  <c r="B980" i="20"/>
  <c r="B979" i="20"/>
  <c r="B978" i="20"/>
  <c r="B977" i="20"/>
  <c r="B976" i="20"/>
  <c r="B975" i="20"/>
  <c r="B974" i="20"/>
  <c r="B973" i="20"/>
  <c r="B972" i="20"/>
  <c r="B971" i="20"/>
  <c r="B970" i="20"/>
  <c r="B969" i="20"/>
  <c r="B968" i="20"/>
  <c r="B967" i="20"/>
  <c r="B966" i="20"/>
  <c r="B965" i="20"/>
  <c r="B964" i="20"/>
  <c r="B963" i="20"/>
  <c r="B962" i="20"/>
  <c r="B961" i="20"/>
  <c r="B960" i="20"/>
  <c r="B959" i="20"/>
  <c r="B958" i="20"/>
  <c r="B957" i="20"/>
  <c r="B956" i="20"/>
  <c r="B955" i="20"/>
  <c r="B954" i="20"/>
  <c r="B953" i="20"/>
  <c r="B952" i="20"/>
  <c r="B951" i="20"/>
  <c r="B950" i="20"/>
  <c r="B949" i="20"/>
  <c r="B948" i="20"/>
  <c r="B947" i="20"/>
  <c r="B946" i="20"/>
  <c r="B945" i="20"/>
  <c r="B944" i="20"/>
  <c r="B943" i="20"/>
  <c r="B942" i="20"/>
  <c r="B941" i="20"/>
  <c r="B940" i="20"/>
  <c r="B939" i="20"/>
  <c r="B938" i="20"/>
  <c r="B937" i="20"/>
  <c r="B936" i="20"/>
  <c r="B935" i="20"/>
  <c r="B934" i="20"/>
  <c r="B933" i="20"/>
  <c r="B932" i="20"/>
  <c r="B931" i="20"/>
  <c r="B930" i="20"/>
  <c r="B929" i="20"/>
  <c r="B928" i="20"/>
  <c r="B927" i="20"/>
  <c r="B926" i="20"/>
  <c r="B925" i="20"/>
  <c r="B924" i="20"/>
  <c r="B923" i="20"/>
  <c r="B922" i="20"/>
  <c r="B921" i="20"/>
  <c r="B920" i="20"/>
  <c r="B919" i="20"/>
  <c r="B918" i="20"/>
  <c r="B917" i="20"/>
  <c r="B916" i="20"/>
  <c r="B915" i="20"/>
  <c r="B914" i="20"/>
  <c r="B913" i="20"/>
  <c r="B912" i="20"/>
  <c r="B911" i="20"/>
  <c r="B910" i="20"/>
  <c r="B909" i="20"/>
  <c r="B908" i="20"/>
  <c r="B907" i="20"/>
  <c r="B906" i="20"/>
  <c r="B905" i="20"/>
  <c r="B904" i="20"/>
  <c r="B903" i="20"/>
  <c r="B902" i="20"/>
  <c r="B901" i="20"/>
  <c r="B900" i="20"/>
  <c r="B899" i="20"/>
  <c r="B898" i="20"/>
  <c r="B897" i="20"/>
  <c r="B896" i="20"/>
  <c r="B895" i="20"/>
  <c r="B894" i="20"/>
  <c r="B893" i="20"/>
  <c r="B892" i="20"/>
  <c r="B891" i="20"/>
  <c r="B890" i="20"/>
  <c r="B889" i="20"/>
  <c r="B888" i="20"/>
  <c r="B887" i="20"/>
  <c r="B886" i="20"/>
  <c r="B885" i="20"/>
  <c r="B884" i="20"/>
  <c r="B883" i="20"/>
  <c r="B882" i="20"/>
  <c r="B881" i="20"/>
  <c r="B880" i="20"/>
  <c r="B879" i="20"/>
  <c r="B878" i="20"/>
  <c r="B877" i="20"/>
  <c r="B876" i="20"/>
  <c r="B875" i="20"/>
  <c r="B874" i="20"/>
  <c r="B873" i="20"/>
  <c r="B872" i="20"/>
  <c r="B871" i="20"/>
  <c r="B870" i="20"/>
  <c r="B869" i="20"/>
  <c r="B868" i="20"/>
  <c r="B867" i="20"/>
  <c r="B866" i="20"/>
  <c r="B865" i="20"/>
  <c r="B864" i="20"/>
  <c r="B863" i="20"/>
  <c r="B862" i="20"/>
  <c r="B861" i="20"/>
  <c r="B860" i="20"/>
  <c r="B859" i="20"/>
  <c r="B858" i="20"/>
  <c r="B857" i="20"/>
  <c r="B856" i="20"/>
  <c r="B855" i="20"/>
  <c r="B854" i="20"/>
  <c r="B853" i="20"/>
  <c r="B852" i="20"/>
  <c r="B851" i="20"/>
  <c r="B850" i="20"/>
  <c r="B849" i="20"/>
  <c r="B848" i="20"/>
  <c r="B847" i="20"/>
  <c r="B846" i="20"/>
  <c r="B845" i="20"/>
  <c r="B844" i="20"/>
  <c r="B843" i="20"/>
  <c r="B842" i="20"/>
  <c r="B841" i="20"/>
  <c r="B840" i="20"/>
  <c r="B839" i="20"/>
  <c r="B838" i="20"/>
  <c r="B837" i="20"/>
  <c r="B836" i="20"/>
  <c r="B835" i="20"/>
  <c r="B834" i="20"/>
  <c r="B833" i="20"/>
  <c r="B832" i="20"/>
  <c r="B831" i="20"/>
  <c r="B830" i="20"/>
  <c r="A808" i="20" a="1"/>
  <c r="B812" i="20" s="1"/>
  <c r="B807" i="20"/>
  <c r="B806" i="20"/>
  <c r="B805" i="20"/>
  <c r="B804" i="20"/>
  <c r="B803" i="20"/>
  <c r="B802" i="20"/>
  <c r="B801" i="20"/>
  <c r="B800" i="20"/>
  <c r="B799" i="20"/>
  <c r="B798" i="20"/>
  <c r="B797" i="20"/>
  <c r="B796" i="20"/>
  <c r="B795" i="20"/>
  <c r="B794" i="20"/>
  <c r="B793" i="20"/>
  <c r="B792" i="20"/>
  <c r="B791" i="20"/>
  <c r="B790" i="20"/>
  <c r="B789" i="20"/>
  <c r="B788" i="20"/>
  <c r="B787" i="20"/>
  <c r="B786" i="20"/>
  <c r="B785" i="20"/>
  <c r="B784" i="20"/>
  <c r="B783" i="20"/>
  <c r="B782" i="20"/>
  <c r="B781" i="20"/>
  <c r="B780" i="20"/>
  <c r="B779" i="20"/>
  <c r="B778" i="20"/>
  <c r="B777" i="20"/>
  <c r="B776" i="20"/>
  <c r="B775" i="20"/>
  <c r="B774" i="20"/>
  <c r="B773" i="20"/>
  <c r="B772" i="20"/>
  <c r="B771" i="20"/>
  <c r="B770" i="20"/>
  <c r="B769" i="20"/>
  <c r="B768" i="20"/>
  <c r="B767" i="20"/>
  <c r="B766" i="20"/>
  <c r="B765" i="20"/>
  <c r="B764" i="20"/>
  <c r="B763" i="20"/>
  <c r="B762" i="20"/>
  <c r="B761" i="20"/>
  <c r="B760" i="20"/>
  <c r="B759" i="20"/>
  <c r="B758" i="20"/>
  <c r="B757" i="20"/>
  <c r="B756" i="20"/>
  <c r="B755" i="20"/>
  <c r="B754" i="20"/>
  <c r="B753" i="20"/>
  <c r="B752" i="20"/>
  <c r="B751" i="20"/>
  <c r="B750" i="20"/>
  <c r="B749" i="20"/>
  <c r="B748" i="20"/>
  <c r="B747" i="20"/>
  <c r="B746" i="20"/>
  <c r="B745" i="20"/>
  <c r="B744" i="20"/>
  <c r="B743" i="20"/>
  <c r="B742" i="20"/>
  <c r="B741" i="20"/>
  <c r="B740" i="20"/>
  <c r="B739" i="20"/>
  <c r="B738" i="20"/>
  <c r="B737" i="20"/>
  <c r="B736" i="20"/>
  <c r="B735" i="20"/>
  <c r="B734" i="20"/>
  <c r="B733" i="20"/>
  <c r="B732" i="20"/>
  <c r="B731" i="20"/>
  <c r="B730" i="20"/>
  <c r="B729" i="20"/>
  <c r="B728" i="20"/>
  <c r="B727" i="20"/>
  <c r="B726" i="20"/>
  <c r="B725" i="20"/>
  <c r="B724" i="20"/>
  <c r="B723" i="20"/>
  <c r="B722" i="20"/>
  <c r="B721" i="20"/>
  <c r="B720" i="20"/>
  <c r="B719" i="20"/>
  <c r="B718" i="20"/>
  <c r="B717" i="20"/>
  <c r="B716" i="20"/>
  <c r="B715" i="20"/>
  <c r="B714" i="20"/>
  <c r="B713" i="20"/>
  <c r="B712" i="20"/>
  <c r="B711" i="20"/>
  <c r="B710" i="20"/>
  <c r="B709" i="20"/>
  <c r="B708" i="20"/>
  <c r="B707" i="20"/>
  <c r="B706" i="20"/>
  <c r="B705" i="20"/>
  <c r="B704" i="20"/>
  <c r="B703" i="20"/>
  <c r="B702" i="20"/>
  <c r="B701" i="20"/>
  <c r="B700" i="20"/>
  <c r="B699" i="20"/>
  <c r="B698" i="20"/>
  <c r="B697" i="20"/>
  <c r="B696" i="20"/>
  <c r="B695" i="20"/>
  <c r="B694" i="20"/>
  <c r="B693" i="20"/>
  <c r="B692" i="20"/>
  <c r="B691" i="20"/>
  <c r="B690" i="20"/>
  <c r="B689" i="20"/>
  <c r="B688" i="20"/>
  <c r="B687" i="20"/>
  <c r="B686" i="20"/>
  <c r="B685" i="20"/>
  <c r="B684" i="20"/>
  <c r="B683" i="20"/>
  <c r="B682" i="20"/>
  <c r="B681" i="20"/>
  <c r="B680" i="20"/>
  <c r="B679" i="20"/>
  <c r="B678" i="20"/>
  <c r="B677" i="20"/>
  <c r="B676" i="20"/>
  <c r="B675" i="20"/>
  <c r="B674" i="20"/>
  <c r="B673" i="20"/>
  <c r="B672" i="20"/>
  <c r="B671" i="20"/>
  <c r="B670" i="20"/>
  <c r="B669" i="20"/>
  <c r="B668" i="20"/>
  <c r="B667" i="20"/>
  <c r="B666" i="20"/>
  <c r="B665" i="20"/>
  <c r="B664" i="20"/>
  <c r="B663" i="20"/>
  <c r="B662" i="20"/>
  <c r="B661" i="20"/>
  <c r="B660" i="20"/>
  <c r="B659" i="20"/>
  <c r="B658" i="20"/>
  <c r="B657" i="20"/>
  <c r="B656" i="20"/>
  <c r="B655" i="20"/>
  <c r="B654" i="20"/>
  <c r="B653" i="20"/>
  <c r="B652" i="20"/>
  <c r="B651" i="20"/>
  <c r="B650" i="20"/>
  <c r="B649" i="20"/>
  <c r="B648" i="20"/>
  <c r="B647" i="20"/>
  <c r="B646" i="20"/>
  <c r="B645" i="20"/>
  <c r="B644" i="20"/>
  <c r="B643" i="20"/>
  <c r="B642" i="20"/>
  <c r="B641" i="20"/>
  <c r="B640" i="20"/>
  <c r="B639" i="20"/>
  <c r="B638" i="20"/>
  <c r="B637" i="20"/>
  <c r="B636" i="20"/>
  <c r="B635" i="20"/>
  <c r="B634" i="20"/>
  <c r="B633" i="20"/>
  <c r="B632" i="20"/>
  <c r="B631" i="20"/>
  <c r="B630" i="20"/>
  <c r="B629" i="20"/>
  <c r="B628" i="20"/>
  <c r="B627" i="20"/>
  <c r="B626" i="20"/>
  <c r="B625" i="20"/>
  <c r="B624" i="20"/>
  <c r="B623" i="20"/>
  <c r="B622" i="20"/>
  <c r="B621" i="20"/>
  <c r="B620" i="20"/>
  <c r="B619" i="20"/>
  <c r="B618" i="20"/>
  <c r="B617" i="20"/>
  <c r="B616" i="20"/>
  <c r="B615" i="20"/>
  <c r="B614" i="20"/>
  <c r="B613" i="20"/>
  <c r="B612" i="20"/>
  <c r="B611" i="20"/>
  <c r="B610" i="20"/>
  <c r="B609" i="20"/>
  <c r="B608" i="20"/>
  <c r="B607" i="20"/>
  <c r="B606" i="20"/>
  <c r="B605" i="20"/>
  <c r="B604" i="20"/>
  <c r="B603" i="20"/>
  <c r="B602" i="20"/>
  <c r="B601" i="20"/>
  <c r="B600" i="20"/>
  <c r="B599" i="20"/>
  <c r="B598" i="20"/>
  <c r="B597" i="20"/>
  <c r="B596" i="20"/>
  <c r="B595" i="20"/>
  <c r="B594" i="20"/>
  <c r="B593" i="20"/>
  <c r="B592" i="20"/>
  <c r="B591" i="20"/>
  <c r="B590" i="20"/>
  <c r="B589" i="20"/>
  <c r="B588" i="20"/>
  <c r="B587" i="20"/>
  <c r="B586" i="20"/>
  <c r="B585" i="20"/>
  <c r="B584" i="20"/>
  <c r="B583" i="20"/>
  <c r="B582" i="20"/>
  <c r="B581" i="20"/>
  <c r="B580" i="20"/>
  <c r="B579" i="20"/>
  <c r="B578" i="20"/>
  <c r="B577" i="20"/>
  <c r="B576" i="20"/>
  <c r="B575" i="20"/>
  <c r="B574" i="20"/>
  <c r="B573" i="20"/>
  <c r="B572" i="20"/>
  <c r="B571" i="20"/>
  <c r="B570" i="20"/>
  <c r="B569" i="20"/>
  <c r="B568" i="20"/>
  <c r="B567" i="20"/>
  <c r="B566" i="20"/>
  <c r="B565" i="20"/>
  <c r="B564" i="20"/>
  <c r="B563" i="20"/>
  <c r="B562" i="20"/>
  <c r="B561" i="20"/>
  <c r="B560" i="20"/>
  <c r="B559" i="20"/>
  <c r="B558" i="20"/>
  <c r="B557" i="20"/>
  <c r="B556" i="20"/>
  <c r="B555" i="20"/>
  <c r="B554" i="20"/>
  <c r="B553" i="20"/>
  <c r="B552" i="20"/>
  <c r="B551" i="20"/>
  <c r="B550" i="20"/>
  <c r="B549" i="20"/>
  <c r="B548" i="20"/>
  <c r="B547" i="20"/>
  <c r="B546" i="20"/>
  <c r="B545" i="20"/>
  <c r="B544" i="20"/>
  <c r="B543" i="20"/>
  <c r="B542" i="20"/>
  <c r="B541" i="20"/>
  <c r="B540" i="20"/>
  <c r="B539" i="20"/>
  <c r="B538" i="20"/>
  <c r="B537" i="20"/>
  <c r="B536" i="20"/>
  <c r="B535" i="20"/>
  <c r="B534" i="20"/>
  <c r="B533" i="20"/>
  <c r="B532" i="20"/>
  <c r="B531" i="20"/>
  <c r="B530" i="20"/>
  <c r="B529" i="20"/>
  <c r="B528" i="20"/>
  <c r="B527" i="20"/>
  <c r="B526" i="20"/>
  <c r="B525" i="20"/>
  <c r="B524" i="20"/>
  <c r="B523" i="20"/>
  <c r="B522" i="20"/>
  <c r="B521" i="20"/>
  <c r="B520" i="20"/>
  <c r="B519" i="20"/>
  <c r="B518" i="20"/>
  <c r="B517" i="20"/>
  <c r="B516" i="20"/>
  <c r="B515" i="20"/>
  <c r="B514" i="20"/>
  <c r="B513" i="20"/>
  <c r="B512" i="20"/>
  <c r="B511" i="20"/>
  <c r="B510" i="20"/>
  <c r="B509" i="20"/>
  <c r="B508" i="20"/>
  <c r="B507" i="20"/>
  <c r="B506" i="20"/>
  <c r="B505" i="20"/>
  <c r="B504" i="20"/>
  <c r="B503" i="20"/>
  <c r="B502" i="20"/>
  <c r="B501" i="20"/>
  <c r="B500" i="20"/>
  <c r="B499" i="20"/>
  <c r="B498" i="20"/>
  <c r="B497" i="20"/>
  <c r="B496" i="20"/>
  <c r="B495" i="20"/>
  <c r="B494" i="20"/>
  <c r="B493" i="20"/>
  <c r="B492" i="20"/>
  <c r="B491" i="20"/>
  <c r="B490" i="20"/>
  <c r="B489" i="20"/>
  <c r="B488" i="20"/>
  <c r="B487" i="20"/>
  <c r="B486" i="20"/>
  <c r="B485" i="20"/>
  <c r="B484" i="20"/>
  <c r="B483" i="20"/>
  <c r="B482" i="20"/>
  <c r="B481" i="20"/>
  <c r="B480" i="20"/>
  <c r="B479" i="20"/>
  <c r="B478" i="20"/>
  <c r="B477" i="20"/>
  <c r="B476" i="20"/>
  <c r="B475" i="20"/>
  <c r="B474" i="20"/>
  <c r="B473" i="20"/>
  <c r="B472" i="20"/>
  <c r="B471" i="20"/>
  <c r="B470" i="20"/>
  <c r="B469" i="20"/>
  <c r="B468" i="20"/>
  <c r="B467" i="20"/>
  <c r="B466" i="20"/>
  <c r="B465" i="20"/>
  <c r="B464" i="20"/>
  <c r="B463" i="20"/>
  <c r="B462" i="20"/>
  <c r="B461" i="20"/>
  <c r="B460" i="20"/>
  <c r="B459" i="20"/>
  <c r="B458" i="20"/>
  <c r="B457" i="20"/>
  <c r="B456" i="20"/>
  <c r="B455" i="20"/>
  <c r="B454" i="20"/>
  <c r="B453" i="20"/>
  <c r="B452" i="20"/>
  <c r="B451" i="20"/>
  <c r="B450" i="20"/>
  <c r="B449" i="20"/>
  <c r="B448" i="20"/>
  <c r="B447" i="20"/>
  <c r="B446" i="20"/>
  <c r="B445" i="20"/>
  <c r="B444" i="20"/>
  <c r="B443" i="20"/>
  <c r="B442" i="20"/>
  <c r="B441" i="20"/>
  <c r="B440" i="20"/>
  <c r="B439" i="20"/>
  <c r="B438" i="20"/>
  <c r="A406" i="20" a="1"/>
  <c r="B425" i="20" s="1"/>
  <c r="B405" i="20"/>
  <c r="B404" i="20"/>
  <c r="B403" i="20"/>
  <c r="B402" i="20"/>
  <c r="B400" i="20"/>
  <c r="B398" i="20"/>
  <c r="B397" i="20"/>
  <c r="B396" i="20"/>
  <c r="B395" i="20"/>
  <c r="B389" i="20"/>
  <c r="B388" i="20"/>
  <c r="B387" i="20"/>
  <c r="B385" i="20"/>
  <c r="B383" i="20"/>
  <c r="B380" i="20"/>
  <c r="B377" i="20"/>
  <c r="B376" i="20"/>
  <c r="B375" i="20"/>
  <c r="B374" i="20"/>
  <c r="B373" i="20"/>
  <c r="B366" i="20"/>
  <c r="B364" i="20"/>
  <c r="B363" i="20"/>
  <c r="B362" i="20"/>
  <c r="B361" i="20"/>
  <c r="B360" i="20"/>
  <c r="B359" i="20"/>
  <c r="B352" i="20"/>
  <c r="B350" i="20"/>
  <c r="B348" i="20"/>
  <c r="B347" i="20"/>
  <c r="B344" i="20"/>
  <c r="B341" i="20"/>
  <c r="B340" i="20"/>
  <c r="B339" i="20"/>
  <c r="B338" i="20"/>
  <c r="B328" i="20"/>
  <c r="B327" i="20"/>
  <c r="B326" i="20"/>
  <c r="B325" i="20"/>
  <c r="B324" i="20"/>
  <c r="B323" i="20"/>
  <c r="B318" i="20"/>
  <c r="B316" i="20"/>
  <c r="B315" i="20"/>
  <c r="B313" i="20"/>
  <c r="B312" i="20"/>
  <c r="B311" i="20"/>
  <c r="B308" i="20"/>
  <c r="B305" i="20"/>
  <c r="B304" i="20"/>
  <c r="B303" i="20"/>
  <c r="B302" i="20"/>
  <c r="B299" i="20"/>
  <c r="B293" i="20"/>
  <c r="B292" i="20"/>
  <c r="B291" i="20"/>
  <c r="B290" i="20"/>
  <c r="B289" i="20"/>
  <c r="B288" i="20"/>
  <c r="B287" i="20"/>
  <c r="B280" i="20"/>
  <c r="B279" i="20"/>
  <c r="B277" i="20"/>
  <c r="B276" i="20"/>
  <c r="B275" i="20"/>
  <c r="B272" i="20"/>
  <c r="B270" i="20"/>
  <c r="B269" i="20"/>
  <c r="B268" i="20"/>
  <c r="B267" i="20"/>
  <c r="B266" i="20"/>
  <c r="B264" i="20"/>
  <c r="B257" i="20"/>
  <c r="B256" i="20"/>
  <c r="B255" i="20"/>
  <c r="B254" i="20"/>
  <c r="B253" i="20"/>
  <c r="B252" i="20"/>
  <c r="B244" i="20"/>
  <c r="B242" i="20"/>
  <c r="B241" i="20"/>
  <c r="B240" i="20"/>
  <c r="B239" i="20"/>
  <c r="B233" i="20"/>
  <c r="B232" i="20"/>
  <c r="B231" i="20"/>
  <c r="B230" i="20"/>
  <c r="B228" i="20"/>
  <c r="B222" i="20"/>
  <c r="B221" i="20"/>
  <c r="B220" i="20"/>
  <c r="B219" i="20"/>
  <c r="B218" i="20"/>
  <c r="B217" i="20"/>
  <c r="B209" i="20"/>
  <c r="B208" i="20"/>
  <c r="B207" i="20"/>
  <c r="B206" i="20"/>
  <c r="B205" i="20"/>
  <c r="B204" i="20"/>
  <c r="B203" i="20"/>
  <c r="B197" i="20"/>
  <c r="B196" i="20"/>
  <c r="B195" i="20"/>
  <c r="B193" i="20"/>
  <c r="B191" i="20"/>
  <c r="B188" i="20"/>
  <c r="B185" i="20"/>
  <c r="B184" i="20"/>
  <c r="B183" i="20"/>
  <c r="B182" i="20"/>
  <c r="B181" i="20"/>
  <c r="B174" i="20"/>
  <c r="B172" i="20"/>
  <c r="B171" i="20"/>
  <c r="B170" i="20"/>
  <c r="B169" i="20"/>
  <c r="B168" i="20"/>
  <c r="B167" i="20"/>
  <c r="B160" i="20"/>
  <c r="B158" i="20"/>
  <c r="B156" i="20"/>
  <c r="B155" i="20"/>
  <c r="B152" i="20"/>
  <c r="B149" i="20"/>
  <c r="B148" i="20"/>
  <c r="B147" i="20"/>
  <c r="B146" i="20"/>
  <c r="B136" i="20"/>
  <c r="B135" i="20"/>
  <c r="B134" i="20"/>
  <c r="B133" i="20"/>
  <c r="B132" i="20"/>
  <c r="B131" i="20"/>
  <c r="B126" i="20"/>
  <c r="B124" i="20"/>
  <c r="B123" i="20"/>
  <c r="B121" i="20"/>
  <c r="B120" i="20"/>
  <c r="B119" i="20"/>
  <c r="B116" i="20"/>
  <c r="B113" i="20"/>
  <c r="B112" i="20"/>
  <c r="B111" i="20"/>
  <c r="B110" i="20"/>
  <c r="B107" i="20"/>
  <c r="B101" i="20"/>
  <c r="B100" i="20"/>
  <c r="B99" i="20"/>
  <c r="B98" i="20"/>
  <c r="B97" i="20"/>
  <c r="B96" i="20"/>
  <c r="B95" i="20"/>
  <c r="B88" i="20"/>
  <c r="B87" i="20"/>
  <c r="B85" i="20"/>
  <c r="B84" i="20"/>
  <c r="B83" i="20"/>
  <c r="B80" i="20"/>
  <c r="B78" i="20"/>
  <c r="B77" i="20"/>
  <c r="B76" i="20"/>
  <c r="B75" i="20"/>
  <c r="B74" i="20"/>
  <c r="B72" i="20"/>
  <c r="B65" i="20"/>
  <c r="B64" i="20"/>
  <c r="B63" i="20"/>
  <c r="B62" i="20"/>
  <c r="B61" i="20"/>
  <c r="B60" i="20"/>
  <c r="B52" i="20"/>
  <c r="B50" i="20"/>
  <c r="B49" i="20"/>
  <c r="B48" i="20"/>
  <c r="B47" i="20"/>
  <c r="B41" i="20"/>
  <c r="B40" i="20"/>
  <c r="B39" i="20"/>
  <c r="B38" i="20"/>
  <c r="B36" i="20"/>
  <c r="B32" i="20"/>
  <c r="B27" i="20"/>
  <c r="B4" i="20"/>
  <c r="B3" i="20"/>
  <c r="B2" i="20"/>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Z41" i="10"/>
  <c r="Z40" i="10"/>
  <c r="Z39" i="10"/>
  <c r="Z38" i="10"/>
  <c r="Z37" i="10"/>
  <c r="Z36" i="10"/>
  <c r="Z35" i="10"/>
  <c r="Z34" i="10"/>
  <c r="Z33" i="10"/>
  <c r="Z32" i="10"/>
  <c r="Z31" i="10"/>
  <c r="Z30" i="10"/>
  <c r="Z29" i="10"/>
  <c r="Z28" i="10"/>
  <c r="Z27" i="10"/>
  <c r="Z26" i="10"/>
  <c r="Z25" i="10"/>
  <c r="Z24" i="10"/>
  <c r="Z23" i="10"/>
  <c r="Z22" i="10"/>
  <c r="Z21" i="10"/>
  <c r="Z20" i="10"/>
  <c r="Z19" i="10"/>
  <c r="Z18" i="10"/>
  <c r="Z17" i="10"/>
  <c r="Z16" i="10"/>
  <c r="Z15" i="10"/>
  <c r="Z14" i="10"/>
  <c r="Z13" i="10"/>
  <c r="Z12" i="10"/>
  <c r="Z11" i="10"/>
  <c r="Z10" i="10"/>
  <c r="Z9" i="10"/>
  <c r="Z8" i="10"/>
  <c r="Z7" i="10"/>
  <c r="Z6" i="10"/>
  <c r="Z5" i="10"/>
  <c r="Z4" i="10"/>
  <c r="BA24" i="9"/>
  <c r="AZ24" i="9"/>
  <c r="AY24" i="9"/>
  <c r="BA23" i="9"/>
  <c r="AZ23" i="9"/>
  <c r="AY23" i="9"/>
  <c r="BA22" i="9"/>
  <c r="AZ22" i="9"/>
  <c r="AY22" i="9"/>
  <c r="BA21" i="9"/>
  <c r="AZ21" i="9"/>
  <c r="AY21" i="9"/>
  <c r="BA20" i="9"/>
  <c r="AZ20" i="9"/>
  <c r="AY20" i="9"/>
  <c r="BA19" i="9"/>
  <c r="AZ19" i="9"/>
  <c r="AY19" i="9"/>
  <c r="BA18" i="9"/>
  <c r="AZ18" i="9"/>
  <c r="AY18" i="9"/>
  <c r="BA17" i="9"/>
  <c r="AZ17" i="9"/>
  <c r="AY17" i="9"/>
  <c r="BA16" i="9"/>
  <c r="AZ16" i="9"/>
  <c r="AY16" i="9"/>
  <c r="BA15" i="9"/>
  <c r="AZ15" i="9"/>
  <c r="AY15" i="9"/>
  <c r="BA14" i="9"/>
  <c r="AZ14" i="9"/>
  <c r="AY14" i="9"/>
  <c r="BA13" i="9"/>
  <c r="AZ13" i="9"/>
  <c r="AY13" i="9"/>
  <c r="BA12" i="9"/>
  <c r="AZ12" i="9"/>
  <c r="AY12" i="9"/>
  <c r="BA11" i="9"/>
  <c r="AZ11" i="9"/>
  <c r="AY11" i="9"/>
  <c r="BA10" i="9"/>
  <c r="AZ10" i="9"/>
  <c r="AY10" i="9"/>
  <c r="BA9" i="9"/>
  <c r="AZ9" i="9"/>
  <c r="AY9" i="9"/>
  <c r="BA8" i="9"/>
  <c r="AZ8" i="9"/>
  <c r="AY8" i="9"/>
  <c r="BA7" i="9"/>
  <c r="AZ7" i="9"/>
  <c r="AY7" i="9"/>
  <c r="BA6" i="9"/>
  <c r="AZ6" i="9"/>
  <c r="AY6" i="9"/>
  <c r="BA5" i="9"/>
  <c r="AZ5" i="9"/>
  <c r="AY5" i="9"/>
  <c r="BA4" i="9"/>
  <c r="AZ4" i="9"/>
  <c r="AY4" i="9"/>
  <c r="AR23" i="6"/>
  <c r="AR22" i="6"/>
  <c r="AR21" i="6"/>
  <c r="AR20" i="6"/>
  <c r="AR19" i="6"/>
  <c r="AR18" i="6"/>
  <c r="AR17" i="6"/>
  <c r="AR16" i="6"/>
  <c r="AR15" i="6"/>
  <c r="AR14" i="6"/>
  <c r="AR13" i="6"/>
  <c r="AR12" i="6"/>
  <c r="AR11" i="6"/>
  <c r="AR10" i="6"/>
  <c r="AR9" i="6"/>
  <c r="AR8" i="6"/>
  <c r="AR7" i="6"/>
  <c r="AR6" i="6"/>
  <c r="AR5" i="6"/>
  <c r="AR4" i="6"/>
  <c r="AQ23" i="6"/>
  <c r="AQ22" i="6"/>
  <c r="AQ21" i="6"/>
  <c r="AQ20" i="6"/>
  <c r="AQ19" i="6"/>
  <c r="AQ18" i="6"/>
  <c r="AQ17" i="6"/>
  <c r="AQ16" i="6"/>
  <c r="AQ15" i="6"/>
  <c r="AQ14" i="6"/>
  <c r="AQ13" i="6"/>
  <c r="AQ12" i="6"/>
  <c r="AQ11" i="6"/>
  <c r="AQ10" i="6"/>
  <c r="AQ9" i="6"/>
  <c r="AQ7" i="6"/>
  <c r="AQ6" i="6"/>
  <c r="AQ5" i="6"/>
  <c r="AQ4" i="6"/>
  <c r="B1212" i="20" l="1"/>
  <c r="B1213" i="20"/>
  <c r="B1214" i="20"/>
  <c r="B1238" i="20"/>
  <c r="B1239" i="20"/>
  <c r="B1242" i="20"/>
  <c r="B1230" i="20"/>
  <c r="B809" i="20"/>
  <c r="B821" i="20"/>
  <c r="B820" i="20"/>
  <c r="B829" i="20"/>
  <c r="B437" i="20"/>
  <c r="B413" i="20"/>
  <c r="B414" i="20"/>
  <c r="B415" i="20"/>
  <c r="B15" i="20"/>
  <c r="B24" i="20"/>
  <c r="B22" i="20"/>
  <c r="B21" i="20"/>
  <c r="B1245" i="20"/>
  <c r="B1227" i="20"/>
  <c r="B1226" i="20"/>
  <c r="B1225" i="20"/>
  <c r="B1224" i="20"/>
  <c r="B1218" i="20"/>
  <c r="B1215" i="20"/>
  <c r="B1237" i="20"/>
  <c r="B1236" i="20"/>
  <c r="B827" i="20"/>
  <c r="A808" i="20"/>
  <c r="B808" i="20" s="1"/>
  <c r="B819" i="20"/>
  <c r="B824" i="20"/>
  <c r="B433" i="20"/>
  <c r="B430" i="20"/>
  <c r="B426" i="20"/>
  <c r="B427" i="20"/>
  <c r="B418" i="20"/>
  <c r="B8" i="20"/>
  <c r="B20" i="20"/>
  <c r="B19" i="20"/>
  <c r="B18" i="20"/>
  <c r="B10" i="20"/>
  <c r="B9" i="20"/>
  <c r="B7" i="20"/>
  <c r="B6" i="20"/>
  <c r="B5" i="20"/>
  <c r="B16" i="20"/>
  <c r="B410" i="20"/>
  <c r="B422" i="20"/>
  <c r="B434" i="20"/>
  <c r="B816" i="20"/>
  <c r="B828" i="20"/>
  <c r="B1210" i="20"/>
  <c r="B1222" i="20"/>
  <c r="B1234" i="20"/>
  <c r="B1246" i="20"/>
  <c r="B17" i="20"/>
  <c r="B411" i="20"/>
  <c r="B423" i="20"/>
  <c r="B435" i="20"/>
  <c r="B817" i="20"/>
  <c r="B1211" i="20"/>
  <c r="B1223" i="20"/>
  <c r="B1235" i="20"/>
  <c r="B1247" i="20"/>
  <c r="B412" i="20"/>
  <c r="B424" i="20"/>
  <c r="B436" i="20"/>
  <c r="B818" i="20"/>
  <c r="B428" i="20"/>
  <c r="B810" i="20"/>
  <c r="B822" i="20"/>
  <c r="B1216" i="20"/>
  <c r="B1228" i="20"/>
  <c r="B1240" i="20"/>
  <c r="B11" i="20"/>
  <c r="B23" i="20"/>
  <c r="A406" i="20"/>
  <c r="B14" i="20" s="1"/>
  <c r="B417" i="20"/>
  <c r="B429" i="20"/>
  <c r="B811" i="20"/>
  <c r="B823" i="20"/>
  <c r="B1217" i="20"/>
  <c r="B1229" i="20"/>
  <c r="B1241" i="20"/>
  <c r="B25" i="20"/>
  <c r="B407" i="20"/>
  <c r="B419" i="20"/>
  <c r="B431" i="20"/>
  <c r="B813" i="20"/>
  <c r="B825" i="20"/>
  <c r="B1219" i="20"/>
  <c r="B1231" i="20"/>
  <c r="B1243" i="20"/>
  <c r="B26" i="20"/>
  <c r="B408" i="20"/>
  <c r="B420" i="20"/>
  <c r="B432" i="20"/>
  <c r="B814" i="20"/>
  <c r="B826" i="20"/>
  <c r="A1209" i="20"/>
  <c r="B1209" i="20" s="1"/>
  <c r="B1220" i="20"/>
  <c r="B1232" i="20"/>
  <c r="B1244" i="20"/>
  <c r="B409" i="20"/>
  <c r="B421" i="20"/>
  <c r="B815" i="20"/>
  <c r="B1221" i="20"/>
  <c r="B1233" i="20"/>
  <c r="B416" i="20" l="1"/>
  <c r="B13" i="20"/>
  <c r="B406" i="20"/>
  <c r="B12" i="20"/>
  <c r="C21" i="17"/>
  <c r="C37" i="17" s="1"/>
  <c r="C53" i="17" s="1"/>
  <c r="C6" i="11"/>
  <c r="P5" i="13"/>
  <c r="P6" i="13"/>
  <c r="P7" i="13"/>
  <c r="P8" i="13"/>
  <c r="P9" i="13"/>
  <c r="P10" i="13"/>
  <c r="P11" i="13"/>
  <c r="P12" i="13"/>
  <c r="P13" i="13"/>
  <c r="P14" i="13"/>
  <c r="P15" i="13"/>
  <c r="P16" i="13"/>
  <c r="P17" i="13"/>
  <c r="P18" i="13"/>
  <c r="P19" i="13"/>
  <c r="P20" i="13"/>
  <c r="P21" i="13"/>
  <c r="P22" i="13"/>
  <c r="P23" i="13"/>
  <c r="P4" i="13" l="1"/>
  <c r="C5" i="11" l="1"/>
  <c r="C4" i="11"/>
  <c r="C3" i="11"/>
  <c r="C13" i="11"/>
  <c r="C12" i="11"/>
  <c r="C11" i="11"/>
  <c r="C10" i="11"/>
  <c r="C9" i="11"/>
  <c r="C8" i="11"/>
  <c r="C7" i="11"/>
  <c r="C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3628723-0A15-4A58-AA08-C7BD626B4937}">
      <text>
        <r>
          <rPr>
            <sz val="8"/>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25B57F47-2CCD-4357-9AC7-2272621A7E3A}">
      <text>
        <r>
          <rPr>
            <b/>
            <sz val="8"/>
            <color indexed="81"/>
            <rFont val="Tahoma"/>
            <family val="2"/>
          </rPr>
          <t>In the project phase (when only 1 CRF is applicable) :</t>
        </r>
        <r>
          <rPr>
            <sz val="8"/>
            <color indexed="81"/>
            <rFont val="Tahoma"/>
            <family val="2"/>
          </rPr>
          <t xml:space="preserve">
=&gt; Use your project CRF on the Version control tab page. It is not needed to fill in the CRF / PCN column on all the other tab pages.
</t>
        </r>
        <r>
          <rPr>
            <b/>
            <sz val="8"/>
            <color indexed="81"/>
            <rFont val="Tahoma"/>
            <family val="2"/>
          </rPr>
          <t>Post-project / update phase (when only 1 CRF or PCN is used for a DB list update) :</t>
        </r>
        <r>
          <rPr>
            <sz val="8"/>
            <color indexed="81"/>
            <rFont val="Tahoma"/>
            <family val="2"/>
          </rPr>
          <t xml:space="preserve">
=&gt; Use your CRF or PCN on the Version control tab page. It is not needed to fill in the CRF / PCN column on all the other tab pages.
</t>
        </r>
        <r>
          <rPr>
            <b/>
            <sz val="8"/>
            <color indexed="81"/>
            <rFont val="Tahoma"/>
            <family val="2"/>
          </rPr>
          <t>Post-project / update phase (when multiple CRFs or PCNs are used for the same DB list update) :</t>
        </r>
        <r>
          <rPr>
            <sz val="8"/>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A4BFC16C-610B-4563-AB68-3F144225D3BF}">
      <text>
        <r>
          <rPr>
            <sz val="8"/>
            <color indexed="81"/>
            <rFont val="Tahoma"/>
            <family val="2"/>
          </rPr>
          <t>WO number (if applicable) is supplied by the production department</t>
        </r>
      </text>
    </comment>
    <comment ref="G3" authorId="0" shapeId="0" xr:uid="{AF289C33-BE29-4333-85A5-684459C942A3}">
      <text>
        <r>
          <rPr>
            <sz val="8"/>
            <color indexed="81"/>
            <rFont val="Tahoma"/>
            <family val="2"/>
          </rPr>
          <t xml:space="preserve">=&gt; </t>
        </r>
        <r>
          <rPr>
            <b/>
            <sz val="8"/>
            <color indexed="81"/>
            <rFont val="Tahoma"/>
            <family val="2"/>
          </rPr>
          <t>"Yes"</t>
        </r>
        <r>
          <rPr>
            <sz val="8"/>
            <color indexed="81"/>
            <rFont val="Tahoma"/>
            <family val="2"/>
          </rPr>
          <t xml:space="preserve"> means this discipline is in scope and needs to be updated once the changes of this DB list version go live.
=&gt; </t>
        </r>
        <r>
          <rPr>
            <b/>
            <sz val="8"/>
            <color indexed="81"/>
            <rFont val="Tahoma"/>
            <family val="2"/>
          </rPr>
          <t>"No"</t>
        </r>
        <r>
          <rPr>
            <sz val="8"/>
            <color indexed="81"/>
            <rFont val="Tahoma"/>
            <family val="2"/>
          </rPr>
          <t xml:space="preserve"> means this discipline is in not in scope and no update is required.
=&gt; </t>
        </r>
        <r>
          <rPr>
            <b/>
            <sz val="8"/>
            <color indexed="81"/>
            <rFont val="Tahoma"/>
            <family val="2"/>
          </rPr>
          <t>"Future"</t>
        </r>
        <r>
          <rPr>
            <sz val="8"/>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FAC304AE-399E-4DF0-99C8-5762A3764F71}">
      <text>
        <r>
          <rPr>
            <b/>
            <sz val="8"/>
            <color indexed="81"/>
            <rFont val="Tahoma"/>
            <family val="2"/>
          </rPr>
          <t xml:space="preserve">During project phase: </t>
        </r>
        <r>
          <rPr>
            <sz val="8"/>
            <color indexed="81"/>
            <rFont val="Tahoma"/>
            <family val="2"/>
          </rPr>
          <t xml:space="preserve">
=&gt; Link or reference to where the PLC software can be found
</t>
        </r>
        <r>
          <rPr>
            <b/>
            <sz val="8"/>
            <color indexed="81"/>
            <rFont val="Tahoma"/>
            <family val="2"/>
          </rPr>
          <t xml:space="preserve">Post-project phase: </t>
        </r>
        <r>
          <rPr>
            <sz val="8"/>
            <color indexed="81"/>
            <rFont val="Tahoma"/>
            <family val="2"/>
          </rPr>
          <t xml:space="preserve">
=&gt; Location (path) in VersionDog where the software can be found</t>
        </r>
      </text>
    </comment>
    <comment ref="A24" authorId="0" shapeId="0" xr:uid="{5A046C9D-52F3-49D1-ACC7-E70E4ACB9145}">
      <text>
        <r>
          <rPr>
            <sz val="8"/>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Bresseleers, Nick</author>
    <author>Johan Van Acker</author>
    <author>Van Rompaey, Marnix</author>
    <author>PLOMPRO</author>
  </authors>
  <commentList>
    <comment ref="D3" authorId="0" shapeId="0" xr:uid="{00000000-0006-0000-0100-000001000000}">
      <text>
        <r>
          <rPr>
            <b/>
            <sz val="8"/>
            <color indexed="81"/>
            <rFont val="Tahoma"/>
            <family val="2"/>
          </rPr>
          <t>Function:</t>
        </r>
        <r>
          <rPr>
            <sz val="8"/>
            <color indexed="81"/>
            <rFont val="Tahoma"/>
            <family val="2"/>
          </rPr>
          <t xml:space="preserve">
To be filled-in by Machine constructor</t>
        </r>
      </text>
    </comment>
    <comment ref="E3" authorId="0" shapeId="0" xr:uid="{00000000-0006-0000-0100-000002000000}">
      <text>
        <r>
          <rPr>
            <b/>
            <sz val="8"/>
            <color indexed="81"/>
            <rFont val="Tahoma"/>
            <family val="2"/>
          </rPr>
          <t>DB10 Address:</t>
        </r>
        <r>
          <rPr>
            <sz val="8"/>
            <color indexed="81"/>
            <rFont val="Tahoma"/>
            <family val="2"/>
          </rPr>
          <t xml:space="preserve">
To be filled-in by Machine constructor</t>
        </r>
      </text>
    </comment>
    <comment ref="H3" authorId="1" shapeId="0" xr:uid="{17FE50D4-8960-4663-8CF6-3643E5C6E399}">
      <text>
        <r>
          <rPr>
            <b/>
            <sz val="9"/>
            <color indexed="81"/>
            <rFont val="Tahoma"/>
          </rPr>
          <t>Linked Interlock object (Tag):</t>
        </r>
        <r>
          <rPr>
            <sz val="9"/>
            <color indexed="81"/>
            <rFont val="Tahoma"/>
          </rPr>
          <t xml:space="preserve">
The tagname of the linked interlock must be mentioned here
</t>
        </r>
      </text>
    </comment>
    <comment ref="I3" authorId="2" shapeId="0" xr:uid="{00000000-0006-0000-0100-000003000000}">
      <text>
        <r>
          <rPr>
            <b/>
            <sz val="8"/>
            <color indexed="81"/>
            <rFont val="Tahoma"/>
            <family val="2"/>
          </rPr>
          <t>Functionkey:</t>
        </r>
        <r>
          <rPr>
            <sz val="8"/>
            <color indexed="81"/>
            <rFont val="Tahoma"/>
            <family val="2"/>
          </rPr>
          <t xml:space="preserve">
Format: x.y (x: number of toolbar; y: number of button) / The F- buttons are only used for the standard buttons</t>
        </r>
      </text>
    </comment>
    <comment ref="K3" authorId="3" shapeId="0" xr:uid="{B4B39E6B-986C-46B6-BF5D-A63E7032D584}">
      <text>
        <r>
          <rPr>
            <b/>
            <sz val="8"/>
            <color indexed="81"/>
            <rFont val="Tahoma"/>
            <family val="2"/>
          </rPr>
          <t>ButtonText:</t>
        </r>
        <r>
          <rPr>
            <sz val="8"/>
            <color indexed="81"/>
            <rFont val="Tahoma"/>
            <family val="2"/>
          </rPr>
          <t xml:space="preserve">
If this button is used on a toolbar, maximum 24 characters are allowed</t>
        </r>
      </text>
    </comment>
    <comment ref="M3" authorId="2" shapeId="0" xr:uid="{00000000-0006-0000-0100-000004000000}">
      <text>
        <r>
          <rPr>
            <b/>
            <sz val="8"/>
            <color indexed="81"/>
            <rFont val="Tahoma"/>
            <family val="2"/>
          </rPr>
          <t>WinCC Tagname:</t>
        </r>
        <r>
          <rPr>
            <sz val="8"/>
            <color indexed="81"/>
            <rFont val="Tahoma"/>
            <family val="2"/>
          </rPr>
          <t xml:space="preserve">
"VU number/Bc" &amp; Description (Each word start with a capital)</t>
        </r>
      </text>
    </comment>
    <comment ref="P3" authorId="4" shapeId="0" xr:uid="{00000000-0006-0000-0100-000005000000}">
      <text>
        <r>
          <rPr>
            <b/>
            <sz val="8"/>
            <color indexed="81"/>
            <rFont val="Tahoma"/>
            <family val="2"/>
          </rPr>
          <t>Indicate in which screen(s) this item needs to be visualised</t>
        </r>
      </text>
    </comment>
    <comment ref="R3" authorId="4" shapeId="0" xr:uid="{00000000-0006-0000-0100-000006000000}">
      <text>
        <r>
          <rPr>
            <b/>
            <sz val="8"/>
            <color indexed="81"/>
            <rFont val="Tahoma"/>
            <family val="2"/>
          </rPr>
          <t>Logging (on the Scada server) of this command Local, on EventViewer or N/A?</t>
        </r>
        <r>
          <rPr>
            <sz val="8"/>
            <color indexed="81"/>
            <rFont val="Tahoma"/>
            <family val="2"/>
          </rPr>
          <t xml:space="preserve">
Concerns important commands that start irreversible processes or may have a negative influence on the production process</t>
        </r>
      </text>
    </comment>
    <comment ref="C28" authorId="0" shapeId="0" xr:uid="{00000000-0006-0000-0100-000007000000}">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Paelinck, Mathieu</author>
    <author>Johan Van Acker</author>
    <author>PLOMPRO</author>
    <author>Tom Van Kerckhove</author>
  </authors>
  <commentList>
    <comment ref="G3" authorId="0" shapeId="0" xr:uid="{BC5FBADD-1B63-404D-8AAD-7DD7F449EE7B}">
      <text>
        <r>
          <rPr>
            <b/>
            <sz val="8"/>
            <color indexed="81"/>
            <rFont val="Tahoma"/>
            <family val="2"/>
          </rPr>
          <t xml:space="preserve">Linked button object (Tag) </t>
        </r>
        <r>
          <rPr>
            <sz val="8"/>
            <color indexed="81"/>
            <rFont val="Tahoma"/>
            <family val="2"/>
          </rPr>
          <t xml:space="preserve">The tagname of the linked button must be mentioned here </t>
        </r>
      </text>
    </comment>
    <comment ref="J3" authorId="1" shapeId="0" xr:uid="{00000000-0006-0000-0200-000001000000}">
      <text>
        <r>
          <rPr>
            <b/>
            <sz val="9"/>
            <color indexed="81"/>
            <rFont val="Tahoma"/>
            <family val="2"/>
          </rPr>
          <t xml:space="preserve">WinCC Tagname:
</t>
        </r>
        <r>
          <rPr>
            <sz val="9"/>
            <color indexed="81"/>
            <rFont val="Tahoma"/>
            <family val="2"/>
          </rPr>
          <t xml:space="preserve">VU/xxDescription 
VU = VU number
xx = Eb (Enable bit) or Bi (Bit info)
Description = each word start with a capital
</t>
        </r>
      </text>
    </comment>
    <comment ref="L3" authorId="2" shapeId="0" xr:uid="{00000000-0006-0000-0200-000002000000}">
      <text>
        <r>
          <rPr>
            <b/>
            <sz val="8"/>
            <color indexed="81"/>
            <rFont val="Tahoma"/>
            <family val="2"/>
          </rPr>
          <t xml:space="preserve">Indicate in which screen(s) this item needs to be visualised
</t>
        </r>
      </text>
    </comment>
    <comment ref="C44" authorId="3" shapeId="0" xr:uid="{00000000-0006-0000-02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 Van Acker</author>
    <author>PLOMPRO</author>
    <author>Tom Van Kerckhove</author>
  </authors>
  <commentList>
    <comment ref="D3" authorId="0" shapeId="0" xr:uid="{52BF0EED-FF98-47D8-97BE-077FDC6C65E9}">
      <text>
        <r>
          <rPr>
            <b/>
            <sz val="9"/>
            <color indexed="81"/>
            <rFont val="Tahoma"/>
            <family val="2"/>
          </rPr>
          <t>Tag:</t>
        </r>
        <r>
          <rPr>
            <sz val="9"/>
            <color indexed="81"/>
            <rFont val="Tahoma"/>
            <family val="2"/>
          </rPr>
          <t xml:space="preserve">
VUNr/Tagname 
</t>
        </r>
      </text>
    </comment>
    <comment ref="I3" authorId="1" shapeId="0" xr:uid="{6551FFF2-85D7-4439-B5E0-A57F10C43BA5}">
      <text>
        <r>
          <rPr>
            <b/>
            <sz val="8"/>
            <color indexed="81"/>
            <rFont val="Tahoma"/>
            <family val="2"/>
          </rPr>
          <t xml:space="preserve">Indicate in which screen(s) this item needs to be visualised
</t>
        </r>
      </text>
    </comment>
    <comment ref="C164" authorId="2" shapeId="0" xr:uid="{19691B68-305A-4316-9EB2-6D94E7AD080D}">
      <text>
        <r>
          <rPr>
            <b/>
            <sz val="8"/>
            <color indexed="81"/>
            <rFont val="Tahoma"/>
            <family val="2"/>
          </rPr>
          <t xml:space="preserve">Attention!
</t>
        </r>
        <r>
          <rPr>
            <sz val="8"/>
            <color indexed="81"/>
            <rFont val="Tahoma"/>
            <family val="2"/>
          </rPr>
          <t>Insert line before this one to add parameters.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Leslie Matheus</author>
    <author>Paelinck, Mathieu</author>
    <author>Glenn Andries</author>
    <author>PLOMPRO</author>
    <author>Tom Van Kerckhove</author>
  </authors>
  <commentList>
    <comment ref="D3" authorId="0" shapeId="0" xr:uid="{29F4A06E-7447-4C3B-B626-9B8B47EE23FF}">
      <text>
        <r>
          <rPr>
            <b/>
            <sz val="9"/>
            <color indexed="81"/>
            <rFont val="Tahoma"/>
            <family val="2"/>
          </rPr>
          <t xml:space="preserve">Tag:
</t>
        </r>
        <r>
          <rPr>
            <sz val="9"/>
            <color indexed="81"/>
            <rFont val="Tahoma"/>
            <family val="2"/>
          </rPr>
          <t>NO PREFIX</t>
        </r>
      </text>
    </comment>
    <comment ref="H3" authorId="1" shapeId="0" xr:uid="{45E8D966-BD92-4F17-82FC-BC737D23814D}">
      <text>
        <r>
          <rPr>
            <b/>
            <sz val="9"/>
            <color indexed="81"/>
            <rFont val="Tahoma"/>
            <family val="2"/>
          </rPr>
          <t xml:space="preserve">Linked object (Tag):
</t>
        </r>
        <r>
          <rPr>
            <sz val="9"/>
            <color indexed="81"/>
            <rFont val="Tahoma"/>
            <family val="2"/>
          </rPr>
          <t xml:space="preserve">The tagname of the linked object (e.g. button) must be mentioned here. </t>
        </r>
      </text>
    </comment>
    <comment ref="I3" authorId="0" shapeId="0" xr:uid="{D4B2F48C-F3D3-40E5-9A13-3815FD80C726}">
      <text>
        <r>
          <rPr>
            <b/>
            <sz val="9"/>
            <color indexed="81"/>
            <rFont val="Tahoma"/>
            <family val="2"/>
          </rPr>
          <t xml:space="preserve">Dutch Translation 1:
</t>
        </r>
        <r>
          <rPr>
            <sz val="9"/>
            <color indexed="81"/>
            <rFont val="Tahoma"/>
            <family val="2"/>
          </rPr>
          <t xml:space="preserve">Max. 30 characters
</t>
        </r>
      </text>
    </comment>
    <comment ref="J3" authorId="0" shapeId="0" xr:uid="{306BC58D-9C66-4148-ADBE-E20BD4F1C07B}">
      <text>
        <r>
          <rPr>
            <b/>
            <sz val="9"/>
            <color indexed="81"/>
            <rFont val="Tahoma"/>
            <family val="2"/>
          </rPr>
          <t xml:space="preserve">Dutch Translation 2:
</t>
        </r>
        <r>
          <rPr>
            <sz val="9"/>
            <color indexed="81"/>
            <rFont val="Tahoma"/>
            <family val="2"/>
          </rPr>
          <t>Max. 30 characters</t>
        </r>
      </text>
    </comment>
    <comment ref="L3" authorId="2" shapeId="0" xr:uid="{3BE955DE-1552-4221-95EA-74CFD99C541B}">
      <text>
        <r>
          <rPr>
            <b/>
            <sz val="9"/>
            <color indexed="81"/>
            <rFont val="Tahoma"/>
            <family val="2"/>
          </rPr>
          <t xml:space="preserve">Port Description Machine Constructor (Not used in SCADA)
</t>
        </r>
        <r>
          <rPr>
            <sz val="9"/>
            <color indexed="81"/>
            <rFont val="Tahoma"/>
            <family val="2"/>
          </rPr>
          <t xml:space="preserve">
</t>
        </r>
      </text>
    </comment>
    <comment ref="M3" authorId="2" shapeId="0" xr:uid="{36B87202-8E60-4EC6-8B09-12C21F4D80F4}">
      <text>
        <r>
          <rPr>
            <b/>
            <sz val="9"/>
            <color indexed="81"/>
            <rFont val="Tahoma"/>
            <family val="2"/>
          </rPr>
          <t>Port Description English:
Max. 75 characters</t>
        </r>
        <r>
          <rPr>
            <sz val="9"/>
            <color indexed="81"/>
            <rFont val="Tahoma"/>
            <family val="2"/>
          </rPr>
          <t xml:space="preserve">
</t>
        </r>
      </text>
    </comment>
    <comment ref="N3" authorId="2" shapeId="0" xr:uid="{204E4700-AC47-42E1-A984-0A1111F6007D}">
      <text>
        <r>
          <rPr>
            <b/>
            <sz val="9"/>
            <color indexed="81"/>
            <rFont val="Tahoma"/>
            <family val="2"/>
          </rPr>
          <t xml:space="preserve">Port Description NL:
</t>
        </r>
        <r>
          <rPr>
            <sz val="9"/>
            <color indexed="81"/>
            <rFont val="Tahoma"/>
            <family val="2"/>
          </rPr>
          <t>Max. 75 characters</t>
        </r>
        <r>
          <rPr>
            <sz val="9"/>
            <color indexed="81"/>
            <rFont val="Tahoma"/>
            <family val="2"/>
          </rPr>
          <t xml:space="preserve">
</t>
        </r>
      </text>
    </comment>
    <comment ref="P3" authorId="3" shapeId="0" xr:uid="{95C967C6-653B-4766-A05F-60857952CAD2}">
      <text>
        <r>
          <rPr>
            <b/>
            <sz val="8"/>
            <color indexed="81"/>
            <rFont val="Tahoma"/>
            <family val="2"/>
          </rPr>
          <t xml:space="preserve">Indicate in which screen(s) this item needs to be visualised
</t>
        </r>
      </text>
    </comment>
    <comment ref="C2053" authorId="4" shapeId="0" xr:uid="{30CC6685-3961-40D0-9E9E-67A2AC1F110F}">
      <text>
        <r>
          <rPr>
            <b/>
            <sz val="8"/>
            <color indexed="81"/>
            <rFont val="Tahoma"/>
            <family val="2"/>
          </rPr>
          <t xml:space="preserve">Attention!
</t>
        </r>
        <r>
          <rPr>
            <sz val="8"/>
            <color indexed="81"/>
            <rFont val="Tahoma"/>
            <family val="2"/>
          </rPr>
          <t>Insert line before this one to add new interlock blocks. 
Remark: always copy complete block of 16 rows.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Tom Van Kerckhove</author>
    <author>Paelinck, Mathieu</author>
    <author>Leslie Matheus</author>
    <author>PLOMPRO</author>
  </authors>
  <commentList>
    <comment ref="D3" authorId="0" shapeId="0" xr:uid="{00000000-0006-0000-0400-000001000000}">
      <text>
        <r>
          <rPr>
            <b/>
            <sz val="8"/>
            <color indexed="81"/>
            <rFont val="Tahoma"/>
            <family val="2"/>
          </rPr>
          <t xml:space="preserve">Tag:
</t>
        </r>
        <r>
          <rPr>
            <sz val="8"/>
            <color indexed="81"/>
            <rFont val="Tahoma"/>
            <family val="2"/>
          </rPr>
          <t>14 characters
NO PREFIX</t>
        </r>
      </text>
    </comment>
    <comment ref="G3" authorId="0" shapeId="0" xr:uid="{00000000-0006-0000-0400-000002000000}">
      <text>
        <r>
          <rPr>
            <b/>
            <sz val="8"/>
            <color indexed="81"/>
            <rFont val="Tahoma"/>
            <family val="2"/>
          </rPr>
          <t>Comment:</t>
        </r>
        <r>
          <rPr>
            <sz val="8"/>
            <color indexed="81"/>
            <rFont val="Tahoma"/>
            <family val="2"/>
          </rPr>
          <t xml:space="preserve">
max length 24 char.</t>
        </r>
      </text>
    </comment>
    <comment ref="I3" authorId="1" shapeId="0" xr:uid="{35F9BFC8-5C4E-4BA6-A443-DB1A056F54A2}">
      <text>
        <r>
          <rPr>
            <b/>
            <sz val="8"/>
            <color indexed="81"/>
            <rFont val="Tahoma"/>
            <family val="2"/>
          </rPr>
          <t xml:space="preserve">Linked button object (Tag):
</t>
        </r>
        <r>
          <rPr>
            <sz val="8"/>
            <color indexed="81"/>
            <rFont val="Tahoma"/>
            <family val="2"/>
          </rPr>
          <t xml:space="preserve">The tagname of the linked button must be mentioned here. </t>
        </r>
      </text>
    </comment>
    <comment ref="J3" authorId="0" shapeId="0" xr:uid="{00000000-0006-0000-0400-000003000000}">
      <text>
        <r>
          <rPr>
            <b/>
            <sz val="8"/>
            <color indexed="81"/>
            <rFont val="Tahoma"/>
            <family val="2"/>
          </rPr>
          <t>POPC:</t>
        </r>
        <r>
          <rPr>
            <sz val="8"/>
            <color indexed="81"/>
            <rFont val="Tahoma"/>
            <family val="2"/>
          </rPr>
          <t xml:space="preserve">
Value = 0/1
1 = Button needs confirmation Popup</t>
        </r>
      </text>
    </comment>
    <comment ref="K3" authorId="0" shapeId="0" xr:uid="{00000000-0006-0000-0400-000004000000}">
      <text>
        <r>
          <rPr>
            <b/>
            <sz val="8"/>
            <color indexed="81"/>
            <rFont val="Tahoma"/>
            <family val="2"/>
          </rPr>
          <t>POPT</t>
        </r>
        <r>
          <rPr>
            <sz val="8"/>
            <color indexed="81"/>
            <rFont val="Tahoma"/>
            <family val="2"/>
          </rPr>
          <t xml:space="preserve">
Value = 0/1
1 = Text on Popup Toggles between PopUpText and PopUpTextAlternate depending on Feedback
Only possible if POPC = 1</t>
        </r>
      </text>
    </comment>
    <comment ref="L3" authorId="0" shapeId="0" xr:uid="{00000000-0006-0000-0400-000005000000}">
      <text>
        <r>
          <rPr>
            <b/>
            <sz val="8"/>
            <color indexed="81"/>
            <rFont val="Tahoma"/>
            <family val="2"/>
          </rPr>
          <t>BUTT:</t>
        </r>
        <r>
          <rPr>
            <sz val="8"/>
            <color indexed="81"/>
            <rFont val="Tahoma"/>
            <family val="2"/>
          </rPr>
          <t xml:space="preserve">
Value = 0/1
Button Toggle Text
1 = Text on button Toggles between ButtonText and ButtonTextAlternate depending on Feedback
</t>
        </r>
      </text>
    </comment>
    <comment ref="M3" authorId="0" shapeId="0" xr:uid="{00000000-0006-0000-0400-000006000000}">
      <text>
        <r>
          <rPr>
            <b/>
            <sz val="8"/>
            <color indexed="81"/>
            <rFont val="Tahoma"/>
            <family val="2"/>
          </rPr>
          <t>ELOG:</t>
        </r>
        <r>
          <rPr>
            <sz val="8"/>
            <color indexed="81"/>
            <rFont val="Tahoma"/>
            <family val="2"/>
          </rPr>
          <t xml:space="preserve">
Value = 0/1
1 = Eventviewer logging</t>
        </r>
      </text>
    </comment>
    <comment ref="N3" authorId="0" shapeId="0" xr:uid="{00000000-0006-0000-0400-000007000000}">
      <text>
        <r>
          <rPr>
            <b/>
            <sz val="8"/>
            <color indexed="81"/>
            <rFont val="Tahoma"/>
            <family val="2"/>
          </rPr>
          <t>LLOG:</t>
        </r>
        <r>
          <rPr>
            <sz val="8"/>
            <color indexed="81"/>
            <rFont val="Tahoma"/>
            <family val="2"/>
          </rPr>
          <t xml:space="preserve">
Value = 0/1
1 = LocalLogging - WinCC internal archive
</t>
        </r>
      </text>
    </comment>
    <comment ref="P3" authorId="0" shapeId="0" xr:uid="{00000000-0006-0000-0400-000008000000}">
      <text>
        <r>
          <rPr>
            <b/>
            <sz val="8"/>
            <color indexed="81"/>
            <rFont val="Tahoma"/>
            <family val="2"/>
          </rPr>
          <t xml:space="preserve">BehaviourCode:
</t>
        </r>
        <r>
          <rPr>
            <sz val="8"/>
            <color indexed="81"/>
            <rFont val="Tahoma"/>
            <family val="2"/>
          </rPr>
          <t>Binary Calculation 
POPC-POPC-BUTT-ELOG-LLOG
This formula needs to be copied to new rows !</t>
        </r>
      </text>
    </comment>
    <comment ref="Y3" authorId="2" shapeId="0" xr:uid="{3AD6B620-A5C1-4145-B66D-4335AB79AD88}">
      <text>
        <r>
          <rPr>
            <b/>
            <sz val="8"/>
            <color indexed="81"/>
            <rFont val="Tahoma"/>
            <family val="2"/>
          </rPr>
          <t xml:space="preserve">Functionkeys:
</t>
        </r>
        <r>
          <rPr>
            <sz val="8"/>
            <color indexed="81"/>
            <rFont val="Tahoma"/>
            <family val="2"/>
          </rPr>
          <t>Enter the key if this button is part of a toolbar.
Ex: 1.3 (Toolbar 1 button 3)</t>
        </r>
      </text>
    </comment>
    <comment ref="AA3" authorId="3" shapeId="0" xr:uid="{00000000-0006-0000-0400-000009000000}">
      <text>
        <r>
          <rPr>
            <b/>
            <sz val="8"/>
            <color indexed="81"/>
            <rFont val="Tahoma"/>
            <family val="2"/>
          </rPr>
          <t>Indicate in which screen(s) this item needs to be visualised</t>
        </r>
      </text>
    </comment>
    <comment ref="C24" authorId="0" shapeId="0" xr:uid="{00000000-0006-0000-0400-00000A000000}">
      <text>
        <r>
          <rPr>
            <b/>
            <sz val="8"/>
            <color indexed="81"/>
            <rFont val="Tahoma"/>
            <family val="2"/>
          </rPr>
          <t xml:space="preserve">Attention!
</t>
        </r>
        <r>
          <rPr>
            <sz val="8"/>
            <color indexed="81"/>
            <rFont val="Tahoma"/>
            <family val="2"/>
          </rPr>
          <t>Insert line before this one to add parameters.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Tom Van Kerckhove</author>
    <author>Van Rompaey, Marnix</author>
    <author>PLOMPRO</author>
    <author>Leslie Matheus</author>
  </authors>
  <commentList>
    <comment ref="D3" authorId="0" shapeId="0" xr:uid="{00000000-0006-0000-0500-000001000000}">
      <text>
        <r>
          <rPr>
            <b/>
            <sz val="8"/>
            <color indexed="81"/>
            <rFont val="Tahoma"/>
            <family val="2"/>
          </rPr>
          <t xml:space="preserve">Tag:
</t>
        </r>
        <r>
          <rPr>
            <sz val="8"/>
            <color indexed="81"/>
            <rFont val="Tahoma"/>
            <family val="2"/>
          </rPr>
          <t>14 characters
NO PREFIX</t>
        </r>
      </text>
    </comment>
    <comment ref="G3" authorId="0" shapeId="0" xr:uid="{00000000-0006-0000-0500-000002000000}">
      <text>
        <r>
          <rPr>
            <b/>
            <sz val="8"/>
            <color indexed="81"/>
            <rFont val="Tahoma"/>
            <family val="2"/>
          </rPr>
          <t>Comment:</t>
        </r>
        <r>
          <rPr>
            <sz val="8"/>
            <color indexed="81"/>
            <rFont val="Tahoma"/>
            <family val="2"/>
          </rPr>
          <t xml:space="preserve">
max length 24 char.</t>
        </r>
      </text>
    </comment>
    <comment ref="H3" authorId="1" shapeId="0" xr:uid="{7CB4C487-DBA8-4035-846A-2EB65C2A222F}">
      <text>
        <r>
          <rPr>
            <b/>
            <sz val="8"/>
            <color indexed="81"/>
            <rFont val="Tahoma"/>
            <family val="2"/>
          </rPr>
          <t xml:space="preserve">Comment:
</t>
        </r>
        <r>
          <rPr>
            <sz val="8"/>
            <color indexed="81"/>
            <rFont val="Tahoma"/>
            <family val="2"/>
          </rPr>
          <t>max length 24 char.</t>
        </r>
      </text>
    </comment>
    <comment ref="I3" authorId="1" shapeId="0" xr:uid="{8689C7BE-0DDD-4B77-888E-B60515B83B03}">
      <text>
        <r>
          <rPr>
            <b/>
            <sz val="8"/>
            <color indexed="81"/>
            <rFont val="Tahoma"/>
            <family val="2"/>
          </rPr>
          <t xml:space="preserve">Comment:
</t>
        </r>
        <r>
          <rPr>
            <sz val="8"/>
            <color indexed="81"/>
            <rFont val="Tahoma"/>
            <family val="2"/>
          </rPr>
          <t>max length 24 char.</t>
        </r>
      </text>
    </comment>
    <comment ref="U3" authorId="2" shapeId="0" xr:uid="{00000000-0006-0000-0500-000003000000}">
      <text>
        <r>
          <rPr>
            <b/>
            <sz val="8"/>
            <color indexed="81"/>
            <rFont val="Tahoma"/>
            <family val="2"/>
          </rPr>
          <t xml:space="preserve">Indicate in which screen(s) this item needs to be visualised
</t>
        </r>
      </text>
    </comment>
    <comment ref="V3" authorId="3" shapeId="0" xr:uid="{00000000-0006-0000-0500-000004000000}">
      <text>
        <r>
          <rPr>
            <b/>
            <sz val="8"/>
            <color indexed="81"/>
            <rFont val="Tahoma"/>
            <family val="2"/>
          </rPr>
          <t xml:space="preserve">Eventviewer buttons:
</t>
        </r>
        <r>
          <rPr>
            <sz val="8"/>
            <color indexed="81"/>
            <rFont val="Tahoma"/>
            <family val="2"/>
          </rPr>
          <t>Create EV message when faceplate button is clicked</t>
        </r>
      </text>
    </comment>
    <comment ref="C24" authorId="0" shapeId="0" xr:uid="{00000000-0006-0000-05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Tom Van Kerckhove</author>
    <author>Van Rompaey, Marnix</author>
    <author>PLOMPRO</author>
    <author>Leslie Matheus</author>
  </authors>
  <commentList>
    <comment ref="D3" authorId="0" shapeId="0" xr:uid="{00000000-0006-0000-0600-000001000000}">
      <text>
        <r>
          <rPr>
            <b/>
            <sz val="8"/>
            <color indexed="81"/>
            <rFont val="Tahoma"/>
            <family val="2"/>
          </rPr>
          <t xml:space="preserve">Tag:
</t>
        </r>
        <r>
          <rPr>
            <sz val="8"/>
            <color indexed="81"/>
            <rFont val="Tahoma"/>
            <family val="2"/>
          </rPr>
          <t>14 characters
NO PREFIX</t>
        </r>
      </text>
    </comment>
    <comment ref="G3" authorId="0" shapeId="0" xr:uid="{00000000-0006-0000-0600-000002000000}">
      <text>
        <r>
          <rPr>
            <b/>
            <sz val="8"/>
            <color indexed="81"/>
            <rFont val="Tahoma"/>
            <family val="2"/>
          </rPr>
          <t xml:space="preserve">Comment:
</t>
        </r>
        <r>
          <rPr>
            <sz val="8"/>
            <color indexed="81"/>
            <rFont val="Tahoma"/>
            <family val="2"/>
          </rPr>
          <t>max length 24 char.</t>
        </r>
      </text>
    </comment>
    <comment ref="H3" authorId="1" shapeId="0" xr:uid="{42156089-611F-4D20-B606-5A74AC2F8422}">
      <text>
        <r>
          <rPr>
            <b/>
            <sz val="8"/>
            <color indexed="81"/>
            <rFont val="Tahoma"/>
            <family val="2"/>
          </rPr>
          <t xml:space="preserve">Comment:
</t>
        </r>
        <r>
          <rPr>
            <sz val="8"/>
            <color indexed="81"/>
            <rFont val="Tahoma"/>
            <family val="2"/>
          </rPr>
          <t>max length 24 char.</t>
        </r>
      </text>
    </comment>
    <comment ref="I3" authorId="1" shapeId="0" xr:uid="{362A7891-B39F-453A-998D-7B19556E2A97}">
      <text>
        <r>
          <rPr>
            <b/>
            <sz val="8"/>
            <color indexed="81"/>
            <rFont val="Tahoma"/>
            <family val="2"/>
          </rPr>
          <t xml:space="preserve">Comment:
</t>
        </r>
        <r>
          <rPr>
            <sz val="8"/>
            <color indexed="81"/>
            <rFont val="Tahoma"/>
            <family val="2"/>
          </rPr>
          <t>max length 24 char.</t>
        </r>
      </text>
    </comment>
    <comment ref="V3" authorId="2" shapeId="0" xr:uid="{00000000-0006-0000-0600-000003000000}">
      <text>
        <r>
          <rPr>
            <b/>
            <sz val="8"/>
            <color indexed="81"/>
            <rFont val="Tahoma"/>
            <family val="2"/>
          </rPr>
          <t xml:space="preserve">Indicate in which screen(s) this item needs to be visualised
</t>
        </r>
      </text>
    </comment>
    <comment ref="W3" authorId="3" shapeId="0" xr:uid="{00000000-0006-0000-0600-000004000000}">
      <text>
        <r>
          <rPr>
            <b/>
            <sz val="8"/>
            <color indexed="81"/>
            <rFont val="Tahoma"/>
            <family val="2"/>
          </rPr>
          <t xml:space="preserve">Eventviewer buttons:
</t>
        </r>
        <r>
          <rPr>
            <sz val="8"/>
            <color indexed="81"/>
            <rFont val="Tahoma"/>
            <family val="2"/>
          </rPr>
          <t>Create EV message when faceplate button is clicked</t>
        </r>
      </text>
    </comment>
    <comment ref="C24" authorId="0" shapeId="0" xr:uid="{00000000-0006-0000-06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Tom Van Kerckhove</author>
    <author>Van Rompaey, Marnix</author>
    <author>PLOMPRO</author>
    <author>Leslie Matheus</author>
  </authors>
  <commentList>
    <comment ref="D3" authorId="0" shapeId="0" xr:uid="{00000000-0006-0000-0700-000001000000}">
      <text>
        <r>
          <rPr>
            <b/>
            <sz val="8"/>
            <color indexed="81"/>
            <rFont val="Tahoma"/>
            <family val="2"/>
          </rPr>
          <t>Tag:</t>
        </r>
        <r>
          <rPr>
            <sz val="8"/>
            <color indexed="81"/>
            <rFont val="Tahoma"/>
            <family val="2"/>
          </rPr>
          <t xml:space="preserve">
14 characters
NO PREFIX</t>
        </r>
      </text>
    </comment>
    <comment ref="G3" authorId="0" shapeId="0" xr:uid="{00000000-0006-0000-0700-000002000000}">
      <text>
        <r>
          <rPr>
            <b/>
            <sz val="8"/>
            <color indexed="81"/>
            <rFont val="Tahoma"/>
            <family val="2"/>
          </rPr>
          <t xml:space="preserve">Comment:
</t>
        </r>
        <r>
          <rPr>
            <sz val="8"/>
            <color indexed="81"/>
            <rFont val="Tahoma"/>
            <family val="2"/>
          </rPr>
          <t>max length 24 char</t>
        </r>
      </text>
    </comment>
    <comment ref="H3" authorId="1" shapeId="0" xr:uid="{475EC25F-7DA0-4C79-9BBC-5E4D44A84AB8}">
      <text>
        <r>
          <rPr>
            <b/>
            <sz val="8"/>
            <color indexed="81"/>
            <rFont val="Tahoma"/>
            <family val="2"/>
          </rPr>
          <t xml:space="preserve">Comment:
</t>
        </r>
        <r>
          <rPr>
            <sz val="8"/>
            <color indexed="81"/>
            <rFont val="Tahoma"/>
            <family val="2"/>
          </rPr>
          <t>max length 24 char.</t>
        </r>
      </text>
    </comment>
    <comment ref="I3" authorId="1" shapeId="0" xr:uid="{53BA8C57-AE67-48DC-89D5-A282970A2885}">
      <text>
        <r>
          <rPr>
            <b/>
            <sz val="8"/>
            <color indexed="81"/>
            <rFont val="Tahoma"/>
            <family val="2"/>
          </rPr>
          <t xml:space="preserve">Comment:
</t>
        </r>
        <r>
          <rPr>
            <sz val="8"/>
            <color indexed="81"/>
            <rFont val="Tahoma"/>
            <family val="2"/>
          </rPr>
          <t>max length 24 char.</t>
        </r>
      </text>
    </comment>
    <comment ref="AT3" authorId="2" shapeId="0" xr:uid="{00000000-0006-0000-0700-000003000000}">
      <text>
        <r>
          <rPr>
            <b/>
            <sz val="8"/>
            <color indexed="81"/>
            <rFont val="Tahoma"/>
            <family val="2"/>
          </rPr>
          <t xml:space="preserve">Indicate in which screen(s) this item needs to be visualised
</t>
        </r>
      </text>
    </comment>
    <comment ref="AU3" authorId="3" shapeId="0" xr:uid="{00000000-0006-0000-0700-000004000000}">
      <text>
        <r>
          <rPr>
            <b/>
            <sz val="8"/>
            <color indexed="81"/>
            <rFont val="Tahoma"/>
            <family val="2"/>
          </rPr>
          <t xml:space="preserve">Eventviewer buttons:
</t>
        </r>
        <r>
          <rPr>
            <sz val="8"/>
            <color indexed="81"/>
            <rFont val="Tahoma"/>
            <family val="2"/>
          </rPr>
          <t>Create EV message when faceplate button is clicked</t>
        </r>
      </text>
    </comment>
    <comment ref="C24" authorId="0" shapeId="0" xr:uid="{00000000-0006-0000-07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s>
  <commentList>
    <comment ref="D3" authorId="0" shapeId="0" xr:uid="{00000000-0006-0000-0800-000001000000}">
      <text>
        <r>
          <rPr>
            <b/>
            <sz val="8"/>
            <color indexed="81"/>
            <rFont val="Tahoma"/>
            <family val="2"/>
          </rPr>
          <t xml:space="preserve">Tag:
</t>
        </r>
        <r>
          <rPr>
            <sz val="8"/>
            <color indexed="81"/>
            <rFont val="Tahoma"/>
            <family val="2"/>
          </rPr>
          <t>14 characters
NO PREFIX for structure tags
VU prefix for other datatypes</t>
        </r>
      </text>
    </comment>
    <comment ref="E3" authorId="0" shapeId="0" xr:uid="{00000000-0006-0000-0800-000002000000}">
      <text>
        <r>
          <rPr>
            <b/>
            <sz val="8"/>
            <color indexed="81"/>
            <rFont val="Tahoma"/>
            <family val="2"/>
          </rPr>
          <t>DB10 Address:</t>
        </r>
        <r>
          <rPr>
            <sz val="8"/>
            <color indexed="81"/>
            <rFont val="Tahoma"/>
            <family val="2"/>
          </rPr>
          <t xml:space="preserve">
To be fille-in by Machine constructor</t>
        </r>
      </text>
    </comment>
    <comment ref="G3" authorId="0" shapeId="0" xr:uid="{00000000-0006-0000-0800-000003000000}">
      <text>
        <r>
          <rPr>
            <b/>
            <sz val="8"/>
            <color indexed="81"/>
            <rFont val="Tahoma"/>
            <family val="2"/>
          </rPr>
          <t xml:space="preserve">Comment:
</t>
        </r>
        <r>
          <rPr>
            <sz val="8"/>
            <color indexed="81"/>
            <rFont val="Tahoma"/>
            <family val="2"/>
          </rPr>
          <t>max length 24 char.</t>
        </r>
      </text>
    </comment>
    <comment ref="AC3" authorId="1" shapeId="0" xr:uid="{00000000-0006-0000-0800-000004000000}">
      <text>
        <r>
          <rPr>
            <b/>
            <sz val="8"/>
            <color indexed="81"/>
            <rFont val="Tahoma"/>
            <family val="2"/>
          </rPr>
          <t xml:space="preserve">Indicate in which screen(s) this item needs to be visualised
</t>
        </r>
      </text>
    </comment>
    <comment ref="C24" authorId="0" shapeId="0" xr:uid="{00000000-0006-0000-08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Tom Van Kerckhove</author>
    <author>Van Rompaey, Marnix</author>
    <author>PLOMPRO</author>
  </authors>
  <commentList>
    <comment ref="D3" authorId="0" shapeId="0" xr:uid="{00000000-0006-0000-0900-000001000000}">
      <text>
        <r>
          <rPr>
            <b/>
            <sz val="8"/>
            <color indexed="81"/>
            <rFont val="Tahoma"/>
            <family val="2"/>
          </rPr>
          <t xml:space="preserve">Tag:
</t>
        </r>
        <r>
          <rPr>
            <sz val="8"/>
            <color indexed="81"/>
            <rFont val="Tahoma"/>
            <family val="2"/>
          </rPr>
          <t xml:space="preserve">14 characters
NO PREFIX
Tag will be used for PI/TRT
</t>
        </r>
      </text>
    </comment>
    <comment ref="H3" authorId="1" shapeId="0" xr:uid="{0A56C08A-DD6D-4739-BBF3-7BEEA3C16953}">
      <text>
        <r>
          <rPr>
            <b/>
            <sz val="8"/>
            <color indexed="81"/>
            <rFont val="Tahoma"/>
            <family val="2"/>
          </rPr>
          <t xml:space="preserve">Comment:
</t>
        </r>
        <r>
          <rPr>
            <sz val="8"/>
            <color indexed="81"/>
            <rFont val="Tahoma"/>
            <family val="2"/>
          </rPr>
          <t>max length 24 char.</t>
        </r>
      </text>
    </comment>
    <comment ref="I3" authorId="1" shapeId="0" xr:uid="{3643F93D-D523-48FF-9FFA-9C259C420113}">
      <text>
        <r>
          <rPr>
            <b/>
            <sz val="8"/>
            <color indexed="81"/>
            <rFont val="Tahoma"/>
            <family val="2"/>
          </rPr>
          <t xml:space="preserve">Comment:
</t>
        </r>
        <r>
          <rPr>
            <sz val="8"/>
            <color indexed="81"/>
            <rFont val="Tahoma"/>
            <family val="2"/>
          </rPr>
          <t>max length 24 char.</t>
        </r>
      </text>
    </comment>
    <comment ref="AI3" authorId="2" shapeId="0" xr:uid="{00000000-0006-0000-0900-000003000000}">
      <text>
        <r>
          <rPr>
            <b/>
            <sz val="8"/>
            <color indexed="81"/>
            <rFont val="Tahoma"/>
            <family val="2"/>
          </rPr>
          <t>Indicate in which screen(s) this item needs to be visualised</t>
        </r>
      </text>
    </comment>
    <comment ref="C34" authorId="0" shapeId="0" xr:uid="{00000000-0006-0000-0900-000004000000}">
      <text>
        <r>
          <rPr>
            <b/>
            <sz val="8"/>
            <color indexed="81"/>
            <rFont val="Tahoma"/>
            <family val="2"/>
          </rPr>
          <t xml:space="preserve">Attention!
</t>
        </r>
        <r>
          <rPr>
            <sz val="8"/>
            <color indexed="81"/>
            <rFont val="Tahoma"/>
            <family val="2"/>
          </rPr>
          <t>Insert line before this one to add parameters.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Tom Van Kerckhove</author>
    <author>Van Rompaey, Marnix</author>
    <author>PLOMPRO</author>
    <author>Leslie Matheus</author>
  </authors>
  <commentList>
    <comment ref="D3" authorId="0" shapeId="0" xr:uid="{00000000-0006-0000-0A00-000001000000}">
      <text>
        <r>
          <rPr>
            <b/>
            <sz val="8"/>
            <color indexed="81"/>
            <rFont val="Tahoma"/>
            <family val="2"/>
          </rPr>
          <t xml:space="preserve">Tag:
</t>
        </r>
        <r>
          <rPr>
            <sz val="8"/>
            <color indexed="81"/>
            <rFont val="Tahoma"/>
            <family val="2"/>
          </rPr>
          <t>14 characters</t>
        </r>
      </text>
    </comment>
    <comment ref="G3" authorId="0" shapeId="0" xr:uid="{00000000-0006-0000-0A00-000002000000}">
      <text>
        <r>
          <rPr>
            <b/>
            <sz val="8"/>
            <color indexed="81"/>
            <rFont val="Tahoma"/>
            <family val="2"/>
          </rPr>
          <t xml:space="preserve">Comment:
</t>
        </r>
        <r>
          <rPr>
            <sz val="8"/>
            <color indexed="81"/>
            <rFont val="Tahoma"/>
            <family val="2"/>
          </rPr>
          <t>max length 24 char.</t>
        </r>
      </text>
    </comment>
    <comment ref="H3" authorId="1" shapeId="0" xr:uid="{F0575C8A-3B8B-40F2-A084-343FC21BB5B5}">
      <text>
        <r>
          <rPr>
            <b/>
            <sz val="8"/>
            <color indexed="81"/>
            <rFont val="Tahoma"/>
            <family val="2"/>
          </rPr>
          <t xml:space="preserve">Comment:
</t>
        </r>
        <r>
          <rPr>
            <sz val="8"/>
            <color indexed="81"/>
            <rFont val="Tahoma"/>
            <family val="2"/>
          </rPr>
          <t>max length 24 char.</t>
        </r>
      </text>
    </comment>
    <comment ref="I3" authorId="1" shapeId="0" xr:uid="{E4A606F9-E707-4EEA-97FB-E018F2EF16AE}">
      <text>
        <r>
          <rPr>
            <b/>
            <sz val="8"/>
            <color indexed="81"/>
            <rFont val="Tahoma"/>
            <family val="2"/>
          </rPr>
          <t xml:space="preserve">Comment:
</t>
        </r>
        <r>
          <rPr>
            <sz val="8"/>
            <color indexed="81"/>
            <rFont val="Tahoma"/>
            <family val="2"/>
          </rPr>
          <t>max length 24 char.</t>
        </r>
      </text>
    </comment>
    <comment ref="BC3" authorId="2" shapeId="0" xr:uid="{00000000-0006-0000-0A00-000003000000}">
      <text>
        <r>
          <rPr>
            <b/>
            <sz val="8"/>
            <color indexed="81"/>
            <rFont val="Tahoma"/>
            <family val="2"/>
          </rPr>
          <t xml:space="preserve">Indicate in which screen(s) this item needs to be visualised
</t>
        </r>
      </text>
    </comment>
    <comment ref="BD3" authorId="3" shapeId="0" xr:uid="{00000000-0006-0000-0A00-000004000000}">
      <text>
        <r>
          <rPr>
            <b/>
            <sz val="8"/>
            <color indexed="81"/>
            <rFont val="Tahoma"/>
            <family val="2"/>
          </rPr>
          <t xml:space="preserve">Eventviewer buttons:
</t>
        </r>
        <r>
          <rPr>
            <sz val="8"/>
            <color indexed="81"/>
            <rFont val="Tahoma"/>
            <family val="2"/>
          </rPr>
          <t>Create EV message when faceplate button is clicked</t>
        </r>
      </text>
    </comment>
    <comment ref="C24" authorId="0" shapeId="0" xr:uid="{00000000-0006-0000-0A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Tom Van Kerckhove</author>
    <author>Leslie Matheus</author>
    <author>PLOMPRO</author>
  </authors>
  <commentList>
    <comment ref="D3" authorId="0" shapeId="0" xr:uid="{00000000-0006-0000-0B00-000001000000}">
      <text>
        <r>
          <rPr>
            <b/>
            <sz val="8"/>
            <color indexed="81"/>
            <rFont val="Tahoma"/>
            <family val="2"/>
          </rPr>
          <t xml:space="preserve">Tag:
</t>
        </r>
        <r>
          <rPr>
            <sz val="8"/>
            <color indexed="81"/>
            <rFont val="Tahoma"/>
            <family val="2"/>
          </rPr>
          <t>14 characters
VUNr/TagName</t>
        </r>
      </text>
    </comment>
    <comment ref="G3" authorId="0" shapeId="0" xr:uid="{00000000-0006-0000-0B00-000002000000}">
      <text>
        <r>
          <rPr>
            <b/>
            <sz val="8"/>
            <color indexed="81"/>
            <rFont val="Tahoma"/>
            <family val="2"/>
          </rPr>
          <t xml:space="preserve">Comment:
</t>
        </r>
        <r>
          <rPr>
            <sz val="8"/>
            <color indexed="81"/>
            <rFont val="Tahoma"/>
            <family val="2"/>
          </rPr>
          <t>max lenght 24 char.</t>
        </r>
      </text>
    </comment>
    <comment ref="I3" authorId="1" shapeId="0" xr:uid="{21752C0E-0EB1-4C38-A6EA-B223B1706522}">
      <text>
        <r>
          <rPr>
            <b/>
            <sz val="8"/>
            <color indexed="81"/>
            <rFont val="Tahoma"/>
            <family val="2"/>
          </rPr>
          <t xml:space="preserve">Type:
</t>
        </r>
        <r>
          <rPr>
            <sz val="8"/>
            <color indexed="81"/>
            <rFont val="Tahoma"/>
            <family val="2"/>
          </rPr>
          <t xml:space="preserve">string-&gt; string length in brackets
RAW -&gt; nr of bytes in brackets
Date_And_Time = S7-1500 DateAndTime datatype
</t>
        </r>
      </text>
    </comment>
    <comment ref="AE3" authorId="2" shapeId="0" xr:uid="{00000000-0006-0000-0B00-000003000000}">
      <text>
        <r>
          <rPr>
            <b/>
            <sz val="8"/>
            <color indexed="81"/>
            <rFont val="Tahoma"/>
            <family val="2"/>
          </rPr>
          <t xml:space="preserve">Indicate in which screen(s) this item needs to be visualised
</t>
        </r>
      </text>
    </comment>
    <comment ref="C42" authorId="0" shapeId="0" xr:uid="{00000000-0006-0000-0B00-000004000000}">
      <text>
        <r>
          <rPr>
            <b/>
            <sz val="8"/>
            <color indexed="81"/>
            <rFont val="Tahoma"/>
            <family val="2"/>
          </rPr>
          <t xml:space="preserve">Attention!
</t>
        </r>
        <r>
          <rPr>
            <sz val="8"/>
            <color indexed="81"/>
            <rFont val="Tahoma"/>
            <family val="2"/>
          </rPr>
          <t>Insert line before this one to add parameters.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<sst xmlns="http://schemas.openxmlformats.org/spreadsheetml/2006/main" count="2882" uniqueCount="774">
  <si>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</si>
  <si>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</si>
  <si>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</si>
  <si>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</si>
  <si>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</si>
  <si>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</si>
  <si>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</si>
  <si>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</si>
  <si>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</si>
  <si>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</si>
  <si>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</si>
  <si>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</si>
  <si>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</si>
  <si>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</si>
  <si>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</si>
  <si>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</si>
  <si>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n/a</t>
  </si>
  <si>
    <t>General info</t>
  </si>
  <si>
    <t>Machine name</t>
  </si>
  <si>
    <t>Machine number</t>
  </si>
  <si>
    <t>CU number</t>
  </si>
  <si>
    <t>PLC software location</t>
  </si>
  <si>
    <t>DB list location (project phase)</t>
  </si>
  <si>
    <t>DB list location (machine folder)</t>
  </si>
  <si>
    <t>VU name</t>
  </si>
  <si>
    <t>VU number</t>
  </si>
  <si>
    <t>VU prefix</t>
  </si>
  <si>
    <t>VU 1</t>
  </si>
  <si>
    <t>VU 2</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</si>
  <si>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</si>
  <si>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</si>
  <si>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</si>
  <si>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</si>
  <si>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</si>
  <si>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</si>
  <si>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</si>
  <si>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</si>
  <si>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</si>
  <si>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</si>
  <si>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</si>
  <si>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</si>
  <si>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</si>
  <si>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</si>
  <si>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</si>
  <si>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</si>
  <si>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</si>
  <si>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</si>
  <si>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</si>
  <si>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</si>
  <si>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</si>
  <si>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</si>
  <si>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</si>
  <si>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</si>
  <si>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</si>
  <si>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</si>
  <si>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</si>
  <si>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</si>
  <si>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</si>
  <si>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</si>
  <si>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Pfizer</t>
  </si>
  <si>
    <t>process automation</t>
  </si>
  <si>
    <t>Bit commands</t>
  </si>
  <si>
    <t>Length : 1 bit</t>
  </si>
  <si>
    <t>DB "Lvis_Data"</t>
  </si>
  <si>
    <t>CRF / PCN</t>
  </si>
  <si>
    <t>Version</t>
  </si>
  <si>
    <t>PfizerNR</t>
  </si>
  <si>
    <t>Function</t>
  </si>
  <si>
    <t>Absolute</t>
  </si>
  <si>
    <t>Symbolic</t>
  </si>
  <si>
    <t>PLC Data Type</t>
  </si>
  <si>
    <t>Linked Interlock object (Tag)</t>
  </si>
  <si>
    <t>Functionkey</t>
  </si>
  <si>
    <t>Passwordlevel</t>
  </si>
  <si>
    <t>ButtonText</t>
  </si>
  <si>
    <t>Tooltip</t>
  </si>
  <si>
    <t>WinCC Tagname</t>
  </si>
  <si>
    <t>Buttontype</t>
  </si>
  <si>
    <t>Special remarks</t>
  </si>
  <si>
    <t>Picture</t>
  </si>
  <si>
    <t>Local Logging</t>
  </si>
  <si>
    <t>Eventviewer Logging</t>
  </si>
  <si>
    <t>Pass / fail</t>
  </si>
  <si>
    <t>Start</t>
  </si>
  <si>
    <t>DBX4.0</t>
  </si>
  <si>
    <t>.VU1.Gen.BitCmd.Start</t>
  </si>
  <si>
    <t>typeLVis_GenBitCmd</t>
  </si>
  <si>
    <t>Shift-F1</t>
  </si>
  <si>
    <t>No</t>
  </si>
  <si>
    <t>Icon (green triangle)</t>
  </si>
  <si>
    <t>TagPrefix/BcStart</t>
  </si>
  <si>
    <t>ButtonSet (SCADA to 1, PLC to 0)</t>
  </si>
  <si>
    <t>VU_picturename.pdl</t>
  </si>
  <si>
    <t>Pfizer/Machine const.</t>
  </si>
  <si>
    <t>Stop</t>
  </si>
  <si>
    <t>DBX4.1</t>
  </si>
  <si>
    <t>.VU1.Gen.BitCmd.Stop</t>
  </si>
  <si>
    <t>F1</t>
  </si>
  <si>
    <t>Icon (red stop sign)</t>
  </si>
  <si>
    <t>TagPrefix/BcStop</t>
  </si>
  <si>
    <t>Machine constructor</t>
  </si>
  <si>
    <t>Automatic</t>
  </si>
  <si>
    <t>DBX4.2</t>
  </si>
  <si>
    <t>.VU1.Gen.BitCmd.Auto</t>
  </si>
  <si>
    <t>1.1</t>
  </si>
  <si>
    <t>Auto</t>
  </si>
  <si>
    <t>TagPrefix/BcAuto</t>
  </si>
  <si>
    <t>Scada Supplier</t>
  </si>
  <si>
    <t>Manual</t>
  </si>
  <si>
    <t>DBX4.3</t>
  </si>
  <si>
    <t>.VU1.Gen.BitCmd.Manu</t>
  </si>
  <si>
    <t>1.2</t>
  </si>
  <si>
    <t>Manueel</t>
  </si>
  <si>
    <t>TagPrefix/BcManual</t>
  </si>
  <si>
    <t>RFD command</t>
  </si>
  <si>
    <t>DBX4.4</t>
  </si>
  <si>
    <t>.VU1.Gen.BitCmd.RFD</t>
  </si>
  <si>
    <t>Shift-F8</t>
  </si>
  <si>
    <t>Icon (Arrow Down)</t>
  </si>
  <si>
    <t>Ready for download</t>
  </si>
  <si>
    <t>TagPrefix/BcRFD</t>
  </si>
  <si>
    <t>Fill in when symbolic program</t>
  </si>
  <si>
    <t>Upload command</t>
  </si>
  <si>
    <t>DBX4.5</t>
  </si>
  <si>
    <t>.VU1.Gen.BitCmd.Upload</t>
  </si>
  <si>
    <t>none</t>
  </si>
  <si>
    <t>N/A</t>
  </si>
  <si>
    <t>No button - just command</t>
  </si>
  <si>
    <t>no WinCC button - comes from RMS</t>
  </si>
  <si>
    <t>Fill in when Absolute program</t>
  </si>
  <si>
    <t>Horn</t>
  </si>
  <si>
    <t>DBX4.6</t>
  </si>
  <si>
    <t>.VU1.Gen.BitCmd.Hoorn</t>
  </si>
  <si>
    <t>Hoorn</t>
  </si>
  <si>
    <t>TagPrefix/BcHorn</t>
  </si>
  <si>
    <t>Buzzer</t>
  </si>
  <si>
    <t>DBX4.7</t>
  </si>
  <si>
    <t>.VU1.Gen.BitCmd.Buzzer</t>
  </si>
  <si>
    <t>TagPrefix/BcBuzzer</t>
  </si>
  <si>
    <t>Re-arm safety relay</t>
  </si>
  <si>
    <t>DBX5.0</t>
  </si>
  <si>
    <t>.VU1.Gen.BitCmd.Re-armSafety</t>
  </si>
  <si>
    <t>F2</t>
  </si>
  <si>
    <t>Icon (Blue Reset button)</t>
  </si>
  <si>
    <t>Reset</t>
  </si>
  <si>
    <t>TagPrefix/BcResetSafety</t>
  </si>
  <si>
    <t>Pause</t>
  </si>
  <si>
    <t>DBX5.1</t>
  </si>
  <si>
    <t>.VU1.Gen.BitCmd.Pause</t>
  </si>
  <si>
    <t>Restart</t>
  </si>
  <si>
    <t>DBX5.2</t>
  </si>
  <si>
    <t>.VU1.Gen.BitCmd.Restart</t>
  </si>
  <si>
    <t>Abort</t>
  </si>
  <si>
    <t>DBX5.3</t>
  </si>
  <si>
    <t>.VU1.Gen.BitCmd.Abort</t>
  </si>
  <si>
    <t>Clear Batch data</t>
  </si>
  <si>
    <t>DBX5.4</t>
  </si>
  <si>
    <t>.VU1.Gen.BitCmd.Clear Batch</t>
  </si>
  <si>
    <t>Ja</t>
  </si>
  <si>
    <t>Lotgegevens wissen</t>
  </si>
  <si>
    <t>TagPrefix/BcClearBatchConfirm</t>
  </si>
  <si>
    <t>BatchEnd.pdl</t>
  </si>
  <si>
    <t>Keep Batch data</t>
  </si>
  <si>
    <t>DBX5.5</t>
  </si>
  <si>
    <t>.VU1.Gen.BitCmd.Keep Batch</t>
  </si>
  <si>
    <t>Nee</t>
  </si>
  <si>
    <t>Lotgegevens bewaren</t>
  </si>
  <si>
    <t>TagPrefix/BcClearBatchCancel</t>
  </si>
  <si>
    <t>Idle</t>
  </si>
  <si>
    <t>DBX5.6</t>
  </si>
  <si>
    <t>.VU1.Gen.BitCmd.IDLE</t>
  </si>
  <si>
    <t>Forceer Idle</t>
  </si>
  <si>
    <t>Forceer ULDL AVU van RFD naar IDLE</t>
  </si>
  <si>
    <t>TagPrefix/BcIdle</t>
  </si>
  <si>
    <t>Spare_16</t>
  </si>
  <si>
    <t>DBX5.7</t>
  </si>
  <si>
    <t>.VU1.Gen.BitCmd.Spare_16</t>
  </si>
  <si>
    <t>TestStatus</t>
  </si>
  <si>
    <t>DBW6</t>
  </si>
  <si>
    <t>.VU1.Gen.BitCmd.Teststatus</t>
  </si>
  <si>
    <t>TagPrefix/BcTestStatus</t>
  </si>
  <si>
    <t>TestStatus for SCADA test alarms</t>
  </si>
  <si>
    <t>VU_Picturename.pdl</t>
  </si>
  <si>
    <t>AlarmStatus</t>
  </si>
  <si>
    <t>DBD8</t>
  </si>
  <si>
    <t>.VU1.Gen.BitCmd.AlarmStatus</t>
  </si>
  <si>
    <t>TagPrefix/BcAlarmstatus</t>
  </si>
  <si>
    <t>DBX?.2</t>
  </si>
  <si>
    <t>typeLVis_SpecBitCmdVUX</t>
  </si>
  <si>
    <t>DBX?.3</t>
  </si>
  <si>
    <t>typeLVis_SpecBitCmdVUY</t>
  </si>
  <si>
    <t>DBX?.4</t>
  </si>
  <si>
    <t>DBX?.5</t>
  </si>
  <si>
    <t>DBX?.6</t>
  </si>
  <si>
    <t>DBX?.7</t>
  </si>
  <si>
    <t>end</t>
  </si>
  <si>
    <t>Std.desc.</t>
  </si>
  <si>
    <t>Bevestigingsscherm (OK, cancel)</t>
  </si>
  <si>
    <t>Yes</t>
  </si>
  <si>
    <t>Yes - Operator Action</t>
  </si>
  <si>
    <t>typeLVis_SpecBitCmd</t>
  </si>
  <si>
    <t>Default operator</t>
  </si>
  <si>
    <t>Toggle no FB (SCADA toggles  between 0 and 1)</t>
  </si>
  <si>
    <t>Opent popup "xxxxxx"</t>
  </si>
  <si>
    <t>Yes - Audit Trail</t>
  </si>
  <si>
    <t>Technieker 1</t>
  </si>
  <si>
    <t>Toggle with FB (SCADA SETs  tag to 1 based on FB)</t>
  </si>
  <si>
    <t xml:space="preserve">OK button in A5 alarm xxx popup </t>
  </si>
  <si>
    <t>Technieker 2</t>
  </si>
  <si>
    <t>Toggle with FB (SCADA toggles  between 0 and 1 based on feedback)</t>
  </si>
  <si>
    <t>Verantw. machinesteller</t>
  </si>
  <si>
    <t>Toggle PLC ( SCADA SETs tag to 1, PLC interpretes based on feedback)</t>
  </si>
  <si>
    <t>Supervisor</t>
  </si>
  <si>
    <t>PE</t>
  </si>
  <si>
    <t>Button - internal</t>
  </si>
  <si>
    <t>Developers</t>
  </si>
  <si>
    <t>Bitinfo</t>
  </si>
  <si>
    <t>Class (MES/mode,…)</t>
  </si>
  <si>
    <t>Text</t>
  </si>
  <si>
    <t>DBX0.0</t>
  </si>
  <si>
    <t xml:space="preserve"> .VU1.Gen.BitInfo.RFD</t>
  </si>
  <si>
    <t>MES-status</t>
  </si>
  <si>
    <t>TagPrefix/RFD</t>
  </si>
  <si>
    <t>Availability status</t>
  </si>
  <si>
    <t>Ready for upload</t>
  </si>
  <si>
    <t>DBX0.1</t>
  </si>
  <si>
    <t xml:space="preserve"> .VU1.Gen.BitInfo.RFU</t>
  </si>
  <si>
    <t>TagPrefix/RFU</t>
  </si>
  <si>
    <t>Run</t>
  </si>
  <si>
    <t>DBX0.2</t>
  </si>
  <si>
    <t xml:space="preserve"> .VU1.Gen.BitInfo.Run</t>
  </si>
  <si>
    <t>TagPrefix/RUN</t>
  </si>
  <si>
    <t>DBX0.3</t>
  </si>
  <si>
    <t xml:space="preserve"> .VU1.Gen.BitInfo.Idle</t>
  </si>
  <si>
    <t>TagPrefix/IDLE</t>
  </si>
  <si>
    <t>Reserved</t>
  </si>
  <si>
    <t>DBX0.4</t>
  </si>
  <si>
    <t xml:space="preserve"> .VU1.Gen.BitInfo.Reserved4</t>
  </si>
  <si>
    <t>DBX0.5</t>
  </si>
  <si>
    <t xml:space="preserve"> .VU1.Gen.BitInfo.Reserved5</t>
  </si>
  <si>
    <t>DBX0.6</t>
  </si>
  <si>
    <t xml:space="preserve"> .VU1.Gen.BitInfo.Reserved6</t>
  </si>
  <si>
    <t>DBX0.7</t>
  </si>
  <si>
    <t xml:space="preserve"> .VU1.Gen.BitInfo.Reserved7</t>
  </si>
  <si>
    <t>Machine Started</t>
  </si>
  <si>
    <t>DBX1.0</t>
  </si>
  <si>
    <t xml:space="preserve"> .VU1.Gen.BitInfo.MachineStarted</t>
  </si>
  <si>
    <t>Status</t>
  </si>
  <si>
    <t>TagPrefix/BiStart</t>
  </si>
  <si>
    <t>DBX1.1</t>
  </si>
  <si>
    <t xml:space="preserve"> .VU1.Gen.BitInfo.Auto</t>
  </si>
  <si>
    <t>Mode</t>
  </si>
  <si>
    <t>TagPrefix/BiAuto</t>
  </si>
  <si>
    <t>bit is true = green button "Auto"</t>
  </si>
  <si>
    <t>DBX1.2</t>
  </si>
  <si>
    <t xml:space="preserve"> .VU1.Gen.BitInfo.Manual</t>
  </si>
  <si>
    <t>TagPrefix/BiManual</t>
  </si>
  <si>
    <t>bit is true = green button "Manual" + blue rectangle on screen and white text "manueel"</t>
  </si>
  <si>
    <t>DBX1.3</t>
  </si>
  <si>
    <t xml:space="preserve"> .VU1.Gen.BitInfo.Reset</t>
  </si>
  <si>
    <t>Feedback Key</t>
  </si>
  <si>
    <t>TagPrefix/BiResetSafety</t>
  </si>
  <si>
    <t>bit is true = button is blinking blue</t>
  </si>
  <si>
    <t>Show popup "Einde lot"</t>
  </si>
  <si>
    <t>DBX1.4</t>
  </si>
  <si>
    <t xml:space="preserve"> .VU1.Gen.BitInfo.BatchEnd</t>
  </si>
  <si>
    <t>TagPrefix/BiBatchEnd</t>
  </si>
  <si>
    <t>bit is true = show popup "Einde lot"</t>
  </si>
  <si>
    <t>@1001.pdl</t>
  </si>
  <si>
    <t>Spare</t>
  </si>
  <si>
    <t>DBX1.5</t>
  </si>
  <si>
    <t xml:space="preserve"> .VU1.Gen.BitInfo.InfoBit_5</t>
  </si>
  <si>
    <t>DBX1.6</t>
  </si>
  <si>
    <t xml:space="preserve"> .VU1.Gen.BitInfo.InfoBit_6</t>
  </si>
  <si>
    <t>Alarm TNR</t>
  </si>
  <si>
    <t>DBX1.7</t>
  </si>
  <si>
    <t xml:space="preserve"> .VU1.Gen.BitInfo.AlmTNR</t>
  </si>
  <si>
    <t>TagPrefix/EbTNR</t>
  </si>
  <si>
    <t>bit is true = blue indication on statusblock</t>
  </si>
  <si>
    <t>Auto enable</t>
  </si>
  <si>
    <t>DBX2.0</t>
  </si>
  <si>
    <t xml:space="preserve"> .VU1.Gen.BitInfo.EnAuto</t>
  </si>
  <si>
    <t>Button Enable bit</t>
  </si>
  <si>
    <t>TagPrefix/EbAuto</t>
  </si>
  <si>
    <t>bit is true = enables button "Auto"</t>
  </si>
  <si>
    <t>Manual enable</t>
  </si>
  <si>
    <t>DBX2.1</t>
  </si>
  <si>
    <t xml:space="preserve"> .VU1.Gen.BitInfo.EnManual</t>
  </si>
  <si>
    <t>TagPrefix/EbManual</t>
  </si>
  <si>
    <t>bit is true = enables button "Manual"</t>
  </si>
  <si>
    <t>Start enable</t>
  </si>
  <si>
    <t>DBX2.2</t>
  </si>
  <si>
    <t xml:space="preserve"> .VU1.Gen.BitInfo.EnStart</t>
  </si>
  <si>
    <t>Interlock - Start</t>
  </si>
  <si>
    <t>TagPrefix/EbStart</t>
  </si>
  <si>
    <t>bit is true = enables button "Start"</t>
  </si>
  <si>
    <t>Stop enable</t>
  </si>
  <si>
    <t>DBX2.3</t>
  </si>
  <si>
    <t xml:space="preserve"> .VU1.Gen.BitInfo.EnStop</t>
  </si>
  <si>
    <t>Interlock - Stop</t>
  </si>
  <si>
    <t>TagPrefix/EbStop</t>
  </si>
  <si>
    <t>bit is true = enables button "Stop"</t>
  </si>
  <si>
    <t>RFD enable</t>
  </si>
  <si>
    <t>DBX2.4</t>
  </si>
  <si>
    <t xml:space="preserve"> .VU1.Gen.BitInfo.EnRFD</t>
  </si>
  <si>
    <t>Interlock - Download</t>
  </si>
  <si>
    <t>TagPrefix/EbRFD</t>
  </si>
  <si>
    <t>bit is true = enables button "Ready For Download"</t>
  </si>
  <si>
    <t>UL enable</t>
  </si>
  <si>
    <t>DBX2.5</t>
  </si>
  <si>
    <t xml:space="preserve"> .VU1.Gen.BitInfo.EnUL</t>
  </si>
  <si>
    <t>Interlock - Upload</t>
  </si>
  <si>
    <t>TagPrefix/EbRFU</t>
  </si>
  <si>
    <t>bit is true = enables button "Upload"</t>
  </si>
  <si>
    <t>Hold enable</t>
  </si>
  <si>
    <t>DBX2.6</t>
  </si>
  <si>
    <t xml:space="preserve"> .VU1.Gen.BitInfo.EnHold</t>
  </si>
  <si>
    <t>bit is true = enables button "Hold"</t>
  </si>
  <si>
    <t>Restart enable</t>
  </si>
  <si>
    <t>DBX2.7</t>
  </si>
  <si>
    <t xml:space="preserve"> .VU1.Gen.BitInfo.EnRestart</t>
  </si>
  <si>
    <t>bit is true = enables button "Restart"</t>
  </si>
  <si>
    <t>Abort enable</t>
  </si>
  <si>
    <t>DBX3.0</t>
  </si>
  <si>
    <t xml:space="preserve"> .VU1.Gen.BitInfo.EnAbort</t>
  </si>
  <si>
    <t>bit is true = enables button "Abort"</t>
  </si>
  <si>
    <t>Enable Spare</t>
  </si>
  <si>
    <t>DBX3.1</t>
  </si>
  <si>
    <t xml:space="preserve"> .VU1.Gen.BitInfo.EnableBit_10</t>
  </si>
  <si>
    <t>DBX3.2</t>
  </si>
  <si>
    <t xml:space="preserve"> .VU1.Gen.BitInfo.EnableBit_11</t>
  </si>
  <si>
    <t>DBX3.3</t>
  </si>
  <si>
    <t xml:space="preserve"> .VU1.Gen.BitInfo.EnableBit_12</t>
  </si>
  <si>
    <t>EnIDLE</t>
  </si>
  <si>
    <t>DBX3.4</t>
  </si>
  <si>
    <t xml:space="preserve"> .VU1.Gen.BitInfo.EnIDLE</t>
  </si>
  <si>
    <t>TagPrefix/EbIDLE</t>
  </si>
  <si>
    <t>bit is true = enables button "IDLE"</t>
  </si>
  <si>
    <t>CampainActive</t>
  </si>
  <si>
    <t>DBX3.5</t>
  </si>
  <si>
    <t xml:space="preserve"> .VU1.Gen.BitInfo.CampainActive</t>
  </si>
  <si>
    <t>TagPrefix/BiCampainActive</t>
  </si>
  <si>
    <t>DBX3.6</t>
  </si>
  <si>
    <t xml:space="preserve"> .VU1.Gen.BitInfo.Spare_3</t>
  </si>
  <si>
    <t>DBX3.7</t>
  </si>
  <si>
    <t xml:space="preserve"> .VU1.Gen.BitInfo.Spare_4</t>
  </si>
  <si>
    <t>DBX?.0</t>
  </si>
  <si>
    <t>DBX?.1</t>
  </si>
  <si>
    <t>bit is true = respective phase text in statusblock</t>
  </si>
  <si>
    <t>bit is true = enables button "xxxxx"</t>
  </si>
  <si>
    <t>Phase</t>
  </si>
  <si>
    <t>Feedback Togglekey</t>
  </si>
  <si>
    <t>Phase &amp; Feedback Key</t>
  </si>
  <si>
    <t>Colour pictures</t>
  </si>
  <si>
    <t>Length : 1 byte</t>
  </si>
  <si>
    <t>CP Object Status TAG</t>
  </si>
  <si>
    <t>Linked Colour Picture TAG</t>
  </si>
  <si>
    <t>A4</t>
  </si>
  <si>
    <t>Interlock (typeLVis_ObjInterlock)</t>
  </si>
  <si>
    <t>Length : 6 bytes</t>
  </si>
  <si>
    <t>Tag</t>
  </si>
  <si>
    <t>Comment</t>
  </si>
  <si>
    <t>Linked object (Tag)</t>
  </si>
  <si>
    <t>Dutch Translation 1</t>
  </si>
  <si>
    <t>Dutch Translation 2</t>
  </si>
  <si>
    <t>Port Index</t>
  </si>
  <si>
    <t>Port Description 
Machine Contructor
(Not used in SCADA)</t>
  </si>
  <si>
    <t>Port Description English</t>
  </si>
  <si>
    <t>Port Description 
(NL translation)</t>
  </si>
  <si>
    <t>Virtual Unit</t>
  </si>
  <si>
    <t>Vuxxx</t>
  </si>
  <si>
    <t>Command_download_1</t>
  </si>
  <si>
    <t>DBB26</t>
  </si>
  <si>
    <t>.VU1.Gen.Interlock.Download</t>
  </si>
  <si>
    <t>Bit info - RFD enable</t>
  </si>
  <si>
    <t>@Machinestatus.pdl</t>
  </si>
  <si>
    <t>Command_Upload_1</t>
  </si>
  <si>
    <t>DBB32</t>
  </si>
  <si>
    <t>.VU1.Gen.Interlock.Upload</t>
  </si>
  <si>
    <t>Bit info - Start enable</t>
  </si>
  <si>
    <t>No unacknowledged pharmaceutical alarms present</t>
  </si>
  <si>
    <t>Geen onbevestigde farmaceutische alarmen aanwezig</t>
  </si>
  <si>
    <t>Command_Start_1</t>
  </si>
  <si>
    <t>DBB38</t>
  </si>
  <si>
    <t>.VU1.Gen.Interlock.Start</t>
  </si>
  <si>
    <t>Command Start</t>
  </si>
  <si>
    <t>Bit info - Stop enable</t>
  </si>
  <si>
    <t>Command_Stop_1</t>
  </si>
  <si>
    <t>DBB44</t>
  </si>
  <si>
    <t>.VU1.Gen.Interlock.Stop</t>
  </si>
  <si>
    <t>Command Stop</t>
  </si>
  <si>
    <t>Stop enable (Bit info)</t>
  </si>
  <si>
    <t>Button (typeLVis_ObjButton)</t>
  </si>
  <si>
    <t>Length 2 bytes</t>
  </si>
  <si>
    <t>Behaviour / toggle</t>
  </si>
  <si>
    <t>POPC</t>
  </si>
  <si>
    <t>POPT</t>
  </si>
  <si>
    <t>BUTT</t>
  </si>
  <si>
    <t>ELOG</t>
  </si>
  <si>
    <t>LLOG</t>
  </si>
  <si>
    <t>LOGText</t>
  </si>
  <si>
    <t>BehaviourCode</t>
  </si>
  <si>
    <t>ELOG Type</t>
  </si>
  <si>
    <t>ButtonText (Dutch) [Use \ for line breaks]</t>
  </si>
  <si>
    <t>ButtonTextAlternate (Dutch)  [Use \ for line breaks]</t>
  </si>
  <si>
    <t>ButtonFeedbackColor</t>
  </si>
  <si>
    <t>PopupText</t>
  </si>
  <si>
    <t>PopupTextAlternate</t>
  </si>
  <si>
    <t>Authorisation</t>
  </si>
  <si>
    <t>Functionkeys</t>
  </si>
  <si>
    <t>Std. desc.</t>
  </si>
  <si>
    <t>1 (SCADA set to 1)</t>
  </si>
  <si>
    <t>Operator actie</t>
  </si>
  <si>
    <t>0   (No authorization)</t>
  </si>
  <si>
    <t>2 (SCADA set to 0)</t>
  </si>
  <si>
    <t>Audit trail</t>
  </si>
  <si>
    <t>9   (Operator)</t>
  </si>
  <si>
    <t>3 (SCADA toggle bit)</t>
  </si>
  <si>
    <t>32 (Technieker 1)</t>
  </si>
  <si>
    <t>4 (SCADA set to 1 on Press and set to 0 on Release)</t>
  </si>
  <si>
    <t>33 (Technieker 2)</t>
  </si>
  <si>
    <t>21 (Verant. Machinesteller)</t>
  </si>
  <si>
    <t>34 (Supervisor)</t>
  </si>
  <si>
    <t>36 (PE)</t>
  </si>
  <si>
    <t>35 (Developer)</t>
  </si>
  <si>
    <t>Motor (typeLVis_ObjMotorValveLean)</t>
  </si>
  <si>
    <t>Dutch translation Line 1</t>
  </si>
  <si>
    <t>Dutch translation Line 2</t>
  </si>
  <si>
    <t>Enable / Disable</t>
  </si>
  <si>
    <t>Authorisation Overrule Faceplate</t>
  </si>
  <si>
    <t>Auth Overrule Guest1</t>
  </si>
  <si>
    <t>Auth Overrule Operator</t>
  </si>
  <si>
    <t>Auth Overrule Technieker 1</t>
  </si>
  <si>
    <t>Auth Overrule Technieker 2</t>
  </si>
  <si>
    <t>Auth Overrule Verantw. MachineSt.</t>
  </si>
  <si>
    <t>Auth Overrule Supervisor</t>
  </si>
  <si>
    <t>Auth Overrule PE</t>
  </si>
  <si>
    <t>Auth Overrule Developer</t>
  </si>
  <si>
    <t>Eventviewer buttons</t>
  </si>
  <si>
    <t>Select</t>
  </si>
  <si>
    <t>Deselect</t>
  </si>
  <si>
    <t>Boven/Onder</t>
  </si>
  <si>
    <t>Links/Rechts</t>
  </si>
  <si>
    <t>Valve (typeLVis_ObjMotorValveLean)</t>
  </si>
  <si>
    <t>Pfizernr.</t>
  </si>
  <si>
    <t>Type</t>
  </si>
  <si>
    <t>Open</t>
  </si>
  <si>
    <t>Valve</t>
  </si>
  <si>
    <t>Close</t>
  </si>
  <si>
    <t>3-way valve</t>
  </si>
  <si>
    <t>Coil</t>
  </si>
  <si>
    <t>Cylinder</t>
  </si>
  <si>
    <t>Open2</t>
  </si>
  <si>
    <t>Motor with speedcontrol (typeLVis_ObjMotor)</t>
  </si>
  <si>
    <t>Length : 68 bytes</t>
  </si>
  <si>
    <t>Applicable for : 
- Faceplate trend
- Custom Graph windows</t>
  </si>
  <si>
    <t>Applicable for :
- Custom Graph windows</t>
  </si>
  <si>
    <t>Unit SP</t>
  </si>
  <si>
    <t>Unit PV</t>
  </si>
  <si>
    <t>Enable / Disable Alarm</t>
  </si>
  <si>
    <t>Format SP</t>
  </si>
  <si>
    <t>Format PV</t>
  </si>
  <si>
    <t>SP Range Min</t>
  </si>
  <si>
    <t>SP Range Max</t>
  </si>
  <si>
    <t>PV Range Min</t>
  </si>
  <si>
    <t>PV Range Max</t>
  </si>
  <si>
    <t>Graph Scantime</t>
  </si>
  <si>
    <t>Graph SP</t>
  </si>
  <si>
    <t>Graph PV</t>
  </si>
  <si>
    <t>Graph Min SP</t>
  </si>
  <si>
    <t>Graph Max SP</t>
  </si>
  <si>
    <t>Graph Min PV</t>
  </si>
  <si>
    <t>Graph Max PV</t>
  </si>
  <si>
    <t>Graph group picture</t>
  </si>
  <si>
    <t>Graph Timerange</t>
  </si>
  <si>
    <t>HIST Tag name SP</t>
  </si>
  <si>
    <t>HIST Tag name PV</t>
  </si>
  <si>
    <t>HIST Scan time</t>
  </si>
  <si>
    <t>HIST GMP</t>
  </si>
  <si>
    <t>HIST Graphname</t>
  </si>
  <si>
    <t>HIST Address SP
Offset + 4</t>
  </si>
  <si>
    <t>HIST Address MEAS
Offset + 16</t>
  </si>
  <si>
    <t>Pfizer/PI Integrator</t>
  </si>
  <si>
    <t>%</t>
  </si>
  <si>
    <t>AH</t>
  </si>
  <si>
    <t>9</t>
  </si>
  <si>
    <t>1 sec: pressure</t>
  </si>
  <si>
    <t>1 Hour</t>
  </si>
  <si>
    <t>2 = 1 sec</t>
  </si>
  <si>
    <t>Setpoint: start address + 4</t>
  </si>
  <si>
    <t>st/min</t>
  </si>
  <si>
    <t>WH</t>
  </si>
  <si>
    <t>99</t>
  </si>
  <si>
    <t>5 sec: conductivity, flow analyse, weight, speed</t>
  </si>
  <si>
    <t>1 Day</t>
  </si>
  <si>
    <t>3 = 5 sec</t>
  </si>
  <si>
    <t>Measurement: start address + 16</t>
  </si>
  <si>
    <t>mm</t>
  </si>
  <si>
    <t>WL</t>
  </si>
  <si>
    <t>999</t>
  </si>
  <si>
    <t>10 sec: temperature</t>
  </si>
  <si>
    <t>"X" hours</t>
  </si>
  <si>
    <t>4 = 10 sec</t>
  </si>
  <si>
    <t>Type: REAL</t>
  </si>
  <si>
    <t>°C</t>
  </si>
  <si>
    <t>AL</t>
  </si>
  <si>
    <t>9999</t>
  </si>
  <si>
    <t>1 min: humidity</t>
  </si>
  <si>
    <t>5 = 60 sec</t>
  </si>
  <si>
    <t>Bar</t>
  </si>
  <si>
    <t>Measurement</t>
  </si>
  <si>
    <t>99999</t>
  </si>
  <si>
    <t>6 = 5 min</t>
  </si>
  <si>
    <t>Pa</t>
  </si>
  <si>
    <t>SP Visible</t>
  </si>
  <si>
    <t>999999</t>
  </si>
  <si>
    <t>7 = 10 min</t>
  </si>
  <si>
    <t>Kg</t>
  </si>
  <si>
    <t>SP Change</t>
  </si>
  <si>
    <t>9999999</t>
  </si>
  <si>
    <t>8 = 15 min</t>
  </si>
  <si>
    <t xml:space="preserve">Sec </t>
  </si>
  <si>
    <t>9.9</t>
  </si>
  <si>
    <t>Min</t>
  </si>
  <si>
    <t>9.99</t>
  </si>
  <si>
    <t>Uur</t>
  </si>
  <si>
    <t>9.999</t>
  </si>
  <si>
    <t>stuks</t>
  </si>
  <si>
    <t>9.9999</t>
  </si>
  <si>
    <t>SP</t>
  </si>
  <si>
    <t>number</t>
  </si>
  <si>
    <t>9.99999</t>
  </si>
  <si>
    <t>9.999999</t>
  </si>
  <si>
    <t>99.9</t>
  </si>
  <si>
    <t>99.99</t>
  </si>
  <si>
    <t>99.999</t>
  </si>
  <si>
    <t>99.9999</t>
  </si>
  <si>
    <t>99.99999</t>
  </si>
  <si>
    <t>999.9</t>
  </si>
  <si>
    <t>999.99</t>
  </si>
  <si>
    <t>999.999</t>
  </si>
  <si>
    <t>999.9999</t>
  </si>
  <si>
    <t>9999.9</t>
  </si>
  <si>
    <t>9999.99</t>
  </si>
  <si>
    <t>9999.999</t>
  </si>
  <si>
    <t>99999.9</t>
  </si>
  <si>
    <t>99999.99</t>
  </si>
  <si>
    <t>999999.9</t>
  </si>
  <si>
    <t>s9</t>
  </si>
  <si>
    <t>s99</t>
  </si>
  <si>
    <t>s999</t>
  </si>
  <si>
    <t>s9999</t>
  </si>
  <si>
    <t>s99999</t>
  </si>
  <si>
    <t>s999999</t>
  </si>
  <si>
    <t>s9999999</t>
  </si>
  <si>
    <t>s9.9</t>
  </si>
  <si>
    <t>s9.99</t>
  </si>
  <si>
    <t>s9.999</t>
  </si>
  <si>
    <t>s9.9999</t>
  </si>
  <si>
    <t>s9.99999</t>
  </si>
  <si>
    <t>s9.999999</t>
  </si>
  <si>
    <t>s99.9</t>
  </si>
  <si>
    <t>s99.99</t>
  </si>
  <si>
    <t>s99.999</t>
  </si>
  <si>
    <t>s99.9999</t>
  </si>
  <si>
    <t>s99.99999</t>
  </si>
  <si>
    <t>s999.9</t>
  </si>
  <si>
    <t>s999.99</t>
  </si>
  <si>
    <t>s999.999</t>
  </si>
  <si>
    <t>s999.9999</t>
  </si>
  <si>
    <t>s9999.9</t>
  </si>
  <si>
    <t>s9999.99</t>
  </si>
  <si>
    <t>s9999.999</t>
  </si>
  <si>
    <t>s99999.9</t>
  </si>
  <si>
    <t>s99999.99</t>
  </si>
  <si>
    <t>s999999.9</t>
  </si>
  <si>
    <t>Input Value (typeLVis_ObjInputValue)</t>
  </si>
  <si>
    <t>Length : 20 bytes</t>
  </si>
  <si>
    <t>Pfizernr</t>
  </si>
  <si>
    <t>Unit</t>
  </si>
  <si>
    <t>Format</t>
  </si>
  <si>
    <t>Range Min</t>
  </si>
  <si>
    <t>Range Max</t>
  </si>
  <si>
    <t>Signed</t>
  </si>
  <si>
    <t>Textlist options</t>
  </si>
  <si>
    <t>Logging</t>
  </si>
  <si>
    <t>TagPrefix/SCADATime</t>
  </si>
  <si>
    <t>DBB92</t>
  </si>
  <si>
    <t>.VU1.Gen.SCADATime</t>
  </si>
  <si>
    <t>SCADA time</t>
  </si>
  <si>
    <t>SCADA tijd</t>
  </si>
  <si>
    <t>-</t>
  </si>
  <si>
    <t>Date_And_Time</t>
  </si>
  <si>
    <t>Used in action script to write SCADA time to PLC</t>
  </si>
  <si>
    <t>BOOL</t>
  </si>
  <si>
    <t>Input buttons</t>
  </si>
  <si>
    <t>BYTE</t>
  </si>
  <si>
    <t>DINT</t>
  </si>
  <si>
    <t>DWORD</t>
  </si>
  <si>
    <t>INT</t>
  </si>
  <si>
    <t>REAL</t>
  </si>
  <si>
    <t>S5TIME</t>
  </si>
  <si>
    <t>WORD</t>
  </si>
  <si>
    <t>Inputstructure</t>
  </si>
  <si>
    <t>Measurement (typeLVis_ObjMeas)</t>
  </si>
  <si>
    <t>Length : 54 bytes</t>
  </si>
  <si>
    <t>PI / TRT</t>
  </si>
  <si>
    <t>Auth Alarm Overrule Guest1</t>
  </si>
  <si>
    <t>Auth Alarm Overrule Operator</t>
  </si>
  <si>
    <t>Auth Alarm Overrule Technieker 1</t>
  </si>
  <si>
    <t>Auth Alarm Overrule Technieker 2</t>
  </si>
  <si>
    <t>Auth Alarm Overrule Verantw. MachineSt.</t>
  </si>
  <si>
    <t>Auth Alarm Overrule Supervisor</t>
  </si>
  <si>
    <t>Auth Alarm Overrule Project Engineer</t>
  </si>
  <si>
    <t>Auth Alarm Overrule Developer</t>
  </si>
  <si>
    <t>Graph</t>
  </si>
  <si>
    <t>Graph Min</t>
  </si>
  <si>
    <t>Graph Max</t>
  </si>
  <si>
    <t>HIST Tag name</t>
  </si>
  <si>
    <t>Pass/fail</t>
  </si>
  <si>
    <t xml:space="preserve">% </t>
  </si>
  <si>
    <t xml:space="preserve">st/min </t>
  </si>
  <si>
    <t>Sec</t>
  </si>
  <si>
    <t>m³/h</t>
  </si>
  <si>
    <t>m/s</t>
  </si>
  <si>
    <t>Controller (typeLVis_ObjController)</t>
  </si>
  <si>
    <t>Length : 100 bytes</t>
  </si>
  <si>
    <t>Unit OUT</t>
  </si>
  <si>
    <t>Format OUT</t>
  </si>
  <si>
    <t>Auth Overrule Verantw. MachineSteller</t>
  </si>
  <si>
    <t>OUT Range Min</t>
  </si>
  <si>
    <t>OUT Range Max</t>
  </si>
  <si>
    <t>Graph OUT</t>
  </si>
  <si>
    <t>Graph Min OUT</t>
  </si>
  <si>
    <t>Graph Max OUT</t>
  </si>
  <si>
    <t>HIST Tag name OUT</t>
  </si>
  <si>
    <t>HIST Address PV
Offset + 0</t>
  </si>
  <si>
    <t>HIST Address OUT
Offset + 8</t>
  </si>
  <si>
    <t xml:space="preserve"> </t>
  </si>
  <si>
    <t>PV: start address</t>
  </si>
  <si>
    <t>Hand</t>
  </si>
  <si>
    <t>5 sec: conductivity, flow analyse, 
weight, speed</t>
  </si>
  <si>
    <t>Output: start address + 8</t>
  </si>
  <si>
    <t>Output</t>
  </si>
  <si>
    <t>Output hand: start address + 12</t>
  </si>
  <si>
    <t>P</t>
  </si>
  <si>
    <t>I</t>
  </si>
  <si>
    <t>D</t>
  </si>
  <si>
    <t>Ymax</t>
  </si>
  <si>
    <t>Ymin</t>
  </si>
  <si>
    <t>StepPlus</t>
  </si>
  <si>
    <t>StepMinus</t>
  </si>
  <si>
    <t>Outputvalues</t>
  </si>
  <si>
    <t>Dutch translation</t>
  </si>
  <si>
    <t>Range max</t>
  </si>
  <si>
    <t>P5 param Group</t>
  </si>
  <si>
    <t>P5 param Sequence</t>
  </si>
  <si>
    <t>initial value</t>
  </si>
  <si>
    <t>Meet aan/uit</t>
  </si>
  <si>
    <t>Graph Y/N</t>
  </si>
  <si>
    <t>TagPrefix/StepNumberULDL</t>
  </si>
  <si>
    <t>DBW12</t>
  </si>
  <si>
    <t>.VU1.Gen.StepNumber</t>
  </si>
  <si>
    <t>Step number ULDL block</t>
  </si>
  <si>
    <t>TagPrefix/HourCounterVU1</t>
  </si>
  <si>
    <t>DBD14</t>
  </si>
  <si>
    <t>.VU1.Gen.HourCounter</t>
  </si>
  <si>
    <t>HourCounter machine</t>
  </si>
  <si>
    <t>TagPrefix/Phase</t>
  </si>
  <si>
    <t>DBD18</t>
  </si>
  <si>
    <t>.VU1.Gen.Phase</t>
  </si>
  <si>
    <t>Fase</t>
  </si>
  <si>
    <t>Table 'Phase'</t>
  </si>
  <si>
    <t>9999999999</t>
  </si>
  <si>
    <t>auto</t>
  </si>
  <si>
    <t>Stapnummer</t>
  </si>
  <si>
    <t>See table 'Phase' below for Visualisation Values</t>
  </si>
  <si>
    <t>TagPrefix/SubPhase</t>
  </si>
  <si>
    <t>DBD22</t>
  </si>
  <si>
    <t>.VU1.Gen.Subphase</t>
  </si>
  <si>
    <t>Subphase</t>
  </si>
  <si>
    <t>Subfase</t>
  </si>
  <si>
    <t>Table 'Subphase'</t>
  </si>
  <si>
    <t>See table 'Subphase' below for Visualisation Values</t>
  </si>
  <si>
    <t>TagPrefix/PLCVersion</t>
  </si>
  <si>
    <t>.VU1.Gen.PLCVersion</t>
  </si>
  <si>
    <t>PLC software version</t>
  </si>
  <si>
    <t>PLC software versie</t>
  </si>
  <si>
    <t>String[40]</t>
  </si>
  <si>
    <t>ProjectVersion.pdl</t>
  </si>
  <si>
    <t>Std.des.</t>
  </si>
  <si>
    <t>Real</t>
  </si>
  <si>
    <t>String[..]</t>
  </si>
  <si>
    <t>RAW[..]</t>
  </si>
  <si>
    <t>SCADA Step Number</t>
  </si>
  <si>
    <t>Field SCADA</t>
  </si>
  <si>
    <t>Description Phase</t>
  </si>
  <si>
    <t>Remarks</t>
  </si>
  <si>
    <t>PLC Step No.</t>
  </si>
  <si>
    <t>VU_number/Phase</t>
  </si>
  <si>
    <t>0: Example phase (Idle)</t>
  </si>
  <si>
    <t>0: Voorbeeld fase (Idle)</t>
  </si>
  <si>
    <t>1: Example phase (Connect)</t>
  </si>
  <si>
    <t>1: Voorbeeld fase (Connect)</t>
  </si>
  <si>
    <t>2: Example phase (Transfer)</t>
  </si>
  <si>
    <t>2: Voorbeeld fase (Transfer)</t>
  </si>
  <si>
    <t>3: Example phase (Disconnect)</t>
  </si>
  <si>
    <t>3: Voorbeeld fase (Disconnect)</t>
  </si>
  <si>
    <t>VU_number/SubPhase</t>
  </si>
  <si>
    <t>1: Example subphase (Idle)</t>
  </si>
  <si>
    <t>1: Voorbeeld subfase (Idle)</t>
  </si>
  <si>
    <t>1010: Example subphase (Connect - Step 10)</t>
  </si>
  <si>
    <t>1010: Voorbeeld subfase (Connect - Stap 10)</t>
  </si>
  <si>
    <t>Connect</t>
  </si>
  <si>
    <t>1020: Example subphase (Connect - Step 20)</t>
  </si>
  <si>
    <t>1020: Voorbeeld subfase (Connect - Stap 20)</t>
  </si>
  <si>
    <t>2010: Example subphase (Transfer - Step 10)</t>
  </si>
  <si>
    <t>2010: Voorbeeld subfase (Transfer - Stap 10)</t>
  </si>
  <si>
    <t>Transfer</t>
  </si>
  <si>
    <t>3010: Example subphase (Disconnect - Step 10)</t>
  </si>
  <si>
    <t>3010: Voorbeeld subfase (Disconnect - Stap 10)</t>
  </si>
  <si>
    <t>Disconnect</t>
  </si>
  <si>
    <t>Visualisation and Commands</t>
  </si>
  <si>
    <t>Bit commando's</t>
  </si>
  <si>
    <t>Bit info</t>
  </si>
  <si>
    <t>Interlock</t>
  </si>
  <si>
    <t>Motor (6 bytes)</t>
  </si>
  <si>
    <t>Motor (48 bytes)</t>
  </si>
  <si>
    <t>Input values</t>
  </si>
  <si>
    <t>Controller</t>
  </si>
  <si>
    <t>Output values</t>
  </si>
  <si>
    <t>Total</t>
  </si>
  <si>
    <t>*This is the number of Visualisations and commands on the condition that all descriptions are not empty, 'Reserved' or 'N/A'</t>
  </si>
  <si>
    <t>Extra info voor check 'max 10 PI Tags per trend': 
Bij het inserten van een lijn op tabbladen Motor 48 bytes, Measurement, Controller en Outputvalues moet de conditional formatting van de kolom HIST Graphname opnieuw ingesteld worden. Open hiervoor de conditional formatting Rules manager, via manage rules. Selecteer this worksheet. Verwijder de tweede rule. Selecteer bij de overgebleven rule voor het actiegebied opnieuw kolom 'HIST Graphname' vanaf rij 4 tot de laatste tag. 
+ Pas ook de Name manager HSIT_Graph_xxxx aan</t>
  </si>
  <si>
    <t>Template history</t>
  </si>
  <si>
    <t>Mathieu Paelinck</t>
  </si>
  <si>
    <t>initial version. Distracted from version C4 DB10 list GMC.</t>
  </si>
  <si>
    <t>A2</t>
  </si>
  <si>
    <t>Leslie Matheus</t>
  </si>
  <si>
    <t>Added  bits for EindeLot popup + new macro functionality</t>
  </si>
  <si>
    <t>A3</t>
  </si>
  <si>
    <t>Ivan Daems</t>
  </si>
  <si>
    <t>Change P&amp;ID column to WO-Nr</t>
  </si>
  <si>
    <t xml:space="preserve">- VBA scripts are now dynamic
- Added object Interlock
- Added alarmstatus </t>
  </si>
  <si>
    <t>A5</t>
  </si>
  <si>
    <t>- Removed buttons 'New Version' and 'Remove Format on sheets.
- Added Document properties for Header texts</t>
  </si>
  <si>
    <t>A6</t>
  </si>
  <si>
    <t>Created PfizerTools Macro :
- Equipment properties macro (added on Distributionlist sheet).
- Track Changes macro (added on all Scada sheets)
- Removed old version buttons + macros
- Controller : Renamed HIST Address to HIST Address SP, HIST Tag name to HIST Tag name SP, Graph MEAS to Graph PV, Graph Min to Graph Min SP, Graph Max to Graph Max SP, added columns SP Range Min, SP Range Max, PV Range Min, PV Range Max, OUT Range Min, OUT Range Max, Unit OUT, Format OUT, Graph Min PV, Graph Max PV, Graph Min OUT, Graph Max OUT, Graph SP, Graph OUT, HIST Tag name PV, HIST Tag name OUT, HIST Address PV, HIST Address OUT
- Motor (48 bytes) : Renamed 'Range Min' to 'SP Range Min', Renamed 'Range Max' to 'SP Range Max', added 'PV Range Min', added 'PV Range Max', 'Graph MEAS' renamed to 'Graph PV', 'HIST Address' renamed to 'HIST Address SP', added 'HIST Address PV', renamed 'Graph Min' to Graph Min SP', renamed 'Graph Max' to 'Graph Max SP', added 'Graph Min PV', 'Graph Max PV', 'HIST Tag name' renamed to 'HIST Tag name SP', 'HIST Tag name PV' added</t>
  </si>
  <si>
    <t>A7</t>
  </si>
  <si>
    <t>Deleted standard input value 'Teststatus'</t>
  </si>
  <si>
    <t>A8</t>
  </si>
  <si>
    <t>- Dutch/English translation columns for interlock object added
- Data length for each object added
- PLC Data type name for each object added</t>
  </si>
  <si>
    <t>A9</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</si>
  <si>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t>
  </si>
  <si>
    <t>B1</t>
  </si>
  <si>
    <t>- Added outputval StepNumberULDL
- Added Bitcommand CmdIDLE
- Added Bit info enIDLE, CampainActive</t>
  </si>
  <si>
    <t>- Refresh layout of Version control &amp; General info pages after EQA meeting
- All tab pages: Replace columns "Check" and "Check remarks" by column "Pass / fail"
- Freeze Panes terug goedgezet (vanaf eerste cel absolute adress) voor die sheets waar het weg was</t>
  </si>
  <si>
    <t>B2</t>
  </si>
  <si>
    <t>- Added Autorization overrule column for PE to Motor (6 bytes), Motor (48 bytes), Input value, Measurement, Controller
- Added column 'Eventviewer Logging', changed column 'Logging' to 'Local Logging' for Bit Commands
- Added column 'Linked Interlock object (Tag)' for Bit Info and buttons
- Changes column 'Linked bit button object (Tag)' to 'Linked bit info/button object (Tag)'
- HIST Tag name added for Measurements
- Added option choise Passwordlevel 'PE' for Bit commands, Input value
- Added option choise Authorisation '36 (PE)' for Buttons
- Added general interlock objects (Download, Upload, Start, Stop)</t>
  </si>
  <si>
    <t>B3</t>
  </si>
  <si>
    <t>Marnix Van Rompaey</t>
  </si>
  <si>
    <t>- Revision of all macro's
- Extra checkbox added on tab General to turn off PfizerTools
- Extra button on tab General to switch between column filters per department</t>
  </si>
  <si>
    <t>B4</t>
  </si>
  <si>
    <t>- Button on tab General bug fix</t>
  </si>
  <si>
    <t>Alexander Loquet
Mathieu Paelinck</t>
  </si>
  <si>
    <t>- Changed columns Interlock object to 16 port description
- Changed VU_number to TagPrefix
- Changed column 'Graph Scantime' on Motor (48bytes), Measurement and controller tab (mandatory for faceplate trends)</t>
  </si>
  <si>
    <t>B5</t>
  </si>
  <si>
    <t>- General inputvalue added
- General outputvalue added
- Update interlock tab to new lay-out
- '- Update Motor 48b en Controller : PI kolommen header aangepast, offsets toegevoegd</t>
  </si>
  <si>
    <t>B6</t>
  </si>
  <si>
    <t>Nick Bresseleers</t>
  </si>
  <si>
    <t>- Added automatic header macro</t>
  </si>
  <si>
    <t>B7</t>
  </si>
  <si>
    <t>- General info: add VU prefix table
- add column Linked Interlock Object (tag) in tab Bit commands
- add column ELOG type in tab Buttons
- Replace Colour Picture tab with CP Object Status tab
- Trendnaam max 25 karakters (MAWY)
- Check voor max 10 PI Tags per trend (HIST) (MAWY)
- Motor 48 Bytes: HIST_SP en HIST_MEAS worden automatisch berekend (MAWY)
- Controller: HIST PV, HIST SP, HIST OUT worden automatisch berekend (MAWY)
- output + measurements: HIST Tagname wordt automatisch gegenereerd uit VU en tagname (MAWY)
- output: HIST Type verwijderd (MAWY)</t>
  </si>
  <si>
    <t>MOTOR (48 bytes)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</si>
</sst>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50">
    <font>
      <sz val="10"/>
      <name val="Arial"/>
    </font>
    <font>
      <sz val="10"/>
      <name val="Arial"/>
      <family val="2"/>
    </font>
    <font>
      <sz val="10"/>
      <color indexed="8"/>
      <name val="Arial"/>
      <family val="2"/>
    </font>
    <font>
      <b/>
      <sz val="10"/>
      <color indexed="8"/>
      <name val="Arial"/>
      <family val="2"/>
    </font>
    <font>
      <b/>
      <sz val="8"/>
      <color indexed="81"/>
      <name val="Tahoma"/>
      <family val="2"/>
    </font>
    <font>
      <i/>
      <sz val="11"/>
      <name val="Arial"/>
      <family val="2"/>
    </font>
    <font>
      <b/>
      <i/>
      <sz val="11"/>
      <name val="Arial"/>
      <family val="2"/>
    </font>
    <font>
      <b/>
      <i/>
      <sz val="12"/>
      <name val="Arial"/>
      <family val="2"/>
    </font>
    <font>
      <sz val="7"/>
      <color indexed="8"/>
      <name val="Arial"/>
      <family val="2"/>
    </font>
    <font>
      <sz val="7"/>
      <name val="Arial"/>
      <family val="2"/>
    </font>
    <font>
      <sz val="8"/>
      <color indexed="81"/>
      <name val="Tahoma"/>
      <family val="2"/>
    </font>
    <font>
      <i/>
      <sz val="8"/>
      <color indexed="8"/>
      <name val="Arial"/>
      <family val="2"/>
    </font>
    <font>
      <i/>
      <sz val="8"/>
      <name val="Arial"/>
      <family val="2"/>
    </font>
    <font>
      <i/>
      <sz val="10"/>
      <color indexed="8"/>
      <name val="Arial"/>
      <family val="2"/>
    </font>
    <font>
      <i/>
      <sz val="10"/>
      <name val="Arial"/>
      <family val="2"/>
    </font>
    <font>
      <sz val="8"/>
      <name val="Arial"/>
      <family val="2"/>
    </font>
    <font>
      <sz val="8"/>
      <color indexed="8"/>
      <name val="Arial"/>
      <family val="2"/>
    </font>
    <font>
      <sz val="10"/>
      <color indexed="9"/>
      <name val="Arial"/>
      <family val="2"/>
    </font>
    <font>
      <sz val="14"/>
      <color indexed="9"/>
      <name val="Arial"/>
      <family val="2"/>
    </font>
    <font>
      <b/>
      <u/>
      <sz val="16"/>
      <name val="Arial"/>
      <family val="2"/>
    </font>
    <font>
      <b/>
      <sz val="10"/>
      <name val="Arial"/>
      <family val="2"/>
    </font>
    <font>
      <sz val="10"/>
      <color indexed="10"/>
      <name val="Arial"/>
      <family val="2"/>
    </font>
    <font>
      <sz val="10"/>
      <color theme="1"/>
      <name val="Arial"/>
      <family val="2"/>
    </font>
    <font>
      <sz val="9"/>
      <name val="Arial"/>
      <family val="2"/>
    </font>
    <font>
      <sz val="10"/>
      <color theme="0"/>
      <name val="Arial"/>
      <family val="2"/>
    </font>
    <font>
      <b/>
      <sz val="14"/>
      <name val="Arial"/>
      <family val="2"/>
    </font>
    <font>
      <sz val="9"/>
      <color indexed="81"/>
      <name val="Tahoma"/>
      <family val="2"/>
    </font>
    <font>
      <b/>
      <sz val="9"/>
      <color indexed="81"/>
      <name val="Tahoma"/>
      <family val="2"/>
    </font>
    <font>
      <b/>
      <sz val="14"/>
      <color indexed="8"/>
      <name val="Arial"/>
      <family val="2"/>
    </font>
    <font>
      <b/>
      <sz val="10"/>
      <color indexed="10"/>
      <name val="Arial"/>
      <family val="2"/>
    </font>
    <font>
      <b/>
      <sz val="12"/>
      <color indexed="8"/>
      <name val="Arial"/>
      <family val="2"/>
    </font>
    <font>
      <sz val="11"/>
      <name val="Arial"/>
      <family val="2"/>
    </font>
    <font>
      <sz val="11"/>
      <color indexed="8"/>
      <name val="Arial"/>
      <family val="2"/>
    </font>
    <font>
      <sz val="10"/>
      <color rgb="FF000000"/>
      <name val="Arial"/>
      <family val="2"/>
    </font>
    <font>
      <sz val="11"/>
      <color theme="0"/>
      <name val="Arial"/>
      <family val="2"/>
    </font>
    <font>
      <sz val="11"/>
      <color indexed="9"/>
      <name val="Arial"/>
      <family val="2"/>
    </font>
    <font>
      <sz val="10"/>
      <color theme="0" tint="-4.9989318521683403E-2"/>
      <name val="Arial"/>
      <family val="2"/>
    </font>
    <font>
      <sz val="8"/>
      <color indexed="9"/>
      <name val="Arial"/>
      <family val="2"/>
    </font>
    <font>
      <i/>
      <sz val="7"/>
      <name val="Arial"/>
      <family val="2"/>
    </font>
    <font>
      <i/>
      <sz val="7"/>
      <color indexed="8"/>
      <name val="Arial"/>
      <family val="2"/>
    </font>
    <font>
      <sz val="7"/>
      <color theme="0"/>
      <name val="Arial"/>
      <family val="2"/>
    </font>
    <font>
      <sz val="7"/>
      <color indexed="10"/>
      <name val="Arial"/>
      <family val="2"/>
    </font>
    <font>
      <b/>
      <sz val="16"/>
      <name val="Arial"/>
      <family val="2"/>
    </font>
    <font>
      <sz val="10"/>
      <color rgb="FFFF0000"/>
      <name val="Arial"/>
      <family val="2"/>
    </font>
    <font>
      <strike/>
      <sz val="10"/>
      <color rgb="FF000000"/>
      <name val="Arial"/>
      <family val="2"/>
    </font>
    <font>
      <strike/>
      <sz val="10"/>
      <color rgb="FFFF0000"/>
      <name val="Arial"/>
      <family val="2"/>
    </font>
    <font>
      <sz val="9"/>
      <color indexed="81"/>
      <name val="Tahoma"/>
    </font>
    <font>
      <b/>
      <sz val="9"/>
      <color indexed="81"/>
      <name val="Tahoma"/>
    </font>
    <font>
      <sz val="11"/>
      <name val="Calibri"/>
      <family val="2"/>
    </font>
    <font>
      <sz val="8"/>
      <color rgb="FFFF0000"/>
      <name val="Arial"/>
      <family val="2"/>
    </font>
  </fonts>
  <fills count="40">
    <fill>
      <patternFill patternType="none"/>
    </fill>
    <fill>
      <patternFill patternType="gray125"/>
    </fill>
    <fill>
      <patternFill patternType="solid">
        <fgColor indexed="23"/>
        <bgColor indexed="64"/>
      </patternFill>
    </fill>
    <fill>
      <patternFill patternType="solid">
        <fgColor indexed="17"/>
        <bgColor indexed="64"/>
      </patternFill>
    </fill>
    <fill>
      <patternFill patternType="solid">
        <fgColor indexed="56"/>
        <bgColor indexed="64"/>
      </patternFill>
    </fill>
    <fill>
      <patternFill patternType="solid">
        <fgColor indexed="12"/>
        <bgColor indexed="64"/>
      </patternFill>
    </fill>
    <fill>
      <patternFill patternType="solid">
        <fgColor theme="0"/>
        <bgColor indexed="64"/>
      </patternFill>
    </fill>
    <fill>
      <patternFill patternType="solid">
        <fgColor theme="0" tint="-0.499984740745262"/>
        <bgColor indexed="64"/>
      </patternFill>
    </fill>
    <fill>
      <patternFill patternType="solid">
        <fgColor rgb="FF00B0F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808080"/>
        <bgColor indexed="64"/>
      </patternFill>
    </fill>
    <fill>
      <patternFill patternType="solid">
        <fgColor theme="1"/>
        <bgColor indexed="64"/>
      </patternFill>
    </fill>
    <fill>
      <patternFill patternType="solid">
        <fgColor rgb="FF000080"/>
        <bgColor indexed="64"/>
      </patternFill>
    </fill>
    <fill>
      <patternFill patternType="solid">
        <fgColor rgb="FF0000FF"/>
        <bgColor indexed="64"/>
      </patternFill>
    </fill>
    <fill>
      <patternFill patternType="solid">
        <fgColor rgb="FF008080"/>
        <bgColor indexed="64"/>
      </patternFill>
    </fill>
    <fill>
      <patternFill patternType="solid">
        <fgColor rgb="FF008000"/>
        <bgColor indexed="64"/>
      </patternFill>
    </fill>
    <fill>
      <patternFill patternType="solid">
        <fgColor rgb="FF00FF00"/>
        <bgColor indexed="64"/>
      </patternFill>
    </fill>
    <fill>
      <patternFill patternType="solid">
        <fgColor rgb="FF808000"/>
        <bgColor indexed="64"/>
      </patternFill>
    </fill>
    <fill>
      <patternFill patternType="solid">
        <fgColor rgb="FF800000"/>
        <bgColor indexed="64"/>
      </patternFill>
    </fill>
    <fill>
      <patternFill patternType="solid">
        <fgColor rgb="FFFF0000"/>
        <bgColor indexed="64"/>
      </patternFill>
    </fill>
    <fill>
      <patternFill patternType="solid">
        <fgColor rgb="FFFF8000"/>
        <bgColor indexed="64"/>
      </patternFill>
    </fill>
    <fill>
      <patternFill patternType="solid">
        <fgColor rgb="FFFFFF00"/>
        <bgColor indexed="64"/>
      </patternFill>
    </fill>
    <fill>
      <patternFill patternType="solid">
        <fgColor rgb="FFFF00FF"/>
        <bgColor indexed="64"/>
      </patternFill>
    </fill>
    <fill>
      <patternFill patternType="solid">
        <fgColor rgb="FFFF0080"/>
        <bgColor indexed="64"/>
      </patternFill>
    </fill>
    <fill>
      <patternFill patternType="solid">
        <fgColor rgb="FF800080"/>
        <bgColor indexed="64"/>
      </patternFill>
    </fill>
    <fill>
      <patternFill patternType="solid">
        <fgColor rgb="FF00FFFF"/>
        <bgColor indexed="64"/>
      </patternFill>
    </fill>
    <fill>
      <patternFill patternType="solid">
        <fgColor rgb="FFC0C0C0"/>
        <bgColor indexed="64"/>
      </patternFill>
    </fill>
    <fill>
      <patternFill patternType="solid">
        <fgColor rgb="FFC8C891"/>
        <bgColor indexed="64"/>
      </patternFill>
    </fill>
    <fill>
      <patternFill patternType="solid">
        <fgColor rgb="FF8CB9FF"/>
        <bgColor indexed="64"/>
      </patternFill>
    </fill>
    <fill>
      <patternFill patternType="solid">
        <fgColor rgb="FF4678B4"/>
        <bgColor indexed="64"/>
      </patternFill>
    </fill>
    <fill>
      <patternFill patternType="solid">
        <fgColor rgb="FFDADADA"/>
        <bgColor indexed="64"/>
      </patternFill>
    </fill>
    <fill>
      <patternFill patternType="solid">
        <fgColor rgb="FFAACDFF"/>
        <bgColor indexed="64"/>
      </patternFill>
    </fill>
    <fill>
      <patternFill patternType="solid">
        <fgColor rgb="FF736997"/>
        <bgColor indexed="64"/>
      </patternFill>
    </fill>
    <fill>
      <patternFill patternType="solid">
        <fgColor rgb="FFFF6600"/>
        <bgColor indexed="64"/>
      </patternFill>
    </fill>
    <fill>
      <patternFill patternType="solid">
        <fgColor theme="0" tint="-0.249977111117893"/>
        <bgColor indexed="64"/>
      </patternFill>
    </fill>
    <fill>
      <patternFill patternType="solid">
        <fgColor rgb="FF006600"/>
        <bgColor indexed="64"/>
      </patternFill>
    </fill>
    <fill>
      <patternFill patternType="solid">
        <fgColor rgb="FF7030A0"/>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s>
  <cellStyleXfs count="3">
    <xf numFmtId="0" fontId="0" fillId="0" borderId="0"/>
    <xf numFmtId="0" fontId="1" fillId="0" borderId="0"/>
    <xf numFmtId="0" fontId="1" fillId="0" borderId="0"/>
  </cellStyleXfs>
  <cellXfs count="637">
    <xf numFmtId="0" fontId="0" fillId="0" borderId="0" xfId="0"/>
    <xf numFmtId="0" fontId="2" fillId="0" borderId="0" xfId="0" applyFont="1"/>
    <xf numFmtId="0" fontId="3" fillId="0" borderId="0" xfId="0" applyFont="1"/>
    <xf numFmtId="0" fontId="2" fillId="0" borderId="0" xfId="0" applyFont="1" applyProtection="1">
      <protection locked="0"/>
    </xf>
    <xf numFmtId="0" fontId="5" fillId="0" borderId="11" xfId="0" applyFont="1" applyBorder="1"/>
    <xf numFmtId="0" fontId="6" fillId="0" borderId="12" xfId="0" applyFont="1" applyBorder="1"/>
    <xf numFmtId="0" fontId="5" fillId="0" borderId="13" xfId="0" applyFont="1" applyBorder="1"/>
    <xf numFmtId="0" fontId="6" fillId="0" borderId="14" xfId="0" applyFont="1" applyBorder="1"/>
    <xf numFmtId="0" fontId="5" fillId="0" borderId="8" xfId="0" applyFont="1" applyBorder="1"/>
    <xf numFmtId="0" fontId="6" fillId="0" borderId="15" xfId="0" applyFont="1" applyBorder="1"/>
    <xf numFmtId="0" fontId="6" fillId="0" borderId="16" xfId="0" applyFont="1" applyBorder="1"/>
    <xf numFmtId="0" fontId="7" fillId="0" borderId="17" xfId="0" applyFont="1" applyBorder="1"/>
    <xf numFmtId="0" fontId="2" fillId="0" borderId="19" xfId="0" applyFont="1" applyBorder="1"/>
    <xf numFmtId="0" fontId="8" fillId="0" borderId="22" xfId="0" applyFont="1" applyBorder="1" applyAlignment="1">
      <alignment vertical="top"/>
    </xf>
    <xf numFmtId="0" fontId="9" fillId="0" borderId="0" xfId="0" applyFont="1" applyAlignment="1">
      <alignment vertical="top"/>
    </xf>
    <xf numFmtId="0" fontId="11" fillId="0" borderId="19" xfId="0" applyFont="1" applyBorder="1"/>
    <xf numFmtId="0" fontId="11" fillId="0" borderId="20" xfId="0" applyFont="1" applyBorder="1"/>
    <xf numFmtId="0" fontId="12" fillId="0" borderId="0" xfId="0" applyFont="1"/>
    <xf numFmtId="0" fontId="14" fillId="0" borderId="0" xfId="0" applyFont="1"/>
    <xf numFmtId="0" fontId="13" fillId="0" borderId="19" xfId="0" applyFont="1" applyBorder="1" applyAlignment="1">
      <alignment vertical="top"/>
    </xf>
    <xf numFmtId="0" fontId="11" fillId="0" borderId="19" xfId="0" applyFont="1" applyBorder="1" applyAlignment="1">
      <alignment vertical="top"/>
    </xf>
    <xf numFmtId="0" fontId="12" fillId="0" borderId="19" xfId="0" applyFont="1" applyBorder="1"/>
    <xf numFmtId="0" fontId="9" fillId="0" borderId="22" xfId="0" applyFont="1" applyBorder="1" applyAlignment="1">
      <alignment vertical="top"/>
    </xf>
    <xf numFmtId="0" fontId="14" fillId="0" borderId="19" xfId="0" applyFont="1" applyBorder="1" applyAlignment="1">
      <alignment vertical="top"/>
    </xf>
    <xf numFmtId="0" fontId="9" fillId="0" borderId="22" xfId="0" applyFont="1" applyBorder="1" applyAlignment="1">
      <alignment vertical="top" wrapText="1"/>
    </xf>
    <xf numFmtId="0" fontId="15" fillId="0" borderId="0" xfId="0" applyFont="1"/>
    <xf numFmtId="0" fontId="8" fillId="0" borderId="25" xfId="0" applyFont="1" applyBorder="1" applyAlignment="1">
      <alignment vertical="top"/>
    </xf>
    <xf numFmtId="0" fontId="9" fillId="0" borderId="25" xfId="0" applyFont="1" applyBorder="1"/>
    <xf numFmtId="0" fontId="8" fillId="0" borderId="26" xfId="0" applyFont="1" applyBorder="1" applyAlignment="1">
      <alignment vertical="top"/>
    </xf>
    <xf numFmtId="0" fontId="9" fillId="0" borderId="0" xfId="0" applyFont="1"/>
    <xf numFmtId="0" fontId="8" fillId="0" borderId="0" xfId="0" applyFont="1" applyAlignment="1">
      <alignment vertical="top"/>
    </xf>
    <xf numFmtId="0" fontId="8" fillId="0" borderId="25" xfId="0" applyFont="1" applyBorder="1"/>
    <xf numFmtId="0" fontId="8" fillId="0" borderId="26" xfId="0" applyFont="1" applyBorder="1"/>
    <xf numFmtId="0" fontId="8" fillId="0" borderId="22" xfId="0" applyFont="1" applyBorder="1"/>
    <xf numFmtId="0" fontId="9" fillId="0" borderId="22" xfId="0" applyFont="1" applyBorder="1"/>
    <xf numFmtId="0" fontId="8" fillId="0" borderId="6" xfId="0" applyFont="1" applyBorder="1"/>
    <xf numFmtId="0" fontId="9" fillId="0" borderId="25" xfId="0" applyFont="1" applyBorder="1" applyAlignment="1">
      <alignment vertical="top"/>
    </xf>
    <xf numFmtId="0" fontId="11" fillId="0" borderId="31" xfId="0" applyFont="1" applyBorder="1" applyAlignment="1">
      <alignment vertical="top"/>
    </xf>
    <xf numFmtId="0" fontId="8" fillId="0" borderId="32" xfId="0" applyFont="1" applyBorder="1" applyAlignment="1">
      <alignment vertical="top"/>
    </xf>
    <xf numFmtId="0" fontId="8" fillId="0" borderId="33" xfId="0" applyFont="1" applyBorder="1" applyAlignment="1">
      <alignment vertical="top"/>
    </xf>
    <xf numFmtId="0" fontId="12" fillId="0" borderId="19" xfId="0" applyFont="1" applyBorder="1" applyAlignment="1">
      <alignment vertical="top"/>
    </xf>
    <xf numFmtId="0" fontId="12" fillId="0" borderId="0" xfId="0" applyFont="1" applyAlignment="1">
      <alignment vertical="top"/>
    </xf>
    <xf numFmtId="0" fontId="1" fillId="0" borderId="1" xfId="0" applyFont="1" applyBorder="1" applyAlignment="1">
      <alignment horizontal="left" vertical="top"/>
    </xf>
    <xf numFmtId="0" fontId="1" fillId="0" borderId="1" xfId="0" applyFont="1" applyBorder="1"/>
    <xf numFmtId="0" fontId="1" fillId="0" borderId="10" xfId="0" applyFont="1" applyBorder="1"/>
    <xf numFmtId="0" fontId="1" fillId="0" borderId="4" xfId="0" applyFont="1" applyBorder="1"/>
    <xf numFmtId="0" fontId="1" fillId="0" borderId="0" xfId="0" applyFont="1"/>
    <xf numFmtId="0" fontId="1" fillId="6" borderId="1" xfId="0" applyFont="1" applyFill="1" applyBorder="1"/>
    <xf numFmtId="0" fontId="1" fillId="0" borderId="4" xfId="0" applyFont="1" applyBorder="1" applyAlignment="1">
      <alignment vertical="top"/>
    </xf>
    <xf numFmtId="0" fontId="1" fillId="0" borderId="0" xfId="0" applyFont="1" applyAlignment="1">
      <alignment vertical="top"/>
    </xf>
    <xf numFmtId="0" fontId="9" fillId="0" borderId="25" xfId="0" applyFont="1" applyBorder="1" applyAlignment="1">
      <alignment wrapText="1"/>
    </xf>
    <xf numFmtId="0" fontId="1" fillId="6" borderId="1" xfId="0" applyFont="1" applyFill="1" applyBorder="1" applyAlignment="1">
      <alignment horizontal="left" vertical="top"/>
    </xf>
    <xf numFmtId="0" fontId="20" fillId="0" borderId="0" xfId="0" applyFont="1" applyAlignment="1">
      <alignment vertical="top"/>
    </xf>
    <xf numFmtId="0" fontId="1" fillId="0" borderId="0" xfId="0" applyFont="1" applyAlignment="1">
      <alignment horizontal="center" vertical="top"/>
    </xf>
    <xf numFmtId="0" fontId="1" fillId="0" borderId="0" xfId="0" applyFont="1" applyAlignment="1" applyProtection="1">
      <alignment vertical="top"/>
      <protection locked="0"/>
    </xf>
    <xf numFmtId="0" fontId="1" fillId="0" borderId="0" xfId="0" applyFont="1" applyAlignment="1">
      <alignment horizontal="left" vertical="top"/>
    </xf>
    <xf numFmtId="0" fontId="9" fillId="0" borderId="26" xfId="0" applyFont="1" applyBorder="1" applyAlignment="1">
      <alignment vertical="top"/>
    </xf>
    <xf numFmtId="0" fontId="9" fillId="0" borderId="6" xfId="0" applyFont="1" applyBorder="1" applyAlignment="1">
      <alignment vertical="top"/>
    </xf>
    <xf numFmtId="0" fontId="20" fillId="0" borderId="0" xfId="0" applyFont="1"/>
    <xf numFmtId="0" fontId="12" fillId="0" borderId="20" xfId="0" applyFont="1" applyBorder="1"/>
    <xf numFmtId="0" fontId="1" fillId="0" borderId="0" xfId="0" applyFont="1" applyProtection="1">
      <protection locked="0"/>
    </xf>
    <xf numFmtId="0" fontId="21" fillId="0" borderId="0" xfId="0" applyFont="1"/>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horizontal="right" vertical="top"/>
    </xf>
    <xf numFmtId="0" fontId="1" fillId="0" borderId="1" xfId="0" applyFont="1" applyBorder="1" applyAlignment="1">
      <alignment horizontal="left"/>
    </xf>
    <xf numFmtId="0" fontId="1" fillId="0" borderId="29" xfId="0" applyFont="1" applyBorder="1" applyAlignment="1">
      <alignment horizontal="left"/>
    </xf>
    <xf numFmtId="0" fontId="1" fillId="0" borderId="1" xfId="0" applyFont="1" applyBorder="1" applyProtection="1">
      <protection locked="0"/>
    </xf>
    <xf numFmtId="0" fontId="1" fillId="0" borderId="1" xfId="0" applyFont="1" applyBorder="1" applyAlignment="1">
      <alignment wrapText="1"/>
    </xf>
    <xf numFmtId="0" fontId="1" fillId="0" borderId="2" xfId="0" applyFont="1" applyBorder="1" applyAlignment="1" applyProtection="1">
      <alignment horizontal="right"/>
      <protection locked="0"/>
    </xf>
    <xf numFmtId="0" fontId="1" fillId="0" borderId="2" xfId="0" applyFont="1" applyBorder="1"/>
    <xf numFmtId="0" fontId="1" fillId="0" borderId="2" xfId="0" applyFont="1" applyBorder="1" applyAlignment="1">
      <alignment horizontal="right"/>
    </xf>
    <xf numFmtId="0" fontId="1" fillId="0" borderId="34" xfId="0" applyFont="1" applyBorder="1"/>
    <xf numFmtId="0" fontId="1" fillId="0" borderId="2" xfId="0" applyFont="1" applyBorder="1" applyAlignment="1" applyProtection="1">
      <alignment horizontal="right" vertical="top"/>
      <protection locked="0"/>
    </xf>
    <xf numFmtId="0" fontId="1" fillId="0" borderId="2" xfId="0" applyFont="1" applyBorder="1" applyAlignment="1">
      <alignment horizontal="left" vertical="top"/>
    </xf>
    <xf numFmtId="0" fontId="1" fillId="0" borderId="2" xfId="0" applyFont="1" applyBorder="1" applyAlignment="1">
      <alignment vertical="top"/>
    </xf>
    <xf numFmtId="0" fontId="1" fillId="0" borderId="23" xfId="0" applyFont="1" applyBorder="1" applyAlignment="1" applyProtection="1">
      <alignment vertical="top"/>
      <protection locked="0"/>
    </xf>
    <xf numFmtId="0" fontId="1" fillId="0" borderId="23" xfId="0" applyFont="1" applyBorder="1" applyAlignment="1">
      <alignment vertical="top"/>
    </xf>
    <xf numFmtId="0" fontId="1" fillId="0" borderId="23" xfId="0" applyFont="1" applyBorder="1"/>
    <xf numFmtId="0" fontId="24" fillId="2" borderId="3" xfId="0" applyFont="1" applyFill="1" applyBorder="1" applyAlignment="1">
      <alignment horizontal="left" vertical="top"/>
    </xf>
    <xf numFmtId="0" fontId="22" fillId="6" borderId="2" xfId="0" applyFont="1" applyFill="1" applyBorder="1" applyAlignment="1" applyProtection="1">
      <alignment horizontal="right"/>
      <protection locked="0"/>
    </xf>
    <xf numFmtId="0" fontId="22" fillId="6" borderId="2" xfId="0" applyFont="1" applyFill="1" applyBorder="1"/>
    <xf numFmtId="0" fontId="1" fillId="0" borderId="7" xfId="0" applyFont="1" applyBorder="1"/>
    <xf numFmtId="0" fontId="1" fillId="0" borderId="2" xfId="0" applyFont="1" applyBorder="1" applyAlignment="1">
      <alignment wrapText="1"/>
    </xf>
    <xf numFmtId="0" fontId="1" fillId="0" borderId="23" xfId="0" applyFont="1" applyBorder="1" applyAlignment="1">
      <alignment wrapText="1"/>
    </xf>
    <xf numFmtId="0" fontId="1" fillId="6" borderId="2" xfId="0" applyFont="1" applyFill="1" applyBorder="1" applyAlignment="1">
      <alignment vertical="top"/>
    </xf>
    <xf numFmtId="49" fontId="22" fillId="6" borderId="2" xfId="0" applyNumberFormat="1" applyFont="1" applyFill="1" applyBorder="1"/>
    <xf numFmtId="0" fontId="22" fillId="6" borderId="2" xfId="0" applyFont="1" applyFill="1" applyBorder="1" applyAlignment="1">
      <alignment wrapText="1"/>
    </xf>
    <xf numFmtId="0" fontId="1" fillId="0" borderId="1" xfId="0" applyFont="1" applyBorder="1" applyAlignment="1">
      <alignment horizontal="right"/>
    </xf>
    <xf numFmtId="0" fontId="1" fillId="0" borderId="40" xfId="0" applyFont="1" applyBorder="1"/>
    <xf numFmtId="0" fontId="1" fillId="0" borderId="41" xfId="0" applyFont="1" applyBorder="1"/>
    <xf numFmtId="0" fontId="21" fillId="6" borderId="0" xfId="0" applyFont="1" applyFill="1"/>
    <xf numFmtId="0" fontId="1" fillId="0" borderId="23" xfId="0" applyFont="1" applyBorder="1" applyAlignment="1">
      <alignment horizontal="right" vertical="top"/>
    </xf>
    <xf numFmtId="0" fontId="1" fillId="6" borderId="4" xfId="0" applyFont="1" applyFill="1" applyBorder="1"/>
    <xf numFmtId="0" fontId="1" fillId="6" borderId="0" xfId="0" applyFont="1" applyFill="1"/>
    <xf numFmtId="0" fontId="1" fillId="6" borderId="10" xfId="0" applyFont="1" applyFill="1" applyBorder="1"/>
    <xf numFmtId="49" fontId="1" fillId="0" borderId="23" xfId="0" applyNumberFormat="1" applyFont="1" applyBorder="1"/>
    <xf numFmtId="49" fontId="1" fillId="0" borderId="1" xfId="0" applyNumberFormat="1" applyFont="1" applyBorder="1"/>
    <xf numFmtId="49" fontId="1" fillId="0" borderId="1" xfId="0" quotePrefix="1" applyNumberFormat="1" applyFont="1" applyBorder="1"/>
    <xf numFmtId="0" fontId="1" fillId="0" borderId="1" xfId="0" quotePrefix="1" applyFont="1" applyBorder="1" applyAlignment="1">
      <alignment wrapText="1"/>
    </xf>
    <xf numFmtId="0" fontId="9" fillId="0" borderId="25" xfId="0" applyFont="1" applyBorder="1" applyProtection="1">
      <protection locked="0"/>
    </xf>
    <xf numFmtId="0" fontId="21" fillId="0" borderId="0" xfId="0" applyFont="1" applyAlignment="1">
      <alignment vertical="top"/>
    </xf>
    <xf numFmtId="0" fontId="1" fillId="0" borderId="1" xfId="0" applyFont="1" applyBorder="1" applyAlignment="1">
      <alignment horizontal="left" vertical="top" wrapText="1"/>
    </xf>
    <xf numFmtId="0" fontId="1" fillId="0" borderId="23" xfId="0" applyFont="1" applyBorder="1" applyProtection="1">
      <protection locked="0"/>
    </xf>
    <xf numFmtId="0" fontId="1" fillId="0" borderId="1" xfId="0" applyFont="1" applyBorder="1" applyAlignment="1">
      <alignment vertical="top" wrapText="1"/>
    </xf>
    <xf numFmtId="0" fontId="1" fillId="0" borderId="48" xfId="0" applyFont="1" applyBorder="1" applyAlignment="1">
      <alignment vertical="top"/>
    </xf>
    <xf numFmtId="0" fontId="1" fillId="0" borderId="49" xfId="0" applyFont="1" applyBorder="1" applyAlignment="1">
      <alignment vertical="top"/>
    </xf>
    <xf numFmtId="0" fontId="1" fillId="0" borderId="47" xfId="0" applyFont="1" applyBorder="1" applyAlignment="1">
      <alignment vertical="top"/>
    </xf>
    <xf numFmtId="0" fontId="1" fillId="0" borderId="41" xfId="0" applyFont="1" applyBorder="1" applyAlignment="1">
      <alignment vertical="top"/>
    </xf>
    <xf numFmtId="0" fontId="1" fillId="0" borderId="2" xfId="0" applyFont="1" applyBorder="1" applyAlignment="1">
      <alignment horizontal="right" vertical="top"/>
    </xf>
    <xf numFmtId="0" fontId="12" fillId="0" borderId="42" xfId="0" applyFont="1" applyBorder="1" applyAlignment="1" applyProtection="1">
      <alignment vertical="top"/>
      <protection locked="0"/>
    </xf>
    <xf numFmtId="0" fontId="9" fillId="0" borderId="43" xfId="0" applyFont="1" applyBorder="1" applyAlignment="1" applyProtection="1">
      <alignment vertical="top"/>
      <protection locked="0"/>
    </xf>
    <xf numFmtId="0" fontId="9" fillId="0" borderId="44" xfId="0" applyFont="1" applyBorder="1" applyAlignment="1" applyProtection="1">
      <alignment vertical="top"/>
      <protection locked="0"/>
    </xf>
    <xf numFmtId="0" fontId="9" fillId="0" borderId="6" xfId="0" applyFont="1" applyBorder="1" applyAlignment="1">
      <alignment vertical="top" wrapText="1"/>
    </xf>
    <xf numFmtId="0" fontId="12" fillId="0" borderId="50" xfId="0" applyFont="1" applyBorder="1" applyAlignment="1">
      <alignment vertical="top"/>
    </xf>
    <xf numFmtId="0" fontId="9" fillId="0" borderId="13" xfId="0" applyFont="1" applyBorder="1" applyAlignment="1">
      <alignment vertical="top"/>
    </xf>
    <xf numFmtId="0" fontId="9" fillId="0" borderId="51" xfId="0" applyFont="1" applyBorder="1" applyAlignment="1">
      <alignment vertical="top"/>
    </xf>
    <xf numFmtId="0" fontId="25" fillId="0" borderId="0" xfId="0" applyFont="1" applyProtection="1">
      <protection locked="0"/>
    </xf>
    <xf numFmtId="0" fontId="28" fillId="0" borderId="0" xfId="0" applyFont="1"/>
    <xf numFmtId="0" fontId="28" fillId="0" borderId="0" xfId="0" applyFont="1" applyProtection="1">
      <protection locked="0"/>
    </xf>
    <xf numFmtId="0" fontId="25" fillId="0" borderId="0" xfId="0" applyFont="1"/>
    <xf numFmtId="0" fontId="1" fillId="0" borderId="34" xfId="0" applyFont="1" applyBorder="1" applyAlignment="1">
      <alignment vertical="top"/>
    </xf>
    <xf numFmtId="0" fontId="1" fillId="0" borderId="29" xfId="0" applyFont="1" applyBorder="1"/>
    <xf numFmtId="0" fontId="1" fillId="0" borderId="28" xfId="0" applyFont="1" applyBorder="1" applyAlignment="1">
      <alignment vertical="top"/>
    </xf>
    <xf numFmtId="0" fontId="1" fillId="0" borderId="28" xfId="0" applyFont="1" applyBorder="1"/>
    <xf numFmtId="0" fontId="1" fillId="0" borderId="53" xfId="0" applyFont="1" applyBorder="1"/>
    <xf numFmtId="0" fontId="1" fillId="0" borderId="52" xfId="0" applyFont="1" applyBorder="1" applyAlignment="1">
      <alignment horizontal="left" vertical="top"/>
    </xf>
    <xf numFmtId="0" fontId="1" fillId="0" borderId="55" xfId="0" applyFont="1" applyBorder="1" applyAlignment="1">
      <alignment horizontal="left" vertical="top"/>
    </xf>
    <xf numFmtId="0" fontId="1" fillId="0" borderId="23" xfId="0" applyFont="1" applyBorder="1" applyAlignment="1">
      <alignment horizontal="left" vertical="top"/>
    </xf>
    <xf numFmtId="0" fontId="12" fillId="0" borderId="19" xfId="0" applyFont="1" applyBorder="1" applyProtection="1">
      <protection locked="0"/>
    </xf>
    <xf numFmtId="0" fontId="21" fillId="0" borderId="0" xfId="0" applyFont="1" applyProtection="1">
      <protection locked="0"/>
    </xf>
    <xf numFmtId="0" fontId="29" fillId="0" borderId="0" xfId="0" applyFont="1"/>
    <xf numFmtId="49" fontId="1" fillId="0" borderId="1" xfId="0" applyNumberFormat="1" applyFont="1" applyBorder="1" applyAlignment="1">
      <alignment vertical="top"/>
    </xf>
    <xf numFmtId="0" fontId="1" fillId="0" borderId="23" xfId="0" applyFont="1" applyBorder="1" applyAlignment="1">
      <alignment vertical="top" wrapText="1"/>
    </xf>
    <xf numFmtId="0" fontId="23" fillId="6" borderId="2" xfId="0" applyFont="1" applyFill="1" applyBorder="1" applyAlignment="1">
      <alignment vertical="top"/>
    </xf>
    <xf numFmtId="0" fontId="9" fillId="6" borderId="2" xfId="0" applyFont="1" applyFill="1" applyBorder="1" applyAlignment="1">
      <alignment vertical="top"/>
    </xf>
    <xf numFmtId="0" fontId="17" fillId="2" borderId="23" xfId="1" applyFont="1" applyFill="1" applyBorder="1"/>
    <xf numFmtId="0" fontId="17" fillId="2" borderId="23" xfId="1" applyFont="1" applyFill="1" applyBorder="1" applyProtection="1">
      <protection locked="0"/>
    </xf>
    <xf numFmtId="0" fontId="17" fillId="4" borderId="23" xfId="1" applyFont="1" applyFill="1" applyBorder="1" applyAlignment="1">
      <alignment horizontal="center"/>
    </xf>
    <xf numFmtId="0" fontId="17" fillId="7" borderId="23" xfId="1" applyFont="1" applyFill="1" applyBorder="1" applyAlignment="1">
      <alignment horizontal="center"/>
    </xf>
    <xf numFmtId="0" fontId="17" fillId="4" borderId="23" xfId="1" applyFont="1" applyFill="1" applyBorder="1"/>
    <xf numFmtId="0" fontId="17" fillId="2" borderId="23" xfId="1" applyFont="1" applyFill="1" applyBorder="1" applyAlignment="1">
      <alignment horizontal="left"/>
    </xf>
    <xf numFmtId="0" fontId="17" fillId="2" borderId="1" xfId="1" applyFont="1" applyFill="1" applyBorder="1" applyAlignment="1">
      <alignment horizontal="left"/>
    </xf>
    <xf numFmtId="0" fontId="1" fillId="0" borderId="1" xfId="1" applyBorder="1"/>
    <xf numFmtId="0" fontId="1" fillId="0" borderId="1" xfId="1" applyBorder="1" applyAlignment="1" applyProtection="1">
      <alignment horizontal="center"/>
      <protection locked="0"/>
    </xf>
    <xf numFmtId="0" fontId="1" fillId="0" borderId="47" xfId="1" applyBorder="1" applyAlignment="1" applyProtection="1">
      <alignment horizontal="center"/>
      <protection locked="0"/>
    </xf>
    <xf numFmtId="0" fontId="1" fillId="0" borderId="10" xfId="1" applyBorder="1" applyAlignment="1" applyProtection="1">
      <alignment horizontal="left"/>
      <protection locked="0"/>
    </xf>
    <xf numFmtId="0" fontId="1" fillId="0" borderId="1" xfId="1" applyBorder="1" applyAlignment="1" applyProtection="1">
      <alignment horizontal="left"/>
      <protection locked="0"/>
    </xf>
    <xf numFmtId="0" fontId="9" fillId="0" borderId="25" xfId="0" quotePrefix="1" applyFont="1" applyBorder="1"/>
    <xf numFmtId="3" fontId="9" fillId="0" borderId="25" xfId="0" quotePrefix="1" applyNumberFormat="1" applyFont="1" applyBorder="1"/>
    <xf numFmtId="3" fontId="8" fillId="0" borderId="25" xfId="0" quotePrefix="1" applyNumberFormat="1" applyFont="1" applyBorder="1"/>
    <xf numFmtId="0" fontId="8" fillId="0" borderId="25" xfId="0" applyFont="1" applyBorder="1" applyProtection="1">
      <protection locked="0"/>
    </xf>
    <xf numFmtId="0" fontId="11" fillId="0" borderId="19" xfId="0" applyFont="1" applyBorder="1" applyProtection="1">
      <protection locked="0"/>
    </xf>
    <xf numFmtId="0" fontId="9" fillId="0" borderId="22" xfId="0" quotePrefix="1" applyFont="1" applyBorder="1"/>
    <xf numFmtId="0" fontId="9" fillId="0" borderId="25" xfId="0" applyFont="1" applyBorder="1" applyAlignment="1">
      <alignment vertical="top" wrapText="1"/>
    </xf>
    <xf numFmtId="0" fontId="8" fillId="0" borderId="25" xfId="0" applyFont="1" applyBorder="1" applyAlignment="1" applyProtection="1">
      <alignment vertical="top"/>
      <protection locked="0"/>
    </xf>
    <xf numFmtId="0" fontId="8" fillId="0" borderId="25" xfId="0" applyFont="1" applyBorder="1" applyAlignment="1">
      <alignment vertical="top" wrapText="1"/>
    </xf>
    <xf numFmtId="0" fontId="13" fillId="0" borderId="19" xfId="0" applyFont="1" applyBorder="1" applyAlignment="1" applyProtection="1">
      <alignment vertical="top"/>
      <protection locked="0"/>
    </xf>
    <xf numFmtId="0" fontId="2" fillId="0" borderId="42" xfId="0" applyFont="1" applyBorder="1"/>
    <xf numFmtId="0" fontId="2" fillId="0" borderId="57" xfId="0" applyFont="1" applyBorder="1"/>
    <xf numFmtId="0" fontId="8" fillId="0" borderId="22" xfId="0" applyFont="1" applyBorder="1" applyAlignment="1" applyProtection="1">
      <alignment vertical="top"/>
      <protection locked="0"/>
    </xf>
    <xf numFmtId="0" fontId="2" fillId="0" borderId="19" xfId="0" applyFont="1" applyBorder="1" applyProtection="1">
      <protection locked="0"/>
    </xf>
    <xf numFmtId="0" fontId="9" fillId="0" borderId="25" xfId="0" applyFont="1" applyBorder="1" applyAlignment="1">
      <alignment horizontal="left" vertical="center"/>
    </xf>
    <xf numFmtId="0" fontId="1" fillId="0" borderId="57" xfId="0" applyFont="1" applyBorder="1"/>
    <xf numFmtId="0" fontId="1" fillId="0" borderId="57" xfId="0" applyFont="1" applyBorder="1" applyProtection="1">
      <protection locked="0"/>
    </xf>
    <xf numFmtId="0" fontId="1" fillId="0" borderId="56" xfId="0" applyFont="1" applyBorder="1"/>
    <xf numFmtId="0" fontId="1" fillId="0" borderId="54" xfId="0" applyFont="1" applyBorder="1"/>
    <xf numFmtId="0" fontId="31" fillId="0" borderId="0" xfId="0" applyFont="1" applyAlignment="1">
      <alignment horizontal="justify"/>
    </xf>
    <xf numFmtId="0" fontId="32" fillId="0" borderId="0" xfId="0" applyFont="1" applyAlignment="1">
      <alignment horizontal="justify"/>
    </xf>
    <xf numFmtId="0" fontId="32" fillId="0" borderId="0" xfId="0" applyFont="1"/>
    <xf numFmtId="0" fontId="1" fillId="10" borderId="1" xfId="0" applyFont="1" applyFill="1" applyBorder="1"/>
    <xf numFmtId="0" fontId="24" fillId="4" borderId="60" xfId="0" applyFont="1" applyFill="1" applyBorder="1" applyAlignment="1">
      <alignment horizontal="centerContinuous"/>
    </xf>
    <xf numFmtId="0" fontId="24" fillId="4" borderId="9" xfId="0" applyFont="1" applyFill="1" applyBorder="1" applyAlignment="1">
      <alignment horizontal="centerContinuous"/>
    </xf>
    <xf numFmtId="0" fontId="16" fillId="0" borderId="19" xfId="0" applyFont="1" applyBorder="1"/>
    <xf numFmtId="0" fontId="1" fillId="0" borderId="61" xfId="0" applyFont="1" applyBorder="1"/>
    <xf numFmtId="0" fontId="1" fillId="0" borderId="47" xfId="0" applyFont="1" applyBorder="1"/>
    <xf numFmtId="0" fontId="1" fillId="0" borderId="48" xfId="0" applyFont="1" applyBorder="1"/>
    <xf numFmtId="0" fontId="1" fillId="0" borderId="49" xfId="0" applyFont="1" applyBorder="1"/>
    <xf numFmtId="0" fontId="1" fillId="0" borderId="44" xfId="0" applyFont="1" applyBorder="1"/>
    <xf numFmtId="0" fontId="1" fillId="0" borderId="22" xfId="0" applyFont="1" applyBorder="1"/>
    <xf numFmtId="0" fontId="1" fillId="0" borderId="33" xfId="0" applyFont="1" applyBorder="1"/>
    <xf numFmtId="0" fontId="1" fillId="0" borderId="62" xfId="0" applyFont="1" applyBorder="1"/>
    <xf numFmtId="0" fontId="12" fillId="0" borderId="31" xfId="0" applyFont="1" applyBorder="1"/>
    <xf numFmtId="0" fontId="1" fillId="0" borderId="49" xfId="0" applyFont="1" applyBorder="1" applyAlignment="1">
      <alignment horizontal="left" vertical="top"/>
    </xf>
    <xf numFmtId="0" fontId="1" fillId="0" borderId="1" xfId="2" applyBorder="1"/>
    <xf numFmtId="0" fontId="1" fillId="6" borderId="1" xfId="2" applyFill="1" applyBorder="1"/>
    <xf numFmtId="0" fontId="12" fillId="0" borderId="57" xfId="0" applyFont="1" applyBorder="1"/>
    <xf numFmtId="0" fontId="12" fillId="0" borderId="42" xfId="0" applyFont="1" applyBorder="1"/>
    <xf numFmtId="0" fontId="8" fillId="0" borderId="0" xfId="0" applyFont="1" applyAlignment="1">
      <alignment vertical="top" wrapText="1"/>
    </xf>
    <xf numFmtId="0" fontId="8" fillId="0" borderId="32" xfId="0" applyFont="1" applyBorder="1" applyAlignment="1">
      <alignment vertical="top" wrapText="1"/>
    </xf>
    <xf numFmtId="0" fontId="11" fillId="0" borderId="57" xfId="0" applyFont="1" applyBorder="1"/>
    <xf numFmtId="0" fontId="12" fillId="0" borderId="57" xfId="0" applyFont="1" applyBorder="1" applyAlignment="1">
      <alignment vertical="top"/>
    </xf>
    <xf numFmtId="0" fontId="11" fillId="0" borderId="31" xfId="0" applyFont="1" applyBorder="1"/>
    <xf numFmtId="0" fontId="33" fillId="0" borderId="40" xfId="0" applyFont="1" applyBorder="1"/>
    <xf numFmtId="0" fontId="33" fillId="0" borderId="23" xfId="0" applyFont="1" applyBorder="1"/>
    <xf numFmtId="0" fontId="24" fillId="2" borderId="0" xfId="0" applyFont="1" applyFill="1"/>
    <xf numFmtId="0" fontId="1" fillId="5" borderId="0" xfId="0" applyFont="1" applyFill="1"/>
    <xf numFmtId="0" fontId="1" fillId="3" borderId="0" xfId="0" applyFont="1" applyFill="1"/>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36" borderId="0" xfId="0" applyFont="1" applyFill="1" applyAlignment="1">
      <alignment vertical="top"/>
    </xf>
    <xf numFmtId="0" fontId="24" fillId="4" borderId="31" xfId="0" applyFont="1" applyFill="1" applyBorder="1" applyAlignment="1">
      <alignment horizontal="centerContinuous"/>
    </xf>
    <xf numFmtId="0" fontId="24" fillId="4" borderId="42" xfId="0" applyFont="1" applyFill="1" applyBorder="1" applyAlignment="1">
      <alignment horizontal="centerContinuous"/>
    </xf>
    <xf numFmtId="0" fontId="1" fillId="0" borderId="7" xfId="0" applyFont="1" applyBorder="1" applyAlignment="1">
      <alignment vertical="top"/>
    </xf>
    <xf numFmtId="0" fontId="20" fillId="0" borderId="0" xfId="0" applyFont="1" applyAlignment="1">
      <alignment vertical="center"/>
    </xf>
    <xf numFmtId="0" fontId="20" fillId="0" borderId="0" xfId="0" applyFont="1" applyAlignment="1">
      <alignment horizontal="left" vertical="center"/>
    </xf>
    <xf numFmtId="0" fontId="3" fillId="0" borderId="0" xfId="0" applyFont="1" applyAlignment="1">
      <alignment vertical="center"/>
    </xf>
    <xf numFmtId="0" fontId="19"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0" borderId="0" xfId="0" applyAlignment="1" applyProtection="1">
      <alignment horizontal="left"/>
      <protection locked="0"/>
    </xf>
    <xf numFmtId="0" fontId="1" fillId="0" borderId="0" xfId="0" applyFont="1" applyAlignment="1" applyProtection="1">
      <alignment horizontal="left"/>
      <protection locked="0"/>
    </xf>
    <xf numFmtId="0" fontId="19"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17" fillId="2" borderId="18" xfId="0" applyFont="1" applyFill="1" applyBorder="1" applyAlignment="1" applyProtection="1">
      <alignment horizontal="center" vertical="center"/>
      <protection locked="0"/>
    </xf>
    <xf numFmtId="0" fontId="17" fillId="2" borderId="19"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1" xfId="0" applyFont="1" applyBorder="1" applyAlignment="1" applyProtection="1">
      <alignment horizontal="left" vertical="center" wrapText="1"/>
      <protection locked="0"/>
    </xf>
    <xf numFmtId="0" fontId="1" fillId="0" borderId="1" xfId="0" quotePrefix="1" applyFont="1" applyBorder="1" applyAlignment="1" applyProtection="1">
      <alignment horizontal="left" vertical="center" wrapText="1"/>
      <protection locked="0"/>
    </xf>
    <xf numFmtId="14" fontId="1" fillId="0" borderId="1" xfId="0" quotePrefix="1" applyNumberFormat="1" applyFont="1" applyBorder="1" applyAlignment="1" applyProtection="1">
      <alignment horizontal="left" wrapText="1"/>
      <protection locked="0"/>
    </xf>
    <xf numFmtId="0" fontId="1" fillId="0" borderId="1" xfId="0" applyFont="1" applyBorder="1" applyAlignment="1" applyProtection="1">
      <alignment horizontal="left"/>
      <protection locked="0"/>
    </xf>
    <xf numFmtId="0" fontId="1" fillId="0" borderId="1" xfId="0" applyFont="1" applyBorder="1" applyAlignment="1" applyProtection="1">
      <alignment horizontal="left" wrapText="1"/>
      <protection locked="0"/>
    </xf>
    <xf numFmtId="0" fontId="1" fillId="0" borderId="1" xfId="0" quotePrefix="1" applyFont="1" applyBorder="1" applyAlignment="1" applyProtection="1">
      <alignment horizontal="left" wrapText="1"/>
      <protection locked="0"/>
    </xf>
    <xf numFmtId="0" fontId="19"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1" fillId="0" borderId="0" xfId="0" applyFont="1" applyAlignment="1">
      <alignment horizontal="left"/>
    </xf>
    <xf numFmtId="0" fontId="1" fillId="0" borderId="0" xfId="0" applyFont="1" applyAlignment="1">
      <alignment horizontal="left" vertical="center"/>
    </xf>
    <xf numFmtId="0" fontId="1" fillId="37" borderId="68" xfId="0" applyFont="1" applyFill="1" applyBorder="1" applyAlignment="1">
      <alignment horizontal="left"/>
    </xf>
    <xf numFmtId="0" fontId="1" fillId="0" borderId="38" xfId="0" applyFont="1" applyBorder="1" applyAlignment="1">
      <alignment horizontal="left"/>
    </xf>
    <xf numFmtId="0" fontId="1" fillId="37" borderId="69" xfId="0" applyFont="1" applyFill="1" applyBorder="1" applyAlignment="1">
      <alignment horizontal="left"/>
    </xf>
    <xf numFmtId="0" fontId="1" fillId="0" borderId="65" xfId="0" applyFont="1" applyBorder="1" applyAlignment="1">
      <alignment horizontal="left"/>
    </xf>
    <xf numFmtId="0" fontId="1" fillId="37" borderId="70" xfId="0" applyFont="1" applyFill="1" applyBorder="1" applyAlignment="1">
      <alignment horizontal="left"/>
    </xf>
    <xf numFmtId="0" fontId="1" fillId="0" borderId="46" xfId="0" applyFont="1" applyBorder="1" applyAlignment="1">
      <alignment horizontal="left"/>
    </xf>
    <xf numFmtId="0" fontId="1" fillId="0" borderId="0" xfId="0" applyFont="1" applyAlignment="1" applyProtection="1">
      <alignment horizontal="left" vertical="center"/>
      <protection locked="0"/>
    </xf>
    <xf numFmtId="0" fontId="1" fillId="37" borderId="30" xfId="0" applyFont="1" applyFill="1" applyBorder="1" applyAlignment="1">
      <alignment horizontal="left" vertical="center"/>
    </xf>
    <xf numFmtId="0" fontId="1" fillId="37" borderId="67" xfId="0" applyFont="1" applyFill="1" applyBorder="1" applyAlignment="1">
      <alignment horizontal="left" vertical="center"/>
    </xf>
    <xf numFmtId="0" fontId="1" fillId="0" borderId="35" xfId="0" applyFont="1" applyBorder="1" applyAlignment="1">
      <alignment horizontal="left"/>
    </xf>
    <xf numFmtId="0" fontId="1" fillId="0" borderId="15" xfId="0" applyFont="1" applyBorder="1" applyAlignment="1">
      <alignment horizontal="left" vertical="center"/>
    </xf>
    <xf numFmtId="0" fontId="1" fillId="37" borderId="71" xfId="0" applyFont="1" applyFill="1" applyBorder="1" applyAlignment="1">
      <alignment horizontal="left"/>
    </xf>
    <xf numFmtId="0" fontId="1" fillId="0" borderId="36" xfId="0" applyFont="1" applyBorder="1" applyAlignment="1">
      <alignment horizontal="left"/>
    </xf>
    <xf numFmtId="0" fontId="1" fillId="0" borderId="46" xfId="0" applyFont="1" applyBorder="1" applyAlignment="1">
      <alignment horizontal="left" vertical="center"/>
    </xf>
    <xf numFmtId="0" fontId="20" fillId="37" borderId="68" xfId="0" applyFont="1" applyFill="1" applyBorder="1" applyAlignment="1">
      <alignment horizontal="left"/>
    </xf>
    <xf numFmtId="0" fontId="17" fillId="2" borderId="6" xfId="0" applyFont="1" applyFill="1" applyBorder="1" applyAlignment="1" applyProtection="1">
      <alignment horizontal="center" vertical="center"/>
      <protection locked="0"/>
    </xf>
    <xf numFmtId="0" fontId="1" fillId="0" borderId="8" xfId="0" applyFont="1" applyBorder="1" applyAlignment="1">
      <alignment vertical="top"/>
    </xf>
    <xf numFmtId="0" fontId="1" fillId="0" borderId="64" xfId="0" applyFont="1" applyBorder="1" applyAlignment="1">
      <alignment vertical="top"/>
    </xf>
    <xf numFmtId="0" fontId="1" fillId="0" borderId="17" xfId="0" applyFont="1" applyBorder="1" applyAlignment="1">
      <alignment vertical="top"/>
    </xf>
    <xf numFmtId="0" fontId="1" fillId="0" borderId="8" xfId="0" applyFont="1" applyBorder="1"/>
    <xf numFmtId="0" fontId="1" fillId="0" borderId="17" xfId="0" applyFont="1" applyBorder="1"/>
    <xf numFmtId="0" fontId="1" fillId="0" borderId="37" xfId="0" applyFont="1" applyBorder="1"/>
    <xf numFmtId="0" fontId="1" fillId="0" borderId="64" xfId="0" applyFont="1" applyBorder="1"/>
    <xf numFmtId="0" fontId="16" fillId="0" borderId="31" xfId="0" applyFont="1" applyBorder="1"/>
    <xf numFmtId="0" fontId="16" fillId="0" borderId="19" xfId="0" applyFont="1" applyBorder="1" applyProtection="1">
      <protection locked="0"/>
    </xf>
    <xf numFmtId="0" fontId="11" fillId="0" borderId="50" xfId="0" applyFont="1" applyBorder="1"/>
    <xf numFmtId="0" fontId="8" fillId="0" borderId="13" xfId="0" applyFont="1" applyBorder="1"/>
    <xf numFmtId="0" fontId="12" fillId="0" borderId="50" xfId="0" applyFont="1" applyBorder="1"/>
    <xf numFmtId="0" fontId="22" fillId="6" borderId="17" xfId="0" applyFont="1" applyFill="1" applyBorder="1"/>
    <xf numFmtId="0" fontId="13" fillId="0" borderId="50" xfId="0" applyFont="1" applyBorder="1" applyAlignment="1">
      <alignment vertical="top"/>
    </xf>
    <xf numFmtId="0" fontId="8" fillId="0" borderId="13" xfId="0" applyFont="1" applyBorder="1" applyAlignment="1">
      <alignment vertical="top"/>
    </xf>
    <xf numFmtId="0" fontId="9" fillId="0" borderId="13" xfId="0" applyFont="1" applyBorder="1"/>
    <xf numFmtId="0" fontId="2" fillId="0" borderId="50" xfId="0" applyFont="1" applyBorder="1"/>
    <xf numFmtId="0" fontId="8" fillId="0" borderId="51" xfId="0" applyFont="1" applyBorder="1" applyAlignment="1">
      <alignment vertical="top"/>
    </xf>
    <xf numFmtId="0" fontId="1" fillId="0" borderId="1" xfId="1" quotePrefix="1" applyBorder="1"/>
    <xf numFmtId="0" fontId="1" fillId="0" borderId="23" xfId="0" quotePrefix="1" applyFont="1" applyBorder="1"/>
    <xf numFmtId="0" fontId="1" fillId="0" borderId="23" xfId="0" quotePrefix="1" applyFont="1" applyBorder="1" applyAlignment="1">
      <alignment wrapText="1"/>
    </xf>
    <xf numFmtId="0" fontId="1" fillId="0" borderId="55" xfId="0" applyFont="1" applyBorder="1"/>
    <xf numFmtId="0" fontId="1" fillId="0" borderId="52" xfId="0" applyFont="1" applyBorder="1"/>
    <xf numFmtId="0" fontId="1" fillId="6" borderId="1" xfId="1" applyFill="1" applyBorder="1" applyAlignment="1">
      <alignment wrapText="1"/>
    </xf>
    <xf numFmtId="0" fontId="1" fillId="0" borderId="39" xfId="0" applyFont="1" applyBorder="1"/>
    <xf numFmtId="0" fontId="1" fillId="0" borderId="5" xfId="0" applyFont="1" applyBorder="1"/>
    <xf numFmtId="0" fontId="1" fillId="0" borderId="0" xfId="0" applyFont="1" applyAlignment="1">
      <alignment vertical="center"/>
    </xf>
    <xf numFmtId="0" fontId="17" fillId="2" borderId="21" xfId="0" applyFont="1" applyFill="1" applyBorder="1" applyAlignment="1" applyProtection="1">
      <alignment horizontal="center" vertical="center"/>
      <protection locked="0"/>
    </xf>
    <xf numFmtId="0" fontId="17" fillId="2" borderId="22" xfId="0" applyFont="1" applyFill="1" applyBorder="1" applyAlignment="1" applyProtection="1">
      <alignment horizontal="center" vertical="center"/>
      <protection locked="0"/>
    </xf>
    <xf numFmtId="0" fontId="19" fillId="0" borderId="0" xfId="0" applyFont="1"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0" fillId="0" borderId="0" xfId="0" applyAlignment="1" applyProtection="1">
      <alignment horizontal="left" vertical="top"/>
      <protection locked="0"/>
    </xf>
    <xf numFmtId="0" fontId="1" fillId="0" borderId="0" xfId="0" applyFont="1" applyAlignment="1" applyProtection="1">
      <alignment horizontal="center" vertical="top"/>
      <protection locked="0"/>
    </xf>
    <xf numFmtId="0" fontId="1" fillId="0" borderId="0" xfId="0" applyFont="1" applyAlignment="1" applyProtection="1">
      <alignment horizontal="left" vertical="top"/>
      <protection locked="0"/>
    </xf>
    <xf numFmtId="0" fontId="17" fillId="2" borderId="63" xfId="0" applyFont="1" applyFill="1" applyBorder="1" applyAlignment="1" applyProtection="1">
      <alignment vertical="center"/>
      <protection locked="0"/>
    </xf>
    <xf numFmtId="0" fontId="17" fillId="2" borderId="38" xfId="0" applyFont="1" applyFill="1" applyBorder="1" applyAlignment="1" applyProtection="1">
      <alignment vertical="center"/>
      <protection locked="0"/>
    </xf>
    <xf numFmtId="0" fontId="1" fillId="0" borderId="72" xfId="0" applyFont="1" applyBorder="1" applyAlignment="1" applyProtection="1">
      <alignment horizontal="center" vertical="top"/>
      <protection locked="0"/>
    </xf>
    <xf numFmtId="0" fontId="1" fillId="0" borderId="74" xfId="0" applyFont="1" applyBorder="1" applyAlignment="1" applyProtection="1">
      <alignment horizontal="center" vertical="top"/>
      <protection locked="0"/>
    </xf>
    <xf numFmtId="164" fontId="1" fillId="0" borderId="40" xfId="0" applyNumberFormat="1" applyFont="1" applyBorder="1" applyAlignment="1" applyProtection="1">
      <alignment horizontal="center" vertical="top"/>
      <protection locked="0"/>
    </xf>
    <xf numFmtId="0" fontId="1" fillId="0" borderId="40" xfId="0" applyFont="1" applyBorder="1" applyAlignment="1" applyProtection="1">
      <alignment horizontal="left" vertical="top"/>
      <protection locked="0"/>
    </xf>
    <xf numFmtId="0" fontId="1" fillId="0" borderId="40" xfId="0" applyFont="1" applyBorder="1" applyAlignment="1" applyProtection="1">
      <alignment horizontal="center" vertical="top"/>
      <protection locked="0"/>
    </xf>
    <xf numFmtId="0" fontId="1" fillId="0" borderId="61" xfId="0" applyFont="1" applyBorder="1" applyAlignment="1" applyProtection="1">
      <alignment horizontal="center" vertical="top"/>
      <protection locked="0"/>
    </xf>
    <xf numFmtId="0" fontId="1" fillId="0" borderId="39"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0" fontId="1" fillId="0" borderId="75" xfId="0" applyFont="1" applyBorder="1" applyAlignment="1" applyProtection="1">
      <alignment horizontal="center" vertical="top"/>
      <protection locked="0"/>
    </xf>
    <xf numFmtId="0" fontId="1" fillId="0" borderId="10" xfId="0" applyFont="1" applyBorder="1" applyAlignment="1" applyProtection="1">
      <alignment horizontal="center" vertical="top"/>
      <protection locked="0"/>
    </xf>
    <xf numFmtId="164" fontId="1" fillId="0" borderId="1" xfId="0" applyNumberFormat="1" applyFont="1" applyBorder="1" applyAlignment="1" applyProtection="1">
      <alignment horizontal="center" vertical="top"/>
      <protection locked="0"/>
    </xf>
    <xf numFmtId="0" fontId="1" fillId="0" borderId="1" xfId="0" applyFont="1" applyBorder="1" applyAlignment="1" applyProtection="1">
      <alignment horizontal="left" vertical="top"/>
      <protection locked="0"/>
    </xf>
    <xf numFmtId="0" fontId="1" fillId="0" borderId="1" xfId="0" applyFont="1" applyBorder="1" applyAlignment="1" applyProtection="1">
      <alignment horizontal="center" vertical="top"/>
      <protection locked="0"/>
    </xf>
    <xf numFmtId="0" fontId="1" fillId="0" borderId="47" xfId="0" applyFont="1" applyBorder="1" applyAlignment="1" applyProtection="1">
      <alignment horizontal="center" vertical="top"/>
      <protection locked="0"/>
    </xf>
    <xf numFmtId="0" fontId="1" fillId="0" borderId="5" xfId="0" applyFont="1" applyBorder="1" applyAlignment="1" applyProtection="1">
      <alignment horizontal="center" vertical="top"/>
      <protection locked="0"/>
    </xf>
    <xf numFmtId="0" fontId="1" fillId="0" borderId="29" xfId="0" applyFont="1" applyBorder="1" applyAlignment="1" applyProtection="1">
      <alignment horizontal="center" vertical="top"/>
      <protection locked="0"/>
    </xf>
    <xf numFmtId="0" fontId="1" fillId="0" borderId="73" xfId="0" applyFont="1" applyBorder="1" applyAlignment="1" applyProtection="1">
      <alignment horizontal="center" vertical="top"/>
      <protection locked="0"/>
    </xf>
    <xf numFmtId="0" fontId="1" fillId="0" borderId="56" xfId="0" applyFont="1" applyBorder="1" applyAlignment="1" applyProtection="1">
      <alignment horizontal="center" vertical="top"/>
      <protection locked="0"/>
    </xf>
    <xf numFmtId="164" fontId="1" fillId="0" borderId="2" xfId="0" applyNumberFormat="1"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2" xfId="0" applyFont="1" applyBorder="1" applyAlignment="1" applyProtection="1">
      <alignment horizontal="center" vertical="top"/>
      <protection locked="0"/>
    </xf>
    <xf numFmtId="0" fontId="1" fillId="0" borderId="48" xfId="0" applyFont="1" applyBorder="1" applyAlignment="1" applyProtection="1">
      <alignment horizontal="center" vertical="top"/>
      <protection locked="0"/>
    </xf>
    <xf numFmtId="0" fontId="1" fillId="0" borderId="36" xfId="0" applyFont="1" applyBorder="1" applyAlignment="1" applyProtection="1">
      <alignment horizontal="center" vertical="top"/>
      <protection locked="0"/>
    </xf>
    <xf numFmtId="164" fontId="1" fillId="0" borderId="0" xfId="0" applyNumberFormat="1" applyFont="1" applyAlignment="1" applyProtection="1">
      <alignment horizontal="center" vertical="top"/>
      <protection locked="0"/>
    </xf>
    <xf numFmtId="0" fontId="1" fillId="37" borderId="19" xfId="0" applyFont="1" applyFill="1" applyBorder="1" applyAlignment="1" applyProtection="1">
      <alignment horizontal="center" vertical="top"/>
      <protection locked="0"/>
    </xf>
    <xf numFmtId="0" fontId="1" fillId="37" borderId="20" xfId="0" applyFont="1" applyFill="1" applyBorder="1" applyAlignment="1" applyProtection="1">
      <alignment horizontal="center" vertical="top"/>
      <protection locked="0"/>
    </xf>
    <xf numFmtId="0" fontId="1" fillId="37" borderId="29" xfId="0" applyFont="1" applyFill="1" applyBorder="1" applyAlignment="1" applyProtection="1">
      <alignment horizontal="center" vertical="top"/>
      <protection locked="0"/>
    </xf>
    <xf numFmtId="0" fontId="1" fillId="37" borderId="28" xfId="0" applyFont="1" applyFill="1" applyBorder="1" applyAlignment="1" applyProtection="1">
      <alignment horizontal="center" vertical="top"/>
      <protection locked="0"/>
    </xf>
    <xf numFmtId="0" fontId="1" fillId="37" borderId="2" xfId="0" applyFont="1" applyFill="1" applyBorder="1" applyAlignment="1" applyProtection="1">
      <alignment horizontal="center" vertical="top"/>
      <protection locked="0"/>
    </xf>
    <xf numFmtId="0" fontId="1" fillId="37" borderId="34" xfId="0" applyFont="1" applyFill="1" applyBorder="1" applyAlignment="1" applyProtection="1">
      <alignment horizontal="center" vertical="top"/>
      <protection locked="0"/>
    </xf>
    <xf numFmtId="0" fontId="1" fillId="0" borderId="64" xfId="0" applyFont="1" applyBorder="1" applyAlignment="1">
      <alignment horizontal="left"/>
    </xf>
    <xf numFmtId="0" fontId="1" fillId="0" borderId="67" xfId="0" applyFont="1" applyBorder="1" applyAlignment="1">
      <alignment horizontal="left" vertical="center"/>
    </xf>
    <xf numFmtId="0" fontId="24" fillId="4" borderId="9" xfId="0" applyFont="1" applyFill="1" applyBorder="1" applyAlignment="1">
      <alignment horizontal="left" vertical="top"/>
    </xf>
    <xf numFmtId="0" fontId="24" fillId="2" borderId="66" xfId="0" applyFont="1" applyFill="1" applyBorder="1" applyAlignment="1">
      <alignment horizontal="left" vertical="top"/>
    </xf>
    <xf numFmtId="0" fontId="24" fillId="2" borderId="27" xfId="0" applyFont="1" applyFill="1" applyBorder="1" applyAlignment="1">
      <alignment horizontal="left" vertical="top"/>
    </xf>
    <xf numFmtId="0" fontId="24" fillId="2" borderId="27" xfId="0" applyFont="1" applyFill="1" applyBorder="1" applyAlignment="1" applyProtection="1">
      <alignment horizontal="left" vertical="top"/>
      <protection locked="0"/>
    </xf>
    <xf numFmtId="0" fontId="24" fillId="4" borderId="27" xfId="0" applyFont="1" applyFill="1" applyBorder="1" applyAlignment="1">
      <alignment horizontal="left" vertical="top"/>
    </xf>
    <xf numFmtId="0" fontId="24" fillId="11" borderId="27" xfId="0" applyFont="1" applyFill="1" applyBorder="1" applyAlignment="1">
      <alignment horizontal="left" vertical="top"/>
    </xf>
    <xf numFmtId="0" fontId="24" fillId="12" borderId="27" xfId="0" applyFont="1" applyFill="1" applyBorder="1" applyAlignment="1">
      <alignment horizontal="left" vertical="top"/>
    </xf>
    <xf numFmtId="0" fontId="24" fillId="0" borderId="0" xfId="0" applyFont="1" applyAlignment="1">
      <alignment horizontal="left" vertical="top"/>
    </xf>
    <xf numFmtId="0" fontId="37" fillId="12" borderId="0" xfId="0" applyFont="1" applyFill="1" applyAlignment="1" applyProtection="1">
      <alignment vertical="center" wrapText="1"/>
      <protection locked="0"/>
    </xf>
    <xf numFmtId="0" fontId="15" fillId="11" borderId="0" xfId="0" applyFont="1" applyFill="1"/>
    <xf numFmtId="0" fontId="12" fillId="0" borderId="72" xfId="0" applyFont="1" applyBorder="1" applyAlignment="1">
      <alignment vertical="top"/>
    </xf>
    <xf numFmtId="0" fontId="9" fillId="0" borderId="75" xfId="0" applyFont="1" applyBorder="1" applyAlignment="1">
      <alignment vertical="top"/>
    </xf>
    <xf numFmtId="0" fontId="9" fillId="0" borderId="73" xfId="0" applyFont="1" applyBorder="1" applyAlignment="1">
      <alignment vertical="top"/>
    </xf>
    <xf numFmtId="0" fontId="1" fillId="0" borderId="68" xfId="0" applyFont="1" applyBorder="1" applyAlignment="1">
      <alignment vertical="top"/>
    </xf>
    <xf numFmtId="0" fontId="1" fillId="0" borderId="69" xfId="0" applyFont="1" applyBorder="1" applyAlignment="1">
      <alignment vertical="top"/>
    </xf>
    <xf numFmtId="0" fontId="1" fillId="0" borderId="70" xfId="0" applyFont="1" applyBorder="1" applyAlignment="1">
      <alignment horizontal="left" vertical="top"/>
    </xf>
    <xf numFmtId="0" fontId="36" fillId="5" borderId="45" xfId="0" applyFont="1" applyFill="1" applyBorder="1" applyAlignment="1">
      <alignment horizontal="left" vertical="top"/>
    </xf>
    <xf numFmtId="0" fontId="17" fillId="2" borderId="66" xfId="0" applyFont="1" applyFill="1" applyBorder="1" applyAlignment="1">
      <alignment horizontal="left" vertical="top"/>
    </xf>
    <xf numFmtId="0" fontId="17" fillId="2" borderId="27" xfId="0" applyFont="1" applyFill="1" applyBorder="1" applyAlignment="1">
      <alignment horizontal="left" vertical="top"/>
    </xf>
    <xf numFmtId="0" fontId="17" fillId="4" borderId="27" xfId="0" applyFont="1" applyFill="1" applyBorder="1" applyAlignment="1">
      <alignment horizontal="left" vertical="top"/>
    </xf>
    <xf numFmtId="0" fontId="17" fillId="2" borderId="3" xfId="0" applyFont="1" applyFill="1" applyBorder="1" applyAlignment="1">
      <alignment horizontal="left" vertical="top"/>
    </xf>
    <xf numFmtId="0" fontId="17" fillId="2" borderId="60" xfId="0" applyFont="1" applyFill="1" applyBorder="1" applyAlignment="1">
      <alignment horizontal="left" vertical="top"/>
    </xf>
    <xf numFmtId="0" fontId="17" fillId="2" borderId="27" xfId="0" applyFont="1" applyFill="1" applyBorder="1" applyAlignment="1" applyProtection="1">
      <alignment horizontal="left" vertical="top"/>
      <protection locked="0"/>
    </xf>
    <xf numFmtId="0" fontId="17" fillId="13" borderId="27" xfId="0" applyFont="1" applyFill="1" applyBorder="1" applyAlignment="1">
      <alignment horizontal="left" vertical="top"/>
    </xf>
    <xf numFmtId="0" fontId="17" fillId="7" borderId="27" xfId="0" applyFont="1" applyFill="1" applyBorder="1" applyAlignment="1">
      <alignment horizontal="left" vertical="top"/>
    </xf>
    <xf numFmtId="0" fontId="17" fillId="36" borderId="27" xfId="0" applyFont="1" applyFill="1" applyBorder="1" applyAlignment="1">
      <alignment horizontal="left" vertical="top"/>
    </xf>
    <xf numFmtId="0" fontId="17" fillId="2" borderId="27" xfId="0" applyFont="1" applyFill="1" applyBorder="1" applyAlignment="1">
      <alignment horizontal="left" vertical="top" wrapText="1"/>
    </xf>
    <xf numFmtId="0" fontId="17" fillId="2" borderId="9" xfId="0" applyFont="1" applyFill="1" applyBorder="1" applyAlignment="1">
      <alignment horizontal="left" vertical="top"/>
    </xf>
    <xf numFmtId="0" fontId="17" fillId="2" borderId="45" xfId="0" applyFont="1" applyFill="1" applyBorder="1" applyAlignment="1">
      <alignment horizontal="left" vertical="top"/>
    </xf>
    <xf numFmtId="0" fontId="2" fillId="0" borderId="0" xfId="0" applyFont="1" applyAlignment="1">
      <alignment vertical="center"/>
    </xf>
    <xf numFmtId="0" fontId="32" fillId="0" borderId="0" xfId="0" applyFont="1" applyAlignment="1">
      <alignment horizontal="justify" vertical="center"/>
    </xf>
    <xf numFmtId="0" fontId="1" fillId="0" borderId="47" xfId="0" quotePrefix="1" applyFont="1" applyBorder="1"/>
    <xf numFmtId="0" fontId="1" fillId="0" borderId="40" xfId="0" applyFont="1" applyBorder="1" applyProtection="1">
      <protection locked="0"/>
    </xf>
    <xf numFmtId="0" fontId="16" fillId="0" borderId="50" xfId="0" applyFont="1" applyBorder="1"/>
    <xf numFmtId="0" fontId="1" fillId="10" borderId="40" xfId="0" applyFont="1" applyFill="1" applyBorder="1"/>
    <xf numFmtId="0" fontId="1" fillId="0" borderId="40" xfId="0" applyFont="1" applyBorder="1" applyAlignment="1">
      <alignment horizontal="left" vertical="top"/>
    </xf>
    <xf numFmtId="0" fontId="33" fillId="0" borderId="40" xfId="0" applyFont="1" applyBorder="1" applyAlignment="1">
      <alignment horizontal="left" vertical="top"/>
    </xf>
    <xf numFmtId="0" fontId="1" fillId="10" borderId="2" xfId="0" applyFont="1" applyFill="1" applyBorder="1"/>
    <xf numFmtId="0" fontId="1" fillId="0" borderId="40" xfId="0" applyFont="1" applyBorder="1" applyAlignment="1">
      <alignment vertical="top"/>
    </xf>
    <xf numFmtId="0" fontId="11" fillId="0" borderId="50" xfId="0" applyFont="1" applyBorder="1" applyAlignment="1">
      <alignment vertical="top"/>
    </xf>
    <xf numFmtId="0" fontId="11" fillId="0" borderId="20" xfId="0" applyFont="1" applyBorder="1" applyAlignment="1">
      <alignment vertical="top"/>
    </xf>
    <xf numFmtId="0" fontId="8" fillId="0" borderId="6" xfId="0" applyFont="1" applyBorder="1" applyAlignment="1">
      <alignment vertical="top"/>
    </xf>
    <xf numFmtId="0" fontId="9" fillId="0" borderId="32" xfId="0" applyFont="1" applyBorder="1" applyAlignment="1">
      <alignment vertical="top"/>
    </xf>
    <xf numFmtId="0" fontId="2" fillId="0" borderId="54" xfId="0" applyFont="1" applyBorder="1"/>
    <xf numFmtId="0" fontId="2" fillId="0" borderId="2" xfId="0" applyFont="1" applyBorder="1"/>
    <xf numFmtId="0" fontId="14" fillId="0" borderId="42" xfId="0" applyFont="1" applyBorder="1" applyAlignment="1">
      <alignment vertical="top"/>
    </xf>
    <xf numFmtId="0" fontId="9" fillId="0" borderId="43" xfId="0" applyFont="1" applyBorder="1" applyAlignment="1">
      <alignment vertical="top"/>
    </xf>
    <xf numFmtId="0" fontId="14" fillId="0" borderId="20" xfId="0" applyFont="1" applyBorder="1" applyAlignment="1">
      <alignment vertical="top"/>
    </xf>
    <xf numFmtId="0" fontId="8" fillId="0" borderId="32" xfId="0" applyFont="1" applyBorder="1"/>
    <xf numFmtId="0" fontId="24" fillId="2" borderId="60" xfId="0" applyFont="1" applyFill="1" applyBorder="1" applyAlignment="1">
      <alignment horizontal="left" vertical="top"/>
    </xf>
    <xf numFmtId="0" fontId="9" fillId="0" borderId="33" xfId="0" applyFont="1" applyBorder="1" applyAlignment="1">
      <alignment vertical="top"/>
    </xf>
    <xf numFmtId="0" fontId="12" fillId="0" borderId="76" xfId="0" applyFont="1" applyBorder="1" applyAlignment="1">
      <alignment vertical="top"/>
    </xf>
    <xf numFmtId="0" fontId="9" fillId="0" borderId="14" xfId="0" applyFont="1" applyBorder="1" applyAlignment="1">
      <alignment vertical="top"/>
    </xf>
    <xf numFmtId="0" fontId="1" fillId="0" borderId="35" xfId="0" applyFont="1" applyBorder="1"/>
    <xf numFmtId="0" fontId="12" fillId="0" borderId="31" xfId="0" applyFont="1" applyBorder="1" applyAlignment="1">
      <alignment vertical="top"/>
    </xf>
    <xf numFmtId="0" fontId="9" fillId="0" borderId="0" xfId="0" applyFont="1" applyAlignment="1">
      <alignment vertical="top" wrapText="1"/>
    </xf>
    <xf numFmtId="0" fontId="12" fillId="0" borderId="13" xfId="0" applyFont="1" applyBorder="1" applyAlignment="1">
      <alignment vertical="top"/>
    </xf>
    <xf numFmtId="0" fontId="12" fillId="0" borderId="20" xfId="0" applyFont="1" applyBorder="1" applyAlignment="1">
      <alignment vertical="top"/>
    </xf>
    <xf numFmtId="0" fontId="8" fillId="0" borderId="0" xfId="0" applyFont="1"/>
    <xf numFmtId="0" fontId="40" fillId="14" borderId="25" xfId="0" applyFont="1" applyFill="1" applyBorder="1"/>
    <xf numFmtId="0" fontId="40" fillId="15" borderId="25" xfId="0" applyFont="1" applyFill="1" applyBorder="1"/>
    <xf numFmtId="0" fontId="40" fillId="16" borderId="25" xfId="0" applyFont="1" applyFill="1" applyBorder="1"/>
    <xf numFmtId="0" fontId="40" fillId="17" borderId="25" xfId="0" applyFont="1" applyFill="1" applyBorder="1"/>
    <xf numFmtId="0" fontId="40" fillId="18" borderId="25" xfId="0" applyFont="1" applyFill="1" applyBorder="1"/>
    <xf numFmtId="0" fontId="8" fillId="19" borderId="25" xfId="0" applyFont="1" applyFill="1" applyBorder="1"/>
    <xf numFmtId="0" fontId="40" fillId="20" borderId="25" xfId="0" applyFont="1" applyFill="1" applyBorder="1"/>
    <xf numFmtId="0" fontId="40" fillId="21" borderId="0" xfId="0" applyFont="1" applyFill="1"/>
    <xf numFmtId="0" fontId="9" fillId="22" borderId="25" xfId="0" applyFont="1" applyFill="1" applyBorder="1"/>
    <xf numFmtId="0" fontId="9" fillId="23" borderId="25" xfId="0" applyFont="1" applyFill="1" applyBorder="1"/>
    <xf numFmtId="0" fontId="9" fillId="24" borderId="25" xfId="0" applyFont="1" applyFill="1" applyBorder="1"/>
    <xf numFmtId="0" fontId="9" fillId="25" borderId="25" xfId="0" applyFont="1" applyFill="1" applyBorder="1"/>
    <xf numFmtId="0" fontId="9" fillId="26" borderId="25" xfId="0" applyFont="1" applyFill="1" applyBorder="1"/>
    <xf numFmtId="0" fontId="40" fillId="27" borderId="25" xfId="0" applyFont="1" applyFill="1" applyBorder="1"/>
    <xf numFmtId="0" fontId="9" fillId="28" borderId="25" xfId="0" applyFont="1" applyFill="1" applyBorder="1"/>
    <xf numFmtId="0" fontId="9" fillId="29" borderId="25" xfId="0" applyFont="1" applyFill="1" applyBorder="1"/>
    <xf numFmtId="0" fontId="40" fillId="13" borderId="25" xfId="0" applyFont="1" applyFill="1" applyBorder="1"/>
    <xf numFmtId="0" fontId="9" fillId="30" borderId="25" xfId="0" applyFont="1" applyFill="1" applyBorder="1"/>
    <xf numFmtId="0" fontId="9" fillId="6" borderId="25" xfId="0" applyFont="1" applyFill="1" applyBorder="1"/>
    <xf numFmtId="0" fontId="9" fillId="31" borderId="25" xfId="0" applyFont="1" applyFill="1" applyBorder="1"/>
    <xf numFmtId="0" fontId="40" fillId="32" borderId="25" xfId="0" applyFont="1" applyFill="1" applyBorder="1"/>
    <xf numFmtId="0" fontId="9" fillId="33" borderId="25" xfId="0" applyFont="1" applyFill="1" applyBorder="1"/>
    <xf numFmtId="0" fontId="8" fillId="0" borderId="51" xfId="0" applyFont="1" applyBorder="1"/>
    <xf numFmtId="0" fontId="8" fillId="0" borderId="33" xfId="0" applyFont="1" applyBorder="1"/>
    <xf numFmtId="0" fontId="8" fillId="0" borderId="62" xfId="0" applyFont="1" applyBorder="1"/>
    <xf numFmtId="0" fontId="9" fillId="34" borderId="22" xfId="0" applyFont="1" applyFill="1" applyBorder="1"/>
    <xf numFmtId="0" fontId="15" fillId="0" borderId="0" xfId="0" applyFont="1" applyAlignment="1">
      <alignment vertical="top"/>
    </xf>
    <xf numFmtId="0" fontId="17" fillId="3" borderId="41" xfId="0" applyFont="1" applyFill="1" applyBorder="1" applyAlignment="1" applyProtection="1">
      <alignment horizontal="left" vertical="top" wrapText="1"/>
      <protection locked="0"/>
    </xf>
    <xf numFmtId="0" fontId="8" fillId="0" borderId="22" xfId="0" applyFont="1" applyBorder="1" applyProtection="1">
      <protection locked="0"/>
    </xf>
    <xf numFmtId="0" fontId="39" fillId="0" borderId="13" xfId="0" applyFont="1" applyBorder="1"/>
    <xf numFmtId="0" fontId="39" fillId="0" borderId="25" xfId="0" applyFont="1" applyBorder="1"/>
    <xf numFmtId="0" fontId="39" fillId="0" borderId="25" xfId="0" applyFont="1" applyBorder="1" applyProtection="1">
      <protection locked="0"/>
    </xf>
    <xf numFmtId="0" fontId="38" fillId="0" borderId="25" xfId="0" applyFont="1" applyBorder="1"/>
    <xf numFmtId="0" fontId="39" fillId="0" borderId="32" xfId="0" applyFont="1" applyBorder="1"/>
    <xf numFmtId="0" fontId="39" fillId="0" borderId="26" xfId="0" applyFont="1" applyBorder="1"/>
    <xf numFmtId="0" fontId="38" fillId="0" borderId="0" xfId="0" applyFont="1"/>
    <xf numFmtId="0" fontId="9" fillId="0" borderId="25" xfId="0" applyFont="1" applyBorder="1" applyAlignment="1">
      <alignment horizontal="justify"/>
    </xf>
    <xf numFmtId="0" fontId="8" fillId="0" borderId="25" xfId="0" applyFont="1" applyBorder="1" applyAlignment="1">
      <alignment horizontal="justify"/>
    </xf>
    <xf numFmtId="0" fontId="38" fillId="0" borderId="13" xfId="0" applyFont="1" applyBorder="1"/>
    <xf numFmtId="0" fontId="9" fillId="0" borderId="32" xfId="0" applyFont="1" applyBorder="1"/>
    <xf numFmtId="0" fontId="38" fillId="0" borderId="32" xfId="0" applyFont="1" applyBorder="1"/>
    <xf numFmtId="0" fontId="9" fillId="0" borderId="26" xfId="0" applyFont="1" applyBorder="1"/>
    <xf numFmtId="0" fontId="9" fillId="0" borderId="43" xfId="0" applyFont="1" applyBorder="1"/>
    <xf numFmtId="0" fontId="38" fillId="0" borderId="26" xfId="0" applyFont="1" applyBorder="1"/>
    <xf numFmtId="0" fontId="8" fillId="0" borderId="43" xfId="0" applyFont="1" applyBorder="1"/>
    <xf numFmtId="0" fontId="9" fillId="0" borderId="51" xfId="0" applyFont="1" applyBorder="1"/>
    <xf numFmtId="0" fontId="9" fillId="0" borderId="33" xfId="0" applyFont="1" applyBorder="1"/>
    <xf numFmtId="0" fontId="9" fillId="0" borderId="6" xfId="0" applyFont="1" applyBorder="1"/>
    <xf numFmtId="0" fontId="17" fillId="38" borderId="3" xfId="0" applyFont="1" applyFill="1" applyBorder="1" applyAlignment="1" applyProtection="1">
      <alignment horizontal="left" vertical="top" wrapText="1"/>
      <protection locked="0"/>
    </xf>
    <xf numFmtId="0" fontId="17" fillId="38" borderId="41" xfId="0" applyFont="1" applyFill="1" applyBorder="1" applyAlignment="1" applyProtection="1">
      <alignment horizontal="left" vertical="top" wrapText="1"/>
      <protection locked="0"/>
    </xf>
    <xf numFmtId="0" fontId="17" fillId="38" borderId="40" xfId="0" applyFont="1" applyFill="1" applyBorder="1" applyAlignment="1" applyProtection="1">
      <alignment horizontal="left" vertical="top" wrapText="1"/>
      <protection locked="0"/>
    </xf>
    <xf numFmtId="0" fontId="8" fillId="0" borderId="43" xfId="0" applyFont="1" applyBorder="1" applyAlignment="1">
      <alignment vertical="top" wrapText="1"/>
    </xf>
    <xf numFmtId="0" fontId="9" fillId="0" borderId="43" xfId="0" applyFont="1" applyBorder="1" applyAlignment="1">
      <alignment horizontal="justify"/>
    </xf>
    <xf numFmtId="0" fontId="9" fillId="0" borderId="26" xfId="0" applyFont="1" applyBorder="1" applyAlignment="1">
      <alignment horizontal="justify"/>
    </xf>
    <xf numFmtId="0" fontId="8" fillId="0" borderId="43" xfId="0" applyFont="1" applyBorder="1" applyAlignment="1">
      <alignment horizontal="justify"/>
    </xf>
    <xf numFmtId="0" fontId="8" fillId="0" borderId="26" xfId="0" applyFont="1" applyBorder="1" applyAlignment="1">
      <alignment horizontal="justify"/>
    </xf>
    <xf numFmtId="0" fontId="41" fillId="0" borderId="0" xfId="0" applyFont="1" applyAlignment="1">
      <alignment vertical="top"/>
    </xf>
    <xf numFmtId="0" fontId="9" fillId="0" borderId="0" xfId="0" applyFont="1" applyAlignment="1">
      <alignment horizontal="left" vertical="top"/>
    </xf>
    <xf numFmtId="0" fontId="38" fillId="0" borderId="0" xfId="0" applyFont="1" applyAlignment="1">
      <alignment vertical="top"/>
    </xf>
    <xf numFmtId="0" fontId="8" fillId="0" borderId="44" xfId="0" applyFont="1" applyBorder="1"/>
    <xf numFmtId="0" fontId="8" fillId="0" borderId="24" xfId="0" applyFont="1" applyBorder="1"/>
    <xf numFmtId="0" fontId="8" fillId="0" borderId="21" xfId="0" applyFont="1" applyBorder="1"/>
    <xf numFmtId="0" fontId="24" fillId="35" borderId="77" xfId="0" applyFont="1" applyFill="1" applyBorder="1" applyAlignment="1">
      <alignment horizontal="left" vertical="center" wrapText="1"/>
    </xf>
    <xf numFmtId="0" fontId="1" fillId="0" borderId="1" xfId="0" applyFont="1" applyBorder="1" applyAlignment="1" applyProtection="1">
      <alignment horizontal="center" vertical="center" wrapText="1"/>
      <protection locked="0"/>
    </xf>
    <xf numFmtId="0" fontId="1" fillId="0" borderId="0" xfId="1"/>
    <xf numFmtId="0" fontId="1" fillId="0" borderId="0" xfId="1" applyProtection="1">
      <protection locked="0"/>
    </xf>
    <xf numFmtId="0" fontId="25" fillId="0" borderId="0" xfId="1" applyFont="1" applyProtection="1">
      <protection locked="0"/>
    </xf>
    <xf numFmtId="0" fontId="1" fillId="0" borderId="0" xfId="1" applyAlignment="1">
      <alignment vertical="top"/>
    </xf>
    <xf numFmtId="0" fontId="20" fillId="0" borderId="0" xfId="1" applyFont="1" applyAlignment="1">
      <alignment vertical="center"/>
    </xf>
    <xf numFmtId="0" fontId="24" fillId="4" borderId="31" xfId="1" applyFont="1" applyFill="1" applyBorder="1" applyAlignment="1">
      <alignment horizontal="centerContinuous"/>
    </xf>
    <xf numFmtId="0" fontId="24" fillId="4" borderId="42" xfId="1" applyFont="1" applyFill="1" applyBorder="1" applyAlignment="1">
      <alignment horizontal="centerContinuous"/>
    </xf>
    <xf numFmtId="0" fontId="24" fillId="2" borderId="50" xfId="1" applyFont="1" applyFill="1" applyBorder="1" applyAlignment="1">
      <alignment horizontal="left" vertical="top"/>
    </xf>
    <xf numFmtId="0" fontId="24" fillId="2" borderId="19" xfId="1" applyFont="1" applyFill="1" applyBorder="1" applyAlignment="1">
      <alignment horizontal="left" vertical="top"/>
    </xf>
    <xf numFmtId="0" fontId="24" fillId="2" borderId="19" xfId="1" applyFont="1" applyFill="1" applyBorder="1" applyAlignment="1" applyProtection="1">
      <alignment horizontal="left" vertical="top"/>
      <protection locked="0"/>
    </xf>
    <xf numFmtId="0" fontId="36" fillId="5" borderId="57" xfId="1" applyFont="1" applyFill="1" applyBorder="1" applyAlignment="1">
      <alignment horizontal="left" vertical="top"/>
    </xf>
    <xf numFmtId="0" fontId="24" fillId="11" borderId="19" xfId="1" applyFont="1" applyFill="1" applyBorder="1" applyAlignment="1">
      <alignment horizontal="left" vertical="top"/>
    </xf>
    <xf numFmtId="0" fontId="24" fillId="12" borderId="19" xfId="1" applyFont="1" applyFill="1" applyBorder="1" applyAlignment="1">
      <alignment horizontal="left" vertical="top"/>
    </xf>
    <xf numFmtId="0" fontId="36" fillId="5" borderId="19" xfId="1" applyFont="1" applyFill="1" applyBorder="1" applyAlignment="1">
      <alignment horizontal="left" vertical="top"/>
    </xf>
    <xf numFmtId="0" fontId="24" fillId="13" borderId="19" xfId="1" applyFont="1" applyFill="1" applyBorder="1" applyAlignment="1">
      <alignment horizontal="left" vertical="top"/>
    </xf>
    <xf numFmtId="0" fontId="24" fillId="3" borderId="19" xfId="1" applyFont="1" applyFill="1" applyBorder="1" applyAlignment="1">
      <alignment horizontal="left" vertical="top"/>
    </xf>
    <xf numFmtId="0" fontId="36" fillId="5" borderId="57" xfId="1" applyFont="1" applyFill="1" applyBorder="1" applyAlignment="1">
      <alignment horizontal="left" vertical="top" wrapText="1"/>
    </xf>
    <xf numFmtId="0" fontId="24" fillId="13" borderId="19" xfId="1" applyFont="1" applyFill="1" applyBorder="1" applyAlignment="1">
      <alignment horizontal="left" vertical="top" wrapText="1"/>
    </xf>
    <xf numFmtId="0" fontId="24" fillId="13" borderId="31" xfId="1" applyFont="1" applyFill="1" applyBorder="1" applyAlignment="1">
      <alignment horizontal="left" vertical="top"/>
    </xf>
    <xf numFmtId="0" fontId="37" fillId="39" borderId="19" xfId="1" applyFont="1" applyFill="1" applyBorder="1" applyAlignment="1" applyProtection="1">
      <alignment horizontal="left" vertical="top" wrapText="1"/>
      <protection locked="0"/>
    </xf>
    <xf numFmtId="0" fontId="24" fillId="0" borderId="0" xfId="1" applyFont="1" applyAlignment="1">
      <alignment horizontal="left" vertical="top"/>
    </xf>
    <xf numFmtId="0" fontId="42" fillId="0" borderId="0" xfId="1" applyFont="1" applyAlignment="1">
      <alignment vertical="top"/>
    </xf>
    <xf numFmtId="0" fontId="42" fillId="0" borderId="43" xfId="1" applyFont="1" applyBorder="1" applyAlignment="1">
      <alignment vertical="top"/>
    </xf>
    <xf numFmtId="0" fontId="1" fillId="0" borderId="23" xfId="1" applyBorder="1" applyAlignment="1">
      <alignment horizontal="center"/>
    </xf>
    <xf numFmtId="0" fontId="1" fillId="0" borderId="23" xfId="1" applyBorder="1" applyAlignment="1">
      <alignment horizontal="left"/>
    </xf>
    <xf numFmtId="0" fontId="1" fillId="6" borderId="23" xfId="1" applyFill="1" applyBorder="1" applyAlignment="1">
      <alignment horizontal="left"/>
    </xf>
    <xf numFmtId="0" fontId="1" fillId="0" borderId="23" xfId="1" applyBorder="1" applyAlignment="1">
      <alignment horizontal="left" wrapText="1"/>
    </xf>
    <xf numFmtId="0" fontId="1" fillId="0" borderId="23" xfId="1" applyBorder="1"/>
    <xf numFmtId="0" fontId="1" fillId="0" borderId="7" xfId="1" applyBorder="1" applyAlignment="1">
      <alignment vertical="top"/>
    </xf>
    <xf numFmtId="0" fontId="15" fillId="0" borderId="0" xfId="1" applyFont="1"/>
    <xf numFmtId="0" fontId="24" fillId="2" borderId="0" xfId="1" applyFont="1" applyFill="1"/>
    <xf numFmtId="0" fontId="1" fillId="0" borderId="1" xfId="1" applyBorder="1" applyAlignment="1">
      <alignment horizontal="center"/>
    </xf>
    <xf numFmtId="0" fontId="1" fillId="0" borderId="4" xfId="1" applyBorder="1" applyAlignment="1">
      <alignment vertical="top"/>
    </xf>
    <xf numFmtId="0" fontId="1" fillId="5" borderId="0" xfId="1" applyFill="1"/>
    <xf numFmtId="0" fontId="1" fillId="3" borderId="0" xfId="1" applyFill="1"/>
    <xf numFmtId="0" fontId="37" fillId="12" borderId="0" xfId="1" applyFont="1" applyFill="1" applyAlignment="1" applyProtection="1">
      <alignment vertical="center" wrapText="1"/>
      <protection locked="0"/>
    </xf>
    <xf numFmtId="0" fontId="15" fillId="11" borderId="0" xfId="1" applyFont="1" applyFill="1"/>
    <xf numFmtId="0" fontId="33" fillId="6" borderId="23" xfId="1" applyFont="1" applyFill="1" applyBorder="1" applyAlignment="1">
      <alignment horizontal="center"/>
    </xf>
    <xf numFmtId="0" fontId="1" fillId="0" borderId="1" xfId="1" applyBorder="1" applyAlignment="1">
      <alignment horizontal="left"/>
    </xf>
    <xf numFmtId="0" fontId="33" fillId="6" borderId="1" xfId="1" applyFont="1" applyFill="1" applyBorder="1"/>
    <xf numFmtId="0" fontId="33" fillId="6" borderId="1" xfId="1" applyFont="1" applyFill="1" applyBorder="1" applyAlignment="1">
      <alignment horizontal="center"/>
    </xf>
    <xf numFmtId="0" fontId="33" fillId="6" borderId="23" xfId="1" applyFont="1" applyFill="1" applyBorder="1" applyAlignment="1">
      <alignment horizontal="left"/>
    </xf>
    <xf numFmtId="0" fontId="33" fillId="6" borderId="1" xfId="1" quotePrefix="1" applyFont="1" applyFill="1" applyBorder="1"/>
    <xf numFmtId="0" fontId="33" fillId="6" borderId="1" xfId="1" applyFont="1" applyFill="1" applyBorder="1" applyAlignment="1">
      <alignment horizontal="left"/>
    </xf>
    <xf numFmtId="0" fontId="43" fillId="37" borderId="23" xfId="1" applyFont="1" applyFill="1" applyBorder="1" applyAlignment="1">
      <alignment horizontal="left"/>
    </xf>
    <xf numFmtId="0" fontId="43" fillId="37" borderId="1" xfId="1" applyFont="1" applyFill="1" applyBorder="1" applyAlignment="1">
      <alignment horizontal="left"/>
    </xf>
    <xf numFmtId="0" fontId="43" fillId="0" borderId="1" xfId="1" applyFont="1" applyBorder="1" applyAlignment="1">
      <alignment horizontal="left"/>
    </xf>
    <xf numFmtId="0" fontId="43" fillId="37" borderId="1" xfId="1" applyFont="1" applyFill="1" applyBorder="1"/>
    <xf numFmtId="0" fontId="1" fillId="0" borderId="17" xfId="1" applyBorder="1"/>
    <xf numFmtId="0" fontId="1" fillId="0" borderId="2" xfId="1" applyBorder="1"/>
    <xf numFmtId="0" fontId="1" fillId="0" borderId="2" xfId="1" applyBorder="1" applyAlignment="1" applyProtection="1">
      <alignment horizontal="right"/>
      <protection locked="0"/>
    </xf>
    <xf numFmtId="0" fontId="1" fillId="0" borderId="2" xfId="1" applyBorder="1" applyAlignment="1">
      <alignment horizontal="centerContinuous"/>
    </xf>
    <xf numFmtId="0" fontId="1" fillId="6" borderId="2" xfId="1" applyFill="1" applyBorder="1" applyAlignment="1">
      <alignment horizontal="centerContinuous"/>
    </xf>
    <xf numFmtId="0" fontId="1" fillId="0" borderId="2" xfId="1" applyBorder="1" applyAlignment="1">
      <alignment horizontal="left"/>
    </xf>
    <xf numFmtId="0" fontId="1" fillId="0" borderId="48" xfId="1" applyBorder="1"/>
    <xf numFmtId="0" fontId="1" fillId="0" borderId="34" xfId="1" applyBorder="1" applyAlignment="1">
      <alignment vertical="top"/>
    </xf>
    <xf numFmtId="0" fontId="33" fillId="6" borderId="0" xfId="1" applyFont="1" applyFill="1"/>
    <xf numFmtId="0" fontId="33" fillId="6" borderId="0" xfId="1" applyFont="1" applyFill="1" applyProtection="1">
      <protection locked="0"/>
    </xf>
    <xf numFmtId="0" fontId="1" fillId="0" borderId="50" xfId="1" applyBorder="1" applyAlignment="1">
      <alignment vertical="top"/>
    </xf>
    <xf numFmtId="0" fontId="1" fillId="0" borderId="31" xfId="1" applyBorder="1" applyAlignment="1">
      <alignment vertical="top"/>
    </xf>
    <xf numFmtId="0" fontId="1" fillId="0" borderId="19" xfId="1" applyBorder="1" applyAlignment="1" applyProtection="1">
      <alignment vertical="top"/>
      <protection locked="0"/>
    </xf>
    <xf numFmtId="0" fontId="1" fillId="0" borderId="19" xfId="1" applyBorder="1" applyAlignment="1">
      <alignment vertical="top"/>
    </xf>
    <xf numFmtId="0" fontId="1" fillId="0" borderId="20" xfId="1" applyBorder="1" applyAlignment="1">
      <alignment vertical="top"/>
    </xf>
    <xf numFmtId="0" fontId="1" fillId="0" borderId="51" xfId="1" applyBorder="1" applyAlignment="1">
      <alignment vertical="top"/>
    </xf>
    <xf numFmtId="0" fontId="1" fillId="0" borderId="33" xfId="1" applyBorder="1" applyAlignment="1">
      <alignment vertical="top"/>
    </xf>
    <xf numFmtId="0" fontId="1" fillId="0" borderId="22" xfId="1" applyBorder="1" applyAlignment="1" applyProtection="1">
      <alignment vertical="top"/>
      <protection locked="0"/>
    </xf>
    <xf numFmtId="0" fontId="1" fillId="0" borderId="22" xfId="1" applyBorder="1" applyAlignment="1">
      <alignment vertical="top"/>
    </xf>
    <xf numFmtId="0" fontId="1" fillId="0" borderId="6" xfId="1" applyBorder="1" applyAlignment="1">
      <alignment vertical="top"/>
    </xf>
    <xf numFmtId="0" fontId="21" fillId="0" borderId="0" xfId="1" applyFont="1" applyAlignment="1">
      <alignment vertical="top"/>
    </xf>
    <xf numFmtId="0" fontId="1" fillId="0" borderId="0" xfId="1" applyAlignment="1">
      <alignment horizontal="left" vertical="top"/>
    </xf>
    <xf numFmtId="0" fontId="12" fillId="0" borderId="0" xfId="1" applyFont="1" applyAlignment="1">
      <alignment vertical="top"/>
    </xf>
    <xf numFmtId="0" fontId="9" fillId="0" borderId="0" xfId="1" applyFont="1" applyAlignment="1">
      <alignment vertical="top"/>
    </xf>
    <xf numFmtId="0" fontId="17" fillId="36" borderId="27" xfId="0" applyFont="1" applyFill="1" applyBorder="1" applyAlignment="1">
      <alignment horizontal="left" vertical="top" wrapText="1"/>
    </xf>
    <xf numFmtId="0" fontId="1" fillId="0" borderId="1" xfId="0" quotePrefix="1" applyFont="1" applyBorder="1" applyAlignment="1" applyProtection="1">
      <alignment horizontal="left"/>
      <protection locked="0"/>
    </xf>
    <xf numFmtId="0" fontId="1" fillId="37" borderId="27" xfId="0" applyFont="1" applyFill="1" applyBorder="1" applyAlignment="1">
      <alignment horizontal="left" vertical="center"/>
    </xf>
    <xf numFmtId="0" fontId="1" fillId="0" borderId="40" xfId="0" applyFont="1" applyBorder="1" applyAlignment="1">
      <alignment horizontal="left" vertical="center"/>
    </xf>
    <xf numFmtId="0" fontId="1" fillId="0" borderId="23" xfId="0" applyFont="1" applyBorder="1" applyAlignment="1">
      <alignment horizontal="left" vertical="center"/>
    </xf>
    <xf numFmtId="0" fontId="1" fillId="0" borderId="22" xfId="0" applyFont="1" applyBorder="1" applyAlignment="1">
      <alignment horizontal="left" vertical="center"/>
    </xf>
    <xf numFmtId="0" fontId="24" fillId="0" borderId="0" xfId="0" applyFont="1" applyAlignment="1">
      <alignment horizontal="centerContinuous"/>
    </xf>
    <xf numFmtId="0" fontId="2" fillId="0" borderId="45" xfId="0" applyFont="1" applyBorder="1"/>
    <xf numFmtId="0" fontId="48" fillId="0" borderId="0" xfId="0" applyFont="1" applyAlignment="1">
      <alignment vertical="center"/>
    </xf>
    <xf numFmtId="0" fontId="1" fillId="0" borderId="1" xfId="0" quotePrefix="1" applyFont="1" applyBorder="1" applyAlignment="1">
      <alignment horizontal="left" wrapText="1"/>
    </xf>
    <xf numFmtId="0" fontId="24" fillId="3" borderId="60" xfId="1" applyFont="1" applyFill="1" applyBorder="1" applyAlignment="1">
      <alignment horizontal="centerContinuous"/>
    </xf>
    <xf numFmtId="0" fontId="24" fillId="3" borderId="9" xfId="1" applyFont="1" applyFill="1" applyBorder="1" applyAlignment="1">
      <alignment horizontal="centerContinuous"/>
    </xf>
    <xf numFmtId="0" fontId="24" fillId="2" borderId="66" xfId="1" applyFont="1" applyFill="1" applyBorder="1" applyAlignment="1">
      <alignment horizontal="left" vertical="top"/>
    </xf>
    <xf numFmtId="0" fontId="24" fillId="2" borderId="27" xfId="1" applyFont="1" applyFill="1" applyBorder="1" applyAlignment="1">
      <alignment horizontal="left" vertical="top"/>
    </xf>
    <xf numFmtId="0" fontId="24" fillId="2" borderId="27" xfId="1" applyFont="1" applyFill="1" applyBorder="1" applyAlignment="1" applyProtection="1">
      <alignment horizontal="left" vertical="top"/>
      <protection locked="0"/>
    </xf>
    <xf numFmtId="0" fontId="24" fillId="3" borderId="27" xfId="1" applyFont="1" applyFill="1" applyBorder="1" applyAlignment="1">
      <alignment horizontal="left" vertical="top"/>
    </xf>
    <xf numFmtId="0" fontId="24" fillId="11" borderId="27" xfId="1" applyFont="1" applyFill="1" applyBorder="1" applyAlignment="1">
      <alignment horizontal="left" vertical="top"/>
    </xf>
    <xf numFmtId="0" fontId="24" fillId="12" borderId="27" xfId="1" applyFont="1" applyFill="1" applyBorder="1" applyAlignment="1">
      <alignment horizontal="left" vertical="top"/>
    </xf>
    <xf numFmtId="0" fontId="24" fillId="3" borderId="3" xfId="1" applyFont="1" applyFill="1" applyBorder="1" applyAlignment="1">
      <alignment horizontal="left" vertical="top"/>
    </xf>
    <xf numFmtId="0" fontId="37" fillId="39" borderId="40" xfId="1" applyFont="1" applyFill="1" applyBorder="1" applyAlignment="1" applyProtection="1">
      <alignment horizontal="left" vertical="top" wrapText="1"/>
      <protection locked="0"/>
    </xf>
    <xf numFmtId="0" fontId="43" fillId="0" borderId="8" xfId="1" applyFont="1" applyBorder="1"/>
    <xf numFmtId="0" fontId="1" fillId="0" borderId="23" xfId="1" applyBorder="1" applyProtection="1">
      <protection locked="0"/>
    </xf>
    <xf numFmtId="0" fontId="1" fillId="0" borderId="7" xfId="1" applyBorder="1"/>
    <xf numFmtId="0" fontId="43" fillId="0" borderId="41" xfId="1" applyFont="1" applyBorder="1" applyAlignment="1">
      <alignment vertical="top"/>
    </xf>
    <xf numFmtId="0" fontId="49" fillId="0" borderId="0" xfId="1" applyFont="1"/>
    <xf numFmtId="0" fontId="43" fillId="2" borderId="0" xfId="1" applyFont="1" applyFill="1"/>
    <xf numFmtId="0" fontId="43" fillId="0" borderId="0" xfId="1" applyFont="1"/>
    <xf numFmtId="0" fontId="43" fillId="0" borderId="0" xfId="1" applyFont="1" applyAlignment="1">
      <alignment vertical="top"/>
    </xf>
    <xf numFmtId="0" fontId="1" fillId="0" borderId="1" xfId="1" applyBorder="1" applyProtection="1">
      <protection locked="0"/>
    </xf>
    <xf numFmtId="0" fontId="43" fillId="0" borderId="4" xfId="1" applyFont="1" applyBorder="1" applyAlignment="1">
      <alignment vertical="top"/>
    </xf>
    <xf numFmtId="0" fontId="43" fillId="5" borderId="0" xfId="1" applyFont="1" applyFill="1"/>
    <xf numFmtId="0" fontId="43" fillId="3" borderId="0" xfId="1" applyFont="1" applyFill="1"/>
    <xf numFmtId="0" fontId="49" fillId="12" borderId="0" xfId="1" applyFont="1" applyFill="1" applyAlignment="1" applyProtection="1">
      <alignment vertical="center"/>
      <protection locked="0"/>
    </xf>
    <xf numFmtId="0" fontId="49" fillId="11" borderId="0" xfId="1" applyFont="1" applyFill="1"/>
    <xf numFmtId="0" fontId="1" fillId="0" borderId="1" xfId="1" quotePrefix="1" applyBorder="1" applyAlignment="1">
      <alignment wrapText="1"/>
    </xf>
    <xf numFmtId="0" fontId="1" fillId="0" borderId="4" xfId="1" applyBorder="1"/>
    <xf numFmtId="0" fontId="1" fillId="0" borderId="49" xfId="1" applyBorder="1" applyAlignment="1">
      <alignment horizontal="left" vertical="top"/>
    </xf>
    <xf numFmtId="1" fontId="1" fillId="0" borderId="1" xfId="1" applyNumberFormat="1" applyBorder="1" applyProtection="1">
      <protection locked="0"/>
    </xf>
    <xf numFmtId="0" fontId="43" fillId="0" borderId="28" xfId="1" applyFont="1" applyBorder="1" applyAlignment="1">
      <alignment vertical="top"/>
    </xf>
    <xf numFmtId="0" fontId="1" fillId="0" borderId="29" xfId="1" quotePrefix="1" applyBorder="1"/>
    <xf numFmtId="0" fontId="1" fillId="0" borderId="28" xfId="1" applyBorder="1"/>
    <xf numFmtId="0" fontId="1" fillId="0" borderId="28" xfId="1" applyBorder="1" applyAlignment="1">
      <alignment wrapText="1"/>
    </xf>
    <xf numFmtId="0" fontId="1" fillId="0" borderId="29" xfId="1" applyBorder="1"/>
    <xf numFmtId="0" fontId="1" fillId="0" borderId="34" xfId="1" applyBorder="1"/>
    <xf numFmtId="0" fontId="1" fillId="0" borderId="0" xfId="0" applyFont="1" applyAlignment="1">
      <alignment wrapText="1"/>
    </xf>
    <xf numFmtId="0" fontId="1" fillId="24" borderId="0" xfId="1" applyFill="1"/>
    <xf numFmtId="0" fontId="17" fillId="2" borderId="31" xfId="0" applyFont="1" applyFill="1" applyBorder="1" applyAlignment="1" applyProtection="1">
      <alignment horizontal="center" vertical="center" wrapText="1"/>
      <protection locked="0"/>
    </xf>
    <xf numFmtId="0" fontId="17" fillId="2" borderId="33" xfId="0" applyFont="1" applyFill="1" applyBorder="1" applyAlignment="1" applyProtection="1">
      <alignment horizontal="center" vertical="center" wrapText="1"/>
      <protection locked="0"/>
    </xf>
    <xf numFmtId="0" fontId="17" fillId="2" borderId="37" xfId="0" applyFont="1" applyFill="1" applyBorder="1" applyAlignment="1" applyProtection="1">
      <alignment horizontal="center" vertical="center"/>
      <protection locked="0"/>
    </xf>
    <xf numFmtId="0" fontId="17" fillId="2" borderId="63" xfId="0" applyFont="1" applyFill="1" applyBorder="1" applyAlignment="1" applyProtection="1">
      <alignment horizontal="center" vertical="center"/>
      <protection locked="0"/>
    </xf>
    <xf numFmtId="0" fontId="17" fillId="2" borderId="72" xfId="0" applyFont="1" applyFill="1" applyBorder="1" applyAlignment="1" applyProtection="1">
      <alignment horizontal="center" vertical="center" wrapText="1"/>
      <protection locked="0"/>
    </xf>
    <xf numFmtId="0" fontId="17" fillId="2" borderId="73" xfId="0" applyFont="1" applyFill="1" applyBorder="1" applyAlignment="1" applyProtection="1">
      <alignment horizontal="center" vertical="center"/>
      <protection locked="0"/>
    </xf>
    <xf numFmtId="0" fontId="17" fillId="2" borderId="42" xfId="0" applyFont="1" applyFill="1" applyBorder="1" applyAlignment="1" applyProtection="1">
      <alignment horizontal="center" vertical="center" wrapText="1"/>
      <protection locked="0"/>
    </xf>
    <xf numFmtId="0" fontId="17" fillId="2" borderId="44" xfId="0" applyFont="1" applyFill="1" applyBorder="1" applyAlignment="1" applyProtection="1">
      <alignment horizontal="center" vertical="center"/>
      <protection locked="0"/>
    </xf>
    <xf numFmtId="164" fontId="17" fillId="2" borderId="19" xfId="0" applyNumberFormat="1" applyFont="1" applyFill="1" applyBorder="1" applyAlignment="1" applyProtection="1">
      <alignment horizontal="center" vertical="center" wrapText="1"/>
      <protection locked="0"/>
    </xf>
    <xf numFmtId="164" fontId="17" fillId="2" borderId="22" xfId="0" applyNumberFormat="1" applyFont="1" applyFill="1" applyBorder="1" applyAlignment="1" applyProtection="1">
      <alignment horizontal="center" vertical="center"/>
      <protection locked="0"/>
    </xf>
    <xf numFmtId="0" fontId="17" fillId="2" borderId="19" xfId="0" applyFont="1" applyFill="1" applyBorder="1" applyAlignment="1" applyProtection="1">
      <alignment horizontal="center" vertical="center" wrapText="1"/>
      <protection locked="0"/>
    </xf>
    <xf numFmtId="0" fontId="17" fillId="2" borderId="22" xfId="0" applyFont="1" applyFill="1" applyBorder="1" applyAlignment="1" applyProtection="1">
      <alignment horizontal="center" vertical="center"/>
      <protection locked="0"/>
    </xf>
    <xf numFmtId="0" fontId="1" fillId="0" borderId="25" xfId="1" applyBorder="1" applyAlignment="1">
      <alignment horizontal="left" vertical="center"/>
    </xf>
    <xf numFmtId="0" fontId="1" fillId="0" borderId="23" xfId="1" applyBorder="1" applyAlignment="1">
      <alignment horizontal="left" vertical="center"/>
    </xf>
    <xf numFmtId="0" fontId="1" fillId="0" borderId="25" xfId="1" quotePrefix="1" applyBorder="1" applyAlignment="1">
      <alignment horizontal="left" vertical="center"/>
    </xf>
    <xf numFmtId="0" fontId="1" fillId="0" borderId="78" xfId="1" applyBorder="1" applyAlignment="1">
      <alignment horizontal="center"/>
    </xf>
    <xf numFmtId="0" fontId="1" fillId="0" borderId="24" xfId="1" applyBorder="1" applyAlignment="1">
      <alignment horizontal="center"/>
    </xf>
    <xf numFmtId="0" fontId="1" fillId="0" borderId="35" xfId="1" applyBorder="1" applyAlignment="1">
      <alignment horizontal="center"/>
    </xf>
    <xf numFmtId="0" fontId="33" fillId="6" borderId="29" xfId="1" applyFont="1" applyFill="1" applyBorder="1" applyAlignment="1">
      <alignment horizontal="center" vertical="center"/>
    </xf>
    <xf numFmtId="0" fontId="33" fillId="6" borderId="25" xfId="1" applyFont="1" applyFill="1" applyBorder="1" applyAlignment="1">
      <alignment horizontal="center" vertical="center"/>
    </xf>
    <xf numFmtId="0" fontId="33" fillId="6" borderId="23" xfId="1" applyFont="1" applyFill="1" applyBorder="1" applyAlignment="1">
      <alignment horizontal="center" vertical="center"/>
    </xf>
    <xf numFmtId="0" fontId="33" fillId="6" borderId="29" xfId="1" applyFont="1" applyFill="1" applyBorder="1" applyAlignment="1" applyProtection="1">
      <alignment horizontal="center" vertical="center"/>
      <protection locked="0"/>
    </xf>
    <xf numFmtId="0" fontId="33" fillId="6" borderId="25" xfId="1" applyFont="1" applyFill="1" applyBorder="1" applyAlignment="1" applyProtection="1">
      <alignment horizontal="center" vertical="center"/>
      <protection locked="0"/>
    </xf>
    <xf numFmtId="0" fontId="33" fillId="6" borderId="23" xfId="1" applyFont="1" applyFill="1" applyBorder="1" applyAlignment="1" applyProtection="1">
      <alignment horizontal="center" vertical="center"/>
      <protection locked="0"/>
    </xf>
    <xf numFmtId="0" fontId="33" fillId="6" borderId="29" xfId="1" applyFont="1" applyFill="1" applyBorder="1" applyAlignment="1">
      <alignment horizontal="left" vertical="center"/>
    </xf>
    <xf numFmtId="0" fontId="33" fillId="6" borderId="25" xfId="1" applyFont="1" applyFill="1" applyBorder="1" applyAlignment="1">
      <alignment horizontal="left" vertical="center"/>
    </xf>
    <xf numFmtId="0" fontId="33" fillId="6" borderId="23" xfId="1" applyFont="1" applyFill="1" applyBorder="1" applyAlignment="1">
      <alignment horizontal="left" vertical="center"/>
    </xf>
    <xf numFmtId="0" fontId="33" fillId="6" borderId="1" xfId="1" applyFont="1" applyFill="1" applyBorder="1" applyAlignment="1">
      <alignment horizontal="left" vertical="center"/>
    </xf>
    <xf numFmtId="0" fontId="33" fillId="6" borderId="29" xfId="1" applyFont="1" applyFill="1" applyBorder="1" applyAlignment="1">
      <alignment horizontal="left" vertical="center" wrapText="1"/>
    </xf>
    <xf numFmtId="0" fontId="33" fillId="6" borderId="25" xfId="1" applyFont="1" applyFill="1" applyBorder="1" applyAlignment="1">
      <alignment horizontal="left" vertical="center" wrapText="1"/>
    </xf>
    <xf numFmtId="0" fontId="33" fillId="6" borderId="23" xfId="1" applyFont="1" applyFill="1" applyBorder="1" applyAlignment="1">
      <alignment horizontal="left" vertical="center" wrapText="1"/>
    </xf>
    <xf numFmtId="0" fontId="42" fillId="8" borderId="66" xfId="1" applyFont="1" applyFill="1" applyBorder="1" applyAlignment="1">
      <alignment horizontal="left" vertical="top"/>
    </xf>
    <xf numFmtId="0" fontId="42" fillId="8" borderId="45" xfId="1" applyFont="1" applyFill="1" applyBorder="1" applyAlignment="1">
      <alignment horizontal="left" vertical="top"/>
    </xf>
    <xf numFmtId="0" fontId="42" fillId="8" borderId="67" xfId="1" applyFont="1" applyFill="1" applyBorder="1" applyAlignment="1">
      <alignment horizontal="left" vertical="top"/>
    </xf>
    <xf numFmtId="0" fontId="1" fillId="0" borderId="25" xfId="1" applyBorder="1" applyAlignment="1">
      <alignment horizontal="center" vertical="center"/>
    </xf>
    <xf numFmtId="0" fontId="1" fillId="0" borderId="23" xfId="1" applyBorder="1" applyAlignment="1">
      <alignment horizontal="center" vertical="center"/>
    </xf>
    <xf numFmtId="0" fontId="1" fillId="0" borderId="25" xfId="1" applyBorder="1" applyAlignment="1" applyProtection="1">
      <alignment horizontal="center" vertical="center"/>
      <protection locked="0"/>
    </xf>
    <xf numFmtId="0" fontId="1" fillId="0" borderId="23" xfId="1" applyBorder="1" applyAlignment="1" applyProtection="1">
      <alignment horizontal="center" vertical="center"/>
      <protection locked="0"/>
    </xf>
    <xf numFmtId="0" fontId="1" fillId="0" borderId="19" xfId="1" applyBorder="1" applyAlignment="1">
      <alignment horizontal="left" vertical="center"/>
    </xf>
    <xf numFmtId="0" fontId="1" fillId="0" borderId="25" xfId="1" applyBorder="1" applyAlignment="1">
      <alignment horizontal="left" vertical="center" wrapText="1"/>
    </xf>
    <xf numFmtId="0" fontId="1" fillId="0" borderId="23" xfId="1" applyBorder="1" applyAlignment="1">
      <alignment horizontal="left" vertical="center" wrapText="1"/>
    </xf>
    <xf numFmtId="0" fontId="1" fillId="0" borderId="29" xfId="1" applyBorder="1" applyAlignment="1">
      <alignment horizontal="left" vertical="center"/>
    </xf>
    <xf numFmtId="0" fontId="1" fillId="0" borderId="29" xfId="1" applyBorder="1" applyAlignment="1" applyProtection="1">
      <alignment horizontal="center" vertical="center"/>
      <protection locked="0"/>
    </xf>
    <xf numFmtId="0" fontId="1" fillId="0" borderId="1" xfId="1" applyBorder="1" applyAlignment="1">
      <alignment horizontal="left" vertical="center"/>
    </xf>
    <xf numFmtId="0" fontId="1" fillId="0" borderId="29" xfId="1" applyBorder="1" applyAlignment="1">
      <alignment horizontal="left" vertical="center" wrapText="1"/>
    </xf>
    <xf numFmtId="0" fontId="43" fillId="37" borderId="25" xfId="1" applyFont="1" applyFill="1" applyBorder="1" applyAlignment="1">
      <alignment horizontal="center" vertical="center"/>
    </xf>
    <xf numFmtId="0" fontId="43" fillId="37" borderId="23" xfId="1" applyFont="1" applyFill="1" applyBorder="1" applyAlignment="1">
      <alignment horizontal="center" vertical="center"/>
    </xf>
    <xf numFmtId="0" fontId="43" fillId="37" borderId="25" xfId="1" applyFont="1" applyFill="1" applyBorder="1" applyAlignment="1">
      <alignment horizontal="left" vertical="center" wrapText="1"/>
    </xf>
    <xf numFmtId="0" fontId="43" fillId="37" borderId="23" xfId="1" applyFont="1" applyFill="1" applyBorder="1" applyAlignment="1">
      <alignment horizontal="left" vertical="center" wrapText="1"/>
    </xf>
    <xf numFmtId="0" fontId="43" fillId="37" borderId="25" xfId="1" applyFont="1" applyFill="1" applyBorder="1" applyAlignment="1">
      <alignment horizontal="left" vertical="center"/>
    </xf>
    <xf numFmtId="0" fontId="43" fillId="37" borderId="23" xfId="1" applyFont="1" applyFill="1" applyBorder="1" applyAlignment="1">
      <alignment horizontal="left" vertical="center"/>
    </xf>
    <xf numFmtId="0" fontId="44" fillId="6" borderId="25" xfId="1" applyFont="1" applyFill="1" applyBorder="1" applyAlignment="1">
      <alignment horizontal="left" vertical="center"/>
    </xf>
    <xf numFmtId="0" fontId="45" fillId="37" borderId="25" xfId="1" applyFont="1" applyFill="1" applyBorder="1" applyAlignment="1">
      <alignment horizontal="left" vertical="center"/>
    </xf>
    <xf numFmtId="0" fontId="45" fillId="37" borderId="23" xfId="1" applyFont="1" applyFill="1" applyBorder="1" applyAlignment="1">
      <alignment horizontal="left" vertical="center"/>
    </xf>
    <xf numFmtId="0" fontId="1" fillId="37" borderId="25" xfId="1" applyFill="1" applyBorder="1" applyAlignment="1">
      <alignment horizontal="left" vertical="center"/>
    </xf>
    <xf numFmtId="0" fontId="1" fillId="37" borderId="23" xfId="1" applyFill="1" applyBorder="1" applyAlignment="1">
      <alignment horizontal="left" vertical="center"/>
    </xf>
    <xf numFmtId="0" fontId="1" fillId="0" borderId="29" xfId="1" applyBorder="1" applyAlignment="1">
      <alignment horizontal="center" vertical="center"/>
    </xf>
    <xf numFmtId="0" fontId="34" fillId="35" borderId="66" xfId="0" applyFont="1" applyFill="1" applyBorder="1" applyAlignment="1">
      <alignment horizontal="center" vertical="center" wrapText="1"/>
    </xf>
    <xf numFmtId="0" fontId="34" fillId="35" borderId="45" xfId="0" applyFont="1" applyFill="1" applyBorder="1" applyAlignment="1">
      <alignment horizontal="center" vertical="center"/>
    </xf>
    <xf numFmtId="0" fontId="34" fillId="35" borderId="67" xfId="0" applyFont="1" applyFill="1" applyBorder="1" applyAlignment="1">
      <alignment horizontal="center" vertical="center"/>
    </xf>
    <xf numFmtId="0" fontId="35" fillId="35" borderId="66" xfId="0" applyFont="1" applyFill="1" applyBorder="1" applyAlignment="1">
      <alignment horizontal="center" vertical="center" wrapText="1"/>
    </xf>
    <xf numFmtId="0" fontId="35" fillId="35" borderId="45" xfId="0" applyFont="1" applyFill="1" applyBorder="1" applyAlignment="1">
      <alignment horizontal="center" vertical="center"/>
    </xf>
    <xf numFmtId="0" fontId="35" fillId="35" borderId="67" xfId="0" applyFont="1" applyFill="1" applyBorder="1" applyAlignment="1">
      <alignment horizontal="center" vertical="center"/>
    </xf>
    <xf numFmtId="0" fontId="35" fillId="36" borderId="45" xfId="0" applyFont="1" applyFill="1" applyBorder="1" applyAlignment="1">
      <alignment horizontal="center" vertical="center"/>
    </xf>
    <xf numFmtId="0" fontId="35" fillId="36" borderId="9" xfId="0" applyFont="1" applyFill="1" applyBorder="1" applyAlignment="1">
      <alignment horizontal="center" vertical="center"/>
    </xf>
    <xf numFmtId="0" fontId="17" fillId="35" borderId="66" xfId="0" applyFont="1" applyFill="1" applyBorder="1" applyAlignment="1">
      <alignment horizontal="center" vertical="center" wrapText="1"/>
    </xf>
    <xf numFmtId="0" fontId="17" fillId="35" borderId="45" xfId="0" applyFont="1" applyFill="1" applyBorder="1" applyAlignment="1">
      <alignment horizontal="center" vertical="center"/>
    </xf>
    <xf numFmtId="0" fontId="17" fillId="35" borderId="67" xfId="0" applyFont="1" applyFill="1" applyBorder="1" applyAlignment="1">
      <alignment horizontal="center" vertical="center"/>
    </xf>
    <xf numFmtId="0" fontId="30" fillId="8" borderId="47" xfId="1" applyFont="1" applyFill="1" applyBorder="1" applyAlignment="1">
      <alignment horizontal="center" vertical="center"/>
    </xf>
    <xf numFmtId="0" fontId="30" fillId="8" borderId="53" xfId="1" applyFont="1" applyFill="1" applyBorder="1" applyAlignment="1">
      <alignment horizontal="center" vertical="center"/>
    </xf>
    <xf numFmtId="0" fontId="1" fillId="0" borderId="47" xfId="1" applyBorder="1" applyAlignment="1">
      <alignment horizontal="center"/>
    </xf>
    <xf numFmtId="0" fontId="1" fillId="0" borderId="53" xfId="1" applyBorder="1" applyAlignment="1">
      <alignment horizontal="center"/>
    </xf>
    <xf numFmtId="0" fontId="17" fillId="2" borderId="32" xfId="1" applyFont="1" applyFill="1" applyBorder="1" applyAlignment="1">
      <alignment horizontal="left"/>
    </xf>
    <xf numFmtId="0" fontId="17" fillId="2" borderId="0" xfId="1" applyFont="1" applyFill="1" applyAlignment="1">
      <alignment horizontal="left"/>
    </xf>
    <xf numFmtId="0" fontId="17" fillId="2" borderId="58" xfId="1" applyFont="1" applyFill="1" applyBorder="1" applyAlignment="1">
      <alignment horizontal="center"/>
    </xf>
    <xf numFmtId="0" fontId="17" fillId="2" borderId="59" xfId="1" applyFont="1" applyFill="1" applyBorder="1" applyAlignment="1">
      <alignment horizontal="center"/>
    </xf>
    <xf numFmtId="0" fontId="30" fillId="9" borderId="47" xfId="1" applyFont="1" applyFill="1" applyBorder="1" applyAlignment="1">
      <alignment horizontal="center" vertical="center"/>
    </xf>
    <xf numFmtId="0" fontId="30" fillId="9" borderId="53" xfId="1" applyFont="1" applyFill="1" applyBorder="1" applyAlignment="1">
      <alignment horizontal="center" vertical="center"/>
    </xf>
    <xf numFmtId="0" fontId="1" fillId="0" borderId="47" xfId="1" applyBorder="1" applyAlignment="1" applyProtection="1">
      <alignment horizontal="center"/>
      <protection locked="0"/>
    </xf>
    <xf numFmtId="0" fontId="1" fillId="0" borderId="53" xfId="1" applyBorder="1" applyAlignment="1" applyProtection="1">
      <alignment horizontal="center"/>
      <protection locked="0"/>
    </xf>
    <xf numFmtId="0" fontId="1" fillId="0" borderId="10" xfId="1" applyBorder="1" applyAlignment="1" applyProtection="1">
      <alignment horizontal="center"/>
      <protection locked="0"/>
    </xf>
    <xf numFmtId="0" fontId="18" fillId="2" borderId="37" xfId="0" applyFont="1" applyFill="1" applyBorder="1" applyAlignment="1">
      <alignment horizontal="left"/>
    </xf>
    <xf numFmtId="0" fontId="18" fillId="2" borderId="38" xfId="0" applyFont="1" applyFill="1" applyBorder="1" applyAlignment="1">
      <alignment horizontal="left"/>
    </xf>
    <xf numFmtId="0" fontId="15" fillId="0" borderId="0" xfId="0" applyFont="1" applyAlignment="1">
      <alignment horizontal="left" wrapText="1"/>
    </xf>
  </cellXfs>
  <cellStyles count="3">
    <cellStyle name="Normal 11" xfId="1" xr:uid="{00000000-0005-0000-0000-000001000000}"/>
    <cellStyle name="Standaard" xfId="0" builtinId="0"/>
    <cellStyle name="Standaard 3" xfId="2" xr:uid="{00000000-0005-0000-0000-000002000000}"/>
  </cellStyles>
  <dxfs count="20">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736997"/>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H$4" lockText="1" noThreeD="1"/>
</file>

<file path=xl/ctrlProps/ctrlProp2.xml><?xml version="1.0" encoding="utf-8"?>
<formControlPr xmlns="http://schemas.microsoft.com/office/spreadsheetml/2009/9/main" objectType="CheckBox" fmlaLink="$H$3" lockText="1" noThreeD="1"/>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76200</xdr:colOff>
          <xdr:row>2</xdr:row>
          <xdr:rowOff>152400</xdr:rowOff>
        </xdr:from>
        <xdr:to>
          <xdr:col>6</xdr:col>
          <xdr:colOff>457200</xdr:colOff>
          <xdr:row>4</xdr:row>
          <xdr:rowOff>85725</xdr:rowOff>
        </xdr:to>
        <xdr:sp macro="" textlink="">
          <xdr:nvSpPr>
            <xdr:cNvPr id="30726" name="Check Box 6" descr="Checkbox6" hidden="1">
              <a:extLst>
                <a:ext uri="{63B3BB69-23CF-44E3-9099-C40C66FF867C}">
                  <a14:compatExt spid="_x0000_s30726"/>
                </a:ext>
                <a:ext uri="{FF2B5EF4-FFF2-40B4-BE49-F238E27FC236}">
                  <a16:creationId xmlns:a16="http://schemas.microsoft.com/office/drawing/2014/main" id="{00000000-0008-0000-0E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on PfizerTools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xdr:row>
          <xdr:rowOff>180975</xdr:rowOff>
        </xdr:from>
        <xdr:to>
          <xdr:col>7</xdr:col>
          <xdr:colOff>0</xdr:colOff>
          <xdr:row>3</xdr:row>
          <xdr:rowOff>47625</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0E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overrule columns on click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4</xdr:row>
          <xdr:rowOff>123825</xdr:rowOff>
        </xdr:from>
        <xdr:to>
          <xdr:col>6</xdr:col>
          <xdr:colOff>257175</xdr:colOff>
          <xdr:row>6</xdr:row>
          <xdr:rowOff>171450</xdr:rowOff>
        </xdr:to>
        <xdr:sp macro="" textlink="">
          <xdr:nvSpPr>
            <xdr:cNvPr id="30732" name="CommandButton1" hidden="1">
              <a:extLst>
                <a:ext uri="{63B3BB69-23CF-44E3-9099-C40C66FF867C}">
                  <a14:compatExt spid="_x0000_s30732"/>
                </a:ext>
                <a:ext uri="{FF2B5EF4-FFF2-40B4-BE49-F238E27FC236}">
                  <a16:creationId xmlns:a16="http://schemas.microsoft.com/office/drawing/2014/main" id="{00000000-0008-0000-0E00-00000C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file:///Z:\01.%20Team%20EQA\02.%20Scada%20Productie\01.%20Standaard%20Requirements\01.%20GMC%20-%20GIG\GIG%20Level%201\yyyyy-xxxxx-GIG-B6\02.%20Documents\01.%20Project%20specific%20documents%20(Supplier)\Lijsten%20&amp;%20Beelden\Visualisation&amp;Commands_CUxxxx_B7.xlsm" TargetMode="External"/><Relationship Id="rId2" Type="http://schemas.microsoft.com/office/2019/04/relationships/externalLinkLongPath" Target="file:///Z:\01.%20Team%20EQA\02.%20Scada%20Productie\01.%20Standaard%20Requirements\01.%20GMC%20-%20GIG\GIG%20Level%201\yyyyy-xxxxx-GIG-B6\02.%20Documents\01.%20Project%20specific%20documents%20(Supplier)\Lijsten%20&amp;%20Beelden\Visualisation&amp;Commands_CUxxxx_B7.xlsm?6F8D4FF6" TargetMode="External"/><Relationship Id="rId1" Type="http://schemas.openxmlformats.org/officeDocument/2006/relationships/externalLinkPath" Target="file:///\\6F8D4FF6\Visualisation&amp;Commands_CUxxxx_B7.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s://pfizer-my.sharepoint.com/01.%20Team%20EQA/02.%20Scada%20Productie/01.%20Standaard%20Requirements/01.%20GMC%20-%20GIG/GIG%20Level%201/_Old/yyyyy-xxxxx-GIG-B5_Prel/02.%20Documents/01.%20Project%20specific%20documents%20(Supplier)/Lijsten%20&amp;%20Beelden/Visualisation&amp;Commands_CUxxxx_B6.xlsm?2AE5209E" TargetMode="External"/><Relationship Id="rId1" Type="http://schemas.openxmlformats.org/officeDocument/2006/relationships/externalLinkPath" Target="file:///\\2AE5209E\Visualisation&amp;Commands_CUxxxx_B6.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PUUPAMLANFST\Global\NBRE\Visualisation&amp;Commands_CU7253_A4_FREEZE.xlsm" TargetMode="External"/><Relationship Id="rId1" Type="http://schemas.openxmlformats.org/officeDocument/2006/relationships/externalLinkPath" Target="/NBRE/Visualisation&amp;Commands_CU7253_A4_FREEZ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Project\Pfizer_new\BasicScada\maart2020\Lijsten\PROD\1.%20GMC\01000-S0000-DSB0-D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dcnas500vfs06\puu_pa\01.%20Team%20EQA\02.%20Scada%20Productie\01.%20Standaard%20Requirements\01.%20GMC%20-%20GIG\GIG%20Level%201\GIG-B4-PREL\VisualisationCommands_CUxxxx_B1_Interlock_V2.0%20(review).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01.%20Team%20EQA/02.%20Scada%20Productie/01.%20Standaard%20Requirements/01.%20GMC%20-%20GIG/GIG%20Level%201/GIG-B4-PREL/VisualisationCommands_CUxxxx_B1_Interlock_V2.0%20(review).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pfizer.sharepoint.com/sites/IFC/ExternalSharing/Shared%20Documents/VL1_3%20B&amp;S/Automation/05.%20SCADA%20lists/VL1/03.%20Filler%20Capper/Visualisation&amp;Commands_CU7002_A8_Draft1_BS_2023xxxx_off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ersion control"/>
      <sheetName val="General info"/>
      <sheetName val="Bit commands"/>
      <sheetName val="Bit info"/>
      <sheetName val="Colour pictures"/>
      <sheetName val="Interlock"/>
      <sheetName val="Buttons"/>
      <sheetName val="Motor (6 bytes)"/>
      <sheetName val="Valve"/>
      <sheetName val="Motor (48 bytes)"/>
      <sheetName val="Input value"/>
      <sheetName val="Measurement"/>
      <sheetName val="Controller"/>
      <sheetName val="Output values"/>
      <sheetName val="General"/>
      <sheetName val="Template history"/>
      <sheetName val="Help"/>
    </sheetNames>
    <sheetDataSet>
      <sheetData sheetId="0"/>
      <sheetData sheetId="1">
        <row r="5">
          <cell r="B5">
            <v>1234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commands"/>
      <sheetName val="Bit info"/>
      <sheetName val="Colour pictures"/>
      <sheetName val="Interlock New"/>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 control"/>
      <sheetName val="General info"/>
      <sheetName val="Bit commands"/>
      <sheetName val="Bit info"/>
      <sheetName val="CP Object Status"/>
      <sheetName val="Motor (6 bytes)"/>
      <sheetName val="Motor (48 bytes)"/>
      <sheetName val="Measurement"/>
      <sheetName val="Buttons"/>
      <sheetName val="Interlock"/>
      <sheetName val="Valve"/>
      <sheetName val="Input value"/>
      <sheetName val="Output values"/>
      <sheetName val="Controller"/>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ributionlist"/>
      <sheetName val="Bit commands"/>
      <sheetName val="Bit info"/>
      <sheetName val="Colour pictures"/>
      <sheetName val="Interlock"/>
      <sheetName val="Buttons (1 byte)"/>
      <sheetName val="Motor (6 bytes)"/>
      <sheetName val="Valve"/>
      <sheetName val="Motor (48 bytes)"/>
      <sheetName val="Input value"/>
      <sheetName val="Measurement"/>
      <sheetName val="Controller"/>
      <sheetName val="Output values"/>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commands"/>
      <sheetName val="Bit info"/>
      <sheetName val="Colour pictures"/>
      <sheetName val="Interlock (2)"/>
      <sheetName val="Interlock"/>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commands"/>
      <sheetName val="Bit info"/>
      <sheetName val="Colour pictures"/>
      <sheetName val="Interlock (2)"/>
      <sheetName val="Interlock"/>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info"/>
      <sheetName val="Bit commands"/>
      <sheetName val="Interlock New"/>
      <sheetName val="Colour pictures"/>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7.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L54"/>
  <sheetViews>
    <sheetView showGridLines="0" zoomScaleNormal="100" workbookViewId="0">
      <pane ySplit="4" topLeftCell="A5" activePane="bottomLeft" state="frozen"/>
      <selection pane="bottomLeft" activeCell="B5" sqref="B5"/>
    </sheetView>
  </sheetViews>
  <sheetFormatPr defaultColWidth="9.140625" defaultRowHeight="12.75"/>
  <cols>
    <col min="1" max="1" width="9.28515625" style="276" customWidth="1"/>
    <col min="2" max="2" width="26.42578125" style="276" customWidth="1"/>
    <col min="3" max="3" width="13.5703125" style="303" customWidth="1"/>
    <col min="4" max="4" width="60.7109375" style="277" customWidth="1"/>
    <col min="5" max="5" width="22.140625" style="276" customWidth="1"/>
    <col min="6" max="6" width="13.5703125" style="276" customWidth="1"/>
    <col min="7" max="12" width="9.140625" style="276"/>
    <col min="13" max="16384" width="9.140625" style="277"/>
  </cols>
  <sheetData>
    <row r="1" spans="1:12" ht="20.25">
      <c r="A1" s="272" t="s">
        <v>0</v>
      </c>
      <c r="B1" s="273"/>
      <c r="C1" s="274"/>
      <c r="D1" s="275"/>
      <c r="E1" s="273"/>
      <c r="F1" s="273"/>
    </row>
    <row r="2" spans="1:12" ht="21" thickBot="1">
      <c r="A2" s="272"/>
      <c r="B2" s="273"/>
      <c r="C2" s="274"/>
      <c r="D2" s="275"/>
      <c r="E2" s="273"/>
      <c r="F2" s="273"/>
    </row>
    <row r="3" spans="1:12" s="215" customFormat="1" ht="15" customHeight="1">
      <c r="A3" s="557" t="s">
        <v>1</v>
      </c>
      <c r="B3" s="559" t="s">
        <v>2</v>
      </c>
      <c r="C3" s="561" t="s">
        <v>3</v>
      </c>
      <c r="D3" s="563" t="s">
        <v>4</v>
      </c>
      <c r="E3" s="563" t="s">
        <v>5</v>
      </c>
      <c r="F3" s="553" t="s">
        <v>6</v>
      </c>
      <c r="G3" s="555" t="s">
        <v>7</v>
      </c>
      <c r="H3" s="556"/>
      <c r="I3" s="556"/>
      <c r="J3" s="278" t="s">
        <v>8</v>
      </c>
      <c r="K3" s="278"/>
      <c r="L3" s="279"/>
    </row>
    <row r="4" spans="1:12" s="215" customFormat="1" ht="15" customHeight="1" thickBot="1">
      <c r="A4" s="558"/>
      <c r="B4" s="560"/>
      <c r="C4" s="562"/>
      <c r="D4" s="564"/>
      <c r="E4" s="564"/>
      <c r="F4" s="554"/>
      <c r="G4" s="270" t="s">
        <v>9</v>
      </c>
      <c r="H4" s="271" t="s">
        <v>10</v>
      </c>
      <c r="I4" s="271" t="s">
        <v>11</v>
      </c>
      <c r="J4" s="271" t="s">
        <v>12</v>
      </c>
      <c r="K4" s="271" t="s">
        <v>13</v>
      </c>
      <c r="L4" s="242" t="s">
        <v>14</v>
      </c>
    </row>
    <row r="5" spans="1:12">
      <c r="A5" s="280" t="s">
        <v>15</v>
      </c>
      <c r="B5" s="281"/>
      <c r="C5" s="282"/>
      <c r="D5" s="283"/>
      <c r="E5" s="284"/>
      <c r="F5" s="285"/>
      <c r="G5" s="286"/>
      <c r="H5" s="284"/>
      <c r="I5" s="287"/>
      <c r="J5" s="287"/>
      <c r="K5" s="304" t="s">
        <v>16</v>
      </c>
      <c r="L5" s="305" t="s">
        <v>16</v>
      </c>
    </row>
    <row r="6" spans="1:12">
      <c r="A6" s="288"/>
      <c r="B6" s="289"/>
      <c r="C6" s="290"/>
      <c r="D6" s="291"/>
      <c r="E6" s="292"/>
      <c r="F6" s="293"/>
      <c r="G6" s="294"/>
      <c r="H6" s="292"/>
      <c r="I6" s="295"/>
      <c r="J6" s="295"/>
      <c r="K6" s="306" t="s">
        <v>16</v>
      </c>
      <c r="L6" s="307" t="s">
        <v>16</v>
      </c>
    </row>
    <row r="7" spans="1:12">
      <c r="A7" s="288"/>
      <c r="B7" s="289"/>
      <c r="C7" s="290"/>
      <c r="D7" s="291"/>
      <c r="E7" s="292"/>
      <c r="F7" s="293"/>
      <c r="G7" s="294"/>
      <c r="H7" s="292"/>
      <c r="I7" s="295"/>
      <c r="J7" s="295"/>
      <c r="K7" s="306" t="s">
        <v>16</v>
      </c>
      <c r="L7" s="307" t="s">
        <v>16</v>
      </c>
    </row>
    <row r="8" spans="1:12">
      <c r="A8" s="288"/>
      <c r="B8" s="289"/>
      <c r="C8" s="290"/>
      <c r="D8" s="291"/>
      <c r="E8" s="292"/>
      <c r="F8" s="293"/>
      <c r="G8" s="294"/>
      <c r="H8" s="292"/>
      <c r="I8" s="295"/>
      <c r="J8" s="295"/>
      <c r="K8" s="306" t="s">
        <v>16</v>
      </c>
      <c r="L8" s="307" t="s">
        <v>16</v>
      </c>
    </row>
    <row r="9" spans="1:12" ht="13.5" thickBot="1">
      <c r="A9" s="296"/>
      <c r="B9" s="297"/>
      <c r="C9" s="298"/>
      <c r="D9" s="299"/>
      <c r="E9" s="300"/>
      <c r="F9" s="301"/>
      <c r="G9" s="302"/>
      <c r="H9" s="300"/>
      <c r="I9" s="300"/>
      <c r="J9" s="300"/>
      <c r="K9" s="308" t="s">
        <v>16</v>
      </c>
      <c r="L9" s="309" t="s">
        <v>16</v>
      </c>
    </row>
    <row r="10" spans="1:12">
      <c r="A10" s="280"/>
      <c r="B10" s="281"/>
      <c r="C10" s="282"/>
      <c r="D10" s="283"/>
      <c r="E10" s="284"/>
      <c r="F10" s="285"/>
      <c r="G10" s="286"/>
      <c r="H10" s="284"/>
      <c r="I10" s="287"/>
      <c r="J10" s="287"/>
      <c r="K10" s="304" t="s">
        <v>16</v>
      </c>
      <c r="L10" s="305" t="s">
        <v>16</v>
      </c>
    </row>
    <row r="11" spans="1:12">
      <c r="A11" s="288"/>
      <c r="B11" s="289"/>
      <c r="C11" s="290"/>
      <c r="D11" s="291"/>
      <c r="E11" s="292"/>
      <c r="F11" s="293"/>
      <c r="G11" s="294"/>
      <c r="H11" s="292"/>
      <c r="I11" s="295"/>
      <c r="J11" s="295"/>
      <c r="K11" s="306" t="s">
        <v>16</v>
      </c>
      <c r="L11" s="307" t="s">
        <v>16</v>
      </c>
    </row>
    <row r="12" spans="1:12">
      <c r="A12" s="288"/>
      <c r="B12" s="289"/>
      <c r="C12" s="290"/>
      <c r="D12" s="291"/>
      <c r="E12" s="292"/>
      <c r="F12" s="293"/>
      <c r="G12" s="294"/>
      <c r="H12" s="292"/>
      <c r="I12" s="295"/>
      <c r="J12" s="295"/>
      <c r="K12" s="306" t="s">
        <v>16</v>
      </c>
      <c r="L12" s="307" t="s">
        <v>16</v>
      </c>
    </row>
    <row r="13" spans="1:12">
      <c r="A13" s="288"/>
      <c r="B13" s="289"/>
      <c r="C13" s="290"/>
      <c r="D13" s="291"/>
      <c r="E13" s="292"/>
      <c r="F13" s="293"/>
      <c r="G13" s="294"/>
      <c r="H13" s="292"/>
      <c r="I13" s="295"/>
      <c r="J13" s="295"/>
      <c r="K13" s="306" t="s">
        <v>16</v>
      </c>
      <c r="L13" s="307" t="s">
        <v>16</v>
      </c>
    </row>
    <row r="14" spans="1:12" ht="13.5" thickBot="1">
      <c r="A14" s="296"/>
      <c r="B14" s="297"/>
      <c r="C14" s="298"/>
      <c r="D14" s="299"/>
      <c r="E14" s="300"/>
      <c r="F14" s="301"/>
      <c r="G14" s="302"/>
      <c r="H14" s="300"/>
      <c r="I14" s="300"/>
      <c r="J14" s="300"/>
      <c r="K14" s="308" t="s">
        <v>16</v>
      </c>
      <c r="L14" s="309" t="s">
        <v>16</v>
      </c>
    </row>
    <row r="15" spans="1:12">
      <c r="A15" s="280"/>
      <c r="B15" s="281"/>
      <c r="C15" s="282"/>
      <c r="D15" s="283"/>
      <c r="E15" s="284"/>
      <c r="F15" s="285"/>
      <c r="G15" s="286"/>
      <c r="H15" s="284"/>
      <c r="I15" s="287"/>
      <c r="J15" s="287"/>
      <c r="K15" s="304" t="s">
        <v>16</v>
      </c>
      <c r="L15" s="305" t="s">
        <v>16</v>
      </c>
    </row>
    <row r="16" spans="1:12">
      <c r="A16" s="288"/>
      <c r="B16" s="289"/>
      <c r="C16" s="290"/>
      <c r="D16" s="291"/>
      <c r="E16" s="292"/>
      <c r="F16" s="293"/>
      <c r="G16" s="294"/>
      <c r="H16" s="292"/>
      <c r="I16" s="295"/>
      <c r="J16" s="295"/>
      <c r="K16" s="306" t="s">
        <v>16</v>
      </c>
      <c r="L16" s="307" t="s">
        <v>16</v>
      </c>
    </row>
    <row r="17" spans="1:12">
      <c r="A17" s="288"/>
      <c r="B17" s="289"/>
      <c r="C17" s="290"/>
      <c r="D17" s="291"/>
      <c r="E17" s="292"/>
      <c r="F17" s="293"/>
      <c r="G17" s="294"/>
      <c r="H17" s="292"/>
      <c r="I17" s="295"/>
      <c r="J17" s="295"/>
      <c r="K17" s="306" t="s">
        <v>16</v>
      </c>
      <c r="L17" s="307" t="s">
        <v>16</v>
      </c>
    </row>
    <row r="18" spans="1:12">
      <c r="A18" s="288"/>
      <c r="B18" s="289"/>
      <c r="C18" s="290"/>
      <c r="D18" s="291"/>
      <c r="E18" s="292"/>
      <c r="F18" s="293"/>
      <c r="G18" s="294"/>
      <c r="H18" s="292"/>
      <c r="I18" s="295"/>
      <c r="J18" s="295"/>
      <c r="K18" s="306" t="s">
        <v>16</v>
      </c>
      <c r="L18" s="307" t="s">
        <v>16</v>
      </c>
    </row>
    <row r="19" spans="1:12" ht="13.5" thickBot="1">
      <c r="A19" s="296"/>
      <c r="B19" s="297"/>
      <c r="C19" s="298"/>
      <c r="D19" s="299"/>
      <c r="E19" s="300"/>
      <c r="F19" s="301"/>
      <c r="G19" s="302"/>
      <c r="H19" s="300"/>
      <c r="I19" s="300"/>
      <c r="J19" s="300"/>
      <c r="K19" s="308" t="s">
        <v>16</v>
      </c>
      <c r="L19" s="309" t="s">
        <v>16</v>
      </c>
    </row>
    <row r="20" spans="1:12">
      <c r="A20" s="280"/>
      <c r="B20" s="281"/>
      <c r="C20" s="282"/>
      <c r="D20" s="283"/>
      <c r="E20" s="284"/>
      <c r="F20" s="285"/>
      <c r="G20" s="286"/>
      <c r="H20" s="284"/>
      <c r="I20" s="287"/>
      <c r="J20" s="287"/>
      <c r="K20" s="304" t="s">
        <v>16</v>
      </c>
      <c r="L20" s="305" t="s">
        <v>16</v>
      </c>
    </row>
    <row r="21" spans="1:12">
      <c r="A21" s="288"/>
      <c r="B21" s="289"/>
      <c r="C21" s="290"/>
      <c r="D21" s="291"/>
      <c r="E21" s="292"/>
      <c r="F21" s="293"/>
      <c r="G21" s="294"/>
      <c r="H21" s="292"/>
      <c r="I21" s="295"/>
      <c r="J21" s="295"/>
      <c r="K21" s="306" t="s">
        <v>16</v>
      </c>
      <c r="L21" s="307" t="s">
        <v>16</v>
      </c>
    </row>
    <row r="22" spans="1:12">
      <c r="A22" s="288"/>
      <c r="B22" s="289"/>
      <c r="C22" s="290"/>
      <c r="D22" s="291"/>
      <c r="E22" s="292"/>
      <c r="F22" s="293"/>
      <c r="G22" s="294"/>
      <c r="H22" s="292"/>
      <c r="I22" s="295"/>
      <c r="J22" s="295"/>
      <c r="K22" s="306" t="s">
        <v>16</v>
      </c>
      <c r="L22" s="307" t="s">
        <v>16</v>
      </c>
    </row>
    <row r="23" spans="1:12">
      <c r="A23" s="288"/>
      <c r="B23" s="289"/>
      <c r="C23" s="290"/>
      <c r="D23" s="291"/>
      <c r="E23" s="292"/>
      <c r="F23" s="293"/>
      <c r="G23" s="294"/>
      <c r="H23" s="292"/>
      <c r="I23" s="295"/>
      <c r="J23" s="295"/>
      <c r="K23" s="306" t="s">
        <v>16</v>
      </c>
      <c r="L23" s="307" t="s">
        <v>16</v>
      </c>
    </row>
    <row r="24" spans="1:12" ht="13.5" thickBot="1">
      <c r="A24" s="296"/>
      <c r="B24" s="297"/>
      <c r="C24" s="298"/>
      <c r="D24" s="299"/>
      <c r="E24" s="300"/>
      <c r="F24" s="301"/>
      <c r="G24" s="302"/>
      <c r="H24" s="300"/>
      <c r="I24" s="300"/>
      <c r="J24" s="300"/>
      <c r="K24" s="308" t="s">
        <v>16</v>
      </c>
      <c r="L24" s="309" t="s">
        <v>16</v>
      </c>
    </row>
    <row r="25" spans="1:12">
      <c r="A25" s="280"/>
      <c r="B25" s="281"/>
      <c r="C25" s="282"/>
      <c r="D25" s="283"/>
      <c r="E25" s="284"/>
      <c r="F25" s="285"/>
      <c r="G25" s="286"/>
      <c r="H25" s="284"/>
      <c r="I25" s="287"/>
      <c r="J25" s="287"/>
      <c r="K25" s="304" t="s">
        <v>16</v>
      </c>
      <c r="L25" s="305" t="s">
        <v>16</v>
      </c>
    </row>
    <row r="26" spans="1:12">
      <c r="A26" s="288"/>
      <c r="B26" s="289"/>
      <c r="C26" s="290"/>
      <c r="D26" s="291"/>
      <c r="E26" s="292"/>
      <c r="F26" s="293"/>
      <c r="G26" s="294"/>
      <c r="H26" s="292"/>
      <c r="I26" s="295"/>
      <c r="J26" s="295"/>
      <c r="K26" s="306" t="s">
        <v>16</v>
      </c>
      <c r="L26" s="307" t="s">
        <v>16</v>
      </c>
    </row>
    <row r="27" spans="1:12">
      <c r="A27" s="288"/>
      <c r="B27" s="289"/>
      <c r="C27" s="290"/>
      <c r="D27" s="291"/>
      <c r="E27" s="292"/>
      <c r="F27" s="293"/>
      <c r="G27" s="294"/>
      <c r="H27" s="292"/>
      <c r="I27" s="295"/>
      <c r="J27" s="295"/>
      <c r="K27" s="306" t="s">
        <v>16</v>
      </c>
      <c r="L27" s="307" t="s">
        <v>16</v>
      </c>
    </row>
    <row r="28" spans="1:12">
      <c r="A28" s="288"/>
      <c r="B28" s="289"/>
      <c r="C28" s="290"/>
      <c r="D28" s="291"/>
      <c r="E28" s="292"/>
      <c r="F28" s="293"/>
      <c r="G28" s="294"/>
      <c r="H28" s="292"/>
      <c r="I28" s="295"/>
      <c r="J28" s="295"/>
      <c r="K28" s="306" t="s">
        <v>16</v>
      </c>
      <c r="L28" s="307" t="s">
        <v>16</v>
      </c>
    </row>
    <row r="29" spans="1:12" ht="13.5" thickBot="1">
      <c r="A29" s="296"/>
      <c r="B29" s="297"/>
      <c r="C29" s="298"/>
      <c r="D29" s="299"/>
      <c r="E29" s="300"/>
      <c r="F29" s="301"/>
      <c r="G29" s="302"/>
      <c r="H29" s="300"/>
      <c r="I29" s="300"/>
      <c r="J29" s="300"/>
      <c r="K29" s="308" t="s">
        <v>16</v>
      </c>
      <c r="L29" s="309" t="s">
        <v>16</v>
      </c>
    </row>
    <row r="30" spans="1:12">
      <c r="A30" s="280"/>
      <c r="B30" s="281"/>
      <c r="C30" s="282"/>
      <c r="D30" s="283"/>
      <c r="E30" s="284"/>
      <c r="F30" s="285"/>
      <c r="G30" s="286"/>
      <c r="H30" s="284"/>
      <c r="I30" s="287"/>
      <c r="J30" s="287"/>
      <c r="K30" s="304" t="s">
        <v>16</v>
      </c>
      <c r="L30" s="305" t="s">
        <v>16</v>
      </c>
    </row>
    <row r="31" spans="1:12">
      <c r="A31" s="288"/>
      <c r="B31" s="289"/>
      <c r="C31" s="290"/>
      <c r="D31" s="291"/>
      <c r="E31" s="292"/>
      <c r="F31" s="293"/>
      <c r="G31" s="294"/>
      <c r="H31" s="292"/>
      <c r="I31" s="295"/>
      <c r="J31" s="295"/>
      <c r="K31" s="306" t="s">
        <v>16</v>
      </c>
      <c r="L31" s="307" t="s">
        <v>16</v>
      </c>
    </row>
    <row r="32" spans="1:12">
      <c r="A32" s="288"/>
      <c r="B32" s="289"/>
      <c r="C32" s="290"/>
      <c r="D32" s="291"/>
      <c r="E32" s="292"/>
      <c r="F32" s="293"/>
      <c r="G32" s="294"/>
      <c r="H32" s="292"/>
      <c r="I32" s="295"/>
      <c r="J32" s="295"/>
      <c r="K32" s="306" t="s">
        <v>16</v>
      </c>
      <c r="L32" s="307" t="s">
        <v>16</v>
      </c>
    </row>
    <row r="33" spans="1:12">
      <c r="A33" s="288"/>
      <c r="B33" s="289"/>
      <c r="C33" s="290"/>
      <c r="D33" s="291"/>
      <c r="E33" s="292"/>
      <c r="F33" s="293"/>
      <c r="G33" s="294"/>
      <c r="H33" s="292"/>
      <c r="I33" s="295"/>
      <c r="J33" s="295"/>
      <c r="K33" s="306" t="s">
        <v>16</v>
      </c>
      <c r="L33" s="307" t="s">
        <v>16</v>
      </c>
    </row>
    <row r="34" spans="1:12" ht="13.5" thickBot="1">
      <c r="A34" s="296"/>
      <c r="B34" s="297"/>
      <c r="C34" s="298"/>
      <c r="D34" s="299"/>
      <c r="E34" s="300"/>
      <c r="F34" s="301"/>
      <c r="G34" s="302"/>
      <c r="H34" s="300"/>
      <c r="I34" s="300"/>
      <c r="J34" s="300"/>
      <c r="K34" s="308" t="s">
        <v>16</v>
      </c>
      <c r="L34" s="309" t="s">
        <v>16</v>
      </c>
    </row>
    <row r="35" spans="1:12">
      <c r="A35" s="280"/>
      <c r="B35" s="281"/>
      <c r="C35" s="282"/>
      <c r="D35" s="283"/>
      <c r="E35" s="284"/>
      <c r="F35" s="285"/>
      <c r="G35" s="286"/>
      <c r="H35" s="284"/>
      <c r="I35" s="287"/>
      <c r="J35" s="287"/>
      <c r="K35" s="304" t="s">
        <v>16</v>
      </c>
      <c r="L35" s="305" t="s">
        <v>16</v>
      </c>
    </row>
    <row r="36" spans="1:12">
      <c r="A36" s="288"/>
      <c r="B36" s="289"/>
      <c r="C36" s="290"/>
      <c r="D36" s="291"/>
      <c r="E36" s="292"/>
      <c r="F36" s="293"/>
      <c r="G36" s="294"/>
      <c r="H36" s="292"/>
      <c r="I36" s="295"/>
      <c r="J36" s="295"/>
      <c r="K36" s="306" t="s">
        <v>16</v>
      </c>
      <c r="L36" s="307" t="s">
        <v>16</v>
      </c>
    </row>
    <row r="37" spans="1:12">
      <c r="A37" s="288"/>
      <c r="B37" s="289"/>
      <c r="C37" s="290"/>
      <c r="D37" s="291"/>
      <c r="E37" s="292"/>
      <c r="F37" s="293"/>
      <c r="G37" s="294"/>
      <c r="H37" s="292"/>
      <c r="I37" s="295"/>
      <c r="J37" s="295"/>
      <c r="K37" s="306" t="s">
        <v>16</v>
      </c>
      <c r="L37" s="307" t="s">
        <v>16</v>
      </c>
    </row>
    <row r="38" spans="1:12">
      <c r="A38" s="288"/>
      <c r="B38" s="289"/>
      <c r="C38" s="290"/>
      <c r="D38" s="291"/>
      <c r="E38" s="292"/>
      <c r="F38" s="293"/>
      <c r="G38" s="294"/>
      <c r="H38" s="292"/>
      <c r="I38" s="295"/>
      <c r="J38" s="295"/>
      <c r="K38" s="306" t="s">
        <v>16</v>
      </c>
      <c r="L38" s="307" t="s">
        <v>16</v>
      </c>
    </row>
    <row r="39" spans="1:12" ht="13.5" thickBot="1">
      <c r="A39" s="296"/>
      <c r="B39" s="297"/>
      <c r="C39" s="298"/>
      <c r="D39" s="299"/>
      <c r="E39" s="300"/>
      <c r="F39" s="301"/>
      <c r="G39" s="302"/>
      <c r="H39" s="300"/>
      <c r="I39" s="300"/>
      <c r="J39" s="300"/>
      <c r="K39" s="308" t="s">
        <v>16</v>
      </c>
      <c r="L39" s="309" t="s">
        <v>16</v>
      </c>
    </row>
    <row r="40" spans="1:12">
      <c r="A40" s="280"/>
      <c r="B40" s="281"/>
      <c r="C40" s="282"/>
      <c r="D40" s="283"/>
      <c r="E40" s="284"/>
      <c r="F40" s="285"/>
      <c r="G40" s="286"/>
      <c r="H40" s="284"/>
      <c r="I40" s="287"/>
      <c r="J40" s="287"/>
      <c r="K40" s="304" t="s">
        <v>16</v>
      </c>
      <c r="L40" s="305" t="s">
        <v>16</v>
      </c>
    </row>
    <row r="41" spans="1:12">
      <c r="A41" s="288"/>
      <c r="B41" s="289"/>
      <c r="C41" s="290"/>
      <c r="D41" s="291"/>
      <c r="E41" s="292"/>
      <c r="F41" s="293"/>
      <c r="G41" s="294"/>
      <c r="H41" s="292"/>
      <c r="I41" s="295"/>
      <c r="J41" s="295"/>
      <c r="K41" s="306" t="s">
        <v>16</v>
      </c>
      <c r="L41" s="307" t="s">
        <v>16</v>
      </c>
    </row>
    <row r="42" spans="1:12">
      <c r="A42" s="288"/>
      <c r="B42" s="289"/>
      <c r="C42" s="290"/>
      <c r="D42" s="291"/>
      <c r="E42" s="292"/>
      <c r="F42" s="293"/>
      <c r="G42" s="294"/>
      <c r="H42" s="292"/>
      <c r="I42" s="295"/>
      <c r="J42" s="295"/>
      <c r="K42" s="306" t="s">
        <v>16</v>
      </c>
      <c r="L42" s="307" t="s">
        <v>16</v>
      </c>
    </row>
    <row r="43" spans="1:12">
      <c r="A43" s="288"/>
      <c r="B43" s="289"/>
      <c r="C43" s="290"/>
      <c r="D43" s="291"/>
      <c r="E43" s="292"/>
      <c r="F43" s="293"/>
      <c r="G43" s="294"/>
      <c r="H43" s="292"/>
      <c r="I43" s="295"/>
      <c r="J43" s="295"/>
      <c r="K43" s="306" t="s">
        <v>16</v>
      </c>
      <c r="L43" s="307" t="s">
        <v>16</v>
      </c>
    </row>
    <row r="44" spans="1:12" ht="13.5" thickBot="1">
      <c r="A44" s="296"/>
      <c r="B44" s="297"/>
      <c r="C44" s="298"/>
      <c r="D44" s="299"/>
      <c r="E44" s="300"/>
      <c r="F44" s="301"/>
      <c r="G44" s="302"/>
      <c r="H44" s="300"/>
      <c r="I44" s="300"/>
      <c r="J44" s="300"/>
      <c r="K44" s="308" t="s">
        <v>16</v>
      </c>
      <c r="L44" s="309" t="s">
        <v>16</v>
      </c>
    </row>
    <row r="45" spans="1:12">
      <c r="A45" s="280"/>
      <c r="B45" s="281"/>
      <c r="C45" s="282"/>
      <c r="D45" s="283"/>
      <c r="E45" s="284"/>
      <c r="F45" s="285"/>
      <c r="G45" s="286"/>
      <c r="H45" s="284"/>
      <c r="I45" s="287"/>
      <c r="J45" s="287"/>
      <c r="K45" s="304" t="s">
        <v>16</v>
      </c>
      <c r="L45" s="305" t="s">
        <v>16</v>
      </c>
    </row>
    <row r="46" spans="1:12">
      <c r="A46" s="288"/>
      <c r="B46" s="289"/>
      <c r="C46" s="290"/>
      <c r="D46" s="291"/>
      <c r="E46" s="292"/>
      <c r="F46" s="293"/>
      <c r="G46" s="294"/>
      <c r="H46" s="292"/>
      <c r="I46" s="295"/>
      <c r="J46" s="295"/>
      <c r="K46" s="306" t="s">
        <v>16</v>
      </c>
      <c r="L46" s="307" t="s">
        <v>16</v>
      </c>
    </row>
    <row r="47" spans="1:12">
      <c r="A47" s="288"/>
      <c r="B47" s="289"/>
      <c r="C47" s="290"/>
      <c r="D47" s="291"/>
      <c r="E47" s="292"/>
      <c r="F47" s="293"/>
      <c r="G47" s="294"/>
      <c r="H47" s="292"/>
      <c r="I47" s="295"/>
      <c r="J47" s="295"/>
      <c r="K47" s="306" t="s">
        <v>16</v>
      </c>
      <c r="L47" s="307" t="s">
        <v>16</v>
      </c>
    </row>
    <row r="48" spans="1:12">
      <c r="A48" s="288"/>
      <c r="B48" s="289"/>
      <c r="C48" s="290"/>
      <c r="D48" s="291"/>
      <c r="E48" s="292"/>
      <c r="F48" s="293"/>
      <c r="G48" s="294"/>
      <c r="H48" s="292"/>
      <c r="I48" s="295"/>
      <c r="J48" s="295"/>
      <c r="K48" s="306" t="s">
        <v>16</v>
      </c>
      <c r="L48" s="307" t="s">
        <v>16</v>
      </c>
    </row>
    <row r="49" spans="1:12" ht="13.5" thickBot="1">
      <c r="A49" s="296"/>
      <c r="B49" s="297"/>
      <c r="C49" s="298"/>
      <c r="D49" s="299"/>
      <c r="E49" s="300"/>
      <c r="F49" s="301"/>
      <c r="G49" s="302"/>
      <c r="H49" s="300"/>
      <c r="I49" s="300"/>
      <c r="J49" s="300"/>
      <c r="K49" s="308" t="s">
        <v>16</v>
      </c>
      <c r="L49" s="309" t="s">
        <v>16</v>
      </c>
    </row>
    <row r="50" spans="1:12">
      <c r="A50" s="280"/>
      <c r="B50" s="281"/>
      <c r="C50" s="282"/>
      <c r="D50" s="283"/>
      <c r="E50" s="284"/>
      <c r="F50" s="285"/>
      <c r="G50" s="286"/>
      <c r="H50" s="284"/>
      <c r="I50" s="287"/>
      <c r="J50" s="287"/>
      <c r="K50" s="304" t="s">
        <v>16</v>
      </c>
      <c r="L50" s="305" t="s">
        <v>16</v>
      </c>
    </row>
    <row r="51" spans="1:12">
      <c r="A51" s="288"/>
      <c r="B51" s="289"/>
      <c r="C51" s="290"/>
      <c r="D51" s="291"/>
      <c r="E51" s="292"/>
      <c r="F51" s="293"/>
      <c r="G51" s="294"/>
      <c r="H51" s="292"/>
      <c r="I51" s="295"/>
      <c r="J51" s="295"/>
      <c r="K51" s="306" t="s">
        <v>16</v>
      </c>
      <c r="L51" s="307" t="s">
        <v>16</v>
      </c>
    </row>
    <row r="52" spans="1:12">
      <c r="A52" s="288"/>
      <c r="B52" s="289"/>
      <c r="C52" s="290"/>
      <c r="D52" s="291"/>
      <c r="E52" s="292"/>
      <c r="F52" s="293"/>
      <c r="G52" s="294"/>
      <c r="H52" s="292"/>
      <c r="I52" s="295"/>
      <c r="J52" s="295"/>
      <c r="K52" s="306" t="s">
        <v>16</v>
      </c>
      <c r="L52" s="307" t="s">
        <v>16</v>
      </c>
    </row>
    <row r="53" spans="1:12">
      <c r="A53" s="288"/>
      <c r="B53" s="289"/>
      <c r="C53" s="290"/>
      <c r="D53" s="291"/>
      <c r="E53" s="292"/>
      <c r="F53" s="293"/>
      <c r="G53" s="294"/>
      <c r="H53" s="292"/>
      <c r="I53" s="295"/>
      <c r="J53" s="295"/>
      <c r="K53" s="306" t="s">
        <v>16</v>
      </c>
      <c r="L53" s="307" t="s">
        <v>16</v>
      </c>
    </row>
    <row r="54" spans="1:12" ht="13.5" thickBot="1">
      <c r="A54" s="296"/>
      <c r="B54" s="297"/>
      <c r="C54" s="298"/>
      <c r="D54" s="299"/>
      <c r="E54" s="300"/>
      <c r="F54" s="301"/>
      <c r="G54" s="302"/>
      <c r="H54" s="300"/>
      <c r="I54" s="300"/>
      <c r="J54" s="300"/>
      <c r="K54" s="308" t="s">
        <v>16</v>
      </c>
      <c r="L54" s="309" t="s">
        <v>16</v>
      </c>
    </row>
  </sheetData>
  <sheetProtection formatCells="0" formatColumns="0" formatRows="0" insertColumns="0" insertRows="0" insertHyperlinks="0" deleteColumns="0" deleteRows="0" sort="0" autoFilter="0" pivotTables="0"/>
  <mergeCells count="7">
    <mergeCell ref="F3:F4"/>
    <mergeCell ref="G3:I3"/>
    <mergeCell ref="A3:A4"/>
    <mergeCell ref="B3:B4"/>
    <mergeCell ref="C3:C4"/>
    <mergeCell ref="D3:D4"/>
    <mergeCell ref="E3:E4"/>
  </mergeCells>
  <phoneticPr fontId="15" type="noConversion"/>
  <pageMargins left="0.74803149606299213" right="0.74803149606299213" top="1.2204724409448819" bottom="0.98425196850393704" header="0.51181102362204722" footer="0.51181102362204722"/>
  <pageSetup paperSize="9" scale="62" orientation="landscape" verticalDpi="200" r:id="rId1"/>
  <headerFooter alignWithMargins="0">
    <oddHeader xml:space="preserve">&amp;C&amp;"Arial,Vet"&amp;14LINE&amp;"Arial,Standaard"
LIST Visualisation and Commands&amp;RFilename: &amp;F
Date : &amp;D&amp;L&amp;10Machine Number: 
Machine Name: 
CU Number: 
VU Number: </oddHeader>
    <oddFooter>&amp;LBased on template : &amp;CVisualisationommands_CUxxxx_A4&amp;RPage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285A1-5A54-46C2-A3EF-15EF00F16F94}">
  <sheetPr codeName="Sheet15">
    <pageSetUpPr fitToPage="1"/>
  </sheetPr>
  <dimension ref="A1:E46"/>
  <sheetViews>
    <sheetView showGridLines="0" zoomScaleNormal="100" workbookViewId="0">
      <selection activeCell="D11" sqref="D11"/>
    </sheetView>
  </sheetViews>
  <sheetFormatPr defaultColWidth="9.140625" defaultRowHeight="12.75"/>
  <cols>
    <col min="1" max="2" width="30.7109375" style="210" customWidth="1"/>
    <col min="3" max="3" width="22.28515625" style="233" customWidth="1"/>
    <col min="4" max="4" width="16.140625" style="60" customWidth="1"/>
    <col min="5" max="7" width="8" style="60" customWidth="1"/>
    <col min="8" max="16384" width="9.140625" style="60"/>
  </cols>
  <sheetData>
    <row r="1" spans="1:5" s="46" customFormat="1" ht="20.25">
      <c r="A1" s="222" t="s">
        <v>17</v>
      </c>
      <c r="B1" s="223"/>
      <c r="C1" s="224"/>
      <c r="D1"/>
      <c r="E1"/>
    </row>
    <row r="2" spans="1:5" s="46" customFormat="1" ht="13.5" thickBot="1">
      <c r="A2" s="225"/>
      <c r="B2" s="225"/>
      <c r="C2" s="226"/>
    </row>
    <row r="3" spans="1:5" s="46" customFormat="1">
      <c r="A3" s="227" t="s">
        <v>18</v>
      </c>
      <c r="B3" s="228"/>
      <c r="C3" s="226"/>
    </row>
    <row r="4" spans="1:5" s="46" customFormat="1">
      <c r="A4" s="229" t="s">
        <v>19</v>
      </c>
      <c r="B4" s="230"/>
      <c r="C4" s="226"/>
    </row>
    <row r="5" spans="1:5" s="46" customFormat="1">
      <c r="A5" s="229" t="s">
        <v>20</v>
      </c>
      <c r="B5" s="230"/>
      <c r="C5" s="226"/>
    </row>
    <row r="6" spans="1:5" s="46" customFormat="1">
      <c r="A6" s="229" t="s">
        <v>21</v>
      </c>
      <c r="B6" s="230"/>
      <c r="C6" s="226"/>
    </row>
    <row r="7" spans="1:5" s="46" customFormat="1">
      <c r="A7" s="229" t="s">
        <v>22</v>
      </c>
      <c r="B7" s="230"/>
      <c r="C7" s="226"/>
    </row>
    <row r="8" spans="1:5" s="46" customFormat="1" ht="13.5" thickBot="1">
      <c r="A8" s="231" t="s">
        <v>23</v>
      </c>
      <c r="B8" s="232"/>
      <c r="C8" s="226"/>
    </row>
    <row r="9" spans="1:5" ht="13.5" thickBot="1"/>
    <row r="10" spans="1:5" s="46" customFormat="1" ht="13.5" thickBot="1">
      <c r="A10" s="210"/>
      <c r="B10" s="234" t="s">
        <v>24</v>
      </c>
      <c r="C10" s="509" t="s">
        <v>25</v>
      </c>
      <c r="D10" s="235" t="s">
        <v>26</v>
      </c>
    </row>
    <row r="11" spans="1:5" s="46" customFormat="1">
      <c r="A11" s="227" t="s">
        <v>27</v>
      </c>
      <c r="B11" s="236"/>
      <c r="C11" s="510"/>
      <c r="D11" s="237"/>
    </row>
    <row r="12" spans="1:5" s="46" customFormat="1">
      <c r="A12" s="238" t="s">
        <v>28</v>
      </c>
      <c r="B12" s="236"/>
      <c r="C12" s="511"/>
      <c r="D12" s="237"/>
    </row>
    <row r="13" spans="1:5" s="46" customFormat="1">
      <c r="A13" s="238" t="s">
        <v>29</v>
      </c>
      <c r="B13" s="236"/>
      <c r="C13" s="511"/>
      <c r="D13" s="237"/>
    </row>
    <row r="14" spans="1:5" s="46" customFormat="1">
      <c r="A14" s="238" t="s">
        <v>30</v>
      </c>
      <c r="B14" s="236"/>
      <c r="C14" s="511"/>
      <c r="D14" s="237"/>
    </row>
    <row r="15" spans="1:5" s="46" customFormat="1">
      <c r="A15" s="238" t="s">
        <v>31</v>
      </c>
      <c r="B15" s="236"/>
      <c r="C15" s="511"/>
      <c r="D15" s="237"/>
    </row>
    <row r="16" spans="1:5" s="46" customFormat="1">
      <c r="A16" s="238" t="s">
        <v>32</v>
      </c>
      <c r="B16" s="236"/>
      <c r="C16" s="511"/>
      <c r="D16" s="237"/>
    </row>
    <row r="17" spans="1:4" s="46" customFormat="1">
      <c r="A17" s="238" t="s">
        <v>33</v>
      </c>
      <c r="B17" s="236"/>
      <c r="C17" s="511"/>
      <c r="D17" s="237"/>
    </row>
    <row r="18" spans="1:4" s="46" customFormat="1">
      <c r="A18" s="238" t="s">
        <v>34</v>
      </c>
      <c r="B18" s="236"/>
      <c r="C18" s="511"/>
      <c r="D18" s="237"/>
    </row>
    <row r="19" spans="1:4" s="46" customFormat="1">
      <c r="A19" s="238" t="s">
        <v>35</v>
      </c>
      <c r="B19" s="236"/>
      <c r="C19" s="511"/>
      <c r="D19" s="237"/>
    </row>
    <row r="20" spans="1:4" s="46" customFormat="1" ht="13.5" thickBot="1">
      <c r="A20" s="231" t="s">
        <v>36</v>
      </c>
      <c r="B20" s="239"/>
      <c r="C20" s="512"/>
      <c r="D20" s="240"/>
    </row>
    <row r="21" spans="1:4" ht="13.5" thickBot="1"/>
    <row r="22" spans="1:4" s="46" customFormat="1" ht="13.5" thickBot="1">
      <c r="A22" s="227" t="s">
        <v>37</v>
      </c>
      <c r="B22" s="228"/>
      <c r="C22" s="226"/>
    </row>
    <row r="23" spans="1:4" s="46" customFormat="1" ht="13.5" thickBot="1">
      <c r="A23" s="229" t="s">
        <v>38</v>
      </c>
      <c r="B23" s="310"/>
      <c r="C23" s="311"/>
    </row>
    <row r="24" spans="1:4" s="46" customFormat="1">
      <c r="A24" s="229" t="s">
        <v>39</v>
      </c>
      <c r="B24" s="230"/>
      <c r="C24" s="226"/>
    </row>
    <row r="25" spans="1:4" s="46" customFormat="1">
      <c r="A25" s="229" t="s">
        <v>40</v>
      </c>
      <c r="B25" s="230"/>
      <c r="C25" s="226"/>
    </row>
    <row r="26" spans="1:4" s="46" customFormat="1">
      <c r="A26" s="229" t="s">
        <v>41</v>
      </c>
      <c r="B26" s="230"/>
      <c r="C26" s="226"/>
    </row>
    <row r="27" spans="1:4" s="46" customFormat="1">
      <c r="A27" s="229" t="s">
        <v>42</v>
      </c>
      <c r="B27" s="230"/>
      <c r="C27" s="226"/>
    </row>
    <row r="28" spans="1:4" s="46" customFormat="1">
      <c r="A28" s="229" t="s">
        <v>43</v>
      </c>
      <c r="B28" s="230"/>
      <c r="C28" s="226"/>
    </row>
    <row r="29" spans="1:4" s="46" customFormat="1">
      <c r="A29" s="229" t="s">
        <v>44</v>
      </c>
      <c r="B29" s="230"/>
      <c r="C29" s="226"/>
    </row>
    <row r="30" spans="1:4" s="46" customFormat="1" ht="13.5" thickBot="1">
      <c r="A30" s="231" t="s">
        <v>45</v>
      </c>
      <c r="B30" s="232"/>
      <c r="C30" s="226"/>
    </row>
    <row r="31" spans="1:4" ht="13.5" thickBot="1"/>
    <row r="32" spans="1:4" s="46" customFormat="1">
      <c r="A32" s="227" t="s">
        <v>46</v>
      </c>
      <c r="B32" s="228"/>
      <c r="C32" s="226"/>
    </row>
    <row r="33" spans="1:3" s="46" customFormat="1">
      <c r="A33" s="229" t="s">
        <v>47</v>
      </c>
      <c r="B33" s="230" t="s">
        <v>48</v>
      </c>
      <c r="C33" s="226"/>
    </row>
    <row r="34" spans="1:3" s="46" customFormat="1">
      <c r="A34" s="229" t="s">
        <v>49</v>
      </c>
      <c r="B34" s="230" t="s">
        <v>50</v>
      </c>
      <c r="C34" s="226"/>
    </row>
    <row r="35" spans="1:3" s="46" customFormat="1">
      <c r="A35" s="229" t="s">
        <v>51</v>
      </c>
      <c r="B35" s="230" t="s">
        <v>52</v>
      </c>
      <c r="C35" s="226"/>
    </row>
    <row r="36" spans="1:3" s="46" customFormat="1" ht="13.5" thickBot="1">
      <c r="A36" s="231" t="s">
        <v>53</v>
      </c>
      <c r="B36" s="232" t="s">
        <v>54</v>
      </c>
      <c r="C36" s="226"/>
    </row>
    <row r="37" spans="1:3" ht="13.5" thickBot="1"/>
    <row r="38" spans="1:3" ht="13.5" thickBot="1">
      <c r="A38" s="241" t="s">
        <v>55</v>
      </c>
      <c r="B38" s="234" t="s">
        <v>56</v>
      </c>
      <c r="C38" s="235" t="s">
        <v>57</v>
      </c>
    </row>
    <row r="39" spans="1:3">
      <c r="A39" s="227" t="s">
        <v>58</v>
      </c>
      <c r="B39" s="236"/>
      <c r="C39" s="237" t="s">
        <v>59</v>
      </c>
    </row>
    <row r="40" spans="1:3">
      <c r="A40" s="238" t="s">
        <v>60</v>
      </c>
      <c r="B40" s="236"/>
      <c r="C40" s="237" t="s">
        <v>59</v>
      </c>
    </row>
    <row r="41" spans="1:3">
      <c r="A41" s="238" t="s">
        <v>9</v>
      </c>
      <c r="B41" s="236"/>
      <c r="C41" s="237"/>
    </row>
    <row r="42" spans="1:3">
      <c r="A42" s="238" t="s">
        <v>10</v>
      </c>
      <c r="B42" s="236"/>
      <c r="C42" s="237"/>
    </row>
    <row r="43" spans="1:3">
      <c r="A43" s="238" t="s">
        <v>11</v>
      </c>
      <c r="B43" s="236"/>
      <c r="C43" s="237"/>
    </row>
    <row r="44" spans="1:3">
      <c r="A44" s="238" t="s">
        <v>12</v>
      </c>
      <c r="B44" s="236"/>
      <c r="C44" s="237"/>
    </row>
    <row r="45" spans="1:3">
      <c r="A45" s="238" t="s">
        <v>13</v>
      </c>
      <c r="B45" s="236"/>
      <c r="C45" s="237"/>
    </row>
    <row r="46" spans="1:3" ht="13.5" thickBot="1">
      <c r="A46" s="231" t="s">
        <v>14</v>
      </c>
      <c r="B46" s="239"/>
      <c r="C46" s="240" t="s">
        <v>59</v>
      </c>
    </row>
  </sheetData>
  <sheetProtection formatCells="0" formatColumns="0" formatRows="0" insertColumns="0" insertRows="0" insertHyperlinks="0" deleteColumns="0" deleteRows="0" sort="0" autoFilter="0" pivotTables="0"/>
  <pageMargins left="0.74803149606299213" right="0.74803149606299213" top="1.2204724409448819" bottom="0.98425196850393704" header="0.51181102362204722" footer="0.51181102362204722"/>
  <pageSetup paperSize="9" scale="74" orientation="landscape" verticalDpi="200" r:id="rId1"/>
  <headerFooter alignWithMargins="0">
    <oddHeader xml:space="preserve">&amp;C&amp;"Arial,Vet"&amp;14LINE&amp;"Arial,Standaard"
LIST Visualisation and Commands&amp;RFilename: &amp;F
Date : &amp;D&amp;L&amp;10Machine Number: 
Machine Name: 
CU Number: 
VU Number: </oddHeader>
    <oddFooter>&amp;LBased on template : &amp;CVisualisationommands_CUxxxx_A4&amp;RPage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A1:AA40"/>
  <sheetViews>
    <sheetView showGridLines="0" zoomScaleNormal="100" zoomScaleSheetLayoutView="56" zoomScalePageLayoutView="80" workbookViewId="0">
      <pane xSplit="4" ySplit="3" topLeftCell="E4" activePane="bottomRight" state="frozen"/>
      <selection pane="bottomRight" activeCell="J8" sqref="J8"/>
      <selection pane="bottomLeft" activeCell="A4" sqref="A4"/>
      <selection pane="topRight" activeCell="E1" sqref="E1"/>
    </sheetView>
  </sheetViews>
  <sheetFormatPr defaultColWidth="9.140625" defaultRowHeight="12.75"/>
  <cols>
    <col min="1" max="1" width="12.5703125" style="49" customWidth="1"/>
    <col min="2" max="2" width="9.5703125" style="49" bestFit="1" customWidth="1"/>
    <col min="3" max="3" width="10.5703125" style="54" bestFit="1" customWidth="1"/>
    <col min="4" max="4" width="35.42578125" style="49" customWidth="1"/>
    <col min="5" max="5" width="13.42578125" style="49" customWidth="1"/>
    <col min="6" max="6" width="29.42578125" style="49" customWidth="1"/>
    <col min="7" max="8" width="23.7109375" style="49" customWidth="1"/>
    <col min="9" max="9" width="13.42578125" style="49" bestFit="1" customWidth="1"/>
    <col min="10" max="10" width="22.5703125" style="49" customWidth="1"/>
    <col min="11" max="11" width="21.42578125" style="49" bestFit="1" customWidth="1"/>
    <col min="12" max="12" width="34" style="49" bestFit="1" customWidth="1"/>
    <col min="13" max="13" width="30.140625" style="49" customWidth="1"/>
    <col min="14" max="14" width="34.5703125" style="49" customWidth="1"/>
    <col min="15" max="15" width="35.7109375" style="49" customWidth="1"/>
    <col min="16" max="16" width="18.28515625" style="49" bestFit="1" customWidth="1"/>
    <col min="17" max="17" width="13.7109375" style="49" customWidth="1"/>
    <col min="18" max="18" width="20.140625" style="53" bestFit="1" customWidth="1"/>
    <col min="19" max="19" width="11.140625" style="49" customWidth="1"/>
    <col min="20" max="16384" width="9.140625" style="49"/>
  </cols>
  <sheetData>
    <row r="1" spans="1:27" ht="27" customHeight="1" thickBot="1">
      <c r="D1" s="117" t="s">
        <v>61</v>
      </c>
      <c r="E1" s="52"/>
      <c r="F1" s="52"/>
      <c r="G1" s="52"/>
      <c r="H1" s="52"/>
    </row>
    <row r="2" spans="1:27" ht="29.25" customHeight="1" thickBot="1">
      <c r="D2" s="204" t="s">
        <v>62</v>
      </c>
      <c r="E2" s="171" t="s">
        <v>63</v>
      </c>
      <c r="F2" s="172"/>
      <c r="G2" s="172"/>
      <c r="H2" s="513"/>
    </row>
    <row r="3" spans="1:27" s="319" customFormat="1" ht="30" customHeight="1" thickBot="1">
      <c r="A3" s="313" t="s">
        <v>64</v>
      </c>
      <c r="B3" s="314" t="s">
        <v>65</v>
      </c>
      <c r="C3" s="315" t="s">
        <v>66</v>
      </c>
      <c r="D3" s="316" t="s">
        <v>67</v>
      </c>
      <c r="E3" s="317" t="s">
        <v>68</v>
      </c>
      <c r="F3" s="318" t="s">
        <v>69</v>
      </c>
      <c r="G3" s="312" t="s">
        <v>70</v>
      </c>
      <c r="H3" s="312" t="s">
        <v>71</v>
      </c>
      <c r="I3" s="314" t="s">
        <v>72</v>
      </c>
      <c r="J3" s="314" t="s">
        <v>73</v>
      </c>
      <c r="K3" s="314" t="s">
        <v>74</v>
      </c>
      <c r="L3" s="314" t="s">
        <v>75</v>
      </c>
      <c r="M3" s="314" t="s">
        <v>76</v>
      </c>
      <c r="N3" s="314" t="s">
        <v>77</v>
      </c>
      <c r="O3" s="314" t="s">
        <v>78</v>
      </c>
      <c r="P3" s="314" t="s">
        <v>79</v>
      </c>
      <c r="Q3" s="361" t="s">
        <v>80</v>
      </c>
      <c r="R3" s="79" t="s">
        <v>81</v>
      </c>
      <c r="S3" s="419" t="s">
        <v>82</v>
      </c>
    </row>
    <row r="4" spans="1:27">
      <c r="A4" s="243"/>
      <c r="B4" s="77" t="s">
        <v>15</v>
      </c>
      <c r="C4" s="76">
        <v>1</v>
      </c>
      <c r="D4" s="77" t="s">
        <v>83</v>
      </c>
      <c r="E4" s="77" t="s">
        <v>84</v>
      </c>
      <c r="F4" s="77" t="s">
        <v>85</v>
      </c>
      <c r="G4" s="77" t="s">
        <v>86</v>
      </c>
      <c r="H4" s="77"/>
      <c r="I4" s="92" t="s">
        <v>87</v>
      </c>
      <c r="J4" s="77" t="s">
        <v>88</v>
      </c>
      <c r="K4" s="77" t="s">
        <v>89</v>
      </c>
      <c r="L4" s="77" t="s">
        <v>83</v>
      </c>
      <c r="M4" s="77" t="s">
        <v>90</v>
      </c>
      <c r="N4" s="77" t="s">
        <v>91</v>
      </c>
      <c r="O4" s="77"/>
      <c r="P4" s="78" t="s">
        <v>92</v>
      </c>
      <c r="Q4" s="177"/>
      <c r="R4" s="106" t="s">
        <v>88</v>
      </c>
      <c r="S4" s="325"/>
      <c r="T4" s="25"/>
      <c r="U4" s="195"/>
      <c r="V4" s="46" t="s">
        <v>93</v>
      </c>
      <c r="W4" s="25"/>
      <c r="X4" s="25"/>
      <c r="Y4" s="25"/>
      <c r="Z4" s="25"/>
      <c r="AA4" s="25"/>
    </row>
    <row r="5" spans="1:27">
      <c r="A5" s="244"/>
      <c r="B5" s="63" t="s">
        <v>15</v>
      </c>
      <c r="C5" s="62">
        <v>2</v>
      </c>
      <c r="D5" s="63" t="s">
        <v>94</v>
      </c>
      <c r="E5" s="63" t="s">
        <v>95</v>
      </c>
      <c r="F5" s="63" t="s">
        <v>96</v>
      </c>
      <c r="G5" s="77" t="s">
        <v>86</v>
      </c>
      <c r="H5" s="77"/>
      <c r="I5" s="64" t="s">
        <v>97</v>
      </c>
      <c r="J5" s="63" t="s">
        <v>88</v>
      </c>
      <c r="K5" s="63" t="s">
        <v>98</v>
      </c>
      <c r="L5" s="63" t="s">
        <v>94</v>
      </c>
      <c r="M5" s="63" t="s">
        <v>99</v>
      </c>
      <c r="N5" s="77" t="s">
        <v>91</v>
      </c>
      <c r="O5" s="63"/>
      <c r="P5" s="78" t="s">
        <v>92</v>
      </c>
      <c r="Q5" s="177"/>
      <c r="R5" s="106" t="s">
        <v>88</v>
      </c>
      <c r="S5" s="326"/>
      <c r="T5" s="25"/>
      <c r="U5" s="196"/>
      <c r="V5" s="46" t="s">
        <v>100</v>
      </c>
      <c r="W5" s="25"/>
      <c r="X5" s="25"/>
      <c r="Y5" s="25"/>
      <c r="Z5" s="25"/>
      <c r="AA5" s="25"/>
    </row>
    <row r="6" spans="1:27">
      <c r="A6" s="244"/>
      <c r="B6" s="63" t="s">
        <v>15</v>
      </c>
      <c r="C6" s="62">
        <v>3</v>
      </c>
      <c r="D6" s="63" t="s">
        <v>101</v>
      </c>
      <c r="E6" s="63" t="s">
        <v>102</v>
      </c>
      <c r="F6" s="63" t="s">
        <v>103</v>
      </c>
      <c r="G6" s="77" t="s">
        <v>86</v>
      </c>
      <c r="H6" s="77"/>
      <c r="I6" s="64" t="s">
        <v>104</v>
      </c>
      <c r="J6" s="63" t="s">
        <v>88</v>
      </c>
      <c r="K6" s="63" t="s">
        <v>105</v>
      </c>
      <c r="L6" s="63" t="s">
        <v>105</v>
      </c>
      <c r="M6" s="63" t="s">
        <v>106</v>
      </c>
      <c r="N6" s="77" t="s">
        <v>91</v>
      </c>
      <c r="O6" s="63"/>
      <c r="P6" s="78" t="s">
        <v>92</v>
      </c>
      <c r="Q6" s="177"/>
      <c r="R6" s="106" t="s">
        <v>88</v>
      </c>
      <c r="S6" s="326"/>
      <c r="T6" s="25"/>
      <c r="U6" s="197"/>
      <c r="V6" s="46" t="s">
        <v>107</v>
      </c>
      <c r="W6" s="25"/>
      <c r="X6" s="25"/>
      <c r="Y6" s="25"/>
      <c r="Z6" s="25"/>
      <c r="AA6" s="25"/>
    </row>
    <row r="7" spans="1:27">
      <c r="A7" s="244"/>
      <c r="B7" s="63" t="s">
        <v>15</v>
      </c>
      <c r="C7" s="62">
        <v>4</v>
      </c>
      <c r="D7" s="63" t="s">
        <v>108</v>
      </c>
      <c r="E7" s="63" t="s">
        <v>109</v>
      </c>
      <c r="F7" s="63" t="s">
        <v>110</v>
      </c>
      <c r="G7" s="77" t="s">
        <v>86</v>
      </c>
      <c r="H7" s="77"/>
      <c r="I7" s="64" t="s">
        <v>111</v>
      </c>
      <c r="J7" s="63" t="s">
        <v>88</v>
      </c>
      <c r="K7" s="63" t="s">
        <v>112</v>
      </c>
      <c r="L7" s="63" t="s">
        <v>112</v>
      </c>
      <c r="M7" s="63" t="s">
        <v>113</v>
      </c>
      <c r="N7" s="77" t="s">
        <v>91</v>
      </c>
      <c r="O7" s="63"/>
      <c r="P7" s="78" t="s">
        <v>92</v>
      </c>
      <c r="Q7" s="177"/>
      <c r="R7" s="106" t="s">
        <v>88</v>
      </c>
      <c r="S7" s="326"/>
      <c r="T7" s="25"/>
      <c r="U7" s="25"/>
      <c r="V7" s="25"/>
      <c r="W7" s="25"/>
      <c r="X7" s="25"/>
      <c r="Y7" s="25"/>
      <c r="Z7" s="25"/>
      <c r="AA7" s="25"/>
    </row>
    <row r="8" spans="1:27">
      <c r="A8" s="244"/>
      <c r="B8" s="63" t="s">
        <v>15</v>
      </c>
      <c r="C8" s="62">
        <v>5</v>
      </c>
      <c r="D8" s="63" t="s">
        <v>114</v>
      </c>
      <c r="E8" s="63" t="s">
        <v>115</v>
      </c>
      <c r="F8" s="63" t="s">
        <v>116</v>
      </c>
      <c r="G8" s="77" t="s">
        <v>86</v>
      </c>
      <c r="H8" s="77"/>
      <c r="I8" s="64" t="s">
        <v>117</v>
      </c>
      <c r="J8" s="63" t="s">
        <v>88</v>
      </c>
      <c r="K8" s="63" t="s">
        <v>118</v>
      </c>
      <c r="L8" s="63" t="s">
        <v>119</v>
      </c>
      <c r="M8" s="63" t="s">
        <v>120</v>
      </c>
      <c r="N8" s="77" t="s">
        <v>91</v>
      </c>
      <c r="O8" s="63"/>
      <c r="P8" s="78" t="s">
        <v>92</v>
      </c>
      <c r="Q8" s="177"/>
      <c r="R8" s="106" t="s">
        <v>88</v>
      </c>
      <c r="S8" s="326"/>
      <c r="T8" s="25"/>
      <c r="U8" s="320"/>
      <c r="V8" s="46" t="s">
        <v>121</v>
      </c>
      <c r="W8" s="25"/>
      <c r="X8" s="25"/>
      <c r="Y8" s="25"/>
      <c r="Z8" s="25"/>
      <c r="AA8" s="25"/>
    </row>
    <row r="9" spans="1:27">
      <c r="A9" s="244"/>
      <c r="B9" s="63" t="s">
        <v>15</v>
      </c>
      <c r="C9" s="62">
        <v>6</v>
      </c>
      <c r="D9" s="63" t="s">
        <v>122</v>
      </c>
      <c r="E9" s="63" t="s">
        <v>123</v>
      </c>
      <c r="F9" s="63" t="s">
        <v>124</v>
      </c>
      <c r="G9" s="77" t="s">
        <v>86</v>
      </c>
      <c r="H9" s="77"/>
      <c r="I9" s="64" t="s">
        <v>125</v>
      </c>
      <c r="J9" s="63" t="s">
        <v>88</v>
      </c>
      <c r="K9" s="63" t="s">
        <v>126</v>
      </c>
      <c r="L9" s="63"/>
      <c r="M9" s="63"/>
      <c r="N9" s="77" t="s">
        <v>127</v>
      </c>
      <c r="O9" s="63" t="s">
        <v>128</v>
      </c>
      <c r="P9" s="78" t="s">
        <v>92</v>
      </c>
      <c r="Q9" s="177"/>
      <c r="R9" s="106" t="s">
        <v>88</v>
      </c>
      <c r="S9" s="326"/>
      <c r="T9" s="25"/>
      <c r="U9" s="321"/>
      <c r="V9" s="46" t="s">
        <v>129</v>
      </c>
      <c r="W9" s="25"/>
      <c r="X9" s="25"/>
      <c r="Y9" s="25"/>
      <c r="Z9" s="25"/>
      <c r="AA9" s="25"/>
    </row>
    <row r="10" spans="1:27">
      <c r="A10" s="244"/>
      <c r="B10" s="63" t="s">
        <v>15</v>
      </c>
      <c r="C10" s="62">
        <v>7</v>
      </c>
      <c r="D10" s="63" t="s">
        <v>130</v>
      </c>
      <c r="E10" s="63" t="s">
        <v>131</v>
      </c>
      <c r="F10" s="63" t="s">
        <v>132</v>
      </c>
      <c r="G10" s="77" t="s">
        <v>86</v>
      </c>
      <c r="H10" s="77"/>
      <c r="I10" s="64" t="s">
        <v>125</v>
      </c>
      <c r="J10" s="63" t="s">
        <v>88</v>
      </c>
      <c r="K10" s="63" t="s">
        <v>126</v>
      </c>
      <c r="L10" s="63" t="s">
        <v>133</v>
      </c>
      <c r="M10" s="63" t="s">
        <v>134</v>
      </c>
      <c r="N10" s="63"/>
      <c r="O10" s="63"/>
      <c r="P10" s="78" t="s">
        <v>92</v>
      </c>
      <c r="Q10" s="177"/>
      <c r="R10" s="106" t="s">
        <v>88</v>
      </c>
      <c r="S10" s="326"/>
      <c r="T10" s="25"/>
      <c r="U10" s="25"/>
      <c r="V10" s="25"/>
      <c r="W10" s="25"/>
      <c r="X10" s="25"/>
      <c r="Y10" s="25"/>
      <c r="Z10" s="25"/>
      <c r="AA10" s="25"/>
    </row>
    <row r="11" spans="1:27">
      <c r="A11" s="244"/>
      <c r="B11" s="63" t="s">
        <v>15</v>
      </c>
      <c r="C11" s="62">
        <v>8</v>
      </c>
      <c r="D11" s="63" t="s">
        <v>135</v>
      </c>
      <c r="E11" s="63" t="s">
        <v>136</v>
      </c>
      <c r="F11" s="63" t="s">
        <v>137</v>
      </c>
      <c r="G11" s="77" t="s">
        <v>86</v>
      </c>
      <c r="H11" s="77"/>
      <c r="I11" s="64" t="s">
        <v>125</v>
      </c>
      <c r="J11" s="63" t="s">
        <v>88</v>
      </c>
      <c r="K11" s="63" t="s">
        <v>126</v>
      </c>
      <c r="L11" s="63" t="s">
        <v>135</v>
      </c>
      <c r="M11" s="63" t="s">
        <v>138</v>
      </c>
      <c r="N11" s="63"/>
      <c r="O11" s="63"/>
      <c r="P11" s="78" t="s">
        <v>92</v>
      </c>
      <c r="Q11" s="177"/>
      <c r="R11" s="106" t="s">
        <v>88</v>
      </c>
      <c r="S11" s="326"/>
      <c r="T11" s="25"/>
      <c r="U11" s="25"/>
      <c r="V11" s="25"/>
      <c r="W11" s="25"/>
      <c r="X11" s="25"/>
      <c r="Y11" s="25"/>
      <c r="Z11" s="25"/>
      <c r="AA11" s="25"/>
    </row>
    <row r="12" spans="1:27">
      <c r="A12" s="244"/>
      <c r="B12" s="63" t="s">
        <v>15</v>
      </c>
      <c r="C12" s="62">
        <v>9</v>
      </c>
      <c r="D12" s="63" t="s">
        <v>139</v>
      </c>
      <c r="E12" s="63" t="s">
        <v>140</v>
      </c>
      <c r="F12" s="63" t="s">
        <v>141</v>
      </c>
      <c r="G12" s="77" t="s">
        <v>86</v>
      </c>
      <c r="H12" s="77"/>
      <c r="I12" s="64" t="s">
        <v>142</v>
      </c>
      <c r="J12" s="63" t="s">
        <v>88</v>
      </c>
      <c r="K12" s="63" t="s">
        <v>143</v>
      </c>
      <c r="L12" s="63" t="s">
        <v>144</v>
      </c>
      <c r="M12" s="63" t="s">
        <v>145</v>
      </c>
      <c r="N12" s="63" t="s">
        <v>91</v>
      </c>
      <c r="O12" s="63"/>
      <c r="P12" s="78" t="s">
        <v>92</v>
      </c>
      <c r="Q12" s="177"/>
      <c r="R12" s="106" t="s">
        <v>88</v>
      </c>
      <c r="S12" s="326"/>
      <c r="T12" s="25"/>
      <c r="U12" s="25"/>
      <c r="V12" s="25"/>
      <c r="W12" s="25"/>
      <c r="X12" s="25"/>
      <c r="Y12" s="25"/>
      <c r="Z12" s="25"/>
      <c r="AA12" s="25"/>
    </row>
    <row r="13" spans="1:27">
      <c r="A13" s="244"/>
      <c r="B13" s="63" t="s">
        <v>15</v>
      </c>
      <c r="C13" s="62">
        <v>10</v>
      </c>
      <c r="D13" s="43" t="s">
        <v>146</v>
      </c>
      <c r="E13" s="63" t="s">
        <v>147</v>
      </c>
      <c r="F13" s="63" t="s">
        <v>148</v>
      </c>
      <c r="G13" s="77" t="s">
        <v>86</v>
      </c>
      <c r="H13" s="77"/>
      <c r="I13" s="64"/>
      <c r="J13" s="63"/>
      <c r="K13" s="63"/>
      <c r="L13" s="63"/>
      <c r="M13" s="63"/>
      <c r="N13" s="63"/>
      <c r="O13" s="63"/>
      <c r="P13" s="63"/>
      <c r="Q13" s="107"/>
      <c r="R13" s="107"/>
      <c r="S13" s="326"/>
      <c r="T13" s="25"/>
      <c r="U13" s="25"/>
      <c r="V13" s="25"/>
      <c r="W13" s="25"/>
      <c r="X13" s="25"/>
      <c r="Y13" s="25"/>
      <c r="Z13" s="25"/>
      <c r="AA13" s="25"/>
    </row>
    <row r="14" spans="1:27">
      <c r="A14" s="244"/>
      <c r="B14" s="63" t="s">
        <v>15</v>
      </c>
      <c r="C14" s="62">
        <v>11</v>
      </c>
      <c r="D14" s="43" t="s">
        <v>149</v>
      </c>
      <c r="E14" s="63" t="s">
        <v>150</v>
      </c>
      <c r="F14" s="63" t="s">
        <v>151</v>
      </c>
      <c r="G14" s="77" t="s">
        <v>86</v>
      </c>
      <c r="H14" s="77"/>
      <c r="I14" s="64"/>
      <c r="J14" s="63"/>
      <c r="K14" s="63"/>
      <c r="L14" s="63"/>
      <c r="M14" s="63"/>
      <c r="N14" s="63"/>
      <c r="O14" s="63"/>
      <c r="P14" s="63"/>
      <c r="Q14" s="107"/>
      <c r="R14" s="107"/>
      <c r="S14" s="326"/>
      <c r="T14" s="25"/>
      <c r="U14" s="25"/>
      <c r="V14" s="25"/>
      <c r="W14" s="25"/>
      <c r="X14" s="25"/>
      <c r="Y14" s="25"/>
      <c r="Z14" s="25"/>
      <c r="AA14" s="25"/>
    </row>
    <row r="15" spans="1:27">
      <c r="A15" s="244"/>
      <c r="B15" s="63" t="s">
        <v>15</v>
      </c>
      <c r="C15" s="62">
        <v>12</v>
      </c>
      <c r="D15" s="65" t="s">
        <v>152</v>
      </c>
      <c r="E15" s="63" t="s">
        <v>153</v>
      </c>
      <c r="F15" s="63" t="s">
        <v>154</v>
      </c>
      <c r="G15" s="77" t="s">
        <v>86</v>
      </c>
      <c r="H15" s="77"/>
      <c r="I15" s="64"/>
      <c r="J15" s="63"/>
      <c r="K15" s="63"/>
      <c r="L15" s="63"/>
      <c r="M15" s="63"/>
      <c r="N15" s="63"/>
      <c r="O15" s="63"/>
      <c r="P15" s="63"/>
      <c r="Q15" s="107"/>
      <c r="R15" s="107"/>
      <c r="S15" s="326"/>
      <c r="T15" s="25"/>
      <c r="U15" s="25"/>
      <c r="V15" s="25"/>
      <c r="W15" s="25"/>
      <c r="X15" s="25"/>
      <c r="Y15" s="25"/>
      <c r="Z15" s="25"/>
      <c r="AA15" s="25"/>
    </row>
    <row r="16" spans="1:27">
      <c r="A16" s="244"/>
      <c r="B16" s="63" t="s">
        <v>15</v>
      </c>
      <c r="C16" s="62">
        <v>13</v>
      </c>
      <c r="D16" s="66" t="s">
        <v>155</v>
      </c>
      <c r="E16" s="63" t="s">
        <v>156</v>
      </c>
      <c r="F16" s="63" t="s">
        <v>157</v>
      </c>
      <c r="G16" s="77" t="s">
        <v>86</v>
      </c>
      <c r="H16" s="77"/>
      <c r="I16" s="64"/>
      <c r="J16" s="63"/>
      <c r="K16" s="63" t="s">
        <v>158</v>
      </c>
      <c r="L16" s="63" t="s">
        <v>159</v>
      </c>
      <c r="M16" s="63" t="s">
        <v>160</v>
      </c>
      <c r="N16" s="77" t="s">
        <v>91</v>
      </c>
      <c r="O16" s="63"/>
      <c r="P16" s="63" t="s">
        <v>161</v>
      </c>
      <c r="Q16" s="107"/>
      <c r="R16" s="107"/>
      <c r="S16" s="326"/>
      <c r="T16" s="25"/>
      <c r="U16" s="25"/>
      <c r="V16" s="25"/>
      <c r="W16" s="25"/>
      <c r="X16" s="25"/>
      <c r="Y16" s="25"/>
      <c r="Z16" s="25"/>
      <c r="AA16" s="25"/>
    </row>
    <row r="17" spans="1:27">
      <c r="A17" s="244"/>
      <c r="B17" s="63" t="s">
        <v>15</v>
      </c>
      <c r="C17" s="62">
        <v>14</v>
      </c>
      <c r="D17" s="66" t="s">
        <v>162</v>
      </c>
      <c r="E17" s="63" t="s">
        <v>163</v>
      </c>
      <c r="F17" s="63" t="s">
        <v>164</v>
      </c>
      <c r="G17" s="77" t="s">
        <v>86</v>
      </c>
      <c r="H17" s="77"/>
      <c r="I17" s="64"/>
      <c r="J17" s="63"/>
      <c r="K17" s="63" t="s">
        <v>165</v>
      </c>
      <c r="L17" s="63" t="s">
        <v>166</v>
      </c>
      <c r="M17" s="63" t="s">
        <v>167</v>
      </c>
      <c r="N17" s="77" t="s">
        <v>91</v>
      </c>
      <c r="O17" s="63"/>
      <c r="P17" s="63" t="s">
        <v>161</v>
      </c>
      <c r="Q17" s="107"/>
      <c r="R17" s="107"/>
      <c r="S17" s="326"/>
      <c r="T17" s="25"/>
      <c r="U17" s="25"/>
      <c r="V17" s="25"/>
      <c r="W17" s="25"/>
      <c r="X17" s="25"/>
      <c r="Y17" s="25"/>
      <c r="Z17" s="25"/>
      <c r="AA17" s="25"/>
    </row>
    <row r="18" spans="1:27">
      <c r="A18" s="244"/>
      <c r="B18" s="63" t="s">
        <v>15</v>
      </c>
      <c r="C18" s="62">
        <v>15</v>
      </c>
      <c r="D18" s="66" t="s">
        <v>168</v>
      </c>
      <c r="E18" s="63" t="s">
        <v>169</v>
      </c>
      <c r="F18" s="63" t="s">
        <v>170</v>
      </c>
      <c r="G18" s="77" t="s">
        <v>86</v>
      </c>
      <c r="H18" s="77"/>
      <c r="I18" s="64"/>
      <c r="J18" s="63"/>
      <c r="K18" s="63" t="s">
        <v>171</v>
      </c>
      <c r="L18" s="63" t="s">
        <v>172</v>
      </c>
      <c r="M18" s="63" t="s">
        <v>173</v>
      </c>
      <c r="N18" s="77" t="s">
        <v>91</v>
      </c>
      <c r="O18" s="63"/>
      <c r="P18" s="78" t="s">
        <v>92</v>
      </c>
      <c r="Q18" s="177"/>
      <c r="R18" s="106" t="s">
        <v>88</v>
      </c>
      <c r="S18" s="326"/>
      <c r="T18" s="25"/>
      <c r="U18" s="25"/>
      <c r="V18" s="25"/>
      <c r="W18" s="25"/>
      <c r="X18" s="25"/>
      <c r="Y18" s="25"/>
      <c r="Z18" s="25"/>
      <c r="AA18" s="25"/>
    </row>
    <row r="19" spans="1:27">
      <c r="A19" s="244"/>
      <c r="B19" s="63" t="s">
        <v>15</v>
      </c>
      <c r="C19" s="62">
        <v>16</v>
      </c>
      <c r="D19" s="66" t="s">
        <v>174</v>
      </c>
      <c r="E19" s="63" t="s">
        <v>175</v>
      </c>
      <c r="F19" s="63" t="s">
        <v>176</v>
      </c>
      <c r="G19" s="77" t="s">
        <v>86</v>
      </c>
      <c r="H19" s="77"/>
      <c r="I19" s="64"/>
      <c r="J19" s="63"/>
      <c r="K19" s="63"/>
      <c r="L19" s="63"/>
      <c r="M19" s="63"/>
      <c r="N19" s="63"/>
      <c r="O19" s="63"/>
      <c r="P19" s="63"/>
      <c r="Q19" s="107"/>
      <c r="R19" s="107"/>
      <c r="S19" s="326"/>
    </row>
    <row r="20" spans="1:27">
      <c r="A20" s="244"/>
      <c r="B20" s="63" t="s">
        <v>15</v>
      </c>
      <c r="C20" s="62">
        <v>17</v>
      </c>
      <c r="D20" s="43" t="s">
        <v>177</v>
      </c>
      <c r="E20" s="63" t="s">
        <v>178</v>
      </c>
      <c r="F20" s="63" t="s">
        <v>179</v>
      </c>
      <c r="G20" s="77" t="s">
        <v>86</v>
      </c>
      <c r="H20" s="77"/>
      <c r="I20" s="64"/>
      <c r="J20" s="63"/>
      <c r="K20" s="63"/>
      <c r="L20" s="65"/>
      <c r="M20" s="63" t="s">
        <v>180</v>
      </c>
      <c r="N20" s="63"/>
      <c r="O20" s="63" t="s">
        <v>181</v>
      </c>
      <c r="P20" s="43" t="s">
        <v>182</v>
      </c>
      <c r="Q20" s="175"/>
      <c r="R20" s="107"/>
      <c r="S20" s="326"/>
    </row>
    <row r="21" spans="1:27">
      <c r="A21" s="244"/>
      <c r="B21" s="63" t="s">
        <v>15</v>
      </c>
      <c r="C21" s="62">
        <v>18</v>
      </c>
      <c r="D21" s="43" t="s">
        <v>183</v>
      </c>
      <c r="E21" s="63" t="s">
        <v>184</v>
      </c>
      <c r="F21" s="63" t="s">
        <v>185</v>
      </c>
      <c r="G21" s="77" t="s">
        <v>86</v>
      </c>
      <c r="H21" s="77"/>
      <c r="I21" s="64"/>
      <c r="J21" s="63"/>
      <c r="K21" s="63"/>
      <c r="L21" s="65"/>
      <c r="M21" s="63" t="s">
        <v>186</v>
      </c>
      <c r="N21" s="63"/>
      <c r="O21" s="63"/>
      <c r="P21" s="43"/>
      <c r="Q21" s="175"/>
      <c r="R21" s="107"/>
      <c r="S21" s="326"/>
    </row>
    <row r="22" spans="1:27">
      <c r="A22" s="244"/>
      <c r="B22" s="63" t="s">
        <v>15</v>
      </c>
      <c r="C22" s="62">
        <v>19</v>
      </c>
      <c r="D22" s="43"/>
      <c r="E22" s="63" t="s">
        <v>187</v>
      </c>
      <c r="F22" s="63"/>
      <c r="G22" s="63" t="s">
        <v>188</v>
      </c>
      <c r="H22" s="63"/>
      <c r="I22" s="64"/>
      <c r="J22" s="63"/>
      <c r="K22" s="63"/>
      <c r="L22" s="65"/>
      <c r="M22" s="63"/>
      <c r="N22" s="63"/>
      <c r="O22" s="43"/>
      <c r="P22" s="43"/>
      <c r="Q22" s="175"/>
      <c r="R22" s="107"/>
      <c r="S22" s="326"/>
    </row>
    <row r="23" spans="1:27">
      <c r="A23" s="244"/>
      <c r="B23" s="63" t="s">
        <v>15</v>
      </c>
      <c r="C23" s="62">
        <v>20</v>
      </c>
      <c r="D23" s="43"/>
      <c r="E23" s="63" t="s">
        <v>189</v>
      </c>
      <c r="F23" s="63"/>
      <c r="G23" s="63" t="s">
        <v>190</v>
      </c>
      <c r="H23" s="63"/>
      <c r="I23" s="64"/>
      <c r="J23" s="63"/>
      <c r="K23" s="63"/>
      <c r="L23" s="65"/>
      <c r="M23" s="63"/>
      <c r="N23" s="63"/>
      <c r="O23" s="43"/>
      <c r="P23" s="43"/>
      <c r="Q23" s="175"/>
      <c r="R23" s="107"/>
      <c r="S23" s="326"/>
    </row>
    <row r="24" spans="1:27">
      <c r="A24" s="244"/>
      <c r="B24" s="63" t="s">
        <v>15</v>
      </c>
      <c r="C24" s="62">
        <v>21</v>
      </c>
      <c r="D24" s="63"/>
      <c r="E24" s="63" t="s">
        <v>191</v>
      </c>
      <c r="F24" s="63"/>
      <c r="G24" s="63"/>
      <c r="H24" s="63"/>
      <c r="I24" s="64"/>
      <c r="J24" s="63"/>
      <c r="K24" s="63"/>
      <c r="L24" s="63"/>
      <c r="M24" s="63"/>
      <c r="N24" s="63"/>
      <c r="O24" s="63"/>
      <c r="P24" s="43"/>
      <c r="Q24" s="175"/>
      <c r="R24" s="107"/>
      <c r="S24" s="326"/>
    </row>
    <row r="25" spans="1:27">
      <c r="A25" s="244"/>
      <c r="B25" s="63" t="s">
        <v>15</v>
      </c>
      <c r="C25" s="62">
        <v>22</v>
      </c>
      <c r="D25" s="43"/>
      <c r="E25" s="63" t="s">
        <v>192</v>
      </c>
      <c r="F25" s="63"/>
      <c r="G25" s="63"/>
      <c r="H25" s="63"/>
      <c r="I25" s="64"/>
      <c r="J25" s="63"/>
      <c r="K25" s="63"/>
      <c r="L25" s="65"/>
      <c r="M25" s="63"/>
      <c r="N25" s="63"/>
      <c r="O25" s="63"/>
      <c r="P25" s="43"/>
      <c r="Q25" s="175"/>
      <c r="R25" s="107"/>
      <c r="S25" s="326"/>
    </row>
    <row r="26" spans="1:27">
      <c r="A26" s="244"/>
      <c r="B26" s="63" t="s">
        <v>15</v>
      </c>
      <c r="C26" s="62">
        <v>23</v>
      </c>
      <c r="D26" s="42"/>
      <c r="E26" s="63" t="s">
        <v>193</v>
      </c>
      <c r="F26" s="63"/>
      <c r="G26" s="63"/>
      <c r="H26" s="63"/>
      <c r="I26" s="64"/>
      <c r="J26" s="63"/>
      <c r="K26" s="63"/>
      <c r="L26" s="63"/>
      <c r="M26" s="63"/>
      <c r="N26" s="63"/>
      <c r="O26" s="43"/>
      <c r="P26" s="43"/>
      <c r="Q26" s="175"/>
      <c r="R26" s="107"/>
      <c r="S26" s="326"/>
    </row>
    <row r="27" spans="1:27">
      <c r="A27" s="244"/>
      <c r="B27" s="63" t="s">
        <v>15</v>
      </c>
      <c r="C27" s="62">
        <v>24</v>
      </c>
      <c r="D27" s="43"/>
      <c r="E27" s="63" t="s">
        <v>194</v>
      </c>
      <c r="F27" s="63"/>
      <c r="G27" s="63"/>
      <c r="H27" s="63"/>
      <c r="I27" s="64"/>
      <c r="J27" s="63"/>
      <c r="K27" s="63"/>
      <c r="L27" s="63"/>
      <c r="M27" s="63"/>
      <c r="N27" s="63"/>
      <c r="O27" s="43"/>
      <c r="P27" s="43"/>
      <c r="Q27" s="175"/>
      <c r="R27" s="107"/>
      <c r="S27" s="326"/>
    </row>
    <row r="28" spans="1:27" s="55" customFormat="1" ht="13.5" thickBot="1">
      <c r="A28" s="245"/>
      <c r="B28" s="75"/>
      <c r="C28" s="73" t="s">
        <v>195</v>
      </c>
      <c r="D28" s="74"/>
      <c r="E28" s="74"/>
      <c r="F28" s="74"/>
      <c r="G28" s="74"/>
      <c r="H28" s="74"/>
      <c r="I28" s="109"/>
      <c r="J28" s="75"/>
      <c r="K28" s="75"/>
      <c r="L28" s="75"/>
      <c r="M28" s="75"/>
      <c r="N28" s="75"/>
      <c r="O28" s="75"/>
      <c r="P28" s="75"/>
      <c r="Q28" s="105"/>
      <c r="R28" s="105"/>
      <c r="S28" s="327"/>
    </row>
    <row r="29" spans="1:27" ht="13.5" thickBot="1"/>
    <row r="30" spans="1:27" s="41" customFormat="1" ht="11.25">
      <c r="A30" s="114"/>
      <c r="B30" s="40"/>
      <c r="C30" s="110"/>
      <c r="D30" s="40"/>
      <c r="E30" s="40"/>
      <c r="F30" s="40"/>
      <c r="G30" s="40" t="s">
        <v>196</v>
      </c>
      <c r="H30" s="40"/>
      <c r="I30" s="40"/>
      <c r="J30" s="40" t="s">
        <v>196</v>
      </c>
      <c r="K30" s="40"/>
      <c r="L30" s="40"/>
      <c r="M30" s="40"/>
      <c r="N30" s="40" t="s">
        <v>196</v>
      </c>
      <c r="O30" s="40" t="s">
        <v>196</v>
      </c>
      <c r="P30" s="40"/>
      <c r="Q30" s="40" t="s">
        <v>196</v>
      </c>
      <c r="R30" s="363" t="s">
        <v>196</v>
      </c>
      <c r="S30" s="322"/>
    </row>
    <row r="31" spans="1:27" s="14" customFormat="1" ht="9">
      <c r="A31" s="115"/>
      <c r="B31" s="36"/>
      <c r="C31" s="111"/>
      <c r="D31" s="36"/>
      <c r="E31" s="36"/>
      <c r="F31" s="36"/>
      <c r="G31" s="36" t="s">
        <v>86</v>
      </c>
      <c r="H31" s="36"/>
      <c r="I31" s="36"/>
      <c r="J31" s="36" t="s">
        <v>88</v>
      </c>
      <c r="K31" s="36"/>
      <c r="L31" s="36"/>
      <c r="M31" s="36"/>
      <c r="N31" s="36" t="s">
        <v>91</v>
      </c>
      <c r="O31" s="36" t="s">
        <v>197</v>
      </c>
      <c r="P31" s="36"/>
      <c r="Q31" s="36" t="s">
        <v>198</v>
      </c>
      <c r="R31" s="364" t="s">
        <v>199</v>
      </c>
      <c r="S31" s="323"/>
    </row>
    <row r="32" spans="1:27" s="14" customFormat="1" ht="9">
      <c r="A32" s="115"/>
      <c r="B32" s="36"/>
      <c r="C32" s="111"/>
      <c r="D32" s="36"/>
      <c r="E32" s="36"/>
      <c r="F32" s="36"/>
      <c r="G32" s="36" t="s">
        <v>200</v>
      </c>
      <c r="H32" s="36"/>
      <c r="I32" s="36"/>
      <c r="J32" s="36" t="s">
        <v>201</v>
      </c>
      <c r="K32" s="36"/>
      <c r="L32" s="36"/>
      <c r="M32" s="36"/>
      <c r="N32" s="36" t="s">
        <v>202</v>
      </c>
      <c r="O32" s="36" t="s">
        <v>203</v>
      </c>
      <c r="P32" s="36"/>
      <c r="Q32" s="36" t="s">
        <v>88</v>
      </c>
      <c r="R32" s="364" t="s">
        <v>204</v>
      </c>
      <c r="S32" s="323"/>
    </row>
    <row r="33" spans="1:19" s="14" customFormat="1" ht="9">
      <c r="A33" s="115"/>
      <c r="B33" s="36"/>
      <c r="C33" s="111"/>
      <c r="D33" s="36"/>
      <c r="E33" s="36"/>
      <c r="F33" s="36"/>
      <c r="G33" s="36"/>
      <c r="H33" s="36"/>
      <c r="I33" s="36"/>
      <c r="J33" s="36" t="s">
        <v>205</v>
      </c>
      <c r="K33" s="36"/>
      <c r="L33" s="36"/>
      <c r="M33" s="36"/>
      <c r="N33" s="36" t="s">
        <v>206</v>
      </c>
      <c r="O33" s="36" t="s">
        <v>207</v>
      </c>
      <c r="P33" s="36"/>
      <c r="Q33" s="36"/>
      <c r="R33" s="364" t="s">
        <v>88</v>
      </c>
      <c r="S33" s="323"/>
    </row>
    <row r="34" spans="1:19" s="14" customFormat="1" ht="9">
      <c r="A34" s="115"/>
      <c r="B34" s="36"/>
      <c r="C34" s="111"/>
      <c r="D34" s="36"/>
      <c r="E34" s="36"/>
      <c r="F34" s="36"/>
      <c r="G34" s="36"/>
      <c r="H34" s="36"/>
      <c r="I34" s="36"/>
      <c r="J34" s="36" t="s">
        <v>208</v>
      </c>
      <c r="K34" s="36"/>
      <c r="L34" s="36"/>
      <c r="M34" s="36"/>
      <c r="N34" s="36" t="s">
        <v>209</v>
      </c>
      <c r="O34" s="36"/>
      <c r="P34" s="36"/>
      <c r="Q34" s="354"/>
      <c r="R34" s="56"/>
      <c r="S34" s="323"/>
    </row>
    <row r="35" spans="1:19" s="14" customFormat="1" ht="9">
      <c r="A35" s="115"/>
      <c r="B35" s="36"/>
      <c r="C35" s="111"/>
      <c r="D35" s="36"/>
      <c r="E35" s="36"/>
      <c r="F35" s="36"/>
      <c r="G35" s="36"/>
      <c r="H35" s="36"/>
      <c r="I35" s="36"/>
      <c r="J35" s="36" t="s">
        <v>210</v>
      </c>
      <c r="K35" s="36"/>
      <c r="L35" s="36"/>
      <c r="M35" s="36"/>
      <c r="N35" s="36" t="s">
        <v>211</v>
      </c>
      <c r="O35" s="36"/>
      <c r="P35" s="36"/>
      <c r="Q35" s="354"/>
      <c r="R35" s="56"/>
      <c r="S35" s="323"/>
    </row>
    <row r="36" spans="1:19" s="14" customFormat="1" ht="9">
      <c r="A36" s="115"/>
      <c r="B36" s="36"/>
      <c r="C36" s="111"/>
      <c r="D36" s="36"/>
      <c r="E36" s="36"/>
      <c r="F36" s="36"/>
      <c r="G36" s="36"/>
      <c r="H36" s="36"/>
      <c r="I36" s="36"/>
      <c r="J36" s="36" t="s">
        <v>212</v>
      </c>
      <c r="K36" s="36"/>
      <c r="L36" s="36"/>
      <c r="M36" s="36"/>
      <c r="N36" s="36" t="s">
        <v>127</v>
      </c>
      <c r="O36" s="36"/>
      <c r="P36" s="36"/>
      <c r="Q36" s="354"/>
      <c r="R36" s="56"/>
      <c r="S36" s="323"/>
    </row>
    <row r="37" spans="1:19" s="14" customFormat="1" ht="9">
      <c r="A37" s="115"/>
      <c r="B37" s="36"/>
      <c r="C37" s="111"/>
      <c r="D37" s="36"/>
      <c r="E37" s="36"/>
      <c r="F37" s="36"/>
      <c r="G37" s="36"/>
      <c r="H37" s="36"/>
      <c r="I37" s="36"/>
      <c r="J37" s="36" t="s">
        <v>213</v>
      </c>
      <c r="K37" s="36"/>
      <c r="L37" s="36"/>
      <c r="M37" s="36"/>
      <c r="N37" s="36" t="s">
        <v>214</v>
      </c>
      <c r="O37" s="36"/>
      <c r="P37" s="36"/>
      <c r="Q37" s="354"/>
      <c r="R37" s="56"/>
      <c r="S37" s="323"/>
    </row>
    <row r="38" spans="1:19" s="14" customFormat="1" ht="9">
      <c r="A38" s="115"/>
      <c r="B38" s="36"/>
      <c r="C38" s="111"/>
      <c r="D38" s="36"/>
      <c r="E38" s="36"/>
      <c r="F38" s="36"/>
      <c r="G38" s="36"/>
      <c r="H38" s="36"/>
      <c r="I38" s="36"/>
      <c r="J38" s="36" t="s">
        <v>215</v>
      </c>
      <c r="K38" s="36"/>
      <c r="L38" s="36"/>
      <c r="M38" s="36"/>
      <c r="N38" s="36"/>
      <c r="O38" s="36"/>
      <c r="P38" s="36"/>
      <c r="Q38" s="354"/>
      <c r="R38" s="56"/>
      <c r="S38" s="323"/>
    </row>
    <row r="39" spans="1:19" s="14" customFormat="1" ht="9">
      <c r="A39" s="115"/>
      <c r="B39" s="36"/>
      <c r="C39" s="111"/>
      <c r="D39" s="36"/>
      <c r="E39" s="36"/>
      <c r="F39" s="36"/>
      <c r="G39" s="36"/>
      <c r="H39" s="36"/>
      <c r="I39" s="36"/>
      <c r="J39" s="36"/>
      <c r="K39" s="36"/>
      <c r="L39" s="36"/>
      <c r="M39" s="36"/>
      <c r="N39" s="36"/>
      <c r="O39" s="36"/>
      <c r="P39" s="36"/>
      <c r="Q39" s="354"/>
      <c r="R39" s="56"/>
      <c r="S39" s="323"/>
    </row>
    <row r="40" spans="1:19" s="14" customFormat="1" ht="9.75" thickBot="1">
      <c r="A40" s="116"/>
      <c r="B40" s="22"/>
      <c r="C40" s="112"/>
      <c r="D40" s="22"/>
      <c r="E40" s="22"/>
      <c r="F40" s="22"/>
      <c r="G40" s="22"/>
      <c r="H40" s="22"/>
      <c r="I40" s="24"/>
      <c r="J40" s="24"/>
      <c r="K40" s="22"/>
      <c r="L40" s="22"/>
      <c r="M40" s="22"/>
      <c r="N40" s="22"/>
      <c r="O40" s="22"/>
      <c r="P40" s="22"/>
      <c r="Q40" s="362"/>
      <c r="R40" s="113"/>
      <c r="S40" s="324"/>
    </row>
  </sheetData>
  <autoFilter ref="A3:S3" xr:uid="{4232A95A-E234-4F93-96A6-741BD78ABF96}"/>
  <dataConsolidate/>
  <phoneticPr fontId="0" type="noConversion"/>
  <dataValidations disablePrompts="1" count="1">
    <dataValidation type="list" allowBlank="1" showErrorMessage="1" sqref="J13" xr:uid="{5DEB065D-74EA-405D-A1FD-8926FCFBCA7A}">
      <formula1>$J$31:$J$38</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&amp;D&amp;L&amp;10Machine Number: 
Machine Name: 
CU Number: 
VU Number: </oddHeader>
    <oddFooter>&amp;LBased on template : &amp;CVisualisationommands_CUxxxx_A4&amp;RPage &amp;P/&amp;N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fitToPage="1"/>
  </sheetPr>
  <dimension ref="A1:W56"/>
  <sheetViews>
    <sheetView showGridLines="0" zoomScaleNormal="100" zoomScaleSheetLayoutView="57" workbookViewId="0">
      <pane xSplit="4" ySplit="3" topLeftCell="E19" activePane="bottomRight" state="frozen"/>
      <selection pane="bottomRight" activeCell="J30" sqref="J30"/>
      <selection pane="bottomLeft" activeCell="A4" sqref="A4"/>
      <selection pane="topRight" activeCell="E1" sqref="E1"/>
    </sheetView>
  </sheetViews>
  <sheetFormatPr defaultColWidth="9.140625" defaultRowHeight="12.75"/>
  <cols>
    <col min="1" max="1" width="12.5703125" style="46" customWidth="1"/>
    <col min="2" max="2" width="9.5703125" style="46" bestFit="1" customWidth="1"/>
    <col min="3" max="3" width="10.5703125" style="60" bestFit="1" customWidth="1"/>
    <col min="4" max="4" width="29.42578125" style="46" customWidth="1"/>
    <col min="5" max="5" width="12" style="46" customWidth="1"/>
    <col min="6" max="6" width="29.7109375" style="46" customWidth="1"/>
    <col min="7" max="7" width="27" style="46" customWidth="1"/>
    <col min="8" max="9" width="22" style="46" customWidth="1"/>
    <col min="10" max="10" width="27" style="46" customWidth="1"/>
    <col min="11" max="11" width="48" style="46" customWidth="1"/>
    <col min="12" max="12" width="19" style="46" customWidth="1"/>
    <col min="13" max="13" width="8.140625" style="49" customWidth="1"/>
    <col min="14" max="23" width="9.140625" style="49"/>
    <col min="24" max="16384" width="9.140625" style="46"/>
  </cols>
  <sheetData>
    <row r="1" spans="1:20" ht="27" customHeight="1" thickBot="1">
      <c r="D1" s="117" t="s">
        <v>216</v>
      </c>
      <c r="E1" s="58"/>
      <c r="F1" s="58"/>
    </row>
    <row r="2" spans="1:20" ht="26.25" customHeight="1" thickBot="1">
      <c r="D2" s="205" t="s">
        <v>62</v>
      </c>
      <c r="E2" s="171" t="s">
        <v>63</v>
      </c>
      <c r="F2" s="172"/>
    </row>
    <row r="3" spans="1:20" s="319" customFormat="1" ht="30" customHeight="1" thickBot="1">
      <c r="A3" s="313" t="s">
        <v>64</v>
      </c>
      <c r="B3" s="314" t="s">
        <v>65</v>
      </c>
      <c r="C3" s="315" t="s">
        <v>66</v>
      </c>
      <c r="D3" s="316" t="s">
        <v>67</v>
      </c>
      <c r="E3" s="317" t="s">
        <v>68</v>
      </c>
      <c r="F3" s="318" t="s">
        <v>69</v>
      </c>
      <c r="G3" s="328" t="s">
        <v>71</v>
      </c>
      <c r="H3" s="314" t="s">
        <v>217</v>
      </c>
      <c r="I3" s="314" t="s">
        <v>218</v>
      </c>
      <c r="J3" s="314" t="s">
        <v>76</v>
      </c>
      <c r="K3" s="314" t="s">
        <v>78</v>
      </c>
      <c r="L3" s="79" t="s">
        <v>79</v>
      </c>
      <c r="M3" s="419" t="s">
        <v>82</v>
      </c>
    </row>
    <row r="4" spans="1:20">
      <c r="A4" s="248"/>
      <c r="B4" s="89" t="s">
        <v>15</v>
      </c>
      <c r="C4" s="344">
        <v>1</v>
      </c>
      <c r="D4" s="89" t="s">
        <v>119</v>
      </c>
      <c r="E4" s="89" t="s">
        <v>219</v>
      </c>
      <c r="F4" s="89" t="s">
        <v>220</v>
      </c>
      <c r="G4" s="89"/>
      <c r="H4" s="89" t="s">
        <v>221</v>
      </c>
      <c r="I4" s="89"/>
      <c r="J4" s="89" t="s">
        <v>222</v>
      </c>
      <c r="K4" s="89" t="s">
        <v>223</v>
      </c>
      <c r="L4" s="174" t="s">
        <v>92</v>
      </c>
      <c r="M4" s="108"/>
      <c r="N4" s="25"/>
      <c r="O4" s="195"/>
      <c r="P4" s="46" t="s">
        <v>93</v>
      </c>
      <c r="Q4" s="25"/>
      <c r="R4" s="25"/>
      <c r="S4" s="25"/>
      <c r="T4" s="25"/>
    </row>
    <row r="5" spans="1:20">
      <c r="A5" s="246"/>
      <c r="B5" s="78" t="s">
        <v>15</v>
      </c>
      <c r="C5" s="67">
        <v>2</v>
      </c>
      <c r="D5" s="43" t="s">
        <v>224</v>
      </c>
      <c r="E5" s="43" t="s">
        <v>225</v>
      </c>
      <c r="F5" s="43" t="s">
        <v>226</v>
      </c>
      <c r="G5" s="43"/>
      <c r="H5" s="43" t="s">
        <v>221</v>
      </c>
      <c r="I5" s="43"/>
      <c r="J5" s="43" t="s">
        <v>227</v>
      </c>
      <c r="K5" s="43" t="s">
        <v>223</v>
      </c>
      <c r="L5" s="177" t="s">
        <v>92</v>
      </c>
      <c r="M5" s="48"/>
      <c r="N5" s="25"/>
      <c r="O5" s="196"/>
      <c r="P5" s="46" t="s">
        <v>100</v>
      </c>
      <c r="Q5" s="25"/>
      <c r="R5" s="25"/>
      <c r="S5" s="25"/>
      <c r="T5" s="25"/>
    </row>
    <row r="6" spans="1:20">
      <c r="A6" s="246"/>
      <c r="B6" s="78" t="s">
        <v>15</v>
      </c>
      <c r="C6" s="67">
        <v>3</v>
      </c>
      <c r="D6" s="43" t="s">
        <v>228</v>
      </c>
      <c r="E6" s="43" t="s">
        <v>229</v>
      </c>
      <c r="F6" s="43" t="s">
        <v>230</v>
      </c>
      <c r="G6" s="43"/>
      <c r="H6" s="43" t="s">
        <v>221</v>
      </c>
      <c r="I6" s="43"/>
      <c r="J6" s="43" t="s">
        <v>231</v>
      </c>
      <c r="K6" s="43" t="s">
        <v>223</v>
      </c>
      <c r="L6" s="177" t="s">
        <v>92</v>
      </c>
      <c r="M6" s="48"/>
      <c r="N6" s="25"/>
      <c r="O6" s="197"/>
      <c r="P6" s="46" t="s">
        <v>107</v>
      </c>
      <c r="Q6" s="25"/>
      <c r="R6" s="25"/>
      <c r="S6" s="25"/>
      <c r="T6" s="25"/>
    </row>
    <row r="7" spans="1:20">
      <c r="A7" s="246"/>
      <c r="B7" s="78" t="s">
        <v>15</v>
      </c>
      <c r="C7" s="67">
        <v>4</v>
      </c>
      <c r="D7" s="42" t="s">
        <v>168</v>
      </c>
      <c r="E7" s="43" t="s">
        <v>232</v>
      </c>
      <c r="F7" s="43" t="s">
        <v>233</v>
      </c>
      <c r="G7" s="43"/>
      <c r="H7" s="43" t="s">
        <v>221</v>
      </c>
      <c r="I7" s="43"/>
      <c r="J7" s="43" t="s">
        <v>234</v>
      </c>
      <c r="K7" s="43" t="s">
        <v>223</v>
      </c>
      <c r="L7" s="177" t="s">
        <v>92</v>
      </c>
      <c r="M7" s="48"/>
      <c r="N7" s="25"/>
      <c r="O7" s="25"/>
      <c r="P7" s="25"/>
      <c r="Q7" s="25"/>
      <c r="R7" s="25"/>
      <c r="S7" s="25"/>
      <c r="T7" s="25"/>
    </row>
    <row r="8" spans="1:20">
      <c r="A8" s="246"/>
      <c r="B8" s="78" t="s">
        <v>15</v>
      </c>
      <c r="C8" s="67">
        <v>5</v>
      </c>
      <c r="D8" s="42" t="s">
        <v>235</v>
      </c>
      <c r="E8" s="43" t="s">
        <v>236</v>
      </c>
      <c r="F8" s="43" t="s">
        <v>237</v>
      </c>
      <c r="G8" s="43"/>
      <c r="H8" s="43" t="s">
        <v>221</v>
      </c>
      <c r="I8" s="43"/>
      <c r="J8" s="43"/>
      <c r="K8" s="43"/>
      <c r="L8" s="175"/>
      <c r="M8" s="48"/>
      <c r="N8" s="25"/>
      <c r="O8" s="320"/>
      <c r="P8" s="46" t="s">
        <v>121</v>
      </c>
      <c r="Q8" s="25"/>
      <c r="R8" s="25"/>
      <c r="S8" s="25"/>
      <c r="T8" s="25"/>
    </row>
    <row r="9" spans="1:20">
      <c r="A9" s="246"/>
      <c r="B9" s="78" t="s">
        <v>15</v>
      </c>
      <c r="C9" s="67">
        <v>6</v>
      </c>
      <c r="D9" s="42" t="s">
        <v>235</v>
      </c>
      <c r="E9" s="43" t="s">
        <v>238</v>
      </c>
      <c r="F9" s="43" t="s">
        <v>239</v>
      </c>
      <c r="G9" s="43"/>
      <c r="H9" s="43" t="s">
        <v>221</v>
      </c>
      <c r="I9" s="43"/>
      <c r="J9" s="43"/>
      <c r="K9" s="43"/>
      <c r="L9" s="175"/>
      <c r="M9" s="48"/>
      <c r="N9" s="25"/>
      <c r="O9" s="321"/>
      <c r="P9" s="46" t="s">
        <v>129</v>
      </c>
      <c r="Q9" s="25"/>
      <c r="R9" s="25"/>
      <c r="S9" s="25"/>
      <c r="T9" s="25"/>
    </row>
    <row r="10" spans="1:20">
      <c r="A10" s="246"/>
      <c r="B10" s="78" t="s">
        <v>15</v>
      </c>
      <c r="C10" s="67">
        <v>7</v>
      </c>
      <c r="D10" s="42" t="s">
        <v>235</v>
      </c>
      <c r="E10" s="43" t="s">
        <v>240</v>
      </c>
      <c r="F10" s="43" t="s">
        <v>241</v>
      </c>
      <c r="G10" s="43"/>
      <c r="H10" s="43" t="s">
        <v>221</v>
      </c>
      <c r="I10" s="43"/>
      <c r="J10" s="43"/>
      <c r="K10" s="43"/>
      <c r="L10" s="175"/>
      <c r="M10" s="48"/>
      <c r="N10" s="25"/>
      <c r="O10" s="25"/>
      <c r="P10" s="25"/>
      <c r="Q10" s="25"/>
      <c r="R10" s="25"/>
      <c r="S10" s="25"/>
      <c r="T10" s="25"/>
    </row>
    <row r="11" spans="1:20">
      <c r="A11" s="246"/>
      <c r="B11" s="78" t="s">
        <v>15</v>
      </c>
      <c r="C11" s="67">
        <v>8</v>
      </c>
      <c r="D11" s="42" t="s">
        <v>235</v>
      </c>
      <c r="E11" s="43" t="s">
        <v>242</v>
      </c>
      <c r="F11" s="43" t="s">
        <v>243</v>
      </c>
      <c r="G11" s="43"/>
      <c r="H11" s="43" t="s">
        <v>221</v>
      </c>
      <c r="I11" s="43"/>
      <c r="J11" s="43"/>
      <c r="K11" s="43"/>
      <c r="L11" s="175"/>
      <c r="M11" s="48"/>
      <c r="N11" s="25"/>
      <c r="O11" s="25"/>
      <c r="P11" s="25"/>
      <c r="Q11" s="25"/>
      <c r="R11" s="25"/>
      <c r="S11" s="25"/>
      <c r="T11" s="25"/>
    </row>
    <row r="12" spans="1:20">
      <c r="A12" s="246"/>
      <c r="B12" s="78" t="s">
        <v>15</v>
      </c>
      <c r="C12" s="67">
        <v>9</v>
      </c>
      <c r="D12" s="102" t="s">
        <v>244</v>
      </c>
      <c r="E12" s="42" t="s">
        <v>245</v>
      </c>
      <c r="F12" s="42" t="s">
        <v>246</v>
      </c>
      <c r="G12" s="43"/>
      <c r="H12" s="43" t="s">
        <v>247</v>
      </c>
      <c r="I12" s="43"/>
      <c r="J12" s="43" t="s">
        <v>248</v>
      </c>
      <c r="K12" s="43"/>
      <c r="L12" s="177" t="s">
        <v>92</v>
      </c>
      <c r="M12" s="48"/>
      <c r="N12" s="25"/>
      <c r="O12" s="25"/>
      <c r="P12" s="25"/>
      <c r="Q12" s="25"/>
      <c r="R12" s="25"/>
      <c r="S12" s="25"/>
      <c r="T12" s="25"/>
    </row>
    <row r="13" spans="1:20">
      <c r="A13" s="246"/>
      <c r="B13" s="78" t="s">
        <v>15</v>
      </c>
      <c r="C13" s="67">
        <v>10</v>
      </c>
      <c r="D13" s="42" t="s">
        <v>105</v>
      </c>
      <c r="E13" s="42" t="s">
        <v>249</v>
      </c>
      <c r="F13" s="42" t="s">
        <v>250</v>
      </c>
      <c r="G13" s="43"/>
      <c r="H13" s="43" t="s">
        <v>251</v>
      </c>
      <c r="I13" s="43"/>
      <c r="J13" s="43" t="s">
        <v>252</v>
      </c>
      <c r="K13" s="43" t="s">
        <v>253</v>
      </c>
      <c r="L13" s="177" t="s">
        <v>92</v>
      </c>
      <c r="M13" s="48"/>
      <c r="N13" s="25"/>
      <c r="O13" s="25"/>
      <c r="P13" s="25"/>
      <c r="Q13" s="25"/>
      <c r="R13" s="25"/>
      <c r="S13" s="25"/>
      <c r="T13" s="25"/>
    </row>
    <row r="14" spans="1:20">
      <c r="A14" s="246"/>
      <c r="B14" s="78" t="s">
        <v>15</v>
      </c>
      <c r="C14" s="67">
        <v>11</v>
      </c>
      <c r="D14" s="42" t="s">
        <v>108</v>
      </c>
      <c r="E14" s="42" t="s">
        <v>254</v>
      </c>
      <c r="F14" s="42" t="s">
        <v>255</v>
      </c>
      <c r="G14" s="43"/>
      <c r="H14" s="43" t="s">
        <v>251</v>
      </c>
      <c r="I14" s="43"/>
      <c r="J14" s="43" t="s">
        <v>256</v>
      </c>
      <c r="K14" s="43" t="s">
        <v>257</v>
      </c>
      <c r="L14" s="177" t="s">
        <v>92</v>
      </c>
      <c r="M14" s="48"/>
      <c r="N14" s="25"/>
      <c r="O14" s="25"/>
      <c r="P14" s="25"/>
      <c r="Q14" s="25"/>
      <c r="R14" s="25"/>
      <c r="S14" s="25"/>
      <c r="T14" s="25"/>
    </row>
    <row r="15" spans="1:20">
      <c r="A15" s="246"/>
      <c r="B15" s="78" t="s">
        <v>15</v>
      </c>
      <c r="C15" s="67">
        <v>12</v>
      </c>
      <c r="D15" s="42" t="s">
        <v>144</v>
      </c>
      <c r="E15" s="42" t="s">
        <v>258</v>
      </c>
      <c r="F15" s="42" t="s">
        <v>259</v>
      </c>
      <c r="G15" s="43"/>
      <c r="H15" s="43" t="s">
        <v>260</v>
      </c>
      <c r="I15" s="43"/>
      <c r="J15" s="43" t="s">
        <v>261</v>
      </c>
      <c r="K15" s="43" t="s">
        <v>262</v>
      </c>
      <c r="L15" s="177" t="s">
        <v>92</v>
      </c>
      <c r="M15" s="48"/>
      <c r="N15" s="25"/>
      <c r="O15" s="25"/>
      <c r="P15" s="25"/>
      <c r="Q15" s="25"/>
      <c r="R15" s="25"/>
      <c r="S15" s="25"/>
      <c r="T15" s="25"/>
    </row>
    <row r="16" spans="1:20">
      <c r="A16" s="246"/>
      <c r="B16" s="78" t="s">
        <v>15</v>
      </c>
      <c r="C16" s="67">
        <v>13</v>
      </c>
      <c r="D16" s="42" t="s">
        <v>263</v>
      </c>
      <c r="E16" s="42" t="s">
        <v>264</v>
      </c>
      <c r="F16" s="42" t="s">
        <v>265</v>
      </c>
      <c r="G16" s="43"/>
      <c r="H16" s="43"/>
      <c r="I16" s="43"/>
      <c r="J16" s="63" t="s">
        <v>266</v>
      </c>
      <c r="K16" s="43" t="s">
        <v>267</v>
      </c>
      <c r="L16" s="343" t="s">
        <v>268</v>
      </c>
      <c r="M16" s="48"/>
      <c r="N16" s="25"/>
      <c r="O16" s="25"/>
      <c r="P16" s="25"/>
      <c r="Q16" s="25"/>
      <c r="R16" s="25"/>
      <c r="S16" s="25"/>
      <c r="T16" s="25"/>
    </row>
    <row r="17" spans="1:13">
      <c r="A17" s="246"/>
      <c r="B17" s="78" t="s">
        <v>15</v>
      </c>
      <c r="C17" s="67">
        <v>14</v>
      </c>
      <c r="D17" s="42" t="s">
        <v>269</v>
      </c>
      <c r="E17" s="42" t="s">
        <v>270</v>
      </c>
      <c r="F17" s="42" t="s">
        <v>271</v>
      </c>
      <c r="G17" s="43"/>
      <c r="H17" s="43"/>
      <c r="I17" s="43"/>
      <c r="J17" s="43"/>
      <c r="K17" s="43"/>
      <c r="L17" s="175"/>
      <c r="M17" s="48"/>
    </row>
    <row r="18" spans="1:13">
      <c r="A18" s="246"/>
      <c r="B18" s="78" t="s">
        <v>15</v>
      </c>
      <c r="C18" s="67">
        <v>15</v>
      </c>
      <c r="D18" s="42" t="s">
        <v>269</v>
      </c>
      <c r="E18" s="42" t="s">
        <v>272</v>
      </c>
      <c r="F18" s="42" t="s">
        <v>273</v>
      </c>
      <c r="G18" s="43"/>
      <c r="H18" s="43"/>
      <c r="I18" s="43"/>
      <c r="J18" s="43"/>
      <c r="K18" s="43"/>
      <c r="L18" s="177"/>
      <c r="M18" s="48"/>
    </row>
    <row r="19" spans="1:13">
      <c r="A19" s="246"/>
      <c r="B19" s="78" t="s">
        <v>15</v>
      </c>
      <c r="C19" s="67">
        <v>16</v>
      </c>
      <c r="D19" s="42" t="s">
        <v>274</v>
      </c>
      <c r="E19" s="42" t="s">
        <v>275</v>
      </c>
      <c r="F19" s="42" t="s">
        <v>276</v>
      </c>
      <c r="G19" s="43"/>
      <c r="H19" s="43" t="s">
        <v>247</v>
      </c>
      <c r="I19" s="43"/>
      <c r="J19" s="43" t="s">
        <v>277</v>
      </c>
      <c r="K19" s="43" t="s">
        <v>278</v>
      </c>
      <c r="L19" s="177" t="s">
        <v>92</v>
      </c>
      <c r="M19" s="48"/>
    </row>
    <row r="20" spans="1:13">
      <c r="A20" s="246"/>
      <c r="B20" s="78" t="s">
        <v>15</v>
      </c>
      <c r="C20" s="67">
        <v>17</v>
      </c>
      <c r="D20" s="42" t="s">
        <v>279</v>
      </c>
      <c r="E20" s="42" t="s">
        <v>280</v>
      </c>
      <c r="F20" s="42" t="s">
        <v>281</v>
      </c>
      <c r="G20" s="43"/>
      <c r="H20" s="43" t="s">
        <v>282</v>
      </c>
      <c r="I20" s="43"/>
      <c r="J20" s="43" t="s">
        <v>283</v>
      </c>
      <c r="K20" s="43" t="s">
        <v>284</v>
      </c>
      <c r="L20" s="177" t="s">
        <v>92</v>
      </c>
      <c r="M20" s="48"/>
    </row>
    <row r="21" spans="1:13">
      <c r="A21" s="246"/>
      <c r="B21" s="78" t="s">
        <v>15</v>
      </c>
      <c r="C21" s="67">
        <v>18</v>
      </c>
      <c r="D21" s="43" t="s">
        <v>285</v>
      </c>
      <c r="E21" s="42" t="s">
        <v>286</v>
      </c>
      <c r="F21" s="42" t="s">
        <v>287</v>
      </c>
      <c r="G21" s="43"/>
      <c r="H21" s="43" t="s">
        <v>282</v>
      </c>
      <c r="I21" s="43"/>
      <c r="J21" s="43" t="s">
        <v>288</v>
      </c>
      <c r="K21" s="43" t="s">
        <v>289</v>
      </c>
      <c r="L21" s="177" t="s">
        <v>92</v>
      </c>
      <c r="M21" s="48"/>
    </row>
    <row r="22" spans="1:13">
      <c r="A22" s="246"/>
      <c r="B22" s="78" t="s">
        <v>15</v>
      </c>
      <c r="C22" s="67">
        <v>19</v>
      </c>
      <c r="D22" s="42" t="s">
        <v>290</v>
      </c>
      <c r="E22" s="42" t="s">
        <v>291</v>
      </c>
      <c r="F22" s="42" t="s">
        <v>292</v>
      </c>
      <c r="G22" s="43" t="s">
        <v>293</v>
      </c>
      <c r="H22" s="43" t="s">
        <v>282</v>
      </c>
      <c r="I22" s="43"/>
      <c r="J22" s="43" t="s">
        <v>294</v>
      </c>
      <c r="K22" s="43" t="s">
        <v>295</v>
      </c>
      <c r="L22" s="177" t="s">
        <v>92</v>
      </c>
      <c r="M22" s="48"/>
    </row>
    <row r="23" spans="1:13">
      <c r="A23" s="246"/>
      <c r="B23" s="78" t="s">
        <v>15</v>
      </c>
      <c r="C23" s="67">
        <v>20</v>
      </c>
      <c r="D23" s="42" t="s">
        <v>296</v>
      </c>
      <c r="E23" s="42" t="s">
        <v>297</v>
      </c>
      <c r="F23" s="42" t="s">
        <v>298</v>
      </c>
      <c r="G23" s="43" t="s">
        <v>299</v>
      </c>
      <c r="H23" s="43" t="s">
        <v>282</v>
      </c>
      <c r="I23" s="43"/>
      <c r="J23" s="43" t="s">
        <v>300</v>
      </c>
      <c r="K23" s="43" t="s">
        <v>301</v>
      </c>
      <c r="L23" s="177" t="s">
        <v>92</v>
      </c>
      <c r="M23" s="48"/>
    </row>
    <row r="24" spans="1:13">
      <c r="A24" s="246"/>
      <c r="B24" s="78" t="s">
        <v>15</v>
      </c>
      <c r="C24" s="67">
        <v>21</v>
      </c>
      <c r="D24" s="42" t="s">
        <v>302</v>
      </c>
      <c r="E24" s="42" t="s">
        <v>303</v>
      </c>
      <c r="F24" s="42" t="s">
        <v>304</v>
      </c>
      <c r="G24" s="43" t="s">
        <v>305</v>
      </c>
      <c r="H24" s="43" t="s">
        <v>282</v>
      </c>
      <c r="I24" s="43"/>
      <c r="J24" s="43" t="s">
        <v>306</v>
      </c>
      <c r="K24" s="43" t="s">
        <v>307</v>
      </c>
      <c r="L24" s="177" t="s">
        <v>92</v>
      </c>
      <c r="M24" s="48"/>
    </row>
    <row r="25" spans="1:13">
      <c r="A25" s="246"/>
      <c r="B25" s="78" t="s">
        <v>15</v>
      </c>
      <c r="C25" s="67">
        <v>22</v>
      </c>
      <c r="D25" s="42" t="s">
        <v>308</v>
      </c>
      <c r="E25" s="42" t="s">
        <v>309</v>
      </c>
      <c r="F25" s="42" t="s">
        <v>310</v>
      </c>
      <c r="G25" s="43" t="s">
        <v>311</v>
      </c>
      <c r="H25" s="43" t="s">
        <v>282</v>
      </c>
      <c r="I25" s="43"/>
      <c r="J25" s="43" t="s">
        <v>312</v>
      </c>
      <c r="K25" s="43" t="s">
        <v>313</v>
      </c>
      <c r="L25" s="177" t="s">
        <v>92</v>
      </c>
      <c r="M25" s="48"/>
    </row>
    <row r="26" spans="1:13">
      <c r="A26" s="246"/>
      <c r="B26" s="78" t="s">
        <v>15</v>
      </c>
      <c r="C26" s="67">
        <v>23</v>
      </c>
      <c r="D26" s="42" t="s">
        <v>314</v>
      </c>
      <c r="E26" s="42" t="s">
        <v>315</v>
      </c>
      <c r="F26" s="42" t="s">
        <v>316</v>
      </c>
      <c r="G26" s="43"/>
      <c r="H26" s="43" t="s">
        <v>282</v>
      </c>
      <c r="I26" s="43"/>
      <c r="J26" s="43"/>
      <c r="K26" s="43" t="s">
        <v>317</v>
      </c>
      <c r="L26" s="177" t="s">
        <v>92</v>
      </c>
      <c r="M26" s="48"/>
    </row>
    <row r="27" spans="1:13">
      <c r="A27" s="246"/>
      <c r="B27" s="78" t="s">
        <v>15</v>
      </c>
      <c r="C27" s="67">
        <v>24</v>
      </c>
      <c r="D27" s="42" t="s">
        <v>318</v>
      </c>
      <c r="E27" s="42" t="s">
        <v>319</v>
      </c>
      <c r="F27" s="42" t="s">
        <v>320</v>
      </c>
      <c r="G27" s="43"/>
      <c r="H27" s="43" t="s">
        <v>282</v>
      </c>
      <c r="I27" s="43"/>
      <c r="J27" s="43"/>
      <c r="K27" s="43" t="s">
        <v>321</v>
      </c>
      <c r="L27" s="177" t="s">
        <v>92</v>
      </c>
      <c r="M27" s="48"/>
    </row>
    <row r="28" spans="1:13">
      <c r="A28" s="246"/>
      <c r="B28" s="78" t="s">
        <v>15</v>
      </c>
      <c r="C28" s="67">
        <v>25</v>
      </c>
      <c r="D28" s="102" t="s">
        <v>322</v>
      </c>
      <c r="E28" s="42" t="s">
        <v>323</v>
      </c>
      <c r="F28" s="42" t="s">
        <v>324</v>
      </c>
      <c r="G28" s="43"/>
      <c r="H28" s="43" t="s">
        <v>282</v>
      </c>
      <c r="I28" s="43"/>
      <c r="J28" s="43"/>
      <c r="K28" s="43" t="s">
        <v>325</v>
      </c>
      <c r="L28" s="177" t="s">
        <v>92</v>
      </c>
      <c r="M28" s="48"/>
    </row>
    <row r="29" spans="1:13">
      <c r="A29" s="246"/>
      <c r="B29" s="78" t="s">
        <v>15</v>
      </c>
      <c r="C29" s="67">
        <v>26</v>
      </c>
      <c r="D29" s="42" t="s">
        <v>326</v>
      </c>
      <c r="E29" s="42" t="s">
        <v>327</v>
      </c>
      <c r="F29" s="42" t="s">
        <v>328</v>
      </c>
      <c r="G29" s="43"/>
      <c r="H29" s="43"/>
      <c r="I29" s="43"/>
      <c r="J29" s="43"/>
      <c r="K29" s="43"/>
      <c r="L29" s="177"/>
      <c r="M29" s="48"/>
    </row>
    <row r="30" spans="1:13">
      <c r="A30" s="246"/>
      <c r="B30" s="78" t="s">
        <v>15</v>
      </c>
      <c r="C30" s="67">
        <v>27</v>
      </c>
      <c r="D30" s="42" t="s">
        <v>326</v>
      </c>
      <c r="E30" s="42" t="s">
        <v>329</v>
      </c>
      <c r="F30" s="42" t="s">
        <v>330</v>
      </c>
      <c r="G30" s="43"/>
      <c r="H30" s="43"/>
      <c r="I30" s="43"/>
      <c r="J30" s="43"/>
      <c r="K30" s="43"/>
      <c r="L30" s="177"/>
      <c r="M30" s="48"/>
    </row>
    <row r="31" spans="1:13">
      <c r="A31" s="246"/>
      <c r="B31" s="78" t="s">
        <v>15</v>
      </c>
      <c r="C31" s="67">
        <v>28</v>
      </c>
      <c r="D31" s="42" t="s">
        <v>326</v>
      </c>
      <c r="E31" s="42" t="s">
        <v>331</v>
      </c>
      <c r="F31" s="42" t="s">
        <v>332</v>
      </c>
      <c r="G31" s="43"/>
      <c r="H31" s="43"/>
      <c r="I31" s="43"/>
      <c r="J31" s="43"/>
      <c r="K31" s="43"/>
      <c r="L31" s="177"/>
      <c r="M31" s="48"/>
    </row>
    <row r="32" spans="1:13">
      <c r="A32" s="268"/>
      <c r="B32" s="264" t="s">
        <v>15</v>
      </c>
      <c r="C32" s="67">
        <v>29</v>
      </c>
      <c r="D32" s="42" t="s">
        <v>333</v>
      </c>
      <c r="E32" s="42" t="s">
        <v>334</v>
      </c>
      <c r="F32" s="42" t="s">
        <v>335</v>
      </c>
      <c r="G32" s="43"/>
      <c r="H32" s="43" t="s">
        <v>282</v>
      </c>
      <c r="I32" s="43"/>
      <c r="J32" s="43" t="s">
        <v>336</v>
      </c>
      <c r="K32" s="43" t="s">
        <v>337</v>
      </c>
      <c r="L32" s="177" t="s">
        <v>92</v>
      </c>
      <c r="M32" s="48"/>
    </row>
    <row r="33" spans="1:14">
      <c r="A33" s="365"/>
      <c r="B33" s="264" t="s">
        <v>15</v>
      </c>
      <c r="C33" s="67">
        <v>30</v>
      </c>
      <c r="D33" s="42" t="s">
        <v>338</v>
      </c>
      <c r="E33" s="42" t="s">
        <v>339</v>
      </c>
      <c r="F33" s="42" t="s">
        <v>340</v>
      </c>
      <c r="G33" s="43"/>
      <c r="H33" s="43" t="s">
        <v>247</v>
      </c>
      <c r="I33" s="43"/>
      <c r="J33" s="43" t="s">
        <v>341</v>
      </c>
      <c r="K33" s="43"/>
      <c r="L33" s="177" t="s">
        <v>92</v>
      </c>
      <c r="M33" s="48"/>
    </row>
    <row r="34" spans="1:14">
      <c r="A34" s="246"/>
      <c r="B34" s="78" t="s">
        <v>15</v>
      </c>
      <c r="C34" s="67">
        <v>31</v>
      </c>
      <c r="D34" s="42" t="s">
        <v>269</v>
      </c>
      <c r="E34" s="42" t="s">
        <v>342</v>
      </c>
      <c r="F34" s="42" t="s">
        <v>343</v>
      </c>
      <c r="G34" s="43"/>
      <c r="H34" s="43"/>
      <c r="I34" s="43"/>
      <c r="J34" s="43"/>
      <c r="K34" s="43"/>
      <c r="L34" s="177"/>
      <c r="M34" s="48"/>
    </row>
    <row r="35" spans="1:14">
      <c r="A35" s="246"/>
      <c r="B35" s="78" t="s">
        <v>15</v>
      </c>
      <c r="C35" s="67">
        <v>32</v>
      </c>
      <c r="D35" s="42" t="s">
        <v>269</v>
      </c>
      <c r="E35" s="42" t="s">
        <v>344</v>
      </c>
      <c r="F35" s="42" t="s">
        <v>345</v>
      </c>
      <c r="G35" s="43"/>
      <c r="H35" s="43"/>
      <c r="I35" s="43"/>
      <c r="J35" s="43"/>
      <c r="K35" s="43"/>
      <c r="L35" s="177"/>
      <c r="M35" s="48"/>
    </row>
    <row r="36" spans="1:14">
      <c r="A36" s="246"/>
      <c r="B36" s="78" t="s">
        <v>15</v>
      </c>
      <c r="C36" s="67">
        <v>33</v>
      </c>
      <c r="D36" s="43"/>
      <c r="E36" s="63" t="s">
        <v>346</v>
      </c>
      <c r="F36" s="63"/>
      <c r="G36" s="43"/>
      <c r="H36" s="43"/>
      <c r="I36" s="43"/>
      <c r="J36" s="43"/>
      <c r="K36" s="43"/>
      <c r="L36" s="177"/>
      <c r="M36" s="48"/>
    </row>
    <row r="37" spans="1:14">
      <c r="A37" s="246"/>
      <c r="B37" s="78" t="s">
        <v>15</v>
      </c>
      <c r="C37" s="67">
        <v>34</v>
      </c>
      <c r="D37" s="42"/>
      <c r="E37" s="63" t="s">
        <v>347</v>
      </c>
      <c r="F37" s="63"/>
      <c r="G37" s="43"/>
      <c r="H37" s="43"/>
      <c r="I37" s="43"/>
      <c r="J37" s="43"/>
      <c r="K37" s="43"/>
      <c r="L37" s="177"/>
      <c r="M37" s="48"/>
    </row>
    <row r="38" spans="1:14">
      <c r="A38" s="246"/>
      <c r="B38" s="78" t="s">
        <v>15</v>
      </c>
      <c r="C38" s="67">
        <v>35</v>
      </c>
      <c r="D38" s="42"/>
      <c r="E38" s="63" t="s">
        <v>187</v>
      </c>
      <c r="F38" s="63"/>
      <c r="G38" s="43"/>
      <c r="H38" s="43"/>
      <c r="I38" s="43"/>
      <c r="J38" s="43"/>
      <c r="K38" s="43"/>
      <c r="L38" s="177"/>
      <c r="M38" s="48"/>
    </row>
    <row r="39" spans="1:14">
      <c r="A39" s="246"/>
      <c r="B39" s="78" t="s">
        <v>15</v>
      </c>
      <c r="C39" s="67">
        <v>36</v>
      </c>
      <c r="D39" s="42"/>
      <c r="E39" s="63" t="s">
        <v>189</v>
      </c>
      <c r="F39" s="63"/>
      <c r="G39" s="43"/>
      <c r="H39" s="43"/>
      <c r="I39" s="43"/>
      <c r="J39" s="43"/>
      <c r="K39" s="43"/>
      <c r="L39" s="177"/>
      <c r="M39" s="48"/>
    </row>
    <row r="40" spans="1:14">
      <c r="A40" s="246"/>
      <c r="B40" s="78" t="s">
        <v>15</v>
      </c>
      <c r="C40" s="67">
        <v>37</v>
      </c>
      <c r="D40" s="42"/>
      <c r="E40" s="63" t="s">
        <v>191</v>
      </c>
      <c r="F40" s="63"/>
      <c r="G40" s="43"/>
      <c r="H40" s="43"/>
      <c r="I40" s="43"/>
      <c r="J40" s="43"/>
      <c r="K40" s="43"/>
      <c r="L40" s="177"/>
      <c r="M40" s="48"/>
    </row>
    <row r="41" spans="1:14">
      <c r="A41" s="246"/>
      <c r="B41" s="78" t="s">
        <v>15</v>
      </c>
      <c r="C41" s="67">
        <v>38</v>
      </c>
      <c r="D41" s="42"/>
      <c r="E41" s="63" t="s">
        <v>192</v>
      </c>
      <c r="F41" s="63"/>
      <c r="G41" s="43"/>
      <c r="H41" s="43"/>
      <c r="I41" s="43"/>
      <c r="J41" s="43"/>
      <c r="K41" s="43"/>
      <c r="L41" s="177"/>
      <c r="M41" s="48"/>
    </row>
    <row r="42" spans="1:14">
      <c r="A42" s="246"/>
      <c r="B42" s="78" t="s">
        <v>15</v>
      </c>
      <c r="C42" s="67">
        <v>39</v>
      </c>
      <c r="D42" s="42"/>
      <c r="E42" s="63" t="s">
        <v>193</v>
      </c>
      <c r="F42" s="63"/>
      <c r="G42" s="43"/>
      <c r="H42" s="43"/>
      <c r="I42" s="43"/>
      <c r="J42" s="63"/>
      <c r="K42" s="43"/>
      <c r="L42" s="177"/>
      <c r="M42" s="48"/>
    </row>
    <row r="43" spans="1:14">
      <c r="A43" s="246"/>
      <c r="B43" s="78" t="s">
        <v>15</v>
      </c>
      <c r="C43" s="67">
        <v>40</v>
      </c>
      <c r="D43" s="42"/>
      <c r="E43" s="63" t="s">
        <v>194</v>
      </c>
      <c r="F43" s="63"/>
      <c r="G43" s="43"/>
      <c r="H43" s="43"/>
      <c r="I43" s="43"/>
      <c r="J43" s="43"/>
      <c r="K43" s="43"/>
      <c r="L43" s="177"/>
      <c r="M43" s="48"/>
    </row>
    <row r="44" spans="1:14" ht="13.5" thickBot="1">
      <c r="A44" s="247"/>
      <c r="B44" s="70"/>
      <c r="C44" s="69" t="s">
        <v>195</v>
      </c>
      <c r="D44" s="74"/>
      <c r="E44" s="74"/>
      <c r="F44" s="74"/>
      <c r="G44" s="70"/>
      <c r="H44" s="70"/>
      <c r="I44" s="70"/>
      <c r="J44" s="70"/>
      <c r="K44" s="70"/>
      <c r="L44" s="176"/>
      <c r="M44" s="121"/>
    </row>
    <row r="45" spans="1:14" ht="13.5" thickBot="1"/>
    <row r="46" spans="1:14" s="41" customFormat="1" ht="11.25">
      <c r="A46" s="114"/>
      <c r="B46" s="40"/>
      <c r="C46" s="110"/>
      <c r="D46" s="40"/>
      <c r="E46" s="40"/>
      <c r="F46" s="40"/>
      <c r="G46" s="40"/>
      <c r="H46" s="40" t="s">
        <v>196</v>
      </c>
      <c r="I46" s="40"/>
      <c r="J46" s="40"/>
      <c r="K46" s="40" t="s">
        <v>196</v>
      </c>
      <c r="L46" s="366"/>
      <c r="M46" s="369"/>
      <c r="N46" s="368"/>
    </row>
    <row r="47" spans="1:14" s="14" customFormat="1" ht="9">
      <c r="A47" s="115"/>
      <c r="B47" s="36"/>
      <c r="C47" s="111"/>
      <c r="D47" s="36"/>
      <c r="E47" s="36"/>
      <c r="F47" s="36"/>
      <c r="G47" s="36"/>
      <c r="H47" s="36" t="s">
        <v>221</v>
      </c>
      <c r="I47" s="36"/>
      <c r="J47" s="36"/>
      <c r="K47" s="36" t="s">
        <v>348</v>
      </c>
      <c r="L47" s="354"/>
      <c r="M47" s="56"/>
      <c r="N47" s="115"/>
    </row>
    <row r="48" spans="1:14" s="14" customFormat="1" ht="9">
      <c r="A48" s="115"/>
      <c r="B48" s="36"/>
      <c r="C48" s="111"/>
      <c r="D48" s="36"/>
      <c r="E48" s="36"/>
      <c r="F48" s="36"/>
      <c r="G48" s="36"/>
      <c r="H48" s="36" t="s">
        <v>251</v>
      </c>
      <c r="I48" s="36"/>
      <c r="J48" s="36"/>
      <c r="K48" s="36" t="s">
        <v>349</v>
      </c>
      <c r="L48" s="354"/>
      <c r="M48" s="56"/>
      <c r="N48" s="115"/>
    </row>
    <row r="49" spans="1:17" s="14" customFormat="1" ht="9">
      <c r="A49" s="115"/>
      <c r="B49" s="36"/>
      <c r="C49" s="111"/>
      <c r="D49" s="36"/>
      <c r="E49" s="36"/>
      <c r="F49" s="36"/>
      <c r="G49" s="36"/>
      <c r="H49" s="36" t="s">
        <v>350</v>
      </c>
      <c r="I49" s="36"/>
      <c r="J49" s="36"/>
      <c r="K49" s="36"/>
      <c r="L49" s="354"/>
      <c r="M49" s="56"/>
      <c r="N49" s="115"/>
    </row>
    <row r="50" spans="1:17" s="14" customFormat="1" ht="9">
      <c r="A50" s="115"/>
      <c r="B50" s="36"/>
      <c r="C50" s="111"/>
      <c r="D50" s="36"/>
      <c r="E50" s="36"/>
      <c r="F50" s="36"/>
      <c r="G50" s="36"/>
      <c r="H50" s="36" t="s">
        <v>282</v>
      </c>
      <c r="I50" s="36"/>
      <c r="J50" s="36"/>
      <c r="K50" s="36"/>
      <c r="L50" s="354"/>
      <c r="M50" s="56"/>
      <c r="N50" s="115"/>
    </row>
    <row r="51" spans="1:17" s="14" customFormat="1" ht="9">
      <c r="A51" s="115"/>
      <c r="B51" s="36"/>
      <c r="C51" s="111"/>
      <c r="D51" s="36"/>
      <c r="E51" s="36"/>
      <c r="F51" s="36"/>
      <c r="G51" s="36"/>
      <c r="H51" s="36" t="s">
        <v>351</v>
      </c>
      <c r="I51" s="36"/>
      <c r="J51" s="36"/>
      <c r="K51" s="36"/>
      <c r="L51" s="354"/>
      <c r="M51" s="56"/>
      <c r="N51" s="115"/>
    </row>
    <row r="52" spans="1:17" s="14" customFormat="1" ht="9">
      <c r="A52" s="115"/>
      <c r="B52" s="36"/>
      <c r="C52" s="111"/>
      <c r="D52" s="36"/>
      <c r="E52" s="36"/>
      <c r="F52" s="36"/>
      <c r="G52" s="36"/>
      <c r="H52" s="36" t="s">
        <v>260</v>
      </c>
      <c r="I52" s="36"/>
      <c r="J52" s="36"/>
      <c r="K52" s="36"/>
      <c r="L52" s="354"/>
      <c r="M52" s="56"/>
      <c r="N52" s="115"/>
    </row>
    <row r="53" spans="1:17" s="14" customFormat="1" ht="9">
      <c r="A53" s="115"/>
      <c r="B53" s="36"/>
      <c r="C53" s="111"/>
      <c r="D53" s="36"/>
      <c r="E53" s="36"/>
      <c r="F53" s="36"/>
      <c r="G53" s="36"/>
      <c r="H53" s="36" t="s">
        <v>247</v>
      </c>
      <c r="I53" s="36"/>
      <c r="J53" s="36"/>
      <c r="K53" s="36"/>
      <c r="L53" s="354"/>
      <c r="M53" s="56"/>
      <c r="N53" s="115"/>
    </row>
    <row r="54" spans="1:17" s="14" customFormat="1" ht="9">
      <c r="A54" s="115"/>
      <c r="B54" s="36"/>
      <c r="C54" s="111"/>
      <c r="D54" s="36"/>
      <c r="E54" s="36"/>
      <c r="F54" s="36"/>
      <c r="G54" s="36"/>
      <c r="H54" s="36" t="s">
        <v>352</v>
      </c>
      <c r="I54" s="36"/>
      <c r="J54" s="36"/>
      <c r="K54" s="36"/>
      <c r="L54" s="354"/>
      <c r="M54" s="56"/>
      <c r="N54" s="115"/>
    </row>
    <row r="55" spans="1:17" s="14" customFormat="1" ht="9">
      <c r="A55" s="115"/>
      <c r="B55" s="36"/>
      <c r="C55" s="111"/>
      <c r="D55" s="36"/>
      <c r="E55" s="36"/>
      <c r="F55" s="36"/>
      <c r="G55" s="36"/>
      <c r="H55" s="36" t="s">
        <v>126</v>
      </c>
      <c r="I55" s="36"/>
      <c r="J55" s="36"/>
      <c r="K55" s="36"/>
      <c r="L55" s="354"/>
      <c r="M55" s="56"/>
      <c r="N55" s="115"/>
    </row>
    <row r="56" spans="1:17" s="14" customFormat="1" ht="9.75" thickBot="1">
      <c r="A56" s="116"/>
      <c r="B56" s="22"/>
      <c r="C56" s="112"/>
      <c r="D56" s="22"/>
      <c r="E56" s="22"/>
      <c r="F56" s="22"/>
      <c r="G56" s="22"/>
      <c r="H56" s="24"/>
      <c r="I56" s="24"/>
      <c r="J56" s="22"/>
      <c r="K56" s="22"/>
      <c r="L56" s="362"/>
      <c r="M56" s="57"/>
      <c r="N56" s="115"/>
      <c r="Q56" s="367"/>
    </row>
  </sheetData>
  <autoFilter ref="A3:M3" xr:uid="{55534CF5-E02D-40C0-8FCA-C88FF94B2A67}"/>
  <phoneticPr fontId="0"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&amp;D&amp;L&amp;10Machine Number: 
Machine Name: 
CU Number: 
VU Number: </oddHeader>
    <oddFooter>&amp;LBased on template : &amp;CVisualisationommands_CUxxxx_A4&amp;RPage &amp;P/&amp;N</oddFooter>
  </headerFooter>
  <rowBreaks count="1" manualBreakCount="1">
    <brk id="44" max="16383"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DEE99-82C8-4728-8361-E97C254F2ADF}">
  <sheetPr codeName="Sheet4">
    <pageSetUpPr autoPageBreaks="0" fitToPage="1"/>
  </sheetPr>
  <dimension ref="A1:T190"/>
  <sheetViews>
    <sheetView showGridLines="0" zoomScaleNormal="100" zoomScaleSheetLayoutView="57" workbookViewId="0">
      <pane xSplit="4" ySplit="3" topLeftCell="H4" activePane="bottomRight" state="frozen"/>
      <selection pane="bottomRight" activeCell="H37" sqref="H37"/>
      <selection pane="bottomLeft" activeCell="A4" sqref="A4"/>
      <selection pane="topRight" activeCell="E1" sqref="E1"/>
    </sheetView>
  </sheetViews>
  <sheetFormatPr defaultColWidth="9.42578125" defaultRowHeight="12.75"/>
  <cols>
    <col min="1" max="1" width="6.42578125" style="435" customWidth="1"/>
    <col min="2" max="2" width="6.85546875" style="435" customWidth="1"/>
    <col min="3" max="3" width="7.42578125" style="436" customWidth="1"/>
    <col min="4" max="4" width="29" style="435" customWidth="1"/>
    <col min="5" max="5" width="11.85546875" style="435" customWidth="1"/>
    <col min="6" max="6" width="25" style="435" customWidth="1"/>
    <col min="7" max="7" width="34.7109375" style="435" bestFit="1" customWidth="1"/>
    <col min="8" max="8" width="39.7109375" style="435" customWidth="1"/>
    <col min="9" max="9" width="33" style="435" bestFit="1" customWidth="1"/>
    <col min="10" max="10" width="8.42578125" style="438" customWidth="1"/>
    <col min="11" max="20" width="9.42578125" style="438"/>
    <col min="21" max="16384" width="9.42578125" style="435"/>
  </cols>
  <sheetData>
    <row r="1" spans="1:20" ht="23.25" customHeight="1" thickBot="1">
      <c r="D1" s="437" t="s">
        <v>353</v>
      </c>
    </row>
    <row r="2" spans="1:20" ht="25.5" customHeight="1" thickBot="1">
      <c r="D2" s="439" t="s">
        <v>354</v>
      </c>
      <c r="E2" s="517" t="s">
        <v>63</v>
      </c>
      <c r="F2" s="518"/>
    </row>
    <row r="3" spans="1:20" s="455" customFormat="1" ht="30" customHeight="1" thickBot="1">
      <c r="A3" s="519" t="s">
        <v>64</v>
      </c>
      <c r="B3" s="520" t="s">
        <v>65</v>
      </c>
      <c r="C3" s="521" t="s">
        <v>66</v>
      </c>
      <c r="D3" s="522" t="s">
        <v>355</v>
      </c>
      <c r="E3" s="523" t="s">
        <v>68</v>
      </c>
      <c r="F3" s="524" t="s">
        <v>69</v>
      </c>
      <c r="G3" s="522" t="s">
        <v>4</v>
      </c>
      <c r="H3" s="522" t="s">
        <v>78</v>
      </c>
      <c r="I3" s="525" t="s">
        <v>356</v>
      </c>
      <c r="J3" s="526" t="s">
        <v>82</v>
      </c>
    </row>
    <row r="4" spans="1:20" s="533" customFormat="1">
      <c r="A4" s="527"/>
      <c r="B4" s="462" t="s">
        <v>357</v>
      </c>
      <c r="C4" s="528">
        <v>1</v>
      </c>
      <c r="D4" s="143"/>
      <c r="E4" s="143"/>
      <c r="F4" s="143"/>
      <c r="G4" s="473"/>
      <c r="H4" s="143"/>
      <c r="I4" s="529"/>
      <c r="J4" s="530"/>
      <c r="K4" s="531"/>
      <c r="L4" s="532"/>
      <c r="M4" s="533" t="s">
        <v>93</v>
      </c>
      <c r="N4" s="531"/>
      <c r="O4" s="531"/>
      <c r="P4" s="531"/>
      <c r="Q4" s="531"/>
      <c r="R4" s="534"/>
      <c r="S4" s="534"/>
      <c r="T4" s="534"/>
    </row>
    <row r="5" spans="1:20" s="533" customFormat="1">
      <c r="A5" s="527"/>
      <c r="B5" s="462" t="s">
        <v>357</v>
      </c>
      <c r="C5" s="535">
        <v>2</v>
      </c>
      <c r="D5" s="143"/>
      <c r="E5" s="143"/>
      <c r="F5" s="143"/>
      <c r="G5" s="473"/>
      <c r="H5" s="143"/>
      <c r="I5" s="529"/>
      <c r="J5" s="536"/>
      <c r="K5" s="531"/>
      <c r="L5" s="537"/>
      <c r="M5" s="533" t="s">
        <v>100</v>
      </c>
      <c r="N5" s="531"/>
      <c r="O5" s="531"/>
      <c r="P5" s="531"/>
      <c r="Q5" s="531"/>
      <c r="R5" s="534"/>
      <c r="S5" s="534"/>
      <c r="T5" s="534"/>
    </row>
    <row r="6" spans="1:20" s="533" customFormat="1">
      <c r="A6" s="527"/>
      <c r="B6" s="462" t="s">
        <v>357</v>
      </c>
      <c r="C6" s="535">
        <v>3</v>
      </c>
      <c r="D6" s="143"/>
      <c r="E6" s="143"/>
      <c r="F6" s="143"/>
      <c r="G6" s="473"/>
      <c r="H6" s="143"/>
      <c r="I6" s="529"/>
      <c r="J6" s="536"/>
      <c r="K6" s="531"/>
      <c r="L6" s="538"/>
      <c r="M6" s="533" t="s">
        <v>107</v>
      </c>
      <c r="N6" s="531"/>
      <c r="O6" s="531"/>
      <c r="P6" s="531"/>
      <c r="Q6" s="531"/>
      <c r="R6" s="534"/>
      <c r="S6" s="534"/>
      <c r="T6" s="534"/>
    </row>
    <row r="7" spans="1:20" s="533" customFormat="1">
      <c r="A7" s="527"/>
      <c r="B7" s="462" t="s">
        <v>357</v>
      </c>
      <c r="C7" s="535">
        <v>4</v>
      </c>
      <c r="D7" s="143"/>
      <c r="E7" s="143"/>
      <c r="F7" s="143"/>
      <c r="G7" s="473"/>
      <c r="H7" s="143"/>
      <c r="I7" s="529"/>
      <c r="J7" s="536"/>
      <c r="K7" s="531"/>
      <c r="L7" s="531"/>
      <c r="M7" s="531"/>
      <c r="N7" s="531"/>
      <c r="O7" s="531"/>
      <c r="P7" s="531"/>
      <c r="Q7" s="531"/>
      <c r="R7" s="534"/>
      <c r="S7" s="534"/>
      <c r="T7" s="534"/>
    </row>
    <row r="8" spans="1:20" s="533" customFormat="1">
      <c r="A8" s="527"/>
      <c r="B8" s="462" t="s">
        <v>357</v>
      </c>
      <c r="C8" s="535">
        <v>5</v>
      </c>
      <c r="D8" s="143"/>
      <c r="E8" s="143"/>
      <c r="F8" s="143"/>
      <c r="G8" s="473"/>
      <c r="H8" s="143"/>
      <c r="I8" s="529"/>
      <c r="J8" s="536"/>
      <c r="K8" s="531"/>
      <c r="L8" s="539"/>
      <c r="M8" s="533" t="s">
        <v>121</v>
      </c>
      <c r="N8" s="531"/>
      <c r="O8" s="531"/>
      <c r="P8" s="531"/>
      <c r="Q8" s="531"/>
      <c r="R8" s="534"/>
      <c r="S8" s="534"/>
      <c r="T8" s="534"/>
    </row>
    <row r="9" spans="1:20" s="533" customFormat="1">
      <c r="A9" s="527"/>
      <c r="B9" s="462" t="s">
        <v>357</v>
      </c>
      <c r="C9" s="535">
        <v>6</v>
      </c>
      <c r="D9" s="143"/>
      <c r="E9" s="143"/>
      <c r="F9" s="143"/>
      <c r="G9" s="473"/>
      <c r="H9" s="143"/>
      <c r="I9" s="529"/>
      <c r="J9" s="536"/>
      <c r="K9" s="531"/>
      <c r="L9" s="540"/>
      <c r="M9" s="533" t="s">
        <v>129</v>
      </c>
      <c r="N9" s="531"/>
      <c r="O9" s="531"/>
      <c r="P9" s="531"/>
      <c r="Q9" s="531"/>
      <c r="R9" s="534"/>
      <c r="S9" s="534"/>
      <c r="T9" s="534"/>
    </row>
    <row r="10" spans="1:20" s="533" customFormat="1">
      <c r="A10" s="527"/>
      <c r="B10" s="462" t="s">
        <v>357</v>
      </c>
      <c r="C10" s="535">
        <v>7</v>
      </c>
      <c r="D10" s="143"/>
      <c r="E10" s="143"/>
      <c r="F10" s="143"/>
      <c r="G10" s="473"/>
      <c r="H10" s="143"/>
      <c r="I10" s="529"/>
      <c r="J10" s="536"/>
      <c r="K10" s="531"/>
      <c r="L10" s="531"/>
      <c r="M10" s="531"/>
      <c r="N10" s="531"/>
      <c r="O10" s="531"/>
      <c r="P10" s="531"/>
      <c r="Q10" s="531"/>
      <c r="R10" s="534"/>
      <c r="S10" s="534"/>
      <c r="T10" s="534"/>
    </row>
    <row r="11" spans="1:20" s="533" customFormat="1">
      <c r="A11" s="527"/>
      <c r="B11" s="462" t="s">
        <v>357</v>
      </c>
      <c r="C11" s="535">
        <v>8</v>
      </c>
      <c r="D11" s="143"/>
      <c r="E11" s="143"/>
      <c r="F11" s="143"/>
      <c r="G11" s="473"/>
      <c r="H11" s="143"/>
      <c r="I11" s="529"/>
      <c r="J11" s="536"/>
      <c r="K11" s="534"/>
      <c r="L11" s="534"/>
      <c r="M11" s="534"/>
      <c r="N11" s="534"/>
      <c r="O11" s="534"/>
      <c r="P11" s="534"/>
      <c r="Q11" s="534"/>
      <c r="R11" s="534"/>
      <c r="S11" s="534"/>
      <c r="T11" s="534"/>
    </row>
    <row r="12" spans="1:20" s="533" customFormat="1">
      <c r="A12" s="527"/>
      <c r="B12" s="462" t="s">
        <v>357</v>
      </c>
      <c r="C12" s="535">
        <v>9</v>
      </c>
      <c r="D12" s="143"/>
      <c r="E12" s="143"/>
      <c r="F12" s="143"/>
      <c r="G12" s="473"/>
      <c r="H12" s="143"/>
      <c r="I12" s="529"/>
      <c r="J12" s="536"/>
      <c r="K12" s="534"/>
      <c r="L12" s="534"/>
      <c r="M12" s="534"/>
      <c r="N12" s="534"/>
      <c r="O12" s="534"/>
      <c r="P12" s="534"/>
      <c r="Q12" s="534"/>
      <c r="R12" s="534"/>
      <c r="S12" s="534"/>
      <c r="T12" s="534"/>
    </row>
    <row r="13" spans="1:20" s="533" customFormat="1">
      <c r="A13" s="527"/>
      <c r="B13" s="462" t="s">
        <v>357</v>
      </c>
      <c r="C13" s="535">
        <v>10</v>
      </c>
      <c r="D13" s="143"/>
      <c r="E13" s="143"/>
      <c r="F13" s="143"/>
      <c r="G13" s="473"/>
      <c r="H13" s="143"/>
      <c r="I13" s="529"/>
      <c r="J13" s="536"/>
      <c r="K13" s="534"/>
      <c r="L13" s="534"/>
      <c r="M13" s="534"/>
      <c r="N13" s="534"/>
      <c r="O13" s="534"/>
      <c r="P13" s="534"/>
      <c r="Q13" s="534"/>
      <c r="R13" s="534"/>
      <c r="S13" s="534"/>
      <c r="T13" s="534"/>
    </row>
    <row r="14" spans="1:20" s="533" customFormat="1">
      <c r="A14" s="527"/>
      <c r="B14" s="462" t="s">
        <v>357</v>
      </c>
      <c r="C14" s="535">
        <v>11</v>
      </c>
      <c r="D14" s="143"/>
      <c r="E14" s="143"/>
      <c r="F14" s="143"/>
      <c r="G14" s="143"/>
      <c r="H14" s="143"/>
      <c r="I14" s="529"/>
      <c r="J14" s="536"/>
      <c r="K14" s="534"/>
      <c r="L14" s="534"/>
      <c r="M14" s="534"/>
      <c r="N14" s="534"/>
      <c r="O14" s="534"/>
      <c r="P14" s="534"/>
      <c r="Q14" s="534"/>
      <c r="R14" s="534"/>
      <c r="S14" s="534"/>
      <c r="T14" s="534"/>
    </row>
    <row r="15" spans="1:20" s="533" customFormat="1">
      <c r="A15" s="527"/>
      <c r="B15" s="462" t="s">
        <v>357</v>
      </c>
      <c r="C15" s="535">
        <v>12</v>
      </c>
      <c r="D15" s="143"/>
      <c r="E15" s="143"/>
      <c r="F15" s="143"/>
      <c r="G15" s="143"/>
      <c r="H15" s="143"/>
      <c r="I15" s="529"/>
      <c r="J15" s="536"/>
      <c r="K15" s="534"/>
      <c r="L15" s="534"/>
      <c r="M15" s="534"/>
      <c r="N15" s="534"/>
      <c r="O15" s="534"/>
      <c r="P15" s="534"/>
      <c r="Q15" s="534"/>
      <c r="R15" s="534"/>
      <c r="S15" s="534"/>
      <c r="T15" s="534"/>
    </row>
    <row r="16" spans="1:20" s="533" customFormat="1">
      <c r="A16" s="527"/>
      <c r="B16" s="462" t="s">
        <v>357</v>
      </c>
      <c r="C16" s="535">
        <v>13</v>
      </c>
      <c r="D16" s="143"/>
      <c r="E16" s="143"/>
      <c r="F16" s="143"/>
      <c r="G16" s="143"/>
      <c r="H16" s="143"/>
      <c r="I16" s="529"/>
      <c r="J16" s="536"/>
      <c r="K16" s="534"/>
      <c r="L16" s="534"/>
      <c r="M16" s="534"/>
      <c r="N16" s="534"/>
      <c r="O16" s="534"/>
      <c r="P16" s="534"/>
      <c r="Q16" s="534"/>
      <c r="R16" s="534"/>
      <c r="S16" s="534"/>
      <c r="T16" s="534"/>
    </row>
    <row r="17" spans="1:20" s="533" customFormat="1">
      <c r="A17" s="527"/>
      <c r="B17" s="462" t="s">
        <v>357</v>
      </c>
      <c r="C17" s="535">
        <v>14</v>
      </c>
      <c r="D17" s="143"/>
      <c r="E17" s="143"/>
      <c r="F17" s="143"/>
      <c r="G17" s="143"/>
      <c r="H17" s="143"/>
      <c r="I17" s="529"/>
      <c r="J17" s="536"/>
      <c r="K17" s="534"/>
      <c r="L17" s="534"/>
      <c r="M17" s="534"/>
      <c r="N17" s="534"/>
      <c r="O17" s="534"/>
      <c r="P17" s="534"/>
      <c r="Q17" s="534"/>
      <c r="R17" s="534"/>
      <c r="S17" s="534"/>
      <c r="T17" s="534"/>
    </row>
    <row r="18" spans="1:20" s="533" customFormat="1">
      <c r="A18" s="527"/>
      <c r="B18" s="462" t="s">
        <v>357</v>
      </c>
      <c r="C18" s="535">
        <v>15</v>
      </c>
      <c r="D18" s="143"/>
      <c r="E18" s="143"/>
      <c r="F18" s="143"/>
      <c r="G18" s="143"/>
      <c r="H18" s="143"/>
      <c r="I18" s="529"/>
      <c r="J18" s="536"/>
      <c r="K18" s="534"/>
      <c r="L18" s="534"/>
      <c r="M18" s="534"/>
      <c r="N18" s="534"/>
      <c r="O18" s="534"/>
      <c r="P18" s="534"/>
      <c r="Q18" s="534"/>
      <c r="R18" s="534"/>
      <c r="S18" s="534"/>
      <c r="T18" s="534"/>
    </row>
    <row r="19" spans="1:20" s="533" customFormat="1">
      <c r="A19" s="527"/>
      <c r="B19" s="462" t="s">
        <v>357</v>
      </c>
      <c r="C19" s="535">
        <v>16</v>
      </c>
      <c r="D19" s="143"/>
      <c r="E19" s="143"/>
      <c r="F19" s="143"/>
      <c r="G19" s="143"/>
      <c r="H19" s="143"/>
      <c r="I19" s="529"/>
      <c r="J19" s="536"/>
      <c r="K19" s="534"/>
      <c r="L19" s="534"/>
      <c r="M19" s="534"/>
      <c r="N19" s="534"/>
      <c r="O19" s="534"/>
      <c r="P19" s="534"/>
      <c r="Q19" s="534"/>
      <c r="R19" s="534"/>
      <c r="S19" s="534"/>
      <c r="T19" s="534"/>
    </row>
    <row r="20" spans="1:20" s="533" customFormat="1">
      <c r="A20" s="527"/>
      <c r="B20" s="462" t="s">
        <v>357</v>
      </c>
      <c r="C20" s="535">
        <v>17</v>
      </c>
      <c r="D20" s="143"/>
      <c r="E20" s="143"/>
      <c r="F20" s="143"/>
      <c r="G20" s="143"/>
      <c r="H20" s="143"/>
      <c r="I20" s="529"/>
      <c r="J20" s="536"/>
      <c r="K20" s="534"/>
      <c r="L20" s="534"/>
      <c r="M20" s="534"/>
      <c r="N20" s="534"/>
      <c r="O20" s="534"/>
      <c r="P20" s="534"/>
      <c r="Q20" s="534"/>
      <c r="R20" s="534"/>
      <c r="S20" s="534"/>
      <c r="T20" s="534"/>
    </row>
    <row r="21" spans="1:20" s="533" customFormat="1">
      <c r="A21" s="527"/>
      <c r="B21" s="462" t="s">
        <v>357</v>
      </c>
      <c r="C21" s="535">
        <v>18</v>
      </c>
      <c r="D21" s="143"/>
      <c r="E21" s="143"/>
      <c r="F21" s="143"/>
      <c r="G21" s="143"/>
      <c r="H21" s="143"/>
      <c r="I21" s="529"/>
      <c r="J21" s="536"/>
      <c r="K21" s="534"/>
      <c r="L21" s="534"/>
      <c r="M21" s="534"/>
      <c r="N21" s="534"/>
      <c r="O21" s="534"/>
      <c r="P21" s="534"/>
      <c r="Q21" s="534"/>
      <c r="R21" s="534"/>
      <c r="S21" s="534"/>
      <c r="T21" s="534"/>
    </row>
    <row r="22" spans="1:20" s="533" customFormat="1">
      <c r="A22" s="527"/>
      <c r="B22" s="462" t="s">
        <v>357</v>
      </c>
      <c r="C22" s="535">
        <v>19</v>
      </c>
      <c r="D22" s="143"/>
      <c r="E22" s="143"/>
      <c r="F22" s="143"/>
      <c r="G22" s="143"/>
      <c r="H22" s="143"/>
      <c r="I22" s="529"/>
      <c r="J22" s="536"/>
      <c r="K22" s="534"/>
      <c r="L22" s="534"/>
      <c r="M22" s="534"/>
      <c r="N22" s="534"/>
      <c r="O22" s="534"/>
      <c r="P22" s="534"/>
      <c r="Q22" s="534"/>
      <c r="R22" s="534"/>
      <c r="S22" s="534"/>
      <c r="T22" s="534"/>
    </row>
    <row r="23" spans="1:20" s="533" customFormat="1">
      <c r="A23" s="527"/>
      <c r="B23" s="462" t="s">
        <v>357</v>
      </c>
      <c r="C23" s="535">
        <v>20</v>
      </c>
      <c r="D23" s="143"/>
      <c r="E23" s="143"/>
      <c r="F23" s="143"/>
      <c r="G23" s="143"/>
      <c r="H23" s="261"/>
      <c r="I23" s="529"/>
      <c r="J23" s="536"/>
      <c r="K23" s="534"/>
      <c r="L23" s="534"/>
      <c r="M23" s="534"/>
      <c r="N23" s="534"/>
      <c r="O23" s="534"/>
      <c r="P23" s="534"/>
      <c r="Q23" s="534"/>
      <c r="R23" s="534"/>
      <c r="S23" s="534"/>
      <c r="T23" s="534"/>
    </row>
    <row r="24" spans="1:20" s="533" customFormat="1">
      <c r="A24" s="527"/>
      <c r="B24" s="462" t="s">
        <v>357</v>
      </c>
      <c r="C24" s="535">
        <v>21</v>
      </c>
      <c r="D24" s="143"/>
      <c r="E24" s="143"/>
      <c r="F24" s="143"/>
      <c r="G24" s="143"/>
      <c r="H24" s="261"/>
      <c r="I24" s="529"/>
      <c r="J24" s="536"/>
      <c r="K24" s="534"/>
      <c r="L24" s="534"/>
      <c r="M24" s="534"/>
      <c r="N24" s="534"/>
      <c r="O24" s="534"/>
      <c r="P24" s="534"/>
      <c r="Q24" s="534"/>
      <c r="R24" s="534"/>
      <c r="S24" s="534"/>
      <c r="T24" s="534"/>
    </row>
    <row r="25" spans="1:20" s="533" customFormat="1">
      <c r="A25" s="527"/>
      <c r="B25" s="462" t="s">
        <v>357</v>
      </c>
      <c r="C25" s="535">
        <v>22</v>
      </c>
      <c r="D25" s="143"/>
      <c r="E25" s="143"/>
      <c r="F25" s="143"/>
      <c r="G25" s="143"/>
      <c r="H25" s="261"/>
      <c r="I25" s="529"/>
      <c r="J25" s="536"/>
      <c r="K25" s="534"/>
      <c r="L25" s="534"/>
      <c r="M25" s="534"/>
      <c r="N25" s="534"/>
      <c r="O25" s="534"/>
      <c r="P25" s="534"/>
      <c r="Q25" s="534"/>
      <c r="R25" s="534"/>
      <c r="S25" s="534"/>
      <c r="T25" s="534"/>
    </row>
    <row r="26" spans="1:20" s="533" customFormat="1">
      <c r="A26" s="527"/>
      <c r="B26" s="462" t="s">
        <v>357</v>
      </c>
      <c r="C26" s="535">
        <v>23</v>
      </c>
      <c r="D26" s="143"/>
      <c r="E26" s="143"/>
      <c r="F26" s="143"/>
      <c r="G26" s="143"/>
      <c r="H26" s="261"/>
      <c r="I26" s="529"/>
      <c r="J26" s="536"/>
      <c r="K26" s="534"/>
      <c r="L26" s="534"/>
      <c r="M26" s="534"/>
      <c r="N26" s="534"/>
      <c r="O26" s="534"/>
      <c r="P26" s="534"/>
      <c r="Q26" s="534"/>
      <c r="R26" s="534"/>
      <c r="S26" s="534"/>
      <c r="T26" s="534"/>
    </row>
    <row r="27" spans="1:20" s="533" customFormat="1">
      <c r="A27" s="527"/>
      <c r="B27" s="462" t="s">
        <v>357</v>
      </c>
      <c r="C27" s="535">
        <v>24</v>
      </c>
      <c r="D27" s="143"/>
      <c r="E27" s="143"/>
      <c r="F27" s="143"/>
      <c r="G27" s="143"/>
      <c r="H27" s="261"/>
      <c r="I27" s="529"/>
      <c r="J27" s="536"/>
      <c r="K27" s="534"/>
      <c r="L27" s="534"/>
      <c r="M27" s="534"/>
      <c r="N27" s="534"/>
      <c r="O27" s="534"/>
      <c r="P27" s="534"/>
      <c r="Q27" s="534"/>
      <c r="R27" s="534"/>
      <c r="S27" s="534"/>
      <c r="T27" s="534"/>
    </row>
    <row r="28" spans="1:20" s="533" customFormat="1">
      <c r="A28" s="527"/>
      <c r="B28" s="462" t="s">
        <v>357</v>
      </c>
      <c r="C28" s="535">
        <v>25</v>
      </c>
      <c r="D28" s="143"/>
      <c r="E28" s="143"/>
      <c r="F28" s="143"/>
      <c r="G28" s="143"/>
      <c r="H28" s="261"/>
      <c r="I28" s="529"/>
      <c r="J28" s="536"/>
      <c r="K28" s="534"/>
      <c r="L28" s="534"/>
      <c r="M28" s="534"/>
      <c r="N28" s="534"/>
      <c r="O28" s="534"/>
      <c r="P28" s="534"/>
      <c r="Q28" s="534"/>
      <c r="R28" s="534"/>
      <c r="S28" s="534"/>
      <c r="T28" s="534"/>
    </row>
    <row r="29" spans="1:20" s="533" customFormat="1">
      <c r="A29" s="527"/>
      <c r="B29" s="462" t="s">
        <v>357</v>
      </c>
      <c r="C29" s="535">
        <v>26</v>
      </c>
      <c r="D29" s="143"/>
      <c r="E29" s="143"/>
      <c r="F29" s="143"/>
      <c r="G29" s="143"/>
      <c r="H29" s="261"/>
      <c r="I29" s="529"/>
      <c r="J29" s="536"/>
      <c r="K29" s="534"/>
      <c r="L29" s="534"/>
      <c r="M29" s="534"/>
      <c r="N29" s="534"/>
      <c r="O29" s="534"/>
      <c r="P29" s="534"/>
      <c r="Q29" s="534"/>
      <c r="R29" s="534"/>
      <c r="S29" s="534"/>
      <c r="T29" s="534"/>
    </row>
    <row r="30" spans="1:20" s="533" customFormat="1">
      <c r="A30" s="527"/>
      <c r="B30" s="462" t="s">
        <v>357</v>
      </c>
      <c r="C30" s="535">
        <v>27</v>
      </c>
      <c r="D30" s="143"/>
      <c r="E30" s="143"/>
      <c r="F30" s="143"/>
      <c r="G30" s="143"/>
      <c r="H30" s="261"/>
      <c r="I30" s="529"/>
      <c r="J30" s="536"/>
      <c r="K30" s="534"/>
      <c r="L30" s="534"/>
      <c r="M30" s="534"/>
      <c r="N30" s="534"/>
      <c r="O30" s="534"/>
      <c r="P30" s="534"/>
      <c r="Q30" s="534"/>
      <c r="R30" s="534"/>
      <c r="S30" s="534"/>
      <c r="T30" s="534"/>
    </row>
    <row r="31" spans="1:20" s="533" customFormat="1">
      <c r="A31" s="527"/>
      <c r="B31" s="462" t="s">
        <v>357</v>
      </c>
      <c r="C31" s="535">
        <v>28</v>
      </c>
      <c r="D31" s="143"/>
      <c r="E31" s="143"/>
      <c r="F31" s="143"/>
      <c r="G31" s="143"/>
      <c r="H31" s="261"/>
      <c r="I31" s="529"/>
      <c r="J31" s="536"/>
      <c r="K31" s="534"/>
      <c r="L31" s="534"/>
      <c r="M31" s="534"/>
      <c r="N31" s="534"/>
      <c r="O31" s="534"/>
      <c r="P31" s="534"/>
      <c r="Q31" s="534"/>
      <c r="R31" s="534"/>
      <c r="S31" s="534"/>
      <c r="T31" s="534"/>
    </row>
    <row r="32" spans="1:20" s="533" customFormat="1">
      <c r="A32" s="527"/>
      <c r="B32" s="462" t="s">
        <v>357</v>
      </c>
      <c r="C32" s="535">
        <v>29</v>
      </c>
      <c r="D32" s="143"/>
      <c r="E32" s="143"/>
      <c r="F32" s="143"/>
      <c r="G32" s="143"/>
      <c r="H32" s="261"/>
      <c r="I32" s="529"/>
      <c r="J32" s="536"/>
      <c r="K32" s="534"/>
      <c r="L32" s="534"/>
      <c r="M32" s="534"/>
      <c r="N32" s="534"/>
      <c r="O32" s="534"/>
      <c r="P32" s="534"/>
      <c r="Q32" s="534"/>
      <c r="R32" s="534"/>
      <c r="S32" s="534"/>
      <c r="T32" s="534"/>
    </row>
    <row r="33" spans="1:20" s="533" customFormat="1">
      <c r="A33" s="527"/>
      <c r="B33" s="462" t="s">
        <v>357</v>
      </c>
      <c r="C33" s="535">
        <v>30</v>
      </c>
      <c r="D33" s="143"/>
      <c r="E33" s="143"/>
      <c r="F33" s="143"/>
      <c r="G33" s="143"/>
      <c r="H33" s="261"/>
      <c r="I33" s="529"/>
      <c r="J33" s="536"/>
      <c r="K33" s="534"/>
      <c r="L33" s="534"/>
      <c r="M33" s="534"/>
      <c r="N33" s="534"/>
      <c r="O33" s="534"/>
      <c r="P33" s="534"/>
      <c r="Q33" s="534"/>
      <c r="R33" s="534"/>
      <c r="S33" s="534"/>
      <c r="T33" s="534"/>
    </row>
    <row r="34" spans="1:20" s="533" customFormat="1">
      <c r="A34" s="527"/>
      <c r="B34" s="462" t="s">
        <v>357</v>
      </c>
      <c r="C34" s="535">
        <v>31</v>
      </c>
      <c r="D34" s="143"/>
      <c r="E34" s="143"/>
      <c r="F34" s="143"/>
      <c r="G34" s="143"/>
      <c r="H34" s="261"/>
      <c r="I34" s="529"/>
      <c r="J34" s="536"/>
      <c r="K34" s="534"/>
      <c r="L34" s="534"/>
      <c r="M34" s="534"/>
      <c r="N34" s="534"/>
      <c r="O34" s="534"/>
      <c r="P34" s="534"/>
      <c r="Q34" s="534"/>
      <c r="R34" s="534"/>
      <c r="S34" s="534"/>
      <c r="T34" s="534"/>
    </row>
    <row r="35" spans="1:20" s="533" customFormat="1">
      <c r="A35" s="527"/>
      <c r="B35" s="462" t="s">
        <v>357</v>
      </c>
      <c r="C35" s="535">
        <v>32</v>
      </c>
      <c r="D35" s="143"/>
      <c r="E35" s="143"/>
      <c r="F35" s="143"/>
      <c r="G35" s="143"/>
      <c r="H35" s="261"/>
      <c r="I35" s="529"/>
      <c r="J35" s="536"/>
      <c r="K35" s="534"/>
      <c r="L35" s="534"/>
      <c r="M35" s="534"/>
      <c r="N35" s="534"/>
      <c r="O35" s="534"/>
      <c r="P35" s="534"/>
      <c r="Q35" s="534"/>
      <c r="R35" s="534"/>
      <c r="S35" s="534"/>
      <c r="T35" s="534"/>
    </row>
    <row r="36" spans="1:20" s="533" customFormat="1">
      <c r="A36" s="527"/>
      <c r="B36" s="462" t="s">
        <v>357</v>
      </c>
      <c r="C36" s="535">
        <v>33</v>
      </c>
      <c r="D36" s="143"/>
      <c r="E36" s="143"/>
      <c r="F36" s="143"/>
      <c r="G36" s="143"/>
      <c r="H36" s="541"/>
      <c r="I36" s="542"/>
      <c r="J36" s="536"/>
      <c r="K36" s="534"/>
      <c r="L36" s="534"/>
      <c r="M36" s="534"/>
      <c r="N36" s="534"/>
      <c r="O36" s="534"/>
      <c r="P36" s="534"/>
      <c r="Q36" s="534"/>
      <c r="R36" s="534"/>
      <c r="S36" s="534"/>
      <c r="T36" s="534"/>
    </row>
    <row r="37" spans="1:20" s="533" customFormat="1">
      <c r="A37" s="527"/>
      <c r="B37" s="462" t="s">
        <v>357</v>
      </c>
      <c r="C37" s="535">
        <v>34</v>
      </c>
      <c r="D37" s="143"/>
      <c r="E37" s="143"/>
      <c r="F37" s="143"/>
      <c r="G37" s="143"/>
      <c r="H37" s="541"/>
      <c r="I37" s="542"/>
      <c r="J37" s="536"/>
      <c r="K37" s="534"/>
      <c r="L37" s="534"/>
      <c r="M37" s="534"/>
      <c r="N37" s="534"/>
      <c r="O37" s="534"/>
      <c r="P37" s="534"/>
      <c r="Q37" s="534"/>
      <c r="R37" s="534"/>
      <c r="S37" s="534"/>
      <c r="T37" s="534"/>
    </row>
    <row r="38" spans="1:20" s="533" customFormat="1">
      <c r="A38" s="527"/>
      <c r="B38" s="462" t="s">
        <v>357</v>
      </c>
      <c r="C38" s="535">
        <v>35</v>
      </c>
      <c r="D38" s="143"/>
      <c r="E38" s="143"/>
      <c r="F38" s="143"/>
      <c r="G38" s="143"/>
      <c r="H38" s="541"/>
      <c r="I38" s="542"/>
      <c r="J38" s="536"/>
      <c r="K38" s="534"/>
      <c r="L38" s="534"/>
      <c r="M38" s="534"/>
      <c r="N38" s="534"/>
      <c r="O38" s="534"/>
      <c r="P38" s="534"/>
      <c r="Q38" s="534"/>
      <c r="R38" s="534"/>
      <c r="S38" s="534"/>
      <c r="T38" s="534"/>
    </row>
    <row r="39" spans="1:20" s="533" customFormat="1">
      <c r="A39" s="527"/>
      <c r="B39" s="462" t="s">
        <v>357</v>
      </c>
      <c r="C39" s="535">
        <v>36</v>
      </c>
      <c r="D39" s="143"/>
      <c r="E39" s="143"/>
      <c r="F39" s="143"/>
      <c r="G39" s="143"/>
      <c r="H39" s="541"/>
      <c r="I39" s="542"/>
      <c r="J39" s="536"/>
      <c r="K39" s="534"/>
      <c r="L39" s="534"/>
      <c r="M39" s="534"/>
      <c r="N39" s="534"/>
      <c r="O39" s="534"/>
      <c r="P39" s="534"/>
      <c r="Q39" s="534"/>
      <c r="R39" s="534"/>
      <c r="S39" s="534"/>
      <c r="T39" s="534"/>
    </row>
    <row r="40" spans="1:20" s="533" customFormat="1">
      <c r="A40" s="527"/>
      <c r="B40" s="462" t="s">
        <v>357</v>
      </c>
      <c r="C40" s="535">
        <v>37</v>
      </c>
      <c r="D40" s="143"/>
      <c r="E40" s="143"/>
      <c r="F40" s="143"/>
      <c r="G40" s="143"/>
      <c r="H40" s="541"/>
      <c r="I40" s="542"/>
      <c r="J40" s="536"/>
      <c r="K40" s="534"/>
      <c r="L40" s="534"/>
      <c r="M40" s="534"/>
      <c r="N40" s="534"/>
      <c r="O40" s="534"/>
      <c r="P40" s="534"/>
      <c r="Q40" s="534"/>
      <c r="R40" s="534"/>
      <c r="S40" s="534"/>
      <c r="T40" s="534"/>
    </row>
    <row r="41" spans="1:20" s="533" customFormat="1">
      <c r="A41" s="527"/>
      <c r="B41" s="462" t="s">
        <v>357</v>
      </c>
      <c r="C41" s="535">
        <v>38</v>
      </c>
      <c r="D41" s="143"/>
      <c r="E41" s="143"/>
      <c r="F41" s="143"/>
      <c r="G41" s="143"/>
      <c r="H41" s="541"/>
      <c r="I41" s="542"/>
      <c r="J41" s="536"/>
      <c r="K41" s="534"/>
      <c r="L41" s="534"/>
      <c r="M41" s="534"/>
      <c r="N41" s="534"/>
      <c r="O41" s="534"/>
      <c r="P41" s="534"/>
      <c r="Q41" s="534"/>
      <c r="R41" s="534"/>
      <c r="S41" s="534"/>
      <c r="T41" s="534"/>
    </row>
    <row r="42" spans="1:20" s="533" customFormat="1">
      <c r="A42" s="527"/>
      <c r="B42" s="462" t="s">
        <v>357</v>
      </c>
      <c r="C42" s="535">
        <v>39</v>
      </c>
      <c r="D42" s="143"/>
      <c r="E42" s="143"/>
      <c r="F42" s="143"/>
      <c r="G42" s="143"/>
      <c r="H42" s="541"/>
      <c r="I42" s="542"/>
      <c r="J42" s="536"/>
      <c r="K42" s="534"/>
      <c r="L42" s="534"/>
      <c r="M42" s="534"/>
      <c r="N42" s="534"/>
      <c r="O42" s="534"/>
      <c r="P42" s="534"/>
      <c r="Q42" s="534"/>
      <c r="R42" s="534"/>
      <c r="S42" s="534"/>
      <c r="T42" s="534"/>
    </row>
    <row r="43" spans="1:20" s="533" customFormat="1">
      <c r="A43" s="527"/>
      <c r="B43" s="462" t="s">
        <v>357</v>
      </c>
      <c r="C43" s="535">
        <v>40</v>
      </c>
      <c r="D43" s="143"/>
      <c r="E43" s="143"/>
      <c r="F43" s="143"/>
      <c r="G43" s="143"/>
      <c r="H43" s="541"/>
      <c r="I43" s="542"/>
      <c r="J43" s="536"/>
      <c r="K43" s="534"/>
      <c r="L43" s="534"/>
      <c r="M43" s="534"/>
      <c r="N43" s="534"/>
      <c r="O43" s="534"/>
      <c r="P43" s="534"/>
      <c r="Q43" s="534"/>
      <c r="R43" s="534"/>
      <c r="S43" s="534"/>
      <c r="T43" s="534"/>
    </row>
    <row r="44" spans="1:20" s="533" customFormat="1">
      <c r="A44" s="527"/>
      <c r="B44" s="462" t="s">
        <v>357</v>
      </c>
      <c r="C44" s="535">
        <v>41</v>
      </c>
      <c r="D44" s="143"/>
      <c r="E44" s="143"/>
      <c r="F44" s="143"/>
      <c r="G44" s="143"/>
      <c r="H44" s="541"/>
      <c r="I44" s="542"/>
      <c r="J44" s="536"/>
      <c r="K44" s="534"/>
      <c r="L44" s="534"/>
      <c r="M44" s="534"/>
      <c r="N44" s="534"/>
      <c r="O44" s="534"/>
      <c r="P44" s="534"/>
      <c r="Q44" s="534"/>
      <c r="R44" s="534"/>
      <c r="S44" s="534"/>
      <c r="T44" s="534"/>
    </row>
    <row r="45" spans="1:20" s="533" customFormat="1">
      <c r="A45" s="527"/>
      <c r="B45" s="462" t="s">
        <v>357</v>
      </c>
      <c r="C45" s="535">
        <v>42</v>
      </c>
      <c r="D45" s="143"/>
      <c r="E45" s="143"/>
      <c r="F45" s="143"/>
      <c r="G45" s="143"/>
      <c r="H45" s="541"/>
      <c r="I45" s="542"/>
      <c r="J45" s="536"/>
      <c r="K45" s="534"/>
      <c r="L45" s="534"/>
      <c r="M45" s="534"/>
      <c r="N45" s="534"/>
      <c r="O45" s="534"/>
      <c r="P45" s="534"/>
      <c r="Q45" s="534"/>
      <c r="R45" s="534"/>
      <c r="S45" s="534"/>
      <c r="T45" s="534"/>
    </row>
    <row r="46" spans="1:20" s="533" customFormat="1">
      <c r="A46" s="527"/>
      <c r="B46" s="462" t="s">
        <v>357</v>
      </c>
      <c r="C46" s="535">
        <v>43</v>
      </c>
      <c r="D46" s="143"/>
      <c r="E46" s="143"/>
      <c r="F46" s="143"/>
      <c r="G46" s="143"/>
      <c r="H46" s="541"/>
      <c r="I46" s="542"/>
      <c r="J46" s="536"/>
      <c r="K46" s="534"/>
      <c r="L46" s="534"/>
      <c r="M46" s="534"/>
      <c r="N46" s="534"/>
      <c r="O46" s="534"/>
      <c r="P46" s="534"/>
      <c r="Q46" s="534"/>
      <c r="R46" s="534"/>
      <c r="S46" s="534"/>
      <c r="T46" s="534"/>
    </row>
    <row r="47" spans="1:20" s="533" customFormat="1">
      <c r="A47" s="527"/>
      <c r="B47" s="462" t="s">
        <v>357</v>
      </c>
      <c r="C47" s="535">
        <v>44</v>
      </c>
      <c r="D47" s="143"/>
      <c r="E47" s="143"/>
      <c r="F47" s="143"/>
      <c r="G47" s="143"/>
      <c r="H47" s="541"/>
      <c r="I47" s="542"/>
      <c r="J47" s="536"/>
      <c r="K47" s="534"/>
      <c r="L47" s="534"/>
      <c r="M47" s="534"/>
      <c r="N47" s="534"/>
      <c r="O47" s="534"/>
      <c r="P47" s="534"/>
      <c r="Q47" s="534"/>
      <c r="R47" s="534"/>
      <c r="S47" s="534"/>
      <c r="T47" s="534"/>
    </row>
    <row r="48" spans="1:20" s="533" customFormat="1">
      <c r="A48" s="527"/>
      <c r="B48" s="462" t="s">
        <v>357</v>
      </c>
      <c r="C48" s="535">
        <v>45</v>
      </c>
      <c r="D48" s="143"/>
      <c r="E48" s="143"/>
      <c r="F48" s="143"/>
      <c r="G48" s="143"/>
      <c r="H48" s="541"/>
      <c r="I48" s="542"/>
      <c r="J48" s="536"/>
      <c r="K48" s="534"/>
      <c r="L48" s="534"/>
      <c r="M48" s="534"/>
      <c r="N48" s="534"/>
      <c r="O48" s="534"/>
      <c r="P48" s="534"/>
      <c r="Q48" s="534"/>
      <c r="R48" s="534"/>
      <c r="S48" s="534"/>
      <c r="T48" s="534"/>
    </row>
    <row r="49" spans="1:20" s="533" customFormat="1">
      <c r="A49" s="527"/>
      <c r="B49" s="462" t="s">
        <v>357</v>
      </c>
      <c r="C49" s="535">
        <v>46</v>
      </c>
      <c r="D49" s="143"/>
      <c r="E49" s="143"/>
      <c r="F49" s="143"/>
      <c r="G49" s="143"/>
      <c r="H49" s="541"/>
      <c r="I49" s="542"/>
      <c r="J49" s="536"/>
      <c r="K49" s="534"/>
      <c r="L49" s="534"/>
      <c r="M49" s="534"/>
      <c r="N49" s="534"/>
      <c r="O49" s="534"/>
      <c r="P49" s="534"/>
      <c r="Q49" s="534"/>
      <c r="R49" s="534"/>
      <c r="S49" s="534"/>
      <c r="T49" s="534"/>
    </row>
    <row r="50" spans="1:20" s="533" customFormat="1">
      <c r="A50" s="527"/>
      <c r="B50" s="462" t="s">
        <v>357</v>
      </c>
      <c r="C50" s="535">
        <v>47</v>
      </c>
      <c r="D50" s="143"/>
      <c r="E50" s="143"/>
      <c r="F50" s="143"/>
      <c r="G50" s="143"/>
      <c r="H50" s="541"/>
      <c r="I50" s="542"/>
      <c r="J50" s="536"/>
      <c r="K50" s="534"/>
      <c r="L50" s="534"/>
      <c r="M50" s="534"/>
      <c r="N50" s="534"/>
      <c r="O50" s="534"/>
      <c r="P50" s="534"/>
      <c r="Q50" s="534"/>
      <c r="R50" s="534"/>
      <c r="S50" s="534"/>
      <c r="T50" s="534"/>
    </row>
    <row r="51" spans="1:20" s="533" customFormat="1">
      <c r="A51" s="527"/>
      <c r="B51" s="462" t="s">
        <v>357</v>
      </c>
      <c r="C51" s="535">
        <v>48</v>
      </c>
      <c r="D51" s="143"/>
      <c r="E51" s="143"/>
      <c r="F51" s="143"/>
      <c r="G51" s="143"/>
      <c r="H51" s="541"/>
      <c r="I51" s="542"/>
      <c r="J51" s="536"/>
      <c r="K51" s="534"/>
      <c r="L51" s="534"/>
      <c r="M51" s="534"/>
      <c r="N51" s="534"/>
      <c r="O51" s="534"/>
      <c r="P51" s="534"/>
      <c r="Q51" s="534"/>
      <c r="R51" s="534"/>
      <c r="S51" s="534"/>
      <c r="T51" s="534"/>
    </row>
    <row r="52" spans="1:20" s="533" customFormat="1">
      <c r="A52" s="527"/>
      <c r="B52" s="462" t="s">
        <v>357</v>
      </c>
      <c r="C52" s="535">
        <v>49</v>
      </c>
      <c r="D52" s="143"/>
      <c r="E52" s="143"/>
      <c r="F52" s="143"/>
      <c r="G52" s="143"/>
      <c r="H52" s="541"/>
      <c r="I52" s="542"/>
      <c r="J52" s="536"/>
      <c r="K52" s="534"/>
      <c r="L52" s="534"/>
      <c r="M52" s="534"/>
      <c r="N52" s="534"/>
      <c r="O52" s="534"/>
      <c r="P52" s="534"/>
      <c r="Q52" s="534"/>
      <c r="R52" s="534"/>
      <c r="S52" s="534"/>
      <c r="T52" s="534"/>
    </row>
    <row r="53" spans="1:20" s="533" customFormat="1">
      <c r="A53" s="527"/>
      <c r="B53" s="462" t="s">
        <v>357</v>
      </c>
      <c r="C53" s="535">
        <v>50</v>
      </c>
      <c r="D53" s="143"/>
      <c r="E53" s="143"/>
      <c r="F53" s="143"/>
      <c r="G53" s="143"/>
      <c r="H53" s="261"/>
      <c r="I53" s="542"/>
      <c r="J53" s="536"/>
      <c r="K53" s="534"/>
      <c r="L53" s="534"/>
      <c r="M53" s="534"/>
      <c r="N53" s="534"/>
      <c r="O53" s="534"/>
      <c r="P53" s="534"/>
      <c r="Q53" s="534"/>
      <c r="R53" s="534"/>
      <c r="S53" s="534"/>
      <c r="T53" s="534"/>
    </row>
    <row r="54" spans="1:20" s="533" customFormat="1">
      <c r="A54" s="527"/>
      <c r="B54" s="462" t="s">
        <v>357</v>
      </c>
      <c r="C54" s="535">
        <v>51</v>
      </c>
      <c r="D54" s="143"/>
      <c r="E54" s="143"/>
      <c r="F54" s="143"/>
      <c r="G54" s="143"/>
      <c r="H54" s="261"/>
      <c r="I54" s="542"/>
      <c r="J54" s="536"/>
      <c r="K54" s="534"/>
      <c r="L54" s="534"/>
      <c r="M54" s="534"/>
      <c r="N54" s="534"/>
      <c r="O54" s="534"/>
      <c r="P54" s="534"/>
      <c r="Q54" s="534"/>
      <c r="R54" s="534"/>
      <c r="S54" s="534"/>
      <c r="T54" s="534"/>
    </row>
    <row r="55" spans="1:20" s="533" customFormat="1">
      <c r="A55" s="527"/>
      <c r="B55" s="462" t="s">
        <v>357</v>
      </c>
      <c r="C55" s="535">
        <v>52</v>
      </c>
      <c r="D55" s="143"/>
      <c r="E55" s="143"/>
      <c r="F55" s="143"/>
      <c r="G55" s="143"/>
      <c r="H55" s="261"/>
      <c r="I55" s="542"/>
      <c r="J55" s="536"/>
      <c r="K55" s="534"/>
      <c r="L55" s="534"/>
      <c r="M55" s="534"/>
      <c r="N55" s="534"/>
      <c r="O55" s="534"/>
      <c r="P55" s="534"/>
      <c r="Q55" s="534"/>
      <c r="R55" s="534"/>
      <c r="S55" s="534"/>
      <c r="T55" s="534"/>
    </row>
    <row r="56" spans="1:20" s="533" customFormat="1">
      <c r="A56" s="527"/>
      <c r="B56" s="462" t="s">
        <v>357</v>
      </c>
      <c r="C56" s="535">
        <v>53</v>
      </c>
      <c r="D56" s="143"/>
      <c r="E56" s="143"/>
      <c r="F56" s="143"/>
      <c r="G56" s="143"/>
      <c r="H56" s="261"/>
      <c r="I56" s="542"/>
      <c r="J56" s="536"/>
      <c r="K56" s="534"/>
      <c r="L56" s="534"/>
      <c r="M56" s="534"/>
      <c r="N56" s="534"/>
      <c r="O56" s="534"/>
      <c r="P56" s="534"/>
      <c r="Q56" s="534"/>
      <c r="R56" s="534"/>
      <c r="S56" s="534"/>
      <c r="T56" s="534"/>
    </row>
    <row r="57" spans="1:20" s="533" customFormat="1">
      <c r="A57" s="527"/>
      <c r="B57" s="462" t="s">
        <v>357</v>
      </c>
      <c r="C57" s="535">
        <v>54</v>
      </c>
      <c r="D57" s="143"/>
      <c r="E57" s="143"/>
      <c r="F57" s="143"/>
      <c r="G57" s="143"/>
      <c r="H57" s="261"/>
      <c r="I57" s="542"/>
      <c r="J57" s="536"/>
      <c r="K57" s="534"/>
      <c r="L57" s="534"/>
      <c r="M57" s="534"/>
      <c r="N57" s="534"/>
      <c r="O57" s="534"/>
      <c r="P57" s="534"/>
      <c r="Q57" s="534"/>
      <c r="R57" s="534"/>
      <c r="S57" s="534"/>
      <c r="T57" s="534"/>
    </row>
    <row r="58" spans="1:20" s="533" customFormat="1">
      <c r="A58" s="527"/>
      <c r="B58" s="462" t="s">
        <v>357</v>
      </c>
      <c r="C58" s="535">
        <v>55</v>
      </c>
      <c r="D58" s="143"/>
      <c r="E58" s="143"/>
      <c r="F58" s="143"/>
      <c r="G58" s="143"/>
      <c r="H58" s="261"/>
      <c r="I58" s="542"/>
      <c r="J58" s="536"/>
      <c r="K58" s="534"/>
      <c r="L58" s="534"/>
      <c r="M58" s="534"/>
      <c r="N58" s="534"/>
      <c r="O58" s="534"/>
      <c r="P58" s="534"/>
      <c r="Q58" s="534"/>
      <c r="R58" s="534"/>
      <c r="S58" s="534"/>
      <c r="T58" s="534"/>
    </row>
    <row r="59" spans="1:20" s="533" customFormat="1">
      <c r="A59" s="527"/>
      <c r="B59" s="462" t="s">
        <v>357</v>
      </c>
      <c r="C59" s="535">
        <v>56</v>
      </c>
      <c r="D59" s="143"/>
      <c r="E59" s="143"/>
      <c r="F59" s="143"/>
      <c r="G59" s="143"/>
      <c r="H59" s="541"/>
      <c r="I59" s="542"/>
      <c r="J59" s="536"/>
      <c r="K59" s="534"/>
      <c r="L59" s="534"/>
      <c r="M59" s="534"/>
      <c r="N59" s="534"/>
      <c r="O59" s="534"/>
      <c r="P59" s="534"/>
      <c r="Q59" s="534"/>
      <c r="R59" s="534"/>
      <c r="S59" s="534"/>
      <c r="T59" s="534"/>
    </row>
    <row r="60" spans="1:20" s="533" customFormat="1">
      <c r="A60" s="527"/>
      <c r="B60" s="462" t="s">
        <v>357</v>
      </c>
      <c r="C60" s="535">
        <v>57</v>
      </c>
      <c r="D60" s="143"/>
      <c r="E60" s="143"/>
      <c r="F60" s="143"/>
      <c r="G60" s="143"/>
      <c r="H60" s="541"/>
      <c r="I60" s="542"/>
      <c r="J60" s="536"/>
      <c r="K60" s="534"/>
      <c r="L60" s="534"/>
      <c r="M60" s="534"/>
      <c r="N60" s="534"/>
      <c r="O60" s="534"/>
      <c r="P60" s="534"/>
      <c r="Q60" s="534"/>
      <c r="R60" s="534"/>
      <c r="S60" s="534"/>
      <c r="T60" s="534"/>
    </row>
    <row r="61" spans="1:20" s="533" customFormat="1">
      <c r="A61" s="527"/>
      <c r="B61" s="462" t="s">
        <v>357</v>
      </c>
      <c r="C61" s="535">
        <v>58</v>
      </c>
      <c r="D61" s="143"/>
      <c r="E61" s="143"/>
      <c r="F61" s="143"/>
      <c r="G61" s="143"/>
      <c r="H61" s="541"/>
      <c r="I61" s="542"/>
      <c r="J61" s="536"/>
      <c r="K61" s="534"/>
      <c r="L61" s="534"/>
      <c r="M61" s="534"/>
      <c r="N61" s="534"/>
      <c r="O61" s="534"/>
      <c r="P61" s="534"/>
      <c r="Q61" s="534"/>
      <c r="R61" s="534"/>
      <c r="S61" s="534"/>
      <c r="T61" s="534"/>
    </row>
    <row r="62" spans="1:20" s="533" customFormat="1">
      <c r="A62" s="527"/>
      <c r="B62" s="462" t="s">
        <v>357</v>
      </c>
      <c r="C62" s="535">
        <v>59</v>
      </c>
      <c r="D62" s="143"/>
      <c r="E62" s="143"/>
      <c r="F62" s="143"/>
      <c r="G62" s="143"/>
      <c r="H62" s="541"/>
      <c r="I62" s="543"/>
      <c r="J62" s="536"/>
      <c r="K62" s="534"/>
      <c r="L62" s="534"/>
      <c r="M62" s="534"/>
      <c r="N62" s="534"/>
      <c r="O62" s="534"/>
      <c r="P62" s="534"/>
      <c r="Q62" s="534"/>
      <c r="R62" s="534"/>
      <c r="S62" s="534"/>
      <c r="T62" s="534"/>
    </row>
    <row r="63" spans="1:20" s="533" customFormat="1">
      <c r="A63" s="527"/>
      <c r="B63" s="462" t="s">
        <v>357</v>
      </c>
      <c r="C63" s="535">
        <v>60</v>
      </c>
      <c r="D63" s="143"/>
      <c r="E63" s="143"/>
      <c r="F63" s="143"/>
      <c r="G63" s="143"/>
      <c r="H63" s="541"/>
      <c r="I63" s="543"/>
      <c r="J63" s="536"/>
      <c r="K63" s="534"/>
      <c r="L63" s="534"/>
      <c r="M63" s="534"/>
      <c r="N63" s="534"/>
      <c r="O63" s="534"/>
      <c r="P63" s="534"/>
      <c r="Q63" s="534"/>
      <c r="R63" s="534"/>
      <c r="S63" s="534"/>
      <c r="T63" s="534"/>
    </row>
    <row r="64" spans="1:20" s="533" customFormat="1">
      <c r="A64" s="527"/>
      <c r="B64" s="462" t="s">
        <v>357</v>
      </c>
      <c r="C64" s="535">
        <v>61</v>
      </c>
      <c r="D64" s="143"/>
      <c r="E64" s="143"/>
      <c r="F64" s="143"/>
      <c r="G64" s="143"/>
      <c r="H64" s="541"/>
      <c r="I64" s="543"/>
      <c r="J64" s="536"/>
      <c r="K64" s="534"/>
      <c r="L64" s="534"/>
      <c r="M64" s="534"/>
      <c r="N64" s="534"/>
      <c r="O64" s="534"/>
      <c r="P64" s="534"/>
      <c r="Q64" s="534"/>
      <c r="R64" s="534"/>
      <c r="S64" s="534"/>
      <c r="T64" s="534"/>
    </row>
    <row r="65" spans="1:20" s="533" customFormat="1">
      <c r="A65" s="527"/>
      <c r="B65" s="462" t="s">
        <v>357</v>
      </c>
      <c r="C65" s="544">
        <v>62</v>
      </c>
      <c r="D65" s="143"/>
      <c r="E65" s="143"/>
      <c r="F65" s="143"/>
      <c r="G65" s="143"/>
      <c r="H65" s="541"/>
      <c r="I65" s="543"/>
      <c r="J65" s="536"/>
      <c r="K65" s="534"/>
      <c r="L65" s="534"/>
      <c r="M65" s="534"/>
      <c r="N65" s="534"/>
      <c r="O65" s="534"/>
      <c r="P65" s="534"/>
      <c r="Q65" s="534"/>
      <c r="R65" s="534"/>
      <c r="S65" s="534"/>
      <c r="T65" s="534"/>
    </row>
    <row r="66" spans="1:20" s="533" customFormat="1">
      <c r="A66" s="527"/>
      <c r="B66" s="462" t="s">
        <v>357</v>
      </c>
      <c r="C66" s="544">
        <v>63</v>
      </c>
      <c r="D66" s="143"/>
      <c r="E66" s="143"/>
      <c r="F66" s="143"/>
      <c r="G66" s="143"/>
      <c r="H66" s="541"/>
      <c r="I66" s="543"/>
      <c r="J66" s="536"/>
      <c r="K66" s="534"/>
      <c r="L66" s="534"/>
      <c r="M66" s="534"/>
      <c r="N66" s="534"/>
      <c r="O66" s="534"/>
      <c r="P66" s="534"/>
      <c r="Q66" s="534"/>
      <c r="R66" s="534"/>
      <c r="S66" s="534"/>
      <c r="T66" s="534"/>
    </row>
    <row r="67" spans="1:20" s="533" customFormat="1">
      <c r="A67" s="527"/>
      <c r="B67" s="462" t="s">
        <v>357</v>
      </c>
      <c r="C67" s="544">
        <v>64</v>
      </c>
      <c r="D67" s="143"/>
      <c r="E67" s="143"/>
      <c r="F67" s="143"/>
      <c r="G67" s="143"/>
      <c r="H67" s="541"/>
      <c r="I67" s="543"/>
      <c r="J67" s="536"/>
      <c r="K67" s="534"/>
      <c r="L67" s="534"/>
      <c r="M67" s="534"/>
      <c r="N67" s="534"/>
      <c r="O67" s="534"/>
      <c r="P67" s="534"/>
      <c r="Q67" s="534"/>
      <c r="R67" s="534"/>
      <c r="S67" s="534"/>
      <c r="T67" s="534"/>
    </row>
    <row r="68" spans="1:20" s="533" customFormat="1">
      <c r="A68" s="527"/>
      <c r="B68" s="462" t="s">
        <v>357</v>
      </c>
      <c r="C68" s="544">
        <v>65</v>
      </c>
      <c r="D68" s="143"/>
      <c r="E68" s="143"/>
      <c r="F68" s="143"/>
      <c r="G68" s="143"/>
      <c r="H68" s="541"/>
      <c r="I68" s="543"/>
      <c r="J68" s="545"/>
      <c r="K68" s="534"/>
      <c r="L68" s="534"/>
      <c r="M68" s="534"/>
      <c r="N68" s="534"/>
      <c r="O68" s="534"/>
      <c r="P68" s="534"/>
      <c r="Q68" s="534"/>
      <c r="R68" s="534"/>
      <c r="S68" s="534"/>
      <c r="T68" s="534"/>
    </row>
    <row r="69" spans="1:20" s="533" customFormat="1">
      <c r="A69" s="527"/>
      <c r="B69" s="462" t="s">
        <v>357</v>
      </c>
      <c r="C69" s="544">
        <v>66</v>
      </c>
      <c r="D69" s="143"/>
      <c r="E69" s="143"/>
      <c r="F69" s="143"/>
      <c r="G69" s="143"/>
      <c r="H69" s="541"/>
      <c r="I69" s="543"/>
      <c r="J69" s="545"/>
      <c r="K69" s="534"/>
      <c r="L69" s="534"/>
      <c r="M69" s="534"/>
      <c r="N69" s="534"/>
      <c r="O69" s="534"/>
      <c r="P69" s="534"/>
      <c r="Q69" s="534"/>
      <c r="R69" s="534"/>
      <c r="S69" s="534"/>
      <c r="T69" s="534"/>
    </row>
    <row r="70" spans="1:20" s="533" customFormat="1">
      <c r="A70" s="527"/>
      <c r="B70" s="462" t="s">
        <v>357</v>
      </c>
      <c r="C70" s="544">
        <v>67</v>
      </c>
      <c r="D70" s="143"/>
      <c r="E70" s="143"/>
      <c r="F70" s="143"/>
      <c r="G70" s="143"/>
      <c r="H70" s="541"/>
      <c r="I70" s="543"/>
      <c r="J70" s="545"/>
      <c r="K70" s="534"/>
      <c r="L70" s="534"/>
      <c r="M70" s="534"/>
      <c r="N70" s="534"/>
      <c r="O70" s="534"/>
      <c r="P70" s="534"/>
      <c r="Q70" s="534"/>
      <c r="R70" s="534"/>
      <c r="S70" s="534"/>
      <c r="T70" s="534"/>
    </row>
    <row r="71" spans="1:20" s="533" customFormat="1">
      <c r="A71" s="527"/>
      <c r="B71" s="462" t="s">
        <v>357</v>
      </c>
      <c r="C71" s="544">
        <v>68</v>
      </c>
      <c r="D71" s="143"/>
      <c r="E71" s="143"/>
      <c r="F71" s="143"/>
      <c r="G71" s="143"/>
      <c r="H71" s="261"/>
      <c r="I71" s="542"/>
      <c r="J71" s="545"/>
      <c r="K71" s="534"/>
      <c r="L71" s="534"/>
      <c r="M71" s="534"/>
      <c r="N71" s="534"/>
      <c r="O71" s="534"/>
      <c r="P71" s="534"/>
      <c r="Q71" s="534"/>
      <c r="R71" s="534"/>
      <c r="S71" s="534"/>
      <c r="T71" s="534"/>
    </row>
    <row r="72" spans="1:20" s="533" customFormat="1">
      <c r="A72" s="527"/>
      <c r="B72" s="462" t="s">
        <v>357</v>
      </c>
      <c r="C72" s="544">
        <v>69</v>
      </c>
      <c r="D72" s="143"/>
      <c r="E72" s="143"/>
      <c r="F72" s="143"/>
      <c r="G72" s="143"/>
      <c r="H72" s="261"/>
      <c r="I72" s="529"/>
      <c r="J72" s="545"/>
      <c r="K72" s="534"/>
      <c r="L72" s="534"/>
      <c r="M72" s="534"/>
      <c r="N72" s="534"/>
      <c r="O72" s="534"/>
      <c r="P72" s="534"/>
      <c r="Q72" s="534"/>
      <c r="R72" s="534"/>
      <c r="S72" s="534"/>
      <c r="T72" s="534"/>
    </row>
    <row r="73" spans="1:20" s="533" customFormat="1">
      <c r="A73" s="527"/>
      <c r="B73" s="462" t="s">
        <v>357</v>
      </c>
      <c r="C73" s="544">
        <v>70</v>
      </c>
      <c r="D73" s="143"/>
      <c r="E73" s="143"/>
      <c r="F73" s="143"/>
      <c r="G73" s="143"/>
      <c r="H73" s="261"/>
      <c r="I73" s="542"/>
      <c r="J73" s="545"/>
      <c r="K73" s="534"/>
      <c r="L73" s="534"/>
      <c r="M73" s="534"/>
      <c r="N73" s="534"/>
      <c r="O73" s="534"/>
      <c r="P73" s="534"/>
      <c r="Q73" s="534"/>
      <c r="R73" s="534"/>
      <c r="S73" s="534"/>
      <c r="T73" s="534"/>
    </row>
    <row r="74" spans="1:20" s="533" customFormat="1">
      <c r="A74" s="527"/>
      <c r="B74" s="462" t="s">
        <v>357</v>
      </c>
      <c r="C74" s="544">
        <v>71</v>
      </c>
      <c r="D74" s="143"/>
      <c r="E74" s="143"/>
      <c r="F74" s="143"/>
      <c r="G74" s="143"/>
      <c r="H74" s="261"/>
      <c r="I74" s="542"/>
      <c r="J74" s="545"/>
      <c r="K74" s="534"/>
      <c r="L74" s="534"/>
      <c r="M74" s="534"/>
      <c r="N74" s="534"/>
      <c r="O74" s="534"/>
      <c r="P74" s="534"/>
      <c r="Q74" s="534"/>
      <c r="R74" s="534"/>
      <c r="S74" s="534"/>
      <c r="T74" s="534"/>
    </row>
    <row r="75" spans="1:20" s="533" customFormat="1">
      <c r="A75" s="527"/>
      <c r="B75" s="462" t="s">
        <v>357</v>
      </c>
      <c r="C75" s="544">
        <v>72</v>
      </c>
      <c r="D75" s="143"/>
      <c r="E75" s="143"/>
      <c r="F75" s="143"/>
      <c r="G75" s="143"/>
      <c r="H75" s="261"/>
      <c r="I75" s="542"/>
      <c r="J75" s="545"/>
      <c r="K75" s="534"/>
      <c r="L75" s="534"/>
      <c r="M75" s="534"/>
      <c r="N75" s="534"/>
      <c r="O75" s="534"/>
      <c r="P75" s="534"/>
      <c r="Q75" s="534"/>
      <c r="R75" s="534"/>
      <c r="S75" s="534"/>
      <c r="T75" s="534"/>
    </row>
    <row r="76" spans="1:20" s="533" customFormat="1">
      <c r="A76" s="527"/>
      <c r="B76" s="462" t="s">
        <v>357</v>
      </c>
      <c r="C76" s="544">
        <v>73</v>
      </c>
      <c r="D76" s="143"/>
      <c r="E76" s="143"/>
      <c r="F76" s="143"/>
      <c r="G76" s="143"/>
      <c r="H76" s="261"/>
      <c r="I76" s="542"/>
      <c r="J76" s="545"/>
      <c r="K76" s="534"/>
      <c r="L76" s="534"/>
      <c r="M76" s="534"/>
      <c r="N76" s="534"/>
      <c r="O76" s="534"/>
      <c r="P76" s="534"/>
      <c r="Q76" s="534"/>
      <c r="R76" s="534"/>
      <c r="S76" s="534"/>
      <c r="T76" s="534"/>
    </row>
    <row r="77" spans="1:20" s="533" customFormat="1">
      <c r="A77" s="527"/>
      <c r="B77" s="462" t="s">
        <v>357</v>
      </c>
      <c r="C77" s="544">
        <v>74</v>
      </c>
      <c r="D77" s="143"/>
      <c r="E77" s="143"/>
      <c r="F77" s="143"/>
      <c r="G77" s="143"/>
      <c r="H77" s="541"/>
      <c r="I77" s="529"/>
      <c r="J77" s="545"/>
      <c r="K77" s="534"/>
      <c r="L77" s="534"/>
      <c r="M77" s="534"/>
      <c r="N77" s="534"/>
      <c r="O77" s="534"/>
      <c r="P77" s="534"/>
      <c r="Q77" s="534"/>
      <c r="R77" s="534"/>
      <c r="S77" s="534"/>
      <c r="T77" s="534"/>
    </row>
    <row r="78" spans="1:20" s="533" customFormat="1">
      <c r="A78" s="527"/>
      <c r="B78" s="462" t="s">
        <v>357</v>
      </c>
      <c r="C78" s="544">
        <v>75</v>
      </c>
      <c r="D78" s="143"/>
      <c r="E78" s="143"/>
      <c r="F78" s="143"/>
      <c r="G78" s="143"/>
      <c r="H78" s="261"/>
      <c r="I78" s="542"/>
      <c r="J78" s="545"/>
      <c r="K78" s="534"/>
      <c r="L78" s="534"/>
      <c r="M78" s="534"/>
      <c r="N78" s="534"/>
      <c r="O78" s="534"/>
      <c r="P78" s="534"/>
      <c r="Q78" s="534"/>
      <c r="R78" s="534"/>
      <c r="S78" s="534"/>
      <c r="T78" s="534"/>
    </row>
    <row r="79" spans="1:20" s="533" customFormat="1">
      <c r="A79" s="527"/>
      <c r="B79" s="462" t="s">
        <v>357</v>
      </c>
      <c r="C79" s="544">
        <v>76</v>
      </c>
      <c r="D79" s="143"/>
      <c r="E79" s="143"/>
      <c r="F79" s="143"/>
      <c r="G79" s="143"/>
      <c r="H79" s="261"/>
      <c r="I79" s="542"/>
      <c r="J79" s="545"/>
      <c r="K79" s="534"/>
      <c r="L79" s="534"/>
      <c r="M79" s="534"/>
      <c r="N79" s="534"/>
      <c r="O79" s="534"/>
      <c r="P79" s="534"/>
      <c r="Q79" s="534"/>
      <c r="R79" s="534"/>
      <c r="S79" s="534"/>
      <c r="T79" s="534"/>
    </row>
    <row r="80" spans="1:20" s="533" customFormat="1">
      <c r="A80" s="527"/>
      <c r="B80" s="462" t="s">
        <v>357</v>
      </c>
      <c r="C80" s="544">
        <v>77</v>
      </c>
      <c r="D80" s="143"/>
      <c r="E80" s="143"/>
      <c r="F80" s="143"/>
      <c r="G80" s="143"/>
      <c r="H80" s="261"/>
      <c r="I80" s="542"/>
      <c r="J80" s="545"/>
      <c r="K80" s="534"/>
      <c r="L80" s="534"/>
      <c r="M80" s="534"/>
      <c r="N80" s="534"/>
      <c r="O80" s="534"/>
      <c r="P80" s="534"/>
      <c r="Q80" s="534"/>
      <c r="R80" s="534"/>
      <c r="S80" s="534"/>
      <c r="T80" s="534"/>
    </row>
    <row r="81" spans="1:20" s="533" customFormat="1">
      <c r="A81" s="527"/>
      <c r="B81" s="462" t="s">
        <v>357</v>
      </c>
      <c r="C81" s="544">
        <v>78</v>
      </c>
      <c r="D81" s="143"/>
      <c r="E81" s="143"/>
      <c r="F81" s="143"/>
      <c r="G81" s="143"/>
      <c r="H81" s="261"/>
      <c r="I81" s="542"/>
      <c r="J81" s="545"/>
      <c r="K81" s="534"/>
      <c r="L81" s="534"/>
      <c r="M81" s="534"/>
      <c r="N81" s="534"/>
      <c r="O81" s="534"/>
      <c r="P81" s="534"/>
      <c r="Q81" s="534"/>
      <c r="R81" s="534"/>
      <c r="S81" s="534"/>
      <c r="T81" s="534"/>
    </row>
    <row r="82" spans="1:20" s="533" customFormat="1">
      <c r="A82" s="527"/>
      <c r="B82" s="462" t="s">
        <v>357</v>
      </c>
      <c r="C82" s="544">
        <v>79</v>
      </c>
      <c r="D82" s="143"/>
      <c r="E82" s="143"/>
      <c r="F82" s="143"/>
      <c r="G82" s="143"/>
      <c r="H82" s="261"/>
      <c r="I82" s="542"/>
      <c r="J82" s="545"/>
      <c r="K82" s="534"/>
      <c r="L82" s="534"/>
      <c r="M82" s="534"/>
      <c r="N82" s="534"/>
      <c r="O82" s="534"/>
      <c r="P82" s="534"/>
      <c r="Q82" s="534"/>
      <c r="R82" s="534"/>
      <c r="S82" s="534"/>
      <c r="T82" s="534"/>
    </row>
    <row r="83" spans="1:20" s="533" customFormat="1">
      <c r="A83" s="527"/>
      <c r="B83" s="462" t="s">
        <v>357</v>
      </c>
      <c r="C83" s="544">
        <v>80</v>
      </c>
      <c r="D83" s="143"/>
      <c r="E83" s="143"/>
      <c r="F83" s="143"/>
      <c r="G83" s="143"/>
      <c r="H83" s="261"/>
      <c r="I83" s="542"/>
      <c r="J83" s="545"/>
      <c r="K83" s="534"/>
      <c r="L83" s="534"/>
      <c r="M83" s="534"/>
      <c r="N83" s="534"/>
      <c r="O83" s="534"/>
      <c r="P83" s="534"/>
      <c r="Q83" s="534"/>
      <c r="R83" s="534"/>
      <c r="S83" s="534"/>
      <c r="T83" s="534"/>
    </row>
    <row r="84" spans="1:20" s="533" customFormat="1">
      <c r="A84" s="527"/>
      <c r="B84" s="462" t="s">
        <v>357</v>
      </c>
      <c r="C84" s="544">
        <v>81</v>
      </c>
      <c r="D84" s="143"/>
      <c r="E84" s="143"/>
      <c r="F84" s="143"/>
      <c r="G84" s="143"/>
      <c r="H84" s="261"/>
      <c r="I84" s="542"/>
      <c r="J84" s="545"/>
      <c r="K84" s="534"/>
      <c r="L84" s="534"/>
      <c r="M84" s="534"/>
      <c r="N84" s="534"/>
      <c r="O84" s="534"/>
      <c r="P84" s="534"/>
      <c r="Q84" s="534"/>
      <c r="R84" s="534"/>
      <c r="S84" s="534"/>
      <c r="T84" s="534"/>
    </row>
    <row r="85" spans="1:20" s="533" customFormat="1">
      <c r="A85" s="527"/>
      <c r="B85" s="462" t="s">
        <v>357</v>
      </c>
      <c r="C85" s="544">
        <v>82</v>
      </c>
      <c r="D85" s="143"/>
      <c r="E85" s="143"/>
      <c r="F85" s="143"/>
      <c r="G85" s="143"/>
      <c r="H85" s="261"/>
      <c r="I85" s="542"/>
      <c r="J85" s="545"/>
      <c r="K85" s="534"/>
      <c r="L85" s="534"/>
      <c r="M85" s="534"/>
      <c r="N85" s="534"/>
      <c r="O85" s="534"/>
      <c r="P85" s="534"/>
      <c r="Q85" s="534"/>
      <c r="R85" s="534"/>
      <c r="S85" s="534"/>
      <c r="T85" s="534"/>
    </row>
    <row r="86" spans="1:20" s="533" customFormat="1">
      <c r="A86" s="527"/>
      <c r="B86" s="462" t="s">
        <v>357</v>
      </c>
      <c r="C86" s="544">
        <v>83</v>
      </c>
      <c r="D86" s="143"/>
      <c r="E86" s="143"/>
      <c r="F86" s="143"/>
      <c r="G86" s="143"/>
      <c r="H86" s="261"/>
      <c r="I86" s="542"/>
      <c r="J86" s="545"/>
      <c r="K86" s="534"/>
      <c r="L86" s="534"/>
      <c r="M86" s="534"/>
      <c r="N86" s="534"/>
      <c r="O86" s="534"/>
      <c r="P86" s="534"/>
      <c r="Q86" s="534"/>
      <c r="R86" s="534"/>
      <c r="S86" s="534"/>
      <c r="T86" s="534"/>
    </row>
    <row r="87" spans="1:20" s="533" customFormat="1">
      <c r="A87" s="527"/>
      <c r="B87" s="462" t="s">
        <v>357</v>
      </c>
      <c r="C87" s="544">
        <v>84</v>
      </c>
      <c r="D87" s="143"/>
      <c r="E87" s="143"/>
      <c r="F87" s="143"/>
      <c r="G87" s="143"/>
      <c r="H87" s="261"/>
      <c r="I87" s="542"/>
      <c r="J87" s="545"/>
      <c r="K87" s="534"/>
      <c r="L87" s="534"/>
      <c r="M87" s="534"/>
      <c r="N87" s="534"/>
      <c r="O87" s="534"/>
      <c r="P87" s="534"/>
      <c r="Q87" s="534"/>
      <c r="R87" s="534"/>
      <c r="S87" s="534"/>
      <c r="T87" s="534"/>
    </row>
    <row r="88" spans="1:20" s="533" customFormat="1">
      <c r="A88" s="527"/>
      <c r="B88" s="462" t="s">
        <v>357</v>
      </c>
      <c r="C88" s="544">
        <v>85</v>
      </c>
      <c r="D88" s="143"/>
      <c r="E88" s="143"/>
      <c r="F88" s="143"/>
      <c r="G88" s="143"/>
      <c r="H88" s="261"/>
      <c r="I88" s="542"/>
      <c r="J88" s="545"/>
      <c r="K88" s="534"/>
      <c r="L88" s="534"/>
      <c r="M88" s="534"/>
      <c r="N88" s="534"/>
      <c r="O88" s="534"/>
      <c r="P88" s="534"/>
      <c r="Q88" s="534"/>
      <c r="R88" s="534"/>
      <c r="S88" s="534"/>
      <c r="T88" s="534"/>
    </row>
    <row r="89" spans="1:20" s="533" customFormat="1">
      <c r="A89" s="527"/>
      <c r="B89" s="462" t="s">
        <v>357</v>
      </c>
      <c r="C89" s="544">
        <v>86</v>
      </c>
      <c r="D89" s="143"/>
      <c r="E89" s="143"/>
      <c r="F89" s="143"/>
      <c r="G89" s="143"/>
      <c r="H89" s="261"/>
      <c r="I89" s="542"/>
      <c r="J89" s="545"/>
      <c r="K89" s="534"/>
      <c r="L89" s="534"/>
      <c r="M89" s="534"/>
      <c r="N89" s="534"/>
      <c r="O89" s="534"/>
      <c r="P89" s="534"/>
      <c r="Q89" s="534"/>
      <c r="R89" s="534"/>
      <c r="S89" s="534"/>
      <c r="T89" s="534"/>
    </row>
    <row r="90" spans="1:20" s="533" customFormat="1">
      <c r="A90" s="527"/>
      <c r="B90" s="462" t="s">
        <v>357</v>
      </c>
      <c r="C90" s="544">
        <v>87</v>
      </c>
      <c r="D90" s="143"/>
      <c r="E90" s="143"/>
      <c r="F90" s="143"/>
      <c r="G90" s="143"/>
      <c r="H90" s="261"/>
      <c r="I90" s="542"/>
      <c r="J90" s="545"/>
      <c r="K90" s="534"/>
      <c r="L90" s="534"/>
      <c r="M90" s="534"/>
      <c r="N90" s="534"/>
      <c r="O90" s="534"/>
      <c r="P90" s="534"/>
      <c r="Q90" s="534"/>
      <c r="R90" s="534"/>
      <c r="S90" s="534"/>
      <c r="T90" s="534"/>
    </row>
    <row r="91" spans="1:20" s="533" customFormat="1">
      <c r="A91" s="527"/>
      <c r="B91" s="462" t="s">
        <v>357</v>
      </c>
      <c r="C91" s="544">
        <v>88</v>
      </c>
      <c r="D91" s="143"/>
      <c r="E91" s="143"/>
      <c r="F91" s="143"/>
      <c r="G91" s="143"/>
      <c r="H91" s="546"/>
      <c r="I91" s="547"/>
      <c r="J91" s="545"/>
      <c r="K91" s="534"/>
      <c r="L91" s="534"/>
      <c r="M91" s="534"/>
      <c r="N91" s="534"/>
      <c r="O91" s="534"/>
      <c r="P91" s="534"/>
      <c r="Q91" s="534"/>
      <c r="R91" s="534"/>
      <c r="S91" s="534"/>
      <c r="T91" s="534"/>
    </row>
    <row r="92" spans="1:20" s="533" customFormat="1">
      <c r="A92" s="527"/>
      <c r="B92" s="462" t="s">
        <v>357</v>
      </c>
      <c r="C92" s="544">
        <v>89</v>
      </c>
      <c r="D92" s="143"/>
      <c r="E92" s="143"/>
      <c r="F92" s="143"/>
      <c r="G92" s="143"/>
      <c r="H92" s="546"/>
      <c r="I92" s="548"/>
      <c r="J92" s="545"/>
      <c r="K92" s="534"/>
      <c r="L92" s="534"/>
      <c r="M92" s="534"/>
      <c r="N92" s="534"/>
      <c r="O92" s="534"/>
      <c r="P92" s="534"/>
      <c r="Q92" s="534"/>
      <c r="R92" s="534"/>
      <c r="S92" s="534"/>
      <c r="T92" s="534"/>
    </row>
    <row r="93" spans="1:20" s="533" customFormat="1">
      <c r="A93" s="527"/>
      <c r="B93" s="462" t="s">
        <v>357</v>
      </c>
      <c r="C93" s="544">
        <v>90</v>
      </c>
      <c r="D93" s="143"/>
      <c r="E93" s="143"/>
      <c r="F93" s="143"/>
      <c r="G93" s="143"/>
      <c r="H93" s="546"/>
      <c r="I93" s="548"/>
      <c r="J93" s="545"/>
      <c r="K93" s="534"/>
      <c r="L93" s="534"/>
      <c r="M93" s="534"/>
      <c r="N93" s="534"/>
      <c r="O93" s="534"/>
      <c r="P93" s="534"/>
      <c r="Q93" s="534"/>
      <c r="R93" s="534"/>
      <c r="S93" s="534"/>
      <c r="T93" s="534"/>
    </row>
    <row r="94" spans="1:20" s="533" customFormat="1">
      <c r="A94" s="527"/>
      <c r="B94" s="462" t="s">
        <v>357</v>
      </c>
      <c r="C94" s="544">
        <v>91</v>
      </c>
      <c r="D94" s="143"/>
      <c r="E94" s="143"/>
      <c r="F94" s="143"/>
      <c r="G94" s="143"/>
      <c r="H94" s="546"/>
      <c r="I94" s="548"/>
      <c r="J94" s="545"/>
      <c r="K94" s="534"/>
      <c r="L94" s="534"/>
      <c r="M94" s="534"/>
      <c r="N94" s="534"/>
      <c r="O94" s="534"/>
      <c r="P94" s="534"/>
      <c r="Q94" s="534"/>
      <c r="R94" s="534"/>
      <c r="S94" s="534"/>
      <c r="T94" s="534"/>
    </row>
    <row r="95" spans="1:20" s="533" customFormat="1">
      <c r="A95" s="527"/>
      <c r="B95" s="462" t="s">
        <v>357</v>
      </c>
      <c r="C95" s="544">
        <v>92</v>
      </c>
      <c r="D95" s="143"/>
      <c r="E95" s="143"/>
      <c r="F95" s="143"/>
      <c r="G95" s="143"/>
      <c r="H95" s="546"/>
      <c r="I95" s="547"/>
      <c r="J95" s="545"/>
      <c r="K95" s="534"/>
      <c r="L95" s="534"/>
      <c r="M95" s="534"/>
      <c r="N95" s="534"/>
      <c r="O95" s="534"/>
      <c r="P95" s="534"/>
      <c r="Q95" s="534"/>
      <c r="R95" s="534"/>
      <c r="S95" s="534"/>
      <c r="T95" s="534"/>
    </row>
    <row r="96" spans="1:20" s="533" customFormat="1">
      <c r="A96" s="527"/>
      <c r="B96" s="462" t="s">
        <v>357</v>
      </c>
      <c r="C96" s="544">
        <v>93</v>
      </c>
      <c r="D96" s="143"/>
      <c r="E96" s="143"/>
      <c r="F96" s="143"/>
      <c r="G96" s="143"/>
      <c r="H96" s="546"/>
      <c r="I96" s="547"/>
      <c r="J96" s="545"/>
      <c r="K96" s="534"/>
      <c r="L96" s="534"/>
      <c r="M96" s="534"/>
      <c r="N96" s="534"/>
      <c r="O96" s="534"/>
      <c r="P96" s="534"/>
      <c r="Q96" s="534"/>
      <c r="R96" s="534"/>
      <c r="S96" s="534"/>
      <c r="T96" s="534"/>
    </row>
    <row r="97" spans="1:20" s="533" customFormat="1">
      <c r="A97" s="527"/>
      <c r="B97" s="462" t="s">
        <v>357</v>
      </c>
      <c r="C97" s="544">
        <v>94</v>
      </c>
      <c r="D97" s="143"/>
      <c r="E97" s="143"/>
      <c r="F97" s="143"/>
      <c r="G97" s="143"/>
      <c r="H97" s="546"/>
      <c r="I97" s="547"/>
      <c r="J97" s="545"/>
      <c r="K97" s="534"/>
      <c r="L97" s="534"/>
      <c r="M97" s="534"/>
      <c r="N97" s="534"/>
      <c r="O97" s="534"/>
      <c r="P97" s="534"/>
      <c r="Q97" s="534"/>
      <c r="R97" s="534"/>
      <c r="S97" s="534"/>
      <c r="T97" s="534"/>
    </row>
    <row r="98" spans="1:20" s="533" customFormat="1">
      <c r="A98" s="527"/>
      <c r="B98" s="462" t="s">
        <v>357</v>
      </c>
      <c r="C98" s="544">
        <v>95</v>
      </c>
      <c r="D98" s="143"/>
      <c r="E98" s="143"/>
      <c r="F98" s="143"/>
      <c r="G98" s="143"/>
      <c r="H98" s="546"/>
      <c r="I98" s="547"/>
      <c r="J98" s="545"/>
      <c r="K98" s="534"/>
      <c r="L98" s="534"/>
      <c r="M98" s="534"/>
      <c r="N98" s="534"/>
      <c r="O98" s="534"/>
      <c r="P98" s="534"/>
      <c r="Q98" s="534"/>
      <c r="R98" s="534"/>
      <c r="S98" s="534"/>
      <c r="T98" s="534"/>
    </row>
    <row r="99" spans="1:20" s="533" customFormat="1">
      <c r="A99" s="527"/>
      <c r="B99" s="462" t="s">
        <v>357</v>
      </c>
      <c r="C99" s="544">
        <v>96</v>
      </c>
      <c r="D99" s="143"/>
      <c r="E99" s="143"/>
      <c r="F99" s="143"/>
      <c r="G99" s="143"/>
      <c r="H99" s="546"/>
      <c r="I99" s="547"/>
      <c r="J99" s="545"/>
      <c r="K99" s="534"/>
      <c r="L99" s="534"/>
      <c r="M99" s="534"/>
      <c r="N99" s="534"/>
      <c r="O99" s="534"/>
      <c r="P99" s="534"/>
      <c r="Q99" s="534"/>
      <c r="R99" s="534"/>
      <c r="S99" s="534"/>
      <c r="T99" s="534"/>
    </row>
    <row r="100" spans="1:20" s="533" customFormat="1">
      <c r="A100" s="527"/>
      <c r="B100" s="462" t="s">
        <v>357</v>
      </c>
      <c r="C100" s="544">
        <v>97</v>
      </c>
      <c r="D100" s="143"/>
      <c r="E100" s="143"/>
      <c r="F100" s="143"/>
      <c r="G100" s="143"/>
      <c r="H100" s="546"/>
      <c r="I100" s="547"/>
      <c r="J100" s="545"/>
      <c r="K100" s="534"/>
      <c r="L100" s="534"/>
      <c r="M100" s="534"/>
      <c r="N100" s="534"/>
      <c r="O100" s="534"/>
      <c r="P100" s="534"/>
      <c r="Q100" s="534"/>
      <c r="R100" s="534"/>
      <c r="S100" s="534"/>
      <c r="T100" s="534"/>
    </row>
    <row r="101" spans="1:20" s="533" customFormat="1">
      <c r="A101" s="527"/>
      <c r="B101" s="462" t="s">
        <v>357</v>
      </c>
      <c r="C101" s="544">
        <v>98</v>
      </c>
      <c r="D101" s="143"/>
      <c r="E101" s="143"/>
      <c r="F101" s="143"/>
      <c r="G101" s="143"/>
      <c r="H101" s="546"/>
      <c r="I101" s="547"/>
      <c r="J101" s="545"/>
      <c r="K101" s="534"/>
      <c r="L101" s="534"/>
      <c r="M101" s="534"/>
      <c r="N101" s="534"/>
      <c r="O101" s="534"/>
      <c r="P101" s="534"/>
      <c r="Q101" s="534"/>
      <c r="R101" s="534"/>
      <c r="S101" s="534"/>
      <c r="T101" s="534"/>
    </row>
    <row r="102" spans="1:20" s="533" customFormat="1">
      <c r="A102" s="527"/>
      <c r="B102" s="462" t="s">
        <v>357</v>
      </c>
      <c r="C102" s="544">
        <v>99</v>
      </c>
      <c r="D102" s="143"/>
      <c r="E102" s="143"/>
      <c r="F102" s="143"/>
      <c r="G102" s="143"/>
      <c r="H102" s="546"/>
      <c r="I102" s="547"/>
      <c r="J102" s="545"/>
      <c r="K102" s="534"/>
      <c r="L102" s="534"/>
      <c r="M102" s="534"/>
      <c r="N102" s="534"/>
      <c r="O102" s="534"/>
      <c r="P102" s="534"/>
      <c r="Q102" s="534"/>
      <c r="R102" s="534"/>
      <c r="S102" s="534"/>
      <c r="T102" s="534"/>
    </row>
    <row r="103" spans="1:20" s="533" customFormat="1">
      <c r="A103" s="527"/>
      <c r="B103" s="462" t="s">
        <v>357</v>
      </c>
      <c r="C103" s="544">
        <v>100</v>
      </c>
      <c r="D103" s="143"/>
      <c r="E103" s="143"/>
      <c r="F103" s="143"/>
      <c r="G103" s="143"/>
      <c r="H103" s="546"/>
      <c r="I103" s="547"/>
      <c r="J103" s="545"/>
      <c r="K103" s="534"/>
      <c r="L103" s="534"/>
      <c r="M103" s="534"/>
      <c r="N103" s="534"/>
      <c r="O103" s="534"/>
      <c r="P103" s="534"/>
      <c r="Q103" s="534"/>
      <c r="R103" s="534"/>
      <c r="S103" s="534"/>
      <c r="T103" s="534"/>
    </row>
    <row r="104" spans="1:20" s="533" customFormat="1">
      <c r="A104" s="527"/>
      <c r="B104" s="462" t="s">
        <v>357</v>
      </c>
      <c r="C104" s="544">
        <v>101</v>
      </c>
      <c r="D104" s="143"/>
      <c r="E104" s="143"/>
      <c r="F104" s="143"/>
      <c r="G104" s="143"/>
      <c r="H104" s="546"/>
      <c r="I104" s="547"/>
      <c r="J104" s="545"/>
      <c r="K104" s="534"/>
      <c r="L104" s="534"/>
      <c r="M104" s="534"/>
      <c r="N104" s="534"/>
      <c r="O104" s="534"/>
      <c r="P104" s="534"/>
      <c r="Q104" s="534"/>
      <c r="R104" s="534"/>
      <c r="S104" s="534"/>
      <c r="T104" s="534"/>
    </row>
    <row r="105" spans="1:20" s="533" customFormat="1">
      <c r="A105" s="527"/>
      <c r="B105" s="462" t="s">
        <v>357</v>
      </c>
      <c r="C105" s="544">
        <v>102</v>
      </c>
      <c r="D105" s="143"/>
      <c r="E105" s="143"/>
      <c r="F105" s="143"/>
      <c r="G105" s="143"/>
      <c r="H105" s="546"/>
      <c r="I105" s="547"/>
      <c r="J105" s="545"/>
      <c r="K105" s="534"/>
      <c r="L105" s="534"/>
      <c r="M105" s="534"/>
      <c r="N105" s="534"/>
      <c r="O105" s="534"/>
      <c r="P105" s="534"/>
      <c r="Q105" s="534"/>
      <c r="R105" s="534"/>
      <c r="S105" s="534"/>
      <c r="T105" s="534"/>
    </row>
    <row r="106" spans="1:20" s="533" customFormat="1">
      <c r="A106" s="527"/>
      <c r="B106" s="462" t="s">
        <v>357</v>
      </c>
      <c r="C106" s="544">
        <v>103</v>
      </c>
      <c r="D106" s="143"/>
      <c r="E106" s="143"/>
      <c r="F106" s="143"/>
      <c r="G106" s="143"/>
      <c r="H106" s="546"/>
      <c r="I106" s="547"/>
      <c r="J106" s="545"/>
      <c r="K106" s="534"/>
      <c r="L106" s="534"/>
      <c r="M106" s="534"/>
      <c r="N106" s="534"/>
      <c r="O106" s="534"/>
      <c r="P106" s="534"/>
      <c r="Q106" s="534"/>
      <c r="R106" s="534"/>
      <c r="S106" s="534"/>
      <c r="T106" s="534"/>
    </row>
    <row r="107" spans="1:20" s="533" customFormat="1">
      <c r="A107" s="527"/>
      <c r="B107" s="462" t="s">
        <v>357</v>
      </c>
      <c r="C107" s="544">
        <v>104</v>
      </c>
      <c r="D107" s="143"/>
      <c r="E107" s="143"/>
      <c r="F107" s="143"/>
      <c r="G107" s="143"/>
      <c r="H107" s="546"/>
      <c r="I107" s="547"/>
      <c r="J107" s="545"/>
      <c r="K107" s="534"/>
      <c r="L107" s="534"/>
      <c r="M107" s="534"/>
      <c r="N107" s="534"/>
      <c r="O107" s="534"/>
      <c r="P107" s="534"/>
      <c r="Q107" s="534"/>
      <c r="R107" s="534"/>
      <c r="S107" s="534"/>
      <c r="T107" s="534"/>
    </row>
    <row r="108" spans="1:20" s="533" customFormat="1">
      <c r="A108" s="527"/>
      <c r="B108" s="462" t="s">
        <v>357</v>
      </c>
      <c r="C108" s="544">
        <v>105</v>
      </c>
      <c r="D108" s="143"/>
      <c r="E108" s="143"/>
      <c r="F108" s="143"/>
      <c r="G108" s="143"/>
      <c r="H108" s="546"/>
      <c r="I108" s="547"/>
      <c r="J108" s="545"/>
      <c r="K108" s="534"/>
      <c r="L108" s="534"/>
      <c r="M108" s="534"/>
      <c r="N108" s="534"/>
      <c r="O108" s="534"/>
      <c r="P108" s="534"/>
      <c r="Q108" s="534"/>
      <c r="R108" s="534"/>
      <c r="S108" s="534"/>
      <c r="T108" s="534"/>
    </row>
    <row r="109" spans="1:20" s="533" customFormat="1">
      <c r="A109" s="527"/>
      <c r="B109" s="462" t="s">
        <v>357</v>
      </c>
      <c r="C109" s="544">
        <v>106</v>
      </c>
      <c r="D109" s="143"/>
      <c r="E109" s="143"/>
      <c r="F109" s="143"/>
      <c r="G109" s="143"/>
      <c r="H109" s="546"/>
      <c r="I109" s="547"/>
      <c r="J109" s="545"/>
      <c r="K109" s="534"/>
      <c r="L109" s="534"/>
      <c r="M109" s="534"/>
      <c r="N109" s="534"/>
      <c r="O109" s="534"/>
      <c r="P109" s="534"/>
      <c r="Q109" s="534"/>
      <c r="R109" s="534"/>
      <c r="S109" s="534"/>
      <c r="T109" s="534"/>
    </row>
    <row r="110" spans="1:20" s="533" customFormat="1">
      <c r="A110" s="527"/>
      <c r="B110" s="462" t="s">
        <v>357</v>
      </c>
      <c r="C110" s="544">
        <v>107</v>
      </c>
      <c r="D110" s="143"/>
      <c r="E110" s="143"/>
      <c r="F110" s="143"/>
      <c r="G110" s="143"/>
      <c r="H110" s="546"/>
      <c r="I110" s="547"/>
      <c r="J110" s="545"/>
      <c r="K110" s="534"/>
      <c r="L110" s="534"/>
      <c r="M110" s="534"/>
      <c r="N110" s="534"/>
      <c r="O110" s="534"/>
      <c r="P110" s="534"/>
      <c r="Q110" s="534"/>
      <c r="R110" s="534"/>
      <c r="S110" s="534"/>
      <c r="T110" s="534"/>
    </row>
    <row r="111" spans="1:20" s="533" customFormat="1">
      <c r="A111" s="527"/>
      <c r="B111" s="462" t="s">
        <v>357</v>
      </c>
      <c r="C111" s="544">
        <v>108</v>
      </c>
      <c r="D111" s="143"/>
      <c r="E111" s="143"/>
      <c r="F111" s="143"/>
      <c r="G111" s="143"/>
      <c r="H111" s="546"/>
      <c r="I111" s="547"/>
      <c r="J111" s="545"/>
      <c r="K111" s="534"/>
      <c r="L111" s="534"/>
      <c r="M111" s="534"/>
      <c r="N111" s="534"/>
      <c r="O111" s="534"/>
      <c r="P111" s="534"/>
      <c r="Q111" s="534"/>
      <c r="R111" s="534"/>
      <c r="S111" s="534"/>
      <c r="T111" s="534"/>
    </row>
    <row r="112" spans="1:20" s="533" customFormat="1">
      <c r="A112" s="527"/>
      <c r="B112" s="462" t="s">
        <v>357</v>
      </c>
      <c r="C112" s="544">
        <v>109</v>
      </c>
      <c r="D112" s="143"/>
      <c r="E112" s="143"/>
      <c r="F112" s="143"/>
      <c r="G112" s="143"/>
      <c r="H112" s="546"/>
      <c r="I112" s="547"/>
      <c r="J112" s="545"/>
      <c r="K112" s="534"/>
      <c r="L112" s="534"/>
      <c r="M112" s="534"/>
      <c r="N112" s="534"/>
      <c r="O112" s="534"/>
      <c r="P112" s="534"/>
      <c r="Q112" s="534"/>
      <c r="R112" s="534"/>
      <c r="S112" s="534"/>
      <c r="T112" s="534"/>
    </row>
    <row r="113" spans="1:20" s="533" customFormat="1">
      <c r="A113" s="527"/>
      <c r="B113" s="462" t="s">
        <v>357</v>
      </c>
      <c r="C113" s="544">
        <v>110</v>
      </c>
      <c r="D113" s="143"/>
      <c r="E113" s="143"/>
      <c r="F113" s="143"/>
      <c r="G113" s="549"/>
      <c r="H113" s="546"/>
      <c r="I113" s="547"/>
      <c r="J113" s="545"/>
      <c r="K113" s="534"/>
      <c r="L113" s="534"/>
      <c r="M113" s="534"/>
      <c r="N113" s="534"/>
      <c r="O113" s="534"/>
      <c r="P113" s="534"/>
      <c r="Q113" s="534"/>
      <c r="R113" s="534"/>
      <c r="S113" s="534"/>
      <c r="T113" s="534"/>
    </row>
    <row r="114" spans="1:20" s="533" customFormat="1">
      <c r="A114" s="527"/>
      <c r="B114" s="462" t="s">
        <v>357</v>
      </c>
      <c r="C114" s="544">
        <v>111</v>
      </c>
      <c r="D114" s="143"/>
      <c r="E114" s="143"/>
      <c r="F114" s="143"/>
      <c r="G114" s="549"/>
      <c r="H114" s="546"/>
      <c r="I114" s="547"/>
      <c r="J114" s="545"/>
      <c r="K114" s="534"/>
      <c r="L114" s="534"/>
      <c r="M114" s="534"/>
      <c r="N114" s="534"/>
      <c r="O114" s="534"/>
      <c r="P114" s="534"/>
      <c r="Q114" s="534"/>
      <c r="R114" s="534"/>
      <c r="S114" s="534"/>
      <c r="T114" s="534"/>
    </row>
    <row r="115" spans="1:20" s="533" customFormat="1">
      <c r="A115" s="527"/>
      <c r="B115" s="462" t="s">
        <v>357</v>
      </c>
      <c r="C115" s="544">
        <v>112</v>
      </c>
      <c r="D115" s="143"/>
      <c r="E115" s="143"/>
      <c r="F115" s="143"/>
      <c r="G115" s="549"/>
      <c r="H115" s="546"/>
      <c r="I115" s="547"/>
      <c r="J115" s="545"/>
      <c r="K115" s="534"/>
      <c r="L115" s="534"/>
      <c r="M115" s="534"/>
      <c r="N115" s="534"/>
      <c r="O115" s="534"/>
      <c r="P115" s="534"/>
      <c r="Q115" s="534"/>
      <c r="R115" s="534"/>
      <c r="S115" s="534"/>
      <c r="T115" s="534"/>
    </row>
    <row r="116" spans="1:20" s="533" customFormat="1">
      <c r="A116" s="527"/>
      <c r="B116" s="462" t="s">
        <v>357</v>
      </c>
      <c r="C116" s="544">
        <v>113</v>
      </c>
      <c r="D116" s="143"/>
      <c r="E116" s="143"/>
      <c r="F116" s="143"/>
      <c r="G116" s="549"/>
      <c r="H116" s="546"/>
      <c r="I116" s="542"/>
      <c r="J116" s="545"/>
      <c r="K116" s="534"/>
      <c r="L116" s="534"/>
      <c r="M116" s="534"/>
      <c r="N116" s="534"/>
      <c r="O116" s="534"/>
      <c r="P116" s="534"/>
      <c r="Q116" s="534"/>
      <c r="R116" s="534"/>
      <c r="S116" s="534"/>
      <c r="T116" s="534"/>
    </row>
    <row r="117" spans="1:20" s="533" customFormat="1">
      <c r="A117" s="527"/>
      <c r="B117" s="462" t="s">
        <v>357</v>
      </c>
      <c r="C117" s="544">
        <v>114</v>
      </c>
      <c r="D117" s="143"/>
      <c r="E117" s="143"/>
      <c r="F117" s="143"/>
      <c r="G117" s="549"/>
      <c r="H117" s="546"/>
      <c r="I117" s="543"/>
      <c r="J117" s="545"/>
      <c r="K117" s="534"/>
      <c r="L117" s="534"/>
      <c r="M117" s="534"/>
      <c r="N117" s="534"/>
      <c r="O117" s="534"/>
      <c r="P117" s="534"/>
      <c r="Q117" s="534"/>
      <c r="R117" s="534"/>
      <c r="S117" s="534"/>
      <c r="T117" s="534"/>
    </row>
    <row r="118" spans="1:20" s="533" customFormat="1">
      <c r="A118" s="527"/>
      <c r="B118" s="462" t="s">
        <v>357</v>
      </c>
      <c r="C118" s="544">
        <v>115</v>
      </c>
      <c r="D118" s="143"/>
      <c r="E118" s="143"/>
      <c r="F118" s="143"/>
      <c r="G118" s="143"/>
      <c r="H118" s="546"/>
      <c r="I118" s="543"/>
      <c r="J118" s="545"/>
      <c r="K118" s="534"/>
      <c r="L118" s="534"/>
      <c r="M118" s="534"/>
      <c r="N118" s="534"/>
      <c r="O118" s="534"/>
      <c r="P118" s="534"/>
      <c r="Q118" s="534"/>
      <c r="R118" s="534"/>
      <c r="S118" s="534"/>
      <c r="T118" s="534"/>
    </row>
    <row r="119" spans="1:20" s="533" customFormat="1">
      <c r="A119" s="527"/>
      <c r="B119" s="462" t="s">
        <v>357</v>
      </c>
      <c r="C119" s="544">
        <v>116</v>
      </c>
      <c r="D119" s="143"/>
      <c r="E119" s="143"/>
      <c r="F119" s="143"/>
      <c r="G119" s="143"/>
      <c r="H119" s="546"/>
      <c r="I119" s="543"/>
      <c r="J119" s="545"/>
      <c r="K119" s="534"/>
      <c r="L119" s="534"/>
      <c r="M119" s="534"/>
      <c r="N119" s="534"/>
      <c r="O119" s="534"/>
      <c r="P119" s="534"/>
      <c r="Q119" s="534"/>
      <c r="R119" s="534"/>
      <c r="S119" s="534"/>
      <c r="T119" s="534"/>
    </row>
    <row r="120" spans="1:20" s="533" customFormat="1">
      <c r="A120" s="527"/>
      <c r="B120" s="462" t="s">
        <v>357</v>
      </c>
      <c r="C120" s="544">
        <v>117</v>
      </c>
      <c r="D120" s="143"/>
      <c r="E120" s="143"/>
      <c r="F120" s="143"/>
      <c r="G120" s="143"/>
      <c r="H120" s="546"/>
      <c r="I120" s="543"/>
      <c r="J120" s="545"/>
      <c r="K120" s="534"/>
      <c r="L120" s="534"/>
      <c r="M120" s="534"/>
      <c r="N120" s="534"/>
      <c r="O120" s="534"/>
      <c r="P120" s="534"/>
      <c r="Q120" s="534"/>
      <c r="R120" s="534"/>
      <c r="S120" s="534"/>
      <c r="T120" s="534"/>
    </row>
    <row r="121" spans="1:20" s="533" customFormat="1">
      <c r="A121" s="527"/>
      <c r="B121" s="462" t="s">
        <v>357</v>
      </c>
      <c r="C121" s="544">
        <v>118</v>
      </c>
      <c r="D121" s="143"/>
      <c r="E121" s="143"/>
      <c r="F121" s="143"/>
      <c r="G121" s="143"/>
      <c r="H121" s="546"/>
      <c r="I121" s="543"/>
      <c r="J121" s="545"/>
      <c r="K121" s="534"/>
      <c r="L121" s="534"/>
      <c r="M121" s="534"/>
      <c r="N121" s="534"/>
      <c r="O121" s="534"/>
      <c r="P121" s="534"/>
      <c r="Q121" s="534"/>
      <c r="R121" s="534"/>
      <c r="S121" s="534"/>
      <c r="T121" s="534"/>
    </row>
    <row r="122" spans="1:20" s="533" customFormat="1">
      <c r="A122" s="527"/>
      <c r="B122" s="462" t="s">
        <v>357</v>
      </c>
      <c r="C122" s="544">
        <v>119</v>
      </c>
      <c r="D122" s="143"/>
      <c r="E122" s="143"/>
      <c r="F122" s="143"/>
      <c r="G122" s="143"/>
      <c r="H122" s="546"/>
      <c r="I122" s="543"/>
      <c r="J122" s="545"/>
      <c r="K122" s="534"/>
      <c r="L122" s="534"/>
      <c r="M122" s="534"/>
      <c r="N122" s="534"/>
      <c r="O122" s="534"/>
      <c r="P122" s="534"/>
      <c r="Q122" s="534"/>
      <c r="R122" s="534"/>
      <c r="S122" s="534"/>
      <c r="T122" s="534"/>
    </row>
    <row r="123" spans="1:20" s="533" customFormat="1">
      <c r="A123" s="527"/>
      <c r="B123" s="462" t="s">
        <v>357</v>
      </c>
      <c r="C123" s="544">
        <v>120</v>
      </c>
      <c r="D123" s="143"/>
      <c r="E123" s="143"/>
      <c r="F123" s="143"/>
      <c r="G123" s="143"/>
      <c r="H123" s="546"/>
      <c r="I123" s="543"/>
      <c r="J123" s="545"/>
      <c r="K123" s="534"/>
      <c r="L123" s="534"/>
      <c r="M123" s="534"/>
      <c r="N123" s="534"/>
      <c r="O123" s="534"/>
      <c r="P123" s="534"/>
      <c r="Q123" s="534"/>
      <c r="R123" s="534"/>
      <c r="S123" s="534"/>
      <c r="T123" s="534"/>
    </row>
    <row r="124" spans="1:20" s="533" customFormat="1">
      <c r="A124" s="527"/>
      <c r="B124" s="462" t="s">
        <v>357</v>
      </c>
      <c r="C124" s="544">
        <v>121</v>
      </c>
      <c r="D124" s="143"/>
      <c r="E124" s="143"/>
      <c r="F124" s="143"/>
      <c r="G124" s="143"/>
      <c r="H124" s="546"/>
      <c r="I124" s="543"/>
      <c r="J124" s="545"/>
      <c r="K124" s="534"/>
      <c r="L124" s="534"/>
      <c r="M124" s="534"/>
      <c r="N124" s="534"/>
      <c r="O124" s="534"/>
      <c r="P124" s="534"/>
      <c r="Q124" s="534"/>
      <c r="R124" s="534"/>
      <c r="S124" s="534"/>
      <c r="T124" s="534"/>
    </row>
    <row r="125" spans="1:20" s="533" customFormat="1">
      <c r="A125" s="527"/>
      <c r="B125" s="462" t="s">
        <v>357</v>
      </c>
      <c r="C125" s="544">
        <v>122</v>
      </c>
      <c r="D125" s="143"/>
      <c r="E125" s="143"/>
      <c r="F125" s="143"/>
      <c r="G125" s="143"/>
      <c r="H125" s="546"/>
      <c r="I125" s="543"/>
      <c r="J125" s="545"/>
      <c r="K125" s="534"/>
      <c r="L125" s="534"/>
      <c r="M125" s="534"/>
      <c r="N125" s="534"/>
      <c r="O125" s="534"/>
      <c r="P125" s="534"/>
      <c r="Q125" s="534"/>
      <c r="R125" s="534"/>
      <c r="S125" s="534"/>
      <c r="T125" s="534"/>
    </row>
    <row r="126" spans="1:20" s="533" customFormat="1">
      <c r="A126" s="527"/>
      <c r="B126" s="462" t="s">
        <v>357</v>
      </c>
      <c r="C126" s="544">
        <v>123</v>
      </c>
      <c r="D126" s="143"/>
      <c r="E126" s="143"/>
      <c r="F126" s="143"/>
      <c r="G126" s="143"/>
      <c r="H126" s="546"/>
      <c r="I126" s="543"/>
      <c r="J126" s="545"/>
      <c r="K126" s="534"/>
      <c r="L126" s="534"/>
      <c r="M126" s="534"/>
      <c r="N126" s="534"/>
      <c r="O126" s="534"/>
      <c r="P126" s="534"/>
      <c r="Q126" s="534"/>
      <c r="R126" s="534"/>
      <c r="S126" s="534"/>
      <c r="T126" s="534"/>
    </row>
    <row r="127" spans="1:20" s="533" customFormat="1">
      <c r="A127" s="527"/>
      <c r="B127" s="462" t="s">
        <v>357</v>
      </c>
      <c r="C127" s="544">
        <v>124</v>
      </c>
      <c r="D127" s="143"/>
      <c r="E127" s="143"/>
      <c r="F127" s="143"/>
      <c r="G127" s="143"/>
      <c r="H127" s="546"/>
      <c r="I127" s="542"/>
      <c r="J127" s="545"/>
      <c r="K127" s="534"/>
      <c r="L127" s="534"/>
      <c r="M127" s="534"/>
      <c r="N127" s="534"/>
      <c r="O127" s="534"/>
      <c r="P127" s="534"/>
      <c r="Q127" s="534"/>
      <c r="R127" s="534"/>
      <c r="S127" s="534"/>
      <c r="T127" s="534"/>
    </row>
    <row r="128" spans="1:20" s="533" customFormat="1">
      <c r="A128" s="527"/>
      <c r="B128" s="462" t="s">
        <v>357</v>
      </c>
      <c r="C128" s="544">
        <v>125</v>
      </c>
      <c r="D128" s="143"/>
      <c r="E128" s="143"/>
      <c r="F128" s="143"/>
      <c r="G128" s="143"/>
      <c r="H128" s="546"/>
      <c r="I128" s="542"/>
      <c r="J128" s="545"/>
      <c r="K128" s="534"/>
      <c r="L128" s="534"/>
      <c r="M128" s="534"/>
      <c r="N128" s="534"/>
      <c r="O128" s="534"/>
      <c r="P128" s="534"/>
      <c r="Q128" s="534"/>
      <c r="R128" s="534"/>
      <c r="S128" s="534"/>
      <c r="T128" s="534"/>
    </row>
    <row r="129" spans="1:20" s="533" customFormat="1">
      <c r="A129" s="527"/>
      <c r="B129" s="462" t="s">
        <v>357</v>
      </c>
      <c r="C129" s="544">
        <v>126</v>
      </c>
      <c r="D129" s="143"/>
      <c r="E129" s="143"/>
      <c r="F129" s="143"/>
      <c r="G129" s="143"/>
      <c r="H129" s="546"/>
      <c r="I129" s="542"/>
      <c r="J129" s="545"/>
      <c r="K129" s="534"/>
      <c r="L129" s="534"/>
      <c r="M129" s="534"/>
      <c r="N129" s="534"/>
      <c r="O129" s="534"/>
      <c r="P129" s="534"/>
      <c r="Q129" s="534"/>
      <c r="R129" s="534"/>
      <c r="S129" s="534"/>
      <c r="T129" s="534"/>
    </row>
    <row r="130" spans="1:20" s="533" customFormat="1">
      <c r="A130" s="527"/>
      <c r="B130" s="462" t="s">
        <v>357</v>
      </c>
      <c r="C130" s="544">
        <v>127</v>
      </c>
      <c r="D130" s="143"/>
      <c r="E130" s="143"/>
      <c r="F130" s="143"/>
      <c r="G130" s="143"/>
      <c r="H130" s="546"/>
      <c r="I130" s="542"/>
      <c r="J130" s="545"/>
      <c r="K130" s="534"/>
      <c r="L130" s="534"/>
      <c r="M130" s="534"/>
      <c r="N130" s="534"/>
      <c r="O130" s="534"/>
      <c r="P130" s="534"/>
      <c r="Q130" s="534"/>
      <c r="R130" s="534"/>
      <c r="S130" s="534"/>
      <c r="T130" s="534"/>
    </row>
    <row r="131" spans="1:20" s="533" customFormat="1">
      <c r="A131" s="527"/>
      <c r="B131" s="462" t="s">
        <v>357</v>
      </c>
      <c r="C131" s="544">
        <v>128</v>
      </c>
      <c r="D131" s="143"/>
      <c r="E131" s="143"/>
      <c r="F131" s="143"/>
      <c r="G131" s="143"/>
      <c r="H131" s="546"/>
      <c r="I131" s="542"/>
      <c r="J131" s="545"/>
      <c r="K131" s="534"/>
      <c r="L131" s="534"/>
      <c r="M131" s="534"/>
      <c r="N131" s="534"/>
      <c r="O131" s="534"/>
      <c r="P131" s="534"/>
      <c r="Q131" s="534"/>
      <c r="R131" s="534"/>
      <c r="S131" s="534"/>
      <c r="T131" s="534"/>
    </row>
    <row r="132" spans="1:20" s="533" customFormat="1">
      <c r="A132" s="527"/>
      <c r="B132" s="462" t="s">
        <v>357</v>
      </c>
      <c r="C132" s="544">
        <v>129</v>
      </c>
      <c r="D132" s="143"/>
      <c r="E132" s="143"/>
      <c r="F132" s="143"/>
      <c r="G132" s="143"/>
      <c r="H132" s="546"/>
      <c r="I132" s="542"/>
      <c r="J132" s="545"/>
      <c r="K132" s="534"/>
      <c r="L132" s="534"/>
      <c r="M132" s="534"/>
      <c r="N132" s="534"/>
      <c r="O132" s="534"/>
      <c r="P132" s="534"/>
      <c r="Q132" s="534"/>
      <c r="R132" s="534"/>
      <c r="S132" s="534"/>
      <c r="T132" s="534"/>
    </row>
    <row r="133" spans="1:20" s="533" customFormat="1">
      <c r="A133" s="527"/>
      <c r="B133" s="462" t="s">
        <v>357</v>
      </c>
      <c r="C133" s="544">
        <v>130</v>
      </c>
      <c r="D133" s="143"/>
      <c r="E133" s="143"/>
      <c r="F133" s="143"/>
      <c r="G133" s="143"/>
      <c r="H133" s="546"/>
      <c r="I133" s="542"/>
      <c r="J133" s="545"/>
      <c r="K133" s="534"/>
      <c r="L133" s="534"/>
      <c r="M133" s="534"/>
      <c r="N133" s="534"/>
      <c r="O133" s="534"/>
      <c r="P133" s="534"/>
      <c r="Q133" s="534"/>
      <c r="R133" s="534"/>
      <c r="S133" s="534"/>
      <c r="T133" s="534"/>
    </row>
    <row r="134" spans="1:20" s="533" customFormat="1">
      <c r="A134" s="527"/>
      <c r="B134" s="462" t="s">
        <v>357</v>
      </c>
      <c r="C134" s="544">
        <v>131</v>
      </c>
      <c r="D134" s="143"/>
      <c r="E134" s="143"/>
      <c r="F134" s="143"/>
      <c r="G134" s="143"/>
      <c r="H134" s="546"/>
      <c r="I134" s="542"/>
      <c r="J134" s="545"/>
      <c r="K134" s="534"/>
      <c r="L134" s="534"/>
      <c r="M134" s="534"/>
      <c r="N134" s="534"/>
      <c r="O134" s="534"/>
      <c r="P134" s="534"/>
      <c r="Q134" s="534"/>
      <c r="R134" s="534"/>
      <c r="S134" s="534"/>
      <c r="T134" s="534"/>
    </row>
    <row r="135" spans="1:20" s="533" customFormat="1">
      <c r="A135" s="527"/>
      <c r="B135" s="462" t="s">
        <v>357</v>
      </c>
      <c r="C135" s="544">
        <v>132</v>
      </c>
      <c r="D135" s="143"/>
      <c r="E135" s="143"/>
      <c r="F135" s="143"/>
      <c r="G135" s="143"/>
      <c r="H135" s="546"/>
      <c r="I135" s="542"/>
      <c r="J135" s="545"/>
      <c r="K135" s="534"/>
      <c r="L135" s="534"/>
      <c r="M135" s="534"/>
      <c r="N135" s="534"/>
      <c r="O135" s="534"/>
      <c r="P135" s="534"/>
      <c r="Q135" s="534"/>
      <c r="R135" s="534"/>
      <c r="S135" s="534"/>
      <c r="T135" s="534"/>
    </row>
    <row r="136" spans="1:20" s="533" customFormat="1">
      <c r="A136" s="527"/>
      <c r="B136" s="462" t="s">
        <v>357</v>
      </c>
      <c r="C136" s="544">
        <v>133</v>
      </c>
      <c r="D136" s="143"/>
      <c r="E136" s="143"/>
      <c r="F136" s="143"/>
      <c r="G136" s="143"/>
      <c r="H136" s="546"/>
      <c r="I136" s="542"/>
      <c r="J136" s="545"/>
      <c r="K136" s="534"/>
      <c r="L136" s="534"/>
      <c r="M136" s="534"/>
      <c r="N136" s="534"/>
      <c r="O136" s="534"/>
      <c r="P136" s="534"/>
      <c r="Q136" s="534"/>
      <c r="R136" s="534"/>
      <c r="S136" s="534"/>
      <c r="T136" s="534"/>
    </row>
    <row r="137" spans="1:20" s="533" customFormat="1">
      <c r="A137" s="527"/>
      <c r="B137" s="462" t="s">
        <v>357</v>
      </c>
      <c r="C137" s="544">
        <v>134</v>
      </c>
      <c r="D137" s="143"/>
      <c r="E137" s="143"/>
      <c r="F137" s="143"/>
      <c r="G137" s="143"/>
      <c r="H137" s="546"/>
      <c r="I137" s="542"/>
      <c r="J137" s="545"/>
      <c r="K137" s="534"/>
      <c r="L137" s="534"/>
      <c r="M137" s="534"/>
      <c r="N137" s="534"/>
      <c r="O137" s="534"/>
      <c r="P137" s="534"/>
      <c r="Q137" s="534"/>
      <c r="R137" s="534"/>
      <c r="S137" s="534"/>
      <c r="T137" s="534"/>
    </row>
    <row r="138" spans="1:20" s="533" customFormat="1">
      <c r="A138" s="527"/>
      <c r="B138" s="462" t="s">
        <v>357</v>
      </c>
      <c r="C138" s="544">
        <v>135</v>
      </c>
      <c r="D138" s="143"/>
      <c r="E138" s="143"/>
      <c r="F138" s="143"/>
      <c r="G138" s="143"/>
      <c r="H138" s="546"/>
      <c r="I138" s="542"/>
      <c r="J138" s="545"/>
      <c r="K138" s="534"/>
      <c r="L138" s="534"/>
      <c r="M138" s="534"/>
      <c r="N138" s="534"/>
      <c r="O138" s="534"/>
      <c r="P138" s="534"/>
      <c r="Q138" s="534"/>
      <c r="R138" s="534"/>
      <c r="S138" s="534"/>
      <c r="T138" s="534"/>
    </row>
    <row r="139" spans="1:20" s="533" customFormat="1">
      <c r="A139" s="527"/>
      <c r="B139" s="462" t="s">
        <v>357</v>
      </c>
      <c r="C139" s="544">
        <v>136</v>
      </c>
      <c r="D139" s="143"/>
      <c r="E139" s="143"/>
      <c r="F139" s="143"/>
      <c r="G139" s="143"/>
      <c r="H139" s="546"/>
      <c r="I139" s="542"/>
      <c r="J139" s="545"/>
      <c r="K139" s="534"/>
      <c r="L139" s="534"/>
      <c r="M139" s="534"/>
      <c r="N139" s="534"/>
      <c r="O139" s="534"/>
      <c r="P139" s="534"/>
      <c r="Q139" s="534"/>
      <c r="R139" s="534"/>
      <c r="S139" s="534"/>
      <c r="T139" s="534"/>
    </row>
    <row r="140" spans="1:20" s="533" customFormat="1">
      <c r="A140" s="527"/>
      <c r="B140" s="462" t="s">
        <v>357</v>
      </c>
      <c r="C140" s="544">
        <v>137</v>
      </c>
      <c r="D140" s="143"/>
      <c r="E140" s="143"/>
      <c r="F140" s="143"/>
      <c r="G140" s="143"/>
      <c r="H140" s="546"/>
      <c r="I140" s="542"/>
      <c r="J140" s="545"/>
      <c r="K140" s="534"/>
      <c r="L140" s="534"/>
      <c r="M140" s="534"/>
      <c r="N140" s="534"/>
      <c r="O140" s="534"/>
      <c r="P140" s="534"/>
      <c r="Q140" s="534"/>
      <c r="R140" s="534"/>
      <c r="S140" s="534"/>
      <c r="T140" s="534"/>
    </row>
    <row r="141" spans="1:20" s="533" customFormat="1">
      <c r="A141" s="527"/>
      <c r="B141" s="462" t="s">
        <v>357</v>
      </c>
      <c r="C141" s="544">
        <v>138</v>
      </c>
      <c r="D141" s="143"/>
      <c r="E141" s="143"/>
      <c r="F141" s="143"/>
      <c r="G141" s="143"/>
      <c r="H141" s="546"/>
      <c r="I141" s="542"/>
      <c r="J141" s="545"/>
      <c r="K141" s="534"/>
      <c r="L141" s="534"/>
      <c r="M141" s="534"/>
      <c r="N141" s="534"/>
      <c r="O141" s="534"/>
      <c r="P141" s="534"/>
      <c r="Q141" s="534"/>
      <c r="R141" s="534"/>
      <c r="S141" s="534"/>
      <c r="T141" s="534"/>
    </row>
    <row r="142" spans="1:20" s="533" customFormat="1">
      <c r="A142" s="527"/>
      <c r="B142" s="462" t="s">
        <v>357</v>
      </c>
      <c r="C142" s="544">
        <v>139</v>
      </c>
      <c r="D142" s="143"/>
      <c r="E142" s="143"/>
      <c r="F142" s="143"/>
      <c r="G142" s="143"/>
      <c r="H142" s="546"/>
      <c r="I142" s="542"/>
      <c r="J142" s="545"/>
      <c r="K142" s="534"/>
      <c r="L142" s="534"/>
      <c r="M142" s="534"/>
      <c r="N142" s="534"/>
      <c r="O142" s="534"/>
      <c r="P142" s="534"/>
      <c r="Q142" s="534"/>
      <c r="R142" s="534"/>
      <c r="S142" s="534"/>
      <c r="T142" s="534"/>
    </row>
    <row r="143" spans="1:20" s="533" customFormat="1">
      <c r="A143" s="527"/>
      <c r="B143" s="462" t="s">
        <v>357</v>
      </c>
      <c r="C143" s="544">
        <v>140</v>
      </c>
      <c r="D143" s="143"/>
      <c r="E143" s="143"/>
      <c r="F143" s="143"/>
      <c r="G143" s="143"/>
      <c r="H143" s="546"/>
      <c r="I143" s="542"/>
      <c r="J143" s="545"/>
      <c r="K143" s="534"/>
      <c r="L143" s="534"/>
      <c r="M143" s="534"/>
      <c r="N143" s="534"/>
      <c r="O143" s="534"/>
      <c r="P143" s="534"/>
      <c r="Q143" s="534"/>
      <c r="R143" s="534"/>
      <c r="S143" s="534"/>
      <c r="T143" s="534"/>
    </row>
    <row r="144" spans="1:20" s="533" customFormat="1">
      <c r="A144" s="527"/>
      <c r="B144" s="462" t="s">
        <v>357</v>
      </c>
      <c r="C144" s="544">
        <v>141</v>
      </c>
      <c r="D144" s="143"/>
      <c r="E144" s="143"/>
      <c r="F144" s="143"/>
      <c r="G144" s="143"/>
      <c r="H144" s="546"/>
      <c r="I144" s="542"/>
      <c r="J144" s="545"/>
      <c r="K144" s="534"/>
      <c r="L144" s="534"/>
      <c r="M144" s="534"/>
      <c r="N144" s="534"/>
      <c r="O144" s="534"/>
      <c r="P144" s="534"/>
      <c r="Q144" s="534"/>
      <c r="R144" s="534"/>
      <c r="S144" s="534"/>
      <c r="T144" s="534"/>
    </row>
    <row r="145" spans="1:20" s="533" customFormat="1">
      <c r="A145" s="527"/>
      <c r="B145" s="462" t="s">
        <v>357</v>
      </c>
      <c r="C145" s="544">
        <v>142</v>
      </c>
      <c r="D145" s="143"/>
      <c r="E145" s="143"/>
      <c r="F145" s="143"/>
      <c r="G145" s="143"/>
      <c r="H145" s="546"/>
      <c r="I145" s="542"/>
      <c r="J145" s="545"/>
      <c r="K145" s="534"/>
      <c r="L145" s="534"/>
      <c r="M145" s="534"/>
      <c r="N145" s="534"/>
      <c r="O145" s="534"/>
      <c r="P145" s="534"/>
      <c r="Q145" s="534"/>
      <c r="R145" s="534"/>
      <c r="S145" s="534"/>
      <c r="T145" s="534"/>
    </row>
    <row r="146" spans="1:20" s="533" customFormat="1">
      <c r="A146" s="527"/>
      <c r="B146" s="462" t="s">
        <v>357</v>
      </c>
      <c r="C146" s="544">
        <v>143</v>
      </c>
      <c r="D146" s="143"/>
      <c r="E146" s="143"/>
      <c r="F146" s="143"/>
      <c r="G146" s="143"/>
      <c r="H146" s="546"/>
      <c r="I146" s="542"/>
      <c r="J146" s="545"/>
      <c r="K146" s="534"/>
      <c r="L146" s="534"/>
      <c r="M146" s="534"/>
      <c r="N146" s="534"/>
      <c r="O146" s="534"/>
      <c r="P146" s="534"/>
      <c r="Q146" s="534"/>
      <c r="R146" s="534"/>
      <c r="S146" s="534"/>
      <c r="T146" s="534"/>
    </row>
    <row r="147" spans="1:20" s="533" customFormat="1">
      <c r="A147" s="527"/>
      <c r="B147" s="462" t="s">
        <v>357</v>
      </c>
      <c r="C147" s="544">
        <v>144</v>
      </c>
      <c r="D147" s="143"/>
      <c r="E147" s="143"/>
      <c r="F147" s="143"/>
      <c r="G147" s="143"/>
      <c r="H147" s="546"/>
      <c r="I147" s="547"/>
      <c r="J147" s="545"/>
      <c r="K147" s="534"/>
      <c r="L147" s="534"/>
      <c r="M147" s="534"/>
      <c r="N147" s="534"/>
      <c r="O147" s="534"/>
      <c r="P147" s="534"/>
      <c r="Q147" s="534"/>
      <c r="R147" s="534"/>
      <c r="S147" s="534"/>
      <c r="T147" s="534"/>
    </row>
    <row r="148" spans="1:20" s="533" customFormat="1">
      <c r="A148" s="527"/>
      <c r="B148" s="462" t="s">
        <v>357</v>
      </c>
      <c r="C148" s="544">
        <v>145</v>
      </c>
      <c r="D148" s="143"/>
      <c r="E148" s="143"/>
      <c r="F148" s="143"/>
      <c r="G148" s="549"/>
      <c r="H148" s="546"/>
      <c r="I148" s="547"/>
      <c r="J148" s="545"/>
      <c r="K148" s="534"/>
      <c r="L148" s="534"/>
      <c r="M148" s="534"/>
      <c r="N148" s="534"/>
      <c r="O148" s="534"/>
      <c r="P148" s="534"/>
      <c r="Q148" s="534"/>
      <c r="R148" s="534"/>
      <c r="S148" s="534"/>
      <c r="T148" s="534"/>
    </row>
    <row r="149" spans="1:20" s="533" customFormat="1">
      <c r="A149" s="527"/>
      <c r="B149" s="462" t="s">
        <v>357</v>
      </c>
      <c r="C149" s="544">
        <v>146</v>
      </c>
      <c r="D149" s="143"/>
      <c r="E149" s="143"/>
      <c r="F149" s="143"/>
      <c r="G149" s="549"/>
      <c r="H149" s="546"/>
      <c r="I149" s="547"/>
      <c r="J149" s="545"/>
      <c r="K149" s="534"/>
      <c r="L149" s="534"/>
      <c r="M149" s="534"/>
      <c r="N149" s="534"/>
      <c r="O149" s="534"/>
      <c r="P149" s="534"/>
      <c r="Q149" s="534"/>
      <c r="R149" s="534"/>
      <c r="S149" s="534"/>
      <c r="T149" s="534"/>
    </row>
    <row r="150" spans="1:20" s="533" customFormat="1">
      <c r="A150" s="527"/>
      <c r="B150" s="462" t="s">
        <v>357</v>
      </c>
      <c r="C150" s="544">
        <v>147</v>
      </c>
      <c r="D150" s="143"/>
      <c r="E150" s="143"/>
      <c r="F150" s="143"/>
      <c r="G150" s="549"/>
      <c r="H150" s="546"/>
      <c r="I150" s="547"/>
      <c r="J150" s="545"/>
      <c r="K150" s="534"/>
      <c r="L150" s="534"/>
      <c r="M150" s="534"/>
      <c r="N150" s="534"/>
      <c r="O150" s="534"/>
      <c r="P150" s="534"/>
      <c r="Q150" s="534"/>
      <c r="R150" s="534"/>
      <c r="S150" s="534"/>
      <c r="T150" s="534"/>
    </row>
    <row r="151" spans="1:20" s="533" customFormat="1">
      <c r="A151" s="527"/>
      <c r="B151" s="462" t="s">
        <v>357</v>
      </c>
      <c r="C151" s="544">
        <v>148</v>
      </c>
      <c r="D151" s="143"/>
      <c r="E151" s="143"/>
      <c r="F151" s="143"/>
      <c r="G151" s="549"/>
      <c r="H151" s="546"/>
      <c r="I151" s="547"/>
      <c r="J151" s="545"/>
      <c r="K151" s="534"/>
      <c r="L151" s="534"/>
      <c r="M151" s="534"/>
      <c r="N151" s="534"/>
      <c r="O151" s="534"/>
      <c r="P151" s="534"/>
      <c r="Q151" s="534"/>
      <c r="R151" s="534"/>
      <c r="S151" s="534"/>
      <c r="T151" s="534"/>
    </row>
    <row r="152" spans="1:20" s="533" customFormat="1">
      <c r="A152" s="527"/>
      <c r="B152" s="462" t="s">
        <v>357</v>
      </c>
      <c r="C152" s="544">
        <v>149</v>
      </c>
      <c r="D152" s="143"/>
      <c r="E152" s="143"/>
      <c r="F152" s="143"/>
      <c r="G152" s="549"/>
      <c r="H152" s="546"/>
      <c r="I152" s="547"/>
      <c r="J152" s="545"/>
      <c r="K152" s="534"/>
      <c r="L152" s="534"/>
      <c r="M152" s="534"/>
      <c r="N152" s="534"/>
      <c r="O152" s="534"/>
      <c r="P152" s="534"/>
      <c r="Q152" s="534"/>
      <c r="R152" s="534"/>
      <c r="S152" s="534"/>
      <c r="T152" s="534"/>
    </row>
    <row r="153" spans="1:20" s="533" customFormat="1">
      <c r="A153" s="527"/>
      <c r="B153" s="462" t="s">
        <v>357</v>
      </c>
      <c r="C153" s="544">
        <v>150</v>
      </c>
      <c r="D153" s="143"/>
      <c r="E153" s="143"/>
      <c r="F153" s="143"/>
      <c r="G153" s="549"/>
      <c r="H153" s="546"/>
      <c r="I153" s="547"/>
      <c r="J153" s="545"/>
      <c r="K153" s="534"/>
      <c r="L153" s="534"/>
      <c r="M153" s="534"/>
      <c r="N153" s="534"/>
      <c r="O153" s="534"/>
      <c r="P153" s="534"/>
      <c r="Q153" s="534"/>
      <c r="R153" s="534"/>
      <c r="S153" s="534"/>
      <c r="T153" s="534"/>
    </row>
    <row r="154" spans="1:20" s="533" customFormat="1">
      <c r="A154" s="527"/>
      <c r="B154" s="462" t="s">
        <v>357</v>
      </c>
      <c r="C154" s="544">
        <v>151</v>
      </c>
      <c r="D154" s="143"/>
      <c r="E154" s="143"/>
      <c r="F154" s="143"/>
      <c r="G154" s="549"/>
      <c r="H154" s="546"/>
      <c r="I154" s="547"/>
      <c r="J154" s="545"/>
      <c r="K154" s="534"/>
      <c r="L154" s="534"/>
      <c r="M154" s="534"/>
      <c r="N154" s="534"/>
      <c r="O154" s="534"/>
      <c r="P154" s="534"/>
      <c r="Q154" s="534"/>
      <c r="R154" s="534"/>
      <c r="S154" s="534"/>
      <c r="T154" s="534"/>
    </row>
    <row r="155" spans="1:20" s="533" customFormat="1">
      <c r="A155" s="527"/>
      <c r="B155" s="462" t="s">
        <v>357</v>
      </c>
      <c r="C155" s="544">
        <v>152</v>
      </c>
      <c r="D155" s="143"/>
      <c r="E155" s="143"/>
      <c r="F155" s="143"/>
      <c r="G155" s="549"/>
      <c r="H155" s="546"/>
      <c r="I155" s="547"/>
      <c r="J155" s="545"/>
      <c r="K155" s="534"/>
      <c r="L155" s="534"/>
      <c r="M155" s="534"/>
      <c r="N155" s="534"/>
      <c r="O155" s="534"/>
      <c r="P155" s="534"/>
      <c r="Q155" s="534"/>
      <c r="R155" s="534"/>
      <c r="S155" s="534"/>
      <c r="T155" s="534"/>
    </row>
    <row r="156" spans="1:20" s="533" customFormat="1">
      <c r="A156" s="527"/>
      <c r="B156" s="462" t="s">
        <v>357</v>
      </c>
      <c r="C156" s="544">
        <v>153</v>
      </c>
      <c r="D156" s="143"/>
      <c r="E156" s="143"/>
      <c r="F156" s="143"/>
      <c r="G156" s="549"/>
      <c r="H156" s="546"/>
      <c r="I156" s="547"/>
      <c r="J156" s="545"/>
      <c r="K156" s="534"/>
      <c r="L156" s="534"/>
      <c r="M156" s="534"/>
      <c r="N156" s="534"/>
      <c r="O156" s="534"/>
      <c r="P156" s="534"/>
      <c r="Q156" s="534"/>
      <c r="R156" s="534"/>
      <c r="S156" s="534"/>
      <c r="T156" s="534"/>
    </row>
    <row r="157" spans="1:20" s="533" customFormat="1">
      <c r="A157" s="527"/>
      <c r="B157" s="462" t="s">
        <v>357</v>
      </c>
      <c r="C157" s="544">
        <v>154</v>
      </c>
      <c r="D157" s="143"/>
      <c r="E157" s="143"/>
      <c r="F157" s="143"/>
      <c r="G157" s="549"/>
      <c r="H157" s="546"/>
      <c r="I157" s="547"/>
      <c r="J157" s="545"/>
      <c r="K157" s="534"/>
      <c r="L157" s="534"/>
      <c r="M157" s="534"/>
      <c r="N157" s="534"/>
      <c r="O157" s="534"/>
      <c r="P157" s="534"/>
      <c r="Q157" s="534"/>
      <c r="R157" s="534"/>
      <c r="S157" s="534"/>
      <c r="T157" s="534"/>
    </row>
    <row r="158" spans="1:20" s="533" customFormat="1">
      <c r="A158" s="527"/>
      <c r="B158" s="462" t="s">
        <v>357</v>
      </c>
      <c r="C158" s="544">
        <v>155</v>
      </c>
      <c r="D158" s="143"/>
      <c r="E158" s="143"/>
      <c r="F158" s="143"/>
      <c r="G158" s="549"/>
      <c r="H158" s="546"/>
      <c r="I158" s="547"/>
      <c r="J158" s="545"/>
      <c r="K158" s="534"/>
      <c r="L158" s="534"/>
      <c r="M158" s="534"/>
      <c r="N158" s="534"/>
      <c r="O158" s="534"/>
      <c r="P158" s="534"/>
      <c r="Q158" s="534"/>
      <c r="R158" s="534"/>
      <c r="S158" s="534"/>
      <c r="T158" s="534"/>
    </row>
    <row r="159" spans="1:20" s="533" customFormat="1">
      <c r="A159" s="527"/>
      <c r="B159" s="462" t="s">
        <v>357</v>
      </c>
      <c r="C159" s="544">
        <v>156</v>
      </c>
      <c r="D159" s="143"/>
      <c r="E159" s="143"/>
      <c r="F159" s="143"/>
      <c r="G159" s="549"/>
      <c r="H159" s="546"/>
      <c r="I159" s="547"/>
      <c r="J159" s="545"/>
      <c r="K159" s="534"/>
      <c r="L159" s="534"/>
      <c r="M159" s="534"/>
      <c r="N159" s="534"/>
      <c r="O159" s="534"/>
      <c r="P159" s="534"/>
      <c r="Q159" s="534"/>
      <c r="R159" s="534"/>
      <c r="S159" s="534"/>
      <c r="T159" s="534"/>
    </row>
    <row r="160" spans="1:20" s="533" customFormat="1">
      <c r="A160" s="527"/>
      <c r="B160" s="462" t="s">
        <v>357</v>
      </c>
      <c r="C160" s="544">
        <v>157</v>
      </c>
      <c r="D160" s="143"/>
      <c r="E160" s="143"/>
      <c r="F160" s="143"/>
      <c r="G160" s="549"/>
      <c r="H160" s="546"/>
      <c r="I160" s="547"/>
      <c r="J160" s="545"/>
      <c r="K160" s="534"/>
      <c r="L160" s="534"/>
      <c r="M160" s="534"/>
      <c r="N160" s="534"/>
      <c r="O160" s="534"/>
      <c r="P160" s="534"/>
      <c r="Q160" s="534"/>
      <c r="R160" s="534"/>
      <c r="S160" s="534"/>
      <c r="T160" s="534"/>
    </row>
    <row r="161" spans="1:20" s="533" customFormat="1">
      <c r="A161" s="527"/>
      <c r="B161" s="462" t="s">
        <v>357</v>
      </c>
      <c r="C161" s="544">
        <v>158</v>
      </c>
      <c r="D161" s="143"/>
      <c r="E161" s="143"/>
      <c r="F161" s="143"/>
      <c r="G161" s="549"/>
      <c r="H161" s="546"/>
      <c r="I161" s="547"/>
      <c r="J161" s="545"/>
      <c r="K161" s="534"/>
      <c r="L161" s="534"/>
      <c r="M161" s="534"/>
      <c r="N161" s="534"/>
      <c r="O161" s="534"/>
      <c r="P161" s="534"/>
      <c r="Q161" s="534"/>
      <c r="R161" s="534"/>
      <c r="S161" s="534"/>
      <c r="T161" s="534"/>
    </row>
    <row r="162" spans="1:20" s="533" customFormat="1">
      <c r="A162" s="527"/>
      <c r="B162" s="462" t="s">
        <v>357</v>
      </c>
      <c r="C162" s="544">
        <v>159</v>
      </c>
      <c r="D162" s="143"/>
      <c r="E162" s="143"/>
      <c r="F162" s="143"/>
      <c r="G162" s="549"/>
      <c r="H162" s="546"/>
      <c r="I162" s="547"/>
      <c r="J162" s="545"/>
      <c r="K162" s="534"/>
      <c r="L162" s="534"/>
      <c r="M162" s="534"/>
      <c r="N162" s="534"/>
      <c r="O162" s="534"/>
      <c r="P162" s="534"/>
      <c r="Q162" s="534"/>
      <c r="R162" s="534"/>
      <c r="S162" s="534"/>
      <c r="T162" s="534"/>
    </row>
    <row r="163" spans="1:20" s="533" customFormat="1">
      <c r="A163" s="527"/>
      <c r="B163" s="462" t="s">
        <v>357</v>
      </c>
      <c r="C163" s="544">
        <v>160</v>
      </c>
      <c r="D163" s="143"/>
      <c r="E163" s="143"/>
      <c r="F163" s="143"/>
      <c r="G163" s="549"/>
      <c r="H163" s="546"/>
      <c r="I163" s="547"/>
      <c r="J163" s="545"/>
      <c r="K163" s="534"/>
      <c r="L163" s="534"/>
      <c r="M163" s="534"/>
      <c r="N163" s="534"/>
      <c r="O163" s="534"/>
      <c r="P163" s="534"/>
      <c r="Q163" s="534"/>
      <c r="R163" s="534"/>
      <c r="S163" s="534"/>
      <c r="T163" s="534"/>
    </row>
    <row r="164" spans="1:20" ht="13.5" thickBot="1">
      <c r="A164" s="483"/>
      <c r="B164" s="484"/>
      <c r="C164" s="485" t="s">
        <v>195</v>
      </c>
      <c r="D164" s="484"/>
      <c r="E164" s="484"/>
      <c r="F164" s="484"/>
      <c r="G164" s="486"/>
      <c r="H164" s="488"/>
      <c r="I164" s="550"/>
      <c r="J164" s="490"/>
    </row>
    <row r="165" spans="1:20" ht="13.5" thickBot="1"/>
    <row r="166" spans="1:20">
      <c r="A166" s="493"/>
      <c r="B166" s="494"/>
      <c r="C166" s="495"/>
      <c r="D166" s="496"/>
      <c r="E166" s="496"/>
      <c r="F166" s="496"/>
      <c r="G166" s="496"/>
      <c r="H166" s="496"/>
      <c r="I166" s="496"/>
      <c r="J166" s="497"/>
    </row>
    <row r="167" spans="1:20" ht="13.5" thickBot="1">
      <c r="A167" s="498"/>
      <c r="B167" s="499"/>
      <c r="C167" s="500"/>
      <c r="D167" s="501"/>
      <c r="E167" s="501"/>
      <c r="F167" s="501"/>
      <c r="G167" s="501"/>
      <c r="H167" s="501"/>
      <c r="I167" s="501"/>
      <c r="J167" s="502"/>
    </row>
    <row r="177" spans="11:20">
      <c r="K177" s="503"/>
      <c r="L177" s="503"/>
      <c r="M177" s="503"/>
      <c r="N177" s="503"/>
      <c r="O177" s="503"/>
      <c r="P177" s="503"/>
      <c r="Q177" s="503"/>
      <c r="R177" s="503"/>
      <c r="S177" s="503"/>
      <c r="T177" s="503"/>
    </row>
    <row r="178" spans="11:20">
      <c r="K178" s="504"/>
      <c r="L178" s="504"/>
      <c r="M178" s="504"/>
      <c r="N178" s="504"/>
      <c r="O178" s="504"/>
      <c r="P178" s="504"/>
      <c r="Q178" s="504"/>
      <c r="R178" s="504"/>
      <c r="S178" s="504"/>
      <c r="T178" s="504"/>
    </row>
    <row r="180" spans="11:20">
      <c r="K180" s="505"/>
      <c r="L180" s="505"/>
      <c r="M180" s="505"/>
      <c r="N180" s="505"/>
      <c r="O180" s="505"/>
      <c r="P180" s="505"/>
      <c r="Q180" s="505"/>
      <c r="R180" s="505"/>
      <c r="S180" s="505"/>
      <c r="T180" s="505"/>
    </row>
    <row r="181" spans="11:20">
      <c r="K181" s="506"/>
      <c r="L181" s="506"/>
      <c r="M181" s="506"/>
      <c r="N181" s="506"/>
      <c r="O181" s="506"/>
      <c r="P181" s="506"/>
      <c r="Q181" s="506"/>
      <c r="R181" s="506"/>
      <c r="S181" s="506"/>
      <c r="T181" s="506"/>
    </row>
    <row r="182" spans="11:20">
      <c r="K182" s="506"/>
      <c r="L182" s="506"/>
      <c r="M182" s="506"/>
      <c r="N182" s="506"/>
      <c r="O182" s="506"/>
      <c r="P182" s="506"/>
      <c r="Q182" s="506"/>
      <c r="R182" s="506"/>
      <c r="S182" s="506"/>
      <c r="T182" s="506"/>
    </row>
    <row r="183" spans="11:20">
      <c r="K183" s="506"/>
      <c r="L183" s="506"/>
      <c r="M183" s="506"/>
      <c r="N183" s="506"/>
      <c r="O183" s="506"/>
      <c r="P183" s="506"/>
      <c r="Q183" s="506"/>
      <c r="R183" s="506"/>
      <c r="S183" s="506"/>
      <c r="T183" s="506"/>
    </row>
    <row r="184" spans="11:20">
      <c r="K184" s="506"/>
      <c r="L184" s="506"/>
      <c r="M184" s="506"/>
      <c r="N184" s="506"/>
      <c r="O184" s="506"/>
      <c r="P184" s="506"/>
      <c r="Q184" s="506"/>
      <c r="R184" s="506"/>
      <c r="S184" s="506"/>
      <c r="T184" s="506"/>
    </row>
    <row r="185" spans="11:20">
      <c r="K185" s="506"/>
      <c r="L185" s="506"/>
      <c r="M185" s="506"/>
      <c r="N185" s="506"/>
      <c r="O185" s="506"/>
      <c r="P185" s="506"/>
      <c r="Q185" s="506"/>
      <c r="R185" s="506"/>
      <c r="S185" s="506"/>
      <c r="T185" s="506"/>
    </row>
    <row r="186" spans="11:20">
      <c r="K186" s="506"/>
      <c r="L186" s="506"/>
      <c r="M186" s="506"/>
      <c r="N186" s="506"/>
      <c r="O186" s="506"/>
      <c r="P186" s="506"/>
      <c r="Q186" s="506"/>
      <c r="R186" s="506"/>
      <c r="S186" s="506"/>
      <c r="T186" s="506"/>
    </row>
    <row r="187" spans="11:20">
      <c r="K187" s="506"/>
      <c r="L187" s="506"/>
      <c r="M187" s="506"/>
      <c r="N187" s="506"/>
      <c r="O187" s="506"/>
      <c r="P187" s="506"/>
      <c r="Q187" s="506"/>
      <c r="R187" s="506"/>
      <c r="S187" s="506"/>
      <c r="T187" s="506"/>
    </row>
    <row r="188" spans="11:20">
      <c r="K188" s="506"/>
      <c r="L188" s="506"/>
      <c r="M188" s="506"/>
      <c r="N188" s="506"/>
      <c r="O188" s="506"/>
      <c r="P188" s="506"/>
      <c r="Q188" s="506"/>
      <c r="R188" s="506"/>
      <c r="S188" s="506"/>
      <c r="T188" s="506"/>
    </row>
    <row r="189" spans="11:20">
      <c r="K189" s="506"/>
      <c r="L189" s="506"/>
      <c r="M189" s="506"/>
      <c r="N189" s="506"/>
      <c r="O189" s="506"/>
      <c r="P189" s="506"/>
      <c r="Q189" s="506"/>
      <c r="R189" s="506"/>
      <c r="S189" s="506"/>
      <c r="T189" s="506"/>
    </row>
    <row r="190" spans="11:20">
      <c r="K190" s="506"/>
      <c r="L190" s="506"/>
      <c r="M190" s="506"/>
      <c r="N190" s="506"/>
      <c r="O190" s="506"/>
      <c r="P190" s="506"/>
      <c r="Q190" s="506"/>
      <c r="R190" s="506"/>
      <c r="S190" s="506"/>
      <c r="T190" s="506"/>
    </row>
  </sheetData>
  <autoFilter ref="A3:J164" xr:uid="{00000000-0001-0000-0300-000000000000}"/>
  <printOptions horizontalCentered="1" verticalCentered="1"/>
  <pageMargins left="0.25" right="0.25" top="0.75" bottom="0.75" header="0.3" footer="0.3"/>
  <pageSetup paperSize="8" fitToHeight="0" orientation="landscape" r:id="rId1"/>
  <headerFooter alignWithMargins="0">
    <oddHeader>&amp;C&amp;"Arial,Vet"&amp;14LINE&amp;"Arial,Standaard"
LIST Visualisation and Commands&amp;RFilename: &amp;F
Date : &amp;D&amp;L&amp;9Machine Number : 84130095
Machine Name : DSF7 Filler
CU Number : 7253
VU Number : 3620</oddHeader>
    <oddFooter>&amp;LBased on template : &amp;CVisualisationommands_CUxxxx_A4&amp;RPage &amp;P/&amp;N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04A52-D8BF-4B31-9925-6F647A225449}">
  <sheetPr codeName="Sheet17">
    <pageSetUpPr autoPageBreaks="0" fitToPage="1"/>
  </sheetPr>
  <dimension ref="A1:CA2079"/>
  <sheetViews>
    <sheetView showGridLines="0" zoomScaleNormal="100" zoomScaleSheetLayoutView="57" zoomScalePageLayoutView="70" workbookViewId="0">
      <pane xSplit="4" ySplit="3" topLeftCell="E81" activePane="bottomRight" state="frozen"/>
      <selection pane="bottomRight" activeCell="D37" sqref="D37:D52"/>
      <selection pane="bottomLeft" activeCell="G83" sqref="G83"/>
      <selection pane="topRight" activeCell="G83" sqref="G83"/>
    </sheetView>
  </sheetViews>
  <sheetFormatPr defaultColWidth="9.28515625" defaultRowHeight="12.75" outlineLevelRow="1"/>
  <cols>
    <col min="1" max="1" width="8.42578125" style="435" customWidth="1"/>
    <col min="2" max="2" width="11.28515625" style="435" customWidth="1"/>
    <col min="3" max="3" width="10.5703125" style="436" bestFit="1" customWidth="1"/>
    <col min="4" max="4" width="58.7109375" style="435" customWidth="1"/>
    <col min="5" max="5" width="10.5703125" style="435" bestFit="1" customWidth="1"/>
    <col min="6" max="6" width="25.85546875" style="435" bestFit="1" customWidth="1"/>
    <col min="7" max="7" width="31.5703125" style="435" customWidth="1"/>
    <col min="8" max="8" width="33.5703125" style="435" customWidth="1"/>
    <col min="9" max="9" width="35.7109375" style="435" customWidth="1"/>
    <col min="10" max="10" width="33.5703125" style="435" customWidth="1"/>
    <col min="11" max="11" width="18.42578125" style="435" customWidth="1"/>
    <col min="12" max="12" width="70.5703125" style="435" customWidth="1"/>
    <col min="13" max="13" width="78.7109375" style="435" customWidth="1"/>
    <col min="14" max="14" width="68.7109375" style="435" customWidth="1"/>
    <col min="15" max="15" width="49.5703125" style="435" customWidth="1"/>
    <col min="16" max="16" width="41.5703125" style="435" bestFit="1" customWidth="1"/>
    <col min="17" max="17" width="12.42578125" style="435" bestFit="1" customWidth="1"/>
    <col min="18" max="18" width="10" style="438" bestFit="1" customWidth="1"/>
    <col min="19" max="28" width="9.28515625" style="438"/>
    <col min="29" max="16384" width="9.28515625" style="435"/>
  </cols>
  <sheetData>
    <row r="1" spans="1:79" ht="23.25" customHeight="1" thickBot="1">
      <c r="D1" s="437" t="s">
        <v>358</v>
      </c>
    </row>
    <row r="2" spans="1:79" ht="25.5" customHeight="1" thickBot="1">
      <c r="D2" s="439" t="s">
        <v>359</v>
      </c>
      <c r="E2" s="440" t="s">
        <v>63</v>
      </c>
      <c r="F2" s="441"/>
    </row>
    <row r="3" spans="1:79" s="455" customFormat="1" ht="39" thickBot="1">
      <c r="A3" s="442" t="s">
        <v>64</v>
      </c>
      <c r="B3" s="443" t="s">
        <v>65</v>
      </c>
      <c r="C3" s="444" t="s">
        <v>66</v>
      </c>
      <c r="D3" s="445" t="s">
        <v>360</v>
      </c>
      <c r="E3" s="446" t="s">
        <v>68</v>
      </c>
      <c r="F3" s="447" t="s">
        <v>69</v>
      </c>
      <c r="G3" s="448" t="s">
        <v>361</v>
      </c>
      <c r="H3" s="445" t="s">
        <v>362</v>
      </c>
      <c r="I3" s="449" t="s">
        <v>363</v>
      </c>
      <c r="J3" s="449" t="s">
        <v>364</v>
      </c>
      <c r="K3" s="450" t="s">
        <v>365</v>
      </c>
      <c r="L3" s="451" t="s">
        <v>366</v>
      </c>
      <c r="M3" s="445" t="s">
        <v>367</v>
      </c>
      <c r="N3" s="452" t="s">
        <v>368</v>
      </c>
      <c r="O3" s="449" t="s">
        <v>78</v>
      </c>
      <c r="P3" s="453" t="s">
        <v>79</v>
      </c>
      <c r="Q3" s="453" t="s">
        <v>369</v>
      </c>
      <c r="R3" s="454" t="s">
        <v>82</v>
      </c>
    </row>
    <row r="4" spans="1:79" s="455" customFormat="1" ht="21" outlineLevel="1" thickBot="1">
      <c r="A4" s="584" t="s">
        <v>370</v>
      </c>
      <c r="B4" s="585"/>
      <c r="C4" s="585"/>
      <c r="D4" s="585"/>
      <c r="E4" s="585"/>
      <c r="F4" s="585"/>
      <c r="G4" s="585"/>
      <c r="H4" s="585"/>
      <c r="I4" s="585"/>
      <c r="J4" s="585"/>
      <c r="K4" s="585"/>
      <c r="L4" s="585"/>
      <c r="M4" s="585"/>
      <c r="N4" s="585"/>
      <c r="O4" s="585"/>
      <c r="P4" s="585"/>
      <c r="Q4" s="585"/>
      <c r="R4" s="586"/>
      <c r="S4" s="456"/>
      <c r="T4" s="456"/>
      <c r="U4" s="456"/>
      <c r="V4" s="456"/>
      <c r="W4" s="456"/>
      <c r="X4" s="456"/>
      <c r="Y4" s="456"/>
      <c r="Z4" s="456"/>
      <c r="AA4" s="456"/>
      <c r="AB4" s="456"/>
      <c r="AC4" s="456"/>
      <c r="AD4" s="456"/>
      <c r="AE4" s="456"/>
      <c r="AF4" s="456"/>
      <c r="AG4" s="456"/>
      <c r="AH4" s="456"/>
      <c r="AI4" s="456"/>
      <c r="AJ4" s="456"/>
      <c r="AK4" s="456"/>
      <c r="AL4" s="456"/>
      <c r="AM4" s="456"/>
      <c r="AN4" s="456"/>
      <c r="AO4" s="456"/>
      <c r="AP4" s="456"/>
      <c r="AQ4" s="456"/>
      <c r="AR4" s="456"/>
      <c r="AS4" s="456"/>
      <c r="AT4" s="456"/>
      <c r="AU4" s="456"/>
      <c r="AV4" s="456"/>
      <c r="AW4" s="456"/>
      <c r="AX4" s="456"/>
      <c r="AY4" s="456"/>
      <c r="AZ4" s="456"/>
      <c r="BA4" s="456"/>
      <c r="BB4" s="456"/>
      <c r="BC4" s="456"/>
      <c r="BD4" s="456"/>
      <c r="BE4" s="456"/>
      <c r="BF4" s="456"/>
      <c r="BG4" s="456"/>
      <c r="BH4" s="456"/>
      <c r="BI4" s="456"/>
      <c r="BJ4" s="456"/>
      <c r="BK4" s="456"/>
      <c r="BL4" s="456"/>
      <c r="BM4" s="456"/>
      <c r="BN4" s="456"/>
      <c r="BO4" s="456"/>
      <c r="BP4" s="456"/>
      <c r="BQ4" s="456"/>
      <c r="BR4" s="457"/>
    </row>
    <row r="5" spans="1:79" s="455" customFormat="1" outlineLevel="1">
      <c r="A5" s="569"/>
      <c r="B5" s="587" t="s">
        <v>15</v>
      </c>
      <c r="C5" s="589">
        <v>1</v>
      </c>
      <c r="D5" s="565" t="s">
        <v>371</v>
      </c>
      <c r="E5" s="565" t="s">
        <v>372</v>
      </c>
      <c r="F5" s="591" t="s">
        <v>373</v>
      </c>
      <c r="G5" s="592"/>
      <c r="H5" s="565" t="s">
        <v>374</v>
      </c>
      <c r="I5" s="565"/>
      <c r="J5" s="565"/>
      <c r="K5" s="458">
        <v>1</v>
      </c>
      <c r="L5" s="459"/>
      <c r="M5" s="460"/>
      <c r="N5" s="461"/>
      <c r="O5" s="462"/>
      <c r="P5" s="567" t="s">
        <v>375</v>
      </c>
      <c r="Q5" s="565"/>
      <c r="R5" s="463"/>
      <c r="S5" s="464"/>
      <c r="T5" s="465"/>
      <c r="U5" s="435" t="s">
        <v>93</v>
      </c>
      <c r="V5" s="464"/>
      <c r="W5" s="464"/>
      <c r="X5" s="464"/>
      <c r="Y5" s="438"/>
      <c r="Z5" s="438"/>
      <c r="AA5" s="438"/>
      <c r="AB5" s="438"/>
      <c r="AC5" s="435"/>
      <c r="AD5" s="435"/>
      <c r="AE5" s="435"/>
      <c r="AF5" s="435"/>
      <c r="AG5" s="435"/>
      <c r="AH5" s="435"/>
      <c r="AI5" s="435"/>
      <c r="AJ5" s="435"/>
      <c r="AK5" s="435"/>
      <c r="AL5" s="435"/>
      <c r="AM5" s="435"/>
      <c r="AN5" s="435"/>
      <c r="AO5" s="435"/>
      <c r="AP5" s="435"/>
      <c r="AQ5" s="435"/>
      <c r="AR5" s="435"/>
      <c r="AS5" s="435"/>
      <c r="AT5" s="435"/>
      <c r="AU5" s="435"/>
      <c r="AV5" s="435"/>
      <c r="AW5" s="435"/>
      <c r="AX5" s="435"/>
      <c r="AY5" s="435"/>
      <c r="AZ5" s="435"/>
      <c r="BA5" s="435"/>
      <c r="BB5" s="435"/>
      <c r="BC5" s="435"/>
      <c r="BD5" s="435"/>
      <c r="BE5" s="435"/>
      <c r="BF5" s="435"/>
      <c r="BG5" s="435"/>
      <c r="BH5" s="435"/>
      <c r="BI5" s="435"/>
      <c r="BJ5" s="435"/>
      <c r="BK5" s="435"/>
      <c r="BL5" s="435"/>
      <c r="BM5" s="435"/>
      <c r="BN5" s="435"/>
      <c r="BO5" s="435"/>
      <c r="BP5" s="435"/>
      <c r="BQ5" s="435"/>
      <c r="BR5" s="435"/>
    </row>
    <row r="6" spans="1:79" s="438" customFormat="1" outlineLevel="1">
      <c r="A6" s="569"/>
      <c r="B6" s="587"/>
      <c r="C6" s="589"/>
      <c r="D6" s="565"/>
      <c r="E6" s="565"/>
      <c r="F6" s="565"/>
      <c r="G6" s="592"/>
      <c r="H6" s="565"/>
      <c r="I6" s="565"/>
      <c r="J6" s="565"/>
      <c r="K6" s="466">
        <v>2</v>
      </c>
      <c r="L6" s="459"/>
      <c r="M6" s="460"/>
      <c r="N6" s="459"/>
      <c r="O6" s="143"/>
      <c r="P6" s="565"/>
      <c r="Q6" s="565"/>
      <c r="R6" s="467"/>
      <c r="S6" s="464"/>
      <c r="T6" s="468"/>
      <c r="U6" s="435" t="s">
        <v>100</v>
      </c>
      <c r="V6" s="464"/>
      <c r="W6" s="464"/>
      <c r="X6" s="464"/>
      <c r="AC6" s="435"/>
      <c r="AD6" s="435"/>
      <c r="AE6" s="435"/>
      <c r="AF6" s="435"/>
      <c r="AG6" s="435"/>
      <c r="AH6" s="435"/>
      <c r="AI6" s="435"/>
      <c r="AJ6" s="435"/>
      <c r="AK6" s="435"/>
      <c r="AL6" s="435"/>
      <c r="AM6" s="435"/>
      <c r="AN6" s="435"/>
      <c r="AO6" s="435"/>
      <c r="AP6" s="435"/>
      <c r="AQ6" s="435"/>
      <c r="AR6" s="435"/>
      <c r="AS6" s="435"/>
      <c r="AT6" s="435"/>
      <c r="AU6" s="435"/>
      <c r="AV6" s="435"/>
      <c r="AW6" s="435"/>
      <c r="AX6" s="435"/>
      <c r="AY6" s="435"/>
      <c r="AZ6" s="435"/>
      <c r="BA6" s="435"/>
      <c r="BB6" s="435"/>
      <c r="BC6" s="435"/>
      <c r="BD6" s="435"/>
      <c r="BE6" s="435"/>
      <c r="BF6" s="435"/>
      <c r="BG6" s="435"/>
      <c r="BH6" s="435"/>
      <c r="BI6" s="435"/>
      <c r="BJ6" s="435"/>
      <c r="BK6" s="435"/>
      <c r="BL6" s="435"/>
      <c r="BM6" s="435"/>
      <c r="BN6" s="435"/>
      <c r="BO6" s="435"/>
      <c r="BP6" s="435"/>
      <c r="BQ6" s="435"/>
      <c r="BR6" s="435"/>
      <c r="BS6" s="435"/>
      <c r="BT6" s="435"/>
      <c r="BU6" s="435"/>
      <c r="BV6" s="435"/>
      <c r="BW6" s="435"/>
      <c r="BX6" s="435"/>
      <c r="BY6" s="435"/>
      <c r="BZ6" s="435"/>
      <c r="CA6" s="435"/>
    </row>
    <row r="7" spans="1:79" s="438" customFormat="1" outlineLevel="1">
      <c r="A7" s="569"/>
      <c r="B7" s="587"/>
      <c r="C7" s="589"/>
      <c r="D7" s="565"/>
      <c r="E7" s="565"/>
      <c r="F7" s="565"/>
      <c r="G7" s="592"/>
      <c r="H7" s="565"/>
      <c r="I7" s="565"/>
      <c r="J7" s="565"/>
      <c r="K7" s="466">
        <v>3</v>
      </c>
      <c r="L7" s="459"/>
      <c r="M7" s="460"/>
      <c r="N7" s="459"/>
      <c r="O7" s="143"/>
      <c r="P7" s="565"/>
      <c r="Q7" s="565"/>
      <c r="R7" s="467"/>
      <c r="S7" s="464"/>
      <c r="T7" s="469"/>
      <c r="U7" s="435" t="s">
        <v>107</v>
      </c>
      <c r="V7" s="464"/>
      <c r="W7" s="464"/>
      <c r="X7" s="464"/>
      <c r="AC7" s="435"/>
      <c r="AD7" s="435"/>
      <c r="AE7" s="435"/>
      <c r="AF7" s="435"/>
      <c r="AG7" s="435"/>
      <c r="AH7" s="435"/>
      <c r="AI7" s="435"/>
      <c r="AJ7" s="435"/>
      <c r="AK7" s="435"/>
      <c r="AL7" s="435"/>
      <c r="AM7" s="435"/>
      <c r="AN7" s="435"/>
      <c r="AO7" s="435"/>
      <c r="AP7" s="435"/>
      <c r="AQ7" s="435"/>
      <c r="AR7" s="435"/>
      <c r="AS7" s="435"/>
      <c r="AT7" s="435"/>
      <c r="AU7" s="435"/>
      <c r="AV7" s="435"/>
      <c r="AW7" s="435"/>
      <c r="AX7" s="435"/>
      <c r="AY7" s="435"/>
      <c r="AZ7" s="435"/>
      <c r="BA7" s="435"/>
      <c r="BB7" s="435"/>
      <c r="BC7" s="435"/>
      <c r="BD7" s="435"/>
      <c r="BE7" s="435"/>
      <c r="BF7" s="435"/>
      <c r="BG7" s="435"/>
      <c r="BH7" s="435"/>
      <c r="BI7" s="435"/>
      <c r="BJ7" s="435"/>
      <c r="BK7" s="435"/>
      <c r="BL7" s="435"/>
      <c r="BM7" s="435"/>
      <c r="BN7" s="435"/>
      <c r="BO7" s="435"/>
      <c r="BP7" s="435"/>
      <c r="BQ7" s="435"/>
      <c r="BR7" s="435"/>
      <c r="BS7" s="435"/>
      <c r="BT7" s="435"/>
      <c r="BU7" s="435"/>
      <c r="BV7" s="435"/>
      <c r="BW7" s="435"/>
      <c r="BX7" s="435"/>
      <c r="BY7" s="435"/>
      <c r="BZ7" s="435"/>
      <c r="CA7" s="435"/>
    </row>
    <row r="8" spans="1:79" s="438" customFormat="1" outlineLevel="1">
      <c r="A8" s="569"/>
      <c r="B8" s="587"/>
      <c r="C8" s="589"/>
      <c r="D8" s="565"/>
      <c r="E8" s="565"/>
      <c r="F8" s="565"/>
      <c r="G8" s="592"/>
      <c r="H8" s="565"/>
      <c r="I8" s="565"/>
      <c r="J8" s="565"/>
      <c r="K8" s="466">
        <v>4</v>
      </c>
      <c r="L8" s="459"/>
      <c r="M8" s="460"/>
      <c r="N8" s="459"/>
      <c r="O8" s="143"/>
      <c r="P8" s="565"/>
      <c r="Q8" s="565"/>
      <c r="R8" s="467"/>
      <c r="S8" s="464"/>
      <c r="T8" s="464"/>
      <c r="U8" s="464"/>
      <c r="V8" s="464"/>
      <c r="W8" s="464"/>
      <c r="X8" s="464"/>
      <c r="AC8" s="435"/>
      <c r="AD8" s="435"/>
      <c r="AE8" s="435"/>
      <c r="AF8" s="435"/>
      <c r="AG8" s="435"/>
      <c r="AH8" s="435"/>
      <c r="AI8" s="435"/>
      <c r="AJ8" s="435"/>
      <c r="AK8" s="435"/>
      <c r="AL8" s="435"/>
      <c r="AM8" s="435"/>
      <c r="AN8" s="435"/>
      <c r="AO8" s="435"/>
      <c r="AP8" s="435"/>
      <c r="AQ8" s="435"/>
      <c r="AR8" s="435"/>
      <c r="AS8" s="435"/>
      <c r="AT8" s="435"/>
      <c r="AU8" s="435"/>
      <c r="AV8" s="435"/>
      <c r="AW8" s="435"/>
      <c r="AX8" s="435"/>
      <c r="AY8" s="435"/>
      <c r="AZ8" s="435"/>
      <c r="BA8" s="435"/>
      <c r="BB8" s="435"/>
      <c r="BC8" s="435"/>
      <c r="BD8" s="435"/>
      <c r="BE8" s="435"/>
      <c r="BF8" s="435"/>
      <c r="BG8" s="435"/>
      <c r="BH8" s="435"/>
      <c r="BI8" s="435"/>
      <c r="BJ8" s="435"/>
      <c r="BK8" s="435"/>
      <c r="BL8" s="435"/>
      <c r="BM8" s="435"/>
      <c r="BN8" s="435"/>
      <c r="BO8" s="435"/>
      <c r="BP8" s="435"/>
      <c r="BQ8" s="435"/>
      <c r="BR8" s="435"/>
      <c r="BS8" s="435"/>
      <c r="BT8" s="435"/>
      <c r="BU8" s="435"/>
      <c r="BV8" s="435"/>
      <c r="BW8" s="435"/>
      <c r="BX8" s="435"/>
      <c r="BY8" s="435"/>
      <c r="BZ8" s="435"/>
      <c r="CA8" s="435"/>
    </row>
    <row r="9" spans="1:79" s="438" customFormat="1" outlineLevel="1">
      <c r="A9" s="569"/>
      <c r="B9" s="587"/>
      <c r="C9" s="589"/>
      <c r="D9" s="565"/>
      <c r="E9" s="565"/>
      <c r="F9" s="565"/>
      <c r="G9" s="592"/>
      <c r="H9" s="565"/>
      <c r="I9" s="565"/>
      <c r="J9" s="565"/>
      <c r="K9" s="466">
        <v>5</v>
      </c>
      <c r="L9" s="459"/>
      <c r="M9" s="460"/>
      <c r="N9" s="459"/>
      <c r="O9" s="143"/>
      <c r="P9" s="565"/>
      <c r="Q9" s="565"/>
      <c r="R9" s="467"/>
      <c r="S9" s="464"/>
      <c r="T9" s="470"/>
      <c r="U9" s="435" t="s">
        <v>121</v>
      </c>
      <c r="V9" s="464"/>
      <c r="W9" s="464"/>
      <c r="X9" s="464"/>
      <c r="AC9" s="435"/>
      <c r="AD9" s="435"/>
      <c r="AE9" s="435"/>
      <c r="AF9" s="435"/>
      <c r="AG9" s="435"/>
      <c r="AH9" s="435"/>
      <c r="AI9" s="435"/>
      <c r="AJ9" s="435"/>
      <c r="AK9" s="435"/>
      <c r="AL9" s="435"/>
      <c r="AM9" s="435"/>
      <c r="AN9" s="435"/>
      <c r="AO9" s="435"/>
      <c r="AP9" s="435"/>
      <c r="AQ9" s="435"/>
      <c r="AR9" s="435"/>
      <c r="AS9" s="435"/>
      <c r="AT9" s="435"/>
      <c r="AU9" s="435"/>
      <c r="AV9" s="435"/>
      <c r="AW9" s="435"/>
      <c r="AX9" s="435"/>
      <c r="AY9" s="435"/>
      <c r="AZ9" s="435"/>
      <c r="BA9" s="435"/>
      <c r="BB9" s="435"/>
      <c r="BC9" s="435"/>
      <c r="BD9" s="435"/>
      <c r="BE9" s="435"/>
      <c r="BF9" s="435"/>
      <c r="BG9" s="435"/>
      <c r="BH9" s="435"/>
      <c r="BI9" s="435"/>
      <c r="BJ9" s="435"/>
      <c r="BK9" s="435"/>
      <c r="BL9" s="435"/>
      <c r="BM9" s="435"/>
      <c r="BN9" s="435"/>
      <c r="BO9" s="435"/>
      <c r="BP9" s="435"/>
      <c r="BQ9" s="435"/>
      <c r="BR9" s="435"/>
      <c r="BS9" s="435"/>
      <c r="BT9" s="435"/>
      <c r="BU9" s="435"/>
      <c r="BV9" s="435"/>
      <c r="BW9" s="435"/>
      <c r="BX9" s="435"/>
      <c r="BY9" s="435"/>
      <c r="BZ9" s="435"/>
      <c r="CA9" s="435"/>
    </row>
    <row r="10" spans="1:79" s="438" customFormat="1" outlineLevel="1">
      <c r="A10" s="569"/>
      <c r="B10" s="587"/>
      <c r="C10" s="589"/>
      <c r="D10" s="565"/>
      <c r="E10" s="565"/>
      <c r="F10" s="565"/>
      <c r="G10" s="592"/>
      <c r="H10" s="565"/>
      <c r="I10" s="565"/>
      <c r="J10" s="565"/>
      <c r="K10" s="466">
        <v>6</v>
      </c>
      <c r="L10" s="459"/>
      <c r="M10" s="460"/>
      <c r="N10" s="459"/>
      <c r="O10" s="143"/>
      <c r="P10" s="565"/>
      <c r="Q10" s="565"/>
      <c r="R10" s="467"/>
      <c r="S10" s="464"/>
      <c r="T10" s="471"/>
      <c r="U10" s="435" t="s">
        <v>129</v>
      </c>
      <c r="V10" s="464"/>
      <c r="W10" s="464"/>
      <c r="X10" s="464"/>
      <c r="AC10" s="435"/>
      <c r="AD10" s="435"/>
      <c r="AE10" s="435"/>
      <c r="AF10" s="435"/>
      <c r="AG10" s="435"/>
      <c r="AH10" s="435"/>
      <c r="AI10" s="435"/>
      <c r="AJ10" s="435"/>
      <c r="AK10" s="435"/>
      <c r="AL10" s="435"/>
      <c r="AM10" s="435"/>
      <c r="AN10" s="435"/>
      <c r="AO10" s="435"/>
      <c r="AP10" s="435"/>
      <c r="AQ10" s="435"/>
      <c r="AR10" s="435"/>
      <c r="AS10" s="435"/>
      <c r="AT10" s="435"/>
      <c r="AU10" s="435"/>
      <c r="AV10" s="435"/>
      <c r="AW10" s="435"/>
      <c r="AX10" s="435"/>
      <c r="AY10" s="435"/>
      <c r="AZ10" s="435"/>
      <c r="BA10" s="435"/>
      <c r="BB10" s="435"/>
      <c r="BC10" s="435"/>
      <c r="BD10" s="435"/>
      <c r="BE10" s="435"/>
      <c r="BF10" s="435"/>
      <c r="BG10" s="435"/>
      <c r="BH10" s="435"/>
      <c r="BI10" s="435"/>
      <c r="BJ10" s="435"/>
      <c r="BK10" s="435"/>
      <c r="BL10" s="435"/>
      <c r="BM10" s="435"/>
      <c r="BN10" s="435"/>
      <c r="BO10" s="435"/>
      <c r="BP10" s="435"/>
      <c r="BQ10" s="435"/>
      <c r="BR10" s="435"/>
      <c r="BS10" s="435"/>
      <c r="BT10" s="435"/>
      <c r="BU10" s="435"/>
      <c r="BV10" s="435"/>
      <c r="BW10" s="435"/>
      <c r="BX10" s="435"/>
      <c r="BY10" s="435"/>
      <c r="BZ10" s="435"/>
      <c r="CA10" s="435"/>
    </row>
    <row r="11" spans="1:79" s="438" customFormat="1" outlineLevel="1">
      <c r="A11" s="569"/>
      <c r="B11" s="587"/>
      <c r="C11" s="589"/>
      <c r="D11" s="565"/>
      <c r="E11" s="565"/>
      <c r="F11" s="565"/>
      <c r="G11" s="592"/>
      <c r="H11" s="565"/>
      <c r="I11" s="565"/>
      <c r="J11" s="565"/>
      <c r="K11" s="466">
        <v>7</v>
      </c>
      <c r="L11" s="459"/>
      <c r="M11" s="460"/>
      <c r="N11" s="459"/>
      <c r="O11" s="143"/>
      <c r="P11" s="565"/>
      <c r="Q11" s="565"/>
      <c r="R11" s="467"/>
      <c r="S11" s="464"/>
      <c r="T11" s="464"/>
      <c r="U11" s="464"/>
      <c r="V11" s="464"/>
      <c r="W11" s="464"/>
      <c r="X11" s="464"/>
      <c r="AC11" s="435"/>
      <c r="AD11" s="435"/>
      <c r="AE11" s="435"/>
      <c r="AF11" s="435"/>
      <c r="AG11" s="435"/>
      <c r="AH11" s="435"/>
      <c r="AI11" s="435"/>
      <c r="AJ11" s="435"/>
      <c r="AK11" s="435"/>
      <c r="AL11" s="435"/>
      <c r="AM11" s="435"/>
      <c r="AN11" s="435"/>
      <c r="AO11" s="435"/>
      <c r="AP11" s="435"/>
      <c r="AQ11" s="435"/>
      <c r="AR11" s="435"/>
      <c r="AS11" s="435"/>
      <c r="AT11" s="435"/>
      <c r="AU11" s="435"/>
      <c r="AV11" s="435"/>
      <c r="AW11" s="435"/>
      <c r="AX11" s="435"/>
      <c r="AY11" s="435"/>
      <c r="AZ11" s="435"/>
      <c r="BA11" s="435"/>
      <c r="BB11" s="435"/>
      <c r="BC11" s="435"/>
      <c r="BD11" s="435"/>
      <c r="BE11" s="435"/>
      <c r="BF11" s="435"/>
      <c r="BG11" s="435"/>
      <c r="BH11" s="435"/>
      <c r="BI11" s="435"/>
      <c r="BJ11" s="435"/>
      <c r="BK11" s="435"/>
      <c r="BL11" s="435"/>
      <c r="BM11" s="435"/>
      <c r="BN11" s="435"/>
      <c r="BO11" s="435"/>
      <c r="BP11" s="435"/>
      <c r="BQ11" s="435"/>
      <c r="BR11" s="435"/>
      <c r="BS11" s="435"/>
      <c r="BT11" s="435"/>
      <c r="BU11" s="435"/>
      <c r="BV11" s="435"/>
      <c r="BW11" s="435"/>
      <c r="BX11" s="435"/>
      <c r="BY11" s="435"/>
      <c r="BZ11" s="435"/>
      <c r="CA11" s="435"/>
    </row>
    <row r="12" spans="1:79" s="438" customFormat="1" outlineLevel="1">
      <c r="A12" s="569"/>
      <c r="B12" s="587"/>
      <c r="C12" s="589"/>
      <c r="D12" s="565"/>
      <c r="E12" s="565"/>
      <c r="F12" s="565"/>
      <c r="G12" s="592"/>
      <c r="H12" s="565"/>
      <c r="I12" s="565"/>
      <c r="J12" s="565"/>
      <c r="K12" s="466">
        <v>8</v>
      </c>
      <c r="L12" s="459"/>
      <c r="M12" s="460"/>
      <c r="N12" s="459"/>
      <c r="O12" s="143"/>
      <c r="P12" s="565"/>
      <c r="Q12" s="565"/>
      <c r="R12" s="467"/>
      <c r="S12" s="464"/>
      <c r="T12" s="464"/>
      <c r="U12" s="464"/>
      <c r="V12" s="464"/>
      <c r="W12" s="464"/>
      <c r="X12" s="464"/>
      <c r="AC12" s="435"/>
      <c r="AD12" s="435"/>
      <c r="AE12" s="435"/>
      <c r="AF12" s="435"/>
      <c r="AG12" s="435"/>
      <c r="AH12" s="435"/>
      <c r="AI12" s="435"/>
      <c r="AJ12" s="435"/>
      <c r="AK12" s="435"/>
      <c r="AL12" s="435"/>
      <c r="AM12" s="435"/>
      <c r="AN12" s="435"/>
      <c r="AO12" s="435"/>
      <c r="AP12" s="435"/>
      <c r="AQ12" s="435"/>
      <c r="AR12" s="435"/>
      <c r="AS12" s="435"/>
      <c r="AT12" s="435"/>
      <c r="AU12" s="435"/>
      <c r="AV12" s="435"/>
      <c r="AW12" s="435"/>
      <c r="AX12" s="435"/>
      <c r="AY12" s="435"/>
      <c r="AZ12" s="435"/>
      <c r="BA12" s="435"/>
      <c r="BB12" s="435"/>
      <c r="BC12" s="435"/>
      <c r="BD12" s="435"/>
      <c r="BE12" s="435"/>
      <c r="BF12" s="435"/>
      <c r="BG12" s="435"/>
      <c r="BH12" s="435"/>
      <c r="BI12" s="435"/>
      <c r="BJ12" s="435"/>
      <c r="BK12" s="435"/>
      <c r="BL12" s="435"/>
      <c r="BM12" s="435"/>
      <c r="BN12" s="435"/>
      <c r="BO12" s="435"/>
      <c r="BP12" s="435"/>
      <c r="BQ12" s="435"/>
      <c r="BR12" s="435"/>
      <c r="BS12" s="435"/>
      <c r="BT12" s="435"/>
      <c r="BU12" s="435"/>
      <c r="BV12" s="435"/>
      <c r="BW12" s="435"/>
      <c r="BX12" s="435"/>
      <c r="BY12" s="435"/>
      <c r="BZ12" s="435"/>
      <c r="CA12" s="435"/>
    </row>
    <row r="13" spans="1:79" s="438" customFormat="1" outlineLevel="1">
      <c r="A13" s="569"/>
      <c r="B13" s="587"/>
      <c r="C13" s="589"/>
      <c r="D13" s="565"/>
      <c r="E13" s="565"/>
      <c r="F13" s="565"/>
      <c r="G13" s="592"/>
      <c r="H13" s="565"/>
      <c r="I13" s="565"/>
      <c r="J13" s="565"/>
      <c r="K13" s="466">
        <v>9</v>
      </c>
      <c r="L13" s="459"/>
      <c r="M13" s="460"/>
      <c r="N13" s="459"/>
      <c r="O13" s="143"/>
      <c r="P13" s="565"/>
      <c r="Q13" s="565"/>
      <c r="R13" s="467"/>
      <c r="AC13" s="435"/>
      <c r="AD13" s="435"/>
      <c r="AE13" s="435"/>
      <c r="AF13" s="435"/>
      <c r="AG13" s="435"/>
      <c r="AH13" s="435"/>
      <c r="AI13" s="435"/>
      <c r="AJ13" s="435"/>
      <c r="AK13" s="435"/>
      <c r="AL13" s="435"/>
      <c r="AM13" s="435"/>
      <c r="AN13" s="435"/>
      <c r="AO13" s="435"/>
      <c r="AP13" s="435"/>
      <c r="AQ13" s="435"/>
      <c r="AR13" s="435"/>
      <c r="AS13" s="435"/>
      <c r="AT13" s="435"/>
      <c r="AU13" s="435"/>
      <c r="AV13" s="435"/>
      <c r="AW13" s="435"/>
      <c r="AX13" s="435"/>
      <c r="AY13" s="435"/>
      <c r="AZ13" s="435"/>
      <c r="BA13" s="435"/>
      <c r="BB13" s="435"/>
      <c r="BC13" s="435"/>
      <c r="BD13" s="435"/>
      <c r="BE13" s="435"/>
      <c r="BF13" s="435"/>
      <c r="BG13" s="435"/>
      <c r="BH13" s="435"/>
      <c r="BI13" s="435"/>
      <c r="BJ13" s="435"/>
      <c r="BK13" s="435"/>
      <c r="BL13" s="435"/>
      <c r="BM13" s="435"/>
      <c r="BN13" s="435"/>
      <c r="BO13" s="435"/>
      <c r="BP13" s="435"/>
      <c r="BQ13" s="435"/>
      <c r="BR13" s="435"/>
      <c r="BS13" s="435"/>
      <c r="BT13" s="435"/>
      <c r="BU13" s="435"/>
      <c r="BV13" s="435"/>
      <c r="BW13" s="435"/>
      <c r="BX13" s="435"/>
      <c r="BY13" s="435"/>
      <c r="BZ13" s="435"/>
      <c r="CA13" s="435"/>
    </row>
    <row r="14" spans="1:79" s="438" customFormat="1" outlineLevel="1">
      <c r="A14" s="569"/>
      <c r="B14" s="587"/>
      <c r="C14" s="589"/>
      <c r="D14" s="565"/>
      <c r="E14" s="565"/>
      <c r="F14" s="565"/>
      <c r="G14" s="592"/>
      <c r="H14" s="565"/>
      <c r="I14" s="565"/>
      <c r="J14" s="565"/>
      <c r="K14" s="466">
        <v>10</v>
      </c>
      <c r="L14" s="459"/>
      <c r="M14" s="460"/>
      <c r="N14" s="459"/>
      <c r="O14" s="143"/>
      <c r="P14" s="565"/>
      <c r="Q14" s="565"/>
      <c r="R14" s="467"/>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435"/>
      <c r="BA14" s="435"/>
      <c r="BB14" s="435"/>
      <c r="BC14" s="435"/>
      <c r="BD14" s="435"/>
      <c r="BE14" s="435"/>
      <c r="BF14" s="435"/>
      <c r="BG14" s="435"/>
      <c r="BH14" s="435"/>
      <c r="BI14" s="435"/>
      <c r="BJ14" s="435"/>
      <c r="BK14" s="435"/>
      <c r="BL14" s="435"/>
      <c r="BM14" s="435"/>
      <c r="BN14" s="435"/>
      <c r="BO14" s="435"/>
      <c r="BP14" s="435"/>
      <c r="BQ14" s="435"/>
      <c r="BR14" s="435"/>
      <c r="BS14" s="435"/>
      <c r="BT14" s="435"/>
      <c r="BU14" s="435"/>
      <c r="BV14" s="435"/>
      <c r="BW14" s="435"/>
      <c r="BX14" s="435"/>
      <c r="BY14" s="435"/>
      <c r="BZ14" s="435"/>
      <c r="CA14" s="435"/>
    </row>
    <row r="15" spans="1:79" s="438" customFormat="1" outlineLevel="1">
      <c r="A15" s="569"/>
      <c r="B15" s="587"/>
      <c r="C15" s="589"/>
      <c r="D15" s="565"/>
      <c r="E15" s="565"/>
      <c r="F15" s="565"/>
      <c r="G15" s="592"/>
      <c r="H15" s="565"/>
      <c r="I15" s="565"/>
      <c r="J15" s="565"/>
      <c r="K15" s="466">
        <v>11</v>
      </c>
      <c r="L15" s="459"/>
      <c r="M15" s="460"/>
      <c r="N15" s="459"/>
      <c r="O15" s="143"/>
      <c r="P15" s="565"/>
      <c r="Q15" s="565"/>
      <c r="R15" s="467"/>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435"/>
      <c r="BA15" s="435"/>
      <c r="BB15" s="435"/>
      <c r="BC15" s="435"/>
      <c r="BD15" s="435"/>
      <c r="BE15" s="435"/>
      <c r="BF15" s="435"/>
      <c r="BG15" s="435"/>
      <c r="BH15" s="435"/>
      <c r="BI15" s="435"/>
      <c r="BJ15" s="435"/>
      <c r="BK15" s="435"/>
      <c r="BL15" s="435"/>
      <c r="BM15" s="435"/>
      <c r="BN15" s="435"/>
      <c r="BO15" s="435"/>
      <c r="BP15" s="435"/>
      <c r="BQ15" s="435"/>
      <c r="BR15" s="435"/>
      <c r="BS15" s="435"/>
      <c r="BT15" s="435"/>
      <c r="BU15" s="435"/>
      <c r="BV15" s="435"/>
      <c r="BW15" s="435"/>
      <c r="BX15" s="435"/>
      <c r="BY15" s="435"/>
      <c r="BZ15" s="435"/>
      <c r="CA15" s="435"/>
    </row>
    <row r="16" spans="1:79" s="438" customFormat="1" outlineLevel="1">
      <c r="A16" s="569"/>
      <c r="B16" s="587"/>
      <c r="C16" s="589"/>
      <c r="D16" s="565"/>
      <c r="E16" s="565"/>
      <c r="F16" s="565"/>
      <c r="G16" s="592"/>
      <c r="H16" s="565"/>
      <c r="I16" s="565"/>
      <c r="J16" s="565"/>
      <c r="K16" s="466">
        <v>12</v>
      </c>
      <c r="L16" s="459"/>
      <c r="M16" s="460"/>
      <c r="N16" s="459"/>
      <c r="O16" s="143"/>
      <c r="P16" s="565"/>
      <c r="Q16" s="565"/>
      <c r="R16" s="467"/>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435"/>
      <c r="BA16" s="435"/>
      <c r="BB16" s="435"/>
      <c r="BC16" s="435"/>
      <c r="BD16" s="435"/>
      <c r="BE16" s="435"/>
      <c r="BF16" s="435"/>
      <c r="BG16" s="435"/>
      <c r="BH16" s="435"/>
      <c r="BI16" s="435"/>
      <c r="BJ16" s="435"/>
      <c r="BK16" s="435"/>
      <c r="BL16" s="435"/>
      <c r="BM16" s="435"/>
      <c r="BN16" s="435"/>
      <c r="BO16" s="435"/>
      <c r="BP16" s="435"/>
      <c r="BQ16" s="435"/>
      <c r="BR16" s="435"/>
      <c r="BS16" s="435"/>
      <c r="BT16" s="435"/>
      <c r="BU16" s="435"/>
      <c r="BV16" s="435"/>
      <c r="BW16" s="435"/>
      <c r="BX16" s="435"/>
      <c r="BY16" s="435"/>
      <c r="BZ16" s="435"/>
      <c r="CA16" s="435"/>
    </row>
    <row r="17" spans="1:79" s="438" customFormat="1" outlineLevel="1">
      <c r="A17" s="569"/>
      <c r="B17" s="587"/>
      <c r="C17" s="589"/>
      <c r="D17" s="565"/>
      <c r="E17" s="565"/>
      <c r="F17" s="565"/>
      <c r="G17" s="592"/>
      <c r="H17" s="565"/>
      <c r="I17" s="565"/>
      <c r="J17" s="565"/>
      <c r="K17" s="466">
        <v>13</v>
      </c>
      <c r="L17" s="459"/>
      <c r="M17" s="460"/>
      <c r="N17" s="459"/>
      <c r="O17" s="143"/>
      <c r="P17" s="565"/>
      <c r="Q17" s="565"/>
      <c r="R17" s="467"/>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435"/>
      <c r="BA17" s="435"/>
      <c r="BB17" s="435"/>
      <c r="BC17" s="435"/>
      <c r="BD17" s="435"/>
      <c r="BE17" s="435"/>
      <c r="BF17" s="435"/>
      <c r="BG17" s="435"/>
      <c r="BH17" s="435"/>
      <c r="BI17" s="435"/>
      <c r="BJ17" s="435"/>
      <c r="BK17" s="435"/>
      <c r="BL17" s="435"/>
      <c r="BM17" s="435"/>
      <c r="BN17" s="435"/>
      <c r="BO17" s="435"/>
      <c r="BP17" s="435"/>
      <c r="BQ17" s="435"/>
      <c r="BR17" s="435"/>
      <c r="BS17" s="435"/>
      <c r="BT17" s="435"/>
      <c r="BU17" s="435"/>
      <c r="BV17" s="435"/>
      <c r="BW17" s="435"/>
      <c r="BX17" s="435"/>
      <c r="BY17" s="435"/>
      <c r="BZ17" s="435"/>
      <c r="CA17" s="435"/>
    </row>
    <row r="18" spans="1:79" s="438" customFormat="1" outlineLevel="1">
      <c r="A18" s="569"/>
      <c r="B18" s="587"/>
      <c r="C18" s="589"/>
      <c r="D18" s="565"/>
      <c r="E18" s="565"/>
      <c r="F18" s="565"/>
      <c r="G18" s="592"/>
      <c r="H18" s="565"/>
      <c r="I18" s="565"/>
      <c r="J18" s="565"/>
      <c r="K18" s="466">
        <v>14</v>
      </c>
      <c r="L18" s="459"/>
      <c r="M18" s="460"/>
      <c r="N18" s="459"/>
      <c r="O18" s="143"/>
      <c r="P18" s="565"/>
      <c r="Q18" s="565"/>
      <c r="R18" s="467"/>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435"/>
      <c r="BA18" s="435"/>
      <c r="BB18" s="435"/>
      <c r="BC18" s="435"/>
      <c r="BD18" s="435"/>
      <c r="BE18" s="435"/>
      <c r="BF18" s="435"/>
      <c r="BG18" s="435"/>
      <c r="BH18" s="435"/>
      <c r="BI18" s="435"/>
      <c r="BJ18" s="435"/>
      <c r="BK18" s="435"/>
      <c r="BL18" s="435"/>
      <c r="BM18" s="435"/>
      <c r="BN18" s="435"/>
      <c r="BO18" s="435"/>
      <c r="BP18" s="435"/>
      <c r="BQ18" s="435"/>
      <c r="BR18" s="435"/>
      <c r="BS18" s="435"/>
      <c r="BT18" s="435"/>
      <c r="BU18" s="435"/>
      <c r="BV18" s="435"/>
      <c r="BW18" s="435"/>
      <c r="BX18" s="435"/>
      <c r="BY18" s="435"/>
      <c r="BZ18" s="435"/>
      <c r="CA18" s="435"/>
    </row>
    <row r="19" spans="1:79" s="438" customFormat="1" outlineLevel="1">
      <c r="A19" s="569"/>
      <c r="B19" s="587"/>
      <c r="C19" s="589"/>
      <c r="D19" s="565"/>
      <c r="E19" s="565"/>
      <c r="F19" s="565"/>
      <c r="G19" s="592"/>
      <c r="H19" s="565"/>
      <c r="I19" s="565"/>
      <c r="J19" s="565"/>
      <c r="K19" s="466">
        <v>15</v>
      </c>
      <c r="L19" s="459"/>
      <c r="M19" s="460"/>
      <c r="N19" s="459"/>
      <c r="O19" s="143"/>
      <c r="P19" s="565"/>
      <c r="Q19" s="565"/>
      <c r="R19" s="467"/>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435"/>
      <c r="BA19" s="435"/>
      <c r="BB19" s="435"/>
      <c r="BC19" s="435"/>
      <c r="BD19" s="435"/>
      <c r="BE19" s="435"/>
      <c r="BF19" s="435"/>
      <c r="BG19" s="435"/>
      <c r="BH19" s="435"/>
      <c r="BI19" s="435"/>
      <c r="BJ19" s="435"/>
      <c r="BK19" s="435"/>
      <c r="BL19" s="435"/>
      <c r="BM19" s="435"/>
      <c r="BN19" s="435"/>
      <c r="BO19" s="435"/>
      <c r="BP19" s="435"/>
      <c r="BQ19" s="435"/>
      <c r="BR19" s="435"/>
      <c r="BS19" s="435"/>
      <c r="BT19" s="435"/>
      <c r="BU19" s="435"/>
      <c r="BV19" s="435"/>
      <c r="BW19" s="435"/>
      <c r="BX19" s="435"/>
      <c r="BY19" s="435"/>
      <c r="BZ19" s="435"/>
      <c r="CA19" s="435"/>
    </row>
    <row r="20" spans="1:79" s="438" customFormat="1" outlineLevel="1">
      <c r="A20" s="570"/>
      <c r="B20" s="588"/>
      <c r="C20" s="590"/>
      <c r="D20" s="566"/>
      <c r="E20" s="566"/>
      <c r="F20" s="566"/>
      <c r="G20" s="593"/>
      <c r="H20" s="566"/>
      <c r="I20" s="566"/>
      <c r="J20" s="566"/>
      <c r="K20" s="466">
        <v>16</v>
      </c>
      <c r="L20" s="459"/>
      <c r="M20" s="460"/>
      <c r="N20" s="459"/>
      <c r="O20" s="143"/>
      <c r="P20" s="566"/>
      <c r="Q20" s="566"/>
      <c r="R20" s="467"/>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435"/>
      <c r="BA20" s="435"/>
      <c r="BB20" s="435"/>
      <c r="BC20" s="435"/>
      <c r="BD20" s="435"/>
      <c r="BE20" s="435"/>
      <c r="BF20" s="435"/>
      <c r="BG20" s="435"/>
      <c r="BH20" s="435"/>
      <c r="BI20" s="435"/>
      <c r="BJ20" s="435"/>
      <c r="BK20" s="435"/>
      <c r="BL20" s="435"/>
      <c r="BM20" s="435"/>
      <c r="BN20" s="435"/>
      <c r="BO20" s="435"/>
      <c r="BP20" s="435"/>
      <c r="BQ20" s="435"/>
      <c r="BR20" s="435"/>
      <c r="BS20" s="435"/>
      <c r="BT20" s="435"/>
      <c r="BU20" s="435"/>
      <c r="BV20" s="435"/>
      <c r="BW20" s="435"/>
      <c r="BX20" s="435"/>
      <c r="BY20" s="435"/>
      <c r="BZ20" s="435"/>
      <c r="CA20" s="435"/>
    </row>
    <row r="21" spans="1:79" s="438" customFormat="1" outlineLevel="1">
      <c r="A21" s="568"/>
      <c r="B21" s="571" t="s">
        <v>15</v>
      </c>
      <c r="C21" s="574">
        <f>C5+1</f>
        <v>2</v>
      </c>
      <c r="D21" s="577" t="s">
        <v>376</v>
      </c>
      <c r="E21" s="580" t="s">
        <v>377</v>
      </c>
      <c r="F21" s="578" t="s">
        <v>378</v>
      </c>
      <c r="G21" s="581"/>
      <c r="H21" s="577" t="s">
        <v>379</v>
      </c>
      <c r="I21" s="577"/>
      <c r="J21" s="578"/>
      <c r="K21" s="472">
        <v>1</v>
      </c>
      <c r="L21" s="473" t="s">
        <v>380</v>
      </c>
      <c r="M21" s="473" t="s">
        <v>380</v>
      </c>
      <c r="N21" s="473" t="s">
        <v>381</v>
      </c>
      <c r="O21" s="474"/>
      <c r="P21" s="567" t="s">
        <v>375</v>
      </c>
      <c r="Q21" s="594"/>
      <c r="R21" s="467"/>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435"/>
      <c r="BA21" s="435"/>
      <c r="BB21" s="435"/>
      <c r="BC21" s="435"/>
      <c r="BD21" s="435"/>
      <c r="BE21" s="435"/>
      <c r="BF21" s="435"/>
      <c r="BG21" s="435"/>
      <c r="BH21" s="435"/>
      <c r="BI21" s="435"/>
      <c r="BJ21" s="435"/>
      <c r="BK21" s="435"/>
      <c r="BL21" s="435"/>
      <c r="BM21" s="435"/>
      <c r="BN21" s="435"/>
      <c r="BO21" s="435"/>
      <c r="BP21" s="435"/>
      <c r="BQ21" s="435"/>
      <c r="BR21" s="435"/>
      <c r="BS21" s="435"/>
      <c r="BT21" s="435"/>
      <c r="BU21" s="435"/>
      <c r="BV21" s="435"/>
      <c r="BW21" s="435"/>
      <c r="BX21" s="435"/>
      <c r="BY21" s="435"/>
      <c r="BZ21" s="435"/>
      <c r="CA21" s="435"/>
    </row>
    <row r="22" spans="1:79" s="438" customFormat="1" outlineLevel="1">
      <c r="A22" s="569"/>
      <c r="B22" s="572"/>
      <c r="C22" s="575"/>
      <c r="D22" s="578"/>
      <c r="E22" s="580"/>
      <c r="F22" s="578"/>
      <c r="G22" s="582"/>
      <c r="H22" s="578"/>
      <c r="I22" s="578"/>
      <c r="J22" s="578"/>
      <c r="K22" s="475">
        <v>2</v>
      </c>
      <c r="L22" s="476"/>
      <c r="M22" s="476"/>
      <c r="N22" s="476"/>
      <c r="O22" s="474"/>
      <c r="P22" s="565"/>
      <c r="Q22" s="565"/>
      <c r="R22" s="467"/>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435"/>
      <c r="BA22" s="435"/>
      <c r="BB22" s="435"/>
      <c r="BC22" s="435"/>
      <c r="BD22" s="435"/>
      <c r="BE22" s="435"/>
      <c r="BF22" s="435"/>
      <c r="BG22" s="435"/>
      <c r="BH22" s="435"/>
      <c r="BI22" s="435"/>
      <c r="BJ22" s="435"/>
      <c r="BK22" s="435"/>
      <c r="BL22" s="435"/>
      <c r="BM22" s="435"/>
      <c r="BN22" s="435"/>
      <c r="BO22" s="435"/>
      <c r="BP22" s="435"/>
      <c r="BQ22" s="435"/>
      <c r="BR22" s="435"/>
      <c r="BS22" s="435"/>
      <c r="BT22" s="435"/>
      <c r="BU22" s="435"/>
      <c r="BV22" s="435"/>
      <c r="BW22" s="435"/>
      <c r="BX22" s="435"/>
      <c r="BY22" s="435"/>
      <c r="BZ22" s="435"/>
      <c r="CA22" s="435"/>
    </row>
    <row r="23" spans="1:79" s="438" customFormat="1" outlineLevel="1">
      <c r="A23" s="569"/>
      <c r="B23" s="572"/>
      <c r="C23" s="575"/>
      <c r="D23" s="578"/>
      <c r="E23" s="580"/>
      <c r="F23" s="578"/>
      <c r="G23" s="582"/>
      <c r="H23" s="578"/>
      <c r="I23" s="578"/>
      <c r="J23" s="578"/>
      <c r="K23" s="475">
        <v>3</v>
      </c>
      <c r="L23" s="476"/>
      <c r="M23" s="476"/>
      <c r="N23" s="476"/>
      <c r="O23" s="474"/>
      <c r="P23" s="565"/>
      <c r="Q23" s="565"/>
      <c r="R23" s="467"/>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435"/>
      <c r="BA23" s="435"/>
      <c r="BB23" s="435"/>
      <c r="BC23" s="435"/>
      <c r="BD23" s="435"/>
      <c r="BE23" s="435"/>
      <c r="BF23" s="435"/>
      <c r="BG23" s="435"/>
      <c r="BH23" s="435"/>
      <c r="BI23" s="435"/>
      <c r="BJ23" s="435"/>
      <c r="BK23" s="435"/>
      <c r="BL23" s="435"/>
      <c r="BM23" s="435"/>
      <c r="BN23" s="435"/>
      <c r="BO23" s="435"/>
      <c r="BP23" s="435"/>
      <c r="BQ23" s="435"/>
      <c r="BR23" s="435"/>
      <c r="BS23" s="435"/>
      <c r="BT23" s="435"/>
      <c r="BU23" s="435"/>
      <c r="BV23" s="435"/>
      <c r="BW23" s="435"/>
      <c r="BX23" s="435"/>
      <c r="BY23" s="435"/>
      <c r="BZ23" s="435"/>
      <c r="CA23" s="435"/>
    </row>
    <row r="24" spans="1:79" s="438" customFormat="1" outlineLevel="1">
      <c r="A24" s="569"/>
      <c r="B24" s="572"/>
      <c r="C24" s="575"/>
      <c r="D24" s="578"/>
      <c r="E24" s="580"/>
      <c r="F24" s="578"/>
      <c r="G24" s="582"/>
      <c r="H24" s="578"/>
      <c r="I24" s="578"/>
      <c r="J24" s="578"/>
      <c r="K24" s="475">
        <v>4</v>
      </c>
      <c r="L24" s="476"/>
      <c r="M24" s="476"/>
      <c r="N24" s="476"/>
      <c r="O24" s="477"/>
      <c r="P24" s="565"/>
      <c r="Q24" s="565"/>
      <c r="R24" s="467"/>
      <c r="AC24" s="435"/>
      <c r="AD24" s="435"/>
      <c r="AE24" s="435"/>
      <c r="AF24" s="435"/>
      <c r="AG24" s="435"/>
      <c r="AH24" s="435"/>
      <c r="AI24" s="435"/>
      <c r="AJ24" s="435"/>
      <c r="AK24" s="435"/>
      <c r="AL24" s="435"/>
      <c r="AM24" s="435"/>
      <c r="AN24" s="435"/>
      <c r="AO24" s="435"/>
      <c r="AP24" s="435"/>
      <c r="AQ24" s="435"/>
      <c r="AR24" s="435"/>
      <c r="AS24" s="435"/>
      <c r="AT24" s="435"/>
      <c r="AU24" s="435"/>
      <c r="AV24" s="435"/>
      <c r="AW24" s="435"/>
      <c r="AX24" s="435"/>
      <c r="AY24" s="435"/>
      <c r="AZ24" s="435"/>
      <c r="BA24" s="435"/>
      <c r="BB24" s="435"/>
      <c r="BC24" s="435"/>
      <c r="BD24" s="435"/>
      <c r="BE24" s="435"/>
      <c r="BF24" s="435"/>
      <c r="BG24" s="435"/>
      <c r="BH24" s="435"/>
      <c r="BI24" s="435"/>
      <c r="BJ24" s="435"/>
      <c r="BK24" s="435"/>
      <c r="BL24" s="435"/>
      <c r="BM24" s="435"/>
      <c r="BN24" s="435"/>
      <c r="BO24" s="435"/>
      <c r="BP24" s="435"/>
      <c r="BQ24" s="435"/>
      <c r="BR24" s="435"/>
      <c r="BS24" s="435"/>
      <c r="BT24" s="435"/>
      <c r="BU24" s="435"/>
      <c r="BV24" s="435"/>
      <c r="BW24" s="435"/>
      <c r="BX24" s="435"/>
      <c r="BY24" s="435"/>
      <c r="BZ24" s="435"/>
      <c r="CA24" s="435"/>
    </row>
    <row r="25" spans="1:79" s="438" customFormat="1" outlineLevel="1">
      <c r="A25" s="569"/>
      <c r="B25" s="572"/>
      <c r="C25" s="575"/>
      <c r="D25" s="578"/>
      <c r="E25" s="580"/>
      <c r="F25" s="578"/>
      <c r="G25" s="582"/>
      <c r="H25" s="578"/>
      <c r="I25" s="578"/>
      <c r="J25" s="578"/>
      <c r="K25" s="475">
        <v>5</v>
      </c>
      <c r="L25" s="476"/>
      <c r="M25" s="476"/>
      <c r="N25" s="476"/>
      <c r="O25" s="477"/>
      <c r="P25" s="565"/>
      <c r="Q25" s="565"/>
      <c r="R25" s="467"/>
      <c r="AC25" s="435"/>
      <c r="AD25" s="435"/>
      <c r="AE25" s="435"/>
      <c r="AF25" s="435"/>
      <c r="AG25" s="435"/>
      <c r="AH25" s="435"/>
      <c r="AI25" s="435"/>
      <c r="AJ25" s="435"/>
      <c r="AK25" s="435"/>
      <c r="AL25" s="435"/>
      <c r="AM25" s="435"/>
      <c r="AN25" s="435"/>
      <c r="AO25" s="435"/>
      <c r="AP25" s="435"/>
      <c r="AQ25" s="435"/>
      <c r="AR25" s="435"/>
      <c r="AS25" s="435"/>
      <c r="AT25" s="435"/>
      <c r="AU25" s="435"/>
      <c r="AV25" s="435"/>
      <c r="AW25" s="435"/>
      <c r="AX25" s="435"/>
      <c r="AY25" s="435"/>
      <c r="AZ25" s="435"/>
      <c r="BA25" s="435"/>
      <c r="BB25" s="435"/>
      <c r="BC25" s="435"/>
      <c r="BD25" s="435"/>
      <c r="BE25" s="435"/>
      <c r="BF25" s="435"/>
      <c r="BG25" s="435"/>
      <c r="BH25" s="435"/>
      <c r="BI25" s="435"/>
      <c r="BJ25" s="435"/>
      <c r="BK25" s="435"/>
      <c r="BL25" s="435"/>
      <c r="BM25" s="435"/>
      <c r="BN25" s="435"/>
      <c r="BO25" s="435"/>
      <c r="BP25" s="435"/>
      <c r="BQ25" s="435"/>
      <c r="BR25" s="435"/>
      <c r="BS25" s="435"/>
      <c r="BT25" s="435"/>
      <c r="BU25" s="435"/>
      <c r="BV25" s="435"/>
      <c r="BW25" s="435"/>
      <c r="BX25" s="435"/>
      <c r="BY25" s="435"/>
      <c r="BZ25" s="435"/>
      <c r="CA25" s="435"/>
    </row>
    <row r="26" spans="1:79" s="438" customFormat="1" outlineLevel="1">
      <c r="A26" s="569"/>
      <c r="B26" s="572"/>
      <c r="C26" s="575"/>
      <c r="D26" s="578"/>
      <c r="E26" s="580"/>
      <c r="F26" s="578"/>
      <c r="G26" s="582"/>
      <c r="H26" s="578"/>
      <c r="I26" s="578"/>
      <c r="J26" s="578"/>
      <c r="K26" s="475">
        <v>6</v>
      </c>
      <c r="L26" s="476"/>
      <c r="M26" s="476"/>
      <c r="N26" s="476"/>
      <c r="O26" s="477"/>
      <c r="P26" s="565"/>
      <c r="Q26" s="565"/>
      <c r="R26" s="467"/>
      <c r="AC26" s="435"/>
      <c r="AD26" s="435"/>
      <c r="AE26" s="435"/>
      <c r="AF26" s="435"/>
      <c r="AG26" s="435"/>
      <c r="AH26" s="435"/>
      <c r="AI26" s="435"/>
      <c r="AJ26" s="435"/>
      <c r="AK26" s="435"/>
      <c r="AL26" s="435"/>
      <c r="AM26" s="435"/>
      <c r="AN26" s="435"/>
      <c r="AO26" s="435"/>
      <c r="AP26" s="435"/>
      <c r="AQ26" s="435"/>
      <c r="AR26" s="435"/>
      <c r="AS26" s="435"/>
      <c r="AT26" s="435"/>
      <c r="AU26" s="435"/>
      <c r="AV26" s="435"/>
      <c r="AW26" s="435"/>
      <c r="AX26" s="435"/>
      <c r="AY26" s="435"/>
      <c r="AZ26" s="435"/>
      <c r="BA26" s="435"/>
      <c r="BB26" s="435"/>
      <c r="BC26" s="435"/>
      <c r="BD26" s="435"/>
      <c r="BE26" s="435"/>
      <c r="BF26" s="435"/>
      <c r="BG26" s="435"/>
      <c r="BH26" s="435"/>
      <c r="BI26" s="435"/>
      <c r="BJ26" s="435"/>
      <c r="BK26" s="435"/>
      <c r="BL26" s="435"/>
      <c r="BM26" s="435"/>
      <c r="BN26" s="435"/>
      <c r="BO26" s="435"/>
      <c r="BP26" s="435"/>
      <c r="BQ26" s="435"/>
      <c r="BR26" s="435"/>
      <c r="BS26" s="435"/>
      <c r="BT26" s="435"/>
      <c r="BU26" s="435"/>
      <c r="BV26" s="435"/>
      <c r="BW26" s="435"/>
      <c r="BX26" s="435"/>
      <c r="BY26" s="435"/>
      <c r="BZ26" s="435"/>
      <c r="CA26" s="435"/>
    </row>
    <row r="27" spans="1:79" s="438" customFormat="1" outlineLevel="1">
      <c r="A27" s="569"/>
      <c r="B27" s="572"/>
      <c r="C27" s="575"/>
      <c r="D27" s="578"/>
      <c r="E27" s="580"/>
      <c r="F27" s="578"/>
      <c r="G27" s="582"/>
      <c r="H27" s="578"/>
      <c r="I27" s="578"/>
      <c r="J27" s="578"/>
      <c r="K27" s="475">
        <v>7</v>
      </c>
      <c r="L27" s="476"/>
      <c r="M27" s="476"/>
      <c r="N27" s="476"/>
      <c r="O27" s="477"/>
      <c r="P27" s="565"/>
      <c r="Q27" s="565"/>
      <c r="R27" s="467"/>
      <c r="AC27" s="435"/>
      <c r="AD27" s="435"/>
      <c r="AE27" s="435"/>
      <c r="AF27" s="435"/>
      <c r="AG27" s="435"/>
      <c r="AH27" s="435"/>
      <c r="AI27" s="435"/>
      <c r="AJ27" s="435"/>
      <c r="AK27" s="435"/>
      <c r="AL27" s="435"/>
      <c r="AM27" s="435"/>
      <c r="AN27" s="435"/>
      <c r="AO27" s="435"/>
      <c r="AP27" s="435"/>
      <c r="AQ27" s="435"/>
      <c r="AR27" s="435"/>
      <c r="AS27" s="435"/>
      <c r="AT27" s="435"/>
      <c r="AU27" s="435"/>
      <c r="AV27" s="435"/>
      <c r="AW27" s="435"/>
      <c r="AX27" s="435"/>
      <c r="AY27" s="435"/>
      <c r="AZ27" s="435"/>
      <c r="BA27" s="435"/>
      <c r="BB27" s="435"/>
      <c r="BC27" s="435"/>
      <c r="BD27" s="435"/>
      <c r="BE27" s="435"/>
      <c r="BF27" s="435"/>
      <c r="BG27" s="435"/>
      <c r="BH27" s="435"/>
      <c r="BI27" s="435"/>
      <c r="BJ27" s="435"/>
      <c r="BK27" s="435"/>
      <c r="BL27" s="435"/>
      <c r="BM27" s="435"/>
      <c r="BN27" s="435"/>
      <c r="BO27" s="435"/>
      <c r="BP27" s="435"/>
      <c r="BQ27" s="435"/>
      <c r="BR27" s="435"/>
      <c r="BS27" s="435"/>
      <c r="BT27" s="435"/>
      <c r="BU27" s="435"/>
      <c r="BV27" s="435"/>
      <c r="BW27" s="435"/>
      <c r="BX27" s="435"/>
      <c r="BY27" s="435"/>
      <c r="BZ27" s="435"/>
      <c r="CA27" s="435"/>
    </row>
    <row r="28" spans="1:79" s="438" customFormat="1" outlineLevel="1">
      <c r="A28" s="569"/>
      <c r="B28" s="572"/>
      <c r="C28" s="575"/>
      <c r="D28" s="578"/>
      <c r="E28" s="580"/>
      <c r="F28" s="578"/>
      <c r="G28" s="582"/>
      <c r="H28" s="578"/>
      <c r="I28" s="578"/>
      <c r="J28" s="578"/>
      <c r="K28" s="475">
        <v>8</v>
      </c>
      <c r="L28" s="476"/>
      <c r="M28" s="476"/>
      <c r="N28" s="476"/>
      <c r="O28" s="477"/>
      <c r="P28" s="565"/>
      <c r="Q28" s="565"/>
      <c r="R28" s="467"/>
      <c r="AC28" s="435"/>
      <c r="AD28" s="435"/>
      <c r="AE28" s="435"/>
      <c r="AF28" s="435"/>
      <c r="AG28" s="435"/>
      <c r="AH28" s="435"/>
      <c r="AI28" s="435"/>
      <c r="AJ28" s="435"/>
      <c r="AK28" s="435"/>
      <c r="AL28" s="435"/>
      <c r="AM28" s="435"/>
      <c r="AN28" s="435"/>
      <c r="AO28" s="435"/>
      <c r="AP28" s="435"/>
      <c r="AQ28" s="435"/>
      <c r="AR28" s="435"/>
      <c r="AS28" s="435"/>
      <c r="AT28" s="435"/>
      <c r="AU28" s="435"/>
      <c r="AV28" s="435"/>
      <c r="AW28" s="435"/>
      <c r="AX28" s="435"/>
      <c r="AY28" s="435"/>
      <c r="AZ28" s="435"/>
      <c r="BA28" s="435"/>
      <c r="BB28" s="435"/>
      <c r="BC28" s="435"/>
      <c r="BD28" s="435"/>
      <c r="BE28" s="435"/>
      <c r="BF28" s="435"/>
      <c r="BG28" s="435"/>
      <c r="BH28" s="435"/>
      <c r="BI28" s="435"/>
      <c r="BJ28" s="435"/>
      <c r="BK28" s="435"/>
      <c r="BL28" s="435"/>
      <c r="BM28" s="435"/>
      <c r="BN28" s="435"/>
      <c r="BO28" s="435"/>
      <c r="BP28" s="435"/>
      <c r="BQ28" s="435"/>
      <c r="BR28" s="435"/>
      <c r="BS28" s="435"/>
      <c r="BT28" s="435"/>
      <c r="BU28" s="435"/>
      <c r="BV28" s="435"/>
      <c r="BW28" s="435"/>
      <c r="BX28" s="435"/>
      <c r="BY28" s="435"/>
      <c r="BZ28" s="435"/>
      <c r="CA28" s="435"/>
    </row>
    <row r="29" spans="1:79" s="438" customFormat="1" outlineLevel="1">
      <c r="A29" s="569"/>
      <c r="B29" s="572"/>
      <c r="C29" s="575"/>
      <c r="D29" s="578"/>
      <c r="E29" s="580"/>
      <c r="F29" s="578"/>
      <c r="G29" s="582"/>
      <c r="H29" s="578"/>
      <c r="I29" s="578"/>
      <c r="J29" s="578"/>
      <c r="K29" s="475">
        <v>9</v>
      </c>
      <c r="L29" s="476"/>
      <c r="M29" s="476"/>
      <c r="N29" s="476"/>
      <c r="O29" s="477"/>
      <c r="P29" s="565"/>
      <c r="Q29" s="565"/>
      <c r="R29" s="467"/>
      <c r="AC29" s="435"/>
      <c r="AD29" s="435"/>
      <c r="AE29" s="435"/>
      <c r="AF29" s="435"/>
      <c r="AG29" s="435"/>
      <c r="AH29" s="435"/>
      <c r="AI29" s="435"/>
      <c r="AJ29" s="435"/>
      <c r="AK29" s="435"/>
      <c r="AL29" s="435"/>
      <c r="AM29" s="435"/>
      <c r="AN29" s="435"/>
      <c r="AO29" s="435"/>
      <c r="AP29" s="435"/>
      <c r="AQ29" s="435"/>
      <c r="AR29" s="435"/>
      <c r="AS29" s="435"/>
      <c r="AT29" s="435"/>
      <c r="AU29" s="435"/>
      <c r="AV29" s="435"/>
      <c r="AW29" s="435"/>
      <c r="AX29" s="435"/>
      <c r="AY29" s="435"/>
      <c r="AZ29" s="435"/>
      <c r="BA29" s="435"/>
      <c r="BB29" s="435"/>
      <c r="BC29" s="435"/>
      <c r="BD29" s="435"/>
      <c r="BE29" s="435"/>
      <c r="BF29" s="435"/>
      <c r="BG29" s="435"/>
      <c r="BH29" s="435"/>
      <c r="BI29" s="435"/>
      <c r="BJ29" s="435"/>
      <c r="BK29" s="435"/>
      <c r="BL29" s="435"/>
      <c r="BM29" s="435"/>
      <c r="BN29" s="435"/>
      <c r="BO29" s="435"/>
      <c r="BP29" s="435"/>
      <c r="BQ29" s="435"/>
      <c r="BR29" s="435"/>
      <c r="BS29" s="435"/>
      <c r="BT29" s="435"/>
      <c r="BU29" s="435"/>
      <c r="BV29" s="435"/>
      <c r="BW29" s="435"/>
      <c r="BX29" s="435"/>
      <c r="BY29" s="435"/>
      <c r="BZ29" s="435"/>
      <c r="CA29" s="435"/>
    </row>
    <row r="30" spans="1:79" s="438" customFormat="1" outlineLevel="1">
      <c r="A30" s="569"/>
      <c r="B30" s="572"/>
      <c r="C30" s="575"/>
      <c r="D30" s="578"/>
      <c r="E30" s="580"/>
      <c r="F30" s="578"/>
      <c r="G30" s="582"/>
      <c r="H30" s="578"/>
      <c r="I30" s="578"/>
      <c r="J30" s="578"/>
      <c r="K30" s="475">
        <v>10</v>
      </c>
      <c r="L30" s="476"/>
      <c r="M30" s="476"/>
      <c r="N30" s="476"/>
      <c r="O30" s="477"/>
      <c r="P30" s="565"/>
      <c r="Q30" s="565"/>
      <c r="R30" s="467"/>
      <c r="AC30" s="435"/>
      <c r="AD30" s="435"/>
      <c r="AE30" s="435"/>
      <c r="AF30" s="435"/>
      <c r="AG30" s="435"/>
      <c r="AH30" s="435"/>
      <c r="AI30" s="435"/>
      <c r="AJ30" s="435"/>
      <c r="AK30" s="435"/>
      <c r="AL30" s="435"/>
      <c r="AM30" s="435"/>
      <c r="AN30" s="435"/>
      <c r="AO30" s="435"/>
      <c r="AP30" s="435"/>
      <c r="AQ30" s="435"/>
      <c r="AR30" s="435"/>
      <c r="AS30" s="435"/>
      <c r="AT30" s="435"/>
      <c r="AU30" s="435"/>
      <c r="AV30" s="435"/>
      <c r="AW30" s="435"/>
      <c r="AX30" s="435"/>
      <c r="AY30" s="435"/>
      <c r="AZ30" s="435"/>
      <c r="BA30" s="435"/>
      <c r="BB30" s="435"/>
      <c r="BC30" s="435"/>
      <c r="BD30" s="435"/>
      <c r="BE30" s="435"/>
      <c r="BF30" s="435"/>
      <c r="BG30" s="435"/>
      <c r="BH30" s="435"/>
      <c r="BI30" s="435"/>
      <c r="BJ30" s="435"/>
      <c r="BK30" s="435"/>
      <c r="BL30" s="435"/>
      <c r="BM30" s="435"/>
      <c r="BN30" s="435"/>
      <c r="BO30" s="435"/>
      <c r="BP30" s="435"/>
      <c r="BQ30" s="435"/>
      <c r="BR30" s="435"/>
      <c r="BS30" s="435"/>
      <c r="BT30" s="435"/>
      <c r="BU30" s="435"/>
      <c r="BV30" s="435"/>
      <c r="BW30" s="435"/>
      <c r="BX30" s="435"/>
      <c r="BY30" s="435"/>
      <c r="BZ30" s="435"/>
      <c r="CA30" s="435"/>
    </row>
    <row r="31" spans="1:79" s="438" customFormat="1" outlineLevel="1">
      <c r="A31" s="569"/>
      <c r="B31" s="572"/>
      <c r="C31" s="575"/>
      <c r="D31" s="578"/>
      <c r="E31" s="580"/>
      <c r="F31" s="578"/>
      <c r="G31" s="582"/>
      <c r="H31" s="578"/>
      <c r="I31" s="578"/>
      <c r="J31" s="578"/>
      <c r="K31" s="475">
        <v>11</v>
      </c>
      <c r="L31" s="476"/>
      <c r="M31" s="476"/>
      <c r="N31" s="476"/>
      <c r="O31" s="477"/>
      <c r="P31" s="565"/>
      <c r="Q31" s="565"/>
      <c r="R31" s="467"/>
      <c r="AC31" s="435"/>
      <c r="AD31" s="435"/>
      <c r="AE31" s="435"/>
      <c r="AF31" s="435"/>
      <c r="AG31" s="435"/>
      <c r="AH31" s="435"/>
      <c r="AI31" s="435"/>
      <c r="AJ31" s="435"/>
      <c r="AK31" s="435"/>
      <c r="AL31" s="435"/>
      <c r="AM31" s="435"/>
      <c r="AN31" s="435"/>
      <c r="AO31" s="435"/>
      <c r="AP31" s="435"/>
      <c r="AQ31" s="435"/>
      <c r="AR31" s="435"/>
      <c r="AS31" s="435"/>
      <c r="AT31" s="435"/>
      <c r="AU31" s="435"/>
      <c r="AV31" s="435"/>
      <c r="AW31" s="435"/>
      <c r="AX31" s="435"/>
      <c r="AY31" s="435"/>
      <c r="AZ31" s="435"/>
      <c r="BA31" s="435"/>
      <c r="BB31" s="435"/>
      <c r="BC31" s="435"/>
      <c r="BD31" s="435"/>
      <c r="BE31" s="435"/>
      <c r="BF31" s="435"/>
      <c r="BG31" s="435"/>
      <c r="BH31" s="435"/>
      <c r="BI31" s="435"/>
      <c r="BJ31" s="435"/>
      <c r="BK31" s="435"/>
      <c r="BL31" s="435"/>
      <c r="BM31" s="435"/>
      <c r="BN31" s="435"/>
      <c r="BO31" s="435"/>
      <c r="BP31" s="435"/>
      <c r="BQ31" s="435"/>
      <c r="BR31" s="435"/>
      <c r="BS31" s="435"/>
      <c r="BT31" s="435"/>
      <c r="BU31" s="435"/>
      <c r="BV31" s="435"/>
      <c r="BW31" s="435"/>
      <c r="BX31" s="435"/>
      <c r="BY31" s="435"/>
      <c r="BZ31" s="435"/>
      <c r="CA31" s="435"/>
    </row>
    <row r="32" spans="1:79" s="438" customFormat="1" outlineLevel="1">
      <c r="A32" s="569"/>
      <c r="B32" s="572"/>
      <c r="C32" s="575"/>
      <c r="D32" s="578"/>
      <c r="E32" s="580"/>
      <c r="F32" s="578"/>
      <c r="G32" s="582"/>
      <c r="H32" s="578"/>
      <c r="I32" s="578"/>
      <c r="J32" s="578"/>
      <c r="K32" s="475">
        <v>12</v>
      </c>
      <c r="L32" s="476"/>
      <c r="M32" s="476"/>
      <c r="N32" s="476"/>
      <c r="O32" s="477"/>
      <c r="P32" s="565"/>
      <c r="Q32" s="565"/>
      <c r="R32" s="467"/>
      <c r="AC32" s="435"/>
      <c r="AD32" s="435"/>
      <c r="AE32" s="435"/>
      <c r="AF32" s="435"/>
      <c r="AG32" s="435"/>
      <c r="AH32" s="435"/>
      <c r="AI32" s="435"/>
      <c r="AJ32" s="435"/>
      <c r="AK32" s="435"/>
      <c r="AL32" s="435"/>
      <c r="AM32" s="435"/>
      <c r="AN32" s="435"/>
      <c r="AO32" s="435"/>
      <c r="AP32" s="435"/>
      <c r="AQ32" s="435"/>
      <c r="AR32" s="435"/>
      <c r="AS32" s="435"/>
      <c r="AT32" s="435"/>
      <c r="AU32" s="435"/>
      <c r="AV32" s="435"/>
      <c r="AW32" s="435"/>
      <c r="AX32" s="435"/>
      <c r="AY32" s="435"/>
      <c r="AZ32" s="435"/>
      <c r="BA32" s="435"/>
      <c r="BB32" s="435"/>
      <c r="BC32" s="435"/>
      <c r="BD32" s="435"/>
      <c r="BE32" s="435"/>
      <c r="BF32" s="435"/>
      <c r="BG32" s="435"/>
      <c r="BH32" s="435"/>
      <c r="BI32" s="435"/>
      <c r="BJ32" s="435"/>
      <c r="BK32" s="435"/>
      <c r="BL32" s="435"/>
      <c r="BM32" s="435"/>
      <c r="BN32" s="435"/>
      <c r="BO32" s="435"/>
      <c r="BP32" s="435"/>
      <c r="BQ32" s="435"/>
      <c r="BR32" s="435"/>
      <c r="BS32" s="435"/>
      <c r="BT32" s="435"/>
      <c r="BU32" s="435"/>
      <c r="BV32" s="435"/>
      <c r="BW32" s="435"/>
      <c r="BX32" s="435"/>
      <c r="BY32" s="435"/>
      <c r="BZ32" s="435"/>
      <c r="CA32" s="435"/>
    </row>
    <row r="33" spans="1:79" s="438" customFormat="1" outlineLevel="1">
      <c r="A33" s="569"/>
      <c r="B33" s="572"/>
      <c r="C33" s="575"/>
      <c r="D33" s="578"/>
      <c r="E33" s="580"/>
      <c r="F33" s="578"/>
      <c r="G33" s="582"/>
      <c r="H33" s="578"/>
      <c r="I33" s="578"/>
      <c r="J33" s="578"/>
      <c r="K33" s="475">
        <v>13</v>
      </c>
      <c r="L33" s="476"/>
      <c r="M33" s="476"/>
      <c r="N33" s="476"/>
      <c r="O33" s="477"/>
      <c r="P33" s="565"/>
      <c r="Q33" s="565"/>
      <c r="R33" s="467"/>
      <c r="AC33" s="435"/>
      <c r="AD33" s="435"/>
      <c r="AE33" s="435"/>
      <c r="AF33" s="435"/>
      <c r="AG33" s="435"/>
      <c r="AH33" s="435"/>
      <c r="AI33" s="435"/>
      <c r="AJ33" s="435"/>
      <c r="AK33" s="435"/>
      <c r="AL33" s="435"/>
      <c r="AM33" s="435"/>
      <c r="AN33" s="435"/>
      <c r="AO33" s="435"/>
      <c r="AP33" s="435"/>
      <c r="AQ33" s="435"/>
      <c r="AR33" s="435"/>
      <c r="AS33" s="435"/>
      <c r="AT33" s="435"/>
      <c r="AU33" s="435"/>
      <c r="AV33" s="435"/>
      <c r="AW33" s="435"/>
      <c r="AX33" s="435"/>
      <c r="AY33" s="435"/>
      <c r="AZ33" s="435"/>
      <c r="BA33" s="435"/>
      <c r="BB33" s="435"/>
      <c r="BC33" s="435"/>
      <c r="BD33" s="435"/>
      <c r="BE33" s="435"/>
      <c r="BF33" s="435"/>
      <c r="BG33" s="435"/>
      <c r="BH33" s="435"/>
      <c r="BI33" s="435"/>
      <c r="BJ33" s="435"/>
      <c r="BK33" s="435"/>
      <c r="BL33" s="435"/>
      <c r="BM33" s="435"/>
      <c r="BN33" s="435"/>
      <c r="BO33" s="435"/>
      <c r="BP33" s="435"/>
      <c r="BQ33" s="435"/>
      <c r="BR33" s="435"/>
      <c r="BS33" s="435"/>
      <c r="BT33" s="435"/>
      <c r="BU33" s="435"/>
      <c r="BV33" s="435"/>
      <c r="BW33" s="435"/>
      <c r="BX33" s="435"/>
      <c r="BY33" s="435"/>
      <c r="BZ33" s="435"/>
      <c r="CA33" s="435"/>
    </row>
    <row r="34" spans="1:79" s="438" customFormat="1" outlineLevel="1">
      <c r="A34" s="569"/>
      <c r="B34" s="572"/>
      <c r="C34" s="575"/>
      <c r="D34" s="578"/>
      <c r="E34" s="580"/>
      <c r="F34" s="578"/>
      <c r="G34" s="582"/>
      <c r="H34" s="578"/>
      <c r="I34" s="578"/>
      <c r="J34" s="578"/>
      <c r="K34" s="475">
        <v>14</v>
      </c>
      <c r="L34" s="476"/>
      <c r="M34" s="476"/>
      <c r="N34" s="476"/>
      <c r="O34" s="477"/>
      <c r="P34" s="565"/>
      <c r="Q34" s="565"/>
      <c r="R34" s="467"/>
      <c r="AC34" s="435"/>
      <c r="AD34" s="435"/>
      <c r="AE34" s="435"/>
      <c r="AF34" s="435"/>
      <c r="AG34" s="435"/>
      <c r="AH34" s="435"/>
      <c r="AI34" s="435"/>
      <c r="AJ34" s="435"/>
      <c r="AK34" s="435"/>
      <c r="AL34" s="435"/>
      <c r="AM34" s="435"/>
      <c r="AN34" s="435"/>
      <c r="AO34" s="435"/>
      <c r="AP34" s="435"/>
      <c r="AQ34" s="435"/>
      <c r="AR34" s="435"/>
      <c r="AS34" s="435"/>
      <c r="AT34" s="435"/>
      <c r="AU34" s="435"/>
      <c r="AV34" s="435"/>
      <c r="AW34" s="435"/>
      <c r="AX34" s="435"/>
      <c r="AY34" s="435"/>
      <c r="AZ34" s="435"/>
      <c r="BA34" s="435"/>
      <c r="BB34" s="435"/>
      <c r="BC34" s="435"/>
      <c r="BD34" s="435"/>
      <c r="BE34" s="435"/>
      <c r="BF34" s="435"/>
      <c r="BG34" s="435"/>
      <c r="BH34" s="435"/>
      <c r="BI34" s="435"/>
      <c r="BJ34" s="435"/>
      <c r="BK34" s="435"/>
      <c r="BL34" s="435"/>
      <c r="BM34" s="435"/>
      <c r="BN34" s="435"/>
      <c r="BO34" s="435"/>
      <c r="BP34" s="435"/>
      <c r="BQ34" s="435"/>
      <c r="BR34" s="435"/>
      <c r="BS34" s="435"/>
      <c r="BT34" s="435"/>
      <c r="BU34" s="435"/>
      <c r="BV34" s="435"/>
      <c r="BW34" s="435"/>
      <c r="BX34" s="435"/>
      <c r="BY34" s="435"/>
      <c r="BZ34" s="435"/>
      <c r="CA34" s="435"/>
    </row>
    <row r="35" spans="1:79" s="438" customFormat="1" outlineLevel="1">
      <c r="A35" s="569"/>
      <c r="B35" s="572"/>
      <c r="C35" s="575"/>
      <c r="D35" s="578"/>
      <c r="E35" s="580"/>
      <c r="F35" s="578"/>
      <c r="G35" s="582"/>
      <c r="H35" s="578"/>
      <c r="I35" s="578"/>
      <c r="J35" s="578"/>
      <c r="K35" s="475">
        <v>15</v>
      </c>
      <c r="L35" s="476"/>
      <c r="M35" s="476"/>
      <c r="N35" s="476"/>
      <c r="O35" s="477"/>
      <c r="P35" s="565"/>
      <c r="Q35" s="565"/>
      <c r="R35" s="467"/>
      <c r="AC35" s="435"/>
      <c r="AD35" s="435"/>
      <c r="AE35" s="435"/>
      <c r="AF35" s="435"/>
      <c r="AG35" s="435"/>
      <c r="AH35" s="435"/>
      <c r="AI35" s="435"/>
      <c r="AJ35" s="435"/>
      <c r="AK35" s="435"/>
      <c r="AL35" s="435"/>
      <c r="AM35" s="435"/>
      <c r="AN35" s="435"/>
      <c r="AO35" s="435"/>
      <c r="AP35" s="435"/>
      <c r="AQ35" s="435"/>
      <c r="AR35" s="435"/>
      <c r="AS35" s="435"/>
      <c r="AT35" s="435"/>
      <c r="AU35" s="435"/>
      <c r="AV35" s="435"/>
      <c r="AW35" s="435"/>
      <c r="AX35" s="435"/>
      <c r="AY35" s="435"/>
      <c r="AZ35" s="435"/>
      <c r="BA35" s="435"/>
      <c r="BB35" s="435"/>
      <c r="BC35" s="435"/>
      <c r="BD35" s="435"/>
      <c r="BE35" s="435"/>
      <c r="BF35" s="435"/>
      <c r="BG35" s="435"/>
      <c r="BH35" s="435"/>
      <c r="BI35" s="435"/>
      <c r="BJ35" s="435"/>
      <c r="BK35" s="435"/>
      <c r="BL35" s="435"/>
      <c r="BM35" s="435"/>
      <c r="BN35" s="435"/>
      <c r="BO35" s="435"/>
      <c r="BP35" s="435"/>
      <c r="BQ35" s="435"/>
      <c r="BR35" s="435"/>
      <c r="BS35" s="435"/>
      <c r="BT35" s="435"/>
      <c r="BU35" s="435"/>
      <c r="BV35" s="435"/>
      <c r="BW35" s="435"/>
      <c r="BX35" s="435"/>
      <c r="BY35" s="435"/>
      <c r="BZ35" s="435"/>
      <c r="CA35" s="435"/>
    </row>
    <row r="36" spans="1:79" s="438" customFormat="1" outlineLevel="1">
      <c r="A36" s="570"/>
      <c r="B36" s="573"/>
      <c r="C36" s="576"/>
      <c r="D36" s="579"/>
      <c r="E36" s="580"/>
      <c r="F36" s="579"/>
      <c r="G36" s="583"/>
      <c r="H36" s="579"/>
      <c r="I36" s="579"/>
      <c r="J36" s="579"/>
      <c r="K36" s="475">
        <v>16</v>
      </c>
      <c r="L36" s="476"/>
      <c r="M36" s="476"/>
      <c r="N36" s="476"/>
      <c r="O36" s="477"/>
      <c r="P36" s="566"/>
      <c r="Q36" s="566"/>
      <c r="R36" s="467"/>
      <c r="AC36" s="435"/>
      <c r="AD36" s="435"/>
      <c r="AE36" s="435"/>
      <c r="AF36" s="435"/>
      <c r="AG36" s="435"/>
      <c r="AH36" s="435"/>
      <c r="AI36" s="435"/>
      <c r="AJ36" s="435"/>
      <c r="AK36" s="435"/>
      <c r="AL36" s="435"/>
      <c r="AM36" s="435"/>
      <c r="AN36" s="435"/>
      <c r="AO36" s="435"/>
      <c r="AP36" s="435"/>
      <c r="AQ36" s="435"/>
      <c r="AR36" s="435"/>
      <c r="AS36" s="435"/>
      <c r="AT36" s="435"/>
      <c r="AU36" s="435"/>
      <c r="AV36" s="435"/>
      <c r="AW36" s="435"/>
      <c r="AX36" s="435"/>
      <c r="AY36" s="435"/>
      <c r="AZ36" s="435"/>
      <c r="BA36" s="435"/>
      <c r="BB36" s="435"/>
      <c r="BC36" s="435"/>
      <c r="BD36" s="435"/>
      <c r="BE36" s="435"/>
      <c r="BF36" s="435"/>
      <c r="BG36" s="435"/>
      <c r="BH36" s="435"/>
      <c r="BI36" s="435"/>
      <c r="BJ36" s="435"/>
      <c r="BK36" s="435"/>
      <c r="BL36" s="435"/>
      <c r="BM36" s="435"/>
      <c r="BN36" s="435"/>
      <c r="BO36" s="435"/>
      <c r="BP36" s="435"/>
      <c r="BQ36" s="435"/>
      <c r="BR36" s="435"/>
      <c r="BS36" s="435"/>
      <c r="BT36" s="435"/>
      <c r="BU36" s="435"/>
      <c r="BV36" s="435"/>
      <c r="BW36" s="435"/>
      <c r="BX36" s="435"/>
      <c r="BY36" s="435"/>
      <c r="BZ36" s="435"/>
      <c r="CA36" s="435"/>
    </row>
    <row r="37" spans="1:79" s="438" customFormat="1" ht="12.75" customHeight="1" outlineLevel="1">
      <c r="A37" s="568"/>
      <c r="B37" s="572" t="s">
        <v>15</v>
      </c>
      <c r="C37" s="574">
        <f>C21+1</f>
        <v>3</v>
      </c>
      <c r="D37" s="578" t="s">
        <v>382</v>
      </c>
      <c r="E37" s="578" t="s">
        <v>383</v>
      </c>
      <c r="F37" s="578" t="s">
        <v>384</v>
      </c>
      <c r="G37" s="581" t="s">
        <v>385</v>
      </c>
      <c r="H37" s="577" t="s">
        <v>386</v>
      </c>
      <c r="I37" s="577"/>
      <c r="J37" s="577"/>
      <c r="K37" s="472">
        <v>1</v>
      </c>
      <c r="L37" s="474"/>
      <c r="M37" s="476"/>
      <c r="N37" s="476"/>
      <c r="O37" s="476"/>
      <c r="P37" s="567" t="s">
        <v>375</v>
      </c>
      <c r="Q37" s="594"/>
      <c r="R37" s="467"/>
    </row>
    <row r="38" spans="1:79" s="438" customFormat="1" ht="12.75" customHeight="1" outlineLevel="1">
      <c r="A38" s="569"/>
      <c r="B38" s="572"/>
      <c r="C38" s="575"/>
      <c r="D38" s="578"/>
      <c r="E38" s="578"/>
      <c r="F38" s="578"/>
      <c r="G38" s="582"/>
      <c r="H38" s="578"/>
      <c r="I38" s="578"/>
      <c r="J38" s="578"/>
      <c r="K38" s="475">
        <v>2</v>
      </c>
      <c r="L38" s="478"/>
      <c r="M38" s="476"/>
      <c r="N38" s="476"/>
      <c r="O38" s="476"/>
      <c r="P38" s="565"/>
      <c r="Q38" s="565"/>
      <c r="R38" s="467"/>
    </row>
    <row r="39" spans="1:79" s="438" customFormat="1" ht="12.75" customHeight="1" outlineLevel="1">
      <c r="A39" s="569"/>
      <c r="B39" s="572"/>
      <c r="C39" s="575"/>
      <c r="D39" s="578"/>
      <c r="E39" s="578"/>
      <c r="F39" s="578"/>
      <c r="G39" s="582"/>
      <c r="H39" s="578"/>
      <c r="I39" s="578"/>
      <c r="J39" s="578"/>
      <c r="K39" s="475">
        <v>3</v>
      </c>
      <c r="L39" s="478"/>
      <c r="M39" s="476"/>
      <c r="N39" s="476"/>
      <c r="O39" s="476"/>
      <c r="P39" s="565"/>
      <c r="Q39" s="565"/>
      <c r="R39" s="467"/>
    </row>
    <row r="40" spans="1:79" s="438" customFormat="1" ht="12.75" customHeight="1" outlineLevel="1">
      <c r="A40" s="569"/>
      <c r="B40" s="572"/>
      <c r="C40" s="575"/>
      <c r="D40" s="578"/>
      <c r="E40" s="578"/>
      <c r="F40" s="578"/>
      <c r="G40" s="582"/>
      <c r="H40" s="578"/>
      <c r="I40" s="578"/>
      <c r="J40" s="578"/>
      <c r="K40" s="475">
        <v>4</v>
      </c>
      <c r="L40" s="478"/>
      <c r="M40" s="476"/>
      <c r="N40" s="476"/>
      <c r="O40" s="476"/>
      <c r="P40" s="565"/>
      <c r="Q40" s="565"/>
      <c r="R40" s="467"/>
    </row>
    <row r="41" spans="1:79" s="438" customFormat="1" ht="12.75" customHeight="1" outlineLevel="1">
      <c r="A41" s="569"/>
      <c r="B41" s="572"/>
      <c r="C41" s="575"/>
      <c r="D41" s="578"/>
      <c r="E41" s="578"/>
      <c r="F41" s="578"/>
      <c r="G41" s="582"/>
      <c r="H41" s="578"/>
      <c r="I41" s="578"/>
      <c r="J41" s="578"/>
      <c r="K41" s="475">
        <v>5</v>
      </c>
      <c r="L41" s="476"/>
      <c r="M41" s="476"/>
      <c r="N41" s="476"/>
      <c r="O41" s="476"/>
      <c r="P41" s="565"/>
      <c r="Q41" s="565"/>
      <c r="R41" s="467"/>
    </row>
    <row r="42" spans="1:79" s="438" customFormat="1" ht="12.75" customHeight="1" outlineLevel="1">
      <c r="A42" s="569"/>
      <c r="B42" s="572"/>
      <c r="C42" s="575"/>
      <c r="D42" s="578"/>
      <c r="E42" s="578"/>
      <c r="F42" s="578"/>
      <c r="G42" s="582"/>
      <c r="H42" s="578"/>
      <c r="I42" s="578"/>
      <c r="J42" s="578"/>
      <c r="K42" s="475">
        <v>6</v>
      </c>
      <c r="L42" s="476"/>
      <c r="M42" s="476"/>
      <c r="N42" s="476"/>
      <c r="O42" s="476"/>
      <c r="P42" s="565"/>
      <c r="Q42" s="565"/>
      <c r="R42" s="467"/>
    </row>
    <row r="43" spans="1:79" s="438" customFormat="1" ht="12.75" customHeight="1" outlineLevel="1">
      <c r="A43" s="569"/>
      <c r="B43" s="572"/>
      <c r="C43" s="575"/>
      <c r="D43" s="578"/>
      <c r="E43" s="578"/>
      <c r="F43" s="578"/>
      <c r="G43" s="582"/>
      <c r="H43" s="578"/>
      <c r="I43" s="578"/>
      <c r="J43" s="578"/>
      <c r="K43" s="475">
        <v>7</v>
      </c>
      <c r="L43" s="476"/>
      <c r="M43" s="476"/>
      <c r="N43" s="476"/>
      <c r="O43" s="476"/>
      <c r="P43" s="565"/>
      <c r="Q43" s="565"/>
      <c r="R43" s="467"/>
    </row>
    <row r="44" spans="1:79" s="438" customFormat="1" ht="12.75" customHeight="1" outlineLevel="1">
      <c r="A44" s="569"/>
      <c r="B44" s="572"/>
      <c r="C44" s="575"/>
      <c r="D44" s="578"/>
      <c r="E44" s="578"/>
      <c r="F44" s="578"/>
      <c r="G44" s="582"/>
      <c r="H44" s="578"/>
      <c r="I44" s="578"/>
      <c r="J44" s="578"/>
      <c r="K44" s="475">
        <v>8</v>
      </c>
      <c r="L44" s="476"/>
      <c r="M44" s="476"/>
      <c r="N44" s="476"/>
      <c r="O44" s="476"/>
      <c r="P44" s="565"/>
      <c r="Q44" s="565"/>
      <c r="R44" s="467"/>
    </row>
    <row r="45" spans="1:79" s="438" customFormat="1" ht="12.75" customHeight="1" outlineLevel="1">
      <c r="A45" s="569"/>
      <c r="B45" s="572"/>
      <c r="C45" s="575"/>
      <c r="D45" s="578"/>
      <c r="E45" s="578"/>
      <c r="F45" s="578"/>
      <c r="G45" s="582"/>
      <c r="H45" s="578"/>
      <c r="I45" s="578"/>
      <c r="J45" s="578"/>
      <c r="K45" s="475">
        <v>9</v>
      </c>
      <c r="L45" s="476"/>
      <c r="M45" s="476"/>
      <c r="N45" s="476"/>
      <c r="O45" s="476"/>
      <c r="P45" s="565"/>
      <c r="Q45" s="565"/>
      <c r="R45" s="467"/>
    </row>
    <row r="46" spans="1:79" s="438" customFormat="1" ht="12.75" customHeight="1" outlineLevel="1">
      <c r="A46" s="569"/>
      <c r="B46" s="572"/>
      <c r="C46" s="575"/>
      <c r="D46" s="578"/>
      <c r="E46" s="578"/>
      <c r="F46" s="578"/>
      <c r="G46" s="582"/>
      <c r="H46" s="578"/>
      <c r="I46" s="578"/>
      <c r="J46" s="578"/>
      <c r="K46" s="475">
        <v>10</v>
      </c>
      <c r="L46" s="476"/>
      <c r="M46" s="476"/>
      <c r="N46" s="476"/>
      <c r="O46" s="476"/>
      <c r="P46" s="565"/>
      <c r="Q46" s="565"/>
      <c r="R46" s="467"/>
    </row>
    <row r="47" spans="1:79" s="438" customFormat="1" ht="12.75" customHeight="1" outlineLevel="1">
      <c r="A47" s="569"/>
      <c r="B47" s="572"/>
      <c r="C47" s="575"/>
      <c r="D47" s="578"/>
      <c r="E47" s="578"/>
      <c r="F47" s="578"/>
      <c r="G47" s="582"/>
      <c r="H47" s="578"/>
      <c r="I47" s="578"/>
      <c r="J47" s="578"/>
      <c r="K47" s="475">
        <v>11</v>
      </c>
      <c r="L47" s="476"/>
      <c r="M47" s="476"/>
      <c r="N47" s="476"/>
      <c r="O47" s="476"/>
      <c r="P47" s="565"/>
      <c r="Q47" s="565"/>
      <c r="R47" s="467"/>
    </row>
    <row r="48" spans="1:79" s="438" customFormat="1" ht="12.75" customHeight="1" outlineLevel="1">
      <c r="A48" s="569"/>
      <c r="B48" s="572"/>
      <c r="C48" s="575"/>
      <c r="D48" s="578"/>
      <c r="E48" s="578"/>
      <c r="F48" s="578"/>
      <c r="G48" s="582"/>
      <c r="H48" s="578"/>
      <c r="I48" s="578"/>
      <c r="J48" s="578"/>
      <c r="K48" s="475">
        <v>12</v>
      </c>
      <c r="L48" s="476"/>
      <c r="M48" s="476"/>
      <c r="N48" s="476"/>
      <c r="O48" s="476"/>
      <c r="P48" s="565"/>
      <c r="Q48" s="565"/>
      <c r="R48" s="467"/>
    </row>
    <row r="49" spans="1:18" s="438" customFormat="1" ht="12.75" customHeight="1" outlineLevel="1">
      <c r="A49" s="569"/>
      <c r="B49" s="572"/>
      <c r="C49" s="575"/>
      <c r="D49" s="578"/>
      <c r="E49" s="578"/>
      <c r="F49" s="578"/>
      <c r="G49" s="582"/>
      <c r="H49" s="578"/>
      <c r="I49" s="578"/>
      <c r="J49" s="578"/>
      <c r="K49" s="475">
        <v>13</v>
      </c>
      <c r="L49" s="476"/>
      <c r="M49" s="476"/>
      <c r="N49" s="476"/>
      <c r="O49" s="476"/>
      <c r="P49" s="565"/>
      <c r="Q49" s="565"/>
      <c r="R49" s="467"/>
    </row>
    <row r="50" spans="1:18" s="438" customFormat="1" ht="12.75" customHeight="1" outlineLevel="1">
      <c r="A50" s="569"/>
      <c r="B50" s="572"/>
      <c r="C50" s="575"/>
      <c r="D50" s="578"/>
      <c r="E50" s="578"/>
      <c r="F50" s="578"/>
      <c r="G50" s="582"/>
      <c r="H50" s="578"/>
      <c r="I50" s="578"/>
      <c r="J50" s="578"/>
      <c r="K50" s="475">
        <v>14</v>
      </c>
      <c r="L50" s="476"/>
      <c r="M50" s="476"/>
      <c r="N50" s="476"/>
      <c r="O50" s="476"/>
      <c r="P50" s="565"/>
      <c r="Q50" s="565"/>
      <c r="R50" s="467"/>
    </row>
    <row r="51" spans="1:18" s="438" customFormat="1" ht="12.75" customHeight="1" outlineLevel="1">
      <c r="A51" s="569"/>
      <c r="B51" s="572"/>
      <c r="C51" s="575"/>
      <c r="D51" s="578"/>
      <c r="E51" s="578"/>
      <c r="F51" s="578"/>
      <c r="G51" s="582"/>
      <c r="H51" s="578"/>
      <c r="I51" s="578"/>
      <c r="J51" s="578"/>
      <c r="K51" s="475">
        <v>15</v>
      </c>
      <c r="L51" s="476"/>
      <c r="M51" s="476"/>
      <c r="N51" s="476"/>
      <c r="O51" s="476"/>
      <c r="P51" s="565"/>
      <c r="Q51" s="565"/>
      <c r="R51" s="467"/>
    </row>
    <row r="52" spans="1:18" s="438" customFormat="1" ht="12.75" customHeight="1" outlineLevel="1">
      <c r="A52" s="570"/>
      <c r="B52" s="573"/>
      <c r="C52" s="576"/>
      <c r="D52" s="579"/>
      <c r="E52" s="578"/>
      <c r="F52" s="579"/>
      <c r="G52" s="583"/>
      <c r="H52" s="579"/>
      <c r="I52" s="579"/>
      <c r="J52" s="579"/>
      <c r="K52" s="475">
        <v>16</v>
      </c>
      <c r="L52" s="476"/>
      <c r="M52" s="476"/>
      <c r="N52" s="476"/>
      <c r="O52" s="476"/>
      <c r="P52" s="566"/>
      <c r="Q52" s="566"/>
      <c r="R52" s="467"/>
    </row>
    <row r="53" spans="1:18" s="438" customFormat="1" outlineLevel="1">
      <c r="A53" s="568"/>
      <c r="B53" s="572" t="s">
        <v>15</v>
      </c>
      <c r="C53" s="574">
        <f>C37+1</f>
        <v>4</v>
      </c>
      <c r="D53" s="578" t="s">
        <v>387</v>
      </c>
      <c r="E53" s="580" t="s">
        <v>388</v>
      </c>
      <c r="F53" s="578" t="s">
        <v>389</v>
      </c>
      <c r="G53" s="581" t="s">
        <v>390</v>
      </c>
      <c r="H53" s="577" t="s">
        <v>391</v>
      </c>
      <c r="I53" s="577"/>
      <c r="J53" s="577"/>
      <c r="K53" s="472">
        <v>1</v>
      </c>
      <c r="L53" s="476"/>
      <c r="M53" s="476"/>
      <c r="N53" s="476"/>
      <c r="O53" s="477"/>
      <c r="P53" s="567" t="s">
        <v>375</v>
      </c>
      <c r="Q53" s="594"/>
      <c r="R53" s="467"/>
    </row>
    <row r="54" spans="1:18" s="438" customFormat="1" outlineLevel="1">
      <c r="A54" s="569"/>
      <c r="B54" s="572"/>
      <c r="C54" s="575"/>
      <c r="D54" s="578"/>
      <c r="E54" s="580"/>
      <c r="F54" s="578"/>
      <c r="G54" s="582"/>
      <c r="H54" s="578"/>
      <c r="I54" s="578"/>
      <c r="J54" s="578"/>
      <c r="K54" s="475">
        <v>2</v>
      </c>
      <c r="L54" s="476"/>
      <c r="M54" s="476"/>
      <c r="N54" s="476"/>
      <c r="O54" s="477"/>
      <c r="P54" s="565"/>
      <c r="Q54" s="565"/>
      <c r="R54" s="467"/>
    </row>
    <row r="55" spans="1:18" s="438" customFormat="1" outlineLevel="1">
      <c r="A55" s="569"/>
      <c r="B55" s="572"/>
      <c r="C55" s="575"/>
      <c r="D55" s="578"/>
      <c r="E55" s="580"/>
      <c r="F55" s="578"/>
      <c r="G55" s="582"/>
      <c r="H55" s="578"/>
      <c r="I55" s="578"/>
      <c r="J55" s="578"/>
      <c r="K55" s="475">
        <v>3</v>
      </c>
      <c r="L55" s="476"/>
      <c r="M55" s="476"/>
      <c r="N55" s="476"/>
      <c r="O55" s="477"/>
      <c r="P55" s="565"/>
      <c r="Q55" s="565"/>
      <c r="R55" s="467"/>
    </row>
    <row r="56" spans="1:18" s="438" customFormat="1" outlineLevel="1">
      <c r="A56" s="569"/>
      <c r="B56" s="572"/>
      <c r="C56" s="575"/>
      <c r="D56" s="578"/>
      <c r="E56" s="580"/>
      <c r="F56" s="578"/>
      <c r="G56" s="582"/>
      <c r="H56" s="578"/>
      <c r="I56" s="578"/>
      <c r="J56" s="578"/>
      <c r="K56" s="475">
        <v>4</v>
      </c>
      <c r="L56" s="476"/>
      <c r="M56" s="476"/>
      <c r="N56" s="476"/>
      <c r="O56" s="477"/>
      <c r="P56" s="565"/>
      <c r="Q56" s="565"/>
      <c r="R56" s="467"/>
    </row>
    <row r="57" spans="1:18" s="438" customFormat="1" outlineLevel="1">
      <c r="A57" s="569"/>
      <c r="B57" s="572"/>
      <c r="C57" s="575"/>
      <c r="D57" s="578"/>
      <c r="E57" s="580"/>
      <c r="F57" s="578"/>
      <c r="G57" s="582"/>
      <c r="H57" s="578"/>
      <c r="I57" s="578"/>
      <c r="J57" s="578"/>
      <c r="K57" s="475">
        <v>5</v>
      </c>
      <c r="L57" s="476"/>
      <c r="M57" s="476"/>
      <c r="N57" s="476"/>
      <c r="O57" s="477"/>
      <c r="P57" s="565"/>
      <c r="Q57" s="565"/>
      <c r="R57" s="467"/>
    </row>
    <row r="58" spans="1:18" s="438" customFormat="1" outlineLevel="1">
      <c r="A58" s="569"/>
      <c r="B58" s="572"/>
      <c r="C58" s="575"/>
      <c r="D58" s="578"/>
      <c r="E58" s="580"/>
      <c r="F58" s="578"/>
      <c r="G58" s="582"/>
      <c r="H58" s="578"/>
      <c r="I58" s="578"/>
      <c r="J58" s="578"/>
      <c r="K58" s="475">
        <v>6</v>
      </c>
      <c r="L58" s="476"/>
      <c r="M58" s="476"/>
      <c r="N58" s="476"/>
      <c r="O58" s="477"/>
      <c r="P58" s="565"/>
      <c r="Q58" s="565"/>
      <c r="R58" s="467"/>
    </row>
    <row r="59" spans="1:18" s="438" customFormat="1" outlineLevel="1">
      <c r="A59" s="569"/>
      <c r="B59" s="572"/>
      <c r="C59" s="575"/>
      <c r="D59" s="578"/>
      <c r="E59" s="580"/>
      <c r="F59" s="578"/>
      <c r="G59" s="582"/>
      <c r="H59" s="578"/>
      <c r="I59" s="578"/>
      <c r="J59" s="578"/>
      <c r="K59" s="475">
        <v>7</v>
      </c>
      <c r="L59" s="476"/>
      <c r="M59" s="476"/>
      <c r="N59" s="476"/>
      <c r="O59" s="477"/>
      <c r="P59" s="565"/>
      <c r="Q59" s="565"/>
      <c r="R59" s="467"/>
    </row>
    <row r="60" spans="1:18" s="438" customFormat="1" outlineLevel="1">
      <c r="A60" s="569"/>
      <c r="B60" s="572"/>
      <c r="C60" s="575"/>
      <c r="D60" s="578"/>
      <c r="E60" s="580"/>
      <c r="F60" s="578"/>
      <c r="G60" s="582"/>
      <c r="H60" s="578"/>
      <c r="I60" s="578"/>
      <c r="J60" s="578"/>
      <c r="K60" s="475">
        <v>8</v>
      </c>
      <c r="L60" s="476"/>
      <c r="M60" s="476"/>
      <c r="N60" s="476"/>
      <c r="O60" s="477"/>
      <c r="P60" s="565"/>
      <c r="Q60" s="565"/>
      <c r="R60" s="467"/>
    </row>
    <row r="61" spans="1:18" s="438" customFormat="1" outlineLevel="1">
      <c r="A61" s="569"/>
      <c r="B61" s="572"/>
      <c r="C61" s="575"/>
      <c r="D61" s="578"/>
      <c r="E61" s="580"/>
      <c r="F61" s="578"/>
      <c r="G61" s="582"/>
      <c r="H61" s="578"/>
      <c r="I61" s="578"/>
      <c r="J61" s="578"/>
      <c r="K61" s="475">
        <v>9</v>
      </c>
      <c r="L61" s="476"/>
      <c r="M61" s="476"/>
      <c r="N61" s="476"/>
      <c r="O61" s="477"/>
      <c r="P61" s="565"/>
      <c r="Q61" s="565"/>
      <c r="R61" s="467"/>
    </row>
    <row r="62" spans="1:18" s="438" customFormat="1" outlineLevel="1">
      <c r="A62" s="569"/>
      <c r="B62" s="572"/>
      <c r="C62" s="575"/>
      <c r="D62" s="578"/>
      <c r="E62" s="580"/>
      <c r="F62" s="578"/>
      <c r="G62" s="582"/>
      <c r="H62" s="578"/>
      <c r="I62" s="578"/>
      <c r="J62" s="578"/>
      <c r="K62" s="475">
        <v>10</v>
      </c>
      <c r="L62" s="476"/>
      <c r="M62" s="476"/>
      <c r="N62" s="476"/>
      <c r="O62" s="477"/>
      <c r="P62" s="565"/>
      <c r="Q62" s="565"/>
      <c r="R62" s="467"/>
    </row>
    <row r="63" spans="1:18" s="438" customFormat="1" outlineLevel="1">
      <c r="A63" s="569"/>
      <c r="B63" s="572"/>
      <c r="C63" s="575"/>
      <c r="D63" s="578"/>
      <c r="E63" s="580"/>
      <c r="F63" s="578"/>
      <c r="G63" s="582"/>
      <c r="H63" s="578"/>
      <c r="I63" s="578"/>
      <c r="J63" s="578"/>
      <c r="K63" s="475">
        <v>11</v>
      </c>
      <c r="L63" s="476"/>
      <c r="M63" s="476"/>
      <c r="N63" s="476"/>
      <c r="O63" s="477"/>
      <c r="P63" s="565"/>
      <c r="Q63" s="565"/>
      <c r="R63" s="467"/>
    </row>
    <row r="64" spans="1:18" s="438" customFormat="1" outlineLevel="1">
      <c r="A64" s="569"/>
      <c r="B64" s="572"/>
      <c r="C64" s="575"/>
      <c r="D64" s="578"/>
      <c r="E64" s="580"/>
      <c r="F64" s="578"/>
      <c r="G64" s="582"/>
      <c r="H64" s="578"/>
      <c r="I64" s="578"/>
      <c r="J64" s="578"/>
      <c r="K64" s="475">
        <v>12</v>
      </c>
      <c r="L64" s="476"/>
      <c r="M64" s="476"/>
      <c r="N64" s="476"/>
      <c r="O64" s="477"/>
      <c r="P64" s="565"/>
      <c r="Q64" s="565"/>
      <c r="R64" s="467"/>
    </row>
    <row r="65" spans="1:18" s="438" customFormat="1" outlineLevel="1">
      <c r="A65" s="569"/>
      <c r="B65" s="572"/>
      <c r="C65" s="575"/>
      <c r="D65" s="578"/>
      <c r="E65" s="580"/>
      <c r="F65" s="578"/>
      <c r="G65" s="582"/>
      <c r="H65" s="578"/>
      <c r="I65" s="578"/>
      <c r="J65" s="578"/>
      <c r="K65" s="475">
        <v>13</v>
      </c>
      <c r="L65" s="476"/>
      <c r="M65" s="476"/>
      <c r="N65" s="476"/>
      <c r="O65" s="477"/>
      <c r="P65" s="565"/>
      <c r="Q65" s="565"/>
      <c r="R65" s="467"/>
    </row>
    <row r="66" spans="1:18" s="438" customFormat="1" outlineLevel="1">
      <c r="A66" s="569"/>
      <c r="B66" s="572"/>
      <c r="C66" s="575"/>
      <c r="D66" s="578"/>
      <c r="E66" s="580"/>
      <c r="F66" s="578"/>
      <c r="G66" s="582"/>
      <c r="H66" s="578"/>
      <c r="I66" s="578"/>
      <c r="J66" s="578"/>
      <c r="K66" s="475">
        <v>14</v>
      </c>
      <c r="L66" s="476"/>
      <c r="M66" s="476"/>
      <c r="N66" s="476"/>
      <c r="O66" s="477"/>
      <c r="P66" s="565"/>
      <c r="Q66" s="565"/>
      <c r="R66" s="467"/>
    </row>
    <row r="67" spans="1:18" s="438" customFormat="1" outlineLevel="1">
      <c r="A67" s="569"/>
      <c r="B67" s="572"/>
      <c r="C67" s="575"/>
      <c r="D67" s="578"/>
      <c r="E67" s="580"/>
      <c r="F67" s="578"/>
      <c r="G67" s="582"/>
      <c r="H67" s="578"/>
      <c r="I67" s="578"/>
      <c r="J67" s="578"/>
      <c r="K67" s="475">
        <v>15</v>
      </c>
      <c r="L67" s="476"/>
      <c r="M67" s="476"/>
      <c r="N67" s="476"/>
      <c r="O67" s="477"/>
      <c r="P67" s="565"/>
      <c r="Q67" s="565"/>
      <c r="R67" s="467"/>
    </row>
    <row r="68" spans="1:18" s="438" customFormat="1" outlineLevel="1">
      <c r="A68" s="570"/>
      <c r="B68" s="573"/>
      <c r="C68" s="576"/>
      <c r="D68" s="579"/>
      <c r="E68" s="580"/>
      <c r="F68" s="579"/>
      <c r="G68" s="583"/>
      <c r="H68" s="579"/>
      <c r="I68" s="579"/>
      <c r="J68" s="579"/>
      <c r="K68" s="475">
        <v>16</v>
      </c>
      <c r="L68" s="476"/>
      <c r="M68" s="476"/>
      <c r="N68" s="476"/>
      <c r="O68" s="477"/>
      <c r="P68" s="566"/>
      <c r="Q68" s="566"/>
      <c r="R68" s="467"/>
    </row>
    <row r="69" spans="1:18" s="438" customFormat="1" outlineLevel="1">
      <c r="A69" s="568"/>
      <c r="B69" s="572"/>
      <c r="C69" s="574"/>
      <c r="D69" s="578"/>
      <c r="E69" s="580"/>
      <c r="F69" s="578"/>
      <c r="G69" s="581"/>
      <c r="H69" s="577"/>
      <c r="I69" s="577"/>
      <c r="J69" s="577"/>
      <c r="K69" s="472"/>
      <c r="L69" s="478"/>
      <c r="M69" s="476"/>
      <c r="N69" s="476"/>
      <c r="O69" s="477"/>
      <c r="P69" s="594"/>
      <c r="Q69" s="594"/>
      <c r="R69" s="467"/>
    </row>
    <row r="70" spans="1:18" s="438" customFormat="1" outlineLevel="1">
      <c r="A70" s="569"/>
      <c r="B70" s="572"/>
      <c r="C70" s="575"/>
      <c r="D70" s="578"/>
      <c r="E70" s="580"/>
      <c r="F70" s="578"/>
      <c r="G70" s="582"/>
      <c r="H70" s="578"/>
      <c r="I70" s="578"/>
      <c r="J70" s="578"/>
      <c r="K70" s="475"/>
      <c r="L70" s="476"/>
      <c r="M70" s="476"/>
      <c r="N70" s="476"/>
      <c r="O70" s="477"/>
      <c r="P70" s="565"/>
      <c r="Q70" s="565"/>
      <c r="R70" s="467"/>
    </row>
    <row r="71" spans="1:18" s="438" customFormat="1" outlineLevel="1">
      <c r="A71" s="569"/>
      <c r="B71" s="572"/>
      <c r="C71" s="575"/>
      <c r="D71" s="578"/>
      <c r="E71" s="580"/>
      <c r="F71" s="578"/>
      <c r="G71" s="582"/>
      <c r="H71" s="578"/>
      <c r="I71" s="578"/>
      <c r="J71" s="578"/>
      <c r="K71" s="475"/>
      <c r="L71" s="476"/>
      <c r="M71" s="476"/>
      <c r="N71" s="476"/>
      <c r="O71" s="477"/>
      <c r="P71" s="565"/>
      <c r="Q71" s="565"/>
      <c r="R71" s="467"/>
    </row>
    <row r="72" spans="1:18" s="438" customFormat="1" outlineLevel="1">
      <c r="A72" s="569"/>
      <c r="B72" s="572"/>
      <c r="C72" s="575"/>
      <c r="D72" s="578"/>
      <c r="E72" s="580"/>
      <c r="F72" s="578"/>
      <c r="G72" s="582"/>
      <c r="H72" s="578"/>
      <c r="I72" s="578"/>
      <c r="J72" s="578"/>
      <c r="K72" s="475"/>
      <c r="L72" s="476"/>
      <c r="M72" s="476"/>
      <c r="N72" s="476"/>
      <c r="O72" s="477"/>
      <c r="P72" s="565"/>
      <c r="Q72" s="565"/>
      <c r="R72" s="467"/>
    </row>
    <row r="73" spans="1:18" s="438" customFormat="1" outlineLevel="1">
      <c r="A73" s="569"/>
      <c r="B73" s="572"/>
      <c r="C73" s="575"/>
      <c r="D73" s="578"/>
      <c r="E73" s="580"/>
      <c r="F73" s="578"/>
      <c r="G73" s="582"/>
      <c r="H73" s="578"/>
      <c r="I73" s="578"/>
      <c r="J73" s="578"/>
      <c r="K73" s="475"/>
      <c r="L73" s="476"/>
      <c r="M73" s="476"/>
      <c r="N73" s="476"/>
      <c r="O73" s="477"/>
      <c r="P73" s="565"/>
      <c r="Q73" s="565"/>
      <c r="R73" s="467"/>
    </row>
    <row r="74" spans="1:18" s="438" customFormat="1" outlineLevel="1">
      <c r="A74" s="569"/>
      <c r="B74" s="572"/>
      <c r="C74" s="575"/>
      <c r="D74" s="578"/>
      <c r="E74" s="580"/>
      <c r="F74" s="578"/>
      <c r="G74" s="582"/>
      <c r="H74" s="578"/>
      <c r="I74" s="578"/>
      <c r="J74" s="578"/>
      <c r="K74" s="475"/>
      <c r="L74" s="476"/>
      <c r="M74" s="476"/>
      <c r="N74" s="476"/>
      <c r="O74" s="477"/>
      <c r="P74" s="565"/>
      <c r="Q74" s="565"/>
      <c r="R74" s="467"/>
    </row>
    <row r="75" spans="1:18" s="438" customFormat="1" outlineLevel="1">
      <c r="A75" s="569"/>
      <c r="B75" s="572"/>
      <c r="C75" s="575"/>
      <c r="D75" s="578"/>
      <c r="E75" s="580"/>
      <c r="F75" s="578"/>
      <c r="G75" s="582"/>
      <c r="H75" s="578"/>
      <c r="I75" s="578"/>
      <c r="J75" s="578"/>
      <c r="K75" s="475"/>
      <c r="L75" s="476"/>
      <c r="M75" s="476"/>
      <c r="N75" s="476"/>
      <c r="O75" s="477"/>
      <c r="P75" s="565"/>
      <c r="Q75" s="565"/>
      <c r="R75" s="467"/>
    </row>
    <row r="76" spans="1:18" s="438" customFormat="1" outlineLevel="1">
      <c r="A76" s="569"/>
      <c r="B76" s="572"/>
      <c r="C76" s="575"/>
      <c r="D76" s="578"/>
      <c r="E76" s="580"/>
      <c r="F76" s="578"/>
      <c r="G76" s="582"/>
      <c r="H76" s="578"/>
      <c r="I76" s="578"/>
      <c r="J76" s="578"/>
      <c r="K76" s="475"/>
      <c r="L76" s="476"/>
      <c r="M76" s="476"/>
      <c r="N76" s="476"/>
      <c r="O76" s="477"/>
      <c r="P76" s="565"/>
      <c r="Q76" s="565"/>
      <c r="R76" s="467"/>
    </row>
    <row r="77" spans="1:18" s="438" customFormat="1" outlineLevel="1">
      <c r="A77" s="569"/>
      <c r="B77" s="572"/>
      <c r="C77" s="575"/>
      <c r="D77" s="578"/>
      <c r="E77" s="580"/>
      <c r="F77" s="578"/>
      <c r="G77" s="582"/>
      <c r="H77" s="578"/>
      <c r="I77" s="578"/>
      <c r="J77" s="578"/>
      <c r="K77" s="475"/>
      <c r="L77" s="476"/>
      <c r="M77" s="476"/>
      <c r="N77" s="476"/>
      <c r="O77" s="477"/>
      <c r="P77" s="565"/>
      <c r="Q77" s="565"/>
      <c r="R77" s="467"/>
    </row>
    <row r="78" spans="1:18" s="438" customFormat="1" outlineLevel="1">
      <c r="A78" s="569"/>
      <c r="B78" s="572"/>
      <c r="C78" s="575"/>
      <c r="D78" s="578"/>
      <c r="E78" s="580"/>
      <c r="F78" s="578"/>
      <c r="G78" s="582"/>
      <c r="H78" s="578"/>
      <c r="I78" s="578"/>
      <c r="J78" s="578"/>
      <c r="K78" s="475"/>
      <c r="L78" s="476"/>
      <c r="M78" s="476"/>
      <c r="N78" s="476"/>
      <c r="O78" s="477"/>
      <c r="P78" s="565"/>
      <c r="Q78" s="565"/>
      <c r="R78" s="467"/>
    </row>
    <row r="79" spans="1:18" s="438" customFormat="1" outlineLevel="1">
      <c r="A79" s="569"/>
      <c r="B79" s="572"/>
      <c r="C79" s="575"/>
      <c r="D79" s="578"/>
      <c r="E79" s="580"/>
      <c r="F79" s="578"/>
      <c r="G79" s="582"/>
      <c r="H79" s="578"/>
      <c r="I79" s="578"/>
      <c r="J79" s="578"/>
      <c r="K79" s="475"/>
      <c r="L79" s="476"/>
      <c r="M79" s="476"/>
      <c r="N79" s="476"/>
      <c r="O79" s="477"/>
      <c r="P79" s="565"/>
      <c r="Q79" s="565"/>
      <c r="R79" s="467"/>
    </row>
    <row r="80" spans="1:18" s="438" customFormat="1" outlineLevel="1">
      <c r="A80" s="569"/>
      <c r="B80" s="572"/>
      <c r="C80" s="575"/>
      <c r="D80" s="578"/>
      <c r="E80" s="580"/>
      <c r="F80" s="578"/>
      <c r="G80" s="582"/>
      <c r="H80" s="578"/>
      <c r="I80" s="578"/>
      <c r="J80" s="578"/>
      <c r="K80" s="475"/>
      <c r="L80" s="476"/>
      <c r="M80" s="476"/>
      <c r="N80" s="476"/>
      <c r="O80" s="477"/>
      <c r="P80" s="565"/>
      <c r="Q80" s="565"/>
      <c r="R80" s="467"/>
    </row>
    <row r="81" spans="1:18" s="438" customFormat="1" outlineLevel="1">
      <c r="A81" s="569"/>
      <c r="B81" s="572"/>
      <c r="C81" s="575"/>
      <c r="D81" s="578"/>
      <c r="E81" s="580"/>
      <c r="F81" s="578"/>
      <c r="G81" s="582"/>
      <c r="H81" s="578"/>
      <c r="I81" s="578"/>
      <c r="J81" s="578"/>
      <c r="K81" s="475"/>
      <c r="L81" s="476"/>
      <c r="M81" s="476"/>
      <c r="N81" s="476"/>
      <c r="O81" s="477"/>
      <c r="P81" s="565"/>
      <c r="Q81" s="565"/>
      <c r="R81" s="467"/>
    </row>
    <row r="82" spans="1:18" s="438" customFormat="1" outlineLevel="1">
      <c r="A82" s="569"/>
      <c r="B82" s="572"/>
      <c r="C82" s="575"/>
      <c r="D82" s="578"/>
      <c r="E82" s="580"/>
      <c r="F82" s="578"/>
      <c r="G82" s="582"/>
      <c r="H82" s="578"/>
      <c r="I82" s="578"/>
      <c r="J82" s="578"/>
      <c r="K82" s="475"/>
      <c r="L82" s="476"/>
      <c r="M82" s="476"/>
      <c r="N82" s="476"/>
      <c r="O82" s="477"/>
      <c r="P82" s="565"/>
      <c r="Q82" s="565"/>
      <c r="R82" s="467"/>
    </row>
    <row r="83" spans="1:18" s="438" customFormat="1" outlineLevel="1">
      <c r="A83" s="569"/>
      <c r="B83" s="572"/>
      <c r="C83" s="575"/>
      <c r="D83" s="578"/>
      <c r="E83" s="580"/>
      <c r="F83" s="578"/>
      <c r="G83" s="582"/>
      <c r="H83" s="578"/>
      <c r="I83" s="578"/>
      <c r="J83" s="578"/>
      <c r="K83" s="475"/>
      <c r="L83" s="476"/>
      <c r="M83" s="476"/>
      <c r="N83" s="476"/>
      <c r="O83" s="477"/>
      <c r="P83" s="565"/>
      <c r="Q83" s="565"/>
      <c r="R83" s="467"/>
    </row>
    <row r="84" spans="1:18" s="438" customFormat="1" outlineLevel="1">
      <c r="A84" s="570"/>
      <c r="B84" s="573"/>
      <c r="C84" s="576"/>
      <c r="D84" s="579"/>
      <c r="E84" s="580"/>
      <c r="F84" s="579"/>
      <c r="G84" s="583"/>
      <c r="H84" s="579"/>
      <c r="I84" s="579"/>
      <c r="J84" s="579"/>
      <c r="K84" s="475"/>
      <c r="L84" s="476"/>
      <c r="M84" s="476"/>
      <c r="N84" s="476"/>
      <c r="O84" s="477"/>
      <c r="P84" s="566"/>
      <c r="Q84" s="566"/>
      <c r="R84" s="467"/>
    </row>
    <row r="85" spans="1:18" s="438" customFormat="1" outlineLevel="1">
      <c r="A85" s="568"/>
      <c r="B85" s="572"/>
      <c r="C85" s="574"/>
      <c r="D85" s="578"/>
      <c r="E85" s="580"/>
      <c r="F85" s="578"/>
      <c r="G85" s="581"/>
      <c r="H85" s="577"/>
      <c r="I85" s="577"/>
      <c r="J85" s="577"/>
      <c r="K85" s="472"/>
      <c r="L85" s="478"/>
      <c r="M85" s="476"/>
      <c r="N85" s="476"/>
      <c r="O85" s="477"/>
      <c r="P85" s="594"/>
      <c r="Q85" s="594"/>
      <c r="R85" s="467"/>
    </row>
    <row r="86" spans="1:18" s="438" customFormat="1" outlineLevel="1">
      <c r="A86" s="569"/>
      <c r="B86" s="572"/>
      <c r="C86" s="575"/>
      <c r="D86" s="578"/>
      <c r="E86" s="580"/>
      <c r="F86" s="578"/>
      <c r="G86" s="582"/>
      <c r="H86" s="578"/>
      <c r="I86" s="578"/>
      <c r="J86" s="578"/>
      <c r="K86" s="475"/>
      <c r="L86" s="476"/>
      <c r="M86" s="476"/>
      <c r="N86" s="476"/>
      <c r="O86" s="477"/>
      <c r="P86" s="565"/>
      <c r="Q86" s="565"/>
      <c r="R86" s="467"/>
    </row>
    <row r="87" spans="1:18" s="438" customFormat="1" outlineLevel="1">
      <c r="A87" s="569"/>
      <c r="B87" s="572"/>
      <c r="C87" s="575"/>
      <c r="D87" s="578"/>
      <c r="E87" s="580"/>
      <c r="F87" s="578"/>
      <c r="G87" s="582"/>
      <c r="H87" s="578"/>
      <c r="I87" s="578"/>
      <c r="J87" s="578"/>
      <c r="K87" s="475"/>
      <c r="L87" s="476"/>
      <c r="M87" s="476"/>
      <c r="N87" s="476"/>
      <c r="O87" s="477"/>
      <c r="P87" s="565"/>
      <c r="Q87" s="565"/>
      <c r="R87" s="467"/>
    </row>
    <row r="88" spans="1:18" s="438" customFormat="1" outlineLevel="1">
      <c r="A88" s="569"/>
      <c r="B88" s="572"/>
      <c r="C88" s="575"/>
      <c r="D88" s="578"/>
      <c r="E88" s="580"/>
      <c r="F88" s="578"/>
      <c r="G88" s="582"/>
      <c r="H88" s="578"/>
      <c r="I88" s="578"/>
      <c r="J88" s="578"/>
      <c r="K88" s="475"/>
      <c r="L88" s="476"/>
      <c r="M88" s="476"/>
      <c r="N88" s="476"/>
      <c r="O88" s="477"/>
      <c r="P88" s="565"/>
      <c r="Q88" s="565"/>
      <c r="R88" s="467"/>
    </row>
    <row r="89" spans="1:18" s="438" customFormat="1" outlineLevel="1">
      <c r="A89" s="569"/>
      <c r="B89" s="572"/>
      <c r="C89" s="575"/>
      <c r="D89" s="578"/>
      <c r="E89" s="580"/>
      <c r="F89" s="578"/>
      <c r="G89" s="582"/>
      <c r="H89" s="578"/>
      <c r="I89" s="578"/>
      <c r="J89" s="578"/>
      <c r="K89" s="475"/>
      <c r="L89" s="476"/>
      <c r="M89" s="476"/>
      <c r="N89" s="476"/>
      <c r="O89" s="477"/>
      <c r="P89" s="565"/>
      <c r="Q89" s="565"/>
      <c r="R89" s="467"/>
    </row>
    <row r="90" spans="1:18" s="438" customFormat="1" outlineLevel="1">
      <c r="A90" s="569"/>
      <c r="B90" s="572"/>
      <c r="C90" s="575"/>
      <c r="D90" s="578"/>
      <c r="E90" s="580"/>
      <c r="F90" s="578"/>
      <c r="G90" s="582"/>
      <c r="H90" s="578"/>
      <c r="I90" s="578"/>
      <c r="J90" s="578"/>
      <c r="K90" s="475"/>
      <c r="L90" s="476"/>
      <c r="M90" s="476"/>
      <c r="N90" s="476"/>
      <c r="O90" s="477"/>
      <c r="P90" s="565"/>
      <c r="Q90" s="565"/>
      <c r="R90" s="467"/>
    </row>
    <row r="91" spans="1:18" s="438" customFormat="1" outlineLevel="1">
      <c r="A91" s="569"/>
      <c r="B91" s="572"/>
      <c r="C91" s="575"/>
      <c r="D91" s="578"/>
      <c r="E91" s="580"/>
      <c r="F91" s="578"/>
      <c r="G91" s="582"/>
      <c r="H91" s="578"/>
      <c r="I91" s="578"/>
      <c r="J91" s="578"/>
      <c r="K91" s="475"/>
      <c r="L91" s="476"/>
      <c r="M91" s="476"/>
      <c r="N91" s="476"/>
      <c r="O91" s="477"/>
      <c r="P91" s="565"/>
      <c r="Q91" s="565"/>
      <c r="R91" s="467"/>
    </row>
    <row r="92" spans="1:18" s="438" customFormat="1" outlineLevel="1">
      <c r="A92" s="569"/>
      <c r="B92" s="572"/>
      <c r="C92" s="575"/>
      <c r="D92" s="578"/>
      <c r="E92" s="580"/>
      <c r="F92" s="578"/>
      <c r="G92" s="582"/>
      <c r="H92" s="578"/>
      <c r="I92" s="578"/>
      <c r="J92" s="578"/>
      <c r="K92" s="475"/>
      <c r="L92" s="476"/>
      <c r="M92" s="476"/>
      <c r="N92" s="476"/>
      <c r="O92" s="477"/>
      <c r="P92" s="565"/>
      <c r="Q92" s="565"/>
      <c r="R92" s="467"/>
    </row>
    <row r="93" spans="1:18" s="438" customFormat="1" outlineLevel="1">
      <c r="A93" s="569"/>
      <c r="B93" s="572"/>
      <c r="C93" s="575"/>
      <c r="D93" s="578"/>
      <c r="E93" s="580"/>
      <c r="F93" s="578"/>
      <c r="G93" s="582"/>
      <c r="H93" s="578"/>
      <c r="I93" s="578"/>
      <c r="J93" s="578"/>
      <c r="K93" s="475"/>
      <c r="L93" s="476"/>
      <c r="M93" s="476"/>
      <c r="N93" s="476"/>
      <c r="O93" s="477"/>
      <c r="P93" s="565"/>
      <c r="Q93" s="565"/>
      <c r="R93" s="467"/>
    </row>
    <row r="94" spans="1:18" s="438" customFormat="1" outlineLevel="1">
      <c r="A94" s="569"/>
      <c r="B94" s="572"/>
      <c r="C94" s="575"/>
      <c r="D94" s="578"/>
      <c r="E94" s="580"/>
      <c r="F94" s="578"/>
      <c r="G94" s="582"/>
      <c r="H94" s="578"/>
      <c r="I94" s="578"/>
      <c r="J94" s="578"/>
      <c r="K94" s="475"/>
      <c r="L94" s="476"/>
      <c r="M94" s="476"/>
      <c r="N94" s="476"/>
      <c r="O94" s="477"/>
      <c r="P94" s="565"/>
      <c r="Q94" s="565"/>
      <c r="R94" s="467"/>
    </row>
    <row r="95" spans="1:18" s="438" customFormat="1" outlineLevel="1">
      <c r="A95" s="569"/>
      <c r="B95" s="572"/>
      <c r="C95" s="575"/>
      <c r="D95" s="578"/>
      <c r="E95" s="580"/>
      <c r="F95" s="578"/>
      <c r="G95" s="582"/>
      <c r="H95" s="578"/>
      <c r="I95" s="578"/>
      <c r="J95" s="578"/>
      <c r="K95" s="475"/>
      <c r="L95" s="476"/>
      <c r="M95" s="476"/>
      <c r="N95" s="476"/>
      <c r="O95" s="477"/>
      <c r="P95" s="565"/>
      <c r="Q95" s="565"/>
      <c r="R95" s="467"/>
    </row>
    <row r="96" spans="1:18" s="438" customFormat="1" outlineLevel="1">
      <c r="A96" s="569"/>
      <c r="B96" s="572"/>
      <c r="C96" s="575"/>
      <c r="D96" s="578"/>
      <c r="E96" s="580"/>
      <c r="F96" s="578"/>
      <c r="G96" s="582"/>
      <c r="H96" s="578"/>
      <c r="I96" s="578"/>
      <c r="J96" s="578"/>
      <c r="K96" s="475"/>
      <c r="L96" s="476"/>
      <c r="M96" s="476"/>
      <c r="N96" s="476"/>
      <c r="O96" s="477"/>
      <c r="P96" s="565"/>
      <c r="Q96" s="565"/>
      <c r="R96" s="467"/>
    </row>
    <row r="97" spans="1:18" s="438" customFormat="1" outlineLevel="1">
      <c r="A97" s="569"/>
      <c r="B97" s="572"/>
      <c r="C97" s="575"/>
      <c r="D97" s="578"/>
      <c r="E97" s="580"/>
      <c r="F97" s="578"/>
      <c r="G97" s="582"/>
      <c r="H97" s="578"/>
      <c r="I97" s="578"/>
      <c r="J97" s="578"/>
      <c r="K97" s="475"/>
      <c r="L97" s="476"/>
      <c r="M97" s="476"/>
      <c r="N97" s="476"/>
      <c r="O97" s="477"/>
      <c r="P97" s="565"/>
      <c r="Q97" s="565"/>
      <c r="R97" s="467"/>
    </row>
    <row r="98" spans="1:18" s="438" customFormat="1" outlineLevel="1">
      <c r="A98" s="569"/>
      <c r="B98" s="572"/>
      <c r="C98" s="575"/>
      <c r="D98" s="578"/>
      <c r="E98" s="580"/>
      <c r="F98" s="578"/>
      <c r="G98" s="582"/>
      <c r="H98" s="578"/>
      <c r="I98" s="578"/>
      <c r="J98" s="578"/>
      <c r="K98" s="475"/>
      <c r="L98" s="476"/>
      <c r="M98" s="476"/>
      <c r="N98" s="476"/>
      <c r="O98" s="477"/>
      <c r="P98" s="565"/>
      <c r="Q98" s="565"/>
      <c r="R98" s="467"/>
    </row>
    <row r="99" spans="1:18" s="438" customFormat="1" outlineLevel="1">
      <c r="A99" s="569"/>
      <c r="B99" s="572"/>
      <c r="C99" s="575"/>
      <c r="D99" s="578"/>
      <c r="E99" s="580"/>
      <c r="F99" s="578"/>
      <c r="G99" s="582"/>
      <c r="H99" s="578"/>
      <c r="I99" s="578"/>
      <c r="J99" s="578"/>
      <c r="K99" s="475"/>
      <c r="L99" s="476"/>
      <c r="M99" s="476"/>
      <c r="N99" s="476"/>
      <c r="O99" s="477"/>
      <c r="P99" s="565"/>
      <c r="Q99" s="565"/>
      <c r="R99" s="467"/>
    </row>
    <row r="100" spans="1:18" s="438" customFormat="1" outlineLevel="1">
      <c r="A100" s="570"/>
      <c r="B100" s="573"/>
      <c r="C100" s="576"/>
      <c r="D100" s="579"/>
      <c r="E100" s="580"/>
      <c r="F100" s="579"/>
      <c r="G100" s="583"/>
      <c r="H100" s="579"/>
      <c r="I100" s="579"/>
      <c r="J100" s="579"/>
      <c r="K100" s="475"/>
      <c r="L100" s="476"/>
      <c r="M100" s="476"/>
      <c r="N100" s="476"/>
      <c r="O100" s="477"/>
      <c r="P100" s="566"/>
      <c r="Q100" s="566"/>
      <c r="R100" s="467"/>
    </row>
    <row r="101" spans="1:18" s="438" customFormat="1" outlineLevel="1">
      <c r="A101" s="568"/>
      <c r="B101" s="587"/>
      <c r="C101" s="595"/>
      <c r="D101" s="565"/>
      <c r="E101" s="596"/>
      <c r="F101" s="565"/>
      <c r="G101" s="597"/>
      <c r="H101" s="594"/>
      <c r="I101" s="594"/>
      <c r="J101" s="594"/>
      <c r="K101" s="458"/>
      <c r="L101" s="459"/>
      <c r="M101" s="460"/>
      <c r="N101" s="459"/>
      <c r="O101" s="261"/>
      <c r="P101" s="594"/>
      <c r="Q101" s="594"/>
      <c r="R101" s="467"/>
    </row>
    <row r="102" spans="1:18" s="438" customFormat="1" outlineLevel="1">
      <c r="A102" s="569"/>
      <c r="B102" s="587"/>
      <c r="C102" s="589"/>
      <c r="D102" s="565"/>
      <c r="E102" s="596"/>
      <c r="F102" s="565"/>
      <c r="G102" s="592"/>
      <c r="H102" s="565"/>
      <c r="I102" s="565"/>
      <c r="J102" s="565"/>
      <c r="K102" s="466"/>
      <c r="L102" s="459"/>
      <c r="M102" s="460"/>
      <c r="N102" s="459"/>
      <c r="O102" s="261"/>
      <c r="P102" s="565"/>
      <c r="Q102" s="565"/>
      <c r="R102" s="467"/>
    </row>
    <row r="103" spans="1:18" s="438" customFormat="1" outlineLevel="1">
      <c r="A103" s="569"/>
      <c r="B103" s="587"/>
      <c r="C103" s="589"/>
      <c r="D103" s="565"/>
      <c r="E103" s="596"/>
      <c r="F103" s="565"/>
      <c r="G103" s="592"/>
      <c r="H103" s="565"/>
      <c r="I103" s="565"/>
      <c r="J103" s="565"/>
      <c r="K103" s="466"/>
      <c r="L103" s="459"/>
      <c r="M103" s="460"/>
      <c r="N103" s="459"/>
      <c r="O103" s="261"/>
      <c r="P103" s="565"/>
      <c r="Q103" s="565"/>
      <c r="R103" s="467"/>
    </row>
    <row r="104" spans="1:18" s="438" customFormat="1" outlineLevel="1">
      <c r="A104" s="569"/>
      <c r="B104" s="587"/>
      <c r="C104" s="589"/>
      <c r="D104" s="565"/>
      <c r="E104" s="596"/>
      <c r="F104" s="565"/>
      <c r="G104" s="592"/>
      <c r="H104" s="565"/>
      <c r="I104" s="565"/>
      <c r="J104" s="565"/>
      <c r="K104" s="466"/>
      <c r="L104" s="459"/>
      <c r="M104" s="460"/>
      <c r="N104" s="459"/>
      <c r="O104" s="261"/>
      <c r="P104" s="565"/>
      <c r="Q104" s="565"/>
      <c r="R104" s="467"/>
    </row>
    <row r="105" spans="1:18" s="438" customFormat="1" outlineLevel="1">
      <c r="A105" s="569"/>
      <c r="B105" s="587"/>
      <c r="C105" s="589"/>
      <c r="D105" s="565"/>
      <c r="E105" s="596"/>
      <c r="F105" s="565"/>
      <c r="G105" s="592"/>
      <c r="H105" s="565"/>
      <c r="I105" s="565"/>
      <c r="J105" s="565"/>
      <c r="K105" s="466"/>
      <c r="L105" s="459"/>
      <c r="M105" s="460"/>
      <c r="N105" s="459"/>
      <c r="O105" s="261"/>
      <c r="P105" s="565"/>
      <c r="Q105" s="565"/>
      <c r="R105" s="467"/>
    </row>
    <row r="106" spans="1:18" s="438" customFormat="1" outlineLevel="1">
      <c r="A106" s="569"/>
      <c r="B106" s="587"/>
      <c r="C106" s="589"/>
      <c r="D106" s="565"/>
      <c r="E106" s="596"/>
      <c r="F106" s="565"/>
      <c r="G106" s="592"/>
      <c r="H106" s="565"/>
      <c r="I106" s="565"/>
      <c r="J106" s="565"/>
      <c r="K106" s="466"/>
      <c r="L106" s="459"/>
      <c r="M106" s="460"/>
      <c r="N106" s="459"/>
      <c r="O106" s="261"/>
      <c r="P106" s="565"/>
      <c r="Q106" s="565"/>
      <c r="R106" s="467"/>
    </row>
    <row r="107" spans="1:18" s="438" customFormat="1" outlineLevel="1">
      <c r="A107" s="569"/>
      <c r="B107" s="587"/>
      <c r="C107" s="589"/>
      <c r="D107" s="565"/>
      <c r="E107" s="596"/>
      <c r="F107" s="565"/>
      <c r="G107" s="592"/>
      <c r="H107" s="565"/>
      <c r="I107" s="565"/>
      <c r="J107" s="565"/>
      <c r="K107" s="466"/>
      <c r="L107" s="459"/>
      <c r="M107" s="460"/>
      <c r="N107" s="459"/>
      <c r="O107" s="261"/>
      <c r="P107" s="565"/>
      <c r="Q107" s="565"/>
      <c r="R107" s="467"/>
    </row>
    <row r="108" spans="1:18" s="438" customFormat="1" outlineLevel="1">
      <c r="A108" s="569"/>
      <c r="B108" s="587"/>
      <c r="C108" s="589"/>
      <c r="D108" s="565"/>
      <c r="E108" s="596"/>
      <c r="F108" s="565"/>
      <c r="G108" s="592"/>
      <c r="H108" s="565"/>
      <c r="I108" s="565"/>
      <c r="J108" s="565"/>
      <c r="K108" s="466"/>
      <c r="L108" s="459"/>
      <c r="M108" s="460"/>
      <c r="N108" s="459"/>
      <c r="O108" s="261"/>
      <c r="P108" s="565"/>
      <c r="Q108" s="565"/>
      <c r="R108" s="467"/>
    </row>
    <row r="109" spans="1:18" s="438" customFormat="1" outlineLevel="1">
      <c r="A109" s="569"/>
      <c r="B109" s="587"/>
      <c r="C109" s="589"/>
      <c r="D109" s="565"/>
      <c r="E109" s="596"/>
      <c r="F109" s="565"/>
      <c r="G109" s="592"/>
      <c r="H109" s="565"/>
      <c r="I109" s="565"/>
      <c r="J109" s="565"/>
      <c r="K109" s="466"/>
      <c r="L109" s="459"/>
      <c r="M109" s="460"/>
      <c r="N109" s="459"/>
      <c r="O109" s="261"/>
      <c r="P109" s="565"/>
      <c r="Q109" s="565"/>
      <c r="R109" s="467"/>
    </row>
    <row r="110" spans="1:18" s="438" customFormat="1" outlineLevel="1">
      <c r="A110" s="569"/>
      <c r="B110" s="587"/>
      <c r="C110" s="589"/>
      <c r="D110" s="565"/>
      <c r="E110" s="596"/>
      <c r="F110" s="565"/>
      <c r="G110" s="592"/>
      <c r="H110" s="565"/>
      <c r="I110" s="565"/>
      <c r="J110" s="565"/>
      <c r="K110" s="466"/>
      <c r="L110" s="459"/>
      <c r="M110" s="460"/>
      <c r="N110" s="459"/>
      <c r="O110" s="261"/>
      <c r="P110" s="565"/>
      <c r="Q110" s="565"/>
      <c r="R110" s="467"/>
    </row>
    <row r="111" spans="1:18" s="438" customFormat="1" outlineLevel="1">
      <c r="A111" s="569"/>
      <c r="B111" s="587"/>
      <c r="C111" s="589"/>
      <c r="D111" s="565"/>
      <c r="E111" s="596"/>
      <c r="F111" s="565"/>
      <c r="G111" s="592"/>
      <c r="H111" s="565"/>
      <c r="I111" s="565"/>
      <c r="J111" s="565"/>
      <c r="K111" s="466"/>
      <c r="L111" s="459"/>
      <c r="M111" s="460"/>
      <c r="N111" s="459"/>
      <c r="O111" s="261"/>
      <c r="P111" s="565"/>
      <c r="Q111" s="565"/>
      <c r="R111" s="467"/>
    </row>
    <row r="112" spans="1:18" s="438" customFormat="1" outlineLevel="1">
      <c r="A112" s="569"/>
      <c r="B112" s="587"/>
      <c r="C112" s="589"/>
      <c r="D112" s="565"/>
      <c r="E112" s="596"/>
      <c r="F112" s="565"/>
      <c r="G112" s="592"/>
      <c r="H112" s="565"/>
      <c r="I112" s="565"/>
      <c r="J112" s="565"/>
      <c r="K112" s="466"/>
      <c r="L112" s="459"/>
      <c r="M112" s="460"/>
      <c r="N112" s="459"/>
      <c r="O112" s="261"/>
      <c r="P112" s="565"/>
      <c r="Q112" s="565"/>
      <c r="R112" s="467"/>
    </row>
    <row r="113" spans="1:18" s="438" customFormat="1" outlineLevel="1">
      <c r="A113" s="569"/>
      <c r="B113" s="587"/>
      <c r="C113" s="589"/>
      <c r="D113" s="565"/>
      <c r="E113" s="596"/>
      <c r="F113" s="565"/>
      <c r="G113" s="592"/>
      <c r="H113" s="565"/>
      <c r="I113" s="565"/>
      <c r="J113" s="565"/>
      <c r="K113" s="466"/>
      <c r="L113" s="459"/>
      <c r="M113" s="460"/>
      <c r="N113" s="459"/>
      <c r="O113" s="261"/>
      <c r="P113" s="565"/>
      <c r="Q113" s="565"/>
      <c r="R113" s="467"/>
    </row>
    <row r="114" spans="1:18" s="438" customFormat="1" outlineLevel="1">
      <c r="A114" s="569"/>
      <c r="B114" s="587"/>
      <c r="C114" s="589"/>
      <c r="D114" s="565"/>
      <c r="E114" s="596"/>
      <c r="F114" s="565"/>
      <c r="G114" s="592"/>
      <c r="H114" s="565"/>
      <c r="I114" s="565"/>
      <c r="J114" s="565"/>
      <c r="K114" s="466"/>
      <c r="L114" s="459"/>
      <c r="M114" s="460"/>
      <c r="N114" s="459"/>
      <c r="O114" s="261"/>
      <c r="P114" s="565"/>
      <c r="Q114" s="565"/>
      <c r="R114" s="467"/>
    </row>
    <row r="115" spans="1:18" s="438" customFormat="1" outlineLevel="1">
      <c r="A115" s="569"/>
      <c r="B115" s="587"/>
      <c r="C115" s="589"/>
      <c r="D115" s="565"/>
      <c r="E115" s="596"/>
      <c r="F115" s="565"/>
      <c r="G115" s="592"/>
      <c r="H115" s="565"/>
      <c r="I115" s="565"/>
      <c r="J115" s="565"/>
      <c r="K115" s="466"/>
      <c r="L115" s="459"/>
      <c r="M115" s="460"/>
      <c r="N115" s="459"/>
      <c r="O115" s="261"/>
      <c r="P115" s="565"/>
      <c r="Q115" s="565"/>
      <c r="R115" s="467"/>
    </row>
    <row r="116" spans="1:18" s="438" customFormat="1" outlineLevel="1">
      <c r="A116" s="570"/>
      <c r="B116" s="588"/>
      <c r="C116" s="590"/>
      <c r="D116" s="566"/>
      <c r="E116" s="596"/>
      <c r="F116" s="566"/>
      <c r="G116" s="593"/>
      <c r="H116" s="566"/>
      <c r="I116" s="566"/>
      <c r="J116" s="566"/>
      <c r="K116" s="466"/>
      <c r="L116" s="459"/>
      <c r="M116" s="460"/>
      <c r="N116" s="459"/>
      <c r="O116" s="261"/>
      <c r="P116" s="566"/>
      <c r="Q116" s="566"/>
      <c r="R116" s="467"/>
    </row>
    <row r="117" spans="1:18" s="438" customFormat="1" outlineLevel="1">
      <c r="A117" s="568"/>
      <c r="B117" s="587"/>
      <c r="C117" s="595"/>
      <c r="D117" s="565"/>
      <c r="E117" s="596"/>
      <c r="F117" s="565"/>
      <c r="G117" s="597"/>
      <c r="H117" s="594"/>
      <c r="I117" s="594"/>
      <c r="J117" s="594"/>
      <c r="K117" s="458"/>
      <c r="L117" s="459"/>
      <c r="M117" s="460"/>
      <c r="N117" s="459"/>
      <c r="O117" s="261"/>
      <c r="P117" s="594"/>
      <c r="Q117" s="594"/>
      <c r="R117" s="467"/>
    </row>
    <row r="118" spans="1:18" s="438" customFormat="1" outlineLevel="1">
      <c r="A118" s="569"/>
      <c r="B118" s="587"/>
      <c r="C118" s="589"/>
      <c r="D118" s="565"/>
      <c r="E118" s="596"/>
      <c r="F118" s="565"/>
      <c r="G118" s="592"/>
      <c r="H118" s="565"/>
      <c r="I118" s="565"/>
      <c r="J118" s="565"/>
      <c r="K118" s="466"/>
      <c r="L118" s="459"/>
      <c r="M118" s="460"/>
      <c r="N118" s="459"/>
      <c r="O118" s="261"/>
      <c r="P118" s="565"/>
      <c r="Q118" s="565"/>
      <c r="R118" s="467"/>
    </row>
    <row r="119" spans="1:18" s="438" customFormat="1" outlineLevel="1">
      <c r="A119" s="569"/>
      <c r="B119" s="587"/>
      <c r="C119" s="589"/>
      <c r="D119" s="565"/>
      <c r="E119" s="596"/>
      <c r="F119" s="565"/>
      <c r="G119" s="592"/>
      <c r="H119" s="565"/>
      <c r="I119" s="565"/>
      <c r="J119" s="565"/>
      <c r="K119" s="466"/>
      <c r="L119" s="459"/>
      <c r="M119" s="460"/>
      <c r="N119" s="459"/>
      <c r="O119" s="261"/>
      <c r="P119" s="565"/>
      <c r="Q119" s="565"/>
      <c r="R119" s="467"/>
    </row>
    <row r="120" spans="1:18" s="438" customFormat="1" outlineLevel="1">
      <c r="A120" s="569"/>
      <c r="B120" s="587"/>
      <c r="C120" s="589"/>
      <c r="D120" s="565"/>
      <c r="E120" s="596"/>
      <c r="F120" s="565"/>
      <c r="G120" s="592"/>
      <c r="H120" s="565"/>
      <c r="I120" s="565"/>
      <c r="J120" s="565"/>
      <c r="K120" s="466"/>
      <c r="L120" s="459"/>
      <c r="M120" s="460"/>
      <c r="N120" s="459"/>
      <c r="O120" s="261"/>
      <c r="P120" s="565"/>
      <c r="Q120" s="565"/>
      <c r="R120" s="467"/>
    </row>
    <row r="121" spans="1:18" s="438" customFormat="1" outlineLevel="1">
      <c r="A121" s="569"/>
      <c r="B121" s="587"/>
      <c r="C121" s="589"/>
      <c r="D121" s="565"/>
      <c r="E121" s="596"/>
      <c r="F121" s="565"/>
      <c r="G121" s="592"/>
      <c r="H121" s="565"/>
      <c r="I121" s="565"/>
      <c r="J121" s="565"/>
      <c r="K121" s="466"/>
      <c r="L121" s="459"/>
      <c r="M121" s="460"/>
      <c r="N121" s="459"/>
      <c r="O121" s="261"/>
      <c r="P121" s="565"/>
      <c r="Q121" s="565"/>
      <c r="R121" s="467"/>
    </row>
    <row r="122" spans="1:18" s="438" customFormat="1" outlineLevel="1">
      <c r="A122" s="569"/>
      <c r="B122" s="587"/>
      <c r="C122" s="589"/>
      <c r="D122" s="565"/>
      <c r="E122" s="596"/>
      <c r="F122" s="565"/>
      <c r="G122" s="592"/>
      <c r="H122" s="565"/>
      <c r="I122" s="565"/>
      <c r="J122" s="565"/>
      <c r="K122" s="466"/>
      <c r="L122" s="459"/>
      <c r="M122" s="460"/>
      <c r="N122" s="459"/>
      <c r="O122" s="261"/>
      <c r="P122" s="565"/>
      <c r="Q122" s="565"/>
      <c r="R122" s="467"/>
    </row>
    <row r="123" spans="1:18" s="438" customFormat="1" outlineLevel="1">
      <c r="A123" s="569"/>
      <c r="B123" s="587"/>
      <c r="C123" s="589"/>
      <c r="D123" s="565"/>
      <c r="E123" s="596"/>
      <c r="F123" s="565"/>
      <c r="G123" s="592"/>
      <c r="H123" s="565"/>
      <c r="I123" s="565"/>
      <c r="J123" s="565"/>
      <c r="K123" s="466"/>
      <c r="L123" s="459"/>
      <c r="M123" s="460"/>
      <c r="N123" s="459"/>
      <c r="O123" s="261"/>
      <c r="P123" s="565"/>
      <c r="Q123" s="565"/>
      <c r="R123" s="467"/>
    </row>
    <row r="124" spans="1:18" s="438" customFormat="1" outlineLevel="1">
      <c r="A124" s="569"/>
      <c r="B124" s="587"/>
      <c r="C124" s="589"/>
      <c r="D124" s="565"/>
      <c r="E124" s="596"/>
      <c r="F124" s="565"/>
      <c r="G124" s="592"/>
      <c r="H124" s="565"/>
      <c r="I124" s="565"/>
      <c r="J124" s="565"/>
      <c r="K124" s="466"/>
      <c r="L124" s="459"/>
      <c r="M124" s="460"/>
      <c r="N124" s="459"/>
      <c r="O124" s="261"/>
      <c r="P124" s="565"/>
      <c r="Q124" s="565"/>
      <c r="R124" s="467"/>
    </row>
    <row r="125" spans="1:18" s="438" customFormat="1" outlineLevel="1">
      <c r="A125" s="569"/>
      <c r="B125" s="587"/>
      <c r="C125" s="589"/>
      <c r="D125" s="565"/>
      <c r="E125" s="596"/>
      <c r="F125" s="565"/>
      <c r="G125" s="592"/>
      <c r="H125" s="565"/>
      <c r="I125" s="565"/>
      <c r="J125" s="565"/>
      <c r="K125" s="466"/>
      <c r="L125" s="459"/>
      <c r="M125" s="460"/>
      <c r="N125" s="459"/>
      <c r="O125" s="261"/>
      <c r="P125" s="565"/>
      <c r="Q125" s="565"/>
      <c r="R125" s="467"/>
    </row>
    <row r="126" spans="1:18" s="438" customFormat="1" outlineLevel="1">
      <c r="A126" s="569"/>
      <c r="B126" s="587"/>
      <c r="C126" s="589"/>
      <c r="D126" s="565"/>
      <c r="E126" s="596"/>
      <c r="F126" s="565"/>
      <c r="G126" s="592"/>
      <c r="H126" s="565"/>
      <c r="I126" s="565"/>
      <c r="J126" s="565"/>
      <c r="K126" s="466"/>
      <c r="L126" s="459"/>
      <c r="M126" s="460"/>
      <c r="N126" s="459"/>
      <c r="O126" s="261"/>
      <c r="P126" s="565"/>
      <c r="Q126" s="565"/>
      <c r="R126" s="467"/>
    </row>
    <row r="127" spans="1:18" s="438" customFormat="1" outlineLevel="1">
      <c r="A127" s="569"/>
      <c r="B127" s="587"/>
      <c r="C127" s="589"/>
      <c r="D127" s="565"/>
      <c r="E127" s="596"/>
      <c r="F127" s="565"/>
      <c r="G127" s="592"/>
      <c r="H127" s="565"/>
      <c r="I127" s="565"/>
      <c r="J127" s="565"/>
      <c r="K127" s="466"/>
      <c r="L127" s="459"/>
      <c r="M127" s="460"/>
      <c r="N127" s="459"/>
      <c r="O127" s="261"/>
      <c r="P127" s="565"/>
      <c r="Q127" s="565"/>
      <c r="R127" s="467"/>
    </row>
    <row r="128" spans="1:18" s="438" customFormat="1" outlineLevel="1">
      <c r="A128" s="569"/>
      <c r="B128" s="587"/>
      <c r="C128" s="589"/>
      <c r="D128" s="565"/>
      <c r="E128" s="596"/>
      <c r="F128" s="565"/>
      <c r="G128" s="592"/>
      <c r="H128" s="565"/>
      <c r="I128" s="565"/>
      <c r="J128" s="565"/>
      <c r="K128" s="466"/>
      <c r="L128" s="459"/>
      <c r="M128" s="460"/>
      <c r="N128" s="459"/>
      <c r="O128" s="261"/>
      <c r="P128" s="565"/>
      <c r="Q128" s="565"/>
      <c r="R128" s="467"/>
    </row>
    <row r="129" spans="1:18" s="438" customFormat="1" outlineLevel="1">
      <c r="A129" s="569"/>
      <c r="B129" s="587"/>
      <c r="C129" s="589"/>
      <c r="D129" s="565"/>
      <c r="E129" s="596"/>
      <c r="F129" s="565"/>
      <c r="G129" s="592"/>
      <c r="H129" s="565"/>
      <c r="I129" s="565"/>
      <c r="J129" s="565"/>
      <c r="K129" s="466"/>
      <c r="L129" s="459"/>
      <c r="M129" s="460"/>
      <c r="N129" s="459"/>
      <c r="O129" s="261"/>
      <c r="P129" s="565"/>
      <c r="Q129" s="565"/>
      <c r="R129" s="467"/>
    </row>
    <row r="130" spans="1:18" s="438" customFormat="1" outlineLevel="1">
      <c r="A130" s="569"/>
      <c r="B130" s="587"/>
      <c r="C130" s="589"/>
      <c r="D130" s="565"/>
      <c r="E130" s="596"/>
      <c r="F130" s="565"/>
      <c r="G130" s="592"/>
      <c r="H130" s="565"/>
      <c r="I130" s="565"/>
      <c r="J130" s="565"/>
      <c r="K130" s="466"/>
      <c r="L130" s="459"/>
      <c r="M130" s="460"/>
      <c r="N130" s="459"/>
      <c r="O130" s="261"/>
      <c r="P130" s="565"/>
      <c r="Q130" s="565"/>
      <c r="R130" s="467"/>
    </row>
    <row r="131" spans="1:18" s="438" customFormat="1" outlineLevel="1">
      <c r="A131" s="569"/>
      <c r="B131" s="587"/>
      <c r="C131" s="589"/>
      <c r="D131" s="565"/>
      <c r="E131" s="596"/>
      <c r="F131" s="565"/>
      <c r="G131" s="592"/>
      <c r="H131" s="565"/>
      <c r="I131" s="565"/>
      <c r="J131" s="565"/>
      <c r="K131" s="466"/>
      <c r="L131" s="459"/>
      <c r="M131" s="460"/>
      <c r="N131" s="459"/>
      <c r="O131" s="261"/>
      <c r="P131" s="565"/>
      <c r="Q131" s="565"/>
      <c r="R131" s="467"/>
    </row>
    <row r="132" spans="1:18" s="438" customFormat="1" outlineLevel="1">
      <c r="A132" s="570"/>
      <c r="B132" s="588"/>
      <c r="C132" s="590"/>
      <c r="D132" s="566"/>
      <c r="E132" s="596"/>
      <c r="F132" s="566"/>
      <c r="G132" s="593"/>
      <c r="H132" s="566"/>
      <c r="I132" s="566"/>
      <c r="J132" s="566"/>
      <c r="K132" s="466"/>
      <c r="L132" s="459"/>
      <c r="M132" s="460"/>
      <c r="N132" s="459"/>
      <c r="O132" s="261"/>
      <c r="P132" s="566"/>
      <c r="Q132" s="566"/>
      <c r="R132" s="467"/>
    </row>
    <row r="133" spans="1:18" s="438" customFormat="1" outlineLevel="1">
      <c r="A133" s="568"/>
      <c r="B133" s="587"/>
      <c r="C133" s="595"/>
      <c r="D133" s="565"/>
      <c r="E133" s="596"/>
      <c r="F133" s="565"/>
      <c r="G133" s="597"/>
      <c r="H133" s="594"/>
      <c r="I133" s="594"/>
      <c r="J133" s="594"/>
      <c r="K133" s="458"/>
      <c r="L133" s="459"/>
      <c r="M133" s="460"/>
      <c r="N133" s="459"/>
      <c r="O133" s="261"/>
      <c r="P133" s="594"/>
      <c r="Q133" s="594"/>
      <c r="R133" s="467"/>
    </row>
    <row r="134" spans="1:18" s="438" customFormat="1" outlineLevel="1">
      <c r="A134" s="569"/>
      <c r="B134" s="587"/>
      <c r="C134" s="589"/>
      <c r="D134" s="565"/>
      <c r="E134" s="596"/>
      <c r="F134" s="565"/>
      <c r="G134" s="592"/>
      <c r="H134" s="565"/>
      <c r="I134" s="565"/>
      <c r="J134" s="565"/>
      <c r="K134" s="466"/>
      <c r="L134" s="459"/>
      <c r="M134" s="460"/>
      <c r="N134" s="459"/>
      <c r="O134" s="261"/>
      <c r="P134" s="565"/>
      <c r="Q134" s="565"/>
      <c r="R134" s="467"/>
    </row>
    <row r="135" spans="1:18" s="438" customFormat="1" outlineLevel="1">
      <c r="A135" s="569"/>
      <c r="B135" s="587"/>
      <c r="C135" s="589"/>
      <c r="D135" s="565"/>
      <c r="E135" s="596"/>
      <c r="F135" s="565"/>
      <c r="G135" s="592"/>
      <c r="H135" s="565"/>
      <c r="I135" s="565"/>
      <c r="J135" s="565"/>
      <c r="K135" s="466"/>
      <c r="L135" s="459"/>
      <c r="M135" s="460"/>
      <c r="N135" s="459"/>
      <c r="O135" s="261"/>
      <c r="P135" s="565"/>
      <c r="Q135" s="565"/>
      <c r="R135" s="467"/>
    </row>
    <row r="136" spans="1:18" s="438" customFormat="1" outlineLevel="1">
      <c r="A136" s="569"/>
      <c r="B136" s="587"/>
      <c r="C136" s="589"/>
      <c r="D136" s="565"/>
      <c r="E136" s="596"/>
      <c r="F136" s="565"/>
      <c r="G136" s="592"/>
      <c r="H136" s="565"/>
      <c r="I136" s="565"/>
      <c r="J136" s="565"/>
      <c r="K136" s="466"/>
      <c r="L136" s="459"/>
      <c r="M136" s="460"/>
      <c r="N136" s="459"/>
      <c r="O136" s="261"/>
      <c r="P136" s="565"/>
      <c r="Q136" s="565"/>
      <c r="R136" s="467"/>
    </row>
    <row r="137" spans="1:18" s="438" customFormat="1" outlineLevel="1">
      <c r="A137" s="569"/>
      <c r="B137" s="587"/>
      <c r="C137" s="589"/>
      <c r="D137" s="565"/>
      <c r="E137" s="596"/>
      <c r="F137" s="565"/>
      <c r="G137" s="592"/>
      <c r="H137" s="565"/>
      <c r="I137" s="565"/>
      <c r="J137" s="565"/>
      <c r="K137" s="466"/>
      <c r="L137" s="459"/>
      <c r="M137" s="460"/>
      <c r="N137" s="459"/>
      <c r="O137" s="261"/>
      <c r="P137" s="565"/>
      <c r="Q137" s="565"/>
      <c r="R137" s="467"/>
    </row>
    <row r="138" spans="1:18" s="438" customFormat="1" outlineLevel="1">
      <c r="A138" s="569"/>
      <c r="B138" s="587"/>
      <c r="C138" s="589"/>
      <c r="D138" s="565"/>
      <c r="E138" s="596"/>
      <c r="F138" s="565"/>
      <c r="G138" s="592"/>
      <c r="H138" s="565"/>
      <c r="I138" s="565"/>
      <c r="J138" s="565"/>
      <c r="K138" s="466"/>
      <c r="L138" s="459"/>
      <c r="M138" s="460"/>
      <c r="N138" s="459"/>
      <c r="O138" s="261"/>
      <c r="P138" s="565"/>
      <c r="Q138" s="565"/>
      <c r="R138" s="467"/>
    </row>
    <row r="139" spans="1:18" s="438" customFormat="1" outlineLevel="1">
      <c r="A139" s="569"/>
      <c r="B139" s="587"/>
      <c r="C139" s="589"/>
      <c r="D139" s="565"/>
      <c r="E139" s="596"/>
      <c r="F139" s="565"/>
      <c r="G139" s="592"/>
      <c r="H139" s="565"/>
      <c r="I139" s="565"/>
      <c r="J139" s="565"/>
      <c r="K139" s="466"/>
      <c r="L139" s="459"/>
      <c r="M139" s="460"/>
      <c r="N139" s="459"/>
      <c r="O139" s="261"/>
      <c r="P139" s="565"/>
      <c r="Q139" s="565"/>
      <c r="R139" s="467"/>
    </row>
    <row r="140" spans="1:18" s="438" customFormat="1" outlineLevel="1">
      <c r="A140" s="569"/>
      <c r="B140" s="587"/>
      <c r="C140" s="589"/>
      <c r="D140" s="565"/>
      <c r="E140" s="596"/>
      <c r="F140" s="565"/>
      <c r="G140" s="592"/>
      <c r="H140" s="565"/>
      <c r="I140" s="565"/>
      <c r="J140" s="565"/>
      <c r="K140" s="466"/>
      <c r="L140" s="459"/>
      <c r="M140" s="460"/>
      <c r="N140" s="459"/>
      <c r="O140" s="261"/>
      <c r="P140" s="565"/>
      <c r="Q140" s="565"/>
      <c r="R140" s="467"/>
    </row>
    <row r="141" spans="1:18" s="438" customFormat="1" outlineLevel="1">
      <c r="A141" s="569"/>
      <c r="B141" s="587"/>
      <c r="C141" s="589"/>
      <c r="D141" s="565"/>
      <c r="E141" s="596"/>
      <c r="F141" s="565"/>
      <c r="G141" s="592"/>
      <c r="H141" s="565"/>
      <c r="I141" s="565"/>
      <c r="J141" s="565"/>
      <c r="K141" s="466"/>
      <c r="L141" s="459"/>
      <c r="M141" s="460"/>
      <c r="N141" s="459"/>
      <c r="O141" s="261"/>
      <c r="P141" s="565"/>
      <c r="Q141" s="565"/>
      <c r="R141" s="467"/>
    </row>
    <row r="142" spans="1:18" s="438" customFormat="1" outlineLevel="1">
      <c r="A142" s="569"/>
      <c r="B142" s="587"/>
      <c r="C142" s="589"/>
      <c r="D142" s="565"/>
      <c r="E142" s="596"/>
      <c r="F142" s="565"/>
      <c r="G142" s="592"/>
      <c r="H142" s="565"/>
      <c r="I142" s="565"/>
      <c r="J142" s="565"/>
      <c r="K142" s="466"/>
      <c r="L142" s="459"/>
      <c r="M142" s="460"/>
      <c r="N142" s="459"/>
      <c r="O142" s="261"/>
      <c r="P142" s="565"/>
      <c r="Q142" s="565"/>
      <c r="R142" s="467"/>
    </row>
    <row r="143" spans="1:18" s="438" customFormat="1" outlineLevel="1">
      <c r="A143" s="569"/>
      <c r="B143" s="587"/>
      <c r="C143" s="589"/>
      <c r="D143" s="565"/>
      <c r="E143" s="596"/>
      <c r="F143" s="565"/>
      <c r="G143" s="592"/>
      <c r="H143" s="565"/>
      <c r="I143" s="565"/>
      <c r="J143" s="565"/>
      <c r="K143" s="466"/>
      <c r="L143" s="459"/>
      <c r="M143" s="460"/>
      <c r="N143" s="459"/>
      <c r="O143" s="261"/>
      <c r="P143" s="565"/>
      <c r="Q143" s="565"/>
      <c r="R143" s="467"/>
    </row>
    <row r="144" spans="1:18" s="438" customFormat="1" outlineLevel="1">
      <c r="A144" s="569"/>
      <c r="B144" s="587"/>
      <c r="C144" s="589"/>
      <c r="D144" s="565"/>
      <c r="E144" s="596"/>
      <c r="F144" s="565"/>
      <c r="G144" s="592"/>
      <c r="H144" s="565"/>
      <c r="I144" s="565"/>
      <c r="J144" s="565"/>
      <c r="K144" s="466"/>
      <c r="L144" s="459"/>
      <c r="M144" s="460"/>
      <c r="N144" s="459"/>
      <c r="O144" s="261"/>
      <c r="P144" s="565"/>
      <c r="Q144" s="565"/>
      <c r="R144" s="467"/>
    </row>
    <row r="145" spans="1:18" s="438" customFormat="1" outlineLevel="1">
      <c r="A145" s="569"/>
      <c r="B145" s="587"/>
      <c r="C145" s="589"/>
      <c r="D145" s="565"/>
      <c r="E145" s="596"/>
      <c r="F145" s="565"/>
      <c r="G145" s="592"/>
      <c r="H145" s="565"/>
      <c r="I145" s="565"/>
      <c r="J145" s="565"/>
      <c r="K145" s="466"/>
      <c r="L145" s="459"/>
      <c r="M145" s="460"/>
      <c r="N145" s="459"/>
      <c r="O145" s="261"/>
      <c r="P145" s="565"/>
      <c r="Q145" s="565"/>
      <c r="R145" s="467"/>
    </row>
    <row r="146" spans="1:18" s="438" customFormat="1" outlineLevel="1">
      <c r="A146" s="569"/>
      <c r="B146" s="587"/>
      <c r="C146" s="589"/>
      <c r="D146" s="565"/>
      <c r="E146" s="596"/>
      <c r="F146" s="565"/>
      <c r="G146" s="592"/>
      <c r="H146" s="565"/>
      <c r="I146" s="565"/>
      <c r="J146" s="565"/>
      <c r="K146" s="466"/>
      <c r="L146" s="459"/>
      <c r="M146" s="460"/>
      <c r="N146" s="459"/>
      <c r="O146" s="261"/>
      <c r="P146" s="565"/>
      <c r="Q146" s="565"/>
      <c r="R146" s="467"/>
    </row>
    <row r="147" spans="1:18" s="438" customFormat="1" outlineLevel="1">
      <c r="A147" s="569"/>
      <c r="B147" s="587"/>
      <c r="C147" s="589"/>
      <c r="D147" s="565"/>
      <c r="E147" s="596"/>
      <c r="F147" s="565"/>
      <c r="G147" s="592"/>
      <c r="H147" s="565"/>
      <c r="I147" s="565"/>
      <c r="J147" s="565"/>
      <c r="K147" s="466"/>
      <c r="L147" s="459"/>
      <c r="M147" s="460"/>
      <c r="N147" s="459"/>
      <c r="O147" s="261"/>
      <c r="P147" s="565"/>
      <c r="Q147" s="565"/>
      <c r="R147" s="467"/>
    </row>
    <row r="148" spans="1:18" s="438" customFormat="1" outlineLevel="1">
      <c r="A148" s="570"/>
      <c r="B148" s="588"/>
      <c r="C148" s="590"/>
      <c r="D148" s="566"/>
      <c r="E148" s="596"/>
      <c r="F148" s="566"/>
      <c r="G148" s="593"/>
      <c r="H148" s="566"/>
      <c r="I148" s="566"/>
      <c r="J148" s="566"/>
      <c r="K148" s="466"/>
      <c r="L148" s="459"/>
      <c r="M148" s="460"/>
      <c r="N148" s="459"/>
      <c r="O148" s="261"/>
      <c r="P148" s="566"/>
      <c r="Q148" s="566"/>
      <c r="R148" s="467"/>
    </row>
    <row r="149" spans="1:18" s="438" customFormat="1" outlineLevel="1">
      <c r="A149" s="568"/>
      <c r="B149" s="587"/>
      <c r="C149" s="595"/>
      <c r="D149" s="565"/>
      <c r="E149" s="596"/>
      <c r="F149" s="565"/>
      <c r="G149" s="597"/>
      <c r="H149" s="594"/>
      <c r="I149" s="594"/>
      <c r="J149" s="594"/>
      <c r="K149" s="458"/>
      <c r="L149" s="459"/>
      <c r="M149" s="460"/>
      <c r="N149" s="459"/>
      <c r="O149" s="261"/>
      <c r="P149" s="594"/>
      <c r="Q149" s="594"/>
      <c r="R149" s="467"/>
    </row>
    <row r="150" spans="1:18" s="438" customFormat="1" outlineLevel="1">
      <c r="A150" s="569"/>
      <c r="B150" s="587"/>
      <c r="C150" s="589"/>
      <c r="D150" s="565"/>
      <c r="E150" s="596"/>
      <c r="F150" s="565"/>
      <c r="G150" s="592"/>
      <c r="H150" s="565"/>
      <c r="I150" s="565"/>
      <c r="J150" s="565"/>
      <c r="K150" s="466"/>
      <c r="L150" s="459"/>
      <c r="M150" s="460"/>
      <c r="N150" s="459"/>
      <c r="O150" s="261"/>
      <c r="P150" s="565"/>
      <c r="Q150" s="565"/>
      <c r="R150" s="467"/>
    </row>
    <row r="151" spans="1:18" s="438" customFormat="1" outlineLevel="1">
      <c r="A151" s="569"/>
      <c r="B151" s="587"/>
      <c r="C151" s="589"/>
      <c r="D151" s="565"/>
      <c r="E151" s="596"/>
      <c r="F151" s="565"/>
      <c r="G151" s="592"/>
      <c r="H151" s="565"/>
      <c r="I151" s="565"/>
      <c r="J151" s="565"/>
      <c r="K151" s="466"/>
      <c r="L151" s="459"/>
      <c r="M151" s="460"/>
      <c r="N151" s="459"/>
      <c r="O151" s="261"/>
      <c r="P151" s="565"/>
      <c r="Q151" s="565"/>
      <c r="R151" s="467"/>
    </row>
    <row r="152" spans="1:18" s="438" customFormat="1" outlineLevel="1">
      <c r="A152" s="569"/>
      <c r="B152" s="587"/>
      <c r="C152" s="589"/>
      <c r="D152" s="565"/>
      <c r="E152" s="596"/>
      <c r="F152" s="565"/>
      <c r="G152" s="592"/>
      <c r="H152" s="565"/>
      <c r="I152" s="565"/>
      <c r="J152" s="565"/>
      <c r="K152" s="466"/>
      <c r="L152" s="459"/>
      <c r="M152" s="460"/>
      <c r="N152" s="459"/>
      <c r="O152" s="261"/>
      <c r="P152" s="565"/>
      <c r="Q152" s="565"/>
      <c r="R152" s="467"/>
    </row>
    <row r="153" spans="1:18" s="438" customFormat="1" outlineLevel="1">
      <c r="A153" s="569"/>
      <c r="B153" s="587"/>
      <c r="C153" s="589"/>
      <c r="D153" s="565"/>
      <c r="E153" s="596"/>
      <c r="F153" s="565"/>
      <c r="G153" s="592"/>
      <c r="H153" s="565"/>
      <c r="I153" s="565"/>
      <c r="J153" s="565"/>
      <c r="K153" s="466"/>
      <c r="L153" s="459"/>
      <c r="M153" s="460"/>
      <c r="N153" s="459"/>
      <c r="O153" s="261"/>
      <c r="P153" s="565"/>
      <c r="Q153" s="565"/>
      <c r="R153" s="467"/>
    </row>
    <row r="154" spans="1:18" s="438" customFormat="1" outlineLevel="1">
      <c r="A154" s="569"/>
      <c r="B154" s="587"/>
      <c r="C154" s="589"/>
      <c r="D154" s="565"/>
      <c r="E154" s="596"/>
      <c r="F154" s="565"/>
      <c r="G154" s="592"/>
      <c r="H154" s="565"/>
      <c r="I154" s="565"/>
      <c r="J154" s="565"/>
      <c r="K154" s="466"/>
      <c r="L154" s="459"/>
      <c r="M154" s="460"/>
      <c r="N154" s="459"/>
      <c r="O154" s="261"/>
      <c r="P154" s="565"/>
      <c r="Q154" s="565"/>
      <c r="R154" s="467"/>
    </row>
    <row r="155" spans="1:18" s="438" customFormat="1" outlineLevel="1">
      <c r="A155" s="569"/>
      <c r="B155" s="587"/>
      <c r="C155" s="589"/>
      <c r="D155" s="565"/>
      <c r="E155" s="596"/>
      <c r="F155" s="565"/>
      <c r="G155" s="592"/>
      <c r="H155" s="565"/>
      <c r="I155" s="565"/>
      <c r="J155" s="565"/>
      <c r="K155" s="466"/>
      <c r="L155" s="459"/>
      <c r="M155" s="460"/>
      <c r="N155" s="459"/>
      <c r="O155" s="261"/>
      <c r="P155" s="565"/>
      <c r="Q155" s="565"/>
      <c r="R155" s="467"/>
    </row>
    <row r="156" spans="1:18" s="438" customFormat="1" outlineLevel="1">
      <c r="A156" s="569"/>
      <c r="B156" s="587"/>
      <c r="C156" s="589"/>
      <c r="D156" s="565"/>
      <c r="E156" s="596"/>
      <c r="F156" s="565"/>
      <c r="G156" s="592"/>
      <c r="H156" s="565"/>
      <c r="I156" s="565"/>
      <c r="J156" s="565"/>
      <c r="K156" s="466"/>
      <c r="L156" s="459"/>
      <c r="M156" s="460"/>
      <c r="N156" s="459"/>
      <c r="O156" s="261"/>
      <c r="P156" s="565"/>
      <c r="Q156" s="565"/>
      <c r="R156" s="467"/>
    </row>
    <row r="157" spans="1:18" s="438" customFormat="1" outlineLevel="1">
      <c r="A157" s="569"/>
      <c r="B157" s="587"/>
      <c r="C157" s="589"/>
      <c r="D157" s="565"/>
      <c r="E157" s="596"/>
      <c r="F157" s="565"/>
      <c r="G157" s="592"/>
      <c r="H157" s="565"/>
      <c r="I157" s="565"/>
      <c r="J157" s="565"/>
      <c r="K157" s="466"/>
      <c r="L157" s="459"/>
      <c r="M157" s="460"/>
      <c r="N157" s="459"/>
      <c r="O157" s="261"/>
      <c r="P157" s="565"/>
      <c r="Q157" s="565"/>
      <c r="R157" s="467"/>
    </row>
    <row r="158" spans="1:18" s="438" customFormat="1" outlineLevel="1">
      <c r="A158" s="569"/>
      <c r="B158" s="587"/>
      <c r="C158" s="589"/>
      <c r="D158" s="565"/>
      <c r="E158" s="596"/>
      <c r="F158" s="565"/>
      <c r="G158" s="592"/>
      <c r="H158" s="565"/>
      <c r="I158" s="565"/>
      <c r="J158" s="565"/>
      <c r="K158" s="466"/>
      <c r="L158" s="459"/>
      <c r="M158" s="460"/>
      <c r="N158" s="459"/>
      <c r="O158" s="261"/>
      <c r="P158" s="565"/>
      <c r="Q158" s="565"/>
      <c r="R158" s="467"/>
    </row>
    <row r="159" spans="1:18" s="438" customFormat="1" outlineLevel="1">
      <c r="A159" s="569"/>
      <c r="B159" s="587"/>
      <c r="C159" s="589"/>
      <c r="D159" s="565"/>
      <c r="E159" s="596"/>
      <c r="F159" s="565"/>
      <c r="G159" s="592"/>
      <c r="H159" s="565"/>
      <c r="I159" s="565"/>
      <c r="J159" s="565"/>
      <c r="K159" s="466"/>
      <c r="L159" s="459"/>
      <c r="M159" s="460"/>
      <c r="N159" s="459"/>
      <c r="O159" s="261"/>
      <c r="P159" s="565"/>
      <c r="Q159" s="565"/>
      <c r="R159" s="467"/>
    </row>
    <row r="160" spans="1:18" s="438" customFormat="1" outlineLevel="1">
      <c r="A160" s="569"/>
      <c r="B160" s="587"/>
      <c r="C160" s="589"/>
      <c r="D160" s="565"/>
      <c r="E160" s="596"/>
      <c r="F160" s="565"/>
      <c r="G160" s="592"/>
      <c r="H160" s="565"/>
      <c r="I160" s="565"/>
      <c r="J160" s="565"/>
      <c r="K160" s="466"/>
      <c r="L160" s="459"/>
      <c r="M160" s="460"/>
      <c r="N160" s="459"/>
      <c r="O160" s="261"/>
      <c r="P160" s="565"/>
      <c r="Q160" s="565"/>
      <c r="R160" s="467"/>
    </row>
    <row r="161" spans="1:18" s="438" customFormat="1" outlineLevel="1">
      <c r="A161" s="569"/>
      <c r="B161" s="587"/>
      <c r="C161" s="589"/>
      <c r="D161" s="565"/>
      <c r="E161" s="596"/>
      <c r="F161" s="565"/>
      <c r="G161" s="592"/>
      <c r="H161" s="565"/>
      <c r="I161" s="565"/>
      <c r="J161" s="565"/>
      <c r="K161" s="466"/>
      <c r="L161" s="459"/>
      <c r="M161" s="460"/>
      <c r="N161" s="459"/>
      <c r="O161" s="261"/>
      <c r="P161" s="565"/>
      <c r="Q161" s="565"/>
      <c r="R161" s="467"/>
    </row>
    <row r="162" spans="1:18" s="438" customFormat="1" outlineLevel="1">
      <c r="A162" s="569"/>
      <c r="B162" s="587"/>
      <c r="C162" s="589"/>
      <c r="D162" s="565"/>
      <c r="E162" s="596"/>
      <c r="F162" s="565"/>
      <c r="G162" s="592"/>
      <c r="H162" s="565"/>
      <c r="I162" s="565"/>
      <c r="J162" s="565"/>
      <c r="K162" s="466"/>
      <c r="L162" s="459"/>
      <c r="M162" s="460"/>
      <c r="N162" s="459"/>
      <c r="O162" s="261"/>
      <c r="P162" s="565"/>
      <c r="Q162" s="565"/>
      <c r="R162" s="467"/>
    </row>
    <row r="163" spans="1:18" s="438" customFormat="1" outlineLevel="1">
      <c r="A163" s="569"/>
      <c r="B163" s="587"/>
      <c r="C163" s="589"/>
      <c r="D163" s="565"/>
      <c r="E163" s="596"/>
      <c r="F163" s="565"/>
      <c r="G163" s="592"/>
      <c r="H163" s="565"/>
      <c r="I163" s="565"/>
      <c r="J163" s="565"/>
      <c r="K163" s="466"/>
      <c r="L163" s="459"/>
      <c r="M163" s="460"/>
      <c r="N163" s="459"/>
      <c r="O163" s="261"/>
      <c r="P163" s="565"/>
      <c r="Q163" s="565"/>
      <c r="R163" s="467"/>
    </row>
    <row r="164" spans="1:18" s="438" customFormat="1" outlineLevel="1">
      <c r="A164" s="570"/>
      <c r="B164" s="588"/>
      <c r="C164" s="590"/>
      <c r="D164" s="566"/>
      <c r="E164" s="596"/>
      <c r="F164" s="566"/>
      <c r="G164" s="593"/>
      <c r="H164" s="566"/>
      <c r="I164" s="566"/>
      <c r="J164" s="566"/>
      <c r="K164" s="466"/>
      <c r="L164" s="459"/>
      <c r="M164" s="460"/>
      <c r="N164" s="459"/>
      <c r="O164" s="261"/>
      <c r="P164" s="566"/>
      <c r="Q164" s="566"/>
      <c r="R164" s="467"/>
    </row>
    <row r="165" spans="1:18" s="438" customFormat="1" outlineLevel="1">
      <c r="A165" s="568"/>
      <c r="B165" s="587"/>
      <c r="C165" s="595"/>
      <c r="D165" s="565"/>
      <c r="E165" s="596"/>
      <c r="F165" s="565"/>
      <c r="G165" s="597"/>
      <c r="H165" s="594"/>
      <c r="I165" s="594"/>
      <c r="J165" s="594"/>
      <c r="K165" s="458"/>
      <c r="L165" s="459"/>
      <c r="M165" s="460"/>
      <c r="N165" s="459"/>
      <c r="O165" s="261"/>
      <c r="P165" s="594"/>
      <c r="Q165" s="594"/>
      <c r="R165" s="467"/>
    </row>
    <row r="166" spans="1:18" s="438" customFormat="1" outlineLevel="1">
      <c r="A166" s="569"/>
      <c r="B166" s="587"/>
      <c r="C166" s="589"/>
      <c r="D166" s="565"/>
      <c r="E166" s="596"/>
      <c r="F166" s="565"/>
      <c r="G166" s="592"/>
      <c r="H166" s="565"/>
      <c r="I166" s="565"/>
      <c r="J166" s="565"/>
      <c r="K166" s="466"/>
      <c r="L166" s="459"/>
      <c r="M166" s="460"/>
      <c r="N166" s="459"/>
      <c r="O166" s="261"/>
      <c r="P166" s="565"/>
      <c r="Q166" s="565"/>
      <c r="R166" s="467"/>
    </row>
    <row r="167" spans="1:18" s="438" customFormat="1" outlineLevel="1">
      <c r="A167" s="569"/>
      <c r="B167" s="587"/>
      <c r="C167" s="589"/>
      <c r="D167" s="565"/>
      <c r="E167" s="596"/>
      <c r="F167" s="565"/>
      <c r="G167" s="592"/>
      <c r="H167" s="565"/>
      <c r="I167" s="565"/>
      <c r="J167" s="565"/>
      <c r="K167" s="466"/>
      <c r="L167" s="459"/>
      <c r="M167" s="460"/>
      <c r="N167" s="459"/>
      <c r="O167" s="261"/>
      <c r="P167" s="565"/>
      <c r="Q167" s="565"/>
      <c r="R167" s="467"/>
    </row>
    <row r="168" spans="1:18" s="438" customFormat="1" outlineLevel="1">
      <c r="A168" s="569"/>
      <c r="B168" s="587"/>
      <c r="C168" s="589"/>
      <c r="D168" s="565"/>
      <c r="E168" s="596"/>
      <c r="F168" s="565"/>
      <c r="G168" s="592"/>
      <c r="H168" s="565"/>
      <c r="I168" s="565"/>
      <c r="J168" s="565"/>
      <c r="K168" s="466"/>
      <c r="L168" s="459"/>
      <c r="M168" s="460"/>
      <c r="N168" s="459"/>
      <c r="O168" s="261"/>
      <c r="P168" s="565"/>
      <c r="Q168" s="565"/>
      <c r="R168" s="467"/>
    </row>
    <row r="169" spans="1:18" s="438" customFormat="1" outlineLevel="1">
      <c r="A169" s="569"/>
      <c r="B169" s="587"/>
      <c r="C169" s="589"/>
      <c r="D169" s="565"/>
      <c r="E169" s="596"/>
      <c r="F169" s="565"/>
      <c r="G169" s="592"/>
      <c r="H169" s="565"/>
      <c r="I169" s="565"/>
      <c r="J169" s="565"/>
      <c r="K169" s="466"/>
      <c r="L169" s="459"/>
      <c r="M169" s="460"/>
      <c r="N169" s="459"/>
      <c r="O169" s="261"/>
      <c r="P169" s="565"/>
      <c r="Q169" s="565"/>
      <c r="R169" s="467"/>
    </row>
    <row r="170" spans="1:18" s="438" customFormat="1" outlineLevel="1">
      <c r="A170" s="569"/>
      <c r="B170" s="587"/>
      <c r="C170" s="589"/>
      <c r="D170" s="565"/>
      <c r="E170" s="596"/>
      <c r="F170" s="565"/>
      <c r="G170" s="592"/>
      <c r="H170" s="565"/>
      <c r="I170" s="565"/>
      <c r="J170" s="565"/>
      <c r="K170" s="466"/>
      <c r="L170" s="459"/>
      <c r="M170" s="460"/>
      <c r="N170" s="459"/>
      <c r="O170" s="261"/>
      <c r="P170" s="565"/>
      <c r="Q170" s="565"/>
      <c r="R170" s="467"/>
    </row>
    <row r="171" spans="1:18" s="438" customFormat="1" outlineLevel="1">
      <c r="A171" s="569"/>
      <c r="B171" s="587"/>
      <c r="C171" s="589"/>
      <c r="D171" s="565"/>
      <c r="E171" s="596"/>
      <c r="F171" s="565"/>
      <c r="G171" s="592"/>
      <c r="H171" s="565"/>
      <c r="I171" s="565"/>
      <c r="J171" s="565"/>
      <c r="K171" s="466"/>
      <c r="L171" s="459"/>
      <c r="M171" s="460"/>
      <c r="N171" s="459"/>
      <c r="O171" s="261"/>
      <c r="P171" s="565"/>
      <c r="Q171" s="565"/>
      <c r="R171" s="467"/>
    </row>
    <row r="172" spans="1:18" s="438" customFormat="1" outlineLevel="1">
      <c r="A172" s="569"/>
      <c r="B172" s="587"/>
      <c r="C172" s="589"/>
      <c r="D172" s="565"/>
      <c r="E172" s="596"/>
      <c r="F172" s="565"/>
      <c r="G172" s="592"/>
      <c r="H172" s="565"/>
      <c r="I172" s="565"/>
      <c r="J172" s="565"/>
      <c r="K172" s="466"/>
      <c r="L172" s="459"/>
      <c r="M172" s="460"/>
      <c r="N172" s="459"/>
      <c r="O172" s="261"/>
      <c r="P172" s="565"/>
      <c r="Q172" s="565"/>
      <c r="R172" s="467"/>
    </row>
    <row r="173" spans="1:18" s="438" customFormat="1" outlineLevel="1">
      <c r="A173" s="569"/>
      <c r="B173" s="587"/>
      <c r="C173" s="589"/>
      <c r="D173" s="565"/>
      <c r="E173" s="596"/>
      <c r="F173" s="565"/>
      <c r="G173" s="592"/>
      <c r="H173" s="565"/>
      <c r="I173" s="565"/>
      <c r="J173" s="565"/>
      <c r="K173" s="466"/>
      <c r="L173" s="459"/>
      <c r="M173" s="460"/>
      <c r="N173" s="459"/>
      <c r="O173" s="261"/>
      <c r="P173" s="565"/>
      <c r="Q173" s="565"/>
      <c r="R173" s="467"/>
    </row>
    <row r="174" spans="1:18" s="438" customFormat="1" outlineLevel="1">
      <c r="A174" s="569"/>
      <c r="B174" s="587"/>
      <c r="C174" s="589"/>
      <c r="D174" s="565"/>
      <c r="E174" s="596"/>
      <c r="F174" s="565"/>
      <c r="G174" s="592"/>
      <c r="H174" s="565"/>
      <c r="I174" s="565"/>
      <c r="J174" s="565"/>
      <c r="K174" s="466"/>
      <c r="L174" s="459"/>
      <c r="M174" s="460"/>
      <c r="N174" s="459"/>
      <c r="O174" s="261"/>
      <c r="P174" s="565"/>
      <c r="Q174" s="565"/>
      <c r="R174" s="467"/>
    </row>
    <row r="175" spans="1:18" s="438" customFormat="1" outlineLevel="1">
      <c r="A175" s="569"/>
      <c r="B175" s="587"/>
      <c r="C175" s="589"/>
      <c r="D175" s="565"/>
      <c r="E175" s="596"/>
      <c r="F175" s="565"/>
      <c r="G175" s="592"/>
      <c r="H175" s="565"/>
      <c r="I175" s="565"/>
      <c r="J175" s="565"/>
      <c r="K175" s="466"/>
      <c r="L175" s="459"/>
      <c r="M175" s="460"/>
      <c r="N175" s="459"/>
      <c r="O175" s="261"/>
      <c r="P175" s="565"/>
      <c r="Q175" s="565"/>
      <c r="R175" s="467"/>
    </row>
    <row r="176" spans="1:18" s="438" customFormat="1" outlineLevel="1">
      <c r="A176" s="569"/>
      <c r="B176" s="587"/>
      <c r="C176" s="589"/>
      <c r="D176" s="565"/>
      <c r="E176" s="596"/>
      <c r="F176" s="565"/>
      <c r="G176" s="592"/>
      <c r="H176" s="565"/>
      <c r="I176" s="565"/>
      <c r="J176" s="565"/>
      <c r="K176" s="466"/>
      <c r="L176" s="459"/>
      <c r="M176" s="460"/>
      <c r="N176" s="459"/>
      <c r="O176" s="261"/>
      <c r="P176" s="565"/>
      <c r="Q176" s="565"/>
      <c r="R176" s="467"/>
    </row>
    <row r="177" spans="1:18" s="438" customFormat="1" outlineLevel="1">
      <c r="A177" s="569"/>
      <c r="B177" s="587"/>
      <c r="C177" s="589"/>
      <c r="D177" s="565"/>
      <c r="E177" s="596"/>
      <c r="F177" s="565"/>
      <c r="G177" s="592"/>
      <c r="H177" s="565"/>
      <c r="I177" s="565"/>
      <c r="J177" s="565"/>
      <c r="K177" s="466"/>
      <c r="L177" s="459"/>
      <c r="M177" s="460"/>
      <c r="N177" s="459"/>
      <c r="O177" s="261"/>
      <c r="P177" s="565"/>
      <c r="Q177" s="565"/>
      <c r="R177" s="467"/>
    </row>
    <row r="178" spans="1:18" s="438" customFormat="1" outlineLevel="1">
      <c r="A178" s="569"/>
      <c r="B178" s="587"/>
      <c r="C178" s="589"/>
      <c r="D178" s="565"/>
      <c r="E178" s="596"/>
      <c r="F178" s="565"/>
      <c r="G178" s="592"/>
      <c r="H178" s="565"/>
      <c r="I178" s="565"/>
      <c r="J178" s="565"/>
      <c r="K178" s="466"/>
      <c r="L178" s="459"/>
      <c r="M178" s="460"/>
      <c r="N178" s="459"/>
      <c r="O178" s="261"/>
      <c r="P178" s="565"/>
      <c r="Q178" s="565"/>
      <c r="R178" s="467"/>
    </row>
    <row r="179" spans="1:18" s="438" customFormat="1" outlineLevel="1">
      <c r="A179" s="569"/>
      <c r="B179" s="587"/>
      <c r="C179" s="589"/>
      <c r="D179" s="565"/>
      <c r="E179" s="596"/>
      <c r="F179" s="565"/>
      <c r="G179" s="592"/>
      <c r="H179" s="565"/>
      <c r="I179" s="565"/>
      <c r="J179" s="565"/>
      <c r="K179" s="466"/>
      <c r="L179" s="459"/>
      <c r="M179" s="460"/>
      <c r="N179" s="459"/>
      <c r="O179" s="261"/>
      <c r="P179" s="565"/>
      <c r="Q179" s="565"/>
      <c r="R179" s="467"/>
    </row>
    <row r="180" spans="1:18" s="438" customFormat="1" outlineLevel="1">
      <c r="A180" s="570"/>
      <c r="B180" s="588"/>
      <c r="C180" s="590"/>
      <c r="D180" s="566"/>
      <c r="E180" s="596"/>
      <c r="F180" s="566"/>
      <c r="G180" s="593"/>
      <c r="H180" s="566"/>
      <c r="I180" s="566"/>
      <c r="J180" s="566"/>
      <c r="K180" s="466"/>
      <c r="L180" s="459"/>
      <c r="M180" s="460"/>
      <c r="N180" s="459"/>
      <c r="O180" s="261"/>
      <c r="P180" s="566"/>
      <c r="Q180" s="566"/>
      <c r="R180" s="467"/>
    </row>
    <row r="181" spans="1:18" s="438" customFormat="1" outlineLevel="1">
      <c r="A181" s="568"/>
      <c r="B181" s="587"/>
      <c r="C181" s="595"/>
      <c r="D181" s="565"/>
      <c r="E181" s="596"/>
      <c r="F181" s="565"/>
      <c r="G181" s="597"/>
      <c r="H181" s="594"/>
      <c r="I181" s="594"/>
      <c r="J181" s="594"/>
      <c r="K181" s="458"/>
      <c r="L181" s="459"/>
      <c r="M181" s="460"/>
      <c r="N181" s="459"/>
      <c r="O181" s="261"/>
      <c r="P181" s="594"/>
      <c r="Q181" s="594"/>
      <c r="R181" s="467"/>
    </row>
    <row r="182" spans="1:18" s="438" customFormat="1" outlineLevel="1">
      <c r="A182" s="569"/>
      <c r="B182" s="587"/>
      <c r="C182" s="589"/>
      <c r="D182" s="565"/>
      <c r="E182" s="596"/>
      <c r="F182" s="565"/>
      <c r="G182" s="592"/>
      <c r="H182" s="565"/>
      <c r="I182" s="565"/>
      <c r="J182" s="565"/>
      <c r="K182" s="466"/>
      <c r="L182" s="459"/>
      <c r="M182" s="460"/>
      <c r="N182" s="459"/>
      <c r="O182" s="261"/>
      <c r="P182" s="565"/>
      <c r="Q182" s="565"/>
      <c r="R182" s="467"/>
    </row>
    <row r="183" spans="1:18" s="438" customFormat="1" outlineLevel="1">
      <c r="A183" s="569"/>
      <c r="B183" s="587"/>
      <c r="C183" s="589"/>
      <c r="D183" s="565"/>
      <c r="E183" s="596"/>
      <c r="F183" s="565"/>
      <c r="G183" s="592"/>
      <c r="H183" s="565"/>
      <c r="I183" s="565"/>
      <c r="J183" s="565"/>
      <c r="K183" s="466"/>
      <c r="L183" s="459"/>
      <c r="M183" s="460"/>
      <c r="N183" s="459"/>
      <c r="O183" s="261"/>
      <c r="P183" s="565"/>
      <c r="Q183" s="565"/>
      <c r="R183" s="467"/>
    </row>
    <row r="184" spans="1:18" s="438" customFormat="1" outlineLevel="1">
      <c r="A184" s="569"/>
      <c r="B184" s="587"/>
      <c r="C184" s="589"/>
      <c r="D184" s="565"/>
      <c r="E184" s="596"/>
      <c r="F184" s="565"/>
      <c r="G184" s="592"/>
      <c r="H184" s="565"/>
      <c r="I184" s="565"/>
      <c r="J184" s="565"/>
      <c r="K184" s="466"/>
      <c r="L184" s="459"/>
      <c r="M184" s="460"/>
      <c r="N184" s="459"/>
      <c r="O184" s="261"/>
      <c r="P184" s="565"/>
      <c r="Q184" s="565"/>
      <c r="R184" s="467"/>
    </row>
    <row r="185" spans="1:18" s="438" customFormat="1" outlineLevel="1">
      <c r="A185" s="569"/>
      <c r="B185" s="587"/>
      <c r="C185" s="589"/>
      <c r="D185" s="565"/>
      <c r="E185" s="596"/>
      <c r="F185" s="565"/>
      <c r="G185" s="592"/>
      <c r="H185" s="565"/>
      <c r="I185" s="565"/>
      <c r="J185" s="565"/>
      <c r="K185" s="466"/>
      <c r="L185" s="459"/>
      <c r="M185" s="460"/>
      <c r="N185" s="459"/>
      <c r="O185" s="261"/>
      <c r="P185" s="565"/>
      <c r="Q185" s="565"/>
      <c r="R185" s="467"/>
    </row>
    <row r="186" spans="1:18" s="438" customFormat="1" outlineLevel="1">
      <c r="A186" s="569"/>
      <c r="B186" s="587"/>
      <c r="C186" s="589"/>
      <c r="D186" s="565"/>
      <c r="E186" s="596"/>
      <c r="F186" s="565"/>
      <c r="G186" s="592"/>
      <c r="H186" s="565"/>
      <c r="I186" s="565"/>
      <c r="J186" s="565"/>
      <c r="K186" s="466"/>
      <c r="L186" s="459"/>
      <c r="M186" s="460"/>
      <c r="N186" s="459"/>
      <c r="O186" s="261"/>
      <c r="P186" s="565"/>
      <c r="Q186" s="565"/>
      <c r="R186" s="467"/>
    </row>
    <row r="187" spans="1:18" s="438" customFormat="1" outlineLevel="1">
      <c r="A187" s="569"/>
      <c r="B187" s="587"/>
      <c r="C187" s="589"/>
      <c r="D187" s="565"/>
      <c r="E187" s="596"/>
      <c r="F187" s="565"/>
      <c r="G187" s="592"/>
      <c r="H187" s="565"/>
      <c r="I187" s="565"/>
      <c r="J187" s="565"/>
      <c r="K187" s="466"/>
      <c r="L187" s="459"/>
      <c r="M187" s="460"/>
      <c r="N187" s="459"/>
      <c r="O187" s="261"/>
      <c r="P187" s="565"/>
      <c r="Q187" s="565"/>
      <c r="R187" s="467"/>
    </row>
    <row r="188" spans="1:18" s="438" customFormat="1" outlineLevel="1">
      <c r="A188" s="569"/>
      <c r="B188" s="587"/>
      <c r="C188" s="589"/>
      <c r="D188" s="565"/>
      <c r="E188" s="596"/>
      <c r="F188" s="565"/>
      <c r="G188" s="592"/>
      <c r="H188" s="565"/>
      <c r="I188" s="565"/>
      <c r="J188" s="565"/>
      <c r="K188" s="466"/>
      <c r="L188" s="459"/>
      <c r="M188" s="460"/>
      <c r="N188" s="459"/>
      <c r="O188" s="261"/>
      <c r="P188" s="565"/>
      <c r="Q188" s="565"/>
      <c r="R188" s="467"/>
    </row>
    <row r="189" spans="1:18" s="438" customFormat="1" outlineLevel="1">
      <c r="A189" s="569"/>
      <c r="B189" s="587"/>
      <c r="C189" s="589"/>
      <c r="D189" s="565"/>
      <c r="E189" s="596"/>
      <c r="F189" s="565"/>
      <c r="G189" s="592"/>
      <c r="H189" s="565"/>
      <c r="I189" s="565"/>
      <c r="J189" s="565"/>
      <c r="K189" s="466"/>
      <c r="L189" s="459"/>
      <c r="M189" s="460"/>
      <c r="N189" s="459"/>
      <c r="O189" s="261"/>
      <c r="P189" s="565"/>
      <c r="Q189" s="565"/>
      <c r="R189" s="467"/>
    </row>
    <row r="190" spans="1:18" s="438" customFormat="1" outlineLevel="1">
      <c r="A190" s="569"/>
      <c r="B190" s="587"/>
      <c r="C190" s="589"/>
      <c r="D190" s="565"/>
      <c r="E190" s="596"/>
      <c r="F190" s="565"/>
      <c r="G190" s="592"/>
      <c r="H190" s="565"/>
      <c r="I190" s="565"/>
      <c r="J190" s="565"/>
      <c r="K190" s="466"/>
      <c r="L190" s="459"/>
      <c r="M190" s="460"/>
      <c r="N190" s="459"/>
      <c r="O190" s="261"/>
      <c r="P190" s="565"/>
      <c r="Q190" s="565"/>
      <c r="R190" s="467"/>
    </row>
    <row r="191" spans="1:18" s="438" customFormat="1" outlineLevel="1">
      <c r="A191" s="569"/>
      <c r="B191" s="587"/>
      <c r="C191" s="589"/>
      <c r="D191" s="565"/>
      <c r="E191" s="596"/>
      <c r="F191" s="565"/>
      <c r="G191" s="592"/>
      <c r="H191" s="565"/>
      <c r="I191" s="565"/>
      <c r="J191" s="565"/>
      <c r="K191" s="466"/>
      <c r="L191" s="459"/>
      <c r="M191" s="460"/>
      <c r="N191" s="459"/>
      <c r="O191" s="261"/>
      <c r="P191" s="565"/>
      <c r="Q191" s="565"/>
      <c r="R191" s="467"/>
    </row>
    <row r="192" spans="1:18" s="438" customFormat="1" outlineLevel="1">
      <c r="A192" s="569"/>
      <c r="B192" s="587"/>
      <c r="C192" s="589"/>
      <c r="D192" s="565"/>
      <c r="E192" s="596"/>
      <c r="F192" s="565"/>
      <c r="G192" s="592"/>
      <c r="H192" s="565"/>
      <c r="I192" s="565"/>
      <c r="J192" s="565"/>
      <c r="K192" s="466"/>
      <c r="L192" s="459"/>
      <c r="M192" s="460"/>
      <c r="N192" s="459"/>
      <c r="O192" s="261"/>
      <c r="P192" s="565"/>
      <c r="Q192" s="565"/>
      <c r="R192" s="467"/>
    </row>
    <row r="193" spans="1:18" s="438" customFormat="1" outlineLevel="1">
      <c r="A193" s="569"/>
      <c r="B193" s="587"/>
      <c r="C193" s="589"/>
      <c r="D193" s="565"/>
      <c r="E193" s="596"/>
      <c r="F193" s="565"/>
      <c r="G193" s="592"/>
      <c r="H193" s="565"/>
      <c r="I193" s="565"/>
      <c r="J193" s="565"/>
      <c r="K193" s="466"/>
      <c r="L193" s="459"/>
      <c r="M193" s="460"/>
      <c r="N193" s="459"/>
      <c r="O193" s="261"/>
      <c r="P193" s="565"/>
      <c r="Q193" s="565"/>
      <c r="R193" s="467"/>
    </row>
    <row r="194" spans="1:18" s="438" customFormat="1" outlineLevel="1">
      <c r="A194" s="569"/>
      <c r="B194" s="587"/>
      <c r="C194" s="589"/>
      <c r="D194" s="565"/>
      <c r="E194" s="596"/>
      <c r="F194" s="565"/>
      <c r="G194" s="592"/>
      <c r="H194" s="565"/>
      <c r="I194" s="565"/>
      <c r="J194" s="565"/>
      <c r="K194" s="466"/>
      <c r="L194" s="459"/>
      <c r="M194" s="460"/>
      <c r="N194" s="459"/>
      <c r="O194" s="261"/>
      <c r="P194" s="565"/>
      <c r="Q194" s="565"/>
      <c r="R194" s="467"/>
    </row>
    <row r="195" spans="1:18" s="438" customFormat="1" outlineLevel="1">
      <c r="A195" s="569"/>
      <c r="B195" s="587"/>
      <c r="C195" s="589"/>
      <c r="D195" s="565"/>
      <c r="E195" s="596"/>
      <c r="F195" s="565"/>
      <c r="G195" s="592"/>
      <c r="H195" s="565"/>
      <c r="I195" s="565"/>
      <c r="J195" s="565"/>
      <c r="K195" s="466"/>
      <c r="L195" s="459"/>
      <c r="M195" s="460"/>
      <c r="N195" s="459"/>
      <c r="O195" s="261"/>
      <c r="P195" s="565"/>
      <c r="Q195" s="565"/>
      <c r="R195" s="467"/>
    </row>
    <row r="196" spans="1:18" s="438" customFormat="1" outlineLevel="1">
      <c r="A196" s="570"/>
      <c r="B196" s="588"/>
      <c r="C196" s="590"/>
      <c r="D196" s="566"/>
      <c r="E196" s="596"/>
      <c r="F196" s="566"/>
      <c r="G196" s="593"/>
      <c r="H196" s="566"/>
      <c r="I196" s="566"/>
      <c r="J196" s="566"/>
      <c r="K196" s="466"/>
      <c r="L196" s="459"/>
      <c r="M196" s="460"/>
      <c r="N196" s="459"/>
      <c r="O196" s="261"/>
      <c r="P196" s="566"/>
      <c r="Q196" s="566"/>
      <c r="R196" s="467"/>
    </row>
    <row r="197" spans="1:18" s="438" customFormat="1" outlineLevel="1">
      <c r="A197" s="568"/>
      <c r="B197" s="587"/>
      <c r="C197" s="595"/>
      <c r="D197" s="565"/>
      <c r="E197" s="596"/>
      <c r="F197" s="565"/>
      <c r="G197" s="597"/>
      <c r="H197" s="594"/>
      <c r="I197" s="594"/>
      <c r="J197" s="594"/>
      <c r="K197" s="458"/>
      <c r="L197" s="459"/>
      <c r="M197" s="460"/>
      <c r="N197" s="459"/>
      <c r="O197" s="261"/>
      <c r="P197" s="594"/>
      <c r="Q197" s="594"/>
      <c r="R197" s="467"/>
    </row>
    <row r="198" spans="1:18" s="438" customFormat="1" outlineLevel="1">
      <c r="A198" s="569"/>
      <c r="B198" s="587"/>
      <c r="C198" s="589"/>
      <c r="D198" s="565"/>
      <c r="E198" s="596"/>
      <c r="F198" s="565"/>
      <c r="G198" s="592"/>
      <c r="H198" s="565"/>
      <c r="I198" s="565"/>
      <c r="J198" s="565"/>
      <c r="K198" s="466"/>
      <c r="L198" s="459"/>
      <c r="M198" s="460"/>
      <c r="N198" s="459"/>
      <c r="O198" s="261"/>
      <c r="P198" s="565"/>
      <c r="Q198" s="565"/>
      <c r="R198" s="467"/>
    </row>
    <row r="199" spans="1:18" s="438" customFormat="1" outlineLevel="1">
      <c r="A199" s="569"/>
      <c r="B199" s="587"/>
      <c r="C199" s="589"/>
      <c r="D199" s="565"/>
      <c r="E199" s="596"/>
      <c r="F199" s="565"/>
      <c r="G199" s="592"/>
      <c r="H199" s="565"/>
      <c r="I199" s="565"/>
      <c r="J199" s="565"/>
      <c r="K199" s="466"/>
      <c r="L199" s="459"/>
      <c r="M199" s="460"/>
      <c r="N199" s="459"/>
      <c r="O199" s="261"/>
      <c r="P199" s="565"/>
      <c r="Q199" s="565"/>
      <c r="R199" s="467"/>
    </row>
    <row r="200" spans="1:18" s="438" customFormat="1" outlineLevel="1">
      <c r="A200" s="569"/>
      <c r="B200" s="587"/>
      <c r="C200" s="589"/>
      <c r="D200" s="565"/>
      <c r="E200" s="596"/>
      <c r="F200" s="565"/>
      <c r="G200" s="592"/>
      <c r="H200" s="565"/>
      <c r="I200" s="565"/>
      <c r="J200" s="565"/>
      <c r="K200" s="466"/>
      <c r="L200" s="459"/>
      <c r="M200" s="460"/>
      <c r="N200" s="459"/>
      <c r="O200" s="261"/>
      <c r="P200" s="565"/>
      <c r="Q200" s="565"/>
      <c r="R200" s="467"/>
    </row>
    <row r="201" spans="1:18" s="438" customFormat="1" outlineLevel="1">
      <c r="A201" s="569"/>
      <c r="B201" s="587"/>
      <c r="C201" s="589"/>
      <c r="D201" s="565"/>
      <c r="E201" s="596"/>
      <c r="F201" s="565"/>
      <c r="G201" s="592"/>
      <c r="H201" s="565"/>
      <c r="I201" s="565"/>
      <c r="J201" s="565"/>
      <c r="K201" s="466"/>
      <c r="L201" s="459"/>
      <c r="M201" s="460"/>
      <c r="N201" s="459"/>
      <c r="O201" s="261"/>
      <c r="P201" s="565"/>
      <c r="Q201" s="565"/>
      <c r="R201" s="467"/>
    </row>
    <row r="202" spans="1:18" s="438" customFormat="1" outlineLevel="1">
      <c r="A202" s="569"/>
      <c r="B202" s="587"/>
      <c r="C202" s="589"/>
      <c r="D202" s="565"/>
      <c r="E202" s="596"/>
      <c r="F202" s="565"/>
      <c r="G202" s="592"/>
      <c r="H202" s="565"/>
      <c r="I202" s="565"/>
      <c r="J202" s="565"/>
      <c r="K202" s="466"/>
      <c r="L202" s="459"/>
      <c r="M202" s="460"/>
      <c r="N202" s="459"/>
      <c r="O202" s="261"/>
      <c r="P202" s="565"/>
      <c r="Q202" s="565"/>
      <c r="R202" s="467"/>
    </row>
    <row r="203" spans="1:18" s="438" customFormat="1" outlineLevel="1">
      <c r="A203" s="569"/>
      <c r="B203" s="587"/>
      <c r="C203" s="589"/>
      <c r="D203" s="565"/>
      <c r="E203" s="596"/>
      <c r="F203" s="565"/>
      <c r="G203" s="592"/>
      <c r="H203" s="565"/>
      <c r="I203" s="565"/>
      <c r="J203" s="565"/>
      <c r="K203" s="466"/>
      <c r="L203" s="459"/>
      <c r="M203" s="460"/>
      <c r="N203" s="459"/>
      <c r="O203" s="261"/>
      <c r="P203" s="565"/>
      <c r="Q203" s="565"/>
      <c r="R203" s="467"/>
    </row>
    <row r="204" spans="1:18" s="438" customFormat="1" outlineLevel="1">
      <c r="A204" s="569"/>
      <c r="B204" s="587"/>
      <c r="C204" s="589"/>
      <c r="D204" s="565"/>
      <c r="E204" s="596"/>
      <c r="F204" s="565"/>
      <c r="G204" s="592"/>
      <c r="H204" s="565"/>
      <c r="I204" s="565"/>
      <c r="J204" s="565"/>
      <c r="K204" s="466"/>
      <c r="L204" s="459"/>
      <c r="M204" s="460"/>
      <c r="N204" s="459"/>
      <c r="O204" s="261"/>
      <c r="P204" s="565"/>
      <c r="Q204" s="565"/>
      <c r="R204" s="467"/>
    </row>
    <row r="205" spans="1:18" s="438" customFormat="1" outlineLevel="1">
      <c r="A205" s="569"/>
      <c r="B205" s="587"/>
      <c r="C205" s="589"/>
      <c r="D205" s="565"/>
      <c r="E205" s="596"/>
      <c r="F205" s="565"/>
      <c r="G205" s="592"/>
      <c r="H205" s="565"/>
      <c r="I205" s="565"/>
      <c r="J205" s="565"/>
      <c r="K205" s="466"/>
      <c r="L205" s="459"/>
      <c r="M205" s="460"/>
      <c r="N205" s="459"/>
      <c r="O205" s="261"/>
      <c r="P205" s="565"/>
      <c r="Q205" s="565"/>
      <c r="R205" s="467"/>
    </row>
    <row r="206" spans="1:18" s="438" customFormat="1" outlineLevel="1">
      <c r="A206" s="569"/>
      <c r="B206" s="587"/>
      <c r="C206" s="589"/>
      <c r="D206" s="565"/>
      <c r="E206" s="596"/>
      <c r="F206" s="565"/>
      <c r="G206" s="592"/>
      <c r="H206" s="565"/>
      <c r="I206" s="565"/>
      <c r="J206" s="565"/>
      <c r="K206" s="466"/>
      <c r="L206" s="459"/>
      <c r="M206" s="460"/>
      <c r="N206" s="459"/>
      <c r="O206" s="261"/>
      <c r="P206" s="565"/>
      <c r="Q206" s="565"/>
      <c r="R206" s="467"/>
    </row>
    <row r="207" spans="1:18" s="438" customFormat="1" outlineLevel="1">
      <c r="A207" s="569"/>
      <c r="B207" s="587"/>
      <c r="C207" s="589"/>
      <c r="D207" s="565"/>
      <c r="E207" s="596"/>
      <c r="F207" s="565"/>
      <c r="G207" s="592"/>
      <c r="H207" s="565"/>
      <c r="I207" s="565"/>
      <c r="J207" s="565"/>
      <c r="K207" s="466"/>
      <c r="L207" s="459"/>
      <c r="M207" s="460"/>
      <c r="N207" s="459"/>
      <c r="O207" s="261"/>
      <c r="P207" s="565"/>
      <c r="Q207" s="565"/>
      <c r="R207" s="467"/>
    </row>
    <row r="208" spans="1:18" s="438" customFormat="1" outlineLevel="1">
      <c r="A208" s="569"/>
      <c r="B208" s="587"/>
      <c r="C208" s="589"/>
      <c r="D208" s="565"/>
      <c r="E208" s="596"/>
      <c r="F208" s="565"/>
      <c r="G208" s="592"/>
      <c r="H208" s="565"/>
      <c r="I208" s="565"/>
      <c r="J208" s="565"/>
      <c r="K208" s="466"/>
      <c r="L208" s="459"/>
      <c r="M208" s="460"/>
      <c r="N208" s="459"/>
      <c r="O208" s="261"/>
      <c r="P208" s="565"/>
      <c r="Q208" s="565"/>
      <c r="R208" s="467"/>
    </row>
    <row r="209" spans="1:18" s="438" customFormat="1" outlineLevel="1">
      <c r="A209" s="569"/>
      <c r="B209" s="587"/>
      <c r="C209" s="589"/>
      <c r="D209" s="565"/>
      <c r="E209" s="596"/>
      <c r="F209" s="565"/>
      <c r="G209" s="592"/>
      <c r="H209" s="565"/>
      <c r="I209" s="565"/>
      <c r="J209" s="565"/>
      <c r="K209" s="466"/>
      <c r="L209" s="459"/>
      <c r="M209" s="460"/>
      <c r="N209" s="459"/>
      <c r="O209" s="261"/>
      <c r="P209" s="565"/>
      <c r="Q209" s="565"/>
      <c r="R209" s="467"/>
    </row>
    <row r="210" spans="1:18" s="438" customFormat="1" outlineLevel="1">
      <c r="A210" s="569"/>
      <c r="B210" s="587"/>
      <c r="C210" s="589"/>
      <c r="D210" s="565"/>
      <c r="E210" s="596"/>
      <c r="F210" s="565"/>
      <c r="G210" s="592"/>
      <c r="H210" s="565"/>
      <c r="I210" s="565"/>
      <c r="J210" s="565"/>
      <c r="K210" s="466"/>
      <c r="L210" s="459"/>
      <c r="M210" s="460"/>
      <c r="N210" s="459"/>
      <c r="O210" s="261"/>
      <c r="P210" s="565"/>
      <c r="Q210" s="565"/>
      <c r="R210" s="467"/>
    </row>
    <row r="211" spans="1:18" s="438" customFormat="1" outlineLevel="1">
      <c r="A211" s="569"/>
      <c r="B211" s="587"/>
      <c r="C211" s="589"/>
      <c r="D211" s="565"/>
      <c r="E211" s="596"/>
      <c r="F211" s="565"/>
      <c r="G211" s="592"/>
      <c r="H211" s="565"/>
      <c r="I211" s="565"/>
      <c r="J211" s="565"/>
      <c r="K211" s="466"/>
      <c r="L211" s="459"/>
      <c r="M211" s="460"/>
      <c r="N211" s="459"/>
      <c r="O211" s="261"/>
      <c r="P211" s="565"/>
      <c r="Q211" s="565"/>
      <c r="R211" s="467"/>
    </row>
    <row r="212" spans="1:18" s="438" customFormat="1" outlineLevel="1">
      <c r="A212" s="570"/>
      <c r="B212" s="588"/>
      <c r="C212" s="590"/>
      <c r="D212" s="566"/>
      <c r="E212" s="596"/>
      <c r="F212" s="566"/>
      <c r="G212" s="593"/>
      <c r="H212" s="566"/>
      <c r="I212" s="566"/>
      <c r="J212" s="566"/>
      <c r="K212" s="466"/>
      <c r="L212" s="459"/>
      <c r="M212" s="460"/>
      <c r="N212" s="459"/>
      <c r="O212" s="261"/>
      <c r="P212" s="566"/>
      <c r="Q212" s="566"/>
      <c r="R212" s="467"/>
    </row>
    <row r="213" spans="1:18" s="438" customFormat="1" outlineLevel="1">
      <c r="A213" s="568"/>
      <c r="B213" s="587"/>
      <c r="C213" s="595"/>
      <c r="D213" s="565"/>
      <c r="E213" s="596"/>
      <c r="F213" s="565"/>
      <c r="G213" s="597"/>
      <c r="H213" s="594"/>
      <c r="I213" s="594"/>
      <c r="J213" s="594"/>
      <c r="K213" s="458"/>
      <c r="L213" s="459"/>
      <c r="M213" s="460"/>
      <c r="N213" s="459"/>
      <c r="O213" s="261"/>
      <c r="P213" s="594"/>
      <c r="Q213" s="594"/>
      <c r="R213" s="467"/>
    </row>
    <row r="214" spans="1:18" s="438" customFormat="1" outlineLevel="1">
      <c r="A214" s="569"/>
      <c r="B214" s="587"/>
      <c r="C214" s="589"/>
      <c r="D214" s="565"/>
      <c r="E214" s="596"/>
      <c r="F214" s="565"/>
      <c r="G214" s="592"/>
      <c r="H214" s="565"/>
      <c r="I214" s="565"/>
      <c r="J214" s="565"/>
      <c r="K214" s="466"/>
      <c r="L214" s="459"/>
      <c r="M214" s="460"/>
      <c r="N214" s="459"/>
      <c r="O214" s="261"/>
      <c r="P214" s="565"/>
      <c r="Q214" s="565"/>
      <c r="R214" s="467"/>
    </row>
    <row r="215" spans="1:18" s="438" customFormat="1" outlineLevel="1">
      <c r="A215" s="569"/>
      <c r="B215" s="587"/>
      <c r="C215" s="589"/>
      <c r="D215" s="565"/>
      <c r="E215" s="596"/>
      <c r="F215" s="565"/>
      <c r="G215" s="592"/>
      <c r="H215" s="565"/>
      <c r="I215" s="565"/>
      <c r="J215" s="565"/>
      <c r="K215" s="466"/>
      <c r="L215" s="459"/>
      <c r="M215" s="460"/>
      <c r="N215" s="459"/>
      <c r="O215" s="261"/>
      <c r="P215" s="565"/>
      <c r="Q215" s="565"/>
      <c r="R215" s="467"/>
    </row>
    <row r="216" spans="1:18" s="438" customFormat="1" outlineLevel="1">
      <c r="A216" s="569"/>
      <c r="B216" s="587"/>
      <c r="C216" s="589"/>
      <c r="D216" s="565"/>
      <c r="E216" s="596"/>
      <c r="F216" s="565"/>
      <c r="G216" s="592"/>
      <c r="H216" s="565"/>
      <c r="I216" s="565"/>
      <c r="J216" s="565"/>
      <c r="K216" s="466"/>
      <c r="L216" s="459"/>
      <c r="M216" s="460"/>
      <c r="N216" s="459"/>
      <c r="O216" s="261"/>
      <c r="P216" s="565"/>
      <c r="Q216" s="565"/>
      <c r="R216" s="467"/>
    </row>
    <row r="217" spans="1:18" s="438" customFormat="1" outlineLevel="1">
      <c r="A217" s="569"/>
      <c r="B217" s="587"/>
      <c r="C217" s="589"/>
      <c r="D217" s="565"/>
      <c r="E217" s="596"/>
      <c r="F217" s="565"/>
      <c r="G217" s="592"/>
      <c r="H217" s="565"/>
      <c r="I217" s="565"/>
      <c r="J217" s="565"/>
      <c r="K217" s="466"/>
      <c r="L217" s="459"/>
      <c r="M217" s="460"/>
      <c r="N217" s="459"/>
      <c r="O217" s="261"/>
      <c r="P217" s="565"/>
      <c r="Q217" s="565"/>
      <c r="R217" s="467"/>
    </row>
    <row r="218" spans="1:18" s="438" customFormat="1" outlineLevel="1">
      <c r="A218" s="569"/>
      <c r="B218" s="587"/>
      <c r="C218" s="589"/>
      <c r="D218" s="565"/>
      <c r="E218" s="596"/>
      <c r="F218" s="565"/>
      <c r="G218" s="592"/>
      <c r="H218" s="565"/>
      <c r="I218" s="565"/>
      <c r="J218" s="565"/>
      <c r="K218" s="466"/>
      <c r="L218" s="459"/>
      <c r="M218" s="460"/>
      <c r="N218" s="459"/>
      <c r="O218" s="261"/>
      <c r="P218" s="565"/>
      <c r="Q218" s="565"/>
      <c r="R218" s="467"/>
    </row>
    <row r="219" spans="1:18" s="438" customFormat="1" outlineLevel="1">
      <c r="A219" s="569"/>
      <c r="B219" s="587"/>
      <c r="C219" s="589"/>
      <c r="D219" s="565"/>
      <c r="E219" s="596"/>
      <c r="F219" s="565"/>
      <c r="G219" s="592"/>
      <c r="H219" s="565"/>
      <c r="I219" s="565"/>
      <c r="J219" s="565"/>
      <c r="K219" s="466"/>
      <c r="L219" s="459"/>
      <c r="M219" s="460"/>
      <c r="N219" s="459"/>
      <c r="O219" s="261"/>
      <c r="P219" s="565"/>
      <c r="Q219" s="565"/>
      <c r="R219" s="467"/>
    </row>
    <row r="220" spans="1:18" s="438" customFormat="1" outlineLevel="1">
      <c r="A220" s="569"/>
      <c r="B220" s="587"/>
      <c r="C220" s="589"/>
      <c r="D220" s="565"/>
      <c r="E220" s="596"/>
      <c r="F220" s="565"/>
      <c r="G220" s="592"/>
      <c r="H220" s="565"/>
      <c r="I220" s="565"/>
      <c r="J220" s="565"/>
      <c r="K220" s="466"/>
      <c r="L220" s="459"/>
      <c r="M220" s="460"/>
      <c r="N220" s="459"/>
      <c r="O220" s="261"/>
      <c r="P220" s="565"/>
      <c r="Q220" s="565"/>
      <c r="R220" s="467"/>
    </row>
    <row r="221" spans="1:18" s="438" customFormat="1" outlineLevel="1">
      <c r="A221" s="569"/>
      <c r="B221" s="587"/>
      <c r="C221" s="589"/>
      <c r="D221" s="565"/>
      <c r="E221" s="596"/>
      <c r="F221" s="565"/>
      <c r="G221" s="592"/>
      <c r="H221" s="565"/>
      <c r="I221" s="565"/>
      <c r="J221" s="565"/>
      <c r="K221" s="466"/>
      <c r="L221" s="459"/>
      <c r="M221" s="460"/>
      <c r="N221" s="459"/>
      <c r="O221" s="261"/>
      <c r="P221" s="565"/>
      <c r="Q221" s="565"/>
      <c r="R221" s="467"/>
    </row>
    <row r="222" spans="1:18" s="438" customFormat="1" outlineLevel="1">
      <c r="A222" s="569"/>
      <c r="B222" s="587"/>
      <c r="C222" s="589"/>
      <c r="D222" s="565"/>
      <c r="E222" s="596"/>
      <c r="F222" s="565"/>
      <c r="G222" s="592"/>
      <c r="H222" s="565"/>
      <c r="I222" s="565"/>
      <c r="J222" s="565"/>
      <c r="K222" s="466"/>
      <c r="L222" s="459"/>
      <c r="M222" s="460"/>
      <c r="N222" s="459"/>
      <c r="O222" s="261"/>
      <c r="P222" s="565"/>
      <c r="Q222" s="565"/>
      <c r="R222" s="467"/>
    </row>
    <row r="223" spans="1:18" s="438" customFormat="1" outlineLevel="1">
      <c r="A223" s="569"/>
      <c r="B223" s="587"/>
      <c r="C223" s="589"/>
      <c r="D223" s="565"/>
      <c r="E223" s="596"/>
      <c r="F223" s="565"/>
      <c r="G223" s="592"/>
      <c r="H223" s="565"/>
      <c r="I223" s="565"/>
      <c r="J223" s="565"/>
      <c r="K223" s="466"/>
      <c r="L223" s="459"/>
      <c r="M223" s="460"/>
      <c r="N223" s="459"/>
      <c r="O223" s="261"/>
      <c r="P223" s="565"/>
      <c r="Q223" s="565"/>
      <c r="R223" s="467"/>
    </row>
    <row r="224" spans="1:18" s="438" customFormat="1" outlineLevel="1">
      <c r="A224" s="569"/>
      <c r="B224" s="587"/>
      <c r="C224" s="589"/>
      <c r="D224" s="565"/>
      <c r="E224" s="596"/>
      <c r="F224" s="565"/>
      <c r="G224" s="592"/>
      <c r="H224" s="565"/>
      <c r="I224" s="565"/>
      <c r="J224" s="565"/>
      <c r="K224" s="466"/>
      <c r="L224" s="459"/>
      <c r="M224" s="460"/>
      <c r="N224" s="459"/>
      <c r="O224" s="261"/>
      <c r="P224" s="565"/>
      <c r="Q224" s="565"/>
      <c r="R224" s="467"/>
    </row>
    <row r="225" spans="1:18" s="438" customFormat="1" outlineLevel="1">
      <c r="A225" s="569"/>
      <c r="B225" s="587"/>
      <c r="C225" s="589"/>
      <c r="D225" s="565"/>
      <c r="E225" s="596"/>
      <c r="F225" s="565"/>
      <c r="G225" s="592"/>
      <c r="H225" s="565"/>
      <c r="I225" s="565"/>
      <c r="J225" s="565"/>
      <c r="K225" s="466"/>
      <c r="L225" s="459"/>
      <c r="M225" s="460"/>
      <c r="N225" s="459"/>
      <c r="O225" s="261"/>
      <c r="P225" s="565"/>
      <c r="Q225" s="565"/>
      <c r="R225" s="467"/>
    </row>
    <row r="226" spans="1:18" s="438" customFormat="1" outlineLevel="1">
      <c r="A226" s="569"/>
      <c r="B226" s="587"/>
      <c r="C226" s="589"/>
      <c r="D226" s="565"/>
      <c r="E226" s="596"/>
      <c r="F226" s="565"/>
      <c r="G226" s="592"/>
      <c r="H226" s="565"/>
      <c r="I226" s="565"/>
      <c r="J226" s="565"/>
      <c r="K226" s="466"/>
      <c r="L226" s="459"/>
      <c r="M226" s="460"/>
      <c r="N226" s="459"/>
      <c r="O226" s="261"/>
      <c r="P226" s="565"/>
      <c r="Q226" s="565"/>
      <c r="R226" s="467"/>
    </row>
    <row r="227" spans="1:18" s="438" customFormat="1" outlineLevel="1">
      <c r="A227" s="569"/>
      <c r="B227" s="587"/>
      <c r="C227" s="589"/>
      <c r="D227" s="565"/>
      <c r="E227" s="596"/>
      <c r="F227" s="565"/>
      <c r="G227" s="592"/>
      <c r="H227" s="565"/>
      <c r="I227" s="565"/>
      <c r="J227" s="565"/>
      <c r="K227" s="466"/>
      <c r="L227" s="459"/>
      <c r="M227" s="460"/>
      <c r="N227" s="459"/>
      <c r="O227" s="261"/>
      <c r="P227" s="565"/>
      <c r="Q227" s="565"/>
      <c r="R227" s="467"/>
    </row>
    <row r="228" spans="1:18" s="438" customFormat="1" outlineLevel="1">
      <c r="A228" s="570"/>
      <c r="B228" s="588"/>
      <c r="C228" s="590"/>
      <c r="D228" s="566"/>
      <c r="E228" s="596"/>
      <c r="F228" s="566"/>
      <c r="G228" s="593"/>
      <c r="H228" s="566"/>
      <c r="I228" s="566"/>
      <c r="J228" s="566"/>
      <c r="K228" s="466"/>
      <c r="L228" s="459"/>
      <c r="M228" s="460"/>
      <c r="N228" s="459"/>
      <c r="O228" s="261"/>
      <c r="P228" s="566"/>
      <c r="Q228" s="566"/>
      <c r="R228" s="467"/>
    </row>
    <row r="229" spans="1:18" s="438" customFormat="1" outlineLevel="1">
      <c r="A229" s="568"/>
      <c r="B229" s="587"/>
      <c r="C229" s="595"/>
      <c r="D229" s="565"/>
      <c r="E229" s="596"/>
      <c r="F229" s="565"/>
      <c r="G229" s="597"/>
      <c r="H229" s="594"/>
      <c r="I229" s="594"/>
      <c r="J229" s="594"/>
      <c r="K229" s="458"/>
      <c r="L229" s="459"/>
      <c r="M229" s="460"/>
      <c r="N229" s="459"/>
      <c r="O229" s="261"/>
      <c r="P229" s="594"/>
      <c r="Q229" s="594"/>
      <c r="R229" s="467"/>
    </row>
    <row r="230" spans="1:18" s="438" customFormat="1" outlineLevel="1">
      <c r="A230" s="569"/>
      <c r="B230" s="587"/>
      <c r="C230" s="589"/>
      <c r="D230" s="565"/>
      <c r="E230" s="596"/>
      <c r="F230" s="565"/>
      <c r="G230" s="592"/>
      <c r="H230" s="565"/>
      <c r="I230" s="565"/>
      <c r="J230" s="565"/>
      <c r="K230" s="466"/>
      <c r="L230" s="459"/>
      <c r="M230" s="460"/>
      <c r="N230" s="459"/>
      <c r="O230" s="261"/>
      <c r="P230" s="565"/>
      <c r="Q230" s="565"/>
      <c r="R230" s="467"/>
    </row>
    <row r="231" spans="1:18" s="438" customFormat="1" outlineLevel="1">
      <c r="A231" s="569"/>
      <c r="B231" s="587"/>
      <c r="C231" s="589"/>
      <c r="D231" s="565"/>
      <c r="E231" s="596"/>
      <c r="F231" s="565"/>
      <c r="G231" s="592"/>
      <c r="H231" s="565"/>
      <c r="I231" s="565"/>
      <c r="J231" s="565"/>
      <c r="K231" s="466"/>
      <c r="L231" s="459"/>
      <c r="M231" s="460"/>
      <c r="N231" s="459"/>
      <c r="O231" s="261"/>
      <c r="P231" s="565"/>
      <c r="Q231" s="565"/>
      <c r="R231" s="467"/>
    </row>
    <row r="232" spans="1:18" s="438" customFormat="1" outlineLevel="1">
      <c r="A232" s="569"/>
      <c r="B232" s="587"/>
      <c r="C232" s="589"/>
      <c r="D232" s="565"/>
      <c r="E232" s="596"/>
      <c r="F232" s="565"/>
      <c r="G232" s="592"/>
      <c r="H232" s="565"/>
      <c r="I232" s="565"/>
      <c r="J232" s="565"/>
      <c r="K232" s="466"/>
      <c r="L232" s="459"/>
      <c r="M232" s="460"/>
      <c r="N232" s="459"/>
      <c r="O232" s="261"/>
      <c r="P232" s="565"/>
      <c r="Q232" s="565"/>
      <c r="R232" s="467"/>
    </row>
    <row r="233" spans="1:18" s="438" customFormat="1" outlineLevel="1">
      <c r="A233" s="569"/>
      <c r="B233" s="587"/>
      <c r="C233" s="589"/>
      <c r="D233" s="565"/>
      <c r="E233" s="596"/>
      <c r="F233" s="565"/>
      <c r="G233" s="592"/>
      <c r="H233" s="565"/>
      <c r="I233" s="565"/>
      <c r="J233" s="565"/>
      <c r="K233" s="466"/>
      <c r="L233" s="459"/>
      <c r="M233" s="460"/>
      <c r="N233" s="459"/>
      <c r="O233" s="261"/>
      <c r="P233" s="565"/>
      <c r="Q233" s="565"/>
      <c r="R233" s="467"/>
    </row>
    <row r="234" spans="1:18" s="438" customFormat="1" outlineLevel="1">
      <c r="A234" s="569"/>
      <c r="B234" s="587"/>
      <c r="C234" s="589"/>
      <c r="D234" s="565"/>
      <c r="E234" s="596"/>
      <c r="F234" s="565"/>
      <c r="G234" s="592"/>
      <c r="H234" s="565"/>
      <c r="I234" s="565"/>
      <c r="J234" s="565"/>
      <c r="K234" s="466"/>
      <c r="L234" s="459"/>
      <c r="M234" s="460"/>
      <c r="N234" s="459"/>
      <c r="O234" s="261"/>
      <c r="P234" s="565"/>
      <c r="Q234" s="565"/>
      <c r="R234" s="467"/>
    </row>
    <row r="235" spans="1:18" s="438" customFormat="1" outlineLevel="1">
      <c r="A235" s="569"/>
      <c r="B235" s="587"/>
      <c r="C235" s="589"/>
      <c r="D235" s="565"/>
      <c r="E235" s="596"/>
      <c r="F235" s="565"/>
      <c r="G235" s="592"/>
      <c r="H235" s="565"/>
      <c r="I235" s="565"/>
      <c r="J235" s="565"/>
      <c r="K235" s="466"/>
      <c r="L235" s="459"/>
      <c r="M235" s="460"/>
      <c r="N235" s="459"/>
      <c r="O235" s="261"/>
      <c r="P235" s="565"/>
      <c r="Q235" s="565"/>
      <c r="R235" s="467"/>
    </row>
    <row r="236" spans="1:18" s="438" customFormat="1" outlineLevel="1">
      <c r="A236" s="569"/>
      <c r="B236" s="587"/>
      <c r="C236" s="589"/>
      <c r="D236" s="565"/>
      <c r="E236" s="596"/>
      <c r="F236" s="565"/>
      <c r="G236" s="592"/>
      <c r="H236" s="565"/>
      <c r="I236" s="565"/>
      <c r="J236" s="565"/>
      <c r="K236" s="466"/>
      <c r="L236" s="459"/>
      <c r="M236" s="460"/>
      <c r="N236" s="459"/>
      <c r="O236" s="261"/>
      <c r="P236" s="565"/>
      <c r="Q236" s="565"/>
      <c r="R236" s="467"/>
    </row>
    <row r="237" spans="1:18" s="438" customFormat="1" outlineLevel="1">
      <c r="A237" s="569"/>
      <c r="B237" s="587"/>
      <c r="C237" s="589"/>
      <c r="D237" s="565"/>
      <c r="E237" s="596"/>
      <c r="F237" s="565"/>
      <c r="G237" s="592"/>
      <c r="H237" s="565"/>
      <c r="I237" s="565"/>
      <c r="J237" s="565"/>
      <c r="K237" s="466"/>
      <c r="L237" s="459"/>
      <c r="M237" s="460"/>
      <c r="N237" s="459"/>
      <c r="O237" s="261"/>
      <c r="P237" s="565"/>
      <c r="Q237" s="565"/>
      <c r="R237" s="467"/>
    </row>
    <row r="238" spans="1:18" s="438" customFormat="1" outlineLevel="1">
      <c r="A238" s="569"/>
      <c r="B238" s="587"/>
      <c r="C238" s="589"/>
      <c r="D238" s="565"/>
      <c r="E238" s="596"/>
      <c r="F238" s="565"/>
      <c r="G238" s="592"/>
      <c r="H238" s="565"/>
      <c r="I238" s="565"/>
      <c r="J238" s="565"/>
      <c r="K238" s="466"/>
      <c r="L238" s="459"/>
      <c r="M238" s="460"/>
      <c r="N238" s="459"/>
      <c r="O238" s="261"/>
      <c r="P238" s="565"/>
      <c r="Q238" s="565"/>
      <c r="R238" s="467"/>
    </row>
    <row r="239" spans="1:18" s="438" customFormat="1" outlineLevel="1">
      <c r="A239" s="569"/>
      <c r="B239" s="587"/>
      <c r="C239" s="589"/>
      <c r="D239" s="565"/>
      <c r="E239" s="596"/>
      <c r="F239" s="565"/>
      <c r="G239" s="592"/>
      <c r="H239" s="565"/>
      <c r="I239" s="565"/>
      <c r="J239" s="565"/>
      <c r="K239" s="466"/>
      <c r="L239" s="459"/>
      <c r="M239" s="460"/>
      <c r="N239" s="459"/>
      <c r="O239" s="261"/>
      <c r="P239" s="565"/>
      <c r="Q239" s="565"/>
      <c r="R239" s="467"/>
    </row>
    <row r="240" spans="1:18" s="438" customFormat="1" outlineLevel="1">
      <c r="A240" s="569"/>
      <c r="B240" s="587"/>
      <c r="C240" s="589"/>
      <c r="D240" s="565"/>
      <c r="E240" s="596"/>
      <c r="F240" s="565"/>
      <c r="G240" s="592"/>
      <c r="H240" s="565"/>
      <c r="I240" s="565"/>
      <c r="J240" s="565"/>
      <c r="K240" s="466"/>
      <c r="L240" s="459"/>
      <c r="M240" s="460"/>
      <c r="N240" s="459"/>
      <c r="O240" s="261"/>
      <c r="P240" s="565"/>
      <c r="Q240" s="565"/>
      <c r="R240" s="467"/>
    </row>
    <row r="241" spans="1:18" s="438" customFormat="1" outlineLevel="1">
      <c r="A241" s="569"/>
      <c r="B241" s="587"/>
      <c r="C241" s="589"/>
      <c r="D241" s="565"/>
      <c r="E241" s="596"/>
      <c r="F241" s="565"/>
      <c r="G241" s="592"/>
      <c r="H241" s="565"/>
      <c r="I241" s="565"/>
      <c r="J241" s="565"/>
      <c r="K241" s="466"/>
      <c r="L241" s="459"/>
      <c r="M241" s="460"/>
      <c r="N241" s="459"/>
      <c r="O241" s="261"/>
      <c r="P241" s="565"/>
      <c r="Q241" s="565"/>
      <c r="R241" s="467"/>
    </row>
    <row r="242" spans="1:18" s="438" customFormat="1" outlineLevel="1">
      <c r="A242" s="569"/>
      <c r="B242" s="587"/>
      <c r="C242" s="589"/>
      <c r="D242" s="565"/>
      <c r="E242" s="596"/>
      <c r="F242" s="565"/>
      <c r="G242" s="592"/>
      <c r="H242" s="565"/>
      <c r="I242" s="565"/>
      <c r="J242" s="565"/>
      <c r="K242" s="466"/>
      <c r="L242" s="459"/>
      <c r="M242" s="460"/>
      <c r="N242" s="459"/>
      <c r="O242" s="261"/>
      <c r="P242" s="565"/>
      <c r="Q242" s="565"/>
      <c r="R242" s="467"/>
    </row>
    <row r="243" spans="1:18" s="438" customFormat="1" outlineLevel="1">
      <c r="A243" s="569"/>
      <c r="B243" s="587"/>
      <c r="C243" s="589"/>
      <c r="D243" s="565"/>
      <c r="E243" s="596"/>
      <c r="F243" s="565"/>
      <c r="G243" s="592"/>
      <c r="H243" s="565"/>
      <c r="I243" s="565"/>
      <c r="J243" s="565"/>
      <c r="K243" s="466"/>
      <c r="L243" s="459"/>
      <c r="M243" s="460"/>
      <c r="N243" s="459"/>
      <c r="O243" s="261"/>
      <c r="P243" s="565"/>
      <c r="Q243" s="565"/>
      <c r="R243" s="467"/>
    </row>
    <row r="244" spans="1:18" s="438" customFormat="1" outlineLevel="1">
      <c r="A244" s="570"/>
      <c r="B244" s="588"/>
      <c r="C244" s="590"/>
      <c r="D244" s="566"/>
      <c r="E244" s="596"/>
      <c r="F244" s="566"/>
      <c r="G244" s="593"/>
      <c r="H244" s="566"/>
      <c r="I244" s="566"/>
      <c r="J244" s="566"/>
      <c r="K244" s="466"/>
      <c r="L244" s="459"/>
      <c r="M244" s="460"/>
      <c r="N244" s="459"/>
      <c r="O244" s="261"/>
      <c r="P244" s="566"/>
      <c r="Q244" s="566"/>
      <c r="R244" s="467"/>
    </row>
    <row r="245" spans="1:18" s="438" customFormat="1" outlineLevel="1">
      <c r="A245" s="568"/>
      <c r="B245" s="587"/>
      <c r="C245" s="595"/>
      <c r="D245" s="565"/>
      <c r="E245" s="596"/>
      <c r="F245" s="565"/>
      <c r="G245" s="597"/>
      <c r="H245" s="594"/>
      <c r="I245" s="594"/>
      <c r="J245" s="594"/>
      <c r="K245" s="458"/>
      <c r="L245" s="459"/>
      <c r="M245" s="460"/>
      <c r="N245" s="459"/>
      <c r="O245" s="261"/>
      <c r="P245" s="594"/>
      <c r="Q245" s="594"/>
      <c r="R245" s="467"/>
    </row>
    <row r="246" spans="1:18" s="438" customFormat="1" outlineLevel="1">
      <c r="A246" s="569"/>
      <c r="B246" s="587"/>
      <c r="C246" s="589"/>
      <c r="D246" s="565"/>
      <c r="E246" s="596"/>
      <c r="F246" s="565"/>
      <c r="G246" s="592"/>
      <c r="H246" s="565"/>
      <c r="I246" s="565"/>
      <c r="J246" s="565"/>
      <c r="K246" s="466"/>
      <c r="L246" s="459"/>
      <c r="M246" s="460"/>
      <c r="N246" s="459"/>
      <c r="O246" s="261"/>
      <c r="P246" s="565"/>
      <c r="Q246" s="565"/>
      <c r="R246" s="467"/>
    </row>
    <row r="247" spans="1:18" s="438" customFormat="1" outlineLevel="1">
      <c r="A247" s="569"/>
      <c r="B247" s="587"/>
      <c r="C247" s="589"/>
      <c r="D247" s="565"/>
      <c r="E247" s="596"/>
      <c r="F247" s="565"/>
      <c r="G247" s="592"/>
      <c r="H247" s="565"/>
      <c r="I247" s="565"/>
      <c r="J247" s="565"/>
      <c r="K247" s="466"/>
      <c r="L247" s="459"/>
      <c r="M247" s="460"/>
      <c r="N247" s="459"/>
      <c r="O247" s="261"/>
      <c r="P247" s="565"/>
      <c r="Q247" s="565"/>
      <c r="R247" s="467"/>
    </row>
    <row r="248" spans="1:18" s="438" customFormat="1" outlineLevel="1">
      <c r="A248" s="569"/>
      <c r="B248" s="587"/>
      <c r="C248" s="589"/>
      <c r="D248" s="565"/>
      <c r="E248" s="596"/>
      <c r="F248" s="565"/>
      <c r="G248" s="592"/>
      <c r="H248" s="565"/>
      <c r="I248" s="565"/>
      <c r="J248" s="565"/>
      <c r="K248" s="466"/>
      <c r="L248" s="459"/>
      <c r="M248" s="460"/>
      <c r="N248" s="459"/>
      <c r="O248" s="261"/>
      <c r="P248" s="565"/>
      <c r="Q248" s="565"/>
      <c r="R248" s="467"/>
    </row>
    <row r="249" spans="1:18" s="438" customFormat="1" outlineLevel="1">
      <c r="A249" s="569"/>
      <c r="B249" s="587"/>
      <c r="C249" s="589"/>
      <c r="D249" s="565"/>
      <c r="E249" s="596"/>
      <c r="F249" s="565"/>
      <c r="G249" s="592"/>
      <c r="H249" s="565"/>
      <c r="I249" s="565"/>
      <c r="J249" s="565"/>
      <c r="K249" s="466"/>
      <c r="L249" s="459"/>
      <c r="M249" s="460"/>
      <c r="N249" s="459"/>
      <c r="O249" s="261"/>
      <c r="P249" s="565"/>
      <c r="Q249" s="565"/>
      <c r="R249" s="467"/>
    </row>
    <row r="250" spans="1:18" s="438" customFormat="1" outlineLevel="1">
      <c r="A250" s="569"/>
      <c r="B250" s="587"/>
      <c r="C250" s="589"/>
      <c r="D250" s="565"/>
      <c r="E250" s="596"/>
      <c r="F250" s="565"/>
      <c r="G250" s="592"/>
      <c r="H250" s="565"/>
      <c r="I250" s="565"/>
      <c r="J250" s="565"/>
      <c r="K250" s="466"/>
      <c r="L250" s="459"/>
      <c r="M250" s="460"/>
      <c r="N250" s="459"/>
      <c r="O250" s="261"/>
      <c r="P250" s="565"/>
      <c r="Q250" s="565"/>
      <c r="R250" s="467"/>
    </row>
    <row r="251" spans="1:18" s="438" customFormat="1" outlineLevel="1">
      <c r="A251" s="569"/>
      <c r="B251" s="587"/>
      <c r="C251" s="589"/>
      <c r="D251" s="565"/>
      <c r="E251" s="596"/>
      <c r="F251" s="565"/>
      <c r="G251" s="592"/>
      <c r="H251" s="565"/>
      <c r="I251" s="565"/>
      <c r="J251" s="565"/>
      <c r="K251" s="466"/>
      <c r="L251" s="459"/>
      <c r="M251" s="460"/>
      <c r="N251" s="459"/>
      <c r="O251" s="261"/>
      <c r="P251" s="565"/>
      <c r="Q251" s="565"/>
      <c r="R251" s="467"/>
    </row>
    <row r="252" spans="1:18" s="438" customFormat="1" outlineLevel="1">
      <c r="A252" s="569"/>
      <c r="B252" s="587"/>
      <c r="C252" s="589"/>
      <c r="D252" s="565"/>
      <c r="E252" s="596"/>
      <c r="F252" s="565"/>
      <c r="G252" s="592"/>
      <c r="H252" s="565"/>
      <c r="I252" s="565"/>
      <c r="J252" s="565"/>
      <c r="K252" s="466"/>
      <c r="L252" s="459"/>
      <c r="M252" s="460"/>
      <c r="N252" s="459"/>
      <c r="O252" s="261"/>
      <c r="P252" s="565"/>
      <c r="Q252" s="565"/>
      <c r="R252" s="467"/>
    </row>
    <row r="253" spans="1:18" s="438" customFormat="1" outlineLevel="1">
      <c r="A253" s="569"/>
      <c r="B253" s="587"/>
      <c r="C253" s="589"/>
      <c r="D253" s="565"/>
      <c r="E253" s="596"/>
      <c r="F253" s="565"/>
      <c r="G253" s="592"/>
      <c r="H253" s="565"/>
      <c r="I253" s="565"/>
      <c r="J253" s="565"/>
      <c r="K253" s="466"/>
      <c r="L253" s="459"/>
      <c r="M253" s="460"/>
      <c r="N253" s="459"/>
      <c r="O253" s="261"/>
      <c r="P253" s="565"/>
      <c r="Q253" s="565"/>
      <c r="R253" s="467"/>
    </row>
    <row r="254" spans="1:18" s="438" customFormat="1" outlineLevel="1">
      <c r="A254" s="569"/>
      <c r="B254" s="587"/>
      <c r="C254" s="589"/>
      <c r="D254" s="565"/>
      <c r="E254" s="596"/>
      <c r="F254" s="565"/>
      <c r="G254" s="592"/>
      <c r="H254" s="565"/>
      <c r="I254" s="565"/>
      <c r="J254" s="565"/>
      <c r="K254" s="466"/>
      <c r="L254" s="459"/>
      <c r="M254" s="460"/>
      <c r="N254" s="459"/>
      <c r="O254" s="261"/>
      <c r="P254" s="565"/>
      <c r="Q254" s="565"/>
      <c r="R254" s="467"/>
    </row>
    <row r="255" spans="1:18" s="438" customFormat="1" outlineLevel="1">
      <c r="A255" s="569"/>
      <c r="B255" s="587"/>
      <c r="C255" s="589"/>
      <c r="D255" s="565"/>
      <c r="E255" s="596"/>
      <c r="F255" s="565"/>
      <c r="G255" s="592"/>
      <c r="H255" s="565"/>
      <c r="I255" s="565"/>
      <c r="J255" s="565"/>
      <c r="K255" s="466"/>
      <c r="L255" s="459"/>
      <c r="M255" s="460"/>
      <c r="N255" s="459"/>
      <c r="O255" s="261"/>
      <c r="P255" s="565"/>
      <c r="Q255" s="565"/>
      <c r="R255" s="467"/>
    </row>
    <row r="256" spans="1:18" s="438" customFormat="1" outlineLevel="1">
      <c r="A256" s="569"/>
      <c r="B256" s="587"/>
      <c r="C256" s="589"/>
      <c r="D256" s="565"/>
      <c r="E256" s="596"/>
      <c r="F256" s="565"/>
      <c r="G256" s="592"/>
      <c r="H256" s="565"/>
      <c r="I256" s="565"/>
      <c r="J256" s="565"/>
      <c r="K256" s="466"/>
      <c r="L256" s="459"/>
      <c r="M256" s="460"/>
      <c r="N256" s="459"/>
      <c r="O256" s="261"/>
      <c r="P256" s="565"/>
      <c r="Q256" s="565"/>
      <c r="R256" s="467"/>
    </row>
    <row r="257" spans="1:18" s="438" customFormat="1" outlineLevel="1">
      <c r="A257" s="569"/>
      <c r="B257" s="587"/>
      <c r="C257" s="589"/>
      <c r="D257" s="565"/>
      <c r="E257" s="596"/>
      <c r="F257" s="565"/>
      <c r="G257" s="592"/>
      <c r="H257" s="565"/>
      <c r="I257" s="565"/>
      <c r="J257" s="565"/>
      <c r="K257" s="466"/>
      <c r="L257" s="459"/>
      <c r="M257" s="460"/>
      <c r="N257" s="459"/>
      <c r="O257" s="261"/>
      <c r="P257" s="565"/>
      <c r="Q257" s="565"/>
      <c r="R257" s="467"/>
    </row>
    <row r="258" spans="1:18" s="438" customFormat="1" outlineLevel="1">
      <c r="A258" s="569"/>
      <c r="B258" s="587"/>
      <c r="C258" s="589"/>
      <c r="D258" s="565"/>
      <c r="E258" s="596"/>
      <c r="F258" s="565"/>
      <c r="G258" s="592"/>
      <c r="H258" s="565"/>
      <c r="I258" s="565"/>
      <c r="J258" s="565"/>
      <c r="K258" s="466"/>
      <c r="L258" s="459"/>
      <c r="M258" s="460"/>
      <c r="N258" s="459"/>
      <c r="O258" s="261"/>
      <c r="P258" s="565"/>
      <c r="Q258" s="565"/>
      <c r="R258" s="467"/>
    </row>
    <row r="259" spans="1:18" s="438" customFormat="1" outlineLevel="1">
      <c r="A259" s="569"/>
      <c r="B259" s="587"/>
      <c r="C259" s="589"/>
      <c r="D259" s="565"/>
      <c r="E259" s="596"/>
      <c r="F259" s="565"/>
      <c r="G259" s="592"/>
      <c r="H259" s="565"/>
      <c r="I259" s="565"/>
      <c r="J259" s="565"/>
      <c r="K259" s="466"/>
      <c r="L259" s="459"/>
      <c r="M259" s="460"/>
      <c r="N259" s="459"/>
      <c r="O259" s="261"/>
      <c r="P259" s="565"/>
      <c r="Q259" s="565"/>
      <c r="R259" s="467"/>
    </row>
    <row r="260" spans="1:18" s="438" customFormat="1" outlineLevel="1">
      <c r="A260" s="570"/>
      <c r="B260" s="588"/>
      <c r="C260" s="590"/>
      <c r="D260" s="566"/>
      <c r="E260" s="596"/>
      <c r="F260" s="566"/>
      <c r="G260" s="593"/>
      <c r="H260" s="566"/>
      <c r="I260" s="566"/>
      <c r="J260" s="566"/>
      <c r="K260" s="466"/>
      <c r="L260" s="459"/>
      <c r="M260" s="460"/>
      <c r="N260" s="459"/>
      <c r="O260" s="261"/>
      <c r="P260" s="566"/>
      <c r="Q260" s="566"/>
      <c r="R260" s="467"/>
    </row>
    <row r="261" spans="1:18" s="438" customFormat="1" outlineLevel="1">
      <c r="A261" s="568"/>
      <c r="B261" s="587"/>
      <c r="C261" s="595"/>
      <c r="D261" s="565"/>
      <c r="E261" s="596"/>
      <c r="F261" s="565"/>
      <c r="G261" s="597"/>
      <c r="H261" s="594"/>
      <c r="I261" s="594"/>
      <c r="J261" s="594"/>
      <c r="K261" s="458"/>
      <c r="L261" s="459"/>
      <c r="M261" s="460"/>
      <c r="N261" s="459"/>
      <c r="O261" s="261"/>
      <c r="P261" s="594"/>
      <c r="Q261" s="594"/>
      <c r="R261" s="467"/>
    </row>
    <row r="262" spans="1:18" s="438" customFormat="1" outlineLevel="1">
      <c r="A262" s="569"/>
      <c r="B262" s="587"/>
      <c r="C262" s="589"/>
      <c r="D262" s="565"/>
      <c r="E262" s="596"/>
      <c r="F262" s="565"/>
      <c r="G262" s="592"/>
      <c r="H262" s="565"/>
      <c r="I262" s="565"/>
      <c r="J262" s="565"/>
      <c r="K262" s="466"/>
      <c r="L262" s="459"/>
      <c r="M262" s="460"/>
      <c r="N262" s="459"/>
      <c r="O262" s="261"/>
      <c r="P262" s="565"/>
      <c r="Q262" s="565"/>
      <c r="R262" s="467"/>
    </row>
    <row r="263" spans="1:18" s="438" customFormat="1" outlineLevel="1">
      <c r="A263" s="569"/>
      <c r="B263" s="587"/>
      <c r="C263" s="589"/>
      <c r="D263" s="565"/>
      <c r="E263" s="596"/>
      <c r="F263" s="565"/>
      <c r="G263" s="592"/>
      <c r="H263" s="565"/>
      <c r="I263" s="565"/>
      <c r="J263" s="565"/>
      <c r="K263" s="466"/>
      <c r="L263" s="459"/>
      <c r="M263" s="460"/>
      <c r="N263" s="459"/>
      <c r="O263" s="261"/>
      <c r="P263" s="565"/>
      <c r="Q263" s="565"/>
      <c r="R263" s="467"/>
    </row>
    <row r="264" spans="1:18" s="438" customFormat="1" outlineLevel="1">
      <c r="A264" s="569"/>
      <c r="B264" s="587"/>
      <c r="C264" s="589"/>
      <c r="D264" s="565"/>
      <c r="E264" s="596"/>
      <c r="F264" s="565"/>
      <c r="G264" s="592"/>
      <c r="H264" s="565"/>
      <c r="I264" s="565"/>
      <c r="J264" s="565"/>
      <c r="K264" s="466"/>
      <c r="L264" s="459"/>
      <c r="M264" s="460"/>
      <c r="N264" s="459"/>
      <c r="O264" s="261"/>
      <c r="P264" s="565"/>
      <c r="Q264" s="565"/>
      <c r="R264" s="467"/>
    </row>
    <row r="265" spans="1:18" s="438" customFormat="1" outlineLevel="1">
      <c r="A265" s="569"/>
      <c r="B265" s="587"/>
      <c r="C265" s="589"/>
      <c r="D265" s="565"/>
      <c r="E265" s="596"/>
      <c r="F265" s="565"/>
      <c r="G265" s="592"/>
      <c r="H265" s="565"/>
      <c r="I265" s="565"/>
      <c r="J265" s="565"/>
      <c r="K265" s="466"/>
      <c r="L265" s="459"/>
      <c r="M265" s="460"/>
      <c r="N265" s="459"/>
      <c r="O265" s="261"/>
      <c r="P265" s="565"/>
      <c r="Q265" s="565"/>
      <c r="R265" s="467"/>
    </row>
    <row r="266" spans="1:18" s="438" customFormat="1" outlineLevel="1">
      <c r="A266" s="569"/>
      <c r="B266" s="587"/>
      <c r="C266" s="589"/>
      <c r="D266" s="565"/>
      <c r="E266" s="596"/>
      <c r="F266" s="565"/>
      <c r="G266" s="592"/>
      <c r="H266" s="565"/>
      <c r="I266" s="565"/>
      <c r="J266" s="565"/>
      <c r="K266" s="466"/>
      <c r="L266" s="459"/>
      <c r="M266" s="460"/>
      <c r="N266" s="459"/>
      <c r="O266" s="261"/>
      <c r="P266" s="565"/>
      <c r="Q266" s="565"/>
      <c r="R266" s="467"/>
    </row>
    <row r="267" spans="1:18" s="438" customFormat="1" outlineLevel="1">
      <c r="A267" s="569"/>
      <c r="B267" s="587"/>
      <c r="C267" s="589"/>
      <c r="D267" s="565"/>
      <c r="E267" s="596"/>
      <c r="F267" s="565"/>
      <c r="G267" s="592"/>
      <c r="H267" s="565"/>
      <c r="I267" s="565"/>
      <c r="J267" s="565"/>
      <c r="K267" s="466"/>
      <c r="L267" s="459"/>
      <c r="M267" s="460"/>
      <c r="N267" s="459"/>
      <c r="O267" s="261"/>
      <c r="P267" s="565"/>
      <c r="Q267" s="565"/>
      <c r="R267" s="467"/>
    </row>
    <row r="268" spans="1:18" s="438" customFormat="1" outlineLevel="1">
      <c r="A268" s="569"/>
      <c r="B268" s="587"/>
      <c r="C268" s="589"/>
      <c r="D268" s="565"/>
      <c r="E268" s="596"/>
      <c r="F268" s="565"/>
      <c r="G268" s="592"/>
      <c r="H268" s="565"/>
      <c r="I268" s="565"/>
      <c r="J268" s="565"/>
      <c r="K268" s="466"/>
      <c r="L268" s="459"/>
      <c r="M268" s="460"/>
      <c r="N268" s="459"/>
      <c r="O268" s="261"/>
      <c r="P268" s="565"/>
      <c r="Q268" s="565"/>
      <c r="R268" s="467"/>
    </row>
    <row r="269" spans="1:18" s="438" customFormat="1" outlineLevel="1">
      <c r="A269" s="569"/>
      <c r="B269" s="587"/>
      <c r="C269" s="589"/>
      <c r="D269" s="565"/>
      <c r="E269" s="596"/>
      <c r="F269" s="565"/>
      <c r="G269" s="592"/>
      <c r="H269" s="565"/>
      <c r="I269" s="565"/>
      <c r="J269" s="565"/>
      <c r="K269" s="466"/>
      <c r="L269" s="459"/>
      <c r="M269" s="460"/>
      <c r="N269" s="459"/>
      <c r="O269" s="261"/>
      <c r="P269" s="565"/>
      <c r="Q269" s="565"/>
      <c r="R269" s="467"/>
    </row>
    <row r="270" spans="1:18" s="438" customFormat="1" outlineLevel="1">
      <c r="A270" s="569"/>
      <c r="B270" s="587"/>
      <c r="C270" s="589"/>
      <c r="D270" s="565"/>
      <c r="E270" s="596"/>
      <c r="F270" s="565"/>
      <c r="G270" s="592"/>
      <c r="H270" s="565"/>
      <c r="I270" s="565"/>
      <c r="J270" s="565"/>
      <c r="K270" s="466"/>
      <c r="L270" s="459"/>
      <c r="M270" s="460"/>
      <c r="N270" s="459"/>
      <c r="O270" s="261"/>
      <c r="P270" s="565"/>
      <c r="Q270" s="565"/>
      <c r="R270" s="467"/>
    </row>
    <row r="271" spans="1:18" s="438" customFormat="1" outlineLevel="1">
      <c r="A271" s="569"/>
      <c r="B271" s="587"/>
      <c r="C271" s="589"/>
      <c r="D271" s="565"/>
      <c r="E271" s="596"/>
      <c r="F271" s="565"/>
      <c r="G271" s="592"/>
      <c r="H271" s="565"/>
      <c r="I271" s="565"/>
      <c r="J271" s="565"/>
      <c r="K271" s="466"/>
      <c r="L271" s="459"/>
      <c r="M271" s="460"/>
      <c r="N271" s="459"/>
      <c r="O271" s="261"/>
      <c r="P271" s="565"/>
      <c r="Q271" s="565"/>
      <c r="R271" s="467"/>
    </row>
    <row r="272" spans="1:18" s="438" customFormat="1" outlineLevel="1">
      <c r="A272" s="569"/>
      <c r="B272" s="587"/>
      <c r="C272" s="589"/>
      <c r="D272" s="565"/>
      <c r="E272" s="596"/>
      <c r="F272" s="565"/>
      <c r="G272" s="592"/>
      <c r="H272" s="565"/>
      <c r="I272" s="565"/>
      <c r="J272" s="565"/>
      <c r="K272" s="466"/>
      <c r="L272" s="459"/>
      <c r="M272" s="460"/>
      <c r="N272" s="459"/>
      <c r="O272" s="261"/>
      <c r="P272" s="565"/>
      <c r="Q272" s="565"/>
      <c r="R272" s="467"/>
    </row>
    <row r="273" spans="1:18" s="438" customFormat="1" outlineLevel="1">
      <c r="A273" s="569"/>
      <c r="B273" s="587"/>
      <c r="C273" s="589"/>
      <c r="D273" s="565"/>
      <c r="E273" s="596"/>
      <c r="F273" s="565"/>
      <c r="G273" s="592"/>
      <c r="H273" s="565"/>
      <c r="I273" s="565"/>
      <c r="J273" s="565"/>
      <c r="K273" s="466"/>
      <c r="L273" s="459"/>
      <c r="M273" s="460"/>
      <c r="N273" s="459"/>
      <c r="O273" s="261"/>
      <c r="P273" s="565"/>
      <c r="Q273" s="565"/>
      <c r="R273" s="467"/>
    </row>
    <row r="274" spans="1:18" s="438" customFormat="1" outlineLevel="1">
      <c r="A274" s="569"/>
      <c r="B274" s="587"/>
      <c r="C274" s="589"/>
      <c r="D274" s="565"/>
      <c r="E274" s="596"/>
      <c r="F274" s="565"/>
      <c r="G274" s="592"/>
      <c r="H274" s="565"/>
      <c r="I274" s="565"/>
      <c r="J274" s="565"/>
      <c r="K274" s="466"/>
      <c r="L274" s="459"/>
      <c r="M274" s="460"/>
      <c r="N274" s="459"/>
      <c r="O274" s="261"/>
      <c r="P274" s="565"/>
      <c r="Q274" s="565"/>
      <c r="R274" s="467"/>
    </row>
    <row r="275" spans="1:18" s="438" customFormat="1" outlineLevel="1">
      <c r="A275" s="569"/>
      <c r="B275" s="587"/>
      <c r="C275" s="589"/>
      <c r="D275" s="565"/>
      <c r="E275" s="596"/>
      <c r="F275" s="565"/>
      <c r="G275" s="592"/>
      <c r="H275" s="565"/>
      <c r="I275" s="565"/>
      <c r="J275" s="565"/>
      <c r="K275" s="466"/>
      <c r="L275" s="459"/>
      <c r="M275" s="460"/>
      <c r="N275" s="459"/>
      <c r="O275" s="261"/>
      <c r="P275" s="565"/>
      <c r="Q275" s="565"/>
      <c r="R275" s="467"/>
    </row>
    <row r="276" spans="1:18" s="438" customFormat="1" outlineLevel="1">
      <c r="A276" s="570"/>
      <c r="B276" s="588"/>
      <c r="C276" s="590"/>
      <c r="D276" s="566"/>
      <c r="E276" s="596"/>
      <c r="F276" s="566"/>
      <c r="G276" s="593"/>
      <c r="H276" s="566"/>
      <c r="I276" s="566"/>
      <c r="J276" s="566"/>
      <c r="K276" s="466"/>
      <c r="L276" s="459"/>
      <c r="M276" s="460"/>
      <c r="N276" s="459"/>
      <c r="O276" s="261"/>
      <c r="P276" s="566"/>
      <c r="Q276" s="566"/>
      <c r="R276" s="467"/>
    </row>
    <row r="277" spans="1:18" s="438" customFormat="1" outlineLevel="1">
      <c r="A277" s="568"/>
      <c r="B277" s="587"/>
      <c r="C277" s="595"/>
      <c r="D277" s="565"/>
      <c r="E277" s="596"/>
      <c r="F277" s="565"/>
      <c r="G277" s="597"/>
      <c r="H277" s="594"/>
      <c r="I277" s="594"/>
      <c r="J277" s="594"/>
      <c r="K277" s="458"/>
      <c r="L277" s="459"/>
      <c r="M277" s="460"/>
      <c r="N277" s="459"/>
      <c r="O277" s="261"/>
      <c r="P277" s="594"/>
      <c r="Q277" s="594"/>
      <c r="R277" s="467"/>
    </row>
    <row r="278" spans="1:18" s="438" customFormat="1" outlineLevel="1">
      <c r="A278" s="569"/>
      <c r="B278" s="587"/>
      <c r="C278" s="589"/>
      <c r="D278" s="565"/>
      <c r="E278" s="596"/>
      <c r="F278" s="565"/>
      <c r="G278" s="592"/>
      <c r="H278" s="565"/>
      <c r="I278" s="565"/>
      <c r="J278" s="565"/>
      <c r="K278" s="466"/>
      <c r="L278" s="459"/>
      <c r="M278" s="460"/>
      <c r="N278" s="459"/>
      <c r="O278" s="261"/>
      <c r="P278" s="565"/>
      <c r="Q278" s="565"/>
      <c r="R278" s="467"/>
    </row>
    <row r="279" spans="1:18" s="438" customFormat="1" outlineLevel="1">
      <c r="A279" s="569"/>
      <c r="B279" s="587"/>
      <c r="C279" s="589"/>
      <c r="D279" s="565"/>
      <c r="E279" s="596"/>
      <c r="F279" s="565"/>
      <c r="G279" s="592"/>
      <c r="H279" s="565"/>
      <c r="I279" s="565"/>
      <c r="J279" s="565"/>
      <c r="K279" s="466"/>
      <c r="L279" s="459"/>
      <c r="M279" s="460"/>
      <c r="N279" s="459"/>
      <c r="O279" s="261"/>
      <c r="P279" s="565"/>
      <c r="Q279" s="565"/>
      <c r="R279" s="467"/>
    </row>
    <row r="280" spans="1:18" s="438" customFormat="1" outlineLevel="1">
      <c r="A280" s="569"/>
      <c r="B280" s="587"/>
      <c r="C280" s="589"/>
      <c r="D280" s="565"/>
      <c r="E280" s="596"/>
      <c r="F280" s="565"/>
      <c r="G280" s="592"/>
      <c r="H280" s="565"/>
      <c r="I280" s="565"/>
      <c r="J280" s="565"/>
      <c r="K280" s="466"/>
      <c r="L280" s="459"/>
      <c r="M280" s="460"/>
      <c r="N280" s="459"/>
      <c r="O280" s="261"/>
      <c r="P280" s="565"/>
      <c r="Q280" s="565"/>
      <c r="R280" s="467"/>
    </row>
    <row r="281" spans="1:18" s="438" customFormat="1" outlineLevel="1">
      <c r="A281" s="569"/>
      <c r="B281" s="587"/>
      <c r="C281" s="589"/>
      <c r="D281" s="565"/>
      <c r="E281" s="596"/>
      <c r="F281" s="565"/>
      <c r="G281" s="592"/>
      <c r="H281" s="565"/>
      <c r="I281" s="565"/>
      <c r="J281" s="565"/>
      <c r="K281" s="466"/>
      <c r="L281" s="459"/>
      <c r="M281" s="460"/>
      <c r="N281" s="459"/>
      <c r="O281" s="261"/>
      <c r="P281" s="565"/>
      <c r="Q281" s="565"/>
      <c r="R281" s="467"/>
    </row>
    <row r="282" spans="1:18" s="438" customFormat="1" outlineLevel="1">
      <c r="A282" s="569"/>
      <c r="B282" s="587"/>
      <c r="C282" s="589"/>
      <c r="D282" s="565"/>
      <c r="E282" s="596"/>
      <c r="F282" s="565"/>
      <c r="G282" s="592"/>
      <c r="H282" s="565"/>
      <c r="I282" s="565"/>
      <c r="J282" s="565"/>
      <c r="K282" s="466"/>
      <c r="L282" s="459"/>
      <c r="M282" s="460"/>
      <c r="N282" s="459"/>
      <c r="O282" s="261"/>
      <c r="P282" s="565"/>
      <c r="Q282" s="565"/>
      <c r="R282" s="467"/>
    </row>
    <row r="283" spans="1:18" s="438" customFormat="1" outlineLevel="1">
      <c r="A283" s="569"/>
      <c r="B283" s="587"/>
      <c r="C283" s="589"/>
      <c r="D283" s="565"/>
      <c r="E283" s="596"/>
      <c r="F283" s="565"/>
      <c r="G283" s="592"/>
      <c r="H283" s="565"/>
      <c r="I283" s="565"/>
      <c r="J283" s="565"/>
      <c r="K283" s="466"/>
      <c r="L283" s="459"/>
      <c r="M283" s="460"/>
      <c r="N283" s="459"/>
      <c r="O283" s="261"/>
      <c r="P283" s="565"/>
      <c r="Q283" s="565"/>
      <c r="R283" s="467"/>
    </row>
    <row r="284" spans="1:18" s="438" customFormat="1" outlineLevel="1">
      <c r="A284" s="569"/>
      <c r="B284" s="587"/>
      <c r="C284" s="589"/>
      <c r="D284" s="565"/>
      <c r="E284" s="596"/>
      <c r="F284" s="565"/>
      <c r="G284" s="592"/>
      <c r="H284" s="565"/>
      <c r="I284" s="565"/>
      <c r="J284" s="565"/>
      <c r="K284" s="466"/>
      <c r="L284" s="459"/>
      <c r="M284" s="460"/>
      <c r="N284" s="459"/>
      <c r="O284" s="261"/>
      <c r="P284" s="565"/>
      <c r="Q284" s="565"/>
      <c r="R284" s="467"/>
    </row>
    <row r="285" spans="1:18" s="438" customFormat="1" outlineLevel="1">
      <c r="A285" s="569"/>
      <c r="B285" s="587"/>
      <c r="C285" s="589"/>
      <c r="D285" s="565"/>
      <c r="E285" s="596"/>
      <c r="F285" s="565"/>
      <c r="G285" s="592"/>
      <c r="H285" s="565"/>
      <c r="I285" s="565"/>
      <c r="J285" s="565"/>
      <c r="K285" s="466"/>
      <c r="L285" s="459"/>
      <c r="M285" s="460"/>
      <c r="N285" s="459"/>
      <c r="O285" s="261"/>
      <c r="P285" s="565"/>
      <c r="Q285" s="565"/>
      <c r="R285" s="467"/>
    </row>
    <row r="286" spans="1:18" s="438" customFormat="1" outlineLevel="1">
      <c r="A286" s="569"/>
      <c r="B286" s="587"/>
      <c r="C286" s="589"/>
      <c r="D286" s="565"/>
      <c r="E286" s="596"/>
      <c r="F286" s="565"/>
      <c r="G286" s="592"/>
      <c r="H286" s="565"/>
      <c r="I286" s="565"/>
      <c r="J286" s="565"/>
      <c r="K286" s="466"/>
      <c r="L286" s="459"/>
      <c r="M286" s="460"/>
      <c r="N286" s="459"/>
      <c r="O286" s="261"/>
      <c r="P286" s="565"/>
      <c r="Q286" s="565"/>
      <c r="R286" s="467"/>
    </row>
    <row r="287" spans="1:18" s="438" customFormat="1" outlineLevel="1">
      <c r="A287" s="569"/>
      <c r="B287" s="587"/>
      <c r="C287" s="589"/>
      <c r="D287" s="565"/>
      <c r="E287" s="596"/>
      <c r="F287" s="565"/>
      <c r="G287" s="592"/>
      <c r="H287" s="565"/>
      <c r="I287" s="565"/>
      <c r="J287" s="565"/>
      <c r="K287" s="466"/>
      <c r="L287" s="459"/>
      <c r="M287" s="460"/>
      <c r="N287" s="459"/>
      <c r="O287" s="261"/>
      <c r="P287" s="565"/>
      <c r="Q287" s="565"/>
      <c r="R287" s="467"/>
    </row>
    <row r="288" spans="1:18" s="438" customFormat="1" outlineLevel="1">
      <c r="A288" s="569"/>
      <c r="B288" s="587"/>
      <c r="C288" s="589"/>
      <c r="D288" s="565"/>
      <c r="E288" s="596"/>
      <c r="F288" s="565"/>
      <c r="G288" s="592"/>
      <c r="H288" s="565"/>
      <c r="I288" s="565"/>
      <c r="J288" s="565"/>
      <c r="K288" s="466"/>
      <c r="L288" s="459"/>
      <c r="M288" s="460"/>
      <c r="N288" s="459"/>
      <c r="O288" s="261"/>
      <c r="P288" s="565"/>
      <c r="Q288" s="565"/>
      <c r="R288" s="467"/>
    </row>
    <row r="289" spans="1:18" s="438" customFormat="1" outlineLevel="1">
      <c r="A289" s="569"/>
      <c r="B289" s="587"/>
      <c r="C289" s="589"/>
      <c r="D289" s="565"/>
      <c r="E289" s="596"/>
      <c r="F289" s="565"/>
      <c r="G289" s="592"/>
      <c r="H289" s="565"/>
      <c r="I289" s="565"/>
      <c r="J289" s="565"/>
      <c r="K289" s="466"/>
      <c r="L289" s="459"/>
      <c r="M289" s="460"/>
      <c r="N289" s="459"/>
      <c r="O289" s="261"/>
      <c r="P289" s="565"/>
      <c r="Q289" s="565"/>
      <c r="R289" s="467"/>
    </row>
    <row r="290" spans="1:18" s="438" customFormat="1" outlineLevel="1">
      <c r="A290" s="569"/>
      <c r="B290" s="587"/>
      <c r="C290" s="589"/>
      <c r="D290" s="565"/>
      <c r="E290" s="596"/>
      <c r="F290" s="565"/>
      <c r="G290" s="592"/>
      <c r="H290" s="565"/>
      <c r="I290" s="565"/>
      <c r="J290" s="565"/>
      <c r="K290" s="466"/>
      <c r="L290" s="459"/>
      <c r="M290" s="460"/>
      <c r="N290" s="459"/>
      <c r="O290" s="261"/>
      <c r="P290" s="565"/>
      <c r="Q290" s="565"/>
      <c r="R290" s="467"/>
    </row>
    <row r="291" spans="1:18" s="438" customFormat="1" outlineLevel="1">
      <c r="A291" s="569"/>
      <c r="B291" s="587"/>
      <c r="C291" s="589"/>
      <c r="D291" s="565"/>
      <c r="E291" s="596"/>
      <c r="F291" s="565"/>
      <c r="G291" s="592"/>
      <c r="H291" s="565"/>
      <c r="I291" s="565"/>
      <c r="J291" s="565"/>
      <c r="K291" s="466"/>
      <c r="L291" s="459"/>
      <c r="M291" s="460"/>
      <c r="N291" s="459"/>
      <c r="O291" s="261"/>
      <c r="P291" s="565"/>
      <c r="Q291" s="565"/>
      <c r="R291" s="467"/>
    </row>
    <row r="292" spans="1:18" s="438" customFormat="1" outlineLevel="1">
      <c r="A292" s="570"/>
      <c r="B292" s="588"/>
      <c r="C292" s="590"/>
      <c r="D292" s="566"/>
      <c r="E292" s="596"/>
      <c r="F292" s="566"/>
      <c r="G292" s="593"/>
      <c r="H292" s="566"/>
      <c r="I292" s="566"/>
      <c r="J292" s="566"/>
      <c r="K292" s="466"/>
      <c r="L292" s="459"/>
      <c r="M292" s="460"/>
      <c r="N292" s="459"/>
      <c r="O292" s="261"/>
      <c r="P292" s="566"/>
      <c r="Q292" s="566"/>
      <c r="R292" s="467"/>
    </row>
    <row r="293" spans="1:18" s="438" customFormat="1" outlineLevel="1">
      <c r="A293" s="568"/>
      <c r="B293" s="587"/>
      <c r="C293" s="595"/>
      <c r="D293" s="565"/>
      <c r="E293" s="596"/>
      <c r="F293" s="565"/>
      <c r="G293" s="597"/>
      <c r="H293" s="594"/>
      <c r="I293" s="594"/>
      <c r="J293" s="594"/>
      <c r="K293" s="458"/>
      <c r="L293" s="459"/>
      <c r="M293" s="460"/>
      <c r="N293" s="459"/>
      <c r="O293" s="261"/>
      <c r="P293" s="594"/>
      <c r="Q293" s="594"/>
      <c r="R293" s="467"/>
    </row>
    <row r="294" spans="1:18" s="438" customFormat="1" outlineLevel="1">
      <c r="A294" s="569"/>
      <c r="B294" s="587"/>
      <c r="C294" s="589"/>
      <c r="D294" s="565"/>
      <c r="E294" s="596"/>
      <c r="F294" s="565"/>
      <c r="G294" s="592"/>
      <c r="H294" s="565"/>
      <c r="I294" s="565"/>
      <c r="J294" s="565"/>
      <c r="K294" s="466"/>
      <c r="L294" s="459"/>
      <c r="M294" s="460"/>
      <c r="N294" s="459"/>
      <c r="O294" s="261"/>
      <c r="P294" s="565"/>
      <c r="Q294" s="565"/>
      <c r="R294" s="467"/>
    </row>
    <row r="295" spans="1:18" s="438" customFormat="1" outlineLevel="1">
      <c r="A295" s="569"/>
      <c r="B295" s="587"/>
      <c r="C295" s="589"/>
      <c r="D295" s="565"/>
      <c r="E295" s="596"/>
      <c r="F295" s="565"/>
      <c r="G295" s="592"/>
      <c r="H295" s="565"/>
      <c r="I295" s="565"/>
      <c r="J295" s="565"/>
      <c r="K295" s="466"/>
      <c r="L295" s="459"/>
      <c r="M295" s="460"/>
      <c r="N295" s="459"/>
      <c r="O295" s="261"/>
      <c r="P295" s="565"/>
      <c r="Q295" s="565"/>
      <c r="R295" s="467"/>
    </row>
    <row r="296" spans="1:18" s="438" customFormat="1" outlineLevel="1">
      <c r="A296" s="569"/>
      <c r="B296" s="587"/>
      <c r="C296" s="589"/>
      <c r="D296" s="565"/>
      <c r="E296" s="596"/>
      <c r="F296" s="565"/>
      <c r="G296" s="592"/>
      <c r="H296" s="565"/>
      <c r="I296" s="565"/>
      <c r="J296" s="565"/>
      <c r="K296" s="466"/>
      <c r="L296" s="459"/>
      <c r="M296" s="460"/>
      <c r="N296" s="459"/>
      <c r="O296" s="261"/>
      <c r="P296" s="565"/>
      <c r="Q296" s="565"/>
      <c r="R296" s="467"/>
    </row>
    <row r="297" spans="1:18" s="438" customFormat="1" outlineLevel="1">
      <c r="A297" s="569"/>
      <c r="B297" s="587"/>
      <c r="C297" s="589"/>
      <c r="D297" s="565"/>
      <c r="E297" s="596"/>
      <c r="F297" s="565"/>
      <c r="G297" s="592"/>
      <c r="H297" s="565"/>
      <c r="I297" s="565"/>
      <c r="J297" s="565"/>
      <c r="K297" s="466"/>
      <c r="L297" s="459"/>
      <c r="M297" s="460"/>
      <c r="N297" s="459"/>
      <c r="O297" s="261"/>
      <c r="P297" s="565"/>
      <c r="Q297" s="565"/>
      <c r="R297" s="467"/>
    </row>
    <row r="298" spans="1:18" s="438" customFormat="1" outlineLevel="1">
      <c r="A298" s="569"/>
      <c r="B298" s="587"/>
      <c r="C298" s="589"/>
      <c r="D298" s="565"/>
      <c r="E298" s="596"/>
      <c r="F298" s="565"/>
      <c r="G298" s="592"/>
      <c r="H298" s="565"/>
      <c r="I298" s="565"/>
      <c r="J298" s="565"/>
      <c r="K298" s="466"/>
      <c r="L298" s="459"/>
      <c r="M298" s="460"/>
      <c r="N298" s="459"/>
      <c r="O298" s="261"/>
      <c r="P298" s="565"/>
      <c r="Q298" s="565"/>
      <c r="R298" s="467"/>
    </row>
    <row r="299" spans="1:18" s="438" customFormat="1" outlineLevel="1">
      <c r="A299" s="569"/>
      <c r="B299" s="587"/>
      <c r="C299" s="589"/>
      <c r="D299" s="565"/>
      <c r="E299" s="596"/>
      <c r="F299" s="565"/>
      <c r="G299" s="592"/>
      <c r="H299" s="565"/>
      <c r="I299" s="565"/>
      <c r="J299" s="565"/>
      <c r="K299" s="466"/>
      <c r="L299" s="459"/>
      <c r="M299" s="460"/>
      <c r="N299" s="459"/>
      <c r="O299" s="261"/>
      <c r="P299" s="565"/>
      <c r="Q299" s="565"/>
      <c r="R299" s="467"/>
    </row>
    <row r="300" spans="1:18" s="438" customFormat="1" outlineLevel="1">
      <c r="A300" s="569"/>
      <c r="B300" s="587"/>
      <c r="C300" s="589"/>
      <c r="D300" s="565"/>
      <c r="E300" s="596"/>
      <c r="F300" s="565"/>
      <c r="G300" s="592"/>
      <c r="H300" s="565"/>
      <c r="I300" s="565"/>
      <c r="J300" s="565"/>
      <c r="K300" s="466"/>
      <c r="L300" s="459"/>
      <c r="M300" s="460"/>
      <c r="N300" s="459"/>
      <c r="O300" s="261"/>
      <c r="P300" s="565"/>
      <c r="Q300" s="565"/>
      <c r="R300" s="467"/>
    </row>
    <row r="301" spans="1:18" s="438" customFormat="1" outlineLevel="1">
      <c r="A301" s="569"/>
      <c r="B301" s="587"/>
      <c r="C301" s="589"/>
      <c r="D301" s="565"/>
      <c r="E301" s="596"/>
      <c r="F301" s="565"/>
      <c r="G301" s="592"/>
      <c r="H301" s="565"/>
      <c r="I301" s="565"/>
      <c r="J301" s="565"/>
      <c r="K301" s="466"/>
      <c r="L301" s="459"/>
      <c r="M301" s="460"/>
      <c r="N301" s="459"/>
      <c r="O301" s="261"/>
      <c r="P301" s="565"/>
      <c r="Q301" s="565"/>
      <c r="R301" s="467"/>
    </row>
    <row r="302" spans="1:18" s="438" customFormat="1" outlineLevel="1">
      <c r="A302" s="569"/>
      <c r="B302" s="587"/>
      <c r="C302" s="589"/>
      <c r="D302" s="565"/>
      <c r="E302" s="596"/>
      <c r="F302" s="565"/>
      <c r="G302" s="592"/>
      <c r="H302" s="565"/>
      <c r="I302" s="565"/>
      <c r="J302" s="565"/>
      <c r="K302" s="466"/>
      <c r="L302" s="459"/>
      <c r="M302" s="460"/>
      <c r="N302" s="459"/>
      <c r="O302" s="261"/>
      <c r="P302" s="565"/>
      <c r="Q302" s="565"/>
      <c r="R302" s="467"/>
    </row>
    <row r="303" spans="1:18" s="438" customFormat="1" outlineLevel="1">
      <c r="A303" s="569"/>
      <c r="B303" s="587"/>
      <c r="C303" s="589"/>
      <c r="D303" s="565"/>
      <c r="E303" s="596"/>
      <c r="F303" s="565"/>
      <c r="G303" s="592"/>
      <c r="H303" s="565"/>
      <c r="I303" s="565"/>
      <c r="J303" s="565"/>
      <c r="K303" s="466"/>
      <c r="L303" s="459"/>
      <c r="M303" s="460"/>
      <c r="N303" s="459"/>
      <c r="O303" s="261"/>
      <c r="P303" s="565"/>
      <c r="Q303" s="565"/>
      <c r="R303" s="467"/>
    </row>
    <row r="304" spans="1:18" s="438" customFormat="1" outlineLevel="1">
      <c r="A304" s="569"/>
      <c r="B304" s="587"/>
      <c r="C304" s="589"/>
      <c r="D304" s="565"/>
      <c r="E304" s="596"/>
      <c r="F304" s="565"/>
      <c r="G304" s="592"/>
      <c r="H304" s="565"/>
      <c r="I304" s="565"/>
      <c r="J304" s="565"/>
      <c r="K304" s="466"/>
      <c r="L304" s="459"/>
      <c r="M304" s="460"/>
      <c r="N304" s="459"/>
      <c r="O304" s="261"/>
      <c r="P304" s="565"/>
      <c r="Q304" s="565"/>
      <c r="R304" s="467"/>
    </row>
    <row r="305" spans="1:18" s="438" customFormat="1" outlineLevel="1">
      <c r="A305" s="569"/>
      <c r="B305" s="587"/>
      <c r="C305" s="589"/>
      <c r="D305" s="565"/>
      <c r="E305" s="596"/>
      <c r="F305" s="565"/>
      <c r="G305" s="592"/>
      <c r="H305" s="565"/>
      <c r="I305" s="565"/>
      <c r="J305" s="565"/>
      <c r="K305" s="466"/>
      <c r="L305" s="459"/>
      <c r="M305" s="460"/>
      <c r="N305" s="459"/>
      <c r="O305" s="261"/>
      <c r="P305" s="565"/>
      <c r="Q305" s="565"/>
      <c r="R305" s="467"/>
    </row>
    <row r="306" spans="1:18" s="438" customFormat="1" outlineLevel="1">
      <c r="A306" s="569"/>
      <c r="B306" s="587"/>
      <c r="C306" s="589"/>
      <c r="D306" s="565"/>
      <c r="E306" s="596"/>
      <c r="F306" s="565"/>
      <c r="G306" s="592"/>
      <c r="H306" s="565"/>
      <c r="I306" s="565"/>
      <c r="J306" s="565"/>
      <c r="K306" s="466"/>
      <c r="L306" s="459"/>
      <c r="M306" s="460"/>
      <c r="N306" s="459"/>
      <c r="O306" s="261"/>
      <c r="P306" s="565"/>
      <c r="Q306" s="565"/>
      <c r="R306" s="467"/>
    </row>
    <row r="307" spans="1:18" s="438" customFormat="1" outlineLevel="1">
      <c r="A307" s="569"/>
      <c r="B307" s="587"/>
      <c r="C307" s="589"/>
      <c r="D307" s="565"/>
      <c r="E307" s="596"/>
      <c r="F307" s="565"/>
      <c r="G307" s="592"/>
      <c r="H307" s="565"/>
      <c r="I307" s="565"/>
      <c r="J307" s="565"/>
      <c r="K307" s="466"/>
      <c r="L307" s="459"/>
      <c r="M307" s="460"/>
      <c r="N307" s="459"/>
      <c r="O307" s="261"/>
      <c r="P307" s="565"/>
      <c r="Q307" s="565"/>
      <c r="R307" s="467"/>
    </row>
    <row r="308" spans="1:18" s="438" customFormat="1" outlineLevel="1">
      <c r="A308" s="570"/>
      <c r="B308" s="588"/>
      <c r="C308" s="590"/>
      <c r="D308" s="566"/>
      <c r="E308" s="596"/>
      <c r="F308" s="566"/>
      <c r="G308" s="593"/>
      <c r="H308" s="566"/>
      <c r="I308" s="566"/>
      <c r="J308" s="566"/>
      <c r="K308" s="466"/>
      <c r="L308" s="459"/>
      <c r="M308" s="460"/>
      <c r="N308" s="459"/>
      <c r="O308" s="261"/>
      <c r="P308" s="566"/>
      <c r="Q308" s="566"/>
      <c r="R308" s="467"/>
    </row>
    <row r="309" spans="1:18" s="438" customFormat="1" outlineLevel="1">
      <c r="A309" s="568"/>
      <c r="B309" s="587"/>
      <c r="C309" s="595"/>
      <c r="D309" s="565"/>
      <c r="E309" s="596"/>
      <c r="F309" s="565"/>
      <c r="G309" s="597"/>
      <c r="H309" s="594"/>
      <c r="I309" s="594"/>
      <c r="J309" s="594"/>
      <c r="K309" s="458"/>
      <c r="L309" s="459"/>
      <c r="M309" s="460"/>
      <c r="N309" s="459"/>
      <c r="O309" s="261"/>
      <c r="P309" s="594"/>
      <c r="Q309" s="594"/>
      <c r="R309" s="467"/>
    </row>
    <row r="310" spans="1:18" s="438" customFormat="1" outlineLevel="1">
      <c r="A310" s="569"/>
      <c r="B310" s="587"/>
      <c r="C310" s="589"/>
      <c r="D310" s="565"/>
      <c r="E310" s="596"/>
      <c r="F310" s="565"/>
      <c r="G310" s="592"/>
      <c r="H310" s="565"/>
      <c r="I310" s="565"/>
      <c r="J310" s="565"/>
      <c r="K310" s="466"/>
      <c r="L310" s="459"/>
      <c r="M310" s="460"/>
      <c r="N310" s="459"/>
      <c r="O310" s="261"/>
      <c r="P310" s="565"/>
      <c r="Q310" s="565"/>
      <c r="R310" s="467"/>
    </row>
    <row r="311" spans="1:18" s="438" customFormat="1" outlineLevel="1">
      <c r="A311" s="569"/>
      <c r="B311" s="587"/>
      <c r="C311" s="589"/>
      <c r="D311" s="565"/>
      <c r="E311" s="596"/>
      <c r="F311" s="565"/>
      <c r="G311" s="592"/>
      <c r="H311" s="565"/>
      <c r="I311" s="565"/>
      <c r="J311" s="565"/>
      <c r="K311" s="466"/>
      <c r="L311" s="459"/>
      <c r="M311" s="460"/>
      <c r="N311" s="459"/>
      <c r="O311" s="261"/>
      <c r="P311" s="565"/>
      <c r="Q311" s="565"/>
      <c r="R311" s="467"/>
    </row>
    <row r="312" spans="1:18" s="438" customFormat="1" outlineLevel="1">
      <c r="A312" s="569"/>
      <c r="B312" s="587"/>
      <c r="C312" s="589"/>
      <c r="D312" s="565"/>
      <c r="E312" s="596"/>
      <c r="F312" s="565"/>
      <c r="G312" s="592"/>
      <c r="H312" s="565"/>
      <c r="I312" s="565"/>
      <c r="J312" s="565"/>
      <c r="K312" s="466"/>
      <c r="L312" s="459"/>
      <c r="M312" s="460"/>
      <c r="N312" s="459"/>
      <c r="O312" s="261"/>
      <c r="P312" s="565"/>
      <c r="Q312" s="565"/>
      <c r="R312" s="467"/>
    </row>
    <row r="313" spans="1:18" s="438" customFormat="1" outlineLevel="1">
      <c r="A313" s="569"/>
      <c r="B313" s="587"/>
      <c r="C313" s="589"/>
      <c r="D313" s="565"/>
      <c r="E313" s="596"/>
      <c r="F313" s="565"/>
      <c r="G313" s="592"/>
      <c r="H313" s="565"/>
      <c r="I313" s="565"/>
      <c r="J313" s="565"/>
      <c r="K313" s="466"/>
      <c r="L313" s="459"/>
      <c r="M313" s="460"/>
      <c r="N313" s="459"/>
      <c r="O313" s="261"/>
      <c r="P313" s="565"/>
      <c r="Q313" s="565"/>
      <c r="R313" s="467"/>
    </row>
    <row r="314" spans="1:18" s="438" customFormat="1" outlineLevel="1">
      <c r="A314" s="569"/>
      <c r="B314" s="587"/>
      <c r="C314" s="589"/>
      <c r="D314" s="565"/>
      <c r="E314" s="596"/>
      <c r="F314" s="565"/>
      <c r="G314" s="592"/>
      <c r="H314" s="565"/>
      <c r="I314" s="565"/>
      <c r="J314" s="565"/>
      <c r="K314" s="466"/>
      <c r="L314" s="459"/>
      <c r="M314" s="460"/>
      <c r="N314" s="459"/>
      <c r="O314" s="261"/>
      <c r="P314" s="565"/>
      <c r="Q314" s="565"/>
      <c r="R314" s="467"/>
    </row>
    <row r="315" spans="1:18" s="438" customFormat="1" outlineLevel="1">
      <c r="A315" s="569"/>
      <c r="B315" s="587"/>
      <c r="C315" s="589"/>
      <c r="D315" s="565"/>
      <c r="E315" s="596"/>
      <c r="F315" s="565"/>
      <c r="G315" s="592"/>
      <c r="H315" s="565"/>
      <c r="I315" s="565"/>
      <c r="J315" s="565"/>
      <c r="K315" s="466"/>
      <c r="L315" s="459"/>
      <c r="M315" s="460"/>
      <c r="N315" s="459"/>
      <c r="O315" s="261"/>
      <c r="P315" s="565"/>
      <c r="Q315" s="565"/>
      <c r="R315" s="467"/>
    </row>
    <row r="316" spans="1:18" s="438" customFormat="1" outlineLevel="1">
      <c r="A316" s="569"/>
      <c r="B316" s="587"/>
      <c r="C316" s="589"/>
      <c r="D316" s="565"/>
      <c r="E316" s="596"/>
      <c r="F316" s="565"/>
      <c r="G316" s="592"/>
      <c r="H316" s="565"/>
      <c r="I316" s="565"/>
      <c r="J316" s="565"/>
      <c r="K316" s="466"/>
      <c r="L316" s="459"/>
      <c r="M316" s="460"/>
      <c r="N316" s="459"/>
      <c r="O316" s="261"/>
      <c r="P316" s="565"/>
      <c r="Q316" s="565"/>
      <c r="R316" s="467"/>
    </row>
    <row r="317" spans="1:18" s="438" customFormat="1" outlineLevel="1">
      <c r="A317" s="569"/>
      <c r="B317" s="587"/>
      <c r="C317" s="589"/>
      <c r="D317" s="565"/>
      <c r="E317" s="596"/>
      <c r="F317" s="565"/>
      <c r="G317" s="592"/>
      <c r="H317" s="565"/>
      <c r="I317" s="565"/>
      <c r="J317" s="565"/>
      <c r="K317" s="466"/>
      <c r="L317" s="459"/>
      <c r="M317" s="460"/>
      <c r="N317" s="459"/>
      <c r="O317" s="261"/>
      <c r="P317" s="565"/>
      <c r="Q317" s="565"/>
      <c r="R317" s="467"/>
    </row>
    <row r="318" spans="1:18" s="438" customFormat="1" outlineLevel="1">
      <c r="A318" s="569"/>
      <c r="B318" s="587"/>
      <c r="C318" s="589"/>
      <c r="D318" s="565"/>
      <c r="E318" s="596"/>
      <c r="F318" s="565"/>
      <c r="G318" s="592"/>
      <c r="H318" s="565"/>
      <c r="I318" s="565"/>
      <c r="J318" s="565"/>
      <c r="K318" s="466"/>
      <c r="L318" s="459"/>
      <c r="M318" s="460"/>
      <c r="N318" s="459"/>
      <c r="O318" s="261"/>
      <c r="P318" s="565"/>
      <c r="Q318" s="565"/>
      <c r="R318" s="467"/>
    </row>
    <row r="319" spans="1:18" s="438" customFormat="1" outlineLevel="1">
      <c r="A319" s="569"/>
      <c r="B319" s="587"/>
      <c r="C319" s="589"/>
      <c r="D319" s="565"/>
      <c r="E319" s="596"/>
      <c r="F319" s="565"/>
      <c r="G319" s="592"/>
      <c r="H319" s="565"/>
      <c r="I319" s="565"/>
      <c r="J319" s="565"/>
      <c r="K319" s="466"/>
      <c r="L319" s="459"/>
      <c r="M319" s="460"/>
      <c r="N319" s="459"/>
      <c r="O319" s="261"/>
      <c r="P319" s="565"/>
      <c r="Q319" s="565"/>
      <c r="R319" s="467"/>
    </row>
    <row r="320" spans="1:18" s="438" customFormat="1" outlineLevel="1">
      <c r="A320" s="569"/>
      <c r="B320" s="587"/>
      <c r="C320" s="589"/>
      <c r="D320" s="565"/>
      <c r="E320" s="596"/>
      <c r="F320" s="565"/>
      <c r="G320" s="592"/>
      <c r="H320" s="565"/>
      <c r="I320" s="565"/>
      <c r="J320" s="565"/>
      <c r="K320" s="466"/>
      <c r="L320" s="459"/>
      <c r="M320" s="460"/>
      <c r="N320" s="459"/>
      <c r="O320" s="261"/>
      <c r="P320" s="565"/>
      <c r="Q320" s="565"/>
      <c r="R320" s="467"/>
    </row>
    <row r="321" spans="1:18" s="438" customFormat="1" outlineLevel="1">
      <c r="A321" s="569"/>
      <c r="B321" s="587"/>
      <c r="C321" s="589"/>
      <c r="D321" s="565"/>
      <c r="E321" s="596"/>
      <c r="F321" s="565"/>
      <c r="G321" s="592"/>
      <c r="H321" s="565"/>
      <c r="I321" s="565"/>
      <c r="J321" s="565"/>
      <c r="K321" s="466"/>
      <c r="L321" s="459"/>
      <c r="M321" s="460"/>
      <c r="N321" s="459"/>
      <c r="O321" s="261"/>
      <c r="P321" s="565"/>
      <c r="Q321" s="565"/>
      <c r="R321" s="467"/>
    </row>
    <row r="322" spans="1:18" s="438" customFormat="1" outlineLevel="1">
      <c r="A322" s="569"/>
      <c r="B322" s="587"/>
      <c r="C322" s="589"/>
      <c r="D322" s="565"/>
      <c r="E322" s="596"/>
      <c r="F322" s="565"/>
      <c r="G322" s="592"/>
      <c r="H322" s="565"/>
      <c r="I322" s="565"/>
      <c r="J322" s="565"/>
      <c r="K322" s="466"/>
      <c r="L322" s="459"/>
      <c r="M322" s="460"/>
      <c r="N322" s="459"/>
      <c r="O322" s="261"/>
      <c r="P322" s="565"/>
      <c r="Q322" s="565"/>
      <c r="R322" s="467"/>
    </row>
    <row r="323" spans="1:18" s="438" customFormat="1" outlineLevel="1">
      <c r="A323" s="569"/>
      <c r="B323" s="587"/>
      <c r="C323" s="589"/>
      <c r="D323" s="565"/>
      <c r="E323" s="596"/>
      <c r="F323" s="565"/>
      <c r="G323" s="592"/>
      <c r="H323" s="565"/>
      <c r="I323" s="565"/>
      <c r="J323" s="565"/>
      <c r="K323" s="466"/>
      <c r="L323" s="459"/>
      <c r="M323" s="460"/>
      <c r="N323" s="459"/>
      <c r="O323" s="261"/>
      <c r="P323" s="565"/>
      <c r="Q323" s="565"/>
      <c r="R323" s="467"/>
    </row>
    <row r="324" spans="1:18" s="438" customFormat="1" outlineLevel="1">
      <c r="A324" s="570"/>
      <c r="B324" s="588"/>
      <c r="C324" s="590"/>
      <c r="D324" s="566"/>
      <c r="E324" s="596"/>
      <c r="F324" s="566"/>
      <c r="G324" s="593"/>
      <c r="H324" s="566"/>
      <c r="I324" s="566"/>
      <c r="J324" s="566"/>
      <c r="K324" s="466"/>
      <c r="L324" s="459"/>
      <c r="M324" s="460"/>
      <c r="N324" s="459"/>
      <c r="O324" s="261"/>
      <c r="P324" s="566"/>
      <c r="Q324" s="566"/>
      <c r="R324" s="467"/>
    </row>
    <row r="325" spans="1:18" s="438" customFormat="1" ht="12.75" customHeight="1" outlineLevel="1">
      <c r="A325" s="568"/>
      <c r="B325" s="572"/>
      <c r="C325" s="574"/>
      <c r="D325" s="578"/>
      <c r="E325" s="580"/>
      <c r="F325" s="578"/>
      <c r="G325" s="581"/>
      <c r="H325" s="581"/>
      <c r="I325" s="581"/>
      <c r="J325" s="577"/>
      <c r="K325" s="472"/>
      <c r="L325" s="479"/>
      <c r="M325" s="479"/>
      <c r="N325" s="476"/>
      <c r="O325" s="477"/>
      <c r="P325" s="577"/>
      <c r="Q325" s="594"/>
      <c r="R325" s="467"/>
    </row>
    <row r="326" spans="1:18" s="438" customFormat="1" outlineLevel="1">
      <c r="A326" s="569"/>
      <c r="B326" s="598"/>
      <c r="C326" s="589"/>
      <c r="D326" s="565"/>
      <c r="E326" s="596"/>
      <c r="F326" s="565"/>
      <c r="G326" s="600"/>
      <c r="H326" s="602"/>
      <c r="I326" s="565"/>
      <c r="J326" s="565"/>
      <c r="K326" s="466"/>
      <c r="L326" s="459"/>
      <c r="M326" s="460"/>
      <c r="N326" s="459"/>
      <c r="O326" s="261"/>
      <c r="P326" s="565"/>
      <c r="Q326" s="565"/>
      <c r="R326" s="467"/>
    </row>
    <row r="327" spans="1:18" s="438" customFormat="1" outlineLevel="1">
      <c r="A327" s="569"/>
      <c r="B327" s="598"/>
      <c r="C327" s="589"/>
      <c r="D327" s="565"/>
      <c r="E327" s="596"/>
      <c r="F327" s="565"/>
      <c r="G327" s="600"/>
      <c r="H327" s="602"/>
      <c r="I327" s="565"/>
      <c r="J327" s="565"/>
      <c r="K327" s="466"/>
      <c r="L327" s="459"/>
      <c r="M327" s="460"/>
      <c r="N327" s="459"/>
      <c r="O327" s="261"/>
      <c r="P327" s="565"/>
      <c r="Q327" s="565"/>
      <c r="R327" s="467"/>
    </row>
    <row r="328" spans="1:18" s="438" customFormat="1" outlineLevel="1">
      <c r="A328" s="569"/>
      <c r="B328" s="598"/>
      <c r="C328" s="589"/>
      <c r="D328" s="565"/>
      <c r="E328" s="596"/>
      <c r="F328" s="565"/>
      <c r="G328" s="600"/>
      <c r="H328" s="602"/>
      <c r="I328" s="565"/>
      <c r="J328" s="565"/>
      <c r="K328" s="466"/>
      <c r="L328" s="459"/>
      <c r="M328" s="460"/>
      <c r="N328" s="459"/>
      <c r="O328" s="261"/>
      <c r="P328" s="565"/>
      <c r="Q328" s="565"/>
      <c r="R328" s="467"/>
    </row>
    <row r="329" spans="1:18" s="438" customFormat="1" outlineLevel="1">
      <c r="A329" s="569"/>
      <c r="B329" s="598"/>
      <c r="C329" s="589"/>
      <c r="D329" s="565"/>
      <c r="E329" s="596"/>
      <c r="F329" s="565"/>
      <c r="G329" s="600"/>
      <c r="H329" s="602"/>
      <c r="I329" s="565"/>
      <c r="J329" s="565"/>
      <c r="K329" s="466"/>
      <c r="L329" s="459"/>
      <c r="M329" s="460"/>
      <c r="N329" s="459"/>
      <c r="O329" s="261"/>
      <c r="P329" s="565"/>
      <c r="Q329" s="565"/>
      <c r="R329" s="467"/>
    </row>
    <row r="330" spans="1:18" s="438" customFormat="1" outlineLevel="1">
      <c r="A330" s="569"/>
      <c r="B330" s="598"/>
      <c r="C330" s="589"/>
      <c r="D330" s="565"/>
      <c r="E330" s="596"/>
      <c r="F330" s="565"/>
      <c r="G330" s="600"/>
      <c r="H330" s="602"/>
      <c r="I330" s="565"/>
      <c r="J330" s="565"/>
      <c r="K330" s="466"/>
      <c r="L330" s="459"/>
      <c r="M330" s="460"/>
      <c r="N330" s="459"/>
      <c r="O330" s="261"/>
      <c r="P330" s="565"/>
      <c r="Q330" s="565"/>
      <c r="R330" s="467"/>
    </row>
    <row r="331" spans="1:18" s="438" customFormat="1" outlineLevel="1">
      <c r="A331" s="569"/>
      <c r="B331" s="598"/>
      <c r="C331" s="589"/>
      <c r="D331" s="565"/>
      <c r="E331" s="596"/>
      <c r="F331" s="565"/>
      <c r="G331" s="600"/>
      <c r="H331" s="602"/>
      <c r="I331" s="565"/>
      <c r="J331" s="565"/>
      <c r="K331" s="466"/>
      <c r="L331" s="459"/>
      <c r="M331" s="460"/>
      <c r="N331" s="459"/>
      <c r="O331" s="261"/>
      <c r="P331" s="565"/>
      <c r="Q331" s="565"/>
      <c r="R331" s="467"/>
    </row>
    <row r="332" spans="1:18" s="438" customFormat="1" outlineLevel="1">
      <c r="A332" s="569"/>
      <c r="B332" s="598"/>
      <c r="C332" s="589"/>
      <c r="D332" s="565"/>
      <c r="E332" s="596"/>
      <c r="F332" s="565"/>
      <c r="G332" s="600"/>
      <c r="H332" s="602"/>
      <c r="I332" s="565"/>
      <c r="J332" s="565"/>
      <c r="K332" s="466"/>
      <c r="L332" s="459"/>
      <c r="M332" s="460"/>
      <c r="N332" s="459"/>
      <c r="O332" s="261"/>
      <c r="P332" s="565"/>
      <c r="Q332" s="565"/>
      <c r="R332" s="467"/>
    </row>
    <row r="333" spans="1:18" s="438" customFormat="1" outlineLevel="1">
      <c r="A333" s="569"/>
      <c r="B333" s="598"/>
      <c r="C333" s="589"/>
      <c r="D333" s="565"/>
      <c r="E333" s="596"/>
      <c r="F333" s="565"/>
      <c r="G333" s="600"/>
      <c r="H333" s="602"/>
      <c r="I333" s="565"/>
      <c r="J333" s="565"/>
      <c r="K333" s="466"/>
      <c r="L333" s="459"/>
      <c r="M333" s="460"/>
      <c r="N333" s="459"/>
      <c r="O333" s="261"/>
      <c r="P333" s="565"/>
      <c r="Q333" s="565"/>
      <c r="R333" s="467"/>
    </row>
    <row r="334" spans="1:18" s="438" customFormat="1" outlineLevel="1">
      <c r="A334" s="569"/>
      <c r="B334" s="598"/>
      <c r="C334" s="589"/>
      <c r="D334" s="565"/>
      <c r="E334" s="596"/>
      <c r="F334" s="565"/>
      <c r="G334" s="600"/>
      <c r="H334" s="602"/>
      <c r="I334" s="565"/>
      <c r="J334" s="565"/>
      <c r="K334" s="466"/>
      <c r="L334" s="459"/>
      <c r="M334" s="460"/>
      <c r="N334" s="459"/>
      <c r="O334" s="261"/>
      <c r="P334" s="565"/>
      <c r="Q334" s="565"/>
      <c r="R334" s="467"/>
    </row>
    <row r="335" spans="1:18" s="438" customFormat="1" outlineLevel="1">
      <c r="A335" s="569"/>
      <c r="B335" s="598"/>
      <c r="C335" s="589"/>
      <c r="D335" s="565"/>
      <c r="E335" s="596"/>
      <c r="F335" s="565"/>
      <c r="G335" s="600"/>
      <c r="H335" s="602"/>
      <c r="I335" s="565"/>
      <c r="J335" s="565"/>
      <c r="K335" s="466"/>
      <c r="L335" s="459"/>
      <c r="M335" s="460"/>
      <c r="N335" s="459"/>
      <c r="O335" s="261"/>
      <c r="P335" s="565"/>
      <c r="Q335" s="565"/>
      <c r="R335" s="467"/>
    </row>
    <row r="336" spans="1:18" s="438" customFormat="1" outlineLevel="1">
      <c r="A336" s="569"/>
      <c r="B336" s="598"/>
      <c r="C336" s="589"/>
      <c r="D336" s="565"/>
      <c r="E336" s="596"/>
      <c r="F336" s="565"/>
      <c r="G336" s="600"/>
      <c r="H336" s="602"/>
      <c r="I336" s="565"/>
      <c r="J336" s="565"/>
      <c r="K336" s="466"/>
      <c r="L336" s="459"/>
      <c r="M336" s="460"/>
      <c r="N336" s="459"/>
      <c r="O336" s="261"/>
      <c r="P336" s="565"/>
      <c r="Q336" s="565"/>
      <c r="R336" s="467"/>
    </row>
    <row r="337" spans="1:18" s="438" customFormat="1" outlineLevel="1">
      <c r="A337" s="569"/>
      <c r="B337" s="598"/>
      <c r="C337" s="589"/>
      <c r="D337" s="565"/>
      <c r="E337" s="596"/>
      <c r="F337" s="565"/>
      <c r="G337" s="600"/>
      <c r="H337" s="602"/>
      <c r="I337" s="565"/>
      <c r="J337" s="565"/>
      <c r="K337" s="466"/>
      <c r="L337" s="459"/>
      <c r="M337" s="460"/>
      <c r="N337" s="459"/>
      <c r="O337" s="261"/>
      <c r="P337" s="565"/>
      <c r="Q337" s="565"/>
      <c r="R337" s="467"/>
    </row>
    <row r="338" spans="1:18" s="438" customFormat="1" outlineLevel="1">
      <c r="A338" s="569"/>
      <c r="B338" s="598"/>
      <c r="C338" s="589"/>
      <c r="D338" s="565"/>
      <c r="E338" s="596"/>
      <c r="F338" s="565"/>
      <c r="G338" s="600"/>
      <c r="H338" s="602"/>
      <c r="I338" s="565"/>
      <c r="J338" s="565"/>
      <c r="K338" s="466"/>
      <c r="L338" s="459"/>
      <c r="M338" s="460"/>
      <c r="N338" s="459"/>
      <c r="O338" s="261"/>
      <c r="P338" s="565"/>
      <c r="Q338" s="565"/>
      <c r="R338" s="467"/>
    </row>
    <row r="339" spans="1:18" s="438" customFormat="1" outlineLevel="1">
      <c r="A339" s="569"/>
      <c r="B339" s="598"/>
      <c r="C339" s="589"/>
      <c r="D339" s="565"/>
      <c r="E339" s="596"/>
      <c r="F339" s="565"/>
      <c r="G339" s="600"/>
      <c r="H339" s="602"/>
      <c r="I339" s="565"/>
      <c r="J339" s="565"/>
      <c r="K339" s="466"/>
      <c r="L339" s="459"/>
      <c r="M339" s="460"/>
      <c r="N339" s="459"/>
      <c r="O339" s="261"/>
      <c r="P339" s="565"/>
      <c r="Q339" s="565"/>
      <c r="R339" s="467"/>
    </row>
    <row r="340" spans="1:18" s="438" customFormat="1" outlineLevel="1">
      <c r="A340" s="570"/>
      <c r="B340" s="599"/>
      <c r="C340" s="590"/>
      <c r="D340" s="566"/>
      <c r="E340" s="596"/>
      <c r="F340" s="566"/>
      <c r="G340" s="601"/>
      <c r="H340" s="603"/>
      <c r="I340" s="566"/>
      <c r="J340" s="566"/>
      <c r="K340" s="466"/>
      <c r="L340" s="459"/>
      <c r="M340" s="460"/>
      <c r="N340" s="459"/>
      <c r="O340" s="261"/>
      <c r="P340" s="566"/>
      <c r="Q340" s="566"/>
      <c r="R340" s="467"/>
    </row>
    <row r="341" spans="1:18" s="438" customFormat="1" outlineLevel="1">
      <c r="A341" s="568"/>
      <c r="B341" s="572"/>
      <c r="C341" s="574"/>
      <c r="D341" s="578"/>
      <c r="E341" s="580"/>
      <c r="F341" s="578"/>
      <c r="G341" s="581"/>
      <c r="H341" s="581"/>
      <c r="I341" s="577"/>
      <c r="J341" s="577"/>
      <c r="K341" s="472"/>
      <c r="L341" s="480"/>
      <c r="M341" s="479"/>
      <c r="N341" s="476"/>
      <c r="O341" s="477"/>
      <c r="P341" s="577"/>
      <c r="Q341" s="594"/>
      <c r="R341" s="467"/>
    </row>
    <row r="342" spans="1:18" s="438" customFormat="1" outlineLevel="1">
      <c r="A342" s="569"/>
      <c r="B342" s="598"/>
      <c r="C342" s="589"/>
      <c r="D342" s="565"/>
      <c r="E342" s="596"/>
      <c r="F342" s="565"/>
      <c r="G342" s="600"/>
      <c r="H342" s="600"/>
      <c r="I342" s="565"/>
      <c r="J342" s="565"/>
      <c r="K342" s="466"/>
      <c r="L342" s="480"/>
      <c r="M342" s="479"/>
      <c r="N342" s="459"/>
      <c r="O342" s="261"/>
      <c r="P342" s="565"/>
      <c r="Q342" s="565"/>
      <c r="R342" s="467"/>
    </row>
    <row r="343" spans="1:18" s="438" customFormat="1" outlineLevel="1">
      <c r="A343" s="569"/>
      <c r="B343" s="598"/>
      <c r="C343" s="589"/>
      <c r="D343" s="565"/>
      <c r="E343" s="596"/>
      <c r="F343" s="565"/>
      <c r="G343" s="600"/>
      <c r="H343" s="600"/>
      <c r="I343" s="565"/>
      <c r="J343" s="565"/>
      <c r="K343" s="466"/>
      <c r="L343" s="480"/>
      <c r="M343" s="479"/>
      <c r="N343" s="479"/>
      <c r="O343" s="261"/>
      <c r="P343" s="565"/>
      <c r="Q343" s="565"/>
      <c r="R343" s="467"/>
    </row>
    <row r="344" spans="1:18" s="438" customFormat="1" outlineLevel="1">
      <c r="A344" s="569"/>
      <c r="B344" s="598"/>
      <c r="C344" s="589"/>
      <c r="D344" s="565"/>
      <c r="E344" s="596"/>
      <c r="F344" s="565"/>
      <c r="G344" s="600"/>
      <c r="H344" s="600"/>
      <c r="I344" s="565"/>
      <c r="J344" s="565"/>
      <c r="K344" s="466"/>
      <c r="L344" s="459"/>
      <c r="M344" s="460"/>
      <c r="N344" s="459"/>
      <c r="O344" s="261"/>
      <c r="P344" s="565"/>
      <c r="Q344" s="565"/>
      <c r="R344" s="467"/>
    </row>
    <row r="345" spans="1:18" s="438" customFormat="1" outlineLevel="1">
      <c r="A345" s="569"/>
      <c r="B345" s="598"/>
      <c r="C345" s="589"/>
      <c r="D345" s="565"/>
      <c r="E345" s="596"/>
      <c r="F345" s="565"/>
      <c r="G345" s="600"/>
      <c r="H345" s="600"/>
      <c r="I345" s="565"/>
      <c r="J345" s="565"/>
      <c r="K345" s="466"/>
      <c r="L345" s="459"/>
      <c r="M345" s="460"/>
      <c r="N345" s="459"/>
      <c r="O345" s="261"/>
      <c r="P345" s="565"/>
      <c r="Q345" s="565"/>
      <c r="R345" s="467"/>
    </row>
    <row r="346" spans="1:18" s="438" customFormat="1" outlineLevel="1">
      <c r="A346" s="569"/>
      <c r="B346" s="598"/>
      <c r="C346" s="589"/>
      <c r="D346" s="565"/>
      <c r="E346" s="596"/>
      <c r="F346" s="565"/>
      <c r="G346" s="600"/>
      <c r="H346" s="600"/>
      <c r="I346" s="565"/>
      <c r="J346" s="565"/>
      <c r="K346" s="466"/>
      <c r="L346" s="459"/>
      <c r="M346" s="460"/>
      <c r="N346" s="459"/>
      <c r="O346" s="261"/>
      <c r="P346" s="565"/>
      <c r="Q346" s="565"/>
      <c r="R346" s="467"/>
    </row>
    <row r="347" spans="1:18" s="438" customFormat="1" outlineLevel="1">
      <c r="A347" s="569"/>
      <c r="B347" s="598"/>
      <c r="C347" s="589"/>
      <c r="D347" s="565"/>
      <c r="E347" s="596"/>
      <c r="F347" s="565"/>
      <c r="G347" s="600"/>
      <c r="H347" s="600"/>
      <c r="I347" s="565"/>
      <c r="J347" s="565"/>
      <c r="K347" s="466"/>
      <c r="L347" s="459"/>
      <c r="M347" s="460"/>
      <c r="N347" s="459"/>
      <c r="O347" s="261"/>
      <c r="P347" s="565"/>
      <c r="Q347" s="565"/>
      <c r="R347" s="467"/>
    </row>
    <row r="348" spans="1:18" s="438" customFormat="1" outlineLevel="1">
      <c r="A348" s="569"/>
      <c r="B348" s="598"/>
      <c r="C348" s="589"/>
      <c r="D348" s="565"/>
      <c r="E348" s="596"/>
      <c r="F348" s="565"/>
      <c r="G348" s="600"/>
      <c r="H348" s="600"/>
      <c r="I348" s="565"/>
      <c r="J348" s="565"/>
      <c r="K348" s="466"/>
      <c r="L348" s="459"/>
      <c r="M348" s="460"/>
      <c r="N348" s="459"/>
      <c r="O348" s="261"/>
      <c r="P348" s="565"/>
      <c r="Q348" s="565"/>
      <c r="R348" s="467"/>
    </row>
    <row r="349" spans="1:18" s="438" customFormat="1" outlineLevel="1">
      <c r="A349" s="569"/>
      <c r="B349" s="598"/>
      <c r="C349" s="589"/>
      <c r="D349" s="565"/>
      <c r="E349" s="596"/>
      <c r="F349" s="565"/>
      <c r="G349" s="600"/>
      <c r="H349" s="600"/>
      <c r="I349" s="565"/>
      <c r="J349" s="565"/>
      <c r="K349" s="466"/>
      <c r="L349" s="459"/>
      <c r="M349" s="460"/>
      <c r="N349" s="459"/>
      <c r="O349" s="261"/>
      <c r="P349" s="565"/>
      <c r="Q349" s="565"/>
      <c r="R349" s="467"/>
    </row>
    <row r="350" spans="1:18" s="438" customFormat="1" outlineLevel="1">
      <c r="A350" s="569"/>
      <c r="B350" s="598"/>
      <c r="C350" s="589"/>
      <c r="D350" s="565"/>
      <c r="E350" s="596"/>
      <c r="F350" s="565"/>
      <c r="G350" s="600"/>
      <c r="H350" s="600"/>
      <c r="I350" s="565"/>
      <c r="J350" s="565"/>
      <c r="K350" s="466"/>
      <c r="L350" s="459"/>
      <c r="M350" s="460"/>
      <c r="N350" s="459"/>
      <c r="O350" s="261"/>
      <c r="P350" s="565"/>
      <c r="Q350" s="565"/>
      <c r="R350" s="467"/>
    </row>
    <row r="351" spans="1:18" s="438" customFormat="1" outlineLevel="1">
      <c r="A351" s="569"/>
      <c r="B351" s="598"/>
      <c r="C351" s="589"/>
      <c r="D351" s="565"/>
      <c r="E351" s="596"/>
      <c r="F351" s="565"/>
      <c r="G351" s="600"/>
      <c r="H351" s="600"/>
      <c r="I351" s="565"/>
      <c r="J351" s="565"/>
      <c r="K351" s="466"/>
      <c r="L351" s="459"/>
      <c r="M351" s="460"/>
      <c r="N351" s="459"/>
      <c r="O351" s="261"/>
      <c r="P351" s="565"/>
      <c r="Q351" s="565"/>
      <c r="R351" s="467"/>
    </row>
    <row r="352" spans="1:18" s="438" customFormat="1" outlineLevel="1">
      <c r="A352" s="569"/>
      <c r="B352" s="598"/>
      <c r="C352" s="589"/>
      <c r="D352" s="565"/>
      <c r="E352" s="596"/>
      <c r="F352" s="565"/>
      <c r="G352" s="600"/>
      <c r="H352" s="600"/>
      <c r="I352" s="565"/>
      <c r="J352" s="565"/>
      <c r="K352" s="466"/>
      <c r="L352" s="459"/>
      <c r="M352" s="460"/>
      <c r="N352" s="459"/>
      <c r="O352" s="261"/>
      <c r="P352" s="565"/>
      <c r="Q352" s="565"/>
      <c r="R352" s="467"/>
    </row>
    <row r="353" spans="1:18" s="438" customFormat="1" outlineLevel="1">
      <c r="A353" s="569"/>
      <c r="B353" s="598"/>
      <c r="C353" s="589"/>
      <c r="D353" s="565"/>
      <c r="E353" s="596"/>
      <c r="F353" s="565"/>
      <c r="G353" s="600"/>
      <c r="H353" s="600"/>
      <c r="I353" s="565"/>
      <c r="J353" s="565"/>
      <c r="K353" s="466"/>
      <c r="L353" s="459"/>
      <c r="M353" s="460"/>
      <c r="N353" s="459"/>
      <c r="O353" s="261"/>
      <c r="P353" s="565"/>
      <c r="Q353" s="565"/>
      <c r="R353" s="467"/>
    </row>
    <row r="354" spans="1:18" s="438" customFormat="1" outlineLevel="1">
      <c r="A354" s="569"/>
      <c r="B354" s="598"/>
      <c r="C354" s="589"/>
      <c r="D354" s="565"/>
      <c r="E354" s="596"/>
      <c r="F354" s="565"/>
      <c r="G354" s="600"/>
      <c r="H354" s="600"/>
      <c r="I354" s="565"/>
      <c r="J354" s="565"/>
      <c r="K354" s="466"/>
      <c r="L354" s="459"/>
      <c r="M354" s="460"/>
      <c r="N354" s="459"/>
      <c r="O354" s="261"/>
      <c r="P354" s="565"/>
      <c r="Q354" s="565"/>
      <c r="R354" s="467"/>
    </row>
    <row r="355" spans="1:18" s="438" customFormat="1" outlineLevel="1">
      <c r="A355" s="569"/>
      <c r="B355" s="598"/>
      <c r="C355" s="589"/>
      <c r="D355" s="565"/>
      <c r="E355" s="596"/>
      <c r="F355" s="565"/>
      <c r="G355" s="600"/>
      <c r="H355" s="600"/>
      <c r="I355" s="565"/>
      <c r="J355" s="565"/>
      <c r="K355" s="466"/>
      <c r="L355" s="459"/>
      <c r="M355" s="460"/>
      <c r="N355" s="459"/>
      <c r="O355" s="261"/>
      <c r="P355" s="565"/>
      <c r="Q355" s="565"/>
      <c r="R355" s="467"/>
    </row>
    <row r="356" spans="1:18" s="438" customFormat="1" outlineLevel="1">
      <c r="A356" s="570"/>
      <c r="B356" s="599"/>
      <c r="C356" s="590"/>
      <c r="D356" s="566"/>
      <c r="E356" s="596"/>
      <c r="F356" s="566"/>
      <c r="G356" s="601"/>
      <c r="H356" s="601"/>
      <c r="I356" s="566"/>
      <c r="J356" s="566"/>
      <c r="K356" s="466"/>
      <c r="L356" s="459"/>
      <c r="M356" s="460"/>
      <c r="N356" s="459"/>
      <c r="O356" s="261"/>
      <c r="P356" s="566"/>
      <c r="Q356" s="566"/>
      <c r="R356" s="467"/>
    </row>
    <row r="357" spans="1:18" s="438" customFormat="1" outlineLevel="1">
      <c r="A357" s="568"/>
      <c r="B357" s="572"/>
      <c r="C357" s="574"/>
      <c r="D357" s="578"/>
      <c r="E357" s="580"/>
      <c r="F357" s="578"/>
      <c r="G357" s="581"/>
      <c r="H357" s="581"/>
      <c r="I357" s="577"/>
      <c r="J357" s="577"/>
      <c r="K357" s="472"/>
      <c r="L357" s="480"/>
      <c r="M357" s="479"/>
      <c r="N357" s="476"/>
      <c r="O357" s="477"/>
      <c r="P357" s="577"/>
      <c r="Q357" s="594"/>
      <c r="R357" s="467"/>
    </row>
    <row r="358" spans="1:18" s="438" customFormat="1" outlineLevel="1">
      <c r="A358" s="569"/>
      <c r="B358" s="598"/>
      <c r="C358" s="589"/>
      <c r="D358" s="565"/>
      <c r="E358" s="596"/>
      <c r="F358" s="565"/>
      <c r="G358" s="600"/>
      <c r="H358" s="600"/>
      <c r="I358" s="565"/>
      <c r="J358" s="565"/>
      <c r="K358" s="466"/>
      <c r="L358" s="459"/>
      <c r="M358" s="460"/>
      <c r="N358" s="459"/>
      <c r="O358" s="261"/>
      <c r="P358" s="565"/>
      <c r="Q358" s="565"/>
      <c r="R358" s="467"/>
    </row>
    <row r="359" spans="1:18" s="438" customFormat="1" outlineLevel="1">
      <c r="A359" s="569"/>
      <c r="B359" s="598"/>
      <c r="C359" s="589"/>
      <c r="D359" s="565"/>
      <c r="E359" s="596"/>
      <c r="F359" s="565"/>
      <c r="G359" s="600"/>
      <c r="H359" s="600"/>
      <c r="I359" s="565"/>
      <c r="J359" s="565"/>
      <c r="K359" s="466"/>
      <c r="L359" s="459"/>
      <c r="M359" s="460"/>
      <c r="N359" s="459"/>
      <c r="O359" s="261"/>
      <c r="P359" s="565"/>
      <c r="Q359" s="565"/>
      <c r="R359" s="467"/>
    </row>
    <row r="360" spans="1:18" s="438" customFormat="1" outlineLevel="1">
      <c r="A360" s="569"/>
      <c r="B360" s="598"/>
      <c r="C360" s="589"/>
      <c r="D360" s="565"/>
      <c r="E360" s="596"/>
      <c r="F360" s="565"/>
      <c r="G360" s="600"/>
      <c r="H360" s="600"/>
      <c r="I360" s="565"/>
      <c r="J360" s="565"/>
      <c r="K360" s="466"/>
      <c r="L360" s="459"/>
      <c r="M360" s="460"/>
      <c r="N360" s="459"/>
      <c r="O360" s="261"/>
      <c r="P360" s="565"/>
      <c r="Q360" s="565"/>
      <c r="R360" s="467"/>
    </row>
    <row r="361" spans="1:18" s="438" customFormat="1" outlineLevel="1">
      <c r="A361" s="569"/>
      <c r="B361" s="598"/>
      <c r="C361" s="589"/>
      <c r="D361" s="565"/>
      <c r="E361" s="596"/>
      <c r="F361" s="565"/>
      <c r="G361" s="600"/>
      <c r="H361" s="600"/>
      <c r="I361" s="565"/>
      <c r="J361" s="565"/>
      <c r="K361" s="466"/>
      <c r="L361" s="459"/>
      <c r="M361" s="460"/>
      <c r="N361" s="459"/>
      <c r="O361" s="261"/>
      <c r="P361" s="565"/>
      <c r="Q361" s="565"/>
      <c r="R361" s="467"/>
    </row>
    <row r="362" spans="1:18" s="438" customFormat="1" outlineLevel="1">
      <c r="A362" s="569"/>
      <c r="B362" s="598"/>
      <c r="C362" s="589"/>
      <c r="D362" s="565"/>
      <c r="E362" s="596"/>
      <c r="F362" s="565"/>
      <c r="G362" s="600"/>
      <c r="H362" s="600"/>
      <c r="I362" s="565"/>
      <c r="J362" s="565"/>
      <c r="K362" s="466"/>
      <c r="L362" s="459"/>
      <c r="M362" s="460"/>
      <c r="N362" s="459"/>
      <c r="O362" s="261"/>
      <c r="P362" s="565"/>
      <c r="Q362" s="565"/>
      <c r="R362" s="467"/>
    </row>
    <row r="363" spans="1:18" s="438" customFormat="1" outlineLevel="1">
      <c r="A363" s="569"/>
      <c r="B363" s="598"/>
      <c r="C363" s="589"/>
      <c r="D363" s="565"/>
      <c r="E363" s="596"/>
      <c r="F363" s="565"/>
      <c r="G363" s="600"/>
      <c r="H363" s="600"/>
      <c r="I363" s="565"/>
      <c r="J363" s="565"/>
      <c r="K363" s="466"/>
      <c r="L363" s="459"/>
      <c r="M363" s="460"/>
      <c r="N363" s="459"/>
      <c r="O363" s="261"/>
      <c r="P363" s="565"/>
      <c r="Q363" s="565"/>
      <c r="R363" s="467"/>
    </row>
    <row r="364" spans="1:18" s="438" customFormat="1" outlineLevel="1">
      <c r="A364" s="569"/>
      <c r="B364" s="598"/>
      <c r="C364" s="589"/>
      <c r="D364" s="565"/>
      <c r="E364" s="596"/>
      <c r="F364" s="565"/>
      <c r="G364" s="600"/>
      <c r="H364" s="600"/>
      <c r="I364" s="565"/>
      <c r="J364" s="565"/>
      <c r="K364" s="466"/>
      <c r="L364" s="459"/>
      <c r="M364" s="460"/>
      <c r="N364" s="459"/>
      <c r="O364" s="261"/>
      <c r="P364" s="565"/>
      <c r="Q364" s="565"/>
      <c r="R364" s="467"/>
    </row>
    <row r="365" spans="1:18" s="438" customFormat="1" outlineLevel="1">
      <c r="A365" s="569"/>
      <c r="B365" s="598"/>
      <c r="C365" s="589"/>
      <c r="D365" s="565"/>
      <c r="E365" s="596"/>
      <c r="F365" s="565"/>
      <c r="G365" s="600"/>
      <c r="H365" s="600"/>
      <c r="I365" s="565"/>
      <c r="J365" s="565"/>
      <c r="K365" s="466"/>
      <c r="L365" s="459"/>
      <c r="M365" s="460"/>
      <c r="N365" s="459"/>
      <c r="O365" s="261"/>
      <c r="P365" s="565"/>
      <c r="Q365" s="565"/>
      <c r="R365" s="467"/>
    </row>
    <row r="366" spans="1:18" s="438" customFormat="1" outlineLevel="1">
      <c r="A366" s="569"/>
      <c r="B366" s="598"/>
      <c r="C366" s="589"/>
      <c r="D366" s="565"/>
      <c r="E366" s="596"/>
      <c r="F366" s="565"/>
      <c r="G366" s="600"/>
      <c r="H366" s="600"/>
      <c r="I366" s="565"/>
      <c r="J366" s="565"/>
      <c r="K366" s="466"/>
      <c r="L366" s="459"/>
      <c r="M366" s="460"/>
      <c r="N366" s="459"/>
      <c r="O366" s="261"/>
      <c r="P366" s="565"/>
      <c r="Q366" s="565"/>
      <c r="R366" s="467"/>
    </row>
    <row r="367" spans="1:18" s="438" customFormat="1" outlineLevel="1">
      <c r="A367" s="569"/>
      <c r="B367" s="598"/>
      <c r="C367" s="589"/>
      <c r="D367" s="565"/>
      <c r="E367" s="596"/>
      <c r="F367" s="565"/>
      <c r="G367" s="600"/>
      <c r="H367" s="600"/>
      <c r="I367" s="565"/>
      <c r="J367" s="565"/>
      <c r="K367" s="466"/>
      <c r="L367" s="459"/>
      <c r="M367" s="460"/>
      <c r="N367" s="459"/>
      <c r="O367" s="261"/>
      <c r="P367" s="565"/>
      <c r="Q367" s="565"/>
      <c r="R367" s="467"/>
    </row>
    <row r="368" spans="1:18" s="438" customFormat="1" outlineLevel="1">
      <c r="A368" s="569"/>
      <c r="B368" s="598"/>
      <c r="C368" s="589"/>
      <c r="D368" s="565"/>
      <c r="E368" s="596"/>
      <c r="F368" s="565"/>
      <c r="G368" s="600"/>
      <c r="H368" s="600"/>
      <c r="I368" s="565"/>
      <c r="J368" s="565"/>
      <c r="K368" s="466"/>
      <c r="L368" s="459"/>
      <c r="M368" s="460"/>
      <c r="N368" s="459"/>
      <c r="O368" s="261"/>
      <c r="P368" s="565"/>
      <c r="Q368" s="565"/>
      <c r="R368" s="467"/>
    </row>
    <row r="369" spans="1:18" s="438" customFormat="1" outlineLevel="1">
      <c r="A369" s="569"/>
      <c r="B369" s="598"/>
      <c r="C369" s="589"/>
      <c r="D369" s="565"/>
      <c r="E369" s="596"/>
      <c r="F369" s="565"/>
      <c r="G369" s="600"/>
      <c r="H369" s="600"/>
      <c r="I369" s="565"/>
      <c r="J369" s="565"/>
      <c r="K369" s="466"/>
      <c r="L369" s="459"/>
      <c r="M369" s="460"/>
      <c r="N369" s="459"/>
      <c r="O369" s="261"/>
      <c r="P369" s="565"/>
      <c r="Q369" s="565"/>
      <c r="R369" s="467"/>
    </row>
    <row r="370" spans="1:18" s="438" customFormat="1" outlineLevel="1">
      <c r="A370" s="569"/>
      <c r="B370" s="598"/>
      <c r="C370" s="589"/>
      <c r="D370" s="565"/>
      <c r="E370" s="596"/>
      <c r="F370" s="565"/>
      <c r="G370" s="600"/>
      <c r="H370" s="600"/>
      <c r="I370" s="565"/>
      <c r="J370" s="565"/>
      <c r="K370" s="466"/>
      <c r="L370" s="459"/>
      <c r="M370" s="460"/>
      <c r="N370" s="459"/>
      <c r="O370" s="261"/>
      <c r="P370" s="565"/>
      <c r="Q370" s="565"/>
      <c r="R370" s="467"/>
    </row>
    <row r="371" spans="1:18" s="438" customFormat="1" outlineLevel="1">
      <c r="A371" s="569"/>
      <c r="B371" s="598"/>
      <c r="C371" s="589"/>
      <c r="D371" s="565"/>
      <c r="E371" s="596"/>
      <c r="F371" s="565"/>
      <c r="G371" s="600"/>
      <c r="H371" s="600"/>
      <c r="I371" s="565"/>
      <c r="J371" s="565"/>
      <c r="K371" s="466"/>
      <c r="L371" s="459"/>
      <c r="M371" s="460"/>
      <c r="N371" s="459"/>
      <c r="O371" s="261"/>
      <c r="P371" s="565"/>
      <c r="Q371" s="565"/>
      <c r="R371" s="467"/>
    </row>
    <row r="372" spans="1:18" s="438" customFormat="1" outlineLevel="1">
      <c r="A372" s="570"/>
      <c r="B372" s="599"/>
      <c r="C372" s="590"/>
      <c r="D372" s="566"/>
      <c r="E372" s="596"/>
      <c r="F372" s="566"/>
      <c r="G372" s="601"/>
      <c r="H372" s="601"/>
      <c r="I372" s="566"/>
      <c r="J372" s="566"/>
      <c r="K372" s="466"/>
      <c r="L372" s="459"/>
      <c r="M372" s="460"/>
      <c r="N372" s="459"/>
      <c r="O372" s="261"/>
      <c r="P372" s="566"/>
      <c r="Q372" s="566"/>
      <c r="R372" s="467"/>
    </row>
    <row r="373" spans="1:18" s="438" customFormat="1" outlineLevel="1">
      <c r="A373" s="568"/>
      <c r="B373" s="572"/>
      <c r="C373" s="574"/>
      <c r="D373" s="578"/>
      <c r="E373" s="580"/>
      <c r="F373" s="578"/>
      <c r="G373" s="581"/>
      <c r="H373" s="577"/>
      <c r="I373" s="577"/>
      <c r="J373" s="577"/>
      <c r="K373" s="472"/>
      <c r="L373" s="480"/>
      <c r="M373" s="479"/>
      <c r="N373" s="476"/>
      <c r="O373" s="477"/>
      <c r="P373" s="577"/>
      <c r="Q373" s="594"/>
      <c r="R373" s="467"/>
    </row>
    <row r="374" spans="1:18" s="438" customFormat="1" outlineLevel="1">
      <c r="A374" s="569"/>
      <c r="B374" s="598"/>
      <c r="C374" s="589"/>
      <c r="D374" s="565"/>
      <c r="E374" s="596"/>
      <c r="F374" s="565"/>
      <c r="G374" s="600"/>
      <c r="H374" s="602"/>
      <c r="I374" s="565"/>
      <c r="J374" s="565"/>
      <c r="K374" s="466"/>
      <c r="L374" s="480"/>
      <c r="M374" s="479"/>
      <c r="N374" s="479"/>
      <c r="O374" s="261"/>
      <c r="P374" s="565"/>
      <c r="Q374" s="565"/>
      <c r="R374" s="467"/>
    </row>
    <row r="375" spans="1:18" s="438" customFormat="1" outlineLevel="1">
      <c r="A375" s="569"/>
      <c r="B375" s="598"/>
      <c r="C375" s="589"/>
      <c r="D375" s="565"/>
      <c r="E375" s="596"/>
      <c r="F375" s="565"/>
      <c r="G375" s="600"/>
      <c r="H375" s="602"/>
      <c r="I375" s="565"/>
      <c r="J375" s="565"/>
      <c r="K375" s="466"/>
      <c r="L375" s="480"/>
      <c r="M375" s="479"/>
      <c r="N375" s="459"/>
      <c r="O375" s="261"/>
      <c r="P375" s="565"/>
      <c r="Q375" s="565"/>
      <c r="R375" s="467"/>
    </row>
    <row r="376" spans="1:18" s="438" customFormat="1" outlineLevel="1">
      <c r="A376" s="569"/>
      <c r="B376" s="598"/>
      <c r="C376" s="589"/>
      <c r="D376" s="565"/>
      <c r="E376" s="596"/>
      <c r="F376" s="565"/>
      <c r="G376" s="600"/>
      <c r="H376" s="602"/>
      <c r="I376" s="565"/>
      <c r="J376" s="565"/>
      <c r="K376" s="466"/>
      <c r="L376" s="480"/>
      <c r="M376" s="479"/>
      <c r="N376" s="459"/>
      <c r="O376" s="261"/>
      <c r="P376" s="565"/>
      <c r="Q376" s="565"/>
      <c r="R376" s="467"/>
    </row>
    <row r="377" spans="1:18" s="438" customFormat="1" outlineLevel="1">
      <c r="A377" s="569"/>
      <c r="B377" s="598"/>
      <c r="C377" s="589"/>
      <c r="D377" s="565"/>
      <c r="E377" s="596"/>
      <c r="F377" s="565"/>
      <c r="G377" s="600"/>
      <c r="H377" s="602"/>
      <c r="I377" s="565"/>
      <c r="J377" s="565"/>
      <c r="K377" s="466"/>
      <c r="L377" s="480"/>
      <c r="M377" s="479"/>
      <c r="N377" s="479"/>
      <c r="O377" s="261"/>
      <c r="P377" s="565"/>
      <c r="Q377" s="565"/>
      <c r="R377" s="467"/>
    </row>
    <row r="378" spans="1:18" s="438" customFormat="1" outlineLevel="1">
      <c r="A378" s="569"/>
      <c r="B378" s="598"/>
      <c r="C378" s="589"/>
      <c r="D378" s="565"/>
      <c r="E378" s="596"/>
      <c r="F378" s="565"/>
      <c r="G378" s="600"/>
      <c r="H378" s="602"/>
      <c r="I378" s="565"/>
      <c r="J378" s="565"/>
      <c r="K378" s="466"/>
      <c r="L378" s="459"/>
      <c r="M378" s="460"/>
      <c r="N378" s="459"/>
      <c r="O378" s="261"/>
      <c r="P378" s="565"/>
      <c r="Q378" s="565"/>
      <c r="R378" s="467"/>
    </row>
    <row r="379" spans="1:18" s="438" customFormat="1" outlineLevel="1">
      <c r="A379" s="569"/>
      <c r="B379" s="598"/>
      <c r="C379" s="589"/>
      <c r="D379" s="565"/>
      <c r="E379" s="596"/>
      <c r="F379" s="565"/>
      <c r="G379" s="600"/>
      <c r="H379" s="602"/>
      <c r="I379" s="565"/>
      <c r="J379" s="565"/>
      <c r="K379" s="466"/>
      <c r="L379" s="459"/>
      <c r="M379" s="460"/>
      <c r="N379" s="459"/>
      <c r="O379" s="261"/>
      <c r="P379" s="565"/>
      <c r="Q379" s="565"/>
      <c r="R379" s="467"/>
    </row>
    <row r="380" spans="1:18" s="438" customFormat="1" outlineLevel="1">
      <c r="A380" s="569"/>
      <c r="B380" s="598"/>
      <c r="C380" s="589"/>
      <c r="D380" s="565"/>
      <c r="E380" s="596"/>
      <c r="F380" s="565"/>
      <c r="G380" s="600"/>
      <c r="H380" s="602"/>
      <c r="I380" s="565"/>
      <c r="J380" s="565"/>
      <c r="K380" s="466"/>
      <c r="L380" s="459"/>
      <c r="M380" s="460"/>
      <c r="N380" s="459"/>
      <c r="O380" s="261"/>
      <c r="P380" s="565"/>
      <c r="Q380" s="565"/>
      <c r="R380" s="467"/>
    </row>
    <row r="381" spans="1:18" s="438" customFormat="1" outlineLevel="1">
      <c r="A381" s="569"/>
      <c r="B381" s="598"/>
      <c r="C381" s="589"/>
      <c r="D381" s="565"/>
      <c r="E381" s="596"/>
      <c r="F381" s="565"/>
      <c r="G381" s="600"/>
      <c r="H381" s="602"/>
      <c r="I381" s="565"/>
      <c r="J381" s="565"/>
      <c r="K381" s="466"/>
      <c r="L381" s="459"/>
      <c r="M381" s="460"/>
      <c r="N381" s="459"/>
      <c r="O381" s="261"/>
      <c r="P381" s="565"/>
      <c r="Q381" s="565"/>
      <c r="R381" s="467"/>
    </row>
    <row r="382" spans="1:18" s="438" customFormat="1" outlineLevel="1">
      <c r="A382" s="569"/>
      <c r="B382" s="598"/>
      <c r="C382" s="589"/>
      <c r="D382" s="565"/>
      <c r="E382" s="596"/>
      <c r="F382" s="565"/>
      <c r="G382" s="600"/>
      <c r="H382" s="602"/>
      <c r="I382" s="565"/>
      <c r="J382" s="565"/>
      <c r="K382" s="466"/>
      <c r="L382" s="459"/>
      <c r="M382" s="460"/>
      <c r="N382" s="459"/>
      <c r="O382" s="261"/>
      <c r="P382" s="565"/>
      <c r="Q382" s="565"/>
      <c r="R382" s="467"/>
    </row>
    <row r="383" spans="1:18" s="438" customFormat="1" outlineLevel="1">
      <c r="A383" s="569"/>
      <c r="B383" s="598"/>
      <c r="C383" s="589"/>
      <c r="D383" s="565"/>
      <c r="E383" s="596"/>
      <c r="F383" s="565"/>
      <c r="G383" s="600"/>
      <c r="H383" s="602"/>
      <c r="I383" s="565"/>
      <c r="J383" s="565"/>
      <c r="K383" s="466"/>
      <c r="L383" s="459"/>
      <c r="M383" s="460"/>
      <c r="N383" s="459"/>
      <c r="O383" s="261"/>
      <c r="P383" s="565"/>
      <c r="Q383" s="565"/>
      <c r="R383" s="467"/>
    </row>
    <row r="384" spans="1:18" s="438" customFormat="1" outlineLevel="1">
      <c r="A384" s="569"/>
      <c r="B384" s="598"/>
      <c r="C384" s="589"/>
      <c r="D384" s="565"/>
      <c r="E384" s="596"/>
      <c r="F384" s="565"/>
      <c r="G384" s="600"/>
      <c r="H384" s="602"/>
      <c r="I384" s="565"/>
      <c r="J384" s="565"/>
      <c r="K384" s="466"/>
      <c r="L384" s="459"/>
      <c r="M384" s="460"/>
      <c r="N384" s="459"/>
      <c r="O384" s="261"/>
      <c r="P384" s="565"/>
      <c r="Q384" s="565"/>
      <c r="R384" s="467"/>
    </row>
    <row r="385" spans="1:18" s="438" customFormat="1" outlineLevel="1">
      <c r="A385" s="569"/>
      <c r="B385" s="598"/>
      <c r="C385" s="589"/>
      <c r="D385" s="565"/>
      <c r="E385" s="596"/>
      <c r="F385" s="565"/>
      <c r="G385" s="600"/>
      <c r="H385" s="602"/>
      <c r="I385" s="565"/>
      <c r="J385" s="565"/>
      <c r="K385" s="466"/>
      <c r="L385" s="459"/>
      <c r="M385" s="460"/>
      <c r="N385" s="459"/>
      <c r="O385" s="261"/>
      <c r="P385" s="565"/>
      <c r="Q385" s="565"/>
      <c r="R385" s="467"/>
    </row>
    <row r="386" spans="1:18" s="438" customFormat="1" outlineLevel="1">
      <c r="A386" s="569"/>
      <c r="B386" s="598"/>
      <c r="C386" s="589"/>
      <c r="D386" s="565"/>
      <c r="E386" s="596"/>
      <c r="F386" s="565"/>
      <c r="G386" s="600"/>
      <c r="H386" s="602"/>
      <c r="I386" s="565"/>
      <c r="J386" s="565"/>
      <c r="K386" s="466"/>
      <c r="L386" s="459"/>
      <c r="M386" s="460"/>
      <c r="N386" s="459"/>
      <c r="O386" s="261"/>
      <c r="P386" s="565"/>
      <c r="Q386" s="565"/>
      <c r="R386" s="467"/>
    </row>
    <row r="387" spans="1:18" s="438" customFormat="1" outlineLevel="1">
      <c r="A387" s="569"/>
      <c r="B387" s="598"/>
      <c r="C387" s="589"/>
      <c r="D387" s="565"/>
      <c r="E387" s="596"/>
      <c r="F387" s="565"/>
      <c r="G387" s="600"/>
      <c r="H387" s="602"/>
      <c r="I387" s="565"/>
      <c r="J387" s="565"/>
      <c r="K387" s="466"/>
      <c r="L387" s="459"/>
      <c r="M387" s="460"/>
      <c r="N387" s="459"/>
      <c r="O387" s="261"/>
      <c r="P387" s="565"/>
      <c r="Q387" s="565"/>
      <c r="R387" s="467"/>
    </row>
    <row r="388" spans="1:18" s="438" customFormat="1" outlineLevel="1">
      <c r="A388" s="570"/>
      <c r="B388" s="599"/>
      <c r="C388" s="590"/>
      <c r="D388" s="566"/>
      <c r="E388" s="596"/>
      <c r="F388" s="566"/>
      <c r="G388" s="601"/>
      <c r="H388" s="603"/>
      <c r="I388" s="566"/>
      <c r="J388" s="566"/>
      <c r="K388" s="466"/>
      <c r="L388" s="459"/>
      <c r="M388" s="460"/>
      <c r="N388" s="459"/>
      <c r="O388" s="261"/>
      <c r="P388" s="566"/>
      <c r="Q388" s="566"/>
      <c r="R388" s="467"/>
    </row>
    <row r="389" spans="1:18" s="438" customFormat="1" outlineLevel="1">
      <c r="A389" s="568"/>
      <c r="B389" s="572"/>
      <c r="C389" s="574"/>
      <c r="D389" s="578"/>
      <c r="E389" s="580"/>
      <c r="F389" s="578"/>
      <c r="G389" s="581"/>
      <c r="H389" s="577"/>
      <c r="I389" s="577"/>
      <c r="J389" s="577"/>
      <c r="K389" s="472"/>
      <c r="L389" s="480"/>
      <c r="M389" s="479"/>
      <c r="N389" s="476"/>
      <c r="O389" s="477"/>
      <c r="P389" s="577"/>
      <c r="Q389" s="594"/>
      <c r="R389" s="467"/>
    </row>
    <row r="390" spans="1:18" s="438" customFormat="1" outlineLevel="1">
      <c r="A390" s="569"/>
      <c r="B390" s="598"/>
      <c r="C390" s="589"/>
      <c r="D390" s="565"/>
      <c r="E390" s="596"/>
      <c r="F390" s="565"/>
      <c r="G390" s="600"/>
      <c r="H390" s="602"/>
      <c r="I390" s="565"/>
      <c r="J390" s="565"/>
      <c r="K390" s="466"/>
      <c r="L390" s="480"/>
      <c r="M390" s="479"/>
      <c r="N390" s="459"/>
      <c r="O390" s="261"/>
      <c r="P390" s="565"/>
      <c r="Q390" s="565"/>
      <c r="R390" s="467"/>
    </row>
    <row r="391" spans="1:18" s="438" customFormat="1" outlineLevel="1">
      <c r="A391" s="569"/>
      <c r="B391" s="598"/>
      <c r="C391" s="589"/>
      <c r="D391" s="565"/>
      <c r="E391" s="596"/>
      <c r="F391" s="565"/>
      <c r="G391" s="600"/>
      <c r="H391" s="602"/>
      <c r="I391" s="565"/>
      <c r="J391" s="565"/>
      <c r="K391" s="466"/>
      <c r="L391" s="480"/>
      <c r="M391" s="479"/>
      <c r="N391" s="459"/>
      <c r="O391" s="261"/>
      <c r="P391" s="565"/>
      <c r="Q391" s="565"/>
      <c r="R391" s="467"/>
    </row>
    <row r="392" spans="1:18" s="438" customFormat="1" outlineLevel="1">
      <c r="A392" s="569"/>
      <c r="B392" s="598"/>
      <c r="C392" s="589"/>
      <c r="D392" s="565"/>
      <c r="E392" s="596"/>
      <c r="F392" s="565"/>
      <c r="G392" s="600"/>
      <c r="H392" s="602"/>
      <c r="I392" s="565"/>
      <c r="J392" s="565"/>
      <c r="K392" s="466"/>
      <c r="L392" s="480"/>
      <c r="M392" s="479"/>
      <c r="N392" s="479"/>
      <c r="O392" s="261"/>
      <c r="P392" s="565"/>
      <c r="Q392" s="565"/>
      <c r="R392" s="467"/>
    </row>
    <row r="393" spans="1:18" s="438" customFormat="1" outlineLevel="1">
      <c r="A393" s="569"/>
      <c r="B393" s="598"/>
      <c r="C393" s="589"/>
      <c r="D393" s="565"/>
      <c r="E393" s="596"/>
      <c r="F393" s="565"/>
      <c r="G393" s="600"/>
      <c r="H393" s="602"/>
      <c r="I393" s="565"/>
      <c r="J393" s="565"/>
      <c r="K393" s="466"/>
      <c r="L393" s="480"/>
      <c r="M393" s="479"/>
      <c r="N393" s="479"/>
      <c r="O393" s="261"/>
      <c r="P393" s="565"/>
      <c r="Q393" s="565"/>
      <c r="R393" s="467"/>
    </row>
    <row r="394" spans="1:18" s="438" customFormat="1" outlineLevel="1">
      <c r="A394" s="569"/>
      <c r="B394" s="598"/>
      <c r="C394" s="589"/>
      <c r="D394" s="565"/>
      <c r="E394" s="596"/>
      <c r="F394" s="565"/>
      <c r="G394" s="600"/>
      <c r="H394" s="602"/>
      <c r="I394" s="565"/>
      <c r="J394" s="565"/>
      <c r="K394" s="466"/>
      <c r="L394" s="481"/>
      <c r="M394" s="460"/>
      <c r="N394" s="459"/>
      <c r="O394" s="261"/>
      <c r="P394" s="565"/>
      <c r="Q394" s="565"/>
      <c r="R394" s="467"/>
    </row>
    <row r="395" spans="1:18" s="438" customFormat="1" outlineLevel="1">
      <c r="A395" s="569"/>
      <c r="B395" s="598"/>
      <c r="C395" s="589"/>
      <c r="D395" s="565"/>
      <c r="E395" s="596"/>
      <c r="F395" s="565"/>
      <c r="G395" s="600"/>
      <c r="H395" s="602"/>
      <c r="I395" s="565"/>
      <c r="J395" s="565"/>
      <c r="K395" s="466"/>
      <c r="L395" s="459"/>
      <c r="M395" s="460"/>
      <c r="N395" s="459"/>
      <c r="O395" s="261"/>
      <c r="P395" s="565"/>
      <c r="Q395" s="565"/>
      <c r="R395" s="467"/>
    </row>
    <row r="396" spans="1:18" s="438" customFormat="1" outlineLevel="1">
      <c r="A396" s="569"/>
      <c r="B396" s="598"/>
      <c r="C396" s="589"/>
      <c r="D396" s="565"/>
      <c r="E396" s="596"/>
      <c r="F396" s="565"/>
      <c r="G396" s="600"/>
      <c r="H396" s="602"/>
      <c r="I396" s="565"/>
      <c r="J396" s="565"/>
      <c r="K396" s="466"/>
      <c r="L396" s="459"/>
      <c r="M396" s="460"/>
      <c r="N396" s="459"/>
      <c r="O396" s="261"/>
      <c r="P396" s="565"/>
      <c r="Q396" s="565"/>
      <c r="R396" s="467"/>
    </row>
    <row r="397" spans="1:18" s="438" customFormat="1" outlineLevel="1">
      <c r="A397" s="569"/>
      <c r="B397" s="598"/>
      <c r="C397" s="589"/>
      <c r="D397" s="565"/>
      <c r="E397" s="596"/>
      <c r="F397" s="565"/>
      <c r="G397" s="600"/>
      <c r="H397" s="602"/>
      <c r="I397" s="565"/>
      <c r="J397" s="565"/>
      <c r="K397" s="466"/>
      <c r="L397" s="459"/>
      <c r="M397" s="460"/>
      <c r="N397" s="459"/>
      <c r="O397" s="261"/>
      <c r="P397" s="565"/>
      <c r="Q397" s="565"/>
      <c r="R397" s="467"/>
    </row>
    <row r="398" spans="1:18" s="438" customFormat="1" outlineLevel="1">
      <c r="A398" s="569"/>
      <c r="B398" s="598"/>
      <c r="C398" s="589"/>
      <c r="D398" s="565"/>
      <c r="E398" s="596"/>
      <c r="F398" s="565"/>
      <c r="G398" s="600"/>
      <c r="H398" s="602"/>
      <c r="I398" s="565"/>
      <c r="J398" s="565"/>
      <c r="K398" s="466"/>
      <c r="L398" s="459"/>
      <c r="M398" s="460"/>
      <c r="N398" s="459"/>
      <c r="O398" s="261"/>
      <c r="P398" s="565"/>
      <c r="Q398" s="565"/>
      <c r="R398" s="467"/>
    </row>
    <row r="399" spans="1:18" s="438" customFormat="1" outlineLevel="1">
      <c r="A399" s="569"/>
      <c r="B399" s="598"/>
      <c r="C399" s="589"/>
      <c r="D399" s="565"/>
      <c r="E399" s="596"/>
      <c r="F399" s="565"/>
      <c r="G399" s="600"/>
      <c r="H399" s="602"/>
      <c r="I399" s="565"/>
      <c r="J399" s="565"/>
      <c r="K399" s="466"/>
      <c r="L399" s="459"/>
      <c r="M399" s="460"/>
      <c r="N399" s="459"/>
      <c r="O399" s="261"/>
      <c r="P399" s="565"/>
      <c r="Q399" s="565"/>
      <c r="R399" s="467"/>
    </row>
    <row r="400" spans="1:18" s="438" customFormat="1" outlineLevel="1">
      <c r="A400" s="569"/>
      <c r="B400" s="598"/>
      <c r="C400" s="589"/>
      <c r="D400" s="565"/>
      <c r="E400" s="596"/>
      <c r="F400" s="565"/>
      <c r="G400" s="600"/>
      <c r="H400" s="602"/>
      <c r="I400" s="565"/>
      <c r="J400" s="565"/>
      <c r="K400" s="466"/>
      <c r="L400" s="459"/>
      <c r="M400" s="460"/>
      <c r="N400" s="459"/>
      <c r="O400" s="261"/>
      <c r="P400" s="565"/>
      <c r="Q400" s="565"/>
      <c r="R400" s="467"/>
    </row>
    <row r="401" spans="1:18" s="438" customFormat="1" outlineLevel="1">
      <c r="A401" s="569"/>
      <c r="B401" s="598"/>
      <c r="C401" s="589"/>
      <c r="D401" s="565"/>
      <c r="E401" s="596"/>
      <c r="F401" s="565"/>
      <c r="G401" s="600"/>
      <c r="H401" s="602"/>
      <c r="I401" s="565"/>
      <c r="J401" s="565"/>
      <c r="K401" s="466"/>
      <c r="L401" s="459"/>
      <c r="M401" s="460"/>
      <c r="N401" s="459"/>
      <c r="O401" s="261"/>
      <c r="P401" s="565"/>
      <c r="Q401" s="565"/>
      <c r="R401" s="467"/>
    </row>
    <row r="402" spans="1:18" s="438" customFormat="1" outlineLevel="1">
      <c r="A402" s="569"/>
      <c r="B402" s="598"/>
      <c r="C402" s="589"/>
      <c r="D402" s="565"/>
      <c r="E402" s="596"/>
      <c r="F402" s="565"/>
      <c r="G402" s="600"/>
      <c r="H402" s="602"/>
      <c r="I402" s="565"/>
      <c r="J402" s="565"/>
      <c r="K402" s="466"/>
      <c r="L402" s="459"/>
      <c r="M402" s="460"/>
      <c r="N402" s="459"/>
      <c r="O402" s="261"/>
      <c r="P402" s="565"/>
      <c r="Q402" s="565"/>
      <c r="R402" s="467"/>
    </row>
    <row r="403" spans="1:18" s="438" customFormat="1" outlineLevel="1">
      <c r="A403" s="569"/>
      <c r="B403" s="598"/>
      <c r="C403" s="589"/>
      <c r="D403" s="565"/>
      <c r="E403" s="596"/>
      <c r="F403" s="565"/>
      <c r="G403" s="600"/>
      <c r="H403" s="602"/>
      <c r="I403" s="565"/>
      <c r="J403" s="565"/>
      <c r="K403" s="466"/>
      <c r="L403" s="459"/>
      <c r="M403" s="460"/>
      <c r="N403" s="459"/>
      <c r="O403" s="261"/>
      <c r="P403" s="565"/>
      <c r="Q403" s="565"/>
      <c r="R403" s="467"/>
    </row>
    <row r="404" spans="1:18" s="438" customFormat="1" outlineLevel="1">
      <c r="A404" s="570"/>
      <c r="B404" s="599"/>
      <c r="C404" s="590"/>
      <c r="D404" s="566"/>
      <c r="E404" s="596"/>
      <c r="F404" s="566"/>
      <c r="G404" s="601"/>
      <c r="H404" s="603"/>
      <c r="I404" s="566"/>
      <c r="J404" s="566"/>
      <c r="K404" s="466"/>
      <c r="L404" s="459"/>
      <c r="M404" s="460"/>
      <c r="N404" s="459"/>
      <c r="O404" s="261"/>
      <c r="P404" s="566"/>
      <c r="Q404" s="566"/>
      <c r="R404" s="467"/>
    </row>
    <row r="405" spans="1:18" s="438" customFormat="1" outlineLevel="1">
      <c r="A405" s="568"/>
      <c r="B405" s="572"/>
      <c r="C405" s="574"/>
      <c r="D405" s="578"/>
      <c r="E405" s="580"/>
      <c r="F405" s="578"/>
      <c r="G405" s="581"/>
      <c r="H405" s="577"/>
      <c r="I405" s="577"/>
      <c r="J405" s="577"/>
      <c r="K405" s="472"/>
      <c r="L405" s="480"/>
      <c r="M405" s="479"/>
      <c r="N405" s="476"/>
      <c r="O405" s="477"/>
      <c r="P405" s="577"/>
      <c r="Q405" s="594"/>
      <c r="R405" s="467"/>
    </row>
    <row r="406" spans="1:18" s="438" customFormat="1" outlineLevel="1">
      <c r="A406" s="569"/>
      <c r="B406" s="598"/>
      <c r="C406" s="589"/>
      <c r="D406" s="565"/>
      <c r="E406" s="596"/>
      <c r="F406" s="565"/>
      <c r="G406" s="600"/>
      <c r="H406" s="602"/>
      <c r="I406" s="565"/>
      <c r="J406" s="565"/>
      <c r="K406" s="466"/>
      <c r="L406" s="480"/>
      <c r="M406" s="479"/>
      <c r="N406" s="479"/>
      <c r="O406" s="261"/>
      <c r="P406" s="565"/>
      <c r="Q406" s="565"/>
      <c r="R406" s="467"/>
    </row>
    <row r="407" spans="1:18" s="438" customFormat="1" outlineLevel="1">
      <c r="A407" s="569"/>
      <c r="B407" s="598"/>
      <c r="C407" s="589"/>
      <c r="D407" s="565"/>
      <c r="E407" s="596"/>
      <c r="F407" s="565"/>
      <c r="G407" s="600"/>
      <c r="H407" s="602"/>
      <c r="I407" s="565"/>
      <c r="J407" s="565"/>
      <c r="K407" s="466"/>
      <c r="L407" s="480"/>
      <c r="M407" s="479"/>
      <c r="N407" s="479"/>
      <c r="O407" s="261"/>
      <c r="P407" s="565"/>
      <c r="Q407" s="565"/>
      <c r="R407" s="467"/>
    </row>
    <row r="408" spans="1:18" s="438" customFormat="1" outlineLevel="1">
      <c r="A408" s="569"/>
      <c r="B408" s="598"/>
      <c r="C408" s="589"/>
      <c r="D408" s="565"/>
      <c r="E408" s="596"/>
      <c r="F408" s="565"/>
      <c r="G408" s="600"/>
      <c r="H408" s="602"/>
      <c r="I408" s="565"/>
      <c r="J408" s="565"/>
      <c r="K408" s="466"/>
      <c r="L408" s="480"/>
      <c r="M408" s="479"/>
      <c r="N408" s="479"/>
      <c r="O408" s="261"/>
      <c r="P408" s="565"/>
      <c r="Q408" s="565"/>
      <c r="R408" s="467"/>
    </row>
    <row r="409" spans="1:18" s="438" customFormat="1" outlineLevel="1">
      <c r="A409" s="569"/>
      <c r="B409" s="598"/>
      <c r="C409" s="589"/>
      <c r="D409" s="565"/>
      <c r="E409" s="596"/>
      <c r="F409" s="565"/>
      <c r="G409" s="600"/>
      <c r="H409" s="602"/>
      <c r="I409" s="565"/>
      <c r="J409" s="565"/>
      <c r="K409" s="466"/>
      <c r="L409" s="480"/>
      <c r="M409" s="479"/>
      <c r="N409" s="479"/>
      <c r="O409" s="261"/>
      <c r="P409" s="565"/>
      <c r="Q409" s="565"/>
      <c r="R409" s="467"/>
    </row>
    <row r="410" spans="1:18" s="438" customFormat="1" outlineLevel="1">
      <c r="A410" s="569"/>
      <c r="B410" s="598"/>
      <c r="C410" s="589"/>
      <c r="D410" s="565"/>
      <c r="E410" s="596"/>
      <c r="F410" s="565"/>
      <c r="G410" s="600"/>
      <c r="H410" s="602"/>
      <c r="I410" s="565"/>
      <c r="J410" s="565"/>
      <c r="K410" s="466"/>
      <c r="L410" s="480"/>
      <c r="M410" s="479"/>
      <c r="N410" s="479"/>
      <c r="O410" s="261"/>
      <c r="P410" s="565"/>
      <c r="Q410" s="565"/>
      <c r="R410" s="467"/>
    </row>
    <row r="411" spans="1:18" s="438" customFormat="1" outlineLevel="1">
      <c r="A411" s="569"/>
      <c r="B411" s="598"/>
      <c r="C411" s="589"/>
      <c r="D411" s="565"/>
      <c r="E411" s="596"/>
      <c r="F411" s="565"/>
      <c r="G411" s="600"/>
      <c r="H411" s="602"/>
      <c r="I411" s="565"/>
      <c r="J411" s="565"/>
      <c r="K411" s="466"/>
      <c r="L411" s="480"/>
      <c r="M411" s="479"/>
      <c r="N411" s="479"/>
      <c r="O411" s="261"/>
      <c r="P411" s="565"/>
      <c r="Q411" s="565"/>
      <c r="R411" s="467"/>
    </row>
    <row r="412" spans="1:18" s="438" customFormat="1" outlineLevel="1">
      <c r="A412" s="569"/>
      <c r="B412" s="598"/>
      <c r="C412" s="589"/>
      <c r="D412" s="565"/>
      <c r="E412" s="596"/>
      <c r="F412" s="565"/>
      <c r="G412" s="600"/>
      <c r="H412" s="602"/>
      <c r="I412" s="565"/>
      <c r="J412" s="565"/>
      <c r="K412" s="466"/>
      <c r="L412" s="459"/>
      <c r="M412" s="460"/>
      <c r="N412" s="459"/>
      <c r="O412" s="261"/>
      <c r="P412" s="565"/>
      <c r="Q412" s="565"/>
      <c r="R412" s="467"/>
    </row>
    <row r="413" spans="1:18" s="438" customFormat="1" outlineLevel="1">
      <c r="A413" s="569"/>
      <c r="B413" s="598"/>
      <c r="C413" s="589"/>
      <c r="D413" s="565"/>
      <c r="E413" s="596"/>
      <c r="F413" s="565"/>
      <c r="G413" s="600"/>
      <c r="H413" s="602"/>
      <c r="I413" s="565"/>
      <c r="J413" s="565"/>
      <c r="K413" s="466"/>
      <c r="L413" s="459"/>
      <c r="M413" s="460"/>
      <c r="N413" s="459"/>
      <c r="O413" s="261"/>
      <c r="P413" s="565"/>
      <c r="Q413" s="565"/>
      <c r="R413" s="467"/>
    </row>
    <row r="414" spans="1:18" s="438" customFormat="1" outlineLevel="1">
      <c r="A414" s="569"/>
      <c r="B414" s="598"/>
      <c r="C414" s="589"/>
      <c r="D414" s="565"/>
      <c r="E414" s="596"/>
      <c r="F414" s="565"/>
      <c r="G414" s="600"/>
      <c r="H414" s="602"/>
      <c r="I414" s="565"/>
      <c r="J414" s="565"/>
      <c r="K414" s="466"/>
      <c r="L414" s="459"/>
      <c r="M414" s="460"/>
      <c r="N414" s="459"/>
      <c r="O414" s="261"/>
      <c r="P414" s="565"/>
      <c r="Q414" s="565"/>
      <c r="R414" s="467"/>
    </row>
    <row r="415" spans="1:18" s="438" customFormat="1" outlineLevel="1">
      <c r="A415" s="569"/>
      <c r="B415" s="598"/>
      <c r="C415" s="589"/>
      <c r="D415" s="565"/>
      <c r="E415" s="596"/>
      <c r="F415" s="565"/>
      <c r="G415" s="600"/>
      <c r="H415" s="602"/>
      <c r="I415" s="565"/>
      <c r="J415" s="565"/>
      <c r="K415" s="466"/>
      <c r="L415" s="459"/>
      <c r="M415" s="460"/>
      <c r="N415" s="459"/>
      <c r="O415" s="261"/>
      <c r="P415" s="565"/>
      <c r="Q415" s="565"/>
      <c r="R415" s="467"/>
    </row>
    <row r="416" spans="1:18" s="438" customFormat="1" outlineLevel="1">
      <c r="A416" s="569"/>
      <c r="B416" s="598"/>
      <c r="C416" s="589"/>
      <c r="D416" s="565"/>
      <c r="E416" s="596"/>
      <c r="F416" s="565"/>
      <c r="G416" s="600"/>
      <c r="H416" s="602"/>
      <c r="I416" s="565"/>
      <c r="J416" s="565"/>
      <c r="K416" s="466"/>
      <c r="L416" s="459"/>
      <c r="M416" s="460"/>
      <c r="N416" s="459"/>
      <c r="O416" s="261"/>
      <c r="P416" s="565"/>
      <c r="Q416" s="565"/>
      <c r="R416" s="467"/>
    </row>
    <row r="417" spans="1:18" s="438" customFormat="1" outlineLevel="1">
      <c r="A417" s="569"/>
      <c r="B417" s="598"/>
      <c r="C417" s="589"/>
      <c r="D417" s="565"/>
      <c r="E417" s="596"/>
      <c r="F417" s="565"/>
      <c r="G417" s="600"/>
      <c r="H417" s="602"/>
      <c r="I417" s="565"/>
      <c r="J417" s="565"/>
      <c r="K417" s="466"/>
      <c r="L417" s="459"/>
      <c r="M417" s="460"/>
      <c r="N417" s="459"/>
      <c r="O417" s="261"/>
      <c r="P417" s="565"/>
      <c r="Q417" s="565"/>
      <c r="R417" s="467"/>
    </row>
    <row r="418" spans="1:18" s="438" customFormat="1" outlineLevel="1">
      <c r="A418" s="569"/>
      <c r="B418" s="598"/>
      <c r="C418" s="589"/>
      <c r="D418" s="565"/>
      <c r="E418" s="596"/>
      <c r="F418" s="565"/>
      <c r="G418" s="600"/>
      <c r="H418" s="602"/>
      <c r="I418" s="565"/>
      <c r="J418" s="565"/>
      <c r="K418" s="466"/>
      <c r="L418" s="459"/>
      <c r="M418" s="460"/>
      <c r="N418" s="459"/>
      <c r="O418" s="261"/>
      <c r="P418" s="565"/>
      <c r="Q418" s="565"/>
      <c r="R418" s="467"/>
    </row>
    <row r="419" spans="1:18" s="438" customFormat="1" outlineLevel="1">
      <c r="A419" s="569"/>
      <c r="B419" s="598"/>
      <c r="C419" s="589"/>
      <c r="D419" s="565"/>
      <c r="E419" s="596"/>
      <c r="F419" s="565"/>
      <c r="G419" s="600"/>
      <c r="H419" s="602"/>
      <c r="I419" s="565"/>
      <c r="J419" s="565"/>
      <c r="K419" s="466"/>
      <c r="L419" s="459"/>
      <c r="M419" s="460"/>
      <c r="N419" s="459"/>
      <c r="O419" s="261"/>
      <c r="P419" s="565"/>
      <c r="Q419" s="565"/>
      <c r="R419" s="467"/>
    </row>
    <row r="420" spans="1:18" s="438" customFormat="1" outlineLevel="1">
      <c r="A420" s="570"/>
      <c r="B420" s="599"/>
      <c r="C420" s="590"/>
      <c r="D420" s="566"/>
      <c r="E420" s="596"/>
      <c r="F420" s="566"/>
      <c r="G420" s="601"/>
      <c r="H420" s="603"/>
      <c r="I420" s="566"/>
      <c r="J420" s="566"/>
      <c r="K420" s="466"/>
      <c r="L420" s="459"/>
      <c r="M420" s="460"/>
      <c r="N420" s="459"/>
      <c r="O420" s="261"/>
      <c r="P420" s="566"/>
      <c r="Q420" s="566"/>
      <c r="R420" s="467"/>
    </row>
    <row r="421" spans="1:18" s="438" customFormat="1" outlineLevel="1">
      <c r="A421" s="568"/>
      <c r="B421" s="572"/>
      <c r="C421" s="574"/>
      <c r="D421" s="578"/>
      <c r="E421" s="580"/>
      <c r="F421" s="578"/>
      <c r="G421" s="581"/>
      <c r="H421" s="577"/>
      <c r="I421" s="577"/>
      <c r="J421" s="577"/>
      <c r="K421" s="472"/>
      <c r="L421" s="480"/>
      <c r="M421" s="479"/>
      <c r="N421" s="476"/>
      <c r="O421" s="477"/>
      <c r="P421" s="577"/>
      <c r="Q421" s="594"/>
      <c r="R421" s="467"/>
    </row>
    <row r="422" spans="1:18" s="438" customFormat="1" outlineLevel="1">
      <c r="A422" s="569"/>
      <c r="B422" s="598"/>
      <c r="C422" s="589"/>
      <c r="D422" s="565"/>
      <c r="E422" s="596"/>
      <c r="F422" s="565"/>
      <c r="G422" s="600"/>
      <c r="H422" s="602"/>
      <c r="I422" s="565"/>
      <c r="J422" s="565"/>
      <c r="K422" s="466"/>
      <c r="L422" s="480"/>
      <c r="M422" s="479"/>
      <c r="N422" s="479"/>
      <c r="O422" s="261"/>
      <c r="P422" s="565"/>
      <c r="Q422" s="565"/>
      <c r="R422" s="467"/>
    </row>
    <row r="423" spans="1:18" s="438" customFormat="1" outlineLevel="1">
      <c r="A423" s="569"/>
      <c r="B423" s="598"/>
      <c r="C423" s="589"/>
      <c r="D423" s="565"/>
      <c r="E423" s="596"/>
      <c r="F423" s="565"/>
      <c r="G423" s="600"/>
      <c r="H423" s="602"/>
      <c r="I423" s="565"/>
      <c r="J423" s="565"/>
      <c r="K423" s="466"/>
      <c r="L423" s="480"/>
      <c r="M423" s="479"/>
      <c r="N423" s="479"/>
      <c r="O423" s="261"/>
      <c r="P423" s="565"/>
      <c r="Q423" s="565"/>
      <c r="R423" s="467"/>
    </row>
    <row r="424" spans="1:18" s="438" customFormat="1" outlineLevel="1">
      <c r="A424" s="569"/>
      <c r="B424" s="598"/>
      <c r="C424" s="589"/>
      <c r="D424" s="565"/>
      <c r="E424" s="596"/>
      <c r="F424" s="565"/>
      <c r="G424" s="600"/>
      <c r="H424" s="602"/>
      <c r="I424" s="565"/>
      <c r="J424" s="565"/>
      <c r="K424" s="466"/>
      <c r="L424" s="480"/>
      <c r="M424" s="479"/>
      <c r="N424" s="479"/>
      <c r="O424" s="261"/>
      <c r="P424" s="565"/>
      <c r="Q424" s="565"/>
      <c r="R424" s="467"/>
    </row>
    <row r="425" spans="1:18" s="438" customFormat="1" outlineLevel="1">
      <c r="A425" s="569"/>
      <c r="B425" s="598"/>
      <c r="C425" s="589"/>
      <c r="D425" s="565"/>
      <c r="E425" s="596"/>
      <c r="F425" s="565"/>
      <c r="G425" s="600"/>
      <c r="H425" s="602"/>
      <c r="I425" s="565"/>
      <c r="J425" s="565"/>
      <c r="K425" s="466"/>
      <c r="L425" s="480"/>
      <c r="M425" s="479"/>
      <c r="N425" s="479"/>
      <c r="O425" s="261"/>
      <c r="P425" s="565"/>
      <c r="Q425" s="565"/>
      <c r="R425" s="467"/>
    </row>
    <row r="426" spans="1:18" s="438" customFormat="1" outlineLevel="1">
      <c r="A426" s="569"/>
      <c r="B426" s="598"/>
      <c r="C426" s="589"/>
      <c r="D426" s="565"/>
      <c r="E426" s="596"/>
      <c r="F426" s="565"/>
      <c r="G426" s="600"/>
      <c r="H426" s="602"/>
      <c r="I426" s="565"/>
      <c r="J426" s="565"/>
      <c r="K426" s="466"/>
      <c r="L426" s="480"/>
      <c r="M426" s="479"/>
      <c r="N426" s="479"/>
      <c r="O426" s="261"/>
      <c r="P426" s="565"/>
      <c r="Q426" s="565"/>
      <c r="R426" s="467"/>
    </row>
    <row r="427" spans="1:18" s="438" customFormat="1" outlineLevel="1">
      <c r="A427" s="569"/>
      <c r="B427" s="598"/>
      <c r="C427" s="589"/>
      <c r="D427" s="565"/>
      <c r="E427" s="596"/>
      <c r="F427" s="565"/>
      <c r="G427" s="600"/>
      <c r="H427" s="602"/>
      <c r="I427" s="565"/>
      <c r="J427" s="565"/>
      <c r="K427" s="466"/>
      <c r="L427" s="480"/>
      <c r="M427" s="479"/>
      <c r="N427" s="479"/>
      <c r="O427" s="261"/>
      <c r="P427" s="565"/>
      <c r="Q427" s="565"/>
      <c r="R427" s="467"/>
    </row>
    <row r="428" spans="1:18" s="438" customFormat="1" outlineLevel="1">
      <c r="A428" s="569"/>
      <c r="B428" s="598"/>
      <c r="C428" s="589"/>
      <c r="D428" s="565"/>
      <c r="E428" s="596"/>
      <c r="F428" s="565"/>
      <c r="G428" s="600"/>
      <c r="H428" s="602"/>
      <c r="I428" s="565"/>
      <c r="J428" s="565"/>
      <c r="K428" s="466"/>
      <c r="L428" s="459"/>
      <c r="M428" s="460"/>
      <c r="N428" s="459"/>
      <c r="O428" s="261"/>
      <c r="P428" s="565"/>
      <c r="Q428" s="565"/>
      <c r="R428" s="467"/>
    </row>
    <row r="429" spans="1:18" s="438" customFormat="1" outlineLevel="1">
      <c r="A429" s="569"/>
      <c r="B429" s="598"/>
      <c r="C429" s="589"/>
      <c r="D429" s="565"/>
      <c r="E429" s="596"/>
      <c r="F429" s="565"/>
      <c r="G429" s="600"/>
      <c r="H429" s="602"/>
      <c r="I429" s="565"/>
      <c r="J429" s="565"/>
      <c r="K429" s="466"/>
      <c r="L429" s="459"/>
      <c r="M429" s="460"/>
      <c r="N429" s="459"/>
      <c r="O429" s="261"/>
      <c r="P429" s="565"/>
      <c r="Q429" s="565"/>
      <c r="R429" s="467"/>
    </row>
    <row r="430" spans="1:18" s="438" customFormat="1" outlineLevel="1">
      <c r="A430" s="569"/>
      <c r="B430" s="598"/>
      <c r="C430" s="589"/>
      <c r="D430" s="565"/>
      <c r="E430" s="596"/>
      <c r="F430" s="565"/>
      <c r="G430" s="600"/>
      <c r="H430" s="602"/>
      <c r="I430" s="565"/>
      <c r="J430" s="565"/>
      <c r="K430" s="466"/>
      <c r="L430" s="459"/>
      <c r="M430" s="460"/>
      <c r="N430" s="459"/>
      <c r="O430" s="261"/>
      <c r="P430" s="565"/>
      <c r="Q430" s="565"/>
      <c r="R430" s="467"/>
    </row>
    <row r="431" spans="1:18" s="438" customFormat="1" outlineLevel="1">
      <c r="A431" s="569"/>
      <c r="B431" s="598"/>
      <c r="C431" s="589"/>
      <c r="D431" s="565"/>
      <c r="E431" s="596"/>
      <c r="F431" s="565"/>
      <c r="G431" s="600"/>
      <c r="H431" s="602"/>
      <c r="I431" s="565"/>
      <c r="J431" s="565"/>
      <c r="K431" s="466"/>
      <c r="L431" s="459"/>
      <c r="M431" s="460"/>
      <c r="N431" s="459"/>
      <c r="O431" s="261"/>
      <c r="P431" s="565"/>
      <c r="Q431" s="565"/>
      <c r="R431" s="467"/>
    </row>
    <row r="432" spans="1:18" s="438" customFormat="1" outlineLevel="1">
      <c r="A432" s="569"/>
      <c r="B432" s="598"/>
      <c r="C432" s="589"/>
      <c r="D432" s="565"/>
      <c r="E432" s="596"/>
      <c r="F432" s="565"/>
      <c r="G432" s="600"/>
      <c r="H432" s="602"/>
      <c r="I432" s="565"/>
      <c r="J432" s="565"/>
      <c r="K432" s="466"/>
      <c r="L432" s="459"/>
      <c r="M432" s="460"/>
      <c r="N432" s="459"/>
      <c r="O432" s="261"/>
      <c r="P432" s="565"/>
      <c r="Q432" s="565"/>
      <c r="R432" s="467"/>
    </row>
    <row r="433" spans="1:18" s="438" customFormat="1" outlineLevel="1">
      <c r="A433" s="569"/>
      <c r="B433" s="598"/>
      <c r="C433" s="589"/>
      <c r="D433" s="565"/>
      <c r="E433" s="596"/>
      <c r="F433" s="565"/>
      <c r="G433" s="600"/>
      <c r="H433" s="602"/>
      <c r="I433" s="565"/>
      <c r="J433" s="565"/>
      <c r="K433" s="466"/>
      <c r="L433" s="459"/>
      <c r="M433" s="460"/>
      <c r="N433" s="459"/>
      <c r="O433" s="261"/>
      <c r="P433" s="565"/>
      <c r="Q433" s="565"/>
      <c r="R433" s="467"/>
    </row>
    <row r="434" spans="1:18" s="438" customFormat="1" outlineLevel="1">
      <c r="A434" s="569"/>
      <c r="B434" s="598"/>
      <c r="C434" s="589"/>
      <c r="D434" s="565"/>
      <c r="E434" s="596"/>
      <c r="F434" s="565"/>
      <c r="G434" s="600"/>
      <c r="H434" s="602"/>
      <c r="I434" s="565"/>
      <c r="J434" s="565"/>
      <c r="K434" s="466"/>
      <c r="L434" s="459"/>
      <c r="M434" s="460"/>
      <c r="N434" s="459"/>
      <c r="O434" s="261"/>
      <c r="P434" s="565"/>
      <c r="Q434" s="565"/>
      <c r="R434" s="467"/>
    </row>
    <row r="435" spans="1:18" s="438" customFormat="1" outlineLevel="1">
      <c r="A435" s="569"/>
      <c r="B435" s="598"/>
      <c r="C435" s="589"/>
      <c r="D435" s="565"/>
      <c r="E435" s="596"/>
      <c r="F435" s="565"/>
      <c r="G435" s="600"/>
      <c r="H435" s="602"/>
      <c r="I435" s="565"/>
      <c r="J435" s="565"/>
      <c r="K435" s="466"/>
      <c r="L435" s="459"/>
      <c r="M435" s="460"/>
      <c r="N435" s="459"/>
      <c r="O435" s="261"/>
      <c r="P435" s="565"/>
      <c r="Q435" s="565"/>
      <c r="R435" s="467"/>
    </row>
    <row r="436" spans="1:18" s="438" customFormat="1" outlineLevel="1">
      <c r="A436" s="570"/>
      <c r="B436" s="599"/>
      <c r="C436" s="590"/>
      <c r="D436" s="566"/>
      <c r="E436" s="596"/>
      <c r="F436" s="566"/>
      <c r="G436" s="601"/>
      <c r="H436" s="603"/>
      <c r="I436" s="566"/>
      <c r="J436" s="566"/>
      <c r="K436" s="466"/>
      <c r="L436" s="459"/>
      <c r="M436" s="460"/>
      <c r="N436" s="459"/>
      <c r="O436" s="261"/>
      <c r="P436" s="566"/>
      <c r="Q436" s="566"/>
      <c r="R436" s="467"/>
    </row>
    <row r="437" spans="1:18" s="438" customFormat="1" outlineLevel="1">
      <c r="A437" s="568"/>
      <c r="B437" s="572"/>
      <c r="C437" s="574"/>
      <c r="D437" s="578"/>
      <c r="E437" s="580"/>
      <c r="F437" s="578"/>
      <c r="G437" s="581"/>
      <c r="H437" s="577"/>
      <c r="I437" s="577"/>
      <c r="J437" s="577"/>
      <c r="K437" s="472"/>
      <c r="L437" s="480"/>
      <c r="M437" s="479"/>
      <c r="N437" s="476"/>
      <c r="O437" s="477"/>
      <c r="P437" s="577"/>
      <c r="Q437" s="594"/>
      <c r="R437" s="467"/>
    </row>
    <row r="438" spans="1:18" s="438" customFormat="1" outlineLevel="1">
      <c r="A438" s="569"/>
      <c r="B438" s="598"/>
      <c r="C438" s="589"/>
      <c r="D438" s="565"/>
      <c r="E438" s="596"/>
      <c r="F438" s="565"/>
      <c r="G438" s="600"/>
      <c r="H438" s="602"/>
      <c r="I438" s="565"/>
      <c r="J438" s="565"/>
      <c r="K438" s="466"/>
      <c r="L438" s="480"/>
      <c r="M438" s="479"/>
      <c r="N438" s="479"/>
      <c r="O438" s="261"/>
      <c r="P438" s="565"/>
      <c r="Q438" s="565"/>
      <c r="R438" s="467"/>
    </row>
    <row r="439" spans="1:18" s="438" customFormat="1" outlineLevel="1">
      <c r="A439" s="569"/>
      <c r="B439" s="598"/>
      <c r="C439" s="589"/>
      <c r="D439" s="565"/>
      <c r="E439" s="596"/>
      <c r="F439" s="565"/>
      <c r="G439" s="600"/>
      <c r="H439" s="602"/>
      <c r="I439" s="565"/>
      <c r="J439" s="565"/>
      <c r="K439" s="466"/>
      <c r="L439" s="480"/>
      <c r="M439" s="479"/>
      <c r="N439" s="479"/>
      <c r="O439" s="261"/>
      <c r="P439" s="565"/>
      <c r="Q439" s="565"/>
      <c r="R439" s="467"/>
    </row>
    <row r="440" spans="1:18" s="438" customFormat="1" outlineLevel="1">
      <c r="A440" s="569"/>
      <c r="B440" s="598"/>
      <c r="C440" s="589"/>
      <c r="D440" s="565"/>
      <c r="E440" s="596"/>
      <c r="F440" s="565"/>
      <c r="G440" s="600"/>
      <c r="H440" s="602"/>
      <c r="I440" s="565"/>
      <c r="J440" s="565"/>
      <c r="K440" s="466"/>
      <c r="L440" s="480"/>
      <c r="M440" s="479"/>
      <c r="N440" s="479"/>
      <c r="O440" s="261"/>
      <c r="P440" s="565"/>
      <c r="Q440" s="565"/>
      <c r="R440" s="467"/>
    </row>
    <row r="441" spans="1:18" s="438" customFormat="1" outlineLevel="1">
      <c r="A441" s="569"/>
      <c r="B441" s="598"/>
      <c r="C441" s="589"/>
      <c r="D441" s="565"/>
      <c r="E441" s="596"/>
      <c r="F441" s="565"/>
      <c r="G441" s="600"/>
      <c r="H441" s="602"/>
      <c r="I441" s="565"/>
      <c r="J441" s="565"/>
      <c r="K441" s="466"/>
      <c r="L441" s="480"/>
      <c r="M441" s="479"/>
      <c r="N441" s="479"/>
      <c r="O441" s="261"/>
      <c r="P441" s="565"/>
      <c r="Q441" s="565"/>
      <c r="R441" s="467"/>
    </row>
    <row r="442" spans="1:18" s="438" customFormat="1" outlineLevel="1">
      <c r="A442" s="569"/>
      <c r="B442" s="598"/>
      <c r="C442" s="589"/>
      <c r="D442" s="565"/>
      <c r="E442" s="596"/>
      <c r="F442" s="565"/>
      <c r="G442" s="600"/>
      <c r="H442" s="602"/>
      <c r="I442" s="565"/>
      <c r="J442" s="565"/>
      <c r="K442" s="466"/>
      <c r="L442" s="459"/>
      <c r="M442" s="460"/>
      <c r="N442" s="459"/>
      <c r="O442" s="261"/>
      <c r="P442" s="565"/>
      <c r="Q442" s="565"/>
      <c r="R442" s="467"/>
    </row>
    <row r="443" spans="1:18" s="438" customFormat="1" outlineLevel="1">
      <c r="A443" s="569"/>
      <c r="B443" s="598"/>
      <c r="C443" s="589"/>
      <c r="D443" s="565"/>
      <c r="E443" s="596"/>
      <c r="F443" s="565"/>
      <c r="G443" s="600"/>
      <c r="H443" s="602"/>
      <c r="I443" s="565"/>
      <c r="J443" s="565"/>
      <c r="K443" s="466"/>
      <c r="L443" s="459"/>
      <c r="M443" s="460"/>
      <c r="N443" s="459"/>
      <c r="O443" s="261"/>
      <c r="P443" s="565"/>
      <c r="Q443" s="565"/>
      <c r="R443" s="467"/>
    </row>
    <row r="444" spans="1:18" s="438" customFormat="1" outlineLevel="1">
      <c r="A444" s="569"/>
      <c r="B444" s="598"/>
      <c r="C444" s="589"/>
      <c r="D444" s="565"/>
      <c r="E444" s="596"/>
      <c r="F444" s="565"/>
      <c r="G444" s="600"/>
      <c r="H444" s="602"/>
      <c r="I444" s="565"/>
      <c r="J444" s="565"/>
      <c r="K444" s="466"/>
      <c r="L444" s="459"/>
      <c r="M444" s="460"/>
      <c r="N444" s="459"/>
      <c r="O444" s="261"/>
      <c r="P444" s="565"/>
      <c r="Q444" s="565"/>
      <c r="R444" s="467"/>
    </row>
    <row r="445" spans="1:18" s="438" customFormat="1" outlineLevel="1">
      <c r="A445" s="569"/>
      <c r="B445" s="598"/>
      <c r="C445" s="589"/>
      <c r="D445" s="565"/>
      <c r="E445" s="596"/>
      <c r="F445" s="565"/>
      <c r="G445" s="600"/>
      <c r="H445" s="602"/>
      <c r="I445" s="565"/>
      <c r="J445" s="565"/>
      <c r="K445" s="466"/>
      <c r="L445" s="459"/>
      <c r="M445" s="460"/>
      <c r="N445" s="459"/>
      <c r="O445" s="261"/>
      <c r="P445" s="565"/>
      <c r="Q445" s="565"/>
      <c r="R445" s="467"/>
    </row>
    <row r="446" spans="1:18" s="438" customFormat="1" outlineLevel="1">
      <c r="A446" s="569"/>
      <c r="B446" s="598"/>
      <c r="C446" s="589"/>
      <c r="D446" s="565"/>
      <c r="E446" s="596"/>
      <c r="F446" s="565"/>
      <c r="G446" s="600"/>
      <c r="H446" s="602"/>
      <c r="I446" s="565"/>
      <c r="J446" s="565"/>
      <c r="K446" s="466"/>
      <c r="L446" s="459"/>
      <c r="M446" s="460"/>
      <c r="N446" s="459"/>
      <c r="O446" s="261"/>
      <c r="P446" s="565"/>
      <c r="Q446" s="565"/>
      <c r="R446" s="467"/>
    </row>
    <row r="447" spans="1:18" s="438" customFormat="1" outlineLevel="1">
      <c r="A447" s="569"/>
      <c r="B447" s="598"/>
      <c r="C447" s="589"/>
      <c r="D447" s="565"/>
      <c r="E447" s="596"/>
      <c r="F447" s="565"/>
      <c r="G447" s="600"/>
      <c r="H447" s="602"/>
      <c r="I447" s="565"/>
      <c r="J447" s="565"/>
      <c r="K447" s="466"/>
      <c r="L447" s="459"/>
      <c r="M447" s="460"/>
      <c r="N447" s="459"/>
      <c r="O447" s="261"/>
      <c r="P447" s="565"/>
      <c r="Q447" s="565"/>
      <c r="R447" s="467"/>
    </row>
    <row r="448" spans="1:18" s="438" customFormat="1" outlineLevel="1">
      <c r="A448" s="569"/>
      <c r="B448" s="598"/>
      <c r="C448" s="589"/>
      <c r="D448" s="565"/>
      <c r="E448" s="596"/>
      <c r="F448" s="565"/>
      <c r="G448" s="600"/>
      <c r="H448" s="602"/>
      <c r="I448" s="565"/>
      <c r="J448" s="565"/>
      <c r="K448" s="466"/>
      <c r="L448" s="459"/>
      <c r="M448" s="460"/>
      <c r="N448" s="459"/>
      <c r="O448" s="261"/>
      <c r="P448" s="565"/>
      <c r="Q448" s="565"/>
      <c r="R448" s="467"/>
    </row>
    <row r="449" spans="1:18" s="438" customFormat="1" outlineLevel="1">
      <c r="A449" s="569"/>
      <c r="B449" s="598"/>
      <c r="C449" s="589"/>
      <c r="D449" s="565"/>
      <c r="E449" s="596"/>
      <c r="F449" s="565"/>
      <c r="G449" s="600"/>
      <c r="H449" s="602"/>
      <c r="I449" s="565"/>
      <c r="J449" s="565"/>
      <c r="K449" s="466"/>
      <c r="L449" s="459"/>
      <c r="M449" s="460"/>
      <c r="N449" s="459"/>
      <c r="O449" s="261"/>
      <c r="P449" s="565"/>
      <c r="Q449" s="565"/>
      <c r="R449" s="467"/>
    </row>
    <row r="450" spans="1:18" s="438" customFormat="1" outlineLevel="1">
      <c r="A450" s="569"/>
      <c r="B450" s="598"/>
      <c r="C450" s="589"/>
      <c r="D450" s="565"/>
      <c r="E450" s="596"/>
      <c r="F450" s="565"/>
      <c r="G450" s="600"/>
      <c r="H450" s="602"/>
      <c r="I450" s="565"/>
      <c r="J450" s="565"/>
      <c r="K450" s="466"/>
      <c r="L450" s="459"/>
      <c r="M450" s="460"/>
      <c r="N450" s="459"/>
      <c r="O450" s="261"/>
      <c r="P450" s="565"/>
      <c r="Q450" s="565"/>
      <c r="R450" s="467"/>
    </row>
    <row r="451" spans="1:18" s="438" customFormat="1" outlineLevel="1">
      <c r="A451" s="569"/>
      <c r="B451" s="598"/>
      <c r="C451" s="589"/>
      <c r="D451" s="565"/>
      <c r="E451" s="596"/>
      <c r="F451" s="565"/>
      <c r="G451" s="600"/>
      <c r="H451" s="602"/>
      <c r="I451" s="565"/>
      <c r="J451" s="565"/>
      <c r="K451" s="466"/>
      <c r="L451" s="459"/>
      <c r="M451" s="460"/>
      <c r="N451" s="459"/>
      <c r="O451" s="261"/>
      <c r="P451" s="565"/>
      <c r="Q451" s="565"/>
      <c r="R451" s="467"/>
    </row>
    <row r="452" spans="1:18" s="438" customFormat="1" outlineLevel="1">
      <c r="A452" s="570"/>
      <c r="B452" s="599"/>
      <c r="C452" s="590"/>
      <c r="D452" s="566"/>
      <c r="E452" s="596"/>
      <c r="F452" s="566"/>
      <c r="G452" s="601"/>
      <c r="H452" s="603"/>
      <c r="I452" s="566"/>
      <c r="J452" s="566"/>
      <c r="K452" s="466"/>
      <c r="L452" s="459"/>
      <c r="M452" s="460"/>
      <c r="N452" s="459"/>
      <c r="O452" s="261"/>
      <c r="P452" s="566"/>
      <c r="Q452" s="566"/>
      <c r="R452" s="467"/>
    </row>
    <row r="453" spans="1:18" s="438" customFormat="1" outlineLevel="1">
      <c r="A453" s="568"/>
      <c r="B453" s="572"/>
      <c r="C453" s="574"/>
      <c r="D453" s="578"/>
      <c r="E453" s="580"/>
      <c r="F453" s="578"/>
      <c r="G453" s="581"/>
      <c r="H453" s="577"/>
      <c r="I453" s="577"/>
      <c r="J453" s="577"/>
      <c r="K453" s="472"/>
      <c r="L453" s="480"/>
      <c r="M453" s="479"/>
      <c r="N453" s="476"/>
      <c r="O453" s="477"/>
      <c r="P453" s="577"/>
      <c r="Q453" s="594"/>
      <c r="R453" s="467"/>
    </row>
    <row r="454" spans="1:18" s="438" customFormat="1" outlineLevel="1">
      <c r="A454" s="569"/>
      <c r="B454" s="598"/>
      <c r="C454" s="589"/>
      <c r="D454" s="565"/>
      <c r="E454" s="596"/>
      <c r="F454" s="565"/>
      <c r="G454" s="600"/>
      <c r="H454" s="602"/>
      <c r="I454" s="565"/>
      <c r="J454" s="565"/>
      <c r="K454" s="466"/>
      <c r="L454" s="459"/>
      <c r="M454" s="460"/>
      <c r="N454" s="459"/>
      <c r="O454" s="261"/>
      <c r="P454" s="565"/>
      <c r="Q454" s="565"/>
      <c r="R454" s="467"/>
    </row>
    <row r="455" spans="1:18" s="438" customFormat="1" outlineLevel="1">
      <c r="A455" s="569"/>
      <c r="B455" s="598"/>
      <c r="C455" s="589"/>
      <c r="D455" s="565"/>
      <c r="E455" s="596"/>
      <c r="F455" s="565"/>
      <c r="G455" s="600"/>
      <c r="H455" s="602"/>
      <c r="I455" s="565"/>
      <c r="J455" s="565"/>
      <c r="K455" s="466"/>
      <c r="L455" s="459"/>
      <c r="M455" s="460"/>
      <c r="N455" s="459"/>
      <c r="O455" s="261"/>
      <c r="P455" s="565"/>
      <c r="Q455" s="565"/>
      <c r="R455" s="467"/>
    </row>
    <row r="456" spans="1:18" s="438" customFormat="1" outlineLevel="1">
      <c r="A456" s="569"/>
      <c r="B456" s="598"/>
      <c r="C456" s="589"/>
      <c r="D456" s="565"/>
      <c r="E456" s="596"/>
      <c r="F456" s="565"/>
      <c r="G456" s="600"/>
      <c r="H456" s="602"/>
      <c r="I456" s="565"/>
      <c r="J456" s="565"/>
      <c r="K456" s="466"/>
      <c r="L456" s="459"/>
      <c r="M456" s="460"/>
      <c r="N456" s="459"/>
      <c r="O456" s="261"/>
      <c r="P456" s="565"/>
      <c r="Q456" s="565"/>
      <c r="R456" s="467"/>
    </row>
    <row r="457" spans="1:18" s="438" customFormat="1" outlineLevel="1">
      <c r="A457" s="569"/>
      <c r="B457" s="598"/>
      <c r="C457" s="589"/>
      <c r="D457" s="565"/>
      <c r="E457" s="596"/>
      <c r="F457" s="565"/>
      <c r="G457" s="600"/>
      <c r="H457" s="602"/>
      <c r="I457" s="565"/>
      <c r="J457" s="565"/>
      <c r="K457" s="466"/>
      <c r="L457" s="459"/>
      <c r="M457" s="460"/>
      <c r="N457" s="459"/>
      <c r="O457" s="261"/>
      <c r="P457" s="565"/>
      <c r="Q457" s="565"/>
      <c r="R457" s="467"/>
    </row>
    <row r="458" spans="1:18" s="438" customFormat="1" outlineLevel="1">
      <c r="A458" s="569"/>
      <c r="B458" s="598"/>
      <c r="C458" s="589"/>
      <c r="D458" s="565"/>
      <c r="E458" s="596"/>
      <c r="F458" s="565"/>
      <c r="G458" s="600"/>
      <c r="H458" s="602"/>
      <c r="I458" s="565"/>
      <c r="J458" s="565"/>
      <c r="K458" s="466"/>
      <c r="L458" s="459"/>
      <c r="M458" s="460"/>
      <c r="N458" s="459"/>
      <c r="O458" s="261"/>
      <c r="P458" s="565"/>
      <c r="Q458" s="565"/>
      <c r="R458" s="467"/>
    </row>
    <row r="459" spans="1:18" s="438" customFormat="1" outlineLevel="1">
      <c r="A459" s="569"/>
      <c r="B459" s="598"/>
      <c r="C459" s="589"/>
      <c r="D459" s="565"/>
      <c r="E459" s="596"/>
      <c r="F459" s="565"/>
      <c r="G459" s="600"/>
      <c r="H459" s="602"/>
      <c r="I459" s="565"/>
      <c r="J459" s="565"/>
      <c r="K459" s="466"/>
      <c r="L459" s="459"/>
      <c r="M459" s="460"/>
      <c r="N459" s="459"/>
      <c r="O459" s="261"/>
      <c r="P459" s="565"/>
      <c r="Q459" s="565"/>
      <c r="R459" s="467"/>
    </row>
    <row r="460" spans="1:18" s="438" customFormat="1" outlineLevel="1">
      <c r="A460" s="569"/>
      <c r="B460" s="598"/>
      <c r="C460" s="589"/>
      <c r="D460" s="565"/>
      <c r="E460" s="596"/>
      <c r="F460" s="565"/>
      <c r="G460" s="600"/>
      <c r="H460" s="602"/>
      <c r="I460" s="565"/>
      <c r="J460" s="565"/>
      <c r="K460" s="466"/>
      <c r="L460" s="459"/>
      <c r="M460" s="460"/>
      <c r="N460" s="459"/>
      <c r="O460" s="261"/>
      <c r="P460" s="565"/>
      <c r="Q460" s="565"/>
      <c r="R460" s="467"/>
    </row>
    <row r="461" spans="1:18" s="438" customFormat="1" outlineLevel="1">
      <c r="A461" s="569"/>
      <c r="B461" s="598"/>
      <c r="C461" s="589"/>
      <c r="D461" s="565"/>
      <c r="E461" s="596"/>
      <c r="F461" s="565"/>
      <c r="G461" s="600"/>
      <c r="H461" s="602"/>
      <c r="I461" s="565"/>
      <c r="J461" s="565"/>
      <c r="K461" s="466"/>
      <c r="L461" s="459"/>
      <c r="M461" s="460"/>
      <c r="N461" s="459"/>
      <c r="O461" s="261"/>
      <c r="P461" s="565"/>
      <c r="Q461" s="565"/>
      <c r="R461" s="467"/>
    </row>
    <row r="462" spans="1:18" s="438" customFormat="1" outlineLevel="1">
      <c r="A462" s="569"/>
      <c r="B462" s="598"/>
      <c r="C462" s="589"/>
      <c r="D462" s="565"/>
      <c r="E462" s="596"/>
      <c r="F462" s="565"/>
      <c r="G462" s="600"/>
      <c r="H462" s="602"/>
      <c r="I462" s="565"/>
      <c r="J462" s="565"/>
      <c r="K462" s="466"/>
      <c r="L462" s="459"/>
      <c r="M462" s="460"/>
      <c r="N462" s="459"/>
      <c r="O462" s="261"/>
      <c r="P462" s="565"/>
      <c r="Q462" s="565"/>
      <c r="R462" s="467"/>
    </row>
    <row r="463" spans="1:18" s="438" customFormat="1" outlineLevel="1">
      <c r="A463" s="569"/>
      <c r="B463" s="598"/>
      <c r="C463" s="589"/>
      <c r="D463" s="565"/>
      <c r="E463" s="596"/>
      <c r="F463" s="565"/>
      <c r="G463" s="600"/>
      <c r="H463" s="602"/>
      <c r="I463" s="565"/>
      <c r="J463" s="565"/>
      <c r="K463" s="466"/>
      <c r="L463" s="459"/>
      <c r="M463" s="460"/>
      <c r="N463" s="459"/>
      <c r="O463" s="261"/>
      <c r="P463" s="565"/>
      <c r="Q463" s="565"/>
      <c r="R463" s="467"/>
    </row>
    <row r="464" spans="1:18" s="438" customFormat="1" outlineLevel="1">
      <c r="A464" s="569"/>
      <c r="B464" s="598"/>
      <c r="C464" s="589"/>
      <c r="D464" s="565"/>
      <c r="E464" s="596"/>
      <c r="F464" s="565"/>
      <c r="G464" s="600"/>
      <c r="H464" s="602"/>
      <c r="I464" s="565"/>
      <c r="J464" s="565"/>
      <c r="K464" s="466"/>
      <c r="L464" s="459"/>
      <c r="M464" s="460"/>
      <c r="N464" s="459"/>
      <c r="O464" s="261"/>
      <c r="P464" s="565"/>
      <c r="Q464" s="565"/>
      <c r="R464" s="467"/>
    </row>
    <row r="465" spans="1:18" s="438" customFormat="1" outlineLevel="1">
      <c r="A465" s="569"/>
      <c r="B465" s="598"/>
      <c r="C465" s="589"/>
      <c r="D465" s="565"/>
      <c r="E465" s="596"/>
      <c r="F465" s="565"/>
      <c r="G465" s="600"/>
      <c r="H465" s="602"/>
      <c r="I465" s="565"/>
      <c r="J465" s="565"/>
      <c r="K465" s="466"/>
      <c r="L465" s="459"/>
      <c r="M465" s="460"/>
      <c r="N465" s="459"/>
      <c r="O465" s="261"/>
      <c r="P465" s="565"/>
      <c r="Q465" s="565"/>
      <c r="R465" s="467"/>
    </row>
    <row r="466" spans="1:18" s="438" customFormat="1" outlineLevel="1">
      <c r="A466" s="569"/>
      <c r="B466" s="598"/>
      <c r="C466" s="589"/>
      <c r="D466" s="565"/>
      <c r="E466" s="596"/>
      <c r="F466" s="565"/>
      <c r="G466" s="600"/>
      <c r="H466" s="602"/>
      <c r="I466" s="565"/>
      <c r="J466" s="565"/>
      <c r="K466" s="466"/>
      <c r="L466" s="459"/>
      <c r="M466" s="460"/>
      <c r="N466" s="459"/>
      <c r="O466" s="261"/>
      <c r="P466" s="565"/>
      <c r="Q466" s="565"/>
      <c r="R466" s="467"/>
    </row>
    <row r="467" spans="1:18" s="438" customFormat="1" outlineLevel="1">
      <c r="A467" s="569"/>
      <c r="B467" s="598"/>
      <c r="C467" s="589"/>
      <c r="D467" s="565"/>
      <c r="E467" s="596"/>
      <c r="F467" s="565"/>
      <c r="G467" s="600"/>
      <c r="H467" s="602"/>
      <c r="I467" s="565"/>
      <c r="J467" s="565"/>
      <c r="K467" s="466"/>
      <c r="L467" s="459"/>
      <c r="M467" s="460"/>
      <c r="N467" s="459"/>
      <c r="O467" s="261"/>
      <c r="P467" s="565"/>
      <c r="Q467" s="565"/>
      <c r="R467" s="467"/>
    </row>
    <row r="468" spans="1:18" s="438" customFormat="1" outlineLevel="1">
      <c r="A468" s="570"/>
      <c r="B468" s="599"/>
      <c r="C468" s="590"/>
      <c r="D468" s="566"/>
      <c r="E468" s="596"/>
      <c r="F468" s="566"/>
      <c r="G468" s="601"/>
      <c r="H468" s="603"/>
      <c r="I468" s="566"/>
      <c r="J468" s="566"/>
      <c r="K468" s="466"/>
      <c r="L468" s="459"/>
      <c r="M468" s="460"/>
      <c r="N468" s="459"/>
      <c r="O468" s="261"/>
      <c r="P468" s="566"/>
      <c r="Q468" s="566"/>
      <c r="R468" s="467"/>
    </row>
    <row r="469" spans="1:18" s="438" customFormat="1" outlineLevel="1">
      <c r="A469" s="568"/>
      <c r="B469" s="572"/>
      <c r="C469" s="574"/>
      <c r="D469" s="578"/>
      <c r="E469" s="580"/>
      <c r="F469" s="578"/>
      <c r="G469" s="581"/>
      <c r="H469" s="577"/>
      <c r="I469" s="577"/>
      <c r="J469" s="577"/>
      <c r="K469" s="472"/>
      <c r="L469" s="480"/>
      <c r="M469" s="479"/>
      <c r="N469" s="476"/>
      <c r="O469" s="477"/>
      <c r="P469" s="577"/>
      <c r="Q469" s="594"/>
      <c r="R469" s="467"/>
    </row>
    <row r="470" spans="1:18" s="438" customFormat="1" outlineLevel="1">
      <c r="A470" s="569"/>
      <c r="B470" s="598"/>
      <c r="C470" s="589"/>
      <c r="D470" s="565"/>
      <c r="E470" s="596"/>
      <c r="F470" s="565"/>
      <c r="G470" s="600"/>
      <c r="H470" s="602"/>
      <c r="I470" s="565"/>
      <c r="J470" s="565"/>
      <c r="K470" s="466"/>
      <c r="L470" s="480"/>
      <c r="M470" s="479"/>
      <c r="N470" s="479"/>
      <c r="O470" s="261"/>
      <c r="P470" s="565"/>
      <c r="Q470" s="565"/>
      <c r="R470" s="467"/>
    </row>
    <row r="471" spans="1:18" s="438" customFormat="1" outlineLevel="1">
      <c r="A471" s="569"/>
      <c r="B471" s="598"/>
      <c r="C471" s="589"/>
      <c r="D471" s="565"/>
      <c r="E471" s="596"/>
      <c r="F471" s="565"/>
      <c r="G471" s="600"/>
      <c r="H471" s="602"/>
      <c r="I471" s="565"/>
      <c r="J471" s="565"/>
      <c r="K471" s="466"/>
      <c r="L471" s="480"/>
      <c r="M471" s="479"/>
      <c r="N471" s="479"/>
      <c r="O471" s="261"/>
      <c r="P471" s="565"/>
      <c r="Q471" s="565"/>
      <c r="R471" s="467"/>
    </row>
    <row r="472" spans="1:18" s="438" customFormat="1" outlineLevel="1">
      <c r="A472" s="569"/>
      <c r="B472" s="598"/>
      <c r="C472" s="589"/>
      <c r="D472" s="565"/>
      <c r="E472" s="596"/>
      <c r="F472" s="565"/>
      <c r="G472" s="600"/>
      <c r="H472" s="602"/>
      <c r="I472" s="565"/>
      <c r="J472" s="565"/>
      <c r="K472" s="466"/>
      <c r="L472" s="480"/>
      <c r="M472" s="479"/>
      <c r="N472" s="479"/>
      <c r="O472" s="261"/>
      <c r="P472" s="565"/>
      <c r="Q472" s="565"/>
      <c r="R472" s="467"/>
    </row>
    <row r="473" spans="1:18" s="438" customFormat="1" outlineLevel="1">
      <c r="A473" s="569"/>
      <c r="B473" s="598"/>
      <c r="C473" s="589"/>
      <c r="D473" s="565"/>
      <c r="E473" s="596"/>
      <c r="F473" s="565"/>
      <c r="G473" s="600"/>
      <c r="H473" s="602"/>
      <c r="I473" s="565"/>
      <c r="J473" s="565"/>
      <c r="K473" s="466"/>
      <c r="L473" s="459"/>
      <c r="M473" s="460"/>
      <c r="N473" s="459"/>
      <c r="O473" s="261"/>
      <c r="P473" s="565"/>
      <c r="Q473" s="565"/>
      <c r="R473" s="467"/>
    </row>
    <row r="474" spans="1:18" s="438" customFormat="1" outlineLevel="1">
      <c r="A474" s="569"/>
      <c r="B474" s="598"/>
      <c r="C474" s="589"/>
      <c r="D474" s="565"/>
      <c r="E474" s="596"/>
      <c r="F474" s="565"/>
      <c r="G474" s="600"/>
      <c r="H474" s="602"/>
      <c r="I474" s="565"/>
      <c r="J474" s="565"/>
      <c r="K474" s="466"/>
      <c r="L474" s="459"/>
      <c r="M474" s="460"/>
      <c r="N474" s="459"/>
      <c r="O474" s="261"/>
      <c r="P474" s="565"/>
      <c r="Q474" s="565"/>
      <c r="R474" s="467"/>
    </row>
    <row r="475" spans="1:18" s="438" customFormat="1" outlineLevel="1">
      <c r="A475" s="569"/>
      <c r="B475" s="598"/>
      <c r="C475" s="589"/>
      <c r="D475" s="565"/>
      <c r="E475" s="596"/>
      <c r="F475" s="565"/>
      <c r="G475" s="600"/>
      <c r="H475" s="602"/>
      <c r="I475" s="565"/>
      <c r="J475" s="565"/>
      <c r="K475" s="466"/>
      <c r="L475" s="459"/>
      <c r="M475" s="460"/>
      <c r="N475" s="459"/>
      <c r="O475" s="261"/>
      <c r="P475" s="565"/>
      <c r="Q475" s="565"/>
      <c r="R475" s="467"/>
    </row>
    <row r="476" spans="1:18" s="438" customFormat="1" outlineLevel="1">
      <c r="A476" s="569"/>
      <c r="B476" s="598"/>
      <c r="C476" s="589"/>
      <c r="D476" s="565"/>
      <c r="E476" s="596"/>
      <c r="F476" s="565"/>
      <c r="G476" s="600"/>
      <c r="H476" s="602"/>
      <c r="I476" s="565"/>
      <c r="J476" s="565"/>
      <c r="K476" s="466"/>
      <c r="L476" s="459"/>
      <c r="M476" s="460"/>
      <c r="N476" s="459"/>
      <c r="O476" s="261"/>
      <c r="P476" s="565"/>
      <c r="Q476" s="565"/>
      <c r="R476" s="467"/>
    </row>
    <row r="477" spans="1:18" s="438" customFormat="1" outlineLevel="1">
      <c r="A477" s="569"/>
      <c r="B477" s="598"/>
      <c r="C477" s="589"/>
      <c r="D477" s="565"/>
      <c r="E477" s="596"/>
      <c r="F477" s="565"/>
      <c r="G477" s="600"/>
      <c r="H477" s="602"/>
      <c r="I477" s="565"/>
      <c r="J477" s="565"/>
      <c r="K477" s="466"/>
      <c r="L477" s="459"/>
      <c r="M477" s="460"/>
      <c r="N477" s="459"/>
      <c r="O477" s="261"/>
      <c r="P477" s="565"/>
      <c r="Q477" s="565"/>
      <c r="R477" s="467"/>
    </row>
    <row r="478" spans="1:18" s="438" customFormat="1" outlineLevel="1">
      <c r="A478" s="569"/>
      <c r="B478" s="598"/>
      <c r="C478" s="589"/>
      <c r="D478" s="565"/>
      <c r="E478" s="596"/>
      <c r="F478" s="565"/>
      <c r="G478" s="600"/>
      <c r="H478" s="602"/>
      <c r="I478" s="565"/>
      <c r="J478" s="565"/>
      <c r="K478" s="466"/>
      <c r="L478" s="459"/>
      <c r="M478" s="460"/>
      <c r="N478" s="459"/>
      <c r="O478" s="261"/>
      <c r="P478" s="565"/>
      <c r="Q478" s="565"/>
      <c r="R478" s="467"/>
    </row>
    <row r="479" spans="1:18" s="438" customFormat="1" outlineLevel="1">
      <c r="A479" s="569"/>
      <c r="B479" s="598"/>
      <c r="C479" s="589"/>
      <c r="D479" s="565"/>
      <c r="E479" s="596"/>
      <c r="F479" s="565"/>
      <c r="G479" s="600"/>
      <c r="H479" s="602"/>
      <c r="I479" s="565"/>
      <c r="J479" s="565"/>
      <c r="K479" s="466"/>
      <c r="L479" s="459"/>
      <c r="M479" s="460"/>
      <c r="N479" s="459"/>
      <c r="O479" s="261"/>
      <c r="P479" s="565"/>
      <c r="Q479" s="565"/>
      <c r="R479" s="467"/>
    </row>
    <row r="480" spans="1:18" s="438" customFormat="1" outlineLevel="1">
      <c r="A480" s="569"/>
      <c r="B480" s="598"/>
      <c r="C480" s="589"/>
      <c r="D480" s="565"/>
      <c r="E480" s="596"/>
      <c r="F480" s="565"/>
      <c r="G480" s="600"/>
      <c r="H480" s="602"/>
      <c r="I480" s="565"/>
      <c r="J480" s="565"/>
      <c r="K480" s="466"/>
      <c r="L480" s="459"/>
      <c r="M480" s="460"/>
      <c r="N480" s="459"/>
      <c r="O480" s="261"/>
      <c r="P480" s="565"/>
      <c r="Q480" s="565"/>
      <c r="R480" s="467"/>
    </row>
    <row r="481" spans="1:18" s="438" customFormat="1" outlineLevel="1">
      <c r="A481" s="569"/>
      <c r="B481" s="598"/>
      <c r="C481" s="589"/>
      <c r="D481" s="565"/>
      <c r="E481" s="596"/>
      <c r="F481" s="565"/>
      <c r="G481" s="600"/>
      <c r="H481" s="602"/>
      <c r="I481" s="565"/>
      <c r="J481" s="565"/>
      <c r="K481" s="466"/>
      <c r="L481" s="459"/>
      <c r="M481" s="460"/>
      <c r="N481" s="459"/>
      <c r="O481" s="261"/>
      <c r="P481" s="565"/>
      <c r="Q481" s="565"/>
      <c r="R481" s="467"/>
    </row>
    <row r="482" spans="1:18" s="438" customFormat="1" outlineLevel="1">
      <c r="A482" s="569"/>
      <c r="B482" s="598"/>
      <c r="C482" s="589"/>
      <c r="D482" s="565"/>
      <c r="E482" s="596"/>
      <c r="F482" s="565"/>
      <c r="G482" s="600"/>
      <c r="H482" s="602"/>
      <c r="I482" s="565"/>
      <c r="J482" s="565"/>
      <c r="K482" s="466"/>
      <c r="L482" s="459"/>
      <c r="M482" s="460"/>
      <c r="N482" s="459"/>
      <c r="O482" s="261"/>
      <c r="P482" s="565"/>
      <c r="Q482" s="565"/>
      <c r="R482" s="467"/>
    </row>
    <row r="483" spans="1:18" s="438" customFormat="1" outlineLevel="1">
      <c r="A483" s="569"/>
      <c r="B483" s="598"/>
      <c r="C483" s="589"/>
      <c r="D483" s="565"/>
      <c r="E483" s="596"/>
      <c r="F483" s="565"/>
      <c r="G483" s="600"/>
      <c r="H483" s="602"/>
      <c r="I483" s="565"/>
      <c r="J483" s="565"/>
      <c r="K483" s="466"/>
      <c r="L483" s="459"/>
      <c r="M483" s="460"/>
      <c r="N483" s="459"/>
      <c r="O483" s="261"/>
      <c r="P483" s="565"/>
      <c r="Q483" s="565"/>
      <c r="R483" s="467"/>
    </row>
    <row r="484" spans="1:18" s="438" customFormat="1" outlineLevel="1">
      <c r="A484" s="570"/>
      <c r="B484" s="599"/>
      <c r="C484" s="590"/>
      <c r="D484" s="566"/>
      <c r="E484" s="596"/>
      <c r="F484" s="566"/>
      <c r="G484" s="601"/>
      <c r="H484" s="603"/>
      <c r="I484" s="566"/>
      <c r="J484" s="566"/>
      <c r="K484" s="466"/>
      <c r="L484" s="459"/>
      <c r="M484" s="460"/>
      <c r="N484" s="459"/>
      <c r="O484" s="261"/>
      <c r="P484" s="566"/>
      <c r="Q484" s="566"/>
      <c r="R484" s="467"/>
    </row>
    <row r="485" spans="1:18" s="438" customFormat="1" outlineLevel="1">
      <c r="A485" s="568"/>
      <c r="B485" s="572"/>
      <c r="C485" s="574"/>
      <c r="D485" s="578"/>
      <c r="E485" s="580"/>
      <c r="F485" s="578"/>
      <c r="G485" s="581"/>
      <c r="H485" s="577"/>
      <c r="I485" s="577"/>
      <c r="J485" s="577"/>
      <c r="K485" s="472"/>
      <c r="L485" s="480"/>
      <c r="M485" s="479"/>
      <c r="N485" s="476"/>
      <c r="O485" s="477"/>
      <c r="P485" s="577"/>
      <c r="Q485" s="594"/>
      <c r="R485" s="467"/>
    </row>
    <row r="486" spans="1:18" s="438" customFormat="1" outlineLevel="1">
      <c r="A486" s="569"/>
      <c r="B486" s="598"/>
      <c r="C486" s="589"/>
      <c r="D486" s="565"/>
      <c r="E486" s="596"/>
      <c r="F486" s="565"/>
      <c r="G486" s="600"/>
      <c r="H486" s="602"/>
      <c r="I486" s="565"/>
      <c r="J486" s="565"/>
      <c r="K486" s="466"/>
      <c r="L486" s="480"/>
      <c r="M486" s="479"/>
      <c r="N486" s="479"/>
      <c r="O486" s="261"/>
      <c r="P486" s="565"/>
      <c r="Q486" s="565"/>
      <c r="R486" s="467"/>
    </row>
    <row r="487" spans="1:18" s="438" customFormat="1" outlineLevel="1">
      <c r="A487" s="569"/>
      <c r="B487" s="598"/>
      <c r="C487" s="589"/>
      <c r="D487" s="565"/>
      <c r="E487" s="596"/>
      <c r="F487" s="565"/>
      <c r="G487" s="600"/>
      <c r="H487" s="602"/>
      <c r="I487" s="565"/>
      <c r="J487" s="565"/>
      <c r="K487" s="466"/>
      <c r="L487" s="480"/>
      <c r="M487" s="479"/>
      <c r="N487" s="479"/>
      <c r="O487" s="261"/>
      <c r="P487" s="565"/>
      <c r="Q487" s="565"/>
      <c r="R487" s="467"/>
    </row>
    <row r="488" spans="1:18" s="438" customFormat="1" outlineLevel="1">
      <c r="A488" s="569"/>
      <c r="B488" s="598"/>
      <c r="C488" s="589"/>
      <c r="D488" s="565"/>
      <c r="E488" s="596"/>
      <c r="F488" s="565"/>
      <c r="G488" s="600"/>
      <c r="H488" s="602"/>
      <c r="I488" s="565"/>
      <c r="J488" s="565"/>
      <c r="K488" s="466"/>
      <c r="L488" s="480"/>
      <c r="M488" s="479"/>
      <c r="N488" s="479"/>
      <c r="O488" s="261"/>
      <c r="P488" s="565"/>
      <c r="Q488" s="565"/>
      <c r="R488" s="467"/>
    </row>
    <row r="489" spans="1:18" s="438" customFormat="1" outlineLevel="1">
      <c r="A489" s="569"/>
      <c r="B489" s="598"/>
      <c r="C489" s="589"/>
      <c r="D489" s="565"/>
      <c r="E489" s="596"/>
      <c r="F489" s="565"/>
      <c r="G489" s="600"/>
      <c r="H489" s="602"/>
      <c r="I489" s="565"/>
      <c r="J489" s="565"/>
      <c r="K489" s="466"/>
      <c r="L489" s="480"/>
      <c r="M489" s="479"/>
      <c r="N489" s="479"/>
      <c r="O489" s="261"/>
      <c r="P489" s="565"/>
      <c r="Q489" s="565"/>
      <c r="R489" s="467"/>
    </row>
    <row r="490" spans="1:18" s="438" customFormat="1" outlineLevel="1">
      <c r="A490" s="569"/>
      <c r="B490" s="598"/>
      <c r="C490" s="589"/>
      <c r="D490" s="565"/>
      <c r="E490" s="596"/>
      <c r="F490" s="565"/>
      <c r="G490" s="600"/>
      <c r="H490" s="602"/>
      <c r="I490" s="565"/>
      <c r="J490" s="565"/>
      <c r="K490" s="466"/>
      <c r="L490" s="480"/>
      <c r="M490" s="479"/>
      <c r="N490" s="479"/>
      <c r="O490" s="261"/>
      <c r="P490" s="565"/>
      <c r="Q490" s="565"/>
      <c r="R490" s="467"/>
    </row>
    <row r="491" spans="1:18" s="438" customFormat="1" outlineLevel="1">
      <c r="A491" s="569"/>
      <c r="B491" s="598"/>
      <c r="C491" s="589"/>
      <c r="D491" s="565"/>
      <c r="E491" s="596"/>
      <c r="F491" s="565"/>
      <c r="G491" s="600"/>
      <c r="H491" s="602"/>
      <c r="I491" s="565"/>
      <c r="J491" s="565"/>
      <c r="K491" s="466"/>
      <c r="L491" s="459"/>
      <c r="M491" s="460"/>
      <c r="N491" s="459"/>
      <c r="O491" s="261"/>
      <c r="P491" s="565"/>
      <c r="Q491" s="565"/>
      <c r="R491" s="467"/>
    </row>
    <row r="492" spans="1:18" s="438" customFormat="1" outlineLevel="1">
      <c r="A492" s="569"/>
      <c r="B492" s="598"/>
      <c r="C492" s="589"/>
      <c r="D492" s="565"/>
      <c r="E492" s="596"/>
      <c r="F492" s="565"/>
      <c r="G492" s="600"/>
      <c r="H492" s="602"/>
      <c r="I492" s="565"/>
      <c r="J492" s="565"/>
      <c r="K492" s="466"/>
      <c r="L492" s="459"/>
      <c r="M492" s="460"/>
      <c r="N492" s="459"/>
      <c r="O492" s="261"/>
      <c r="P492" s="565"/>
      <c r="Q492" s="565"/>
      <c r="R492" s="467"/>
    </row>
    <row r="493" spans="1:18" s="438" customFormat="1" outlineLevel="1">
      <c r="A493" s="569"/>
      <c r="B493" s="598"/>
      <c r="C493" s="589"/>
      <c r="D493" s="565"/>
      <c r="E493" s="596"/>
      <c r="F493" s="565"/>
      <c r="G493" s="600"/>
      <c r="H493" s="602"/>
      <c r="I493" s="565"/>
      <c r="J493" s="565"/>
      <c r="K493" s="466"/>
      <c r="L493" s="459"/>
      <c r="M493" s="460"/>
      <c r="N493" s="459"/>
      <c r="O493" s="261"/>
      <c r="P493" s="565"/>
      <c r="Q493" s="565"/>
      <c r="R493" s="467"/>
    </row>
    <row r="494" spans="1:18" s="438" customFormat="1" outlineLevel="1">
      <c r="A494" s="569"/>
      <c r="B494" s="598"/>
      <c r="C494" s="589"/>
      <c r="D494" s="565"/>
      <c r="E494" s="596"/>
      <c r="F494" s="565"/>
      <c r="G494" s="600"/>
      <c r="H494" s="602"/>
      <c r="I494" s="565"/>
      <c r="J494" s="565"/>
      <c r="K494" s="466"/>
      <c r="L494" s="459"/>
      <c r="M494" s="460"/>
      <c r="N494" s="459"/>
      <c r="O494" s="261"/>
      <c r="P494" s="565"/>
      <c r="Q494" s="565"/>
      <c r="R494" s="467"/>
    </row>
    <row r="495" spans="1:18" s="438" customFormat="1" outlineLevel="1">
      <c r="A495" s="569"/>
      <c r="B495" s="598"/>
      <c r="C495" s="589"/>
      <c r="D495" s="565"/>
      <c r="E495" s="596"/>
      <c r="F495" s="565"/>
      <c r="G495" s="600"/>
      <c r="H495" s="602"/>
      <c r="I495" s="565"/>
      <c r="J495" s="565"/>
      <c r="K495" s="466"/>
      <c r="L495" s="459"/>
      <c r="M495" s="460"/>
      <c r="N495" s="459"/>
      <c r="O495" s="261"/>
      <c r="P495" s="565"/>
      <c r="Q495" s="565"/>
      <c r="R495" s="467"/>
    </row>
    <row r="496" spans="1:18" s="438" customFormat="1" outlineLevel="1">
      <c r="A496" s="569"/>
      <c r="B496" s="598"/>
      <c r="C496" s="589"/>
      <c r="D496" s="565"/>
      <c r="E496" s="596"/>
      <c r="F496" s="565"/>
      <c r="G496" s="600"/>
      <c r="H496" s="602"/>
      <c r="I496" s="565"/>
      <c r="J496" s="565"/>
      <c r="K496" s="466"/>
      <c r="L496" s="459"/>
      <c r="M496" s="460"/>
      <c r="N496" s="459"/>
      <c r="O496" s="261"/>
      <c r="P496" s="565"/>
      <c r="Q496" s="565"/>
      <c r="R496" s="467"/>
    </row>
    <row r="497" spans="1:18" s="438" customFormat="1" outlineLevel="1">
      <c r="A497" s="569"/>
      <c r="B497" s="598"/>
      <c r="C497" s="589"/>
      <c r="D497" s="565"/>
      <c r="E497" s="596"/>
      <c r="F497" s="565"/>
      <c r="G497" s="600"/>
      <c r="H497" s="602"/>
      <c r="I497" s="565"/>
      <c r="J497" s="565"/>
      <c r="K497" s="466"/>
      <c r="L497" s="459"/>
      <c r="M497" s="460"/>
      <c r="N497" s="459"/>
      <c r="O497" s="261"/>
      <c r="P497" s="565"/>
      <c r="Q497" s="565"/>
      <c r="R497" s="467"/>
    </row>
    <row r="498" spans="1:18" s="438" customFormat="1" outlineLevel="1">
      <c r="A498" s="569"/>
      <c r="B498" s="598"/>
      <c r="C498" s="589"/>
      <c r="D498" s="565"/>
      <c r="E498" s="596"/>
      <c r="F498" s="565"/>
      <c r="G498" s="600"/>
      <c r="H498" s="602"/>
      <c r="I498" s="565"/>
      <c r="J498" s="565"/>
      <c r="K498" s="466"/>
      <c r="L498" s="459"/>
      <c r="M498" s="460"/>
      <c r="N498" s="459"/>
      <c r="O498" s="261"/>
      <c r="P498" s="565"/>
      <c r="Q498" s="565"/>
      <c r="R498" s="467"/>
    </row>
    <row r="499" spans="1:18" s="438" customFormat="1" outlineLevel="1">
      <c r="A499" s="569"/>
      <c r="B499" s="598"/>
      <c r="C499" s="589"/>
      <c r="D499" s="565"/>
      <c r="E499" s="596"/>
      <c r="F499" s="565"/>
      <c r="G499" s="600"/>
      <c r="H499" s="602"/>
      <c r="I499" s="565"/>
      <c r="J499" s="565"/>
      <c r="K499" s="466"/>
      <c r="L499" s="459"/>
      <c r="M499" s="460"/>
      <c r="N499" s="459"/>
      <c r="O499" s="261"/>
      <c r="P499" s="565"/>
      <c r="Q499" s="565"/>
      <c r="R499" s="467"/>
    </row>
    <row r="500" spans="1:18" s="438" customFormat="1" outlineLevel="1">
      <c r="A500" s="570"/>
      <c r="B500" s="599"/>
      <c r="C500" s="590"/>
      <c r="D500" s="566"/>
      <c r="E500" s="596"/>
      <c r="F500" s="566"/>
      <c r="G500" s="601"/>
      <c r="H500" s="603"/>
      <c r="I500" s="566"/>
      <c r="J500" s="566"/>
      <c r="K500" s="466"/>
      <c r="L500" s="459"/>
      <c r="M500" s="460"/>
      <c r="N500" s="459"/>
      <c r="O500" s="261"/>
      <c r="P500" s="566"/>
      <c r="Q500" s="566"/>
      <c r="R500" s="467"/>
    </row>
    <row r="501" spans="1:18" s="438" customFormat="1" outlineLevel="1">
      <c r="A501" s="568"/>
      <c r="B501" s="572"/>
      <c r="C501" s="574"/>
      <c r="D501" s="578"/>
      <c r="E501" s="580"/>
      <c r="F501" s="578"/>
      <c r="G501" s="581"/>
      <c r="H501" s="577"/>
      <c r="I501" s="577"/>
      <c r="J501" s="577"/>
      <c r="K501" s="472"/>
      <c r="L501" s="480"/>
      <c r="M501" s="479"/>
      <c r="N501" s="476"/>
      <c r="O501" s="477"/>
      <c r="P501" s="577"/>
      <c r="Q501" s="594"/>
      <c r="R501" s="467"/>
    </row>
    <row r="502" spans="1:18" s="438" customFormat="1" outlineLevel="1">
      <c r="A502" s="569"/>
      <c r="B502" s="598"/>
      <c r="C502" s="589"/>
      <c r="D502" s="565"/>
      <c r="E502" s="596"/>
      <c r="F502" s="565"/>
      <c r="G502" s="600"/>
      <c r="H502" s="602"/>
      <c r="I502" s="565"/>
      <c r="J502" s="565"/>
      <c r="K502" s="466"/>
      <c r="L502" s="480"/>
      <c r="M502" s="479"/>
      <c r="N502" s="479"/>
      <c r="O502" s="261"/>
      <c r="P502" s="565"/>
      <c r="Q502" s="565"/>
      <c r="R502" s="467"/>
    </row>
    <row r="503" spans="1:18" s="438" customFormat="1" outlineLevel="1">
      <c r="A503" s="569"/>
      <c r="B503" s="598"/>
      <c r="C503" s="589"/>
      <c r="D503" s="565"/>
      <c r="E503" s="596"/>
      <c r="F503" s="565"/>
      <c r="G503" s="600"/>
      <c r="H503" s="602"/>
      <c r="I503" s="565"/>
      <c r="J503" s="565"/>
      <c r="K503" s="466"/>
      <c r="L503" s="480"/>
      <c r="M503" s="479"/>
      <c r="N503" s="479"/>
      <c r="O503" s="261"/>
      <c r="P503" s="565"/>
      <c r="Q503" s="565"/>
      <c r="R503" s="467"/>
    </row>
    <row r="504" spans="1:18" s="438" customFormat="1" outlineLevel="1">
      <c r="A504" s="569"/>
      <c r="B504" s="598"/>
      <c r="C504" s="589"/>
      <c r="D504" s="565"/>
      <c r="E504" s="596"/>
      <c r="F504" s="565"/>
      <c r="G504" s="600"/>
      <c r="H504" s="602"/>
      <c r="I504" s="565"/>
      <c r="J504" s="565"/>
      <c r="K504" s="466"/>
      <c r="L504" s="480"/>
      <c r="M504" s="479"/>
      <c r="N504" s="479"/>
      <c r="O504" s="261"/>
      <c r="P504" s="565"/>
      <c r="Q504" s="565"/>
      <c r="R504" s="467"/>
    </row>
    <row r="505" spans="1:18" s="438" customFormat="1" outlineLevel="1">
      <c r="A505" s="569"/>
      <c r="B505" s="598"/>
      <c r="C505" s="589"/>
      <c r="D505" s="565"/>
      <c r="E505" s="596"/>
      <c r="F505" s="565"/>
      <c r="G505" s="600"/>
      <c r="H505" s="602"/>
      <c r="I505" s="565"/>
      <c r="J505" s="565"/>
      <c r="K505" s="466"/>
      <c r="L505" s="480"/>
      <c r="M505" s="479"/>
      <c r="N505" s="479"/>
      <c r="O505" s="261"/>
      <c r="P505" s="565"/>
      <c r="Q505" s="565"/>
      <c r="R505" s="467"/>
    </row>
    <row r="506" spans="1:18" s="438" customFormat="1" outlineLevel="1">
      <c r="A506" s="569"/>
      <c r="B506" s="598"/>
      <c r="C506" s="589"/>
      <c r="D506" s="565"/>
      <c r="E506" s="596"/>
      <c r="F506" s="565"/>
      <c r="G506" s="600"/>
      <c r="H506" s="602"/>
      <c r="I506" s="565"/>
      <c r="J506" s="565"/>
      <c r="K506" s="466"/>
      <c r="L506" s="459"/>
      <c r="M506" s="460"/>
      <c r="N506" s="459"/>
      <c r="O506" s="261"/>
      <c r="P506" s="565"/>
      <c r="Q506" s="565"/>
      <c r="R506" s="467"/>
    </row>
    <row r="507" spans="1:18" s="438" customFormat="1" outlineLevel="1">
      <c r="A507" s="569"/>
      <c r="B507" s="598"/>
      <c r="C507" s="589"/>
      <c r="D507" s="565"/>
      <c r="E507" s="596"/>
      <c r="F507" s="565"/>
      <c r="G507" s="600"/>
      <c r="H507" s="602"/>
      <c r="I507" s="565"/>
      <c r="J507" s="565"/>
      <c r="K507" s="466"/>
      <c r="L507" s="459"/>
      <c r="M507" s="460"/>
      <c r="N507" s="459"/>
      <c r="O507" s="261"/>
      <c r="P507" s="565"/>
      <c r="Q507" s="565"/>
      <c r="R507" s="467"/>
    </row>
    <row r="508" spans="1:18" s="438" customFormat="1" outlineLevel="1">
      <c r="A508" s="569"/>
      <c r="B508" s="598"/>
      <c r="C508" s="589"/>
      <c r="D508" s="565"/>
      <c r="E508" s="596"/>
      <c r="F508" s="565"/>
      <c r="G508" s="600"/>
      <c r="H508" s="602"/>
      <c r="I508" s="565"/>
      <c r="J508" s="565"/>
      <c r="K508" s="466"/>
      <c r="L508" s="459"/>
      <c r="M508" s="460"/>
      <c r="N508" s="459"/>
      <c r="O508" s="261"/>
      <c r="P508" s="565"/>
      <c r="Q508" s="565"/>
      <c r="R508" s="467"/>
    </row>
    <row r="509" spans="1:18" s="438" customFormat="1" outlineLevel="1">
      <c r="A509" s="569"/>
      <c r="B509" s="598"/>
      <c r="C509" s="589"/>
      <c r="D509" s="565"/>
      <c r="E509" s="596"/>
      <c r="F509" s="565"/>
      <c r="G509" s="600"/>
      <c r="H509" s="602"/>
      <c r="I509" s="565"/>
      <c r="J509" s="565"/>
      <c r="K509" s="466"/>
      <c r="L509" s="459"/>
      <c r="M509" s="460"/>
      <c r="N509" s="459"/>
      <c r="O509" s="261"/>
      <c r="P509" s="565"/>
      <c r="Q509" s="565"/>
      <c r="R509" s="467"/>
    </row>
    <row r="510" spans="1:18" s="438" customFormat="1" outlineLevel="1">
      <c r="A510" s="569"/>
      <c r="B510" s="598"/>
      <c r="C510" s="589"/>
      <c r="D510" s="565"/>
      <c r="E510" s="596"/>
      <c r="F510" s="565"/>
      <c r="G510" s="600"/>
      <c r="H510" s="602"/>
      <c r="I510" s="565"/>
      <c r="J510" s="565"/>
      <c r="K510" s="466"/>
      <c r="L510" s="459"/>
      <c r="M510" s="460"/>
      <c r="N510" s="459"/>
      <c r="O510" s="261"/>
      <c r="P510" s="565"/>
      <c r="Q510" s="565"/>
      <c r="R510" s="467"/>
    </row>
    <row r="511" spans="1:18" s="438" customFormat="1" outlineLevel="1">
      <c r="A511" s="569"/>
      <c r="B511" s="598"/>
      <c r="C511" s="589"/>
      <c r="D511" s="565"/>
      <c r="E511" s="596"/>
      <c r="F511" s="565"/>
      <c r="G511" s="600"/>
      <c r="H511" s="602"/>
      <c r="I511" s="565"/>
      <c r="J511" s="565"/>
      <c r="K511" s="466"/>
      <c r="L511" s="459"/>
      <c r="M511" s="460"/>
      <c r="N511" s="459"/>
      <c r="O511" s="261"/>
      <c r="P511" s="565"/>
      <c r="Q511" s="565"/>
      <c r="R511" s="467"/>
    </row>
    <row r="512" spans="1:18" s="438" customFormat="1" outlineLevel="1">
      <c r="A512" s="569"/>
      <c r="B512" s="598"/>
      <c r="C512" s="589"/>
      <c r="D512" s="565"/>
      <c r="E512" s="596"/>
      <c r="F512" s="565"/>
      <c r="G512" s="600"/>
      <c r="H512" s="602"/>
      <c r="I512" s="565"/>
      <c r="J512" s="565"/>
      <c r="K512" s="466"/>
      <c r="L512" s="459"/>
      <c r="M512" s="460"/>
      <c r="N512" s="459"/>
      <c r="O512" s="261"/>
      <c r="P512" s="565"/>
      <c r="Q512" s="565"/>
      <c r="R512" s="467"/>
    </row>
    <row r="513" spans="1:18" s="438" customFormat="1" outlineLevel="1">
      <c r="A513" s="569"/>
      <c r="B513" s="598"/>
      <c r="C513" s="589"/>
      <c r="D513" s="565"/>
      <c r="E513" s="596"/>
      <c r="F513" s="565"/>
      <c r="G513" s="600"/>
      <c r="H513" s="602"/>
      <c r="I513" s="565"/>
      <c r="J513" s="565"/>
      <c r="K513" s="466"/>
      <c r="L513" s="459"/>
      <c r="M513" s="460"/>
      <c r="N513" s="459"/>
      <c r="O513" s="261"/>
      <c r="P513" s="565"/>
      <c r="Q513" s="565"/>
      <c r="R513" s="467"/>
    </row>
    <row r="514" spans="1:18" s="438" customFormat="1" outlineLevel="1">
      <c r="A514" s="569"/>
      <c r="B514" s="598"/>
      <c r="C514" s="589"/>
      <c r="D514" s="565"/>
      <c r="E514" s="596"/>
      <c r="F514" s="565"/>
      <c r="G514" s="600"/>
      <c r="H514" s="602"/>
      <c r="I514" s="565"/>
      <c r="J514" s="565"/>
      <c r="K514" s="466"/>
      <c r="L514" s="459"/>
      <c r="M514" s="460"/>
      <c r="N514" s="459"/>
      <c r="O514" s="261"/>
      <c r="P514" s="565"/>
      <c r="Q514" s="565"/>
      <c r="R514" s="467"/>
    </row>
    <row r="515" spans="1:18" s="438" customFormat="1" outlineLevel="1">
      <c r="A515" s="569"/>
      <c r="B515" s="598"/>
      <c r="C515" s="589"/>
      <c r="D515" s="565"/>
      <c r="E515" s="596"/>
      <c r="F515" s="565"/>
      <c r="G515" s="600"/>
      <c r="H515" s="602"/>
      <c r="I515" s="565"/>
      <c r="J515" s="565"/>
      <c r="K515" s="466"/>
      <c r="L515" s="459"/>
      <c r="M515" s="460"/>
      <c r="N515" s="459"/>
      <c r="O515" s="261"/>
      <c r="P515" s="565"/>
      <c r="Q515" s="565"/>
      <c r="R515" s="467"/>
    </row>
    <row r="516" spans="1:18" s="438" customFormat="1" outlineLevel="1">
      <c r="A516" s="570"/>
      <c r="B516" s="599"/>
      <c r="C516" s="590"/>
      <c r="D516" s="566"/>
      <c r="E516" s="596"/>
      <c r="F516" s="566"/>
      <c r="G516" s="601"/>
      <c r="H516" s="603"/>
      <c r="I516" s="566"/>
      <c r="J516" s="566"/>
      <c r="K516" s="466"/>
      <c r="L516" s="459"/>
      <c r="M516" s="460"/>
      <c r="N516" s="459"/>
      <c r="O516" s="261"/>
      <c r="P516" s="566"/>
      <c r="Q516" s="566"/>
      <c r="R516" s="467"/>
    </row>
    <row r="517" spans="1:18" s="438" customFormat="1" outlineLevel="1">
      <c r="A517" s="568"/>
      <c r="B517" s="572"/>
      <c r="C517" s="574"/>
      <c r="D517" s="578"/>
      <c r="E517" s="580"/>
      <c r="F517" s="578"/>
      <c r="G517" s="581"/>
      <c r="H517" s="577"/>
      <c r="I517" s="577"/>
      <c r="J517" s="577"/>
      <c r="K517" s="472"/>
      <c r="L517" s="480"/>
      <c r="M517" s="479"/>
      <c r="N517" s="476"/>
      <c r="O517" s="477"/>
      <c r="P517" s="577"/>
      <c r="Q517" s="594"/>
      <c r="R517" s="467"/>
    </row>
    <row r="518" spans="1:18" s="438" customFormat="1" outlineLevel="1">
      <c r="A518" s="569"/>
      <c r="B518" s="598"/>
      <c r="C518" s="589"/>
      <c r="D518" s="565"/>
      <c r="E518" s="596"/>
      <c r="F518" s="565"/>
      <c r="G518" s="600"/>
      <c r="H518" s="602"/>
      <c r="I518" s="565"/>
      <c r="J518" s="565"/>
      <c r="K518" s="466"/>
      <c r="L518" s="480"/>
      <c r="M518" s="479"/>
      <c r="N518" s="479"/>
      <c r="O518" s="261"/>
      <c r="P518" s="565"/>
      <c r="Q518" s="565"/>
      <c r="R518" s="467"/>
    </row>
    <row r="519" spans="1:18" s="438" customFormat="1" outlineLevel="1">
      <c r="A519" s="569"/>
      <c r="B519" s="598"/>
      <c r="C519" s="589"/>
      <c r="D519" s="565"/>
      <c r="E519" s="596"/>
      <c r="F519" s="565"/>
      <c r="G519" s="600"/>
      <c r="H519" s="602"/>
      <c r="I519" s="565"/>
      <c r="J519" s="565"/>
      <c r="K519" s="466"/>
      <c r="L519" s="480"/>
      <c r="M519" s="479"/>
      <c r="N519" s="479"/>
      <c r="O519" s="261"/>
      <c r="P519" s="565"/>
      <c r="Q519" s="565"/>
      <c r="R519" s="467"/>
    </row>
    <row r="520" spans="1:18" s="438" customFormat="1" outlineLevel="1">
      <c r="A520" s="569"/>
      <c r="B520" s="598"/>
      <c r="C520" s="589"/>
      <c r="D520" s="565"/>
      <c r="E520" s="596"/>
      <c r="F520" s="565"/>
      <c r="G520" s="600"/>
      <c r="H520" s="602"/>
      <c r="I520" s="565"/>
      <c r="J520" s="565"/>
      <c r="K520" s="466"/>
      <c r="L520" s="480"/>
      <c r="M520" s="479"/>
      <c r="N520" s="479"/>
      <c r="O520" s="261"/>
      <c r="P520" s="565"/>
      <c r="Q520" s="565"/>
      <c r="R520" s="467"/>
    </row>
    <row r="521" spans="1:18" s="438" customFormat="1" outlineLevel="1">
      <c r="A521" s="569"/>
      <c r="B521" s="598"/>
      <c r="C521" s="589"/>
      <c r="D521" s="565"/>
      <c r="E521" s="596"/>
      <c r="F521" s="565"/>
      <c r="G521" s="600"/>
      <c r="H521" s="602"/>
      <c r="I521" s="565"/>
      <c r="J521" s="565"/>
      <c r="K521" s="466"/>
      <c r="L521" s="480"/>
      <c r="M521" s="479"/>
      <c r="N521" s="479"/>
      <c r="O521" s="261"/>
      <c r="P521" s="565"/>
      <c r="Q521" s="565"/>
      <c r="R521" s="467"/>
    </row>
    <row r="522" spans="1:18" s="438" customFormat="1" outlineLevel="1">
      <c r="A522" s="569"/>
      <c r="B522" s="598"/>
      <c r="C522" s="589"/>
      <c r="D522" s="565"/>
      <c r="E522" s="596"/>
      <c r="F522" s="565"/>
      <c r="G522" s="600"/>
      <c r="H522" s="602"/>
      <c r="I522" s="565"/>
      <c r="J522" s="565"/>
      <c r="K522" s="466"/>
      <c r="L522" s="459"/>
      <c r="M522" s="460"/>
      <c r="N522" s="459"/>
      <c r="O522" s="261"/>
      <c r="P522" s="565"/>
      <c r="Q522" s="565"/>
      <c r="R522" s="467"/>
    </row>
    <row r="523" spans="1:18" s="438" customFormat="1" outlineLevel="1">
      <c r="A523" s="569"/>
      <c r="B523" s="598"/>
      <c r="C523" s="589"/>
      <c r="D523" s="565"/>
      <c r="E523" s="596"/>
      <c r="F523" s="565"/>
      <c r="G523" s="600"/>
      <c r="H523" s="602"/>
      <c r="I523" s="565"/>
      <c r="J523" s="565"/>
      <c r="K523" s="466"/>
      <c r="L523" s="459"/>
      <c r="M523" s="460"/>
      <c r="N523" s="459"/>
      <c r="O523" s="261"/>
      <c r="P523" s="565"/>
      <c r="Q523" s="565"/>
      <c r="R523" s="467"/>
    </row>
    <row r="524" spans="1:18" s="438" customFormat="1" outlineLevel="1">
      <c r="A524" s="569"/>
      <c r="B524" s="598"/>
      <c r="C524" s="589"/>
      <c r="D524" s="565"/>
      <c r="E524" s="596"/>
      <c r="F524" s="565"/>
      <c r="G524" s="600"/>
      <c r="H524" s="602"/>
      <c r="I524" s="565"/>
      <c r="J524" s="565"/>
      <c r="K524" s="466"/>
      <c r="L524" s="459"/>
      <c r="M524" s="460"/>
      <c r="N524" s="459"/>
      <c r="O524" s="261"/>
      <c r="P524" s="565"/>
      <c r="Q524" s="565"/>
      <c r="R524" s="467"/>
    </row>
    <row r="525" spans="1:18" s="438" customFormat="1" outlineLevel="1">
      <c r="A525" s="569"/>
      <c r="B525" s="598"/>
      <c r="C525" s="589"/>
      <c r="D525" s="565"/>
      <c r="E525" s="596"/>
      <c r="F525" s="565"/>
      <c r="G525" s="600"/>
      <c r="H525" s="602"/>
      <c r="I525" s="565"/>
      <c r="J525" s="565"/>
      <c r="K525" s="466"/>
      <c r="L525" s="459"/>
      <c r="M525" s="460"/>
      <c r="N525" s="459"/>
      <c r="O525" s="261"/>
      <c r="P525" s="565"/>
      <c r="Q525" s="565"/>
      <c r="R525" s="467"/>
    </row>
    <row r="526" spans="1:18" s="438" customFormat="1" outlineLevel="1">
      <c r="A526" s="569"/>
      <c r="B526" s="598"/>
      <c r="C526" s="589"/>
      <c r="D526" s="565"/>
      <c r="E526" s="596"/>
      <c r="F526" s="565"/>
      <c r="G526" s="600"/>
      <c r="H526" s="602"/>
      <c r="I526" s="565"/>
      <c r="J526" s="565"/>
      <c r="K526" s="466"/>
      <c r="L526" s="459"/>
      <c r="M526" s="460"/>
      <c r="N526" s="459"/>
      <c r="O526" s="261"/>
      <c r="P526" s="565"/>
      <c r="Q526" s="565"/>
      <c r="R526" s="467"/>
    </row>
    <row r="527" spans="1:18" s="438" customFormat="1" outlineLevel="1">
      <c r="A527" s="569"/>
      <c r="B527" s="598"/>
      <c r="C527" s="589"/>
      <c r="D527" s="565"/>
      <c r="E527" s="596"/>
      <c r="F527" s="565"/>
      <c r="G527" s="600"/>
      <c r="H527" s="602"/>
      <c r="I527" s="565"/>
      <c r="J527" s="565"/>
      <c r="K527" s="466"/>
      <c r="L527" s="459"/>
      <c r="M527" s="460"/>
      <c r="N527" s="459"/>
      <c r="O527" s="261"/>
      <c r="P527" s="565"/>
      <c r="Q527" s="565"/>
      <c r="R527" s="467"/>
    </row>
    <row r="528" spans="1:18" s="438" customFormat="1" outlineLevel="1">
      <c r="A528" s="569"/>
      <c r="B528" s="598"/>
      <c r="C528" s="589"/>
      <c r="D528" s="565"/>
      <c r="E528" s="596"/>
      <c r="F528" s="565"/>
      <c r="G528" s="600"/>
      <c r="H528" s="602"/>
      <c r="I528" s="565"/>
      <c r="J528" s="565"/>
      <c r="K528" s="466"/>
      <c r="L528" s="459"/>
      <c r="M528" s="460"/>
      <c r="N528" s="459"/>
      <c r="O528" s="261"/>
      <c r="P528" s="565"/>
      <c r="Q528" s="565"/>
      <c r="R528" s="467"/>
    </row>
    <row r="529" spans="1:18" s="438" customFormat="1" outlineLevel="1">
      <c r="A529" s="569"/>
      <c r="B529" s="598"/>
      <c r="C529" s="589"/>
      <c r="D529" s="565"/>
      <c r="E529" s="596"/>
      <c r="F529" s="565"/>
      <c r="G529" s="600"/>
      <c r="H529" s="602"/>
      <c r="I529" s="565"/>
      <c r="J529" s="565"/>
      <c r="K529" s="466"/>
      <c r="L529" s="459"/>
      <c r="M529" s="460"/>
      <c r="N529" s="459"/>
      <c r="O529" s="261"/>
      <c r="P529" s="565"/>
      <c r="Q529" s="565"/>
      <c r="R529" s="467"/>
    </row>
    <row r="530" spans="1:18" s="438" customFormat="1" outlineLevel="1">
      <c r="A530" s="569"/>
      <c r="B530" s="598"/>
      <c r="C530" s="589"/>
      <c r="D530" s="565"/>
      <c r="E530" s="596"/>
      <c r="F530" s="565"/>
      <c r="G530" s="600"/>
      <c r="H530" s="602"/>
      <c r="I530" s="565"/>
      <c r="J530" s="565"/>
      <c r="K530" s="466"/>
      <c r="L530" s="459"/>
      <c r="M530" s="460"/>
      <c r="N530" s="459"/>
      <c r="O530" s="261"/>
      <c r="P530" s="565"/>
      <c r="Q530" s="565"/>
      <c r="R530" s="467"/>
    </row>
    <row r="531" spans="1:18" s="438" customFormat="1" outlineLevel="1">
      <c r="A531" s="569"/>
      <c r="B531" s="598"/>
      <c r="C531" s="589"/>
      <c r="D531" s="565"/>
      <c r="E531" s="596"/>
      <c r="F531" s="565"/>
      <c r="G531" s="600"/>
      <c r="H531" s="602"/>
      <c r="I531" s="565"/>
      <c r="J531" s="565"/>
      <c r="K531" s="466"/>
      <c r="L531" s="459"/>
      <c r="M531" s="460"/>
      <c r="N531" s="459"/>
      <c r="O531" s="261"/>
      <c r="P531" s="565"/>
      <c r="Q531" s="565"/>
      <c r="R531" s="467"/>
    </row>
    <row r="532" spans="1:18" s="438" customFormat="1" outlineLevel="1">
      <c r="A532" s="570"/>
      <c r="B532" s="599"/>
      <c r="C532" s="590"/>
      <c r="D532" s="566"/>
      <c r="E532" s="596"/>
      <c r="F532" s="566"/>
      <c r="G532" s="601"/>
      <c r="H532" s="603"/>
      <c r="I532" s="566"/>
      <c r="J532" s="566"/>
      <c r="K532" s="466"/>
      <c r="L532" s="459"/>
      <c r="M532" s="460"/>
      <c r="N532" s="459"/>
      <c r="O532" s="261"/>
      <c r="P532" s="566"/>
      <c r="Q532" s="566"/>
      <c r="R532" s="467"/>
    </row>
    <row r="533" spans="1:18" s="438" customFormat="1" outlineLevel="1">
      <c r="A533" s="568"/>
      <c r="B533" s="572"/>
      <c r="C533" s="574"/>
      <c r="D533" s="578"/>
      <c r="E533" s="580"/>
      <c r="F533" s="578"/>
      <c r="G533" s="581"/>
      <c r="H533" s="577"/>
      <c r="I533" s="577"/>
      <c r="J533" s="577"/>
      <c r="K533" s="472"/>
      <c r="L533" s="480"/>
      <c r="M533" s="479"/>
      <c r="N533" s="476"/>
      <c r="O533" s="477"/>
      <c r="P533" s="577"/>
      <c r="Q533" s="594"/>
      <c r="R533" s="467"/>
    </row>
    <row r="534" spans="1:18" s="438" customFormat="1" outlineLevel="1">
      <c r="A534" s="569"/>
      <c r="B534" s="598"/>
      <c r="C534" s="589"/>
      <c r="D534" s="565"/>
      <c r="E534" s="596"/>
      <c r="F534" s="565"/>
      <c r="G534" s="600"/>
      <c r="H534" s="602"/>
      <c r="I534" s="565"/>
      <c r="J534" s="565"/>
      <c r="K534" s="466"/>
      <c r="L534" s="480"/>
      <c r="M534" s="479"/>
      <c r="N534" s="479"/>
      <c r="O534" s="261"/>
      <c r="P534" s="565"/>
      <c r="Q534" s="565"/>
      <c r="R534" s="467"/>
    </row>
    <row r="535" spans="1:18" s="438" customFormat="1" outlineLevel="1">
      <c r="A535" s="569"/>
      <c r="B535" s="598"/>
      <c r="C535" s="589"/>
      <c r="D535" s="565"/>
      <c r="E535" s="596"/>
      <c r="F535" s="565"/>
      <c r="G535" s="600"/>
      <c r="H535" s="602"/>
      <c r="I535" s="565"/>
      <c r="J535" s="565"/>
      <c r="K535" s="466"/>
      <c r="L535" s="480"/>
      <c r="M535" s="479"/>
      <c r="N535" s="479"/>
      <c r="O535" s="261"/>
      <c r="P535" s="565"/>
      <c r="Q535" s="565"/>
      <c r="R535" s="467"/>
    </row>
    <row r="536" spans="1:18" s="438" customFormat="1" outlineLevel="1">
      <c r="A536" s="569"/>
      <c r="B536" s="598"/>
      <c r="C536" s="589"/>
      <c r="D536" s="565"/>
      <c r="E536" s="596"/>
      <c r="F536" s="565"/>
      <c r="G536" s="600"/>
      <c r="H536" s="602"/>
      <c r="I536" s="565"/>
      <c r="J536" s="565"/>
      <c r="K536" s="466"/>
      <c r="L536" s="480"/>
      <c r="M536" s="479"/>
      <c r="N536" s="479"/>
      <c r="O536" s="261"/>
      <c r="P536" s="565"/>
      <c r="Q536" s="565"/>
      <c r="R536" s="467"/>
    </row>
    <row r="537" spans="1:18" s="438" customFormat="1" outlineLevel="1">
      <c r="A537" s="569"/>
      <c r="B537" s="598"/>
      <c r="C537" s="589"/>
      <c r="D537" s="565"/>
      <c r="E537" s="596"/>
      <c r="F537" s="565"/>
      <c r="G537" s="600"/>
      <c r="H537" s="602"/>
      <c r="I537" s="565"/>
      <c r="J537" s="565"/>
      <c r="K537" s="466"/>
      <c r="L537" s="459"/>
      <c r="M537" s="460"/>
      <c r="N537" s="459"/>
      <c r="O537" s="261"/>
      <c r="P537" s="565"/>
      <c r="Q537" s="565"/>
      <c r="R537" s="467"/>
    </row>
    <row r="538" spans="1:18" s="438" customFormat="1" outlineLevel="1">
      <c r="A538" s="569"/>
      <c r="B538" s="598"/>
      <c r="C538" s="589"/>
      <c r="D538" s="565"/>
      <c r="E538" s="596"/>
      <c r="F538" s="565"/>
      <c r="G538" s="600"/>
      <c r="H538" s="602"/>
      <c r="I538" s="565"/>
      <c r="J538" s="565"/>
      <c r="K538" s="466"/>
      <c r="L538" s="459"/>
      <c r="M538" s="460"/>
      <c r="N538" s="459"/>
      <c r="O538" s="261"/>
      <c r="P538" s="565"/>
      <c r="Q538" s="565"/>
      <c r="R538" s="467"/>
    </row>
    <row r="539" spans="1:18" s="438" customFormat="1" outlineLevel="1">
      <c r="A539" s="569"/>
      <c r="B539" s="598"/>
      <c r="C539" s="589"/>
      <c r="D539" s="565"/>
      <c r="E539" s="596"/>
      <c r="F539" s="565"/>
      <c r="G539" s="600"/>
      <c r="H539" s="602"/>
      <c r="I539" s="565"/>
      <c r="J539" s="565"/>
      <c r="K539" s="466"/>
      <c r="L539" s="459"/>
      <c r="M539" s="460"/>
      <c r="N539" s="459"/>
      <c r="O539" s="261"/>
      <c r="P539" s="565"/>
      <c r="Q539" s="565"/>
      <c r="R539" s="467"/>
    </row>
    <row r="540" spans="1:18" s="438" customFormat="1" outlineLevel="1">
      <c r="A540" s="569"/>
      <c r="B540" s="598"/>
      <c r="C540" s="589"/>
      <c r="D540" s="565"/>
      <c r="E540" s="596"/>
      <c r="F540" s="565"/>
      <c r="G540" s="600"/>
      <c r="H540" s="602"/>
      <c r="I540" s="565"/>
      <c r="J540" s="565"/>
      <c r="K540" s="466"/>
      <c r="L540" s="459"/>
      <c r="M540" s="460"/>
      <c r="N540" s="459"/>
      <c r="O540" s="261"/>
      <c r="P540" s="565"/>
      <c r="Q540" s="565"/>
      <c r="R540" s="467"/>
    </row>
    <row r="541" spans="1:18" s="438" customFormat="1" outlineLevel="1">
      <c r="A541" s="569"/>
      <c r="B541" s="598"/>
      <c r="C541" s="589"/>
      <c r="D541" s="565"/>
      <c r="E541" s="596"/>
      <c r="F541" s="565"/>
      <c r="G541" s="600"/>
      <c r="H541" s="602"/>
      <c r="I541" s="565"/>
      <c r="J541" s="565"/>
      <c r="K541" s="466"/>
      <c r="L541" s="459"/>
      <c r="M541" s="460"/>
      <c r="N541" s="459"/>
      <c r="O541" s="261"/>
      <c r="P541" s="565"/>
      <c r="Q541" s="565"/>
      <c r="R541" s="467"/>
    </row>
    <row r="542" spans="1:18" s="438" customFormat="1" outlineLevel="1">
      <c r="A542" s="569"/>
      <c r="B542" s="598"/>
      <c r="C542" s="589"/>
      <c r="D542" s="565"/>
      <c r="E542" s="596"/>
      <c r="F542" s="565"/>
      <c r="G542" s="600"/>
      <c r="H542" s="602"/>
      <c r="I542" s="565"/>
      <c r="J542" s="565"/>
      <c r="K542" s="466"/>
      <c r="L542" s="459"/>
      <c r="M542" s="460"/>
      <c r="N542" s="459"/>
      <c r="O542" s="261"/>
      <c r="P542" s="565"/>
      <c r="Q542" s="565"/>
      <c r="R542" s="467"/>
    </row>
    <row r="543" spans="1:18" s="438" customFormat="1" outlineLevel="1">
      <c r="A543" s="569"/>
      <c r="B543" s="598"/>
      <c r="C543" s="589"/>
      <c r="D543" s="565"/>
      <c r="E543" s="596"/>
      <c r="F543" s="565"/>
      <c r="G543" s="600"/>
      <c r="H543" s="602"/>
      <c r="I543" s="565"/>
      <c r="J543" s="565"/>
      <c r="K543" s="466"/>
      <c r="L543" s="459"/>
      <c r="M543" s="460"/>
      <c r="N543" s="459"/>
      <c r="O543" s="261"/>
      <c r="P543" s="565"/>
      <c r="Q543" s="565"/>
      <c r="R543" s="467"/>
    </row>
    <row r="544" spans="1:18" s="438" customFormat="1" outlineLevel="1">
      <c r="A544" s="569"/>
      <c r="B544" s="598"/>
      <c r="C544" s="589"/>
      <c r="D544" s="565"/>
      <c r="E544" s="596"/>
      <c r="F544" s="565"/>
      <c r="G544" s="600"/>
      <c r="H544" s="602"/>
      <c r="I544" s="565"/>
      <c r="J544" s="565"/>
      <c r="K544" s="466"/>
      <c r="L544" s="459"/>
      <c r="M544" s="460"/>
      <c r="N544" s="459"/>
      <c r="O544" s="261"/>
      <c r="P544" s="565"/>
      <c r="Q544" s="565"/>
      <c r="R544" s="467"/>
    </row>
    <row r="545" spans="1:18" s="438" customFormat="1" outlineLevel="1">
      <c r="A545" s="569"/>
      <c r="B545" s="598"/>
      <c r="C545" s="589"/>
      <c r="D545" s="565"/>
      <c r="E545" s="596"/>
      <c r="F545" s="565"/>
      <c r="G545" s="600"/>
      <c r="H545" s="602"/>
      <c r="I545" s="565"/>
      <c r="J545" s="565"/>
      <c r="K545" s="466"/>
      <c r="L545" s="459"/>
      <c r="M545" s="460"/>
      <c r="N545" s="459"/>
      <c r="O545" s="261"/>
      <c r="P545" s="565"/>
      <c r="Q545" s="565"/>
      <c r="R545" s="467"/>
    </row>
    <row r="546" spans="1:18" s="438" customFormat="1" outlineLevel="1">
      <c r="A546" s="569"/>
      <c r="B546" s="598"/>
      <c r="C546" s="589"/>
      <c r="D546" s="565"/>
      <c r="E546" s="596"/>
      <c r="F546" s="565"/>
      <c r="G546" s="600"/>
      <c r="H546" s="602"/>
      <c r="I546" s="565"/>
      <c r="J546" s="565"/>
      <c r="K546" s="466"/>
      <c r="L546" s="459"/>
      <c r="M546" s="460"/>
      <c r="N546" s="459"/>
      <c r="O546" s="261"/>
      <c r="P546" s="565"/>
      <c r="Q546" s="565"/>
      <c r="R546" s="467"/>
    </row>
    <row r="547" spans="1:18" s="438" customFormat="1" outlineLevel="1">
      <c r="A547" s="569"/>
      <c r="B547" s="598"/>
      <c r="C547" s="589"/>
      <c r="D547" s="565"/>
      <c r="E547" s="596"/>
      <c r="F547" s="565"/>
      <c r="G547" s="600"/>
      <c r="H547" s="602"/>
      <c r="I547" s="565"/>
      <c r="J547" s="565"/>
      <c r="K547" s="466"/>
      <c r="L547" s="459"/>
      <c r="M547" s="460"/>
      <c r="N547" s="459"/>
      <c r="O547" s="261"/>
      <c r="P547" s="565"/>
      <c r="Q547" s="565"/>
      <c r="R547" s="467"/>
    </row>
    <row r="548" spans="1:18" s="438" customFormat="1" outlineLevel="1">
      <c r="A548" s="570"/>
      <c r="B548" s="599"/>
      <c r="C548" s="590"/>
      <c r="D548" s="566"/>
      <c r="E548" s="596"/>
      <c r="F548" s="566"/>
      <c r="G548" s="601"/>
      <c r="H548" s="603"/>
      <c r="I548" s="566"/>
      <c r="J548" s="566"/>
      <c r="K548" s="466"/>
      <c r="L548" s="459"/>
      <c r="M548" s="460"/>
      <c r="N548" s="459"/>
      <c r="O548" s="261"/>
      <c r="P548" s="566"/>
      <c r="Q548" s="566"/>
      <c r="R548" s="467"/>
    </row>
    <row r="549" spans="1:18" s="438" customFormat="1" outlineLevel="1">
      <c r="A549" s="568"/>
      <c r="B549" s="572"/>
      <c r="C549" s="574"/>
      <c r="D549" s="578"/>
      <c r="E549" s="580"/>
      <c r="F549" s="578"/>
      <c r="G549" s="581"/>
      <c r="H549" s="577"/>
      <c r="I549" s="577"/>
      <c r="J549" s="577"/>
      <c r="K549" s="472"/>
      <c r="L549" s="480"/>
      <c r="M549" s="479"/>
      <c r="N549" s="476"/>
      <c r="O549" s="477"/>
      <c r="P549" s="577"/>
      <c r="Q549" s="594"/>
      <c r="R549" s="467"/>
    </row>
    <row r="550" spans="1:18" s="438" customFormat="1" outlineLevel="1">
      <c r="A550" s="569"/>
      <c r="B550" s="598"/>
      <c r="C550" s="589"/>
      <c r="D550" s="565"/>
      <c r="E550" s="596"/>
      <c r="F550" s="565"/>
      <c r="G550" s="600"/>
      <c r="H550" s="602"/>
      <c r="I550" s="565"/>
      <c r="J550" s="565"/>
      <c r="K550" s="466"/>
      <c r="L550" s="480"/>
      <c r="M550" s="479"/>
      <c r="N550" s="479"/>
      <c r="O550" s="261"/>
      <c r="P550" s="565"/>
      <c r="Q550" s="565"/>
      <c r="R550" s="467"/>
    </row>
    <row r="551" spans="1:18" s="438" customFormat="1" outlineLevel="1">
      <c r="A551" s="569"/>
      <c r="B551" s="598"/>
      <c r="C551" s="589"/>
      <c r="D551" s="565"/>
      <c r="E551" s="596"/>
      <c r="F551" s="565"/>
      <c r="G551" s="600"/>
      <c r="H551" s="602"/>
      <c r="I551" s="565"/>
      <c r="J551" s="565"/>
      <c r="K551" s="466"/>
      <c r="L551" s="480"/>
      <c r="M551" s="479"/>
      <c r="N551" s="479"/>
      <c r="O551" s="261"/>
      <c r="P551" s="565"/>
      <c r="Q551" s="565"/>
      <c r="R551" s="467"/>
    </row>
    <row r="552" spans="1:18" s="438" customFormat="1" outlineLevel="1">
      <c r="A552" s="569"/>
      <c r="B552" s="598"/>
      <c r="C552" s="589"/>
      <c r="D552" s="565"/>
      <c r="E552" s="596"/>
      <c r="F552" s="565"/>
      <c r="G552" s="600"/>
      <c r="H552" s="602"/>
      <c r="I552" s="565"/>
      <c r="J552" s="565"/>
      <c r="K552" s="466"/>
      <c r="L552" s="480"/>
      <c r="M552" s="479"/>
      <c r="N552" s="479"/>
      <c r="O552" s="261"/>
      <c r="P552" s="565"/>
      <c r="Q552" s="565"/>
      <c r="R552" s="467"/>
    </row>
    <row r="553" spans="1:18" s="438" customFormat="1" outlineLevel="1">
      <c r="A553" s="569"/>
      <c r="B553" s="598"/>
      <c r="C553" s="589"/>
      <c r="D553" s="565"/>
      <c r="E553" s="596"/>
      <c r="F553" s="565"/>
      <c r="G553" s="600"/>
      <c r="H553" s="602"/>
      <c r="I553" s="565"/>
      <c r="J553" s="565"/>
      <c r="K553" s="466"/>
      <c r="L553" s="480"/>
      <c r="M553" s="479"/>
      <c r="N553" s="479"/>
      <c r="O553" s="261"/>
      <c r="P553" s="565"/>
      <c r="Q553" s="565"/>
      <c r="R553" s="467"/>
    </row>
    <row r="554" spans="1:18" s="438" customFormat="1" outlineLevel="1">
      <c r="A554" s="569"/>
      <c r="B554" s="598"/>
      <c r="C554" s="589"/>
      <c r="D554" s="565"/>
      <c r="E554" s="596"/>
      <c r="F554" s="565"/>
      <c r="G554" s="600"/>
      <c r="H554" s="602"/>
      <c r="I554" s="565"/>
      <c r="J554" s="565"/>
      <c r="K554" s="466"/>
      <c r="L554" s="459"/>
      <c r="M554" s="460"/>
      <c r="N554" s="459"/>
      <c r="O554" s="261"/>
      <c r="P554" s="565"/>
      <c r="Q554" s="565"/>
      <c r="R554" s="467"/>
    </row>
    <row r="555" spans="1:18" s="438" customFormat="1" outlineLevel="1">
      <c r="A555" s="569"/>
      <c r="B555" s="598"/>
      <c r="C555" s="589"/>
      <c r="D555" s="565"/>
      <c r="E555" s="596"/>
      <c r="F555" s="565"/>
      <c r="G555" s="600"/>
      <c r="H555" s="602"/>
      <c r="I555" s="565"/>
      <c r="J555" s="565"/>
      <c r="K555" s="466"/>
      <c r="L555" s="459"/>
      <c r="M555" s="460"/>
      <c r="N555" s="459"/>
      <c r="O555" s="261"/>
      <c r="P555" s="565"/>
      <c r="Q555" s="565"/>
      <c r="R555" s="467"/>
    </row>
    <row r="556" spans="1:18" s="438" customFormat="1" outlineLevel="1">
      <c r="A556" s="569"/>
      <c r="B556" s="598"/>
      <c r="C556" s="589"/>
      <c r="D556" s="565"/>
      <c r="E556" s="596"/>
      <c r="F556" s="565"/>
      <c r="G556" s="600"/>
      <c r="H556" s="602"/>
      <c r="I556" s="565"/>
      <c r="J556" s="565"/>
      <c r="K556" s="466"/>
      <c r="L556" s="459"/>
      <c r="M556" s="460"/>
      <c r="N556" s="459"/>
      <c r="O556" s="261"/>
      <c r="P556" s="565"/>
      <c r="Q556" s="565"/>
      <c r="R556" s="467"/>
    </row>
    <row r="557" spans="1:18" s="438" customFormat="1" outlineLevel="1">
      <c r="A557" s="569"/>
      <c r="B557" s="598"/>
      <c r="C557" s="589"/>
      <c r="D557" s="565"/>
      <c r="E557" s="596"/>
      <c r="F557" s="565"/>
      <c r="G557" s="600"/>
      <c r="H557" s="602"/>
      <c r="I557" s="565"/>
      <c r="J557" s="565"/>
      <c r="K557" s="466"/>
      <c r="L557" s="459"/>
      <c r="M557" s="460"/>
      <c r="N557" s="459"/>
      <c r="O557" s="261"/>
      <c r="P557" s="565"/>
      <c r="Q557" s="565"/>
      <c r="R557" s="467"/>
    </row>
    <row r="558" spans="1:18" s="438" customFormat="1" outlineLevel="1">
      <c r="A558" s="569"/>
      <c r="B558" s="598"/>
      <c r="C558" s="589"/>
      <c r="D558" s="565"/>
      <c r="E558" s="596"/>
      <c r="F558" s="565"/>
      <c r="G558" s="600"/>
      <c r="H558" s="602"/>
      <c r="I558" s="565"/>
      <c r="J558" s="565"/>
      <c r="K558" s="466"/>
      <c r="L558" s="459"/>
      <c r="M558" s="460"/>
      <c r="N558" s="459"/>
      <c r="O558" s="261"/>
      <c r="P558" s="565"/>
      <c r="Q558" s="565"/>
      <c r="R558" s="467"/>
    </row>
    <row r="559" spans="1:18" s="438" customFormat="1" outlineLevel="1">
      <c r="A559" s="569"/>
      <c r="B559" s="598"/>
      <c r="C559" s="589"/>
      <c r="D559" s="565"/>
      <c r="E559" s="596"/>
      <c r="F559" s="565"/>
      <c r="G559" s="600"/>
      <c r="H559" s="602"/>
      <c r="I559" s="565"/>
      <c r="J559" s="565"/>
      <c r="K559" s="466"/>
      <c r="L559" s="459"/>
      <c r="M559" s="460"/>
      <c r="N559" s="459"/>
      <c r="O559" s="261"/>
      <c r="P559" s="565"/>
      <c r="Q559" s="565"/>
      <c r="R559" s="467"/>
    </row>
    <row r="560" spans="1:18" s="438" customFormat="1" outlineLevel="1">
      <c r="A560" s="569"/>
      <c r="B560" s="598"/>
      <c r="C560" s="589"/>
      <c r="D560" s="565"/>
      <c r="E560" s="596"/>
      <c r="F560" s="565"/>
      <c r="G560" s="600"/>
      <c r="H560" s="602"/>
      <c r="I560" s="565"/>
      <c r="J560" s="565"/>
      <c r="K560" s="466"/>
      <c r="L560" s="459"/>
      <c r="M560" s="460"/>
      <c r="N560" s="459"/>
      <c r="O560" s="261"/>
      <c r="P560" s="565"/>
      <c r="Q560" s="565"/>
      <c r="R560" s="467"/>
    </row>
    <row r="561" spans="1:18" s="438" customFormat="1" outlineLevel="1">
      <c r="A561" s="569"/>
      <c r="B561" s="598"/>
      <c r="C561" s="589"/>
      <c r="D561" s="565"/>
      <c r="E561" s="596"/>
      <c r="F561" s="565"/>
      <c r="G561" s="600"/>
      <c r="H561" s="602"/>
      <c r="I561" s="565"/>
      <c r="J561" s="565"/>
      <c r="K561" s="466"/>
      <c r="L561" s="459"/>
      <c r="M561" s="460"/>
      <c r="N561" s="459"/>
      <c r="O561" s="261"/>
      <c r="P561" s="565"/>
      <c r="Q561" s="565"/>
      <c r="R561" s="467"/>
    </row>
    <row r="562" spans="1:18" s="438" customFormat="1" outlineLevel="1">
      <c r="A562" s="569"/>
      <c r="B562" s="598"/>
      <c r="C562" s="589"/>
      <c r="D562" s="565"/>
      <c r="E562" s="596"/>
      <c r="F562" s="565"/>
      <c r="G562" s="600"/>
      <c r="H562" s="602"/>
      <c r="I562" s="565"/>
      <c r="J562" s="565"/>
      <c r="K562" s="466"/>
      <c r="L562" s="459"/>
      <c r="M562" s="460"/>
      <c r="N562" s="459"/>
      <c r="O562" s="261"/>
      <c r="P562" s="565"/>
      <c r="Q562" s="565"/>
      <c r="R562" s="467"/>
    </row>
    <row r="563" spans="1:18" s="438" customFormat="1" outlineLevel="1">
      <c r="A563" s="569"/>
      <c r="B563" s="598"/>
      <c r="C563" s="589"/>
      <c r="D563" s="565"/>
      <c r="E563" s="596"/>
      <c r="F563" s="565"/>
      <c r="G563" s="600"/>
      <c r="H563" s="602"/>
      <c r="I563" s="565"/>
      <c r="J563" s="565"/>
      <c r="K563" s="466"/>
      <c r="L563" s="459"/>
      <c r="M563" s="460"/>
      <c r="N563" s="459"/>
      <c r="O563" s="261"/>
      <c r="P563" s="565"/>
      <c r="Q563" s="565"/>
      <c r="R563" s="467"/>
    </row>
    <row r="564" spans="1:18" s="438" customFormat="1" outlineLevel="1">
      <c r="A564" s="570"/>
      <c r="B564" s="599"/>
      <c r="C564" s="590"/>
      <c r="D564" s="566"/>
      <c r="E564" s="596"/>
      <c r="F564" s="566"/>
      <c r="G564" s="601"/>
      <c r="H564" s="603"/>
      <c r="I564" s="566"/>
      <c r="J564" s="566"/>
      <c r="K564" s="466"/>
      <c r="L564" s="459"/>
      <c r="M564" s="460"/>
      <c r="N564" s="459"/>
      <c r="O564" s="261"/>
      <c r="P564" s="566"/>
      <c r="Q564" s="566"/>
      <c r="R564" s="467"/>
    </row>
    <row r="565" spans="1:18" s="438" customFormat="1" outlineLevel="1">
      <c r="A565" s="568"/>
      <c r="B565" s="572"/>
      <c r="C565" s="574"/>
      <c r="D565" s="578"/>
      <c r="E565" s="580"/>
      <c r="F565" s="578"/>
      <c r="G565" s="581"/>
      <c r="H565" s="581"/>
      <c r="I565" s="577"/>
      <c r="J565" s="577"/>
      <c r="K565" s="472"/>
      <c r="L565" s="480"/>
      <c r="M565" s="479"/>
      <c r="N565" s="476"/>
      <c r="O565" s="477"/>
      <c r="P565" s="577"/>
      <c r="Q565" s="594"/>
      <c r="R565" s="467"/>
    </row>
    <row r="566" spans="1:18" s="438" customFormat="1" outlineLevel="1">
      <c r="A566" s="569"/>
      <c r="B566" s="598"/>
      <c r="C566" s="589"/>
      <c r="D566" s="565"/>
      <c r="E566" s="596"/>
      <c r="F566" s="565"/>
      <c r="G566" s="600"/>
      <c r="H566" s="600"/>
      <c r="I566" s="565"/>
      <c r="J566" s="565"/>
      <c r="K566" s="466"/>
      <c r="L566" s="459"/>
      <c r="M566" s="460"/>
      <c r="N566" s="459"/>
      <c r="O566" s="261"/>
      <c r="P566" s="565"/>
      <c r="Q566" s="565"/>
      <c r="R566" s="467"/>
    </row>
    <row r="567" spans="1:18" s="438" customFormat="1" outlineLevel="1">
      <c r="A567" s="569"/>
      <c r="B567" s="598"/>
      <c r="C567" s="589"/>
      <c r="D567" s="565"/>
      <c r="E567" s="596"/>
      <c r="F567" s="565"/>
      <c r="G567" s="600"/>
      <c r="H567" s="600"/>
      <c r="I567" s="565"/>
      <c r="J567" s="565"/>
      <c r="K567" s="466"/>
      <c r="L567" s="459"/>
      <c r="M567" s="460"/>
      <c r="N567" s="459"/>
      <c r="O567" s="261"/>
      <c r="P567" s="565"/>
      <c r="Q567" s="565"/>
      <c r="R567" s="467"/>
    </row>
    <row r="568" spans="1:18" s="438" customFormat="1" outlineLevel="1">
      <c r="A568" s="569"/>
      <c r="B568" s="598"/>
      <c r="C568" s="589"/>
      <c r="D568" s="565"/>
      <c r="E568" s="596"/>
      <c r="F568" s="565"/>
      <c r="G568" s="600"/>
      <c r="H568" s="600"/>
      <c r="I568" s="565"/>
      <c r="J568" s="565"/>
      <c r="K568" s="466"/>
      <c r="L568" s="459"/>
      <c r="M568" s="460"/>
      <c r="N568" s="459"/>
      <c r="O568" s="261"/>
      <c r="P568" s="565"/>
      <c r="Q568" s="565"/>
      <c r="R568" s="467"/>
    </row>
    <row r="569" spans="1:18" s="438" customFormat="1" outlineLevel="1">
      <c r="A569" s="569"/>
      <c r="B569" s="598"/>
      <c r="C569" s="589"/>
      <c r="D569" s="565"/>
      <c r="E569" s="596"/>
      <c r="F569" s="565"/>
      <c r="G569" s="600"/>
      <c r="H569" s="600"/>
      <c r="I569" s="565"/>
      <c r="J569" s="565"/>
      <c r="K569" s="466"/>
      <c r="L569" s="459"/>
      <c r="M569" s="460"/>
      <c r="N569" s="459"/>
      <c r="O569" s="261"/>
      <c r="P569" s="565"/>
      <c r="Q569" s="565"/>
      <c r="R569" s="467"/>
    </row>
    <row r="570" spans="1:18" s="438" customFormat="1" outlineLevel="1">
      <c r="A570" s="569"/>
      <c r="B570" s="598"/>
      <c r="C570" s="589"/>
      <c r="D570" s="565"/>
      <c r="E570" s="596"/>
      <c r="F570" s="565"/>
      <c r="G570" s="600"/>
      <c r="H570" s="600"/>
      <c r="I570" s="565"/>
      <c r="J570" s="565"/>
      <c r="K570" s="466"/>
      <c r="L570" s="459"/>
      <c r="M570" s="460"/>
      <c r="N570" s="459"/>
      <c r="O570" s="261"/>
      <c r="P570" s="565"/>
      <c r="Q570" s="565"/>
      <c r="R570" s="467"/>
    </row>
    <row r="571" spans="1:18" s="438" customFormat="1" outlineLevel="1">
      <c r="A571" s="569"/>
      <c r="B571" s="598"/>
      <c r="C571" s="589"/>
      <c r="D571" s="565"/>
      <c r="E571" s="596"/>
      <c r="F571" s="565"/>
      <c r="G571" s="600"/>
      <c r="H571" s="600"/>
      <c r="I571" s="565"/>
      <c r="J571" s="565"/>
      <c r="K571" s="466"/>
      <c r="L571" s="459"/>
      <c r="M571" s="460"/>
      <c r="N571" s="459"/>
      <c r="O571" s="261"/>
      <c r="P571" s="565"/>
      <c r="Q571" s="565"/>
      <c r="R571" s="467"/>
    </row>
    <row r="572" spans="1:18" s="438" customFormat="1" outlineLevel="1">
      <c r="A572" s="569"/>
      <c r="B572" s="598"/>
      <c r="C572" s="589"/>
      <c r="D572" s="565"/>
      <c r="E572" s="596"/>
      <c r="F572" s="565"/>
      <c r="G572" s="600"/>
      <c r="H572" s="600"/>
      <c r="I572" s="565"/>
      <c r="J572" s="565"/>
      <c r="K572" s="466"/>
      <c r="L572" s="459"/>
      <c r="M572" s="460"/>
      <c r="N572" s="459"/>
      <c r="O572" s="261"/>
      <c r="P572" s="565"/>
      <c r="Q572" s="565"/>
      <c r="R572" s="467"/>
    </row>
    <row r="573" spans="1:18" s="438" customFormat="1" outlineLevel="1">
      <c r="A573" s="569"/>
      <c r="B573" s="598"/>
      <c r="C573" s="589"/>
      <c r="D573" s="565"/>
      <c r="E573" s="596"/>
      <c r="F573" s="565"/>
      <c r="G573" s="600"/>
      <c r="H573" s="600"/>
      <c r="I573" s="565"/>
      <c r="J573" s="565"/>
      <c r="K573" s="466"/>
      <c r="L573" s="459"/>
      <c r="M573" s="460"/>
      <c r="N573" s="459"/>
      <c r="O573" s="261"/>
      <c r="P573" s="565"/>
      <c r="Q573" s="565"/>
      <c r="R573" s="467"/>
    </row>
    <row r="574" spans="1:18" s="438" customFormat="1" outlineLevel="1">
      <c r="A574" s="569"/>
      <c r="B574" s="598"/>
      <c r="C574" s="589"/>
      <c r="D574" s="565"/>
      <c r="E574" s="596"/>
      <c r="F574" s="565"/>
      <c r="G574" s="600"/>
      <c r="H574" s="600"/>
      <c r="I574" s="565"/>
      <c r="J574" s="565"/>
      <c r="K574" s="466"/>
      <c r="L574" s="459"/>
      <c r="M574" s="460"/>
      <c r="N574" s="459"/>
      <c r="O574" s="261"/>
      <c r="P574" s="565"/>
      <c r="Q574" s="565"/>
      <c r="R574" s="467"/>
    </row>
    <row r="575" spans="1:18" s="438" customFormat="1" outlineLevel="1">
      <c r="A575" s="569"/>
      <c r="B575" s="598"/>
      <c r="C575" s="589"/>
      <c r="D575" s="565"/>
      <c r="E575" s="596"/>
      <c r="F575" s="565"/>
      <c r="G575" s="600"/>
      <c r="H575" s="600"/>
      <c r="I575" s="565"/>
      <c r="J575" s="565"/>
      <c r="K575" s="466"/>
      <c r="L575" s="459"/>
      <c r="M575" s="460"/>
      <c r="N575" s="459"/>
      <c r="O575" s="261"/>
      <c r="P575" s="565"/>
      <c r="Q575" s="565"/>
      <c r="R575" s="467"/>
    </row>
    <row r="576" spans="1:18" s="438" customFormat="1" outlineLevel="1">
      <c r="A576" s="569"/>
      <c r="B576" s="598"/>
      <c r="C576" s="589"/>
      <c r="D576" s="565"/>
      <c r="E576" s="596"/>
      <c r="F576" s="565"/>
      <c r="G576" s="600"/>
      <c r="H576" s="600"/>
      <c r="I576" s="565"/>
      <c r="J576" s="565"/>
      <c r="K576" s="466"/>
      <c r="L576" s="459"/>
      <c r="M576" s="460"/>
      <c r="N576" s="459"/>
      <c r="O576" s="261"/>
      <c r="P576" s="565"/>
      <c r="Q576" s="565"/>
      <c r="R576" s="467"/>
    </row>
    <row r="577" spans="1:18" s="438" customFormat="1" outlineLevel="1">
      <c r="A577" s="569"/>
      <c r="B577" s="598"/>
      <c r="C577" s="589"/>
      <c r="D577" s="565"/>
      <c r="E577" s="596"/>
      <c r="F577" s="565"/>
      <c r="G577" s="600"/>
      <c r="H577" s="600"/>
      <c r="I577" s="565"/>
      <c r="J577" s="565"/>
      <c r="K577" s="466"/>
      <c r="L577" s="459"/>
      <c r="M577" s="460"/>
      <c r="N577" s="459"/>
      <c r="O577" s="261"/>
      <c r="P577" s="565"/>
      <c r="Q577" s="565"/>
      <c r="R577" s="467"/>
    </row>
    <row r="578" spans="1:18" s="438" customFormat="1" outlineLevel="1">
      <c r="A578" s="569"/>
      <c r="B578" s="598"/>
      <c r="C578" s="589"/>
      <c r="D578" s="565"/>
      <c r="E578" s="596"/>
      <c r="F578" s="565"/>
      <c r="G578" s="600"/>
      <c r="H578" s="600"/>
      <c r="I578" s="565"/>
      <c r="J578" s="565"/>
      <c r="K578" s="466"/>
      <c r="L578" s="459"/>
      <c r="M578" s="460"/>
      <c r="N578" s="459"/>
      <c r="O578" s="261"/>
      <c r="P578" s="565"/>
      <c r="Q578" s="565"/>
      <c r="R578" s="467"/>
    </row>
    <row r="579" spans="1:18" s="438" customFormat="1" outlineLevel="1">
      <c r="A579" s="569"/>
      <c r="B579" s="598"/>
      <c r="C579" s="589"/>
      <c r="D579" s="565"/>
      <c r="E579" s="596"/>
      <c r="F579" s="565"/>
      <c r="G579" s="600"/>
      <c r="H579" s="600"/>
      <c r="I579" s="565"/>
      <c r="J579" s="565"/>
      <c r="K579" s="466"/>
      <c r="L579" s="459"/>
      <c r="M579" s="460"/>
      <c r="N579" s="459"/>
      <c r="O579" s="261"/>
      <c r="P579" s="565"/>
      <c r="Q579" s="565"/>
      <c r="R579" s="467"/>
    </row>
    <row r="580" spans="1:18" s="438" customFormat="1" outlineLevel="1">
      <c r="A580" s="570"/>
      <c r="B580" s="599"/>
      <c r="C580" s="590"/>
      <c r="D580" s="566"/>
      <c r="E580" s="596"/>
      <c r="F580" s="566"/>
      <c r="G580" s="601"/>
      <c r="H580" s="601"/>
      <c r="I580" s="566"/>
      <c r="J580" s="566"/>
      <c r="K580" s="466"/>
      <c r="L580" s="459"/>
      <c r="M580" s="460"/>
      <c r="N580" s="459"/>
      <c r="O580" s="261"/>
      <c r="P580" s="566"/>
      <c r="Q580" s="566"/>
      <c r="R580" s="467"/>
    </row>
    <row r="581" spans="1:18" s="438" customFormat="1" outlineLevel="1">
      <c r="A581" s="568"/>
      <c r="B581" s="572"/>
      <c r="C581" s="574"/>
      <c r="D581" s="578"/>
      <c r="E581" s="580"/>
      <c r="F581" s="578"/>
      <c r="G581" s="581"/>
      <c r="H581" s="577"/>
      <c r="I581" s="577"/>
      <c r="J581" s="577"/>
      <c r="K581" s="472"/>
      <c r="L581" s="482"/>
      <c r="M581" s="479"/>
      <c r="N581" s="476"/>
      <c r="O581" s="477"/>
      <c r="P581" s="577"/>
      <c r="Q581" s="594"/>
      <c r="R581" s="467"/>
    </row>
    <row r="582" spans="1:18" s="438" customFormat="1" outlineLevel="1">
      <c r="A582" s="569"/>
      <c r="B582" s="598"/>
      <c r="C582" s="589"/>
      <c r="D582" s="565"/>
      <c r="E582" s="596"/>
      <c r="F582" s="565"/>
      <c r="G582" s="600"/>
      <c r="H582" s="602"/>
      <c r="I582" s="565"/>
      <c r="J582" s="565"/>
      <c r="K582" s="466"/>
      <c r="L582" s="480"/>
      <c r="M582" s="479"/>
      <c r="N582" s="479"/>
      <c r="O582" s="261"/>
      <c r="P582" s="565"/>
      <c r="Q582" s="565"/>
      <c r="R582" s="467"/>
    </row>
    <row r="583" spans="1:18" s="438" customFormat="1" outlineLevel="1">
      <c r="A583" s="569"/>
      <c r="B583" s="598"/>
      <c r="C583" s="589"/>
      <c r="D583" s="565"/>
      <c r="E583" s="596"/>
      <c r="F583" s="565"/>
      <c r="G583" s="600"/>
      <c r="H583" s="602"/>
      <c r="I583" s="565"/>
      <c r="J583" s="565"/>
      <c r="K583" s="466"/>
      <c r="L583" s="480"/>
      <c r="M583" s="479"/>
      <c r="N583" s="479"/>
      <c r="O583" s="261"/>
      <c r="P583" s="565"/>
      <c r="Q583" s="565"/>
      <c r="R583" s="467"/>
    </row>
    <row r="584" spans="1:18" s="438" customFormat="1" outlineLevel="1">
      <c r="A584" s="569"/>
      <c r="B584" s="598"/>
      <c r="C584" s="589"/>
      <c r="D584" s="565"/>
      <c r="E584" s="596"/>
      <c r="F584" s="565"/>
      <c r="G584" s="600"/>
      <c r="H584" s="602"/>
      <c r="I584" s="565"/>
      <c r="J584" s="565"/>
      <c r="K584" s="466"/>
      <c r="L584" s="459"/>
      <c r="M584" s="460"/>
      <c r="N584" s="459"/>
      <c r="O584" s="261"/>
      <c r="P584" s="565"/>
      <c r="Q584" s="565"/>
      <c r="R584" s="467"/>
    </row>
    <row r="585" spans="1:18" s="438" customFormat="1" outlineLevel="1">
      <c r="A585" s="569"/>
      <c r="B585" s="598"/>
      <c r="C585" s="589"/>
      <c r="D585" s="565"/>
      <c r="E585" s="596"/>
      <c r="F585" s="565"/>
      <c r="G585" s="600"/>
      <c r="H585" s="602"/>
      <c r="I585" s="565"/>
      <c r="J585" s="565"/>
      <c r="K585" s="466"/>
      <c r="L585" s="459"/>
      <c r="M585" s="460"/>
      <c r="N585" s="459"/>
      <c r="O585" s="261"/>
      <c r="P585" s="565"/>
      <c r="Q585" s="565"/>
      <c r="R585" s="467"/>
    </row>
    <row r="586" spans="1:18" s="438" customFormat="1" outlineLevel="1">
      <c r="A586" s="569"/>
      <c r="B586" s="598"/>
      <c r="C586" s="589"/>
      <c r="D586" s="565"/>
      <c r="E586" s="596"/>
      <c r="F586" s="565"/>
      <c r="G586" s="600"/>
      <c r="H586" s="602"/>
      <c r="I586" s="565"/>
      <c r="J586" s="565"/>
      <c r="K586" s="466"/>
      <c r="L586" s="459"/>
      <c r="M586" s="460"/>
      <c r="N586" s="459"/>
      <c r="O586" s="261"/>
      <c r="P586" s="565"/>
      <c r="Q586" s="565"/>
      <c r="R586" s="467"/>
    </row>
    <row r="587" spans="1:18" s="438" customFormat="1" outlineLevel="1">
      <c r="A587" s="569"/>
      <c r="B587" s="598"/>
      <c r="C587" s="589"/>
      <c r="D587" s="565"/>
      <c r="E587" s="596"/>
      <c r="F587" s="565"/>
      <c r="G587" s="600"/>
      <c r="H587" s="602"/>
      <c r="I587" s="565"/>
      <c r="J587" s="565"/>
      <c r="K587" s="466"/>
      <c r="L587" s="459"/>
      <c r="M587" s="460"/>
      <c r="N587" s="459"/>
      <c r="O587" s="261"/>
      <c r="P587" s="565"/>
      <c r="Q587" s="565"/>
      <c r="R587" s="467"/>
    </row>
    <row r="588" spans="1:18" s="438" customFormat="1" outlineLevel="1">
      <c r="A588" s="569"/>
      <c r="B588" s="598"/>
      <c r="C588" s="589"/>
      <c r="D588" s="565"/>
      <c r="E588" s="596"/>
      <c r="F588" s="565"/>
      <c r="G588" s="600"/>
      <c r="H588" s="602"/>
      <c r="I588" s="565"/>
      <c r="J588" s="565"/>
      <c r="K588" s="466"/>
      <c r="L588" s="459"/>
      <c r="M588" s="460"/>
      <c r="N588" s="459"/>
      <c r="O588" s="261"/>
      <c r="P588" s="565"/>
      <c r="Q588" s="565"/>
      <c r="R588" s="467"/>
    </row>
    <row r="589" spans="1:18" s="438" customFormat="1" outlineLevel="1">
      <c r="A589" s="569"/>
      <c r="B589" s="598"/>
      <c r="C589" s="589"/>
      <c r="D589" s="565"/>
      <c r="E589" s="596"/>
      <c r="F589" s="565"/>
      <c r="G589" s="600"/>
      <c r="H589" s="602"/>
      <c r="I589" s="565"/>
      <c r="J589" s="565"/>
      <c r="K589" s="466"/>
      <c r="L589" s="459"/>
      <c r="M589" s="460"/>
      <c r="N589" s="459"/>
      <c r="O589" s="261"/>
      <c r="P589" s="565"/>
      <c r="Q589" s="565"/>
      <c r="R589" s="467"/>
    </row>
    <row r="590" spans="1:18" s="438" customFormat="1" outlineLevel="1">
      <c r="A590" s="569"/>
      <c r="B590" s="598"/>
      <c r="C590" s="589"/>
      <c r="D590" s="565"/>
      <c r="E590" s="596"/>
      <c r="F590" s="565"/>
      <c r="G590" s="600"/>
      <c r="H590" s="602"/>
      <c r="I590" s="565"/>
      <c r="J590" s="565"/>
      <c r="K590" s="466"/>
      <c r="L590" s="459"/>
      <c r="M590" s="460"/>
      <c r="N590" s="459"/>
      <c r="O590" s="261"/>
      <c r="P590" s="565"/>
      <c r="Q590" s="565"/>
      <c r="R590" s="467"/>
    </row>
    <row r="591" spans="1:18" s="438" customFormat="1" outlineLevel="1">
      <c r="A591" s="569"/>
      <c r="B591" s="598"/>
      <c r="C591" s="589"/>
      <c r="D591" s="565"/>
      <c r="E591" s="596"/>
      <c r="F591" s="565"/>
      <c r="G591" s="600"/>
      <c r="H591" s="602"/>
      <c r="I591" s="565"/>
      <c r="J591" s="565"/>
      <c r="K591" s="466"/>
      <c r="L591" s="459"/>
      <c r="M591" s="460"/>
      <c r="N591" s="459"/>
      <c r="O591" s="261"/>
      <c r="P591" s="565"/>
      <c r="Q591" s="565"/>
      <c r="R591" s="467"/>
    </row>
    <row r="592" spans="1:18" s="438" customFormat="1" outlineLevel="1">
      <c r="A592" s="569"/>
      <c r="B592" s="598"/>
      <c r="C592" s="589"/>
      <c r="D592" s="565"/>
      <c r="E592" s="596"/>
      <c r="F592" s="565"/>
      <c r="G592" s="600"/>
      <c r="H592" s="602"/>
      <c r="I592" s="565"/>
      <c r="J592" s="565"/>
      <c r="K592" s="466"/>
      <c r="L592" s="459"/>
      <c r="M592" s="460"/>
      <c r="N592" s="459"/>
      <c r="O592" s="261"/>
      <c r="P592" s="565"/>
      <c r="Q592" s="565"/>
      <c r="R592" s="467"/>
    </row>
    <row r="593" spans="1:18" s="438" customFormat="1" outlineLevel="1">
      <c r="A593" s="569"/>
      <c r="B593" s="598"/>
      <c r="C593" s="589"/>
      <c r="D593" s="565"/>
      <c r="E593" s="596"/>
      <c r="F593" s="565"/>
      <c r="G593" s="600"/>
      <c r="H593" s="602"/>
      <c r="I593" s="565"/>
      <c r="J593" s="565"/>
      <c r="K593" s="466"/>
      <c r="L593" s="459"/>
      <c r="M593" s="460"/>
      <c r="N593" s="459"/>
      <c r="O593" s="261"/>
      <c r="P593" s="565"/>
      <c r="Q593" s="565"/>
      <c r="R593" s="467"/>
    </row>
    <row r="594" spans="1:18" s="438" customFormat="1" outlineLevel="1">
      <c r="A594" s="569"/>
      <c r="B594" s="598"/>
      <c r="C594" s="589"/>
      <c r="D594" s="565"/>
      <c r="E594" s="596"/>
      <c r="F594" s="565"/>
      <c r="G594" s="600"/>
      <c r="H594" s="602"/>
      <c r="I594" s="565"/>
      <c r="J594" s="565"/>
      <c r="K594" s="466"/>
      <c r="L594" s="459"/>
      <c r="M594" s="460"/>
      <c r="N594" s="459"/>
      <c r="O594" s="261"/>
      <c r="P594" s="565"/>
      <c r="Q594" s="565"/>
      <c r="R594" s="467"/>
    </row>
    <row r="595" spans="1:18" s="438" customFormat="1" outlineLevel="1">
      <c r="A595" s="569"/>
      <c r="B595" s="598"/>
      <c r="C595" s="589"/>
      <c r="D595" s="565"/>
      <c r="E595" s="596"/>
      <c r="F595" s="565"/>
      <c r="G595" s="600"/>
      <c r="H595" s="602"/>
      <c r="I595" s="565"/>
      <c r="J595" s="565"/>
      <c r="K595" s="466"/>
      <c r="L595" s="459"/>
      <c r="M595" s="460"/>
      <c r="N595" s="459"/>
      <c r="O595" s="261"/>
      <c r="P595" s="565"/>
      <c r="Q595" s="565"/>
      <c r="R595" s="467"/>
    </row>
    <row r="596" spans="1:18" s="438" customFormat="1" outlineLevel="1">
      <c r="A596" s="570"/>
      <c r="B596" s="599"/>
      <c r="C596" s="590"/>
      <c r="D596" s="566"/>
      <c r="E596" s="596"/>
      <c r="F596" s="566"/>
      <c r="G596" s="601"/>
      <c r="H596" s="603"/>
      <c r="I596" s="566"/>
      <c r="J596" s="566"/>
      <c r="K596" s="466"/>
      <c r="L596" s="459"/>
      <c r="M596" s="460"/>
      <c r="N596" s="459"/>
      <c r="O596" s="261"/>
      <c r="P596" s="566"/>
      <c r="Q596" s="566"/>
      <c r="R596" s="467"/>
    </row>
    <row r="597" spans="1:18" s="438" customFormat="1" outlineLevel="1">
      <c r="A597" s="568"/>
      <c r="B597" s="572"/>
      <c r="C597" s="574"/>
      <c r="D597" s="578"/>
      <c r="E597" s="580"/>
      <c r="F597" s="578"/>
      <c r="G597" s="581"/>
      <c r="H597" s="577"/>
      <c r="I597" s="577"/>
      <c r="J597" s="577"/>
      <c r="K597" s="472"/>
      <c r="L597" s="482"/>
      <c r="M597" s="479"/>
      <c r="N597" s="476"/>
      <c r="O597" s="477"/>
      <c r="P597" s="577"/>
      <c r="Q597" s="594"/>
      <c r="R597" s="467"/>
    </row>
    <row r="598" spans="1:18" s="438" customFormat="1" outlineLevel="1">
      <c r="A598" s="569"/>
      <c r="B598" s="598"/>
      <c r="C598" s="589"/>
      <c r="D598" s="565"/>
      <c r="E598" s="596"/>
      <c r="F598" s="565"/>
      <c r="G598" s="600"/>
      <c r="H598" s="602"/>
      <c r="I598" s="565"/>
      <c r="J598" s="565"/>
      <c r="K598" s="466"/>
      <c r="L598" s="480"/>
      <c r="M598" s="479"/>
      <c r="N598" s="479"/>
      <c r="O598" s="261"/>
      <c r="P598" s="565"/>
      <c r="Q598" s="565"/>
      <c r="R598" s="467"/>
    </row>
    <row r="599" spans="1:18" s="438" customFormat="1" outlineLevel="1">
      <c r="A599" s="569"/>
      <c r="B599" s="598"/>
      <c r="C599" s="589"/>
      <c r="D599" s="565"/>
      <c r="E599" s="596"/>
      <c r="F599" s="565"/>
      <c r="G599" s="600"/>
      <c r="H599" s="602"/>
      <c r="I599" s="565"/>
      <c r="J599" s="565"/>
      <c r="K599" s="466"/>
      <c r="L599" s="480"/>
      <c r="M599" s="479"/>
      <c r="N599" s="479"/>
      <c r="O599" s="261"/>
      <c r="P599" s="565"/>
      <c r="Q599" s="565"/>
      <c r="R599" s="467"/>
    </row>
    <row r="600" spans="1:18" s="438" customFormat="1" outlineLevel="1">
      <c r="A600" s="569"/>
      <c r="B600" s="598"/>
      <c r="C600" s="589"/>
      <c r="D600" s="565"/>
      <c r="E600" s="596"/>
      <c r="F600" s="565"/>
      <c r="G600" s="600"/>
      <c r="H600" s="602"/>
      <c r="I600" s="565"/>
      <c r="J600" s="565"/>
      <c r="K600" s="466"/>
      <c r="L600" s="459"/>
      <c r="M600" s="460"/>
      <c r="N600" s="459"/>
      <c r="O600" s="261"/>
      <c r="P600" s="565"/>
      <c r="Q600" s="565"/>
      <c r="R600" s="467"/>
    </row>
    <row r="601" spans="1:18" s="438" customFormat="1" outlineLevel="1">
      <c r="A601" s="569"/>
      <c r="B601" s="598"/>
      <c r="C601" s="589"/>
      <c r="D601" s="565"/>
      <c r="E601" s="596"/>
      <c r="F601" s="565"/>
      <c r="G601" s="600"/>
      <c r="H601" s="602"/>
      <c r="I601" s="565"/>
      <c r="J601" s="565"/>
      <c r="K601" s="466"/>
      <c r="L601" s="459"/>
      <c r="M601" s="460"/>
      <c r="N601" s="459"/>
      <c r="O601" s="261"/>
      <c r="P601" s="565"/>
      <c r="Q601" s="565"/>
      <c r="R601" s="467"/>
    </row>
    <row r="602" spans="1:18" s="438" customFormat="1" outlineLevel="1">
      <c r="A602" s="569"/>
      <c r="B602" s="598"/>
      <c r="C602" s="589"/>
      <c r="D602" s="565"/>
      <c r="E602" s="596"/>
      <c r="F602" s="565"/>
      <c r="G602" s="600"/>
      <c r="H602" s="602"/>
      <c r="I602" s="565"/>
      <c r="J602" s="565"/>
      <c r="K602" s="466"/>
      <c r="L602" s="459"/>
      <c r="M602" s="460"/>
      <c r="N602" s="459"/>
      <c r="O602" s="261"/>
      <c r="P602" s="565"/>
      <c r="Q602" s="565"/>
      <c r="R602" s="467"/>
    </row>
    <row r="603" spans="1:18" s="438" customFormat="1" outlineLevel="1">
      <c r="A603" s="569"/>
      <c r="B603" s="598"/>
      <c r="C603" s="589"/>
      <c r="D603" s="565"/>
      <c r="E603" s="596"/>
      <c r="F603" s="565"/>
      <c r="G603" s="600"/>
      <c r="H603" s="602"/>
      <c r="I603" s="565"/>
      <c r="J603" s="565"/>
      <c r="K603" s="466"/>
      <c r="L603" s="459"/>
      <c r="M603" s="460"/>
      <c r="N603" s="459"/>
      <c r="O603" s="261"/>
      <c r="P603" s="565"/>
      <c r="Q603" s="565"/>
      <c r="R603" s="467"/>
    </row>
    <row r="604" spans="1:18" s="438" customFormat="1" outlineLevel="1">
      <c r="A604" s="569"/>
      <c r="B604" s="598"/>
      <c r="C604" s="589"/>
      <c r="D604" s="565"/>
      <c r="E604" s="596"/>
      <c r="F604" s="565"/>
      <c r="G604" s="600"/>
      <c r="H604" s="602"/>
      <c r="I604" s="565"/>
      <c r="J604" s="565"/>
      <c r="K604" s="466"/>
      <c r="L604" s="459"/>
      <c r="M604" s="460"/>
      <c r="N604" s="459"/>
      <c r="O604" s="261"/>
      <c r="P604" s="565"/>
      <c r="Q604" s="565"/>
      <c r="R604" s="467"/>
    </row>
    <row r="605" spans="1:18" s="438" customFormat="1" outlineLevel="1">
      <c r="A605" s="569"/>
      <c r="B605" s="598"/>
      <c r="C605" s="589"/>
      <c r="D605" s="565"/>
      <c r="E605" s="596"/>
      <c r="F605" s="565"/>
      <c r="G605" s="600"/>
      <c r="H605" s="602"/>
      <c r="I605" s="565"/>
      <c r="J605" s="565"/>
      <c r="K605" s="466"/>
      <c r="L605" s="459"/>
      <c r="M605" s="460"/>
      <c r="N605" s="459"/>
      <c r="O605" s="261"/>
      <c r="P605" s="565"/>
      <c r="Q605" s="565"/>
      <c r="R605" s="467"/>
    </row>
    <row r="606" spans="1:18" s="438" customFormat="1" outlineLevel="1">
      <c r="A606" s="569"/>
      <c r="B606" s="598"/>
      <c r="C606" s="589"/>
      <c r="D606" s="565"/>
      <c r="E606" s="596"/>
      <c r="F606" s="565"/>
      <c r="G606" s="600"/>
      <c r="H606" s="602"/>
      <c r="I606" s="565"/>
      <c r="J606" s="565"/>
      <c r="K606" s="466"/>
      <c r="L606" s="459"/>
      <c r="M606" s="460"/>
      <c r="N606" s="459"/>
      <c r="O606" s="261"/>
      <c r="P606" s="565"/>
      <c r="Q606" s="565"/>
      <c r="R606" s="467"/>
    </row>
    <row r="607" spans="1:18" s="438" customFormat="1" outlineLevel="1">
      <c r="A607" s="569"/>
      <c r="B607" s="598"/>
      <c r="C607" s="589"/>
      <c r="D607" s="565"/>
      <c r="E607" s="596"/>
      <c r="F607" s="565"/>
      <c r="G607" s="600"/>
      <c r="H607" s="602"/>
      <c r="I607" s="565"/>
      <c r="J607" s="565"/>
      <c r="K607" s="466"/>
      <c r="L607" s="459"/>
      <c r="M607" s="460"/>
      <c r="N607" s="459"/>
      <c r="O607" s="261"/>
      <c r="P607" s="565"/>
      <c r="Q607" s="565"/>
      <c r="R607" s="467"/>
    </row>
    <row r="608" spans="1:18" s="438" customFormat="1" outlineLevel="1">
      <c r="A608" s="569"/>
      <c r="B608" s="598"/>
      <c r="C608" s="589"/>
      <c r="D608" s="565"/>
      <c r="E608" s="596"/>
      <c r="F608" s="565"/>
      <c r="G608" s="600"/>
      <c r="H608" s="602"/>
      <c r="I608" s="565"/>
      <c r="J608" s="565"/>
      <c r="K608" s="466"/>
      <c r="L608" s="459"/>
      <c r="M608" s="460"/>
      <c r="N608" s="459"/>
      <c r="O608" s="261"/>
      <c r="P608" s="565"/>
      <c r="Q608" s="565"/>
      <c r="R608" s="467"/>
    </row>
    <row r="609" spans="1:18" s="438" customFormat="1" outlineLevel="1">
      <c r="A609" s="569"/>
      <c r="B609" s="598"/>
      <c r="C609" s="589"/>
      <c r="D609" s="565"/>
      <c r="E609" s="596"/>
      <c r="F609" s="565"/>
      <c r="G609" s="600"/>
      <c r="H609" s="602"/>
      <c r="I609" s="565"/>
      <c r="J609" s="565"/>
      <c r="K609" s="466"/>
      <c r="L609" s="459"/>
      <c r="M609" s="460"/>
      <c r="N609" s="459"/>
      <c r="O609" s="261"/>
      <c r="P609" s="565"/>
      <c r="Q609" s="565"/>
      <c r="R609" s="467"/>
    </row>
    <row r="610" spans="1:18" s="438" customFormat="1" outlineLevel="1">
      <c r="A610" s="569"/>
      <c r="B610" s="598"/>
      <c r="C610" s="589"/>
      <c r="D610" s="565"/>
      <c r="E610" s="596"/>
      <c r="F610" s="565"/>
      <c r="G610" s="600"/>
      <c r="H610" s="602"/>
      <c r="I610" s="565"/>
      <c r="J610" s="565"/>
      <c r="K610" s="466"/>
      <c r="L610" s="459"/>
      <c r="M610" s="460"/>
      <c r="N610" s="459"/>
      <c r="O610" s="261"/>
      <c r="P610" s="565"/>
      <c r="Q610" s="565"/>
      <c r="R610" s="467"/>
    </row>
    <row r="611" spans="1:18" s="438" customFormat="1" outlineLevel="1">
      <c r="A611" s="569"/>
      <c r="B611" s="598"/>
      <c r="C611" s="589"/>
      <c r="D611" s="565"/>
      <c r="E611" s="596"/>
      <c r="F611" s="565"/>
      <c r="G611" s="600"/>
      <c r="H611" s="602"/>
      <c r="I611" s="565"/>
      <c r="J611" s="565"/>
      <c r="K611" s="466"/>
      <c r="L611" s="459"/>
      <c r="M611" s="460"/>
      <c r="N611" s="459"/>
      <c r="O611" s="261"/>
      <c r="P611" s="565"/>
      <c r="Q611" s="565"/>
      <c r="R611" s="467"/>
    </row>
    <row r="612" spans="1:18" s="438" customFormat="1" outlineLevel="1">
      <c r="A612" s="570"/>
      <c r="B612" s="599"/>
      <c r="C612" s="590"/>
      <c r="D612" s="566"/>
      <c r="E612" s="596"/>
      <c r="F612" s="566"/>
      <c r="G612" s="601"/>
      <c r="H612" s="603"/>
      <c r="I612" s="566"/>
      <c r="J612" s="566"/>
      <c r="K612" s="466"/>
      <c r="L612" s="459"/>
      <c r="M612" s="460"/>
      <c r="N612" s="459"/>
      <c r="O612" s="261"/>
      <c r="P612" s="566"/>
      <c r="Q612" s="566"/>
      <c r="R612" s="467"/>
    </row>
    <row r="613" spans="1:18" s="438" customFormat="1" outlineLevel="1">
      <c r="A613" s="568"/>
      <c r="B613" s="572"/>
      <c r="C613" s="574"/>
      <c r="D613" s="578"/>
      <c r="E613" s="580"/>
      <c r="F613" s="578"/>
      <c r="G613" s="581"/>
      <c r="H613" s="577"/>
      <c r="I613" s="577"/>
      <c r="J613" s="577"/>
      <c r="K613" s="472"/>
      <c r="L613" s="480"/>
      <c r="M613" s="479"/>
      <c r="N613" s="476"/>
      <c r="O613" s="477"/>
      <c r="P613" s="577"/>
      <c r="Q613" s="594"/>
      <c r="R613" s="467"/>
    </row>
    <row r="614" spans="1:18" s="438" customFormat="1" outlineLevel="1">
      <c r="A614" s="569"/>
      <c r="B614" s="598"/>
      <c r="C614" s="589"/>
      <c r="D614" s="565"/>
      <c r="E614" s="596"/>
      <c r="F614" s="565"/>
      <c r="G614" s="600"/>
      <c r="H614" s="602"/>
      <c r="I614" s="565"/>
      <c r="J614" s="565"/>
      <c r="K614" s="466"/>
      <c r="L614" s="482"/>
      <c r="M614" s="479"/>
      <c r="N614" s="479"/>
      <c r="O614" s="261"/>
      <c r="P614" s="565"/>
      <c r="Q614" s="565"/>
      <c r="R614" s="467"/>
    </row>
    <row r="615" spans="1:18" s="438" customFormat="1" outlineLevel="1">
      <c r="A615" s="569"/>
      <c r="B615" s="598"/>
      <c r="C615" s="589"/>
      <c r="D615" s="565"/>
      <c r="E615" s="596"/>
      <c r="F615" s="565"/>
      <c r="G615" s="600"/>
      <c r="H615" s="602"/>
      <c r="I615" s="565"/>
      <c r="J615" s="565"/>
      <c r="K615" s="466"/>
      <c r="L615" s="480"/>
      <c r="M615" s="479"/>
      <c r="N615" s="479"/>
      <c r="O615" s="261"/>
      <c r="P615" s="565"/>
      <c r="Q615" s="565"/>
      <c r="R615" s="467"/>
    </row>
    <row r="616" spans="1:18" s="438" customFormat="1" outlineLevel="1">
      <c r="A616" s="569"/>
      <c r="B616" s="598"/>
      <c r="C616" s="589"/>
      <c r="D616" s="565"/>
      <c r="E616" s="596"/>
      <c r="F616" s="565"/>
      <c r="G616" s="600"/>
      <c r="H616" s="602"/>
      <c r="I616" s="565"/>
      <c r="J616" s="565"/>
      <c r="K616" s="466"/>
      <c r="L616" s="480"/>
      <c r="M616" s="479"/>
      <c r="N616" s="479"/>
      <c r="O616" s="261"/>
      <c r="P616" s="565"/>
      <c r="Q616" s="565"/>
      <c r="R616" s="467"/>
    </row>
    <row r="617" spans="1:18" s="438" customFormat="1" outlineLevel="1">
      <c r="A617" s="569"/>
      <c r="B617" s="598"/>
      <c r="C617" s="589"/>
      <c r="D617" s="565"/>
      <c r="E617" s="596"/>
      <c r="F617" s="565"/>
      <c r="G617" s="600"/>
      <c r="H617" s="602"/>
      <c r="I617" s="565"/>
      <c r="J617" s="565"/>
      <c r="K617" s="466"/>
      <c r="L617" s="480"/>
      <c r="M617" s="479"/>
      <c r="N617" s="479"/>
      <c r="O617" s="261"/>
      <c r="P617" s="565"/>
      <c r="Q617" s="565"/>
      <c r="R617" s="467"/>
    </row>
    <row r="618" spans="1:18" s="438" customFormat="1" outlineLevel="1">
      <c r="A618" s="569"/>
      <c r="B618" s="598"/>
      <c r="C618" s="589"/>
      <c r="D618" s="565"/>
      <c r="E618" s="596"/>
      <c r="F618" s="565"/>
      <c r="G618" s="600"/>
      <c r="H618" s="602"/>
      <c r="I618" s="565"/>
      <c r="J618" s="565"/>
      <c r="K618" s="466"/>
      <c r="L618" s="459"/>
      <c r="M618" s="460"/>
      <c r="N618" s="459"/>
      <c r="O618" s="261"/>
      <c r="P618" s="565"/>
      <c r="Q618" s="565"/>
      <c r="R618" s="467"/>
    </row>
    <row r="619" spans="1:18" s="438" customFormat="1" outlineLevel="1">
      <c r="A619" s="569"/>
      <c r="B619" s="598"/>
      <c r="C619" s="589"/>
      <c r="D619" s="565"/>
      <c r="E619" s="596"/>
      <c r="F619" s="565"/>
      <c r="G619" s="600"/>
      <c r="H619" s="602"/>
      <c r="I619" s="565"/>
      <c r="J619" s="565"/>
      <c r="K619" s="466"/>
      <c r="L619" s="459"/>
      <c r="M619" s="460"/>
      <c r="N619" s="459"/>
      <c r="O619" s="261"/>
      <c r="P619" s="565"/>
      <c r="Q619" s="565"/>
      <c r="R619" s="467"/>
    </row>
    <row r="620" spans="1:18" s="438" customFormat="1" outlineLevel="1">
      <c r="A620" s="569"/>
      <c r="B620" s="598"/>
      <c r="C620" s="589"/>
      <c r="D620" s="565"/>
      <c r="E620" s="596"/>
      <c r="F620" s="565"/>
      <c r="G620" s="600"/>
      <c r="H620" s="602"/>
      <c r="I620" s="565"/>
      <c r="J620" s="565"/>
      <c r="K620" s="466"/>
      <c r="L620" s="459"/>
      <c r="M620" s="460"/>
      <c r="N620" s="459"/>
      <c r="O620" s="261"/>
      <c r="P620" s="565"/>
      <c r="Q620" s="565"/>
      <c r="R620" s="467"/>
    </row>
    <row r="621" spans="1:18" s="438" customFormat="1" outlineLevel="1">
      <c r="A621" s="569"/>
      <c r="B621" s="598"/>
      <c r="C621" s="589"/>
      <c r="D621" s="565"/>
      <c r="E621" s="596"/>
      <c r="F621" s="565"/>
      <c r="G621" s="600"/>
      <c r="H621" s="602"/>
      <c r="I621" s="565"/>
      <c r="J621" s="565"/>
      <c r="K621" s="466"/>
      <c r="L621" s="459"/>
      <c r="M621" s="460"/>
      <c r="N621" s="459"/>
      <c r="O621" s="261"/>
      <c r="P621" s="565"/>
      <c r="Q621" s="565"/>
      <c r="R621" s="467"/>
    </row>
    <row r="622" spans="1:18" s="438" customFormat="1" outlineLevel="1">
      <c r="A622" s="569"/>
      <c r="B622" s="598"/>
      <c r="C622" s="589"/>
      <c r="D622" s="565"/>
      <c r="E622" s="596"/>
      <c r="F622" s="565"/>
      <c r="G622" s="600"/>
      <c r="H622" s="602"/>
      <c r="I622" s="565"/>
      <c r="J622" s="565"/>
      <c r="K622" s="466"/>
      <c r="L622" s="459"/>
      <c r="M622" s="460"/>
      <c r="N622" s="459"/>
      <c r="O622" s="261"/>
      <c r="P622" s="565"/>
      <c r="Q622" s="565"/>
      <c r="R622" s="467"/>
    </row>
    <row r="623" spans="1:18" s="438" customFormat="1" outlineLevel="1">
      <c r="A623" s="569"/>
      <c r="B623" s="598"/>
      <c r="C623" s="589"/>
      <c r="D623" s="565"/>
      <c r="E623" s="596"/>
      <c r="F623" s="565"/>
      <c r="G623" s="600"/>
      <c r="H623" s="602"/>
      <c r="I623" s="565"/>
      <c r="J623" s="565"/>
      <c r="K623" s="466"/>
      <c r="L623" s="459"/>
      <c r="M623" s="460"/>
      <c r="N623" s="459"/>
      <c r="O623" s="261"/>
      <c r="P623" s="565"/>
      <c r="Q623" s="565"/>
      <c r="R623" s="467"/>
    </row>
    <row r="624" spans="1:18" s="438" customFormat="1" outlineLevel="1">
      <c r="A624" s="569"/>
      <c r="B624" s="598"/>
      <c r="C624" s="589"/>
      <c r="D624" s="565"/>
      <c r="E624" s="596"/>
      <c r="F624" s="565"/>
      <c r="G624" s="600"/>
      <c r="H624" s="602"/>
      <c r="I624" s="565"/>
      <c r="J624" s="565"/>
      <c r="K624" s="466"/>
      <c r="L624" s="459"/>
      <c r="M624" s="460"/>
      <c r="N624" s="459"/>
      <c r="O624" s="261"/>
      <c r="P624" s="565"/>
      <c r="Q624" s="565"/>
      <c r="R624" s="467"/>
    </row>
    <row r="625" spans="1:18" s="438" customFormat="1" outlineLevel="1">
      <c r="A625" s="569"/>
      <c r="B625" s="598"/>
      <c r="C625" s="589"/>
      <c r="D625" s="565"/>
      <c r="E625" s="596"/>
      <c r="F625" s="565"/>
      <c r="G625" s="600"/>
      <c r="H625" s="602"/>
      <c r="I625" s="565"/>
      <c r="J625" s="565"/>
      <c r="K625" s="466"/>
      <c r="L625" s="459"/>
      <c r="M625" s="460"/>
      <c r="N625" s="459"/>
      <c r="O625" s="261"/>
      <c r="P625" s="565"/>
      <c r="Q625" s="565"/>
      <c r="R625" s="467"/>
    </row>
    <row r="626" spans="1:18" s="438" customFormat="1" outlineLevel="1">
      <c r="A626" s="569"/>
      <c r="B626" s="598"/>
      <c r="C626" s="589"/>
      <c r="D626" s="565"/>
      <c r="E626" s="596"/>
      <c r="F626" s="565"/>
      <c r="G626" s="600"/>
      <c r="H626" s="602"/>
      <c r="I626" s="565"/>
      <c r="J626" s="565"/>
      <c r="K626" s="466"/>
      <c r="L626" s="459"/>
      <c r="M626" s="460"/>
      <c r="N626" s="459"/>
      <c r="O626" s="261"/>
      <c r="P626" s="565"/>
      <c r="Q626" s="565"/>
      <c r="R626" s="467"/>
    </row>
    <row r="627" spans="1:18" s="438" customFormat="1" outlineLevel="1">
      <c r="A627" s="569"/>
      <c r="B627" s="598"/>
      <c r="C627" s="589"/>
      <c r="D627" s="565"/>
      <c r="E627" s="596"/>
      <c r="F627" s="565"/>
      <c r="G627" s="600"/>
      <c r="H627" s="602"/>
      <c r="I627" s="565"/>
      <c r="J627" s="565"/>
      <c r="K627" s="466"/>
      <c r="L627" s="459"/>
      <c r="M627" s="460"/>
      <c r="N627" s="459"/>
      <c r="O627" s="261"/>
      <c r="P627" s="565"/>
      <c r="Q627" s="565"/>
      <c r="R627" s="467"/>
    </row>
    <row r="628" spans="1:18" s="438" customFormat="1" outlineLevel="1">
      <c r="A628" s="570"/>
      <c r="B628" s="599"/>
      <c r="C628" s="590"/>
      <c r="D628" s="566"/>
      <c r="E628" s="596"/>
      <c r="F628" s="566"/>
      <c r="G628" s="601"/>
      <c r="H628" s="603"/>
      <c r="I628" s="566"/>
      <c r="J628" s="566"/>
      <c r="K628" s="466"/>
      <c r="L628" s="459"/>
      <c r="M628" s="460"/>
      <c r="N628" s="459"/>
      <c r="O628" s="261"/>
      <c r="P628" s="566"/>
      <c r="Q628" s="566"/>
      <c r="R628" s="467"/>
    </row>
    <row r="629" spans="1:18" s="438" customFormat="1" outlineLevel="1">
      <c r="A629" s="568"/>
      <c r="B629" s="572"/>
      <c r="C629" s="574"/>
      <c r="D629" s="604"/>
      <c r="E629" s="580"/>
      <c r="F629" s="578"/>
      <c r="G629" s="581"/>
      <c r="H629" s="577"/>
      <c r="I629" s="577"/>
      <c r="J629" s="577"/>
      <c r="K629" s="472"/>
      <c r="L629" s="459"/>
      <c r="M629" s="460"/>
      <c r="N629" s="476"/>
      <c r="O629" s="477"/>
      <c r="P629" s="577"/>
      <c r="Q629" s="594"/>
      <c r="R629" s="467"/>
    </row>
    <row r="630" spans="1:18" s="438" customFormat="1" outlineLevel="1">
      <c r="A630" s="569"/>
      <c r="B630" s="598"/>
      <c r="C630" s="589"/>
      <c r="D630" s="605"/>
      <c r="E630" s="596"/>
      <c r="F630" s="565"/>
      <c r="G630" s="592"/>
      <c r="H630" s="565"/>
      <c r="I630" s="565"/>
      <c r="J630" s="565"/>
      <c r="K630" s="466"/>
      <c r="L630" s="459"/>
      <c r="M630" s="460"/>
      <c r="N630" s="459"/>
      <c r="O630" s="261"/>
      <c r="P630" s="565"/>
      <c r="Q630" s="565"/>
      <c r="R630" s="467"/>
    </row>
    <row r="631" spans="1:18" s="438" customFormat="1" outlineLevel="1">
      <c r="A631" s="569"/>
      <c r="B631" s="598"/>
      <c r="C631" s="589"/>
      <c r="D631" s="605"/>
      <c r="E631" s="596"/>
      <c r="F631" s="565"/>
      <c r="G631" s="592"/>
      <c r="H631" s="565"/>
      <c r="I631" s="565"/>
      <c r="J631" s="565"/>
      <c r="K631" s="466"/>
      <c r="L631" s="459"/>
      <c r="M631" s="460"/>
      <c r="N631" s="459"/>
      <c r="O631" s="261"/>
      <c r="P631" s="565"/>
      <c r="Q631" s="565"/>
      <c r="R631" s="467"/>
    </row>
    <row r="632" spans="1:18" s="438" customFormat="1" outlineLevel="1">
      <c r="A632" s="569"/>
      <c r="B632" s="598"/>
      <c r="C632" s="589"/>
      <c r="D632" s="605"/>
      <c r="E632" s="596"/>
      <c r="F632" s="565"/>
      <c r="G632" s="592"/>
      <c r="H632" s="565"/>
      <c r="I632" s="565"/>
      <c r="J632" s="565"/>
      <c r="K632" s="466"/>
      <c r="L632" s="459"/>
      <c r="M632" s="460"/>
      <c r="N632" s="459"/>
      <c r="O632" s="261"/>
      <c r="P632" s="565"/>
      <c r="Q632" s="565"/>
      <c r="R632" s="467"/>
    </row>
    <row r="633" spans="1:18" s="438" customFormat="1" outlineLevel="1">
      <c r="A633" s="569"/>
      <c r="B633" s="598"/>
      <c r="C633" s="589"/>
      <c r="D633" s="605"/>
      <c r="E633" s="596"/>
      <c r="F633" s="565"/>
      <c r="G633" s="592"/>
      <c r="H633" s="565"/>
      <c r="I633" s="565"/>
      <c r="J633" s="565"/>
      <c r="K633" s="466"/>
      <c r="L633" s="459"/>
      <c r="M633" s="460"/>
      <c r="N633" s="459"/>
      <c r="O633" s="261"/>
      <c r="P633" s="565"/>
      <c r="Q633" s="565"/>
      <c r="R633" s="467"/>
    </row>
    <row r="634" spans="1:18" s="438" customFormat="1" outlineLevel="1">
      <c r="A634" s="569"/>
      <c r="B634" s="598"/>
      <c r="C634" s="589"/>
      <c r="D634" s="605"/>
      <c r="E634" s="596"/>
      <c r="F634" s="565"/>
      <c r="G634" s="592"/>
      <c r="H634" s="565"/>
      <c r="I634" s="565"/>
      <c r="J634" s="565"/>
      <c r="K634" s="466"/>
      <c r="L634" s="459"/>
      <c r="M634" s="460"/>
      <c r="N634" s="459"/>
      <c r="O634" s="261"/>
      <c r="P634" s="565"/>
      <c r="Q634" s="565"/>
      <c r="R634" s="467"/>
    </row>
    <row r="635" spans="1:18" s="438" customFormat="1" outlineLevel="1">
      <c r="A635" s="569"/>
      <c r="B635" s="598"/>
      <c r="C635" s="589"/>
      <c r="D635" s="605"/>
      <c r="E635" s="596"/>
      <c r="F635" s="565"/>
      <c r="G635" s="592"/>
      <c r="H635" s="565"/>
      <c r="I635" s="565"/>
      <c r="J635" s="565"/>
      <c r="K635" s="466"/>
      <c r="L635" s="459"/>
      <c r="M635" s="460"/>
      <c r="N635" s="459"/>
      <c r="O635" s="261"/>
      <c r="P635" s="565"/>
      <c r="Q635" s="565"/>
      <c r="R635" s="467"/>
    </row>
    <row r="636" spans="1:18" s="438" customFormat="1" outlineLevel="1">
      <c r="A636" s="569"/>
      <c r="B636" s="598"/>
      <c r="C636" s="589"/>
      <c r="D636" s="605"/>
      <c r="E636" s="596"/>
      <c r="F636" s="565"/>
      <c r="G636" s="592"/>
      <c r="H636" s="565"/>
      <c r="I636" s="565"/>
      <c r="J636" s="565"/>
      <c r="K636" s="466"/>
      <c r="L636" s="459"/>
      <c r="M636" s="460"/>
      <c r="N636" s="459"/>
      <c r="O636" s="261"/>
      <c r="P636" s="565"/>
      <c r="Q636" s="565"/>
      <c r="R636" s="467"/>
    </row>
    <row r="637" spans="1:18" s="438" customFormat="1" outlineLevel="1">
      <c r="A637" s="569"/>
      <c r="B637" s="598"/>
      <c r="C637" s="589"/>
      <c r="D637" s="605"/>
      <c r="E637" s="596"/>
      <c r="F637" s="565"/>
      <c r="G637" s="592"/>
      <c r="H637" s="565"/>
      <c r="I637" s="565"/>
      <c r="J637" s="565"/>
      <c r="K637" s="466"/>
      <c r="L637" s="459"/>
      <c r="M637" s="460"/>
      <c r="N637" s="459"/>
      <c r="O637" s="261"/>
      <c r="P637" s="565"/>
      <c r="Q637" s="565"/>
      <c r="R637" s="467"/>
    </row>
    <row r="638" spans="1:18" s="438" customFormat="1" outlineLevel="1">
      <c r="A638" s="569"/>
      <c r="B638" s="598"/>
      <c r="C638" s="589"/>
      <c r="D638" s="605"/>
      <c r="E638" s="596"/>
      <c r="F638" s="565"/>
      <c r="G638" s="592"/>
      <c r="H638" s="565"/>
      <c r="I638" s="565"/>
      <c r="J638" s="565"/>
      <c r="K638" s="466"/>
      <c r="L638" s="459"/>
      <c r="M638" s="460"/>
      <c r="N638" s="459"/>
      <c r="O638" s="261"/>
      <c r="P638" s="565"/>
      <c r="Q638" s="565"/>
      <c r="R638" s="467"/>
    </row>
    <row r="639" spans="1:18" s="438" customFormat="1" outlineLevel="1">
      <c r="A639" s="569"/>
      <c r="B639" s="598"/>
      <c r="C639" s="589"/>
      <c r="D639" s="605"/>
      <c r="E639" s="596"/>
      <c r="F639" s="565"/>
      <c r="G639" s="592"/>
      <c r="H639" s="565"/>
      <c r="I639" s="565"/>
      <c r="J639" s="565"/>
      <c r="K639" s="466"/>
      <c r="L639" s="459"/>
      <c r="M639" s="460"/>
      <c r="N639" s="459"/>
      <c r="O639" s="261"/>
      <c r="P639" s="565"/>
      <c r="Q639" s="565"/>
      <c r="R639" s="467"/>
    </row>
    <row r="640" spans="1:18" s="438" customFormat="1" outlineLevel="1">
      <c r="A640" s="569"/>
      <c r="B640" s="598"/>
      <c r="C640" s="589"/>
      <c r="D640" s="605"/>
      <c r="E640" s="596"/>
      <c r="F640" s="565"/>
      <c r="G640" s="592"/>
      <c r="H640" s="565"/>
      <c r="I640" s="565"/>
      <c r="J640" s="565"/>
      <c r="K640" s="466"/>
      <c r="L640" s="459"/>
      <c r="M640" s="460"/>
      <c r="N640" s="459"/>
      <c r="O640" s="261"/>
      <c r="P640" s="565"/>
      <c r="Q640" s="565"/>
      <c r="R640" s="467"/>
    </row>
    <row r="641" spans="1:18" s="438" customFormat="1" outlineLevel="1">
      <c r="A641" s="569"/>
      <c r="B641" s="598"/>
      <c r="C641" s="589"/>
      <c r="D641" s="605"/>
      <c r="E641" s="596"/>
      <c r="F641" s="565"/>
      <c r="G641" s="592"/>
      <c r="H641" s="565"/>
      <c r="I641" s="565"/>
      <c r="J641" s="565"/>
      <c r="K641" s="466"/>
      <c r="L641" s="459"/>
      <c r="M641" s="460"/>
      <c r="N641" s="459"/>
      <c r="O641" s="261"/>
      <c r="P641" s="565"/>
      <c r="Q641" s="565"/>
      <c r="R641" s="467"/>
    </row>
    <row r="642" spans="1:18" s="438" customFormat="1" outlineLevel="1">
      <c r="A642" s="569"/>
      <c r="B642" s="598"/>
      <c r="C642" s="589"/>
      <c r="D642" s="605"/>
      <c r="E642" s="596"/>
      <c r="F642" s="565"/>
      <c r="G642" s="592"/>
      <c r="H642" s="565"/>
      <c r="I642" s="565"/>
      <c r="J642" s="565"/>
      <c r="K642" s="466"/>
      <c r="L642" s="459"/>
      <c r="M642" s="460"/>
      <c r="N642" s="459"/>
      <c r="O642" s="261"/>
      <c r="P642" s="565"/>
      <c r="Q642" s="565"/>
      <c r="R642" s="467"/>
    </row>
    <row r="643" spans="1:18" s="438" customFormat="1" outlineLevel="1">
      <c r="A643" s="569"/>
      <c r="B643" s="598"/>
      <c r="C643" s="589"/>
      <c r="D643" s="605"/>
      <c r="E643" s="596"/>
      <c r="F643" s="565"/>
      <c r="G643" s="592"/>
      <c r="H643" s="565"/>
      <c r="I643" s="565"/>
      <c r="J643" s="565"/>
      <c r="K643" s="466"/>
      <c r="L643" s="459"/>
      <c r="M643" s="460"/>
      <c r="N643" s="459"/>
      <c r="O643" s="261"/>
      <c r="P643" s="565"/>
      <c r="Q643" s="565"/>
      <c r="R643" s="467"/>
    </row>
    <row r="644" spans="1:18" s="438" customFormat="1" outlineLevel="1">
      <c r="A644" s="570"/>
      <c r="B644" s="599"/>
      <c r="C644" s="590"/>
      <c r="D644" s="606"/>
      <c r="E644" s="596"/>
      <c r="F644" s="566"/>
      <c r="G644" s="593"/>
      <c r="H644" s="566"/>
      <c r="I644" s="566"/>
      <c r="J644" s="566"/>
      <c r="K644" s="466"/>
      <c r="L644" s="459"/>
      <c r="M644" s="460"/>
      <c r="N644" s="459"/>
      <c r="O644" s="261"/>
      <c r="P644" s="566"/>
      <c r="Q644" s="566"/>
      <c r="R644" s="467"/>
    </row>
    <row r="645" spans="1:18" s="438" customFormat="1" outlineLevel="1">
      <c r="A645" s="568"/>
      <c r="B645" s="572"/>
      <c r="C645" s="574"/>
      <c r="D645" s="578"/>
      <c r="E645" s="580"/>
      <c r="F645" s="578"/>
      <c r="G645" s="581"/>
      <c r="H645" s="577"/>
      <c r="I645" s="577"/>
      <c r="J645" s="577"/>
      <c r="K645" s="472"/>
      <c r="L645" s="480"/>
      <c r="M645" s="479"/>
      <c r="N645" s="476"/>
      <c r="O645" s="477"/>
      <c r="P645" s="577"/>
      <c r="Q645" s="594"/>
      <c r="R645" s="467"/>
    </row>
    <row r="646" spans="1:18" s="438" customFormat="1" outlineLevel="1">
      <c r="A646" s="569"/>
      <c r="B646" s="598"/>
      <c r="C646" s="589"/>
      <c r="D646" s="565"/>
      <c r="E646" s="596"/>
      <c r="F646" s="565"/>
      <c r="G646" s="600"/>
      <c r="H646" s="602"/>
      <c r="I646" s="565"/>
      <c r="J646" s="565"/>
      <c r="K646" s="466"/>
      <c r="L646" s="480"/>
      <c r="M646" s="479"/>
      <c r="N646" s="479"/>
      <c r="O646" s="261"/>
      <c r="P646" s="565"/>
      <c r="Q646" s="565"/>
      <c r="R646" s="467"/>
    </row>
    <row r="647" spans="1:18" s="438" customFormat="1" outlineLevel="1">
      <c r="A647" s="569"/>
      <c r="B647" s="598"/>
      <c r="C647" s="589"/>
      <c r="D647" s="565"/>
      <c r="E647" s="596"/>
      <c r="F647" s="565"/>
      <c r="G647" s="600"/>
      <c r="H647" s="602"/>
      <c r="I647" s="565"/>
      <c r="J647" s="565"/>
      <c r="K647" s="466"/>
      <c r="L647" s="482"/>
      <c r="M647" s="479"/>
      <c r="N647" s="479"/>
      <c r="O647" s="261"/>
      <c r="P647" s="565"/>
      <c r="Q647" s="565"/>
      <c r="R647" s="467"/>
    </row>
    <row r="648" spans="1:18" s="438" customFormat="1" outlineLevel="1">
      <c r="A648" s="569"/>
      <c r="B648" s="598"/>
      <c r="C648" s="589"/>
      <c r="D648" s="565"/>
      <c r="E648" s="596"/>
      <c r="F648" s="565"/>
      <c r="G648" s="600"/>
      <c r="H648" s="602"/>
      <c r="I648" s="565"/>
      <c r="J648" s="565"/>
      <c r="K648" s="466"/>
      <c r="L648" s="482"/>
      <c r="M648" s="479"/>
      <c r="N648" s="479"/>
      <c r="O648" s="261"/>
      <c r="P648" s="565"/>
      <c r="Q648" s="565"/>
      <c r="R648" s="467"/>
    </row>
    <row r="649" spans="1:18" s="438" customFormat="1" outlineLevel="1">
      <c r="A649" s="569"/>
      <c r="B649" s="598"/>
      <c r="C649" s="589"/>
      <c r="D649" s="565"/>
      <c r="E649" s="596"/>
      <c r="F649" s="565"/>
      <c r="G649" s="600"/>
      <c r="H649" s="602"/>
      <c r="I649" s="565"/>
      <c r="J649" s="565"/>
      <c r="K649" s="466"/>
      <c r="L649" s="480"/>
      <c r="M649" s="479"/>
      <c r="N649" s="479"/>
      <c r="O649" s="261"/>
      <c r="P649" s="565"/>
      <c r="Q649" s="565"/>
      <c r="R649" s="467"/>
    </row>
    <row r="650" spans="1:18" s="438" customFormat="1" outlineLevel="1">
      <c r="A650" s="569"/>
      <c r="B650" s="598"/>
      <c r="C650" s="589"/>
      <c r="D650" s="565"/>
      <c r="E650" s="596"/>
      <c r="F650" s="565"/>
      <c r="G650" s="600"/>
      <c r="H650" s="602"/>
      <c r="I650" s="565"/>
      <c r="J650" s="565"/>
      <c r="K650" s="466"/>
      <c r="L650" s="479"/>
      <c r="M650" s="479"/>
      <c r="N650" s="479"/>
      <c r="O650" s="261"/>
      <c r="P650" s="565"/>
      <c r="Q650" s="565"/>
      <c r="R650" s="467"/>
    </row>
    <row r="651" spans="1:18" s="438" customFormat="1" outlineLevel="1">
      <c r="A651" s="569"/>
      <c r="B651" s="598"/>
      <c r="C651" s="589"/>
      <c r="D651" s="565"/>
      <c r="E651" s="596"/>
      <c r="F651" s="565"/>
      <c r="G651" s="600"/>
      <c r="H651" s="602"/>
      <c r="I651" s="565"/>
      <c r="J651" s="565"/>
      <c r="K651" s="466"/>
      <c r="L651" s="459"/>
      <c r="M651" s="460"/>
      <c r="N651" s="459"/>
      <c r="O651" s="261"/>
      <c r="P651" s="565"/>
      <c r="Q651" s="565"/>
      <c r="R651" s="467"/>
    </row>
    <row r="652" spans="1:18" s="438" customFormat="1" outlineLevel="1">
      <c r="A652" s="569"/>
      <c r="B652" s="598"/>
      <c r="C652" s="589"/>
      <c r="D652" s="565"/>
      <c r="E652" s="596"/>
      <c r="F652" s="565"/>
      <c r="G652" s="600"/>
      <c r="H652" s="602"/>
      <c r="I652" s="565"/>
      <c r="J652" s="565"/>
      <c r="K652" s="466"/>
      <c r="L652" s="459"/>
      <c r="M652" s="460"/>
      <c r="N652" s="459"/>
      <c r="O652" s="261"/>
      <c r="P652" s="565"/>
      <c r="Q652" s="565"/>
      <c r="R652" s="467"/>
    </row>
    <row r="653" spans="1:18" s="438" customFormat="1" outlineLevel="1">
      <c r="A653" s="569"/>
      <c r="B653" s="598"/>
      <c r="C653" s="589"/>
      <c r="D653" s="565"/>
      <c r="E653" s="596"/>
      <c r="F653" s="565"/>
      <c r="G653" s="600"/>
      <c r="H653" s="602"/>
      <c r="I653" s="565"/>
      <c r="J653" s="565"/>
      <c r="K653" s="466"/>
      <c r="L653" s="459"/>
      <c r="M653" s="460"/>
      <c r="N653" s="459"/>
      <c r="O653" s="261"/>
      <c r="P653" s="565"/>
      <c r="Q653" s="565"/>
      <c r="R653" s="467"/>
    </row>
    <row r="654" spans="1:18" s="438" customFormat="1" outlineLevel="1">
      <c r="A654" s="569"/>
      <c r="B654" s="598"/>
      <c r="C654" s="589"/>
      <c r="D654" s="565"/>
      <c r="E654" s="596"/>
      <c r="F654" s="565"/>
      <c r="G654" s="600"/>
      <c r="H654" s="602"/>
      <c r="I654" s="565"/>
      <c r="J654" s="565"/>
      <c r="K654" s="466"/>
      <c r="L654" s="459"/>
      <c r="M654" s="460"/>
      <c r="N654" s="459"/>
      <c r="O654" s="261"/>
      <c r="P654" s="565"/>
      <c r="Q654" s="565"/>
      <c r="R654" s="467"/>
    </row>
    <row r="655" spans="1:18" s="438" customFormat="1" outlineLevel="1">
      <c r="A655" s="569"/>
      <c r="B655" s="598"/>
      <c r="C655" s="589"/>
      <c r="D655" s="565"/>
      <c r="E655" s="596"/>
      <c r="F655" s="565"/>
      <c r="G655" s="600"/>
      <c r="H655" s="602"/>
      <c r="I655" s="565"/>
      <c r="J655" s="565"/>
      <c r="K655" s="466"/>
      <c r="L655" s="459"/>
      <c r="M655" s="460"/>
      <c r="N655" s="459"/>
      <c r="O655" s="261"/>
      <c r="P655" s="565"/>
      <c r="Q655" s="565"/>
      <c r="R655" s="467"/>
    </row>
    <row r="656" spans="1:18" s="438" customFormat="1" outlineLevel="1">
      <c r="A656" s="569"/>
      <c r="B656" s="598"/>
      <c r="C656" s="589"/>
      <c r="D656" s="565"/>
      <c r="E656" s="596"/>
      <c r="F656" s="565"/>
      <c r="G656" s="600"/>
      <c r="H656" s="602"/>
      <c r="I656" s="565"/>
      <c r="J656" s="565"/>
      <c r="K656" s="466"/>
      <c r="L656" s="459"/>
      <c r="M656" s="460"/>
      <c r="N656" s="459"/>
      <c r="O656" s="261"/>
      <c r="P656" s="565"/>
      <c r="Q656" s="565"/>
      <c r="R656" s="467"/>
    </row>
    <row r="657" spans="1:18" s="438" customFormat="1" outlineLevel="1">
      <c r="A657" s="569"/>
      <c r="B657" s="598"/>
      <c r="C657" s="589"/>
      <c r="D657" s="565"/>
      <c r="E657" s="596"/>
      <c r="F657" s="565"/>
      <c r="G657" s="600"/>
      <c r="H657" s="602"/>
      <c r="I657" s="565"/>
      <c r="J657" s="565"/>
      <c r="K657" s="466"/>
      <c r="L657" s="459"/>
      <c r="M657" s="460"/>
      <c r="N657" s="459"/>
      <c r="O657" s="261"/>
      <c r="P657" s="565"/>
      <c r="Q657" s="565"/>
      <c r="R657" s="467"/>
    </row>
    <row r="658" spans="1:18" s="438" customFormat="1" outlineLevel="1">
      <c r="A658" s="569"/>
      <c r="B658" s="598"/>
      <c r="C658" s="589"/>
      <c r="D658" s="565"/>
      <c r="E658" s="596"/>
      <c r="F658" s="565"/>
      <c r="G658" s="600"/>
      <c r="H658" s="602"/>
      <c r="I658" s="565"/>
      <c r="J658" s="565"/>
      <c r="K658" s="466"/>
      <c r="L658" s="459"/>
      <c r="M658" s="460"/>
      <c r="N658" s="459"/>
      <c r="O658" s="261"/>
      <c r="P658" s="565"/>
      <c r="Q658" s="565"/>
      <c r="R658" s="467"/>
    </row>
    <row r="659" spans="1:18" s="438" customFormat="1" outlineLevel="1">
      <c r="A659" s="569"/>
      <c r="B659" s="598"/>
      <c r="C659" s="589"/>
      <c r="D659" s="565"/>
      <c r="E659" s="596"/>
      <c r="F659" s="565"/>
      <c r="G659" s="600"/>
      <c r="H659" s="602"/>
      <c r="I659" s="565"/>
      <c r="J659" s="565"/>
      <c r="K659" s="466"/>
      <c r="L659" s="459"/>
      <c r="M659" s="460"/>
      <c r="N659" s="459"/>
      <c r="O659" s="261"/>
      <c r="P659" s="565"/>
      <c r="Q659" s="565"/>
      <c r="R659" s="467"/>
    </row>
    <row r="660" spans="1:18" s="438" customFormat="1" outlineLevel="1">
      <c r="A660" s="570"/>
      <c r="B660" s="599"/>
      <c r="C660" s="590"/>
      <c r="D660" s="566"/>
      <c r="E660" s="596"/>
      <c r="F660" s="566"/>
      <c r="G660" s="601"/>
      <c r="H660" s="603"/>
      <c r="I660" s="566"/>
      <c r="J660" s="566"/>
      <c r="K660" s="466"/>
      <c r="L660" s="459"/>
      <c r="M660" s="460"/>
      <c r="N660" s="459"/>
      <c r="O660" s="261"/>
      <c r="P660" s="566"/>
      <c r="Q660" s="566"/>
      <c r="R660" s="467"/>
    </row>
    <row r="661" spans="1:18" s="438" customFormat="1" outlineLevel="1">
      <c r="A661" s="568"/>
      <c r="B661" s="572"/>
      <c r="C661" s="574"/>
      <c r="D661" s="578"/>
      <c r="E661" s="580"/>
      <c r="F661" s="578"/>
      <c r="G661" s="581"/>
      <c r="H661" s="577"/>
      <c r="I661" s="577"/>
      <c r="J661" s="577"/>
      <c r="K661" s="472"/>
      <c r="L661" s="480"/>
      <c r="M661" s="479"/>
      <c r="N661" s="476"/>
      <c r="O661" s="477"/>
      <c r="P661" s="577"/>
      <c r="Q661" s="594"/>
      <c r="R661" s="467"/>
    </row>
    <row r="662" spans="1:18" s="438" customFormat="1" outlineLevel="1">
      <c r="A662" s="569"/>
      <c r="B662" s="598"/>
      <c r="C662" s="589"/>
      <c r="D662" s="565"/>
      <c r="E662" s="596"/>
      <c r="F662" s="565"/>
      <c r="G662" s="600"/>
      <c r="H662" s="602"/>
      <c r="I662" s="565"/>
      <c r="J662" s="565"/>
      <c r="K662" s="466"/>
      <c r="L662" s="480"/>
      <c r="M662" s="479"/>
      <c r="N662" s="479"/>
      <c r="O662" s="261"/>
      <c r="P662" s="565"/>
      <c r="Q662" s="565"/>
      <c r="R662" s="467"/>
    </row>
    <row r="663" spans="1:18" s="438" customFormat="1" outlineLevel="1">
      <c r="A663" s="569"/>
      <c r="B663" s="598"/>
      <c r="C663" s="589"/>
      <c r="D663" s="565"/>
      <c r="E663" s="596"/>
      <c r="F663" s="565"/>
      <c r="G663" s="600"/>
      <c r="H663" s="602"/>
      <c r="I663" s="565"/>
      <c r="J663" s="565"/>
      <c r="K663" s="466"/>
      <c r="L663" s="482"/>
      <c r="M663" s="479"/>
      <c r="N663" s="479"/>
      <c r="O663" s="261"/>
      <c r="P663" s="565"/>
      <c r="Q663" s="565"/>
      <c r="R663" s="467"/>
    </row>
    <row r="664" spans="1:18" s="438" customFormat="1" outlineLevel="1">
      <c r="A664" s="569"/>
      <c r="B664" s="598"/>
      <c r="C664" s="589"/>
      <c r="D664" s="565"/>
      <c r="E664" s="596"/>
      <c r="F664" s="565"/>
      <c r="G664" s="600"/>
      <c r="H664" s="602"/>
      <c r="I664" s="565"/>
      <c r="J664" s="565"/>
      <c r="K664" s="466"/>
      <c r="L664" s="480"/>
      <c r="M664" s="479"/>
      <c r="N664" s="479"/>
      <c r="O664" s="261"/>
      <c r="P664" s="565"/>
      <c r="Q664" s="565"/>
      <c r="R664" s="467"/>
    </row>
    <row r="665" spans="1:18" s="438" customFormat="1" outlineLevel="1">
      <c r="A665" s="569"/>
      <c r="B665" s="598"/>
      <c r="C665" s="589"/>
      <c r="D665" s="565"/>
      <c r="E665" s="596"/>
      <c r="F665" s="565"/>
      <c r="G665" s="600"/>
      <c r="H665" s="602"/>
      <c r="I665" s="565"/>
      <c r="J665" s="565"/>
      <c r="K665" s="466"/>
      <c r="L665" s="482"/>
      <c r="M665" s="479"/>
      <c r="N665" s="479"/>
      <c r="O665" s="261"/>
      <c r="P665" s="565"/>
      <c r="Q665" s="565"/>
      <c r="R665" s="467"/>
    </row>
    <row r="666" spans="1:18" s="438" customFormat="1" outlineLevel="1">
      <c r="A666" s="569"/>
      <c r="B666" s="598"/>
      <c r="C666" s="589"/>
      <c r="D666" s="565"/>
      <c r="E666" s="596"/>
      <c r="F666" s="565"/>
      <c r="G666" s="600"/>
      <c r="H666" s="602"/>
      <c r="I666" s="565"/>
      <c r="J666" s="565"/>
      <c r="K666" s="466"/>
      <c r="L666" s="480"/>
      <c r="M666" s="479"/>
      <c r="N666" s="479"/>
      <c r="O666" s="261"/>
      <c r="P666" s="565"/>
      <c r="Q666" s="565"/>
      <c r="R666" s="467"/>
    </row>
    <row r="667" spans="1:18" s="438" customFormat="1" outlineLevel="1">
      <c r="A667" s="569"/>
      <c r="B667" s="598"/>
      <c r="C667" s="589"/>
      <c r="D667" s="565"/>
      <c r="E667" s="596"/>
      <c r="F667" s="565"/>
      <c r="G667" s="600"/>
      <c r="H667" s="602"/>
      <c r="I667" s="565"/>
      <c r="J667" s="565"/>
      <c r="K667" s="466"/>
      <c r="L667" s="480"/>
      <c r="M667" s="479"/>
      <c r="N667" s="479"/>
      <c r="O667" s="261"/>
      <c r="P667" s="565"/>
      <c r="Q667" s="565"/>
      <c r="R667" s="467"/>
    </row>
    <row r="668" spans="1:18" s="438" customFormat="1" outlineLevel="1">
      <c r="A668" s="569"/>
      <c r="B668" s="598"/>
      <c r="C668" s="589"/>
      <c r="D668" s="565"/>
      <c r="E668" s="596"/>
      <c r="F668" s="565"/>
      <c r="G668" s="600"/>
      <c r="H668" s="602"/>
      <c r="I668" s="565"/>
      <c r="J668" s="565"/>
      <c r="K668" s="466"/>
      <c r="L668" s="482"/>
      <c r="M668" s="479"/>
      <c r="N668" s="479"/>
      <c r="O668" s="261"/>
      <c r="P668" s="565"/>
      <c r="Q668" s="565"/>
      <c r="R668" s="467"/>
    </row>
    <row r="669" spans="1:18" s="438" customFormat="1" outlineLevel="1">
      <c r="A669" s="569"/>
      <c r="B669" s="598"/>
      <c r="C669" s="589"/>
      <c r="D669" s="565"/>
      <c r="E669" s="596"/>
      <c r="F669" s="565"/>
      <c r="G669" s="600"/>
      <c r="H669" s="602"/>
      <c r="I669" s="565"/>
      <c r="J669" s="565"/>
      <c r="K669" s="466"/>
      <c r="L669" s="459"/>
      <c r="M669" s="460"/>
      <c r="N669" s="459"/>
      <c r="O669" s="261"/>
      <c r="P669" s="565"/>
      <c r="Q669" s="565"/>
      <c r="R669" s="467"/>
    </row>
    <row r="670" spans="1:18" s="438" customFormat="1" outlineLevel="1">
      <c r="A670" s="569"/>
      <c r="B670" s="598"/>
      <c r="C670" s="589"/>
      <c r="D670" s="565"/>
      <c r="E670" s="596"/>
      <c r="F670" s="565"/>
      <c r="G670" s="600"/>
      <c r="H670" s="602"/>
      <c r="I670" s="565"/>
      <c r="J670" s="565"/>
      <c r="K670" s="466"/>
      <c r="L670" s="459"/>
      <c r="M670" s="460"/>
      <c r="N670" s="459"/>
      <c r="O670" s="261"/>
      <c r="P670" s="565"/>
      <c r="Q670" s="565"/>
      <c r="R670" s="467"/>
    </row>
    <row r="671" spans="1:18" s="438" customFormat="1" outlineLevel="1">
      <c r="A671" s="569"/>
      <c r="B671" s="598"/>
      <c r="C671" s="589"/>
      <c r="D671" s="565"/>
      <c r="E671" s="596"/>
      <c r="F671" s="565"/>
      <c r="G671" s="600"/>
      <c r="H671" s="602"/>
      <c r="I671" s="565"/>
      <c r="J671" s="565"/>
      <c r="K671" s="466"/>
      <c r="L671" s="459"/>
      <c r="M671" s="460"/>
      <c r="N671" s="459"/>
      <c r="O671" s="261"/>
      <c r="P671" s="565"/>
      <c r="Q671" s="565"/>
      <c r="R671" s="467"/>
    </row>
    <row r="672" spans="1:18" s="438" customFormat="1" outlineLevel="1">
      <c r="A672" s="569"/>
      <c r="B672" s="598"/>
      <c r="C672" s="589"/>
      <c r="D672" s="565"/>
      <c r="E672" s="596"/>
      <c r="F672" s="565"/>
      <c r="G672" s="600"/>
      <c r="H672" s="602"/>
      <c r="I672" s="565"/>
      <c r="J672" s="565"/>
      <c r="K672" s="466"/>
      <c r="L672" s="459"/>
      <c r="M672" s="460"/>
      <c r="N672" s="459"/>
      <c r="O672" s="261"/>
      <c r="P672" s="565"/>
      <c r="Q672" s="565"/>
      <c r="R672" s="467"/>
    </row>
    <row r="673" spans="1:18" s="438" customFormat="1" outlineLevel="1">
      <c r="A673" s="569"/>
      <c r="B673" s="598"/>
      <c r="C673" s="589"/>
      <c r="D673" s="565"/>
      <c r="E673" s="596"/>
      <c r="F673" s="565"/>
      <c r="G673" s="600"/>
      <c r="H673" s="602"/>
      <c r="I673" s="565"/>
      <c r="J673" s="565"/>
      <c r="K673" s="466"/>
      <c r="L673" s="459"/>
      <c r="M673" s="460"/>
      <c r="N673" s="459"/>
      <c r="O673" s="261"/>
      <c r="P673" s="565"/>
      <c r="Q673" s="565"/>
      <c r="R673" s="467"/>
    </row>
    <row r="674" spans="1:18" s="438" customFormat="1" outlineLevel="1">
      <c r="A674" s="569"/>
      <c r="B674" s="598"/>
      <c r="C674" s="589"/>
      <c r="D674" s="565"/>
      <c r="E674" s="596"/>
      <c r="F674" s="565"/>
      <c r="G674" s="600"/>
      <c r="H674" s="602"/>
      <c r="I674" s="565"/>
      <c r="J674" s="565"/>
      <c r="K674" s="466"/>
      <c r="L674" s="459"/>
      <c r="M674" s="460"/>
      <c r="N674" s="459"/>
      <c r="O674" s="261"/>
      <c r="P674" s="565"/>
      <c r="Q674" s="565"/>
      <c r="R674" s="467"/>
    </row>
    <row r="675" spans="1:18" s="438" customFormat="1" outlineLevel="1">
      <c r="A675" s="569"/>
      <c r="B675" s="598"/>
      <c r="C675" s="589"/>
      <c r="D675" s="565"/>
      <c r="E675" s="596"/>
      <c r="F675" s="565"/>
      <c r="G675" s="600"/>
      <c r="H675" s="602"/>
      <c r="I675" s="565"/>
      <c r="J675" s="565"/>
      <c r="K675" s="466"/>
      <c r="L675" s="459"/>
      <c r="M675" s="460"/>
      <c r="N675" s="459"/>
      <c r="O675" s="261"/>
      <c r="P675" s="565"/>
      <c r="Q675" s="565"/>
      <c r="R675" s="467"/>
    </row>
    <row r="676" spans="1:18" s="438" customFormat="1" outlineLevel="1">
      <c r="A676" s="570"/>
      <c r="B676" s="599"/>
      <c r="C676" s="590"/>
      <c r="D676" s="566"/>
      <c r="E676" s="596"/>
      <c r="F676" s="566"/>
      <c r="G676" s="601"/>
      <c r="H676" s="603"/>
      <c r="I676" s="566"/>
      <c r="J676" s="566"/>
      <c r="K676" s="466"/>
      <c r="L676" s="459"/>
      <c r="M676" s="460"/>
      <c r="N676" s="459"/>
      <c r="O676" s="261"/>
      <c r="P676" s="566"/>
      <c r="Q676" s="566"/>
      <c r="R676" s="467"/>
    </row>
    <row r="677" spans="1:18" s="438" customFormat="1" outlineLevel="1">
      <c r="A677" s="568"/>
      <c r="B677" s="572"/>
      <c r="C677" s="574"/>
      <c r="D677" s="578"/>
      <c r="E677" s="580"/>
      <c r="F677" s="578"/>
      <c r="G677" s="581"/>
      <c r="H677" s="577"/>
      <c r="I677" s="577"/>
      <c r="J677" s="577"/>
      <c r="K677" s="472"/>
      <c r="L677" s="482"/>
      <c r="M677" s="479"/>
      <c r="N677" s="476"/>
      <c r="O677" s="477"/>
      <c r="P677" s="577"/>
      <c r="Q677" s="594"/>
      <c r="R677" s="467"/>
    </row>
    <row r="678" spans="1:18" s="438" customFormat="1" outlineLevel="1">
      <c r="A678" s="569"/>
      <c r="B678" s="598"/>
      <c r="C678" s="589"/>
      <c r="D678" s="565"/>
      <c r="E678" s="596"/>
      <c r="F678" s="565"/>
      <c r="G678" s="600"/>
      <c r="H678" s="602"/>
      <c r="I678" s="565"/>
      <c r="J678" s="565"/>
      <c r="K678" s="466"/>
      <c r="L678" s="459"/>
      <c r="M678" s="460"/>
      <c r="N678" s="459"/>
      <c r="O678" s="261"/>
      <c r="P678" s="565"/>
      <c r="Q678" s="565"/>
      <c r="R678" s="467"/>
    </row>
    <row r="679" spans="1:18" s="438" customFormat="1" outlineLevel="1">
      <c r="A679" s="569"/>
      <c r="B679" s="598"/>
      <c r="C679" s="589"/>
      <c r="D679" s="565"/>
      <c r="E679" s="596"/>
      <c r="F679" s="565"/>
      <c r="G679" s="600"/>
      <c r="H679" s="602"/>
      <c r="I679" s="565"/>
      <c r="J679" s="565"/>
      <c r="K679" s="466"/>
      <c r="L679" s="459"/>
      <c r="M679" s="460"/>
      <c r="N679" s="459"/>
      <c r="O679" s="261"/>
      <c r="P679" s="565"/>
      <c r="Q679" s="565"/>
      <c r="R679" s="467"/>
    </row>
    <row r="680" spans="1:18" s="438" customFormat="1" outlineLevel="1">
      <c r="A680" s="569"/>
      <c r="B680" s="598"/>
      <c r="C680" s="589"/>
      <c r="D680" s="565"/>
      <c r="E680" s="596"/>
      <c r="F680" s="565"/>
      <c r="G680" s="600"/>
      <c r="H680" s="602"/>
      <c r="I680" s="565"/>
      <c r="J680" s="565"/>
      <c r="K680" s="466"/>
      <c r="L680" s="459"/>
      <c r="M680" s="460"/>
      <c r="N680" s="459"/>
      <c r="O680" s="261"/>
      <c r="P680" s="565"/>
      <c r="Q680" s="565"/>
      <c r="R680" s="467"/>
    </row>
    <row r="681" spans="1:18" s="438" customFormat="1" outlineLevel="1">
      <c r="A681" s="569"/>
      <c r="B681" s="598"/>
      <c r="C681" s="589"/>
      <c r="D681" s="565"/>
      <c r="E681" s="596"/>
      <c r="F681" s="565"/>
      <c r="G681" s="600"/>
      <c r="H681" s="602"/>
      <c r="I681" s="565"/>
      <c r="J681" s="565"/>
      <c r="K681" s="466"/>
      <c r="L681" s="459"/>
      <c r="M681" s="460"/>
      <c r="N681" s="459"/>
      <c r="O681" s="261"/>
      <c r="P681" s="565"/>
      <c r="Q681" s="565"/>
      <c r="R681" s="467"/>
    </row>
    <row r="682" spans="1:18" s="438" customFormat="1" outlineLevel="1">
      <c r="A682" s="569"/>
      <c r="B682" s="598"/>
      <c r="C682" s="589"/>
      <c r="D682" s="565"/>
      <c r="E682" s="596"/>
      <c r="F682" s="565"/>
      <c r="G682" s="600"/>
      <c r="H682" s="602"/>
      <c r="I682" s="565"/>
      <c r="J682" s="565"/>
      <c r="K682" s="466"/>
      <c r="L682" s="459"/>
      <c r="M682" s="460"/>
      <c r="N682" s="459"/>
      <c r="O682" s="261"/>
      <c r="P682" s="565"/>
      <c r="Q682" s="565"/>
      <c r="R682" s="467"/>
    </row>
    <row r="683" spans="1:18" s="438" customFormat="1" outlineLevel="1">
      <c r="A683" s="569"/>
      <c r="B683" s="598"/>
      <c r="C683" s="589"/>
      <c r="D683" s="565"/>
      <c r="E683" s="596"/>
      <c r="F683" s="565"/>
      <c r="G683" s="600"/>
      <c r="H683" s="602"/>
      <c r="I683" s="565"/>
      <c r="J683" s="565"/>
      <c r="K683" s="466"/>
      <c r="L683" s="459"/>
      <c r="M683" s="460"/>
      <c r="N683" s="459"/>
      <c r="O683" s="261"/>
      <c r="P683" s="565"/>
      <c r="Q683" s="565"/>
      <c r="R683" s="467"/>
    </row>
    <row r="684" spans="1:18" s="438" customFormat="1" outlineLevel="1">
      <c r="A684" s="569"/>
      <c r="B684" s="598"/>
      <c r="C684" s="589"/>
      <c r="D684" s="565"/>
      <c r="E684" s="596"/>
      <c r="F684" s="565"/>
      <c r="G684" s="600"/>
      <c r="H684" s="602"/>
      <c r="I684" s="565"/>
      <c r="J684" s="565"/>
      <c r="K684" s="466"/>
      <c r="L684" s="459"/>
      <c r="M684" s="460"/>
      <c r="N684" s="459"/>
      <c r="O684" s="261"/>
      <c r="P684" s="565"/>
      <c r="Q684" s="565"/>
      <c r="R684" s="467"/>
    </row>
    <row r="685" spans="1:18" s="438" customFormat="1" outlineLevel="1">
      <c r="A685" s="569"/>
      <c r="B685" s="598"/>
      <c r="C685" s="589"/>
      <c r="D685" s="565"/>
      <c r="E685" s="596"/>
      <c r="F685" s="565"/>
      <c r="G685" s="600"/>
      <c r="H685" s="602"/>
      <c r="I685" s="565"/>
      <c r="J685" s="565"/>
      <c r="K685" s="466"/>
      <c r="L685" s="459"/>
      <c r="M685" s="460"/>
      <c r="N685" s="459"/>
      <c r="O685" s="261"/>
      <c r="P685" s="565"/>
      <c r="Q685" s="565"/>
      <c r="R685" s="467"/>
    </row>
    <row r="686" spans="1:18" s="438" customFormat="1" outlineLevel="1">
      <c r="A686" s="569"/>
      <c r="B686" s="598"/>
      <c r="C686" s="589"/>
      <c r="D686" s="565"/>
      <c r="E686" s="596"/>
      <c r="F686" s="565"/>
      <c r="G686" s="600"/>
      <c r="H686" s="602"/>
      <c r="I686" s="565"/>
      <c r="J686" s="565"/>
      <c r="K686" s="466"/>
      <c r="L686" s="459"/>
      <c r="M686" s="460"/>
      <c r="N686" s="459"/>
      <c r="O686" s="261"/>
      <c r="P686" s="565"/>
      <c r="Q686" s="565"/>
      <c r="R686" s="467"/>
    </row>
    <row r="687" spans="1:18" s="438" customFormat="1" outlineLevel="1">
      <c r="A687" s="569"/>
      <c r="B687" s="598"/>
      <c r="C687" s="589"/>
      <c r="D687" s="565"/>
      <c r="E687" s="596"/>
      <c r="F687" s="565"/>
      <c r="G687" s="600"/>
      <c r="H687" s="602"/>
      <c r="I687" s="565"/>
      <c r="J687" s="565"/>
      <c r="K687" s="466"/>
      <c r="L687" s="459"/>
      <c r="M687" s="460"/>
      <c r="N687" s="459"/>
      <c r="O687" s="261"/>
      <c r="P687" s="565"/>
      <c r="Q687" s="565"/>
      <c r="R687" s="467"/>
    </row>
    <row r="688" spans="1:18" s="438" customFormat="1" outlineLevel="1">
      <c r="A688" s="569"/>
      <c r="B688" s="598"/>
      <c r="C688" s="589"/>
      <c r="D688" s="565"/>
      <c r="E688" s="596"/>
      <c r="F688" s="565"/>
      <c r="G688" s="600"/>
      <c r="H688" s="602"/>
      <c r="I688" s="565"/>
      <c r="J688" s="565"/>
      <c r="K688" s="466"/>
      <c r="L688" s="459"/>
      <c r="M688" s="460"/>
      <c r="N688" s="459"/>
      <c r="O688" s="261"/>
      <c r="P688" s="565"/>
      <c r="Q688" s="565"/>
      <c r="R688" s="467"/>
    </row>
    <row r="689" spans="1:18" s="438" customFormat="1" outlineLevel="1">
      <c r="A689" s="569"/>
      <c r="B689" s="598"/>
      <c r="C689" s="589"/>
      <c r="D689" s="565"/>
      <c r="E689" s="596"/>
      <c r="F689" s="565"/>
      <c r="G689" s="600"/>
      <c r="H689" s="602"/>
      <c r="I689" s="565"/>
      <c r="J689" s="565"/>
      <c r="K689" s="466"/>
      <c r="L689" s="459"/>
      <c r="M689" s="460"/>
      <c r="N689" s="459"/>
      <c r="O689" s="261"/>
      <c r="P689" s="565"/>
      <c r="Q689" s="565"/>
      <c r="R689" s="467"/>
    </row>
    <row r="690" spans="1:18" s="438" customFormat="1" outlineLevel="1">
      <c r="A690" s="569"/>
      <c r="B690" s="598"/>
      <c r="C690" s="589"/>
      <c r="D690" s="565"/>
      <c r="E690" s="596"/>
      <c r="F690" s="565"/>
      <c r="G690" s="600"/>
      <c r="H690" s="602"/>
      <c r="I690" s="565"/>
      <c r="J690" s="565"/>
      <c r="K690" s="466"/>
      <c r="L690" s="459"/>
      <c r="M690" s="460"/>
      <c r="N690" s="459"/>
      <c r="O690" s="261"/>
      <c r="P690" s="565"/>
      <c r="Q690" s="565"/>
      <c r="R690" s="467"/>
    </row>
    <row r="691" spans="1:18" s="438" customFormat="1" outlineLevel="1">
      <c r="A691" s="569"/>
      <c r="B691" s="598"/>
      <c r="C691" s="589"/>
      <c r="D691" s="565"/>
      <c r="E691" s="596"/>
      <c r="F691" s="565"/>
      <c r="G691" s="600"/>
      <c r="H691" s="602"/>
      <c r="I691" s="565"/>
      <c r="J691" s="565"/>
      <c r="K691" s="466"/>
      <c r="L691" s="459"/>
      <c r="M691" s="460"/>
      <c r="N691" s="459"/>
      <c r="O691" s="261"/>
      <c r="P691" s="565"/>
      <c r="Q691" s="565"/>
      <c r="R691" s="467"/>
    </row>
    <row r="692" spans="1:18" s="438" customFormat="1" outlineLevel="1">
      <c r="A692" s="570"/>
      <c r="B692" s="599"/>
      <c r="C692" s="590"/>
      <c r="D692" s="566"/>
      <c r="E692" s="596"/>
      <c r="F692" s="566"/>
      <c r="G692" s="601"/>
      <c r="H692" s="603"/>
      <c r="I692" s="566"/>
      <c r="J692" s="566"/>
      <c r="K692" s="466"/>
      <c r="L692" s="459"/>
      <c r="M692" s="460"/>
      <c r="N692" s="459"/>
      <c r="O692" s="261"/>
      <c r="P692" s="566"/>
      <c r="Q692" s="566"/>
      <c r="R692" s="467"/>
    </row>
    <row r="693" spans="1:18" s="438" customFormat="1" outlineLevel="1">
      <c r="A693" s="568"/>
      <c r="B693" s="572"/>
      <c r="C693" s="574"/>
      <c r="D693" s="578"/>
      <c r="E693" s="580"/>
      <c r="F693" s="578"/>
      <c r="G693" s="581"/>
      <c r="H693" s="577"/>
      <c r="I693" s="577"/>
      <c r="J693" s="577"/>
      <c r="K693" s="472"/>
      <c r="L693" s="482"/>
      <c r="M693" s="479"/>
      <c r="N693" s="476"/>
      <c r="O693" s="477"/>
      <c r="P693" s="577"/>
      <c r="Q693" s="594"/>
      <c r="R693" s="467"/>
    </row>
    <row r="694" spans="1:18" s="438" customFormat="1" outlineLevel="1">
      <c r="A694" s="569"/>
      <c r="B694" s="598"/>
      <c r="C694" s="589"/>
      <c r="D694" s="565"/>
      <c r="E694" s="596"/>
      <c r="F694" s="565"/>
      <c r="G694" s="600"/>
      <c r="H694" s="602"/>
      <c r="I694" s="565"/>
      <c r="J694" s="565"/>
      <c r="K694" s="466"/>
      <c r="L694" s="482"/>
      <c r="M694" s="479"/>
      <c r="N694" s="479"/>
      <c r="O694" s="261"/>
      <c r="P694" s="565"/>
      <c r="Q694" s="565"/>
      <c r="R694" s="467"/>
    </row>
    <row r="695" spans="1:18" s="438" customFormat="1" outlineLevel="1">
      <c r="A695" s="569"/>
      <c r="B695" s="598"/>
      <c r="C695" s="589"/>
      <c r="D695" s="565"/>
      <c r="E695" s="596"/>
      <c r="F695" s="565"/>
      <c r="G695" s="600"/>
      <c r="H695" s="602"/>
      <c r="I695" s="565"/>
      <c r="J695" s="565"/>
      <c r="K695" s="466"/>
      <c r="L695" s="482"/>
      <c r="M695" s="479"/>
      <c r="N695" s="479"/>
      <c r="O695" s="261"/>
      <c r="P695" s="565"/>
      <c r="Q695" s="565"/>
      <c r="R695" s="467"/>
    </row>
    <row r="696" spans="1:18" s="438" customFormat="1" outlineLevel="1">
      <c r="A696" s="569"/>
      <c r="B696" s="598"/>
      <c r="C696" s="589"/>
      <c r="D696" s="565"/>
      <c r="E696" s="596"/>
      <c r="F696" s="565"/>
      <c r="G696" s="600"/>
      <c r="H696" s="602"/>
      <c r="I696" s="565"/>
      <c r="J696" s="565"/>
      <c r="K696" s="466"/>
      <c r="L696" s="482"/>
      <c r="M696" s="479"/>
      <c r="N696" s="479"/>
      <c r="O696" s="261"/>
      <c r="P696" s="565"/>
      <c r="Q696" s="565"/>
      <c r="R696" s="467"/>
    </row>
    <row r="697" spans="1:18" s="438" customFormat="1" outlineLevel="1">
      <c r="A697" s="569"/>
      <c r="B697" s="598"/>
      <c r="C697" s="589"/>
      <c r="D697" s="565"/>
      <c r="E697" s="596"/>
      <c r="F697" s="565"/>
      <c r="G697" s="600"/>
      <c r="H697" s="602"/>
      <c r="I697" s="565"/>
      <c r="J697" s="565"/>
      <c r="K697" s="466"/>
      <c r="L697" s="459"/>
      <c r="M697" s="460"/>
      <c r="N697" s="459"/>
      <c r="O697" s="261"/>
      <c r="P697" s="565"/>
      <c r="Q697" s="565"/>
      <c r="R697" s="467"/>
    </row>
    <row r="698" spans="1:18" s="438" customFormat="1" outlineLevel="1">
      <c r="A698" s="569"/>
      <c r="B698" s="598"/>
      <c r="C698" s="589"/>
      <c r="D698" s="565"/>
      <c r="E698" s="596"/>
      <c r="F698" s="565"/>
      <c r="G698" s="600"/>
      <c r="H698" s="602"/>
      <c r="I698" s="565"/>
      <c r="J698" s="565"/>
      <c r="K698" s="466"/>
      <c r="L698" s="459"/>
      <c r="M698" s="460"/>
      <c r="N698" s="459"/>
      <c r="O698" s="261"/>
      <c r="P698" s="565"/>
      <c r="Q698" s="565"/>
      <c r="R698" s="467"/>
    </row>
    <row r="699" spans="1:18" s="438" customFormat="1" outlineLevel="1">
      <c r="A699" s="569"/>
      <c r="B699" s="598"/>
      <c r="C699" s="589"/>
      <c r="D699" s="565"/>
      <c r="E699" s="596"/>
      <c r="F699" s="565"/>
      <c r="G699" s="600"/>
      <c r="H699" s="602"/>
      <c r="I699" s="565"/>
      <c r="J699" s="565"/>
      <c r="K699" s="466"/>
      <c r="L699" s="459"/>
      <c r="M699" s="460"/>
      <c r="N699" s="459"/>
      <c r="O699" s="261"/>
      <c r="P699" s="565"/>
      <c r="Q699" s="565"/>
      <c r="R699" s="467"/>
    </row>
    <row r="700" spans="1:18" s="438" customFormat="1" outlineLevel="1">
      <c r="A700" s="569"/>
      <c r="B700" s="598"/>
      <c r="C700" s="589"/>
      <c r="D700" s="565"/>
      <c r="E700" s="596"/>
      <c r="F700" s="565"/>
      <c r="G700" s="600"/>
      <c r="H700" s="602"/>
      <c r="I700" s="565"/>
      <c r="J700" s="565"/>
      <c r="K700" s="466"/>
      <c r="L700" s="459"/>
      <c r="M700" s="460"/>
      <c r="N700" s="459"/>
      <c r="O700" s="261"/>
      <c r="P700" s="565"/>
      <c r="Q700" s="565"/>
      <c r="R700" s="467"/>
    </row>
    <row r="701" spans="1:18" s="438" customFormat="1" outlineLevel="1">
      <c r="A701" s="569"/>
      <c r="B701" s="598"/>
      <c r="C701" s="589"/>
      <c r="D701" s="565"/>
      <c r="E701" s="596"/>
      <c r="F701" s="565"/>
      <c r="G701" s="600"/>
      <c r="H701" s="602"/>
      <c r="I701" s="565"/>
      <c r="J701" s="565"/>
      <c r="K701" s="466"/>
      <c r="L701" s="459"/>
      <c r="M701" s="460"/>
      <c r="N701" s="459"/>
      <c r="O701" s="261"/>
      <c r="P701" s="565"/>
      <c r="Q701" s="565"/>
      <c r="R701" s="467"/>
    </row>
    <row r="702" spans="1:18" s="438" customFormat="1" outlineLevel="1">
      <c r="A702" s="569"/>
      <c r="B702" s="598"/>
      <c r="C702" s="589"/>
      <c r="D702" s="565"/>
      <c r="E702" s="596"/>
      <c r="F702" s="565"/>
      <c r="G702" s="600"/>
      <c r="H702" s="602"/>
      <c r="I702" s="565"/>
      <c r="J702" s="565"/>
      <c r="K702" s="466"/>
      <c r="L702" s="459"/>
      <c r="M702" s="460"/>
      <c r="N702" s="459"/>
      <c r="O702" s="261"/>
      <c r="P702" s="565"/>
      <c r="Q702" s="565"/>
      <c r="R702" s="467"/>
    </row>
    <row r="703" spans="1:18" s="438" customFormat="1" outlineLevel="1">
      <c r="A703" s="569"/>
      <c r="B703" s="598"/>
      <c r="C703" s="589"/>
      <c r="D703" s="565"/>
      <c r="E703" s="596"/>
      <c r="F703" s="565"/>
      <c r="G703" s="600"/>
      <c r="H703" s="602"/>
      <c r="I703" s="565"/>
      <c r="J703" s="565"/>
      <c r="K703" s="466"/>
      <c r="L703" s="459"/>
      <c r="M703" s="460"/>
      <c r="N703" s="459"/>
      <c r="O703" s="261"/>
      <c r="P703" s="565"/>
      <c r="Q703" s="565"/>
      <c r="R703" s="467"/>
    </row>
    <row r="704" spans="1:18" s="438" customFormat="1" outlineLevel="1">
      <c r="A704" s="569"/>
      <c r="B704" s="598"/>
      <c r="C704" s="589"/>
      <c r="D704" s="565"/>
      <c r="E704" s="596"/>
      <c r="F704" s="565"/>
      <c r="G704" s="600"/>
      <c r="H704" s="602"/>
      <c r="I704" s="565"/>
      <c r="J704" s="565"/>
      <c r="K704" s="466"/>
      <c r="L704" s="459"/>
      <c r="M704" s="460"/>
      <c r="N704" s="459"/>
      <c r="O704" s="261"/>
      <c r="P704" s="565"/>
      <c r="Q704" s="565"/>
      <c r="R704" s="467"/>
    </row>
    <row r="705" spans="1:18" s="438" customFormat="1" outlineLevel="1">
      <c r="A705" s="569"/>
      <c r="B705" s="598"/>
      <c r="C705" s="589"/>
      <c r="D705" s="565"/>
      <c r="E705" s="596"/>
      <c r="F705" s="565"/>
      <c r="G705" s="600"/>
      <c r="H705" s="602"/>
      <c r="I705" s="565"/>
      <c r="J705" s="565"/>
      <c r="K705" s="466"/>
      <c r="L705" s="459"/>
      <c r="M705" s="460"/>
      <c r="N705" s="459"/>
      <c r="O705" s="261"/>
      <c r="P705" s="565"/>
      <c r="Q705" s="565"/>
      <c r="R705" s="467"/>
    </row>
    <row r="706" spans="1:18" s="438" customFormat="1" outlineLevel="1">
      <c r="A706" s="569"/>
      <c r="B706" s="598"/>
      <c r="C706" s="589"/>
      <c r="D706" s="565"/>
      <c r="E706" s="596"/>
      <c r="F706" s="565"/>
      <c r="G706" s="600"/>
      <c r="H706" s="602"/>
      <c r="I706" s="565"/>
      <c r="J706" s="565"/>
      <c r="K706" s="466"/>
      <c r="L706" s="459"/>
      <c r="M706" s="460"/>
      <c r="N706" s="459"/>
      <c r="O706" s="261"/>
      <c r="P706" s="565"/>
      <c r="Q706" s="565"/>
      <c r="R706" s="467"/>
    </row>
    <row r="707" spans="1:18" s="438" customFormat="1" outlineLevel="1">
      <c r="A707" s="569"/>
      <c r="B707" s="598"/>
      <c r="C707" s="589"/>
      <c r="D707" s="565"/>
      <c r="E707" s="596"/>
      <c r="F707" s="565"/>
      <c r="G707" s="600"/>
      <c r="H707" s="602"/>
      <c r="I707" s="565"/>
      <c r="J707" s="565"/>
      <c r="K707" s="466"/>
      <c r="L707" s="459"/>
      <c r="M707" s="460"/>
      <c r="N707" s="459"/>
      <c r="O707" s="261"/>
      <c r="P707" s="565"/>
      <c r="Q707" s="565"/>
      <c r="R707" s="467"/>
    </row>
    <row r="708" spans="1:18" s="438" customFormat="1" outlineLevel="1">
      <c r="A708" s="570"/>
      <c r="B708" s="599"/>
      <c r="C708" s="590"/>
      <c r="D708" s="566"/>
      <c r="E708" s="596"/>
      <c r="F708" s="566"/>
      <c r="G708" s="601"/>
      <c r="H708" s="603"/>
      <c r="I708" s="566"/>
      <c r="J708" s="566"/>
      <c r="K708" s="466"/>
      <c r="L708" s="459"/>
      <c r="M708" s="460"/>
      <c r="N708" s="459"/>
      <c r="O708" s="261"/>
      <c r="P708" s="566"/>
      <c r="Q708" s="566"/>
      <c r="R708" s="467"/>
    </row>
    <row r="709" spans="1:18" s="438" customFormat="1" outlineLevel="1">
      <c r="A709" s="568"/>
      <c r="B709" s="572"/>
      <c r="C709" s="574"/>
      <c r="D709" s="578"/>
      <c r="E709" s="580"/>
      <c r="F709" s="578"/>
      <c r="G709" s="581"/>
      <c r="H709" s="577"/>
      <c r="I709" s="577"/>
      <c r="J709" s="577"/>
      <c r="K709" s="472"/>
      <c r="L709" s="480"/>
      <c r="M709" s="479"/>
      <c r="N709" s="476"/>
      <c r="O709" s="477"/>
      <c r="P709" s="577"/>
      <c r="Q709" s="594"/>
      <c r="R709" s="467"/>
    </row>
    <row r="710" spans="1:18" s="438" customFormat="1" outlineLevel="1">
      <c r="A710" s="569"/>
      <c r="B710" s="598"/>
      <c r="C710" s="589"/>
      <c r="D710" s="565"/>
      <c r="E710" s="596"/>
      <c r="F710" s="565"/>
      <c r="G710" s="600"/>
      <c r="H710" s="602"/>
      <c r="I710" s="565"/>
      <c r="J710" s="565"/>
      <c r="K710" s="466"/>
      <c r="L710" s="480"/>
      <c r="M710" s="479"/>
      <c r="N710" s="479"/>
      <c r="O710" s="261"/>
      <c r="P710" s="565"/>
      <c r="Q710" s="565"/>
      <c r="R710" s="467"/>
    </row>
    <row r="711" spans="1:18" s="438" customFormat="1" outlineLevel="1">
      <c r="A711" s="569"/>
      <c r="B711" s="598"/>
      <c r="C711" s="589"/>
      <c r="D711" s="565"/>
      <c r="E711" s="596"/>
      <c r="F711" s="565"/>
      <c r="G711" s="600"/>
      <c r="H711" s="602"/>
      <c r="I711" s="565"/>
      <c r="J711" s="565"/>
      <c r="K711" s="466"/>
      <c r="L711" s="480"/>
      <c r="M711" s="479"/>
      <c r="N711" s="479"/>
      <c r="O711" s="261"/>
      <c r="P711" s="565"/>
      <c r="Q711" s="565"/>
      <c r="R711" s="467"/>
    </row>
    <row r="712" spans="1:18" s="438" customFormat="1" outlineLevel="1">
      <c r="A712" s="569"/>
      <c r="B712" s="598"/>
      <c r="C712" s="589"/>
      <c r="D712" s="565"/>
      <c r="E712" s="596"/>
      <c r="F712" s="565"/>
      <c r="G712" s="600"/>
      <c r="H712" s="602"/>
      <c r="I712" s="565"/>
      <c r="J712" s="565"/>
      <c r="K712" s="466"/>
      <c r="L712" s="480"/>
      <c r="M712" s="479"/>
      <c r="N712" s="479"/>
      <c r="O712" s="261"/>
      <c r="P712" s="565"/>
      <c r="Q712" s="565"/>
      <c r="R712" s="467"/>
    </row>
    <row r="713" spans="1:18" s="438" customFormat="1" outlineLevel="1">
      <c r="A713" s="569"/>
      <c r="B713" s="598"/>
      <c r="C713" s="589"/>
      <c r="D713" s="565"/>
      <c r="E713" s="596"/>
      <c r="F713" s="565"/>
      <c r="G713" s="600"/>
      <c r="H713" s="602"/>
      <c r="I713" s="565"/>
      <c r="J713" s="565"/>
      <c r="K713" s="466"/>
      <c r="L713" s="482"/>
      <c r="M713" s="479"/>
      <c r="N713" s="479"/>
      <c r="O713" s="261"/>
      <c r="P713" s="565"/>
      <c r="Q713" s="565"/>
      <c r="R713" s="467"/>
    </row>
    <row r="714" spans="1:18" s="438" customFormat="1" outlineLevel="1">
      <c r="A714" s="569"/>
      <c r="B714" s="598"/>
      <c r="C714" s="589"/>
      <c r="D714" s="565"/>
      <c r="E714" s="596"/>
      <c r="F714" s="565"/>
      <c r="G714" s="600"/>
      <c r="H714" s="602"/>
      <c r="I714" s="565"/>
      <c r="J714" s="565"/>
      <c r="K714" s="466"/>
      <c r="L714" s="459"/>
      <c r="M714" s="460"/>
      <c r="N714" s="459"/>
      <c r="O714" s="261"/>
      <c r="P714" s="565"/>
      <c r="Q714" s="565"/>
      <c r="R714" s="467"/>
    </row>
    <row r="715" spans="1:18" s="438" customFormat="1" outlineLevel="1">
      <c r="A715" s="569"/>
      <c r="B715" s="598"/>
      <c r="C715" s="589"/>
      <c r="D715" s="565"/>
      <c r="E715" s="596"/>
      <c r="F715" s="565"/>
      <c r="G715" s="600"/>
      <c r="H715" s="602"/>
      <c r="I715" s="565"/>
      <c r="J715" s="565"/>
      <c r="K715" s="466"/>
      <c r="L715" s="459"/>
      <c r="M715" s="460"/>
      <c r="N715" s="459"/>
      <c r="O715" s="261"/>
      <c r="P715" s="565"/>
      <c r="Q715" s="565"/>
      <c r="R715" s="467"/>
    </row>
    <row r="716" spans="1:18" s="438" customFormat="1" outlineLevel="1">
      <c r="A716" s="569"/>
      <c r="B716" s="598"/>
      <c r="C716" s="589"/>
      <c r="D716" s="565"/>
      <c r="E716" s="596"/>
      <c r="F716" s="565"/>
      <c r="G716" s="600"/>
      <c r="H716" s="602"/>
      <c r="I716" s="565"/>
      <c r="J716" s="565"/>
      <c r="K716" s="466"/>
      <c r="L716" s="459"/>
      <c r="M716" s="460"/>
      <c r="N716" s="459"/>
      <c r="O716" s="261"/>
      <c r="P716" s="565"/>
      <c r="Q716" s="565"/>
      <c r="R716" s="467"/>
    </row>
    <row r="717" spans="1:18" s="438" customFormat="1" outlineLevel="1">
      <c r="A717" s="569"/>
      <c r="B717" s="598"/>
      <c r="C717" s="589"/>
      <c r="D717" s="565"/>
      <c r="E717" s="596"/>
      <c r="F717" s="565"/>
      <c r="G717" s="600"/>
      <c r="H717" s="602"/>
      <c r="I717" s="565"/>
      <c r="J717" s="565"/>
      <c r="K717" s="466"/>
      <c r="L717" s="459"/>
      <c r="M717" s="460"/>
      <c r="N717" s="459"/>
      <c r="O717" s="261"/>
      <c r="P717" s="565"/>
      <c r="Q717" s="565"/>
      <c r="R717" s="467"/>
    </row>
    <row r="718" spans="1:18" s="438" customFormat="1" outlineLevel="1">
      <c r="A718" s="569"/>
      <c r="B718" s="598"/>
      <c r="C718" s="589"/>
      <c r="D718" s="565"/>
      <c r="E718" s="596"/>
      <c r="F718" s="565"/>
      <c r="G718" s="600"/>
      <c r="H718" s="602"/>
      <c r="I718" s="565"/>
      <c r="J718" s="565"/>
      <c r="K718" s="466"/>
      <c r="L718" s="459"/>
      <c r="M718" s="460"/>
      <c r="N718" s="459"/>
      <c r="O718" s="261"/>
      <c r="P718" s="565"/>
      <c r="Q718" s="565"/>
      <c r="R718" s="467"/>
    </row>
    <row r="719" spans="1:18" s="438" customFormat="1" outlineLevel="1">
      <c r="A719" s="569"/>
      <c r="B719" s="598"/>
      <c r="C719" s="589"/>
      <c r="D719" s="565"/>
      <c r="E719" s="596"/>
      <c r="F719" s="565"/>
      <c r="G719" s="600"/>
      <c r="H719" s="602"/>
      <c r="I719" s="565"/>
      <c r="J719" s="565"/>
      <c r="K719" s="466"/>
      <c r="L719" s="459"/>
      <c r="M719" s="460"/>
      <c r="N719" s="459"/>
      <c r="O719" s="261"/>
      <c r="P719" s="565"/>
      <c r="Q719" s="565"/>
      <c r="R719" s="467"/>
    </row>
    <row r="720" spans="1:18" s="438" customFormat="1" outlineLevel="1">
      <c r="A720" s="569"/>
      <c r="B720" s="598"/>
      <c r="C720" s="589"/>
      <c r="D720" s="565"/>
      <c r="E720" s="596"/>
      <c r="F720" s="565"/>
      <c r="G720" s="600"/>
      <c r="H720" s="602"/>
      <c r="I720" s="565"/>
      <c r="J720" s="565"/>
      <c r="K720" s="466"/>
      <c r="L720" s="459"/>
      <c r="M720" s="460"/>
      <c r="N720" s="459"/>
      <c r="O720" s="261"/>
      <c r="P720" s="565"/>
      <c r="Q720" s="565"/>
      <c r="R720" s="467"/>
    </row>
    <row r="721" spans="1:18" s="438" customFormat="1" outlineLevel="1">
      <c r="A721" s="569"/>
      <c r="B721" s="598"/>
      <c r="C721" s="589"/>
      <c r="D721" s="565"/>
      <c r="E721" s="596"/>
      <c r="F721" s="565"/>
      <c r="G721" s="600"/>
      <c r="H721" s="602"/>
      <c r="I721" s="565"/>
      <c r="J721" s="565"/>
      <c r="K721" s="466"/>
      <c r="L721" s="459"/>
      <c r="M721" s="460"/>
      <c r="N721" s="459"/>
      <c r="O721" s="261"/>
      <c r="P721" s="565"/>
      <c r="Q721" s="565"/>
      <c r="R721" s="467"/>
    </row>
    <row r="722" spans="1:18" s="438" customFormat="1" outlineLevel="1">
      <c r="A722" s="569"/>
      <c r="B722" s="598"/>
      <c r="C722" s="589"/>
      <c r="D722" s="565"/>
      <c r="E722" s="596"/>
      <c r="F722" s="565"/>
      <c r="G722" s="600"/>
      <c r="H722" s="602"/>
      <c r="I722" s="565"/>
      <c r="J722" s="565"/>
      <c r="K722" s="466"/>
      <c r="L722" s="459"/>
      <c r="M722" s="460"/>
      <c r="N722" s="459"/>
      <c r="O722" s="261"/>
      <c r="P722" s="565"/>
      <c r="Q722" s="565"/>
      <c r="R722" s="467"/>
    </row>
    <row r="723" spans="1:18" s="438" customFormat="1" outlineLevel="1">
      <c r="A723" s="569"/>
      <c r="B723" s="598"/>
      <c r="C723" s="589"/>
      <c r="D723" s="565"/>
      <c r="E723" s="596"/>
      <c r="F723" s="565"/>
      <c r="G723" s="600"/>
      <c r="H723" s="602"/>
      <c r="I723" s="565"/>
      <c r="J723" s="565"/>
      <c r="K723" s="466"/>
      <c r="L723" s="459"/>
      <c r="M723" s="460"/>
      <c r="N723" s="459"/>
      <c r="O723" s="261"/>
      <c r="P723" s="565"/>
      <c r="Q723" s="565"/>
      <c r="R723" s="467"/>
    </row>
    <row r="724" spans="1:18" s="438" customFormat="1" outlineLevel="1">
      <c r="A724" s="570"/>
      <c r="B724" s="599"/>
      <c r="C724" s="590"/>
      <c r="D724" s="566"/>
      <c r="E724" s="596"/>
      <c r="F724" s="566"/>
      <c r="G724" s="601"/>
      <c r="H724" s="603"/>
      <c r="I724" s="566"/>
      <c r="J724" s="566"/>
      <c r="K724" s="466"/>
      <c r="L724" s="459"/>
      <c r="M724" s="460"/>
      <c r="N724" s="459"/>
      <c r="O724" s="261"/>
      <c r="P724" s="566"/>
      <c r="Q724" s="566"/>
      <c r="R724" s="467"/>
    </row>
    <row r="725" spans="1:18" s="438" customFormat="1" outlineLevel="1">
      <c r="A725" s="568"/>
      <c r="B725" s="572"/>
      <c r="C725" s="574"/>
      <c r="D725" s="578"/>
      <c r="E725" s="580"/>
      <c r="F725" s="578"/>
      <c r="G725" s="581"/>
      <c r="H725" s="581"/>
      <c r="I725" s="577"/>
      <c r="J725" s="577"/>
      <c r="K725" s="472"/>
      <c r="L725" s="480"/>
      <c r="M725" s="479"/>
      <c r="N725" s="476"/>
      <c r="O725" s="477"/>
      <c r="P725" s="577"/>
      <c r="Q725" s="594"/>
      <c r="R725" s="467"/>
    </row>
    <row r="726" spans="1:18" s="438" customFormat="1" outlineLevel="1">
      <c r="A726" s="569"/>
      <c r="B726" s="598"/>
      <c r="C726" s="589"/>
      <c r="D726" s="565"/>
      <c r="E726" s="596"/>
      <c r="F726" s="565"/>
      <c r="G726" s="600"/>
      <c r="H726" s="600"/>
      <c r="I726" s="565"/>
      <c r="J726" s="565"/>
      <c r="K726" s="466"/>
      <c r="L726" s="480"/>
      <c r="M726" s="479"/>
      <c r="N726" s="479"/>
      <c r="O726" s="261"/>
      <c r="P726" s="565"/>
      <c r="Q726" s="565"/>
      <c r="R726" s="467"/>
    </row>
    <row r="727" spans="1:18" s="438" customFormat="1" outlineLevel="1">
      <c r="A727" s="569"/>
      <c r="B727" s="598"/>
      <c r="C727" s="589"/>
      <c r="D727" s="565"/>
      <c r="E727" s="596"/>
      <c r="F727" s="565"/>
      <c r="G727" s="600"/>
      <c r="H727" s="600"/>
      <c r="I727" s="565"/>
      <c r="J727" s="565"/>
      <c r="K727" s="466"/>
      <c r="L727" s="459"/>
      <c r="M727" s="460"/>
      <c r="N727" s="459"/>
      <c r="O727" s="261"/>
      <c r="P727" s="565"/>
      <c r="Q727" s="565"/>
      <c r="R727" s="467"/>
    </row>
    <row r="728" spans="1:18" s="438" customFormat="1" outlineLevel="1">
      <c r="A728" s="569"/>
      <c r="B728" s="598"/>
      <c r="C728" s="589"/>
      <c r="D728" s="565"/>
      <c r="E728" s="596"/>
      <c r="F728" s="565"/>
      <c r="G728" s="600"/>
      <c r="H728" s="600"/>
      <c r="I728" s="565"/>
      <c r="J728" s="565"/>
      <c r="K728" s="466"/>
      <c r="L728" s="459"/>
      <c r="M728" s="460"/>
      <c r="N728" s="459"/>
      <c r="O728" s="261"/>
      <c r="P728" s="565"/>
      <c r="Q728" s="565"/>
      <c r="R728" s="467"/>
    </row>
    <row r="729" spans="1:18" s="438" customFormat="1" outlineLevel="1">
      <c r="A729" s="569"/>
      <c r="B729" s="598"/>
      <c r="C729" s="589"/>
      <c r="D729" s="565"/>
      <c r="E729" s="596"/>
      <c r="F729" s="565"/>
      <c r="G729" s="600"/>
      <c r="H729" s="600"/>
      <c r="I729" s="565"/>
      <c r="J729" s="565"/>
      <c r="K729" s="466"/>
      <c r="L729" s="459"/>
      <c r="M729" s="460"/>
      <c r="N729" s="459"/>
      <c r="O729" s="261"/>
      <c r="P729" s="565"/>
      <c r="Q729" s="565"/>
      <c r="R729" s="467"/>
    </row>
    <row r="730" spans="1:18" s="438" customFormat="1" outlineLevel="1">
      <c r="A730" s="569"/>
      <c r="B730" s="598"/>
      <c r="C730" s="589"/>
      <c r="D730" s="565"/>
      <c r="E730" s="596"/>
      <c r="F730" s="565"/>
      <c r="G730" s="600"/>
      <c r="H730" s="600"/>
      <c r="I730" s="565"/>
      <c r="J730" s="565"/>
      <c r="K730" s="466"/>
      <c r="L730" s="459"/>
      <c r="M730" s="460"/>
      <c r="N730" s="459"/>
      <c r="O730" s="261"/>
      <c r="P730" s="565"/>
      <c r="Q730" s="565"/>
      <c r="R730" s="467"/>
    </row>
    <row r="731" spans="1:18" s="438" customFormat="1" outlineLevel="1">
      <c r="A731" s="569"/>
      <c r="B731" s="598"/>
      <c r="C731" s="589"/>
      <c r="D731" s="565"/>
      <c r="E731" s="596"/>
      <c r="F731" s="565"/>
      <c r="G731" s="600"/>
      <c r="H731" s="600"/>
      <c r="I731" s="565"/>
      <c r="J731" s="565"/>
      <c r="K731" s="466"/>
      <c r="L731" s="459"/>
      <c r="M731" s="460"/>
      <c r="N731" s="459"/>
      <c r="O731" s="261"/>
      <c r="P731" s="565"/>
      <c r="Q731" s="565"/>
      <c r="R731" s="467"/>
    </row>
    <row r="732" spans="1:18" s="438" customFormat="1" outlineLevel="1">
      <c r="A732" s="569"/>
      <c r="B732" s="598"/>
      <c r="C732" s="589"/>
      <c r="D732" s="565"/>
      <c r="E732" s="596"/>
      <c r="F732" s="565"/>
      <c r="G732" s="600"/>
      <c r="H732" s="600"/>
      <c r="I732" s="565"/>
      <c r="J732" s="565"/>
      <c r="K732" s="466"/>
      <c r="L732" s="459"/>
      <c r="M732" s="460"/>
      <c r="N732" s="459"/>
      <c r="O732" s="261"/>
      <c r="P732" s="565"/>
      <c r="Q732" s="565"/>
      <c r="R732" s="467"/>
    </row>
    <row r="733" spans="1:18" s="438" customFormat="1" outlineLevel="1">
      <c r="A733" s="569"/>
      <c r="B733" s="598"/>
      <c r="C733" s="589"/>
      <c r="D733" s="565"/>
      <c r="E733" s="596"/>
      <c r="F733" s="565"/>
      <c r="G733" s="600"/>
      <c r="H733" s="600"/>
      <c r="I733" s="565"/>
      <c r="J733" s="565"/>
      <c r="K733" s="466"/>
      <c r="L733" s="459"/>
      <c r="M733" s="460"/>
      <c r="N733" s="459"/>
      <c r="O733" s="261"/>
      <c r="P733" s="565"/>
      <c r="Q733" s="565"/>
      <c r="R733" s="467"/>
    </row>
    <row r="734" spans="1:18" s="438" customFormat="1" outlineLevel="1">
      <c r="A734" s="569"/>
      <c r="B734" s="598"/>
      <c r="C734" s="589"/>
      <c r="D734" s="565"/>
      <c r="E734" s="596"/>
      <c r="F734" s="565"/>
      <c r="G734" s="600"/>
      <c r="H734" s="600"/>
      <c r="I734" s="565"/>
      <c r="J734" s="565"/>
      <c r="K734" s="466"/>
      <c r="L734" s="459"/>
      <c r="M734" s="460"/>
      <c r="N734" s="459"/>
      <c r="O734" s="261"/>
      <c r="P734" s="565"/>
      <c r="Q734" s="565"/>
      <c r="R734" s="467"/>
    </row>
    <row r="735" spans="1:18" s="438" customFormat="1" outlineLevel="1">
      <c r="A735" s="569"/>
      <c r="B735" s="598"/>
      <c r="C735" s="589"/>
      <c r="D735" s="565"/>
      <c r="E735" s="596"/>
      <c r="F735" s="565"/>
      <c r="G735" s="600"/>
      <c r="H735" s="600"/>
      <c r="I735" s="565"/>
      <c r="J735" s="565"/>
      <c r="K735" s="466"/>
      <c r="L735" s="459"/>
      <c r="M735" s="460"/>
      <c r="N735" s="459"/>
      <c r="O735" s="261"/>
      <c r="P735" s="565"/>
      <c r="Q735" s="565"/>
      <c r="R735" s="467"/>
    </row>
    <row r="736" spans="1:18" s="438" customFormat="1" outlineLevel="1">
      <c r="A736" s="569"/>
      <c r="B736" s="598"/>
      <c r="C736" s="589"/>
      <c r="D736" s="565"/>
      <c r="E736" s="596"/>
      <c r="F736" s="565"/>
      <c r="G736" s="600"/>
      <c r="H736" s="600"/>
      <c r="I736" s="565"/>
      <c r="J736" s="565"/>
      <c r="K736" s="466"/>
      <c r="L736" s="459"/>
      <c r="M736" s="460"/>
      <c r="N736" s="459"/>
      <c r="O736" s="261"/>
      <c r="P736" s="565"/>
      <c r="Q736" s="565"/>
      <c r="R736" s="467"/>
    </row>
    <row r="737" spans="1:18" s="438" customFormat="1" outlineLevel="1">
      <c r="A737" s="569"/>
      <c r="B737" s="598"/>
      <c r="C737" s="589"/>
      <c r="D737" s="565"/>
      <c r="E737" s="596"/>
      <c r="F737" s="565"/>
      <c r="G737" s="600"/>
      <c r="H737" s="600"/>
      <c r="I737" s="565"/>
      <c r="J737" s="565"/>
      <c r="K737" s="466"/>
      <c r="L737" s="459"/>
      <c r="M737" s="460"/>
      <c r="N737" s="459"/>
      <c r="O737" s="261"/>
      <c r="P737" s="565"/>
      <c r="Q737" s="565"/>
      <c r="R737" s="467"/>
    </row>
    <row r="738" spans="1:18" s="438" customFormat="1" outlineLevel="1">
      <c r="A738" s="569"/>
      <c r="B738" s="598"/>
      <c r="C738" s="589"/>
      <c r="D738" s="565"/>
      <c r="E738" s="596"/>
      <c r="F738" s="565"/>
      <c r="G738" s="600"/>
      <c r="H738" s="600"/>
      <c r="I738" s="565"/>
      <c r="J738" s="565"/>
      <c r="K738" s="466"/>
      <c r="L738" s="459"/>
      <c r="M738" s="460"/>
      <c r="N738" s="459"/>
      <c r="O738" s="261"/>
      <c r="P738" s="565"/>
      <c r="Q738" s="565"/>
      <c r="R738" s="467"/>
    </row>
    <row r="739" spans="1:18" s="438" customFormat="1" outlineLevel="1">
      <c r="A739" s="569"/>
      <c r="B739" s="598"/>
      <c r="C739" s="589"/>
      <c r="D739" s="565"/>
      <c r="E739" s="596"/>
      <c r="F739" s="565"/>
      <c r="G739" s="600"/>
      <c r="H739" s="600"/>
      <c r="I739" s="565"/>
      <c r="J739" s="565"/>
      <c r="K739" s="466"/>
      <c r="L739" s="459"/>
      <c r="M739" s="460"/>
      <c r="N739" s="459"/>
      <c r="O739" s="261"/>
      <c r="P739" s="565"/>
      <c r="Q739" s="565"/>
      <c r="R739" s="467"/>
    </row>
    <row r="740" spans="1:18" s="438" customFormat="1" outlineLevel="1">
      <c r="A740" s="570"/>
      <c r="B740" s="599"/>
      <c r="C740" s="590"/>
      <c r="D740" s="566"/>
      <c r="E740" s="596"/>
      <c r="F740" s="566"/>
      <c r="G740" s="601"/>
      <c r="H740" s="601"/>
      <c r="I740" s="566"/>
      <c r="J740" s="566"/>
      <c r="K740" s="466"/>
      <c r="L740" s="459"/>
      <c r="M740" s="460"/>
      <c r="N740" s="459"/>
      <c r="O740" s="261"/>
      <c r="P740" s="566"/>
      <c r="Q740" s="566"/>
      <c r="R740" s="467"/>
    </row>
    <row r="741" spans="1:18" s="438" customFormat="1" outlineLevel="1">
      <c r="A741" s="568"/>
      <c r="B741" s="572"/>
      <c r="C741" s="574"/>
      <c r="D741" s="578"/>
      <c r="E741" s="580"/>
      <c r="F741" s="578"/>
      <c r="G741" s="581"/>
      <c r="H741" s="577"/>
      <c r="I741" s="577"/>
      <c r="J741" s="577"/>
      <c r="K741" s="472"/>
      <c r="L741" s="482"/>
      <c r="M741" s="479"/>
      <c r="N741" s="476"/>
      <c r="O741" s="477"/>
      <c r="P741" s="577"/>
      <c r="Q741" s="594"/>
      <c r="R741" s="467"/>
    </row>
    <row r="742" spans="1:18" s="438" customFormat="1" outlineLevel="1">
      <c r="A742" s="569"/>
      <c r="B742" s="598"/>
      <c r="C742" s="589"/>
      <c r="D742" s="565"/>
      <c r="E742" s="596"/>
      <c r="F742" s="565"/>
      <c r="G742" s="600"/>
      <c r="H742" s="602"/>
      <c r="I742" s="565"/>
      <c r="J742" s="565"/>
      <c r="K742" s="466"/>
      <c r="L742" s="480"/>
      <c r="M742" s="479"/>
      <c r="N742" s="479"/>
      <c r="O742" s="261"/>
      <c r="P742" s="565"/>
      <c r="Q742" s="565"/>
      <c r="R742" s="467"/>
    </row>
    <row r="743" spans="1:18" s="438" customFormat="1" outlineLevel="1">
      <c r="A743" s="569"/>
      <c r="B743" s="598"/>
      <c r="C743" s="589"/>
      <c r="D743" s="565"/>
      <c r="E743" s="596"/>
      <c r="F743" s="565"/>
      <c r="G743" s="600"/>
      <c r="H743" s="602"/>
      <c r="I743" s="565"/>
      <c r="J743" s="565"/>
      <c r="K743" s="466"/>
      <c r="L743" s="480"/>
      <c r="M743" s="479"/>
      <c r="N743" s="479"/>
      <c r="O743" s="261"/>
      <c r="P743" s="565"/>
      <c r="Q743" s="565"/>
      <c r="R743" s="467"/>
    </row>
    <row r="744" spans="1:18" s="438" customFormat="1" outlineLevel="1">
      <c r="A744" s="569"/>
      <c r="B744" s="598"/>
      <c r="C744" s="589"/>
      <c r="D744" s="565"/>
      <c r="E744" s="596"/>
      <c r="F744" s="565"/>
      <c r="G744" s="600"/>
      <c r="H744" s="602"/>
      <c r="I744" s="565"/>
      <c r="J744" s="565"/>
      <c r="K744" s="466"/>
      <c r="L744" s="482"/>
      <c r="M744" s="479"/>
      <c r="N744" s="479"/>
      <c r="O744" s="261"/>
      <c r="P744" s="565"/>
      <c r="Q744" s="565"/>
      <c r="R744" s="467"/>
    </row>
    <row r="745" spans="1:18" s="438" customFormat="1" outlineLevel="1">
      <c r="A745" s="569"/>
      <c r="B745" s="598"/>
      <c r="C745" s="589"/>
      <c r="D745" s="565"/>
      <c r="E745" s="596"/>
      <c r="F745" s="565"/>
      <c r="G745" s="600"/>
      <c r="H745" s="602"/>
      <c r="I745" s="565"/>
      <c r="J745" s="565"/>
      <c r="K745" s="466"/>
      <c r="L745" s="480"/>
      <c r="M745" s="479"/>
      <c r="N745" s="479"/>
      <c r="O745" s="261"/>
      <c r="P745" s="565"/>
      <c r="Q745" s="565"/>
      <c r="R745" s="467"/>
    </row>
    <row r="746" spans="1:18" s="438" customFormat="1" outlineLevel="1">
      <c r="A746" s="569"/>
      <c r="B746" s="598"/>
      <c r="C746" s="589"/>
      <c r="D746" s="565"/>
      <c r="E746" s="596"/>
      <c r="F746" s="565"/>
      <c r="G746" s="600"/>
      <c r="H746" s="602"/>
      <c r="I746" s="565"/>
      <c r="J746" s="565"/>
      <c r="K746" s="466"/>
      <c r="L746" s="482"/>
      <c r="M746" s="479"/>
      <c r="N746" s="479"/>
      <c r="O746" s="261"/>
      <c r="P746" s="565"/>
      <c r="Q746" s="565"/>
      <c r="R746" s="467"/>
    </row>
    <row r="747" spans="1:18" s="438" customFormat="1" outlineLevel="1">
      <c r="A747" s="569"/>
      <c r="B747" s="598"/>
      <c r="C747" s="589"/>
      <c r="D747" s="565"/>
      <c r="E747" s="596"/>
      <c r="F747" s="565"/>
      <c r="G747" s="600"/>
      <c r="H747" s="602"/>
      <c r="I747" s="565"/>
      <c r="J747" s="565"/>
      <c r="K747" s="466"/>
      <c r="L747" s="459"/>
      <c r="M747" s="460"/>
      <c r="N747" s="459"/>
      <c r="O747" s="261"/>
      <c r="P747" s="565"/>
      <c r="Q747" s="565"/>
      <c r="R747" s="467"/>
    </row>
    <row r="748" spans="1:18" s="438" customFormat="1" outlineLevel="1">
      <c r="A748" s="569"/>
      <c r="B748" s="598"/>
      <c r="C748" s="589"/>
      <c r="D748" s="565"/>
      <c r="E748" s="596"/>
      <c r="F748" s="565"/>
      <c r="G748" s="600"/>
      <c r="H748" s="602"/>
      <c r="I748" s="565"/>
      <c r="J748" s="565"/>
      <c r="K748" s="466"/>
      <c r="L748" s="459"/>
      <c r="M748" s="460"/>
      <c r="N748" s="459"/>
      <c r="O748" s="261"/>
      <c r="P748" s="565"/>
      <c r="Q748" s="565"/>
      <c r="R748" s="467"/>
    </row>
    <row r="749" spans="1:18" s="438" customFormat="1" outlineLevel="1">
      <c r="A749" s="569"/>
      <c r="B749" s="598"/>
      <c r="C749" s="589"/>
      <c r="D749" s="565"/>
      <c r="E749" s="596"/>
      <c r="F749" s="565"/>
      <c r="G749" s="600"/>
      <c r="H749" s="602"/>
      <c r="I749" s="565"/>
      <c r="J749" s="565"/>
      <c r="K749" s="466"/>
      <c r="L749" s="459"/>
      <c r="M749" s="460"/>
      <c r="N749" s="459"/>
      <c r="O749" s="261"/>
      <c r="P749" s="565"/>
      <c r="Q749" s="565"/>
      <c r="R749" s="467"/>
    </row>
    <row r="750" spans="1:18" s="438" customFormat="1" outlineLevel="1">
      <c r="A750" s="569"/>
      <c r="B750" s="598"/>
      <c r="C750" s="589"/>
      <c r="D750" s="565"/>
      <c r="E750" s="596"/>
      <c r="F750" s="565"/>
      <c r="G750" s="600"/>
      <c r="H750" s="602"/>
      <c r="I750" s="565"/>
      <c r="J750" s="565"/>
      <c r="K750" s="466"/>
      <c r="L750" s="459"/>
      <c r="M750" s="460"/>
      <c r="N750" s="459"/>
      <c r="O750" s="261"/>
      <c r="P750" s="565"/>
      <c r="Q750" s="565"/>
      <c r="R750" s="467"/>
    </row>
    <row r="751" spans="1:18" s="438" customFormat="1" outlineLevel="1">
      <c r="A751" s="569"/>
      <c r="B751" s="598"/>
      <c r="C751" s="589"/>
      <c r="D751" s="565"/>
      <c r="E751" s="596"/>
      <c r="F751" s="565"/>
      <c r="G751" s="600"/>
      <c r="H751" s="602"/>
      <c r="I751" s="565"/>
      <c r="J751" s="565"/>
      <c r="K751" s="466"/>
      <c r="L751" s="459"/>
      <c r="M751" s="460"/>
      <c r="N751" s="459"/>
      <c r="O751" s="261"/>
      <c r="P751" s="565"/>
      <c r="Q751" s="565"/>
      <c r="R751" s="467"/>
    </row>
    <row r="752" spans="1:18" s="438" customFormat="1" outlineLevel="1">
      <c r="A752" s="569"/>
      <c r="B752" s="598"/>
      <c r="C752" s="589"/>
      <c r="D752" s="565"/>
      <c r="E752" s="596"/>
      <c r="F752" s="565"/>
      <c r="G752" s="600"/>
      <c r="H752" s="602"/>
      <c r="I752" s="565"/>
      <c r="J752" s="565"/>
      <c r="K752" s="466"/>
      <c r="L752" s="459"/>
      <c r="M752" s="460"/>
      <c r="N752" s="459"/>
      <c r="O752" s="261"/>
      <c r="P752" s="565"/>
      <c r="Q752" s="565"/>
      <c r="R752" s="467"/>
    </row>
    <row r="753" spans="1:18" s="438" customFormat="1" outlineLevel="1">
      <c r="A753" s="569"/>
      <c r="B753" s="598"/>
      <c r="C753" s="589"/>
      <c r="D753" s="565"/>
      <c r="E753" s="596"/>
      <c r="F753" s="565"/>
      <c r="G753" s="600"/>
      <c r="H753" s="602"/>
      <c r="I753" s="565"/>
      <c r="J753" s="565"/>
      <c r="K753" s="466"/>
      <c r="L753" s="459"/>
      <c r="M753" s="460"/>
      <c r="N753" s="459"/>
      <c r="O753" s="261"/>
      <c r="P753" s="565"/>
      <c r="Q753" s="565"/>
      <c r="R753" s="467"/>
    </row>
    <row r="754" spans="1:18" s="438" customFormat="1" outlineLevel="1">
      <c r="A754" s="569"/>
      <c r="B754" s="598"/>
      <c r="C754" s="589"/>
      <c r="D754" s="565"/>
      <c r="E754" s="596"/>
      <c r="F754" s="565"/>
      <c r="G754" s="600"/>
      <c r="H754" s="602"/>
      <c r="I754" s="565"/>
      <c r="J754" s="565"/>
      <c r="K754" s="466"/>
      <c r="L754" s="459"/>
      <c r="M754" s="460"/>
      <c r="N754" s="459"/>
      <c r="O754" s="261"/>
      <c r="P754" s="565"/>
      <c r="Q754" s="565"/>
      <c r="R754" s="467"/>
    </row>
    <row r="755" spans="1:18" s="438" customFormat="1" outlineLevel="1">
      <c r="A755" s="569"/>
      <c r="B755" s="598"/>
      <c r="C755" s="589"/>
      <c r="D755" s="565"/>
      <c r="E755" s="596"/>
      <c r="F755" s="565"/>
      <c r="G755" s="600"/>
      <c r="H755" s="602"/>
      <c r="I755" s="565"/>
      <c r="J755" s="565"/>
      <c r="K755" s="466"/>
      <c r="L755" s="459"/>
      <c r="M755" s="460"/>
      <c r="N755" s="459"/>
      <c r="O755" s="261"/>
      <c r="P755" s="565"/>
      <c r="Q755" s="565"/>
      <c r="R755" s="467"/>
    </row>
    <row r="756" spans="1:18" s="438" customFormat="1" outlineLevel="1">
      <c r="A756" s="570"/>
      <c r="B756" s="599"/>
      <c r="C756" s="590"/>
      <c r="D756" s="566"/>
      <c r="E756" s="596"/>
      <c r="F756" s="566"/>
      <c r="G756" s="601"/>
      <c r="H756" s="603"/>
      <c r="I756" s="566"/>
      <c r="J756" s="566"/>
      <c r="K756" s="466"/>
      <c r="L756" s="459"/>
      <c r="M756" s="460"/>
      <c r="N756" s="459"/>
      <c r="O756" s="261"/>
      <c r="P756" s="566"/>
      <c r="Q756" s="566"/>
      <c r="R756" s="467"/>
    </row>
    <row r="757" spans="1:18" s="438" customFormat="1" outlineLevel="1">
      <c r="A757" s="568"/>
      <c r="B757" s="572"/>
      <c r="C757" s="574"/>
      <c r="D757" s="578"/>
      <c r="E757" s="580"/>
      <c r="F757" s="578"/>
      <c r="G757" s="581"/>
      <c r="H757" s="577"/>
      <c r="I757" s="577"/>
      <c r="J757" s="577"/>
      <c r="K757" s="472"/>
      <c r="L757" s="482"/>
      <c r="M757" s="479"/>
      <c r="N757" s="476"/>
      <c r="O757" s="477"/>
      <c r="P757" s="577"/>
      <c r="Q757" s="594"/>
      <c r="R757" s="467"/>
    </row>
    <row r="758" spans="1:18" s="438" customFormat="1" outlineLevel="1">
      <c r="A758" s="569"/>
      <c r="B758" s="598"/>
      <c r="C758" s="589"/>
      <c r="D758" s="565"/>
      <c r="E758" s="596"/>
      <c r="F758" s="565"/>
      <c r="G758" s="600"/>
      <c r="H758" s="602"/>
      <c r="I758" s="565"/>
      <c r="J758" s="565"/>
      <c r="K758" s="466"/>
      <c r="L758" s="480"/>
      <c r="M758" s="479"/>
      <c r="N758" s="479"/>
      <c r="O758" s="261"/>
      <c r="P758" s="565"/>
      <c r="Q758" s="565"/>
      <c r="R758" s="467"/>
    </row>
    <row r="759" spans="1:18" s="438" customFormat="1" outlineLevel="1">
      <c r="A759" s="569"/>
      <c r="B759" s="598"/>
      <c r="C759" s="589"/>
      <c r="D759" s="565"/>
      <c r="E759" s="596"/>
      <c r="F759" s="565"/>
      <c r="G759" s="600"/>
      <c r="H759" s="602"/>
      <c r="I759" s="565"/>
      <c r="J759" s="565"/>
      <c r="K759" s="466"/>
      <c r="L759" s="480"/>
      <c r="M759" s="479"/>
      <c r="N759" s="479"/>
      <c r="O759" s="261"/>
      <c r="P759" s="565"/>
      <c r="Q759" s="565"/>
      <c r="R759" s="467"/>
    </row>
    <row r="760" spans="1:18" s="438" customFormat="1" outlineLevel="1">
      <c r="A760" s="569"/>
      <c r="B760" s="598"/>
      <c r="C760" s="589"/>
      <c r="D760" s="565"/>
      <c r="E760" s="596"/>
      <c r="F760" s="565"/>
      <c r="G760" s="600"/>
      <c r="H760" s="602"/>
      <c r="I760" s="565"/>
      <c r="J760" s="565"/>
      <c r="K760" s="466"/>
      <c r="L760" s="482"/>
      <c r="M760" s="479"/>
      <c r="N760" s="479"/>
      <c r="O760" s="261"/>
      <c r="P760" s="565"/>
      <c r="Q760" s="565"/>
      <c r="R760" s="467"/>
    </row>
    <row r="761" spans="1:18" s="438" customFormat="1" outlineLevel="1">
      <c r="A761" s="569"/>
      <c r="B761" s="598"/>
      <c r="C761" s="589"/>
      <c r="D761" s="565"/>
      <c r="E761" s="596"/>
      <c r="F761" s="565"/>
      <c r="G761" s="600"/>
      <c r="H761" s="602"/>
      <c r="I761" s="565"/>
      <c r="J761" s="565"/>
      <c r="K761" s="466"/>
      <c r="L761" s="480"/>
      <c r="M761" s="479"/>
      <c r="N761" s="479"/>
      <c r="O761" s="261"/>
      <c r="P761" s="565"/>
      <c r="Q761" s="565"/>
      <c r="R761" s="467"/>
    </row>
    <row r="762" spans="1:18" s="438" customFormat="1" outlineLevel="1">
      <c r="A762" s="569"/>
      <c r="B762" s="598"/>
      <c r="C762" s="589"/>
      <c r="D762" s="565"/>
      <c r="E762" s="596"/>
      <c r="F762" s="565"/>
      <c r="G762" s="600"/>
      <c r="H762" s="602"/>
      <c r="I762" s="565"/>
      <c r="J762" s="565"/>
      <c r="K762" s="466"/>
      <c r="L762" s="482"/>
      <c r="M762" s="479"/>
      <c r="N762" s="479"/>
      <c r="O762" s="261"/>
      <c r="P762" s="565"/>
      <c r="Q762" s="565"/>
      <c r="R762" s="467"/>
    </row>
    <row r="763" spans="1:18" s="438" customFormat="1" outlineLevel="1">
      <c r="A763" s="569"/>
      <c r="B763" s="598"/>
      <c r="C763" s="589"/>
      <c r="D763" s="565"/>
      <c r="E763" s="596"/>
      <c r="F763" s="565"/>
      <c r="G763" s="600"/>
      <c r="H763" s="602"/>
      <c r="I763" s="565"/>
      <c r="J763" s="565"/>
      <c r="K763" s="466"/>
      <c r="L763" s="459"/>
      <c r="M763" s="460"/>
      <c r="N763" s="459"/>
      <c r="O763" s="261"/>
      <c r="P763" s="565"/>
      <c r="Q763" s="565"/>
      <c r="R763" s="467"/>
    </row>
    <row r="764" spans="1:18" s="438" customFormat="1" outlineLevel="1">
      <c r="A764" s="569"/>
      <c r="B764" s="598"/>
      <c r="C764" s="589"/>
      <c r="D764" s="565"/>
      <c r="E764" s="596"/>
      <c r="F764" s="565"/>
      <c r="G764" s="600"/>
      <c r="H764" s="602"/>
      <c r="I764" s="565"/>
      <c r="J764" s="565"/>
      <c r="K764" s="466"/>
      <c r="L764" s="459"/>
      <c r="M764" s="460"/>
      <c r="N764" s="459"/>
      <c r="O764" s="261"/>
      <c r="P764" s="565"/>
      <c r="Q764" s="565"/>
      <c r="R764" s="467"/>
    </row>
    <row r="765" spans="1:18" s="438" customFormat="1" outlineLevel="1">
      <c r="A765" s="569"/>
      <c r="B765" s="598"/>
      <c r="C765" s="589"/>
      <c r="D765" s="565"/>
      <c r="E765" s="596"/>
      <c r="F765" s="565"/>
      <c r="G765" s="600"/>
      <c r="H765" s="602"/>
      <c r="I765" s="565"/>
      <c r="J765" s="565"/>
      <c r="K765" s="466"/>
      <c r="L765" s="459"/>
      <c r="M765" s="460"/>
      <c r="N765" s="459"/>
      <c r="O765" s="261"/>
      <c r="P765" s="565"/>
      <c r="Q765" s="565"/>
      <c r="R765" s="467"/>
    </row>
    <row r="766" spans="1:18" s="438" customFormat="1" outlineLevel="1">
      <c r="A766" s="569"/>
      <c r="B766" s="598"/>
      <c r="C766" s="589"/>
      <c r="D766" s="565"/>
      <c r="E766" s="596"/>
      <c r="F766" s="565"/>
      <c r="G766" s="600"/>
      <c r="H766" s="602"/>
      <c r="I766" s="565"/>
      <c r="J766" s="565"/>
      <c r="K766" s="466"/>
      <c r="L766" s="459"/>
      <c r="M766" s="460"/>
      <c r="N766" s="459"/>
      <c r="O766" s="261"/>
      <c r="P766" s="565"/>
      <c r="Q766" s="565"/>
      <c r="R766" s="467"/>
    </row>
    <row r="767" spans="1:18" s="438" customFormat="1" outlineLevel="1">
      <c r="A767" s="569"/>
      <c r="B767" s="598"/>
      <c r="C767" s="589"/>
      <c r="D767" s="565"/>
      <c r="E767" s="596"/>
      <c r="F767" s="565"/>
      <c r="G767" s="600"/>
      <c r="H767" s="602"/>
      <c r="I767" s="565"/>
      <c r="J767" s="565"/>
      <c r="K767" s="466"/>
      <c r="L767" s="459"/>
      <c r="M767" s="460"/>
      <c r="N767" s="459"/>
      <c r="O767" s="261"/>
      <c r="P767" s="565"/>
      <c r="Q767" s="565"/>
      <c r="R767" s="467"/>
    </row>
    <row r="768" spans="1:18" s="438" customFormat="1" outlineLevel="1">
      <c r="A768" s="569"/>
      <c r="B768" s="598"/>
      <c r="C768" s="589"/>
      <c r="D768" s="565"/>
      <c r="E768" s="596"/>
      <c r="F768" s="565"/>
      <c r="G768" s="600"/>
      <c r="H768" s="602"/>
      <c r="I768" s="565"/>
      <c r="J768" s="565"/>
      <c r="K768" s="466"/>
      <c r="L768" s="459"/>
      <c r="M768" s="460"/>
      <c r="N768" s="459"/>
      <c r="O768" s="261"/>
      <c r="P768" s="565"/>
      <c r="Q768" s="565"/>
      <c r="R768" s="467"/>
    </row>
    <row r="769" spans="1:18" s="438" customFormat="1" outlineLevel="1">
      <c r="A769" s="569"/>
      <c r="B769" s="598"/>
      <c r="C769" s="589"/>
      <c r="D769" s="565"/>
      <c r="E769" s="596"/>
      <c r="F769" s="565"/>
      <c r="G769" s="600"/>
      <c r="H769" s="602"/>
      <c r="I769" s="565"/>
      <c r="J769" s="565"/>
      <c r="K769" s="466"/>
      <c r="L769" s="459"/>
      <c r="M769" s="460"/>
      <c r="N769" s="459"/>
      <c r="O769" s="261"/>
      <c r="P769" s="565"/>
      <c r="Q769" s="565"/>
      <c r="R769" s="467"/>
    </row>
    <row r="770" spans="1:18" s="438" customFormat="1" outlineLevel="1">
      <c r="A770" s="569"/>
      <c r="B770" s="598"/>
      <c r="C770" s="589"/>
      <c r="D770" s="565"/>
      <c r="E770" s="596"/>
      <c r="F770" s="565"/>
      <c r="G770" s="600"/>
      <c r="H770" s="602"/>
      <c r="I770" s="565"/>
      <c r="J770" s="565"/>
      <c r="K770" s="466"/>
      <c r="L770" s="459"/>
      <c r="M770" s="460"/>
      <c r="N770" s="459"/>
      <c r="O770" s="261"/>
      <c r="P770" s="565"/>
      <c r="Q770" s="565"/>
      <c r="R770" s="467"/>
    </row>
    <row r="771" spans="1:18" s="438" customFormat="1" outlineLevel="1">
      <c r="A771" s="569"/>
      <c r="B771" s="598"/>
      <c r="C771" s="589"/>
      <c r="D771" s="565"/>
      <c r="E771" s="596"/>
      <c r="F771" s="565"/>
      <c r="G771" s="600"/>
      <c r="H771" s="602"/>
      <c r="I771" s="565"/>
      <c r="J771" s="565"/>
      <c r="K771" s="466"/>
      <c r="L771" s="459"/>
      <c r="M771" s="460"/>
      <c r="N771" s="459"/>
      <c r="O771" s="261"/>
      <c r="P771" s="565"/>
      <c r="Q771" s="565"/>
      <c r="R771" s="467"/>
    </row>
    <row r="772" spans="1:18" s="438" customFormat="1" outlineLevel="1">
      <c r="A772" s="570"/>
      <c r="B772" s="599"/>
      <c r="C772" s="590"/>
      <c r="D772" s="566"/>
      <c r="E772" s="596"/>
      <c r="F772" s="566"/>
      <c r="G772" s="601"/>
      <c r="H772" s="603"/>
      <c r="I772" s="566"/>
      <c r="J772" s="566"/>
      <c r="K772" s="466"/>
      <c r="L772" s="459"/>
      <c r="M772" s="460"/>
      <c r="N772" s="459"/>
      <c r="O772" s="261"/>
      <c r="P772" s="566"/>
      <c r="Q772" s="566"/>
      <c r="R772" s="467"/>
    </row>
    <row r="773" spans="1:18" s="438" customFormat="1" outlineLevel="1">
      <c r="A773" s="568"/>
      <c r="B773" s="572"/>
      <c r="C773" s="574"/>
      <c r="D773" s="578"/>
      <c r="E773" s="580"/>
      <c r="F773" s="578"/>
      <c r="G773" s="581"/>
      <c r="H773" s="581"/>
      <c r="I773" s="577"/>
      <c r="J773" s="577"/>
      <c r="K773" s="472"/>
      <c r="L773" s="482"/>
      <c r="M773" s="479"/>
      <c r="N773" s="476"/>
      <c r="O773" s="477"/>
      <c r="P773" s="577"/>
      <c r="Q773" s="594"/>
      <c r="R773" s="467"/>
    </row>
    <row r="774" spans="1:18" s="438" customFormat="1" outlineLevel="1">
      <c r="A774" s="569"/>
      <c r="B774" s="598"/>
      <c r="C774" s="589"/>
      <c r="D774" s="565"/>
      <c r="E774" s="596"/>
      <c r="F774" s="565"/>
      <c r="G774" s="600"/>
      <c r="H774" s="600"/>
      <c r="I774" s="565"/>
      <c r="J774" s="565"/>
      <c r="K774" s="466"/>
      <c r="L774" s="480"/>
      <c r="M774" s="479"/>
      <c r="N774" s="479"/>
      <c r="O774" s="261"/>
      <c r="P774" s="565"/>
      <c r="Q774" s="565"/>
      <c r="R774" s="467"/>
    </row>
    <row r="775" spans="1:18" s="438" customFormat="1" outlineLevel="1">
      <c r="A775" s="569"/>
      <c r="B775" s="598"/>
      <c r="C775" s="589"/>
      <c r="D775" s="565"/>
      <c r="E775" s="596"/>
      <c r="F775" s="565"/>
      <c r="G775" s="600"/>
      <c r="H775" s="600"/>
      <c r="I775" s="565"/>
      <c r="J775" s="565"/>
      <c r="K775" s="466"/>
      <c r="L775" s="480"/>
      <c r="M775" s="479"/>
      <c r="N775" s="479"/>
      <c r="O775" s="261"/>
      <c r="P775" s="565"/>
      <c r="Q775" s="565"/>
      <c r="R775" s="467"/>
    </row>
    <row r="776" spans="1:18" s="438" customFormat="1" outlineLevel="1">
      <c r="A776" s="569"/>
      <c r="B776" s="598"/>
      <c r="C776" s="589"/>
      <c r="D776" s="565"/>
      <c r="E776" s="596"/>
      <c r="F776" s="565"/>
      <c r="G776" s="600"/>
      <c r="H776" s="600"/>
      <c r="I776" s="565"/>
      <c r="J776" s="565"/>
      <c r="K776" s="466"/>
      <c r="L776" s="482"/>
      <c r="M776" s="479"/>
      <c r="N776" s="479"/>
      <c r="O776" s="261"/>
      <c r="P776" s="565"/>
      <c r="Q776" s="565"/>
      <c r="R776" s="467"/>
    </row>
    <row r="777" spans="1:18" s="438" customFormat="1" outlineLevel="1">
      <c r="A777" s="569"/>
      <c r="B777" s="598"/>
      <c r="C777" s="589"/>
      <c r="D777" s="565"/>
      <c r="E777" s="596"/>
      <c r="F777" s="565"/>
      <c r="G777" s="600"/>
      <c r="H777" s="600"/>
      <c r="I777" s="565"/>
      <c r="J777" s="565"/>
      <c r="K777" s="466"/>
      <c r="L777" s="480"/>
      <c r="M777" s="479"/>
      <c r="N777" s="479"/>
      <c r="O777" s="261"/>
      <c r="P777" s="565"/>
      <c r="Q777" s="565"/>
      <c r="R777" s="467"/>
    </row>
    <row r="778" spans="1:18" s="438" customFormat="1" outlineLevel="1">
      <c r="A778" s="569"/>
      <c r="B778" s="598"/>
      <c r="C778" s="589"/>
      <c r="D778" s="565"/>
      <c r="E778" s="596"/>
      <c r="F778" s="565"/>
      <c r="G778" s="600"/>
      <c r="H778" s="600"/>
      <c r="I778" s="565"/>
      <c r="J778" s="565"/>
      <c r="K778" s="466"/>
      <c r="L778" s="459"/>
      <c r="M778" s="460"/>
      <c r="N778" s="459"/>
      <c r="O778" s="261"/>
      <c r="P778" s="565"/>
      <c r="Q778" s="565"/>
      <c r="R778" s="467"/>
    </row>
    <row r="779" spans="1:18" s="438" customFormat="1" outlineLevel="1">
      <c r="A779" s="569"/>
      <c r="B779" s="598"/>
      <c r="C779" s="589"/>
      <c r="D779" s="565"/>
      <c r="E779" s="596"/>
      <c r="F779" s="565"/>
      <c r="G779" s="600"/>
      <c r="H779" s="600"/>
      <c r="I779" s="565"/>
      <c r="J779" s="565"/>
      <c r="K779" s="466"/>
      <c r="L779" s="459"/>
      <c r="M779" s="460"/>
      <c r="N779" s="459"/>
      <c r="O779" s="261"/>
      <c r="P779" s="565"/>
      <c r="Q779" s="565"/>
      <c r="R779" s="467"/>
    </row>
    <row r="780" spans="1:18" s="438" customFormat="1" outlineLevel="1">
      <c r="A780" s="569"/>
      <c r="B780" s="598"/>
      <c r="C780" s="589"/>
      <c r="D780" s="565"/>
      <c r="E780" s="596"/>
      <c r="F780" s="565"/>
      <c r="G780" s="600"/>
      <c r="H780" s="600"/>
      <c r="I780" s="565"/>
      <c r="J780" s="565"/>
      <c r="K780" s="466"/>
      <c r="L780" s="459"/>
      <c r="M780" s="460"/>
      <c r="N780" s="459"/>
      <c r="O780" s="261"/>
      <c r="P780" s="565"/>
      <c r="Q780" s="565"/>
      <c r="R780" s="467"/>
    </row>
    <row r="781" spans="1:18" s="438" customFormat="1" outlineLevel="1">
      <c r="A781" s="569"/>
      <c r="B781" s="598"/>
      <c r="C781" s="589"/>
      <c r="D781" s="565"/>
      <c r="E781" s="596"/>
      <c r="F781" s="565"/>
      <c r="G781" s="600"/>
      <c r="H781" s="600"/>
      <c r="I781" s="565"/>
      <c r="J781" s="565"/>
      <c r="K781" s="466"/>
      <c r="L781" s="459"/>
      <c r="M781" s="460"/>
      <c r="N781" s="459"/>
      <c r="O781" s="261"/>
      <c r="P781" s="565"/>
      <c r="Q781" s="565"/>
      <c r="R781" s="467"/>
    </row>
    <row r="782" spans="1:18" s="438" customFormat="1" outlineLevel="1">
      <c r="A782" s="569"/>
      <c r="B782" s="598"/>
      <c r="C782" s="589"/>
      <c r="D782" s="565"/>
      <c r="E782" s="596"/>
      <c r="F782" s="565"/>
      <c r="G782" s="600"/>
      <c r="H782" s="600"/>
      <c r="I782" s="565"/>
      <c r="J782" s="565"/>
      <c r="K782" s="466"/>
      <c r="L782" s="459"/>
      <c r="M782" s="460"/>
      <c r="N782" s="459"/>
      <c r="O782" s="261"/>
      <c r="P782" s="565"/>
      <c r="Q782" s="565"/>
      <c r="R782" s="467"/>
    </row>
    <row r="783" spans="1:18" s="438" customFormat="1" outlineLevel="1">
      <c r="A783" s="569"/>
      <c r="B783" s="598"/>
      <c r="C783" s="589"/>
      <c r="D783" s="565"/>
      <c r="E783" s="596"/>
      <c r="F783" s="565"/>
      <c r="G783" s="600"/>
      <c r="H783" s="600"/>
      <c r="I783" s="565"/>
      <c r="J783" s="565"/>
      <c r="K783" s="466"/>
      <c r="L783" s="459"/>
      <c r="M783" s="460"/>
      <c r="N783" s="459"/>
      <c r="O783" s="261"/>
      <c r="P783" s="565"/>
      <c r="Q783" s="565"/>
      <c r="R783" s="467"/>
    </row>
    <row r="784" spans="1:18" s="438" customFormat="1" outlineLevel="1">
      <c r="A784" s="569"/>
      <c r="B784" s="598"/>
      <c r="C784" s="589"/>
      <c r="D784" s="565"/>
      <c r="E784" s="596"/>
      <c r="F784" s="565"/>
      <c r="G784" s="600"/>
      <c r="H784" s="600"/>
      <c r="I784" s="565"/>
      <c r="J784" s="565"/>
      <c r="K784" s="466"/>
      <c r="L784" s="459"/>
      <c r="M784" s="460"/>
      <c r="N784" s="459"/>
      <c r="O784" s="261"/>
      <c r="P784" s="565"/>
      <c r="Q784" s="565"/>
      <c r="R784" s="467"/>
    </row>
    <row r="785" spans="1:18" s="438" customFormat="1" outlineLevel="1">
      <c r="A785" s="569"/>
      <c r="B785" s="598"/>
      <c r="C785" s="589"/>
      <c r="D785" s="565"/>
      <c r="E785" s="596"/>
      <c r="F785" s="565"/>
      <c r="G785" s="600"/>
      <c r="H785" s="600"/>
      <c r="I785" s="565"/>
      <c r="J785" s="565"/>
      <c r="K785" s="466"/>
      <c r="L785" s="459"/>
      <c r="M785" s="460"/>
      <c r="N785" s="459"/>
      <c r="O785" s="261"/>
      <c r="P785" s="565"/>
      <c r="Q785" s="565"/>
      <c r="R785" s="467"/>
    </row>
    <row r="786" spans="1:18" s="438" customFormat="1" outlineLevel="1">
      <c r="A786" s="569"/>
      <c r="B786" s="598"/>
      <c r="C786" s="589"/>
      <c r="D786" s="565"/>
      <c r="E786" s="596"/>
      <c r="F786" s="565"/>
      <c r="G786" s="600"/>
      <c r="H786" s="600"/>
      <c r="I786" s="565"/>
      <c r="J786" s="565"/>
      <c r="K786" s="466"/>
      <c r="L786" s="459"/>
      <c r="M786" s="460"/>
      <c r="N786" s="459"/>
      <c r="O786" s="261"/>
      <c r="P786" s="565"/>
      <c r="Q786" s="565"/>
      <c r="R786" s="467"/>
    </row>
    <row r="787" spans="1:18" s="438" customFormat="1" outlineLevel="1">
      <c r="A787" s="569"/>
      <c r="B787" s="598"/>
      <c r="C787" s="589"/>
      <c r="D787" s="565"/>
      <c r="E787" s="596"/>
      <c r="F787" s="565"/>
      <c r="G787" s="600"/>
      <c r="H787" s="600"/>
      <c r="I787" s="565"/>
      <c r="J787" s="565"/>
      <c r="K787" s="466"/>
      <c r="L787" s="459"/>
      <c r="M787" s="460"/>
      <c r="N787" s="459"/>
      <c r="O787" s="261"/>
      <c r="P787" s="565"/>
      <c r="Q787" s="565"/>
      <c r="R787" s="467"/>
    </row>
    <row r="788" spans="1:18" s="438" customFormat="1" outlineLevel="1">
      <c r="A788" s="570"/>
      <c r="B788" s="599"/>
      <c r="C788" s="590"/>
      <c r="D788" s="566"/>
      <c r="E788" s="596"/>
      <c r="F788" s="566"/>
      <c r="G788" s="601"/>
      <c r="H788" s="601"/>
      <c r="I788" s="566"/>
      <c r="J788" s="566"/>
      <c r="K788" s="466"/>
      <c r="L788" s="459"/>
      <c r="M788" s="460"/>
      <c r="N788" s="459"/>
      <c r="O788" s="261"/>
      <c r="P788" s="566"/>
      <c r="Q788" s="566"/>
      <c r="R788" s="467"/>
    </row>
    <row r="789" spans="1:18" s="438" customFormat="1" outlineLevel="1">
      <c r="A789" s="568"/>
      <c r="B789" s="572"/>
      <c r="C789" s="574"/>
      <c r="D789" s="578"/>
      <c r="E789" s="580"/>
      <c r="F789" s="578"/>
      <c r="G789" s="581"/>
      <c r="H789" s="577"/>
      <c r="I789" s="577"/>
      <c r="J789" s="577"/>
      <c r="K789" s="472"/>
      <c r="L789" s="459"/>
      <c r="M789" s="460"/>
      <c r="N789" s="476"/>
      <c r="O789" s="477"/>
      <c r="P789" s="577"/>
      <c r="Q789" s="594"/>
      <c r="R789" s="467"/>
    </row>
    <row r="790" spans="1:18" s="438" customFormat="1" outlineLevel="1">
      <c r="A790" s="569"/>
      <c r="B790" s="598"/>
      <c r="C790" s="589"/>
      <c r="D790" s="565"/>
      <c r="E790" s="596"/>
      <c r="F790" s="565"/>
      <c r="G790" s="600"/>
      <c r="H790" s="602"/>
      <c r="I790" s="565"/>
      <c r="J790" s="565"/>
      <c r="K790" s="466"/>
      <c r="L790" s="459"/>
      <c r="M790" s="460"/>
      <c r="N790" s="459"/>
      <c r="O790" s="261"/>
      <c r="P790" s="565"/>
      <c r="Q790" s="565"/>
      <c r="R790" s="467"/>
    </row>
    <row r="791" spans="1:18" s="438" customFormat="1" outlineLevel="1">
      <c r="A791" s="569"/>
      <c r="B791" s="598"/>
      <c r="C791" s="589"/>
      <c r="D791" s="565"/>
      <c r="E791" s="596"/>
      <c r="F791" s="565"/>
      <c r="G791" s="600"/>
      <c r="H791" s="602"/>
      <c r="I791" s="565"/>
      <c r="J791" s="565"/>
      <c r="K791" s="466"/>
      <c r="L791" s="459"/>
      <c r="M791" s="460"/>
      <c r="N791" s="459"/>
      <c r="O791" s="261"/>
      <c r="P791" s="565"/>
      <c r="Q791" s="565"/>
      <c r="R791" s="467"/>
    </row>
    <row r="792" spans="1:18" s="438" customFormat="1" outlineLevel="1">
      <c r="A792" s="569"/>
      <c r="B792" s="598"/>
      <c r="C792" s="589"/>
      <c r="D792" s="565"/>
      <c r="E792" s="596"/>
      <c r="F792" s="565"/>
      <c r="G792" s="600"/>
      <c r="H792" s="602"/>
      <c r="I792" s="565"/>
      <c r="J792" s="565"/>
      <c r="K792" s="466"/>
      <c r="L792" s="459"/>
      <c r="M792" s="460"/>
      <c r="N792" s="459"/>
      <c r="O792" s="261"/>
      <c r="P792" s="565"/>
      <c r="Q792" s="565"/>
      <c r="R792" s="467"/>
    </row>
    <row r="793" spans="1:18" s="438" customFormat="1" outlineLevel="1">
      <c r="A793" s="569"/>
      <c r="B793" s="598"/>
      <c r="C793" s="589"/>
      <c r="D793" s="565"/>
      <c r="E793" s="596"/>
      <c r="F793" s="565"/>
      <c r="G793" s="600"/>
      <c r="H793" s="602"/>
      <c r="I793" s="565"/>
      <c r="J793" s="565"/>
      <c r="K793" s="466"/>
      <c r="L793" s="459"/>
      <c r="M793" s="460"/>
      <c r="N793" s="459"/>
      <c r="O793" s="261"/>
      <c r="P793" s="565"/>
      <c r="Q793" s="565"/>
      <c r="R793" s="467"/>
    </row>
    <row r="794" spans="1:18" s="438" customFormat="1" outlineLevel="1">
      <c r="A794" s="569"/>
      <c r="B794" s="598"/>
      <c r="C794" s="589"/>
      <c r="D794" s="565"/>
      <c r="E794" s="596"/>
      <c r="F794" s="565"/>
      <c r="G794" s="600"/>
      <c r="H794" s="602"/>
      <c r="I794" s="565"/>
      <c r="J794" s="565"/>
      <c r="K794" s="466"/>
      <c r="L794" s="459"/>
      <c r="M794" s="460"/>
      <c r="N794" s="459"/>
      <c r="O794" s="261"/>
      <c r="P794" s="565"/>
      <c r="Q794" s="565"/>
      <c r="R794" s="467"/>
    </row>
    <row r="795" spans="1:18" s="438" customFormat="1" outlineLevel="1">
      <c r="A795" s="569"/>
      <c r="B795" s="598"/>
      <c r="C795" s="589"/>
      <c r="D795" s="565"/>
      <c r="E795" s="596"/>
      <c r="F795" s="565"/>
      <c r="G795" s="600"/>
      <c r="H795" s="602"/>
      <c r="I795" s="565"/>
      <c r="J795" s="565"/>
      <c r="K795" s="466"/>
      <c r="L795" s="459"/>
      <c r="M795" s="460"/>
      <c r="N795" s="459"/>
      <c r="O795" s="261"/>
      <c r="P795" s="565"/>
      <c r="Q795" s="565"/>
      <c r="R795" s="467"/>
    </row>
    <row r="796" spans="1:18" s="438" customFormat="1" outlineLevel="1">
      <c r="A796" s="569"/>
      <c r="B796" s="598"/>
      <c r="C796" s="589"/>
      <c r="D796" s="565"/>
      <c r="E796" s="596"/>
      <c r="F796" s="565"/>
      <c r="G796" s="600"/>
      <c r="H796" s="602"/>
      <c r="I796" s="565"/>
      <c r="J796" s="565"/>
      <c r="K796" s="466"/>
      <c r="L796" s="459"/>
      <c r="M796" s="460"/>
      <c r="N796" s="459"/>
      <c r="O796" s="261"/>
      <c r="P796" s="565"/>
      <c r="Q796" s="565"/>
      <c r="R796" s="467"/>
    </row>
    <row r="797" spans="1:18" s="438" customFormat="1" outlineLevel="1">
      <c r="A797" s="569"/>
      <c r="B797" s="598"/>
      <c r="C797" s="589"/>
      <c r="D797" s="565"/>
      <c r="E797" s="596"/>
      <c r="F797" s="565"/>
      <c r="G797" s="600"/>
      <c r="H797" s="602"/>
      <c r="I797" s="565"/>
      <c r="J797" s="565"/>
      <c r="K797" s="466"/>
      <c r="L797" s="459"/>
      <c r="M797" s="460"/>
      <c r="N797" s="459"/>
      <c r="O797" s="261"/>
      <c r="P797" s="565"/>
      <c r="Q797" s="565"/>
      <c r="R797" s="467"/>
    </row>
    <row r="798" spans="1:18" s="438" customFormat="1" outlineLevel="1">
      <c r="A798" s="569"/>
      <c r="B798" s="598"/>
      <c r="C798" s="589"/>
      <c r="D798" s="565"/>
      <c r="E798" s="596"/>
      <c r="F798" s="565"/>
      <c r="G798" s="600"/>
      <c r="H798" s="602"/>
      <c r="I798" s="565"/>
      <c r="J798" s="565"/>
      <c r="K798" s="466"/>
      <c r="L798" s="459"/>
      <c r="M798" s="460"/>
      <c r="N798" s="459"/>
      <c r="O798" s="261"/>
      <c r="P798" s="565"/>
      <c r="Q798" s="565"/>
      <c r="R798" s="467"/>
    </row>
    <row r="799" spans="1:18" s="438" customFormat="1" outlineLevel="1">
      <c r="A799" s="569"/>
      <c r="B799" s="598"/>
      <c r="C799" s="589"/>
      <c r="D799" s="565"/>
      <c r="E799" s="596"/>
      <c r="F799" s="565"/>
      <c r="G799" s="600"/>
      <c r="H799" s="602"/>
      <c r="I799" s="565"/>
      <c r="J799" s="565"/>
      <c r="K799" s="466"/>
      <c r="L799" s="459"/>
      <c r="M799" s="460"/>
      <c r="N799" s="459"/>
      <c r="O799" s="261"/>
      <c r="P799" s="565"/>
      <c r="Q799" s="565"/>
      <c r="R799" s="467"/>
    </row>
    <row r="800" spans="1:18" s="438" customFormat="1" outlineLevel="1">
      <c r="A800" s="569"/>
      <c r="B800" s="598"/>
      <c r="C800" s="589"/>
      <c r="D800" s="565"/>
      <c r="E800" s="596"/>
      <c r="F800" s="565"/>
      <c r="G800" s="600"/>
      <c r="H800" s="602"/>
      <c r="I800" s="565"/>
      <c r="J800" s="565"/>
      <c r="K800" s="466"/>
      <c r="L800" s="459"/>
      <c r="M800" s="460"/>
      <c r="N800" s="459"/>
      <c r="O800" s="261"/>
      <c r="P800" s="565"/>
      <c r="Q800" s="565"/>
      <c r="R800" s="467"/>
    </row>
    <row r="801" spans="1:18" s="438" customFormat="1" outlineLevel="1">
      <c r="A801" s="569"/>
      <c r="B801" s="598"/>
      <c r="C801" s="589"/>
      <c r="D801" s="565"/>
      <c r="E801" s="596"/>
      <c r="F801" s="565"/>
      <c r="G801" s="600"/>
      <c r="H801" s="602"/>
      <c r="I801" s="565"/>
      <c r="J801" s="565"/>
      <c r="K801" s="466"/>
      <c r="L801" s="459"/>
      <c r="M801" s="460"/>
      <c r="N801" s="459"/>
      <c r="O801" s="261"/>
      <c r="P801" s="565"/>
      <c r="Q801" s="565"/>
      <c r="R801" s="467"/>
    </row>
    <row r="802" spans="1:18" s="438" customFormat="1" outlineLevel="1">
      <c r="A802" s="569"/>
      <c r="B802" s="598"/>
      <c r="C802" s="589"/>
      <c r="D802" s="565"/>
      <c r="E802" s="596"/>
      <c r="F802" s="565"/>
      <c r="G802" s="600"/>
      <c r="H802" s="602"/>
      <c r="I802" s="565"/>
      <c r="J802" s="565"/>
      <c r="K802" s="466"/>
      <c r="L802" s="459"/>
      <c r="M802" s="460"/>
      <c r="N802" s="459"/>
      <c r="O802" s="261"/>
      <c r="P802" s="565"/>
      <c r="Q802" s="565"/>
      <c r="R802" s="467"/>
    </row>
    <row r="803" spans="1:18" s="438" customFormat="1" outlineLevel="1">
      <c r="A803" s="569"/>
      <c r="B803" s="598"/>
      <c r="C803" s="589"/>
      <c r="D803" s="565"/>
      <c r="E803" s="596"/>
      <c r="F803" s="565"/>
      <c r="G803" s="600"/>
      <c r="H803" s="602"/>
      <c r="I803" s="565"/>
      <c r="J803" s="565"/>
      <c r="K803" s="466"/>
      <c r="L803" s="459"/>
      <c r="M803" s="460"/>
      <c r="N803" s="459"/>
      <c r="O803" s="261"/>
      <c r="P803" s="565"/>
      <c r="Q803" s="565"/>
      <c r="R803" s="467"/>
    </row>
    <row r="804" spans="1:18" s="438" customFormat="1" outlineLevel="1">
      <c r="A804" s="570"/>
      <c r="B804" s="599"/>
      <c r="C804" s="590"/>
      <c r="D804" s="566"/>
      <c r="E804" s="596"/>
      <c r="F804" s="566"/>
      <c r="G804" s="601"/>
      <c r="H804" s="603"/>
      <c r="I804" s="566"/>
      <c r="J804" s="566"/>
      <c r="K804" s="466"/>
      <c r="L804" s="459"/>
      <c r="M804" s="460"/>
      <c r="N804" s="459"/>
      <c r="O804" s="261"/>
      <c r="P804" s="566"/>
      <c r="Q804" s="566"/>
      <c r="R804" s="467"/>
    </row>
    <row r="805" spans="1:18" s="438" customFormat="1" outlineLevel="1">
      <c r="A805" s="568"/>
      <c r="B805" s="572"/>
      <c r="C805" s="574"/>
      <c r="D805" s="578"/>
      <c r="E805" s="580"/>
      <c r="F805" s="578"/>
      <c r="G805" s="581"/>
      <c r="H805" s="577"/>
      <c r="I805" s="577"/>
      <c r="J805" s="577"/>
      <c r="K805" s="472"/>
      <c r="L805" s="479"/>
      <c r="M805" s="479"/>
      <c r="N805" s="476"/>
      <c r="O805" s="477"/>
      <c r="P805" s="577"/>
      <c r="Q805" s="594"/>
      <c r="R805" s="467"/>
    </row>
    <row r="806" spans="1:18" s="438" customFormat="1" outlineLevel="1">
      <c r="A806" s="569"/>
      <c r="B806" s="598"/>
      <c r="C806" s="589"/>
      <c r="D806" s="565"/>
      <c r="E806" s="596"/>
      <c r="F806" s="565"/>
      <c r="G806" s="600"/>
      <c r="H806" s="602"/>
      <c r="I806" s="565"/>
      <c r="J806" s="565"/>
      <c r="K806" s="466"/>
      <c r="L806" s="480"/>
      <c r="M806" s="479"/>
      <c r="N806" s="479"/>
      <c r="O806" s="261"/>
      <c r="P806" s="565"/>
      <c r="Q806" s="565"/>
      <c r="R806" s="467"/>
    </row>
    <row r="807" spans="1:18" s="438" customFormat="1" outlineLevel="1">
      <c r="A807" s="569"/>
      <c r="B807" s="598"/>
      <c r="C807" s="589"/>
      <c r="D807" s="565"/>
      <c r="E807" s="596"/>
      <c r="F807" s="565"/>
      <c r="G807" s="600"/>
      <c r="H807" s="602"/>
      <c r="I807" s="565"/>
      <c r="J807" s="565"/>
      <c r="K807" s="466"/>
      <c r="L807" s="482"/>
      <c r="M807" s="479"/>
      <c r="N807" s="479"/>
      <c r="O807" s="261"/>
      <c r="P807" s="565"/>
      <c r="Q807" s="565"/>
      <c r="R807" s="467"/>
    </row>
    <row r="808" spans="1:18" s="438" customFormat="1" outlineLevel="1">
      <c r="A808" s="569"/>
      <c r="B808" s="598"/>
      <c r="C808" s="589"/>
      <c r="D808" s="565"/>
      <c r="E808" s="596"/>
      <c r="F808" s="565"/>
      <c r="G808" s="600"/>
      <c r="H808" s="602"/>
      <c r="I808" s="565"/>
      <c r="J808" s="565"/>
      <c r="K808" s="466"/>
      <c r="L808" s="459"/>
      <c r="M808" s="460"/>
      <c r="N808" s="459"/>
      <c r="O808" s="261"/>
      <c r="P808" s="565"/>
      <c r="Q808" s="565"/>
      <c r="R808" s="467"/>
    </row>
    <row r="809" spans="1:18" s="438" customFormat="1" outlineLevel="1">
      <c r="A809" s="569"/>
      <c r="B809" s="598"/>
      <c r="C809" s="589"/>
      <c r="D809" s="565"/>
      <c r="E809" s="596"/>
      <c r="F809" s="565"/>
      <c r="G809" s="600"/>
      <c r="H809" s="602"/>
      <c r="I809" s="565"/>
      <c r="J809" s="565"/>
      <c r="K809" s="466"/>
      <c r="L809" s="459"/>
      <c r="M809" s="460"/>
      <c r="N809" s="459"/>
      <c r="O809" s="261"/>
      <c r="P809" s="565"/>
      <c r="Q809" s="565"/>
      <c r="R809" s="467"/>
    </row>
    <row r="810" spans="1:18" s="438" customFormat="1" outlineLevel="1">
      <c r="A810" s="569"/>
      <c r="B810" s="598"/>
      <c r="C810" s="589"/>
      <c r="D810" s="565"/>
      <c r="E810" s="596"/>
      <c r="F810" s="565"/>
      <c r="G810" s="600"/>
      <c r="H810" s="602"/>
      <c r="I810" s="565"/>
      <c r="J810" s="565"/>
      <c r="K810" s="466"/>
      <c r="L810" s="459"/>
      <c r="M810" s="460"/>
      <c r="N810" s="459"/>
      <c r="O810" s="261"/>
      <c r="P810" s="565"/>
      <c r="Q810" s="565"/>
      <c r="R810" s="467"/>
    </row>
    <row r="811" spans="1:18" s="438" customFormat="1" outlineLevel="1">
      <c r="A811" s="569"/>
      <c r="B811" s="598"/>
      <c r="C811" s="589"/>
      <c r="D811" s="565"/>
      <c r="E811" s="596"/>
      <c r="F811" s="565"/>
      <c r="G811" s="600"/>
      <c r="H811" s="602"/>
      <c r="I811" s="565"/>
      <c r="J811" s="565"/>
      <c r="K811" s="466"/>
      <c r="L811" s="459"/>
      <c r="M811" s="460"/>
      <c r="N811" s="459"/>
      <c r="O811" s="261"/>
      <c r="P811" s="565"/>
      <c r="Q811" s="565"/>
      <c r="R811" s="467"/>
    </row>
    <row r="812" spans="1:18" s="438" customFormat="1" outlineLevel="1">
      <c r="A812" s="569"/>
      <c r="B812" s="598"/>
      <c r="C812" s="589"/>
      <c r="D812" s="565"/>
      <c r="E812" s="596"/>
      <c r="F812" s="565"/>
      <c r="G812" s="600"/>
      <c r="H812" s="602"/>
      <c r="I812" s="565"/>
      <c r="J812" s="565"/>
      <c r="K812" s="466"/>
      <c r="L812" s="459"/>
      <c r="M812" s="460"/>
      <c r="N812" s="459"/>
      <c r="O812" s="261"/>
      <c r="P812" s="565"/>
      <c r="Q812" s="565"/>
      <c r="R812" s="467"/>
    </row>
    <row r="813" spans="1:18" s="438" customFormat="1" outlineLevel="1">
      <c r="A813" s="569"/>
      <c r="B813" s="598"/>
      <c r="C813" s="589"/>
      <c r="D813" s="565"/>
      <c r="E813" s="596"/>
      <c r="F813" s="565"/>
      <c r="G813" s="600"/>
      <c r="H813" s="602"/>
      <c r="I813" s="565"/>
      <c r="J813" s="565"/>
      <c r="K813" s="466"/>
      <c r="L813" s="459"/>
      <c r="M813" s="460"/>
      <c r="N813" s="459"/>
      <c r="O813" s="261"/>
      <c r="P813" s="565"/>
      <c r="Q813" s="565"/>
      <c r="R813" s="467"/>
    </row>
    <row r="814" spans="1:18" s="438" customFormat="1" outlineLevel="1">
      <c r="A814" s="569"/>
      <c r="B814" s="598"/>
      <c r="C814" s="589"/>
      <c r="D814" s="565"/>
      <c r="E814" s="596"/>
      <c r="F814" s="565"/>
      <c r="G814" s="600"/>
      <c r="H814" s="602"/>
      <c r="I814" s="565"/>
      <c r="J814" s="565"/>
      <c r="K814" s="466"/>
      <c r="L814" s="459"/>
      <c r="M814" s="460"/>
      <c r="N814" s="459"/>
      <c r="O814" s="261"/>
      <c r="P814" s="565"/>
      <c r="Q814" s="565"/>
      <c r="R814" s="467"/>
    </row>
    <row r="815" spans="1:18" s="438" customFormat="1" outlineLevel="1">
      <c r="A815" s="569"/>
      <c r="B815" s="598"/>
      <c r="C815" s="589"/>
      <c r="D815" s="565"/>
      <c r="E815" s="596"/>
      <c r="F815" s="565"/>
      <c r="G815" s="600"/>
      <c r="H815" s="602"/>
      <c r="I815" s="565"/>
      <c r="J815" s="565"/>
      <c r="K815" s="466"/>
      <c r="L815" s="459"/>
      <c r="M815" s="460"/>
      <c r="N815" s="459"/>
      <c r="O815" s="261"/>
      <c r="P815" s="565"/>
      <c r="Q815" s="565"/>
      <c r="R815" s="467"/>
    </row>
    <row r="816" spans="1:18" s="438" customFormat="1" outlineLevel="1">
      <c r="A816" s="569"/>
      <c r="B816" s="598"/>
      <c r="C816" s="589"/>
      <c r="D816" s="565"/>
      <c r="E816" s="596"/>
      <c r="F816" s="565"/>
      <c r="G816" s="600"/>
      <c r="H816" s="602"/>
      <c r="I816" s="565"/>
      <c r="J816" s="565"/>
      <c r="K816" s="466"/>
      <c r="L816" s="459"/>
      <c r="M816" s="460"/>
      <c r="N816" s="459"/>
      <c r="O816" s="261"/>
      <c r="P816" s="565"/>
      <c r="Q816" s="565"/>
      <c r="R816" s="467"/>
    </row>
    <row r="817" spans="1:18" s="438" customFormat="1" outlineLevel="1">
      <c r="A817" s="569"/>
      <c r="B817" s="598"/>
      <c r="C817" s="589"/>
      <c r="D817" s="565"/>
      <c r="E817" s="596"/>
      <c r="F817" s="565"/>
      <c r="G817" s="600"/>
      <c r="H817" s="602"/>
      <c r="I817" s="565"/>
      <c r="J817" s="565"/>
      <c r="K817" s="466"/>
      <c r="L817" s="459"/>
      <c r="M817" s="460"/>
      <c r="N817" s="459"/>
      <c r="O817" s="261"/>
      <c r="P817" s="565"/>
      <c r="Q817" s="565"/>
      <c r="R817" s="467"/>
    </row>
    <row r="818" spans="1:18" s="438" customFormat="1" outlineLevel="1">
      <c r="A818" s="569"/>
      <c r="B818" s="598"/>
      <c r="C818" s="589"/>
      <c r="D818" s="565"/>
      <c r="E818" s="596"/>
      <c r="F818" s="565"/>
      <c r="G818" s="600"/>
      <c r="H818" s="602"/>
      <c r="I818" s="565"/>
      <c r="J818" s="565"/>
      <c r="K818" s="466"/>
      <c r="L818" s="459"/>
      <c r="M818" s="460"/>
      <c r="N818" s="459"/>
      <c r="O818" s="261"/>
      <c r="P818" s="565"/>
      <c r="Q818" s="565"/>
      <c r="R818" s="467"/>
    </row>
    <row r="819" spans="1:18" s="438" customFormat="1" outlineLevel="1">
      <c r="A819" s="569"/>
      <c r="B819" s="598"/>
      <c r="C819" s="589"/>
      <c r="D819" s="565"/>
      <c r="E819" s="596"/>
      <c r="F819" s="565"/>
      <c r="G819" s="600"/>
      <c r="H819" s="602"/>
      <c r="I819" s="565"/>
      <c r="J819" s="565"/>
      <c r="K819" s="466"/>
      <c r="L819" s="459"/>
      <c r="M819" s="460"/>
      <c r="N819" s="459"/>
      <c r="O819" s="261"/>
      <c r="P819" s="565"/>
      <c r="Q819" s="565"/>
      <c r="R819" s="467"/>
    </row>
    <row r="820" spans="1:18" s="438" customFormat="1" outlineLevel="1">
      <c r="A820" s="570"/>
      <c r="B820" s="599"/>
      <c r="C820" s="590"/>
      <c r="D820" s="566"/>
      <c r="E820" s="596"/>
      <c r="F820" s="566"/>
      <c r="G820" s="601"/>
      <c r="H820" s="603"/>
      <c r="I820" s="566"/>
      <c r="J820" s="566"/>
      <c r="K820" s="466"/>
      <c r="L820" s="459"/>
      <c r="M820" s="460"/>
      <c r="N820" s="459"/>
      <c r="O820" s="261"/>
      <c r="P820" s="566"/>
      <c r="Q820" s="566"/>
      <c r="R820" s="467"/>
    </row>
    <row r="821" spans="1:18" s="438" customFormat="1" outlineLevel="1">
      <c r="A821" s="568"/>
      <c r="B821" s="572"/>
      <c r="C821" s="574"/>
      <c r="D821" s="578"/>
      <c r="E821" s="580"/>
      <c r="F821" s="578"/>
      <c r="G821" s="581"/>
      <c r="H821" s="577"/>
      <c r="I821" s="577"/>
      <c r="J821" s="577"/>
      <c r="K821" s="472"/>
      <c r="L821" s="480"/>
      <c r="M821" s="479"/>
      <c r="N821" s="476"/>
      <c r="O821" s="477"/>
      <c r="P821" s="577"/>
      <c r="Q821" s="594"/>
      <c r="R821" s="467"/>
    </row>
    <row r="822" spans="1:18" s="438" customFormat="1" outlineLevel="1">
      <c r="A822" s="569"/>
      <c r="B822" s="598"/>
      <c r="C822" s="589"/>
      <c r="D822" s="565"/>
      <c r="E822" s="596"/>
      <c r="F822" s="565"/>
      <c r="G822" s="600"/>
      <c r="H822" s="602"/>
      <c r="I822" s="565"/>
      <c r="J822" s="565"/>
      <c r="K822" s="466"/>
      <c r="L822" s="482"/>
      <c r="M822" s="479"/>
      <c r="N822" s="479"/>
      <c r="O822" s="261"/>
      <c r="P822" s="565"/>
      <c r="Q822" s="565"/>
      <c r="R822" s="467"/>
    </row>
    <row r="823" spans="1:18" s="438" customFormat="1" outlineLevel="1">
      <c r="A823" s="569"/>
      <c r="B823" s="598"/>
      <c r="C823" s="589"/>
      <c r="D823" s="565"/>
      <c r="E823" s="596"/>
      <c r="F823" s="565"/>
      <c r="G823" s="600"/>
      <c r="H823" s="602"/>
      <c r="I823" s="565"/>
      <c r="J823" s="565"/>
      <c r="K823" s="466"/>
      <c r="L823" s="459"/>
      <c r="M823" s="460"/>
      <c r="N823" s="459"/>
      <c r="O823" s="261"/>
      <c r="P823" s="565"/>
      <c r="Q823" s="565"/>
      <c r="R823" s="467"/>
    </row>
    <row r="824" spans="1:18" s="438" customFormat="1" outlineLevel="1">
      <c r="A824" s="569"/>
      <c r="B824" s="598"/>
      <c r="C824" s="589"/>
      <c r="D824" s="565"/>
      <c r="E824" s="596"/>
      <c r="F824" s="565"/>
      <c r="G824" s="600"/>
      <c r="H824" s="602"/>
      <c r="I824" s="565"/>
      <c r="J824" s="565"/>
      <c r="K824" s="466"/>
      <c r="L824" s="459"/>
      <c r="M824" s="460"/>
      <c r="N824" s="459"/>
      <c r="O824" s="261"/>
      <c r="P824" s="565"/>
      <c r="Q824" s="565"/>
      <c r="R824" s="467"/>
    </row>
    <row r="825" spans="1:18" s="438" customFormat="1" outlineLevel="1">
      <c r="A825" s="569"/>
      <c r="B825" s="598"/>
      <c r="C825" s="589"/>
      <c r="D825" s="565"/>
      <c r="E825" s="596"/>
      <c r="F825" s="565"/>
      <c r="G825" s="600"/>
      <c r="H825" s="602"/>
      <c r="I825" s="565"/>
      <c r="J825" s="565"/>
      <c r="K825" s="466"/>
      <c r="L825" s="459"/>
      <c r="M825" s="460"/>
      <c r="N825" s="459"/>
      <c r="O825" s="261"/>
      <c r="P825" s="565"/>
      <c r="Q825" s="565"/>
      <c r="R825" s="467"/>
    </row>
    <row r="826" spans="1:18" s="438" customFormat="1" outlineLevel="1">
      <c r="A826" s="569"/>
      <c r="B826" s="598"/>
      <c r="C826" s="589"/>
      <c r="D826" s="565"/>
      <c r="E826" s="596"/>
      <c r="F826" s="565"/>
      <c r="G826" s="600"/>
      <c r="H826" s="602"/>
      <c r="I826" s="565"/>
      <c r="J826" s="565"/>
      <c r="K826" s="466"/>
      <c r="L826" s="459"/>
      <c r="M826" s="460"/>
      <c r="N826" s="459"/>
      <c r="O826" s="261"/>
      <c r="P826" s="565"/>
      <c r="Q826" s="565"/>
      <c r="R826" s="467"/>
    </row>
    <row r="827" spans="1:18" s="438" customFormat="1" outlineLevel="1">
      <c r="A827" s="569"/>
      <c r="B827" s="598"/>
      <c r="C827" s="589"/>
      <c r="D827" s="565"/>
      <c r="E827" s="596"/>
      <c r="F827" s="565"/>
      <c r="G827" s="600"/>
      <c r="H827" s="602"/>
      <c r="I827" s="565"/>
      <c r="J827" s="565"/>
      <c r="K827" s="466"/>
      <c r="L827" s="459"/>
      <c r="M827" s="460"/>
      <c r="N827" s="459"/>
      <c r="O827" s="261"/>
      <c r="P827" s="565"/>
      <c r="Q827" s="565"/>
      <c r="R827" s="467"/>
    </row>
    <row r="828" spans="1:18" s="438" customFormat="1" outlineLevel="1">
      <c r="A828" s="569"/>
      <c r="B828" s="598"/>
      <c r="C828" s="589"/>
      <c r="D828" s="565"/>
      <c r="E828" s="596"/>
      <c r="F828" s="565"/>
      <c r="G828" s="600"/>
      <c r="H828" s="602"/>
      <c r="I828" s="565"/>
      <c r="J828" s="565"/>
      <c r="K828" s="466"/>
      <c r="L828" s="459"/>
      <c r="M828" s="460"/>
      <c r="N828" s="459"/>
      <c r="O828" s="261"/>
      <c r="P828" s="565"/>
      <c r="Q828" s="565"/>
      <c r="R828" s="467"/>
    </row>
    <row r="829" spans="1:18" s="438" customFormat="1" outlineLevel="1">
      <c r="A829" s="569"/>
      <c r="B829" s="598"/>
      <c r="C829" s="589"/>
      <c r="D829" s="565"/>
      <c r="E829" s="596"/>
      <c r="F829" s="565"/>
      <c r="G829" s="600"/>
      <c r="H829" s="602"/>
      <c r="I829" s="565"/>
      <c r="J829" s="565"/>
      <c r="K829" s="466"/>
      <c r="L829" s="459"/>
      <c r="M829" s="460"/>
      <c r="N829" s="459"/>
      <c r="O829" s="261"/>
      <c r="P829" s="565"/>
      <c r="Q829" s="565"/>
      <c r="R829" s="467"/>
    </row>
    <row r="830" spans="1:18" s="438" customFormat="1" outlineLevel="1">
      <c r="A830" s="569"/>
      <c r="B830" s="598"/>
      <c r="C830" s="589"/>
      <c r="D830" s="565"/>
      <c r="E830" s="596"/>
      <c r="F830" s="565"/>
      <c r="G830" s="600"/>
      <c r="H830" s="602"/>
      <c r="I830" s="565"/>
      <c r="J830" s="565"/>
      <c r="K830" s="466"/>
      <c r="L830" s="459"/>
      <c r="M830" s="460"/>
      <c r="N830" s="459"/>
      <c r="O830" s="261"/>
      <c r="P830" s="565"/>
      <c r="Q830" s="565"/>
      <c r="R830" s="467"/>
    </row>
    <row r="831" spans="1:18" s="438" customFormat="1" outlineLevel="1">
      <c r="A831" s="569"/>
      <c r="B831" s="598"/>
      <c r="C831" s="589"/>
      <c r="D831" s="565"/>
      <c r="E831" s="596"/>
      <c r="F831" s="565"/>
      <c r="G831" s="600"/>
      <c r="H831" s="602"/>
      <c r="I831" s="565"/>
      <c r="J831" s="565"/>
      <c r="K831" s="466"/>
      <c r="L831" s="459"/>
      <c r="M831" s="460"/>
      <c r="N831" s="459"/>
      <c r="O831" s="261"/>
      <c r="P831" s="565"/>
      <c r="Q831" s="565"/>
      <c r="R831" s="467"/>
    </row>
    <row r="832" spans="1:18" s="438" customFormat="1" outlineLevel="1">
      <c r="A832" s="569"/>
      <c r="B832" s="598"/>
      <c r="C832" s="589"/>
      <c r="D832" s="565"/>
      <c r="E832" s="596"/>
      <c r="F832" s="565"/>
      <c r="G832" s="600"/>
      <c r="H832" s="602"/>
      <c r="I832" s="565"/>
      <c r="J832" s="565"/>
      <c r="K832" s="466"/>
      <c r="L832" s="459"/>
      <c r="M832" s="460"/>
      <c r="N832" s="459"/>
      <c r="O832" s="261"/>
      <c r="P832" s="565"/>
      <c r="Q832" s="565"/>
      <c r="R832" s="467"/>
    </row>
    <row r="833" spans="1:18" s="438" customFormat="1" outlineLevel="1">
      <c r="A833" s="569"/>
      <c r="B833" s="598"/>
      <c r="C833" s="589"/>
      <c r="D833" s="565"/>
      <c r="E833" s="596"/>
      <c r="F833" s="565"/>
      <c r="G833" s="600"/>
      <c r="H833" s="602"/>
      <c r="I833" s="565"/>
      <c r="J833" s="565"/>
      <c r="K833" s="466"/>
      <c r="L833" s="459"/>
      <c r="M833" s="460"/>
      <c r="N833" s="459"/>
      <c r="O833" s="261"/>
      <c r="P833" s="565"/>
      <c r="Q833" s="565"/>
      <c r="R833" s="467"/>
    </row>
    <row r="834" spans="1:18" s="438" customFormat="1" outlineLevel="1">
      <c r="A834" s="569"/>
      <c r="B834" s="598"/>
      <c r="C834" s="589"/>
      <c r="D834" s="565"/>
      <c r="E834" s="596"/>
      <c r="F834" s="565"/>
      <c r="G834" s="600"/>
      <c r="H834" s="602"/>
      <c r="I834" s="565"/>
      <c r="J834" s="565"/>
      <c r="K834" s="466"/>
      <c r="L834" s="459"/>
      <c r="M834" s="460"/>
      <c r="N834" s="459"/>
      <c r="O834" s="261"/>
      <c r="P834" s="565"/>
      <c r="Q834" s="565"/>
      <c r="R834" s="467"/>
    </row>
    <row r="835" spans="1:18" s="438" customFormat="1" outlineLevel="1">
      <c r="A835" s="569"/>
      <c r="B835" s="598"/>
      <c r="C835" s="589"/>
      <c r="D835" s="565"/>
      <c r="E835" s="596"/>
      <c r="F835" s="565"/>
      <c r="G835" s="600"/>
      <c r="H835" s="602"/>
      <c r="I835" s="565"/>
      <c r="J835" s="565"/>
      <c r="K835" s="466"/>
      <c r="L835" s="459"/>
      <c r="M835" s="460"/>
      <c r="N835" s="459"/>
      <c r="O835" s="261"/>
      <c r="P835" s="565"/>
      <c r="Q835" s="565"/>
      <c r="R835" s="467"/>
    </row>
    <row r="836" spans="1:18" s="438" customFormat="1" outlineLevel="1">
      <c r="A836" s="570"/>
      <c r="B836" s="599"/>
      <c r="C836" s="590"/>
      <c r="D836" s="566"/>
      <c r="E836" s="596"/>
      <c r="F836" s="566"/>
      <c r="G836" s="601"/>
      <c r="H836" s="603"/>
      <c r="I836" s="566"/>
      <c r="J836" s="566"/>
      <c r="K836" s="466"/>
      <c r="L836" s="459"/>
      <c r="M836" s="460"/>
      <c r="N836" s="459"/>
      <c r="O836" s="261"/>
      <c r="P836" s="566"/>
      <c r="Q836" s="566"/>
      <c r="R836" s="467"/>
    </row>
    <row r="837" spans="1:18" s="438" customFormat="1" outlineLevel="1">
      <c r="A837" s="568"/>
      <c r="B837" s="572"/>
      <c r="C837" s="574"/>
      <c r="D837" s="578"/>
      <c r="E837" s="580"/>
      <c r="F837" s="578"/>
      <c r="G837" s="581"/>
      <c r="H837" s="577"/>
      <c r="I837" s="577"/>
      <c r="J837" s="577"/>
      <c r="K837" s="472"/>
      <c r="L837" s="480"/>
      <c r="M837" s="479"/>
      <c r="N837" s="476"/>
      <c r="O837" s="477"/>
      <c r="P837" s="577"/>
      <c r="Q837" s="594"/>
      <c r="R837" s="467"/>
    </row>
    <row r="838" spans="1:18" s="438" customFormat="1" outlineLevel="1">
      <c r="A838" s="569"/>
      <c r="B838" s="598"/>
      <c r="C838" s="589"/>
      <c r="D838" s="565"/>
      <c r="E838" s="596"/>
      <c r="F838" s="565"/>
      <c r="G838" s="600"/>
      <c r="H838" s="602"/>
      <c r="I838" s="565"/>
      <c r="J838" s="565"/>
      <c r="K838" s="466"/>
      <c r="L838" s="480"/>
      <c r="M838" s="479"/>
      <c r="N838" s="479"/>
      <c r="O838" s="261"/>
      <c r="P838" s="565"/>
      <c r="Q838" s="565"/>
      <c r="R838" s="467"/>
    </row>
    <row r="839" spans="1:18" s="438" customFormat="1" outlineLevel="1">
      <c r="A839" s="569"/>
      <c r="B839" s="598"/>
      <c r="C839" s="589"/>
      <c r="D839" s="565"/>
      <c r="E839" s="596"/>
      <c r="F839" s="565"/>
      <c r="G839" s="600"/>
      <c r="H839" s="602"/>
      <c r="I839" s="565"/>
      <c r="J839" s="565"/>
      <c r="K839" s="466"/>
      <c r="L839" s="480"/>
      <c r="M839" s="479"/>
      <c r="N839" s="479"/>
      <c r="O839" s="261"/>
      <c r="P839" s="565"/>
      <c r="Q839" s="565"/>
      <c r="R839" s="467"/>
    </row>
    <row r="840" spans="1:18" s="438" customFormat="1" outlineLevel="1">
      <c r="A840" s="569"/>
      <c r="B840" s="598"/>
      <c r="C840" s="589"/>
      <c r="D840" s="565"/>
      <c r="E840" s="596"/>
      <c r="F840" s="565"/>
      <c r="G840" s="600"/>
      <c r="H840" s="602"/>
      <c r="I840" s="565"/>
      <c r="J840" s="565"/>
      <c r="K840" s="466"/>
      <c r="L840" s="480"/>
      <c r="M840" s="479"/>
      <c r="N840" s="479"/>
      <c r="O840" s="261"/>
      <c r="P840" s="565"/>
      <c r="Q840" s="565"/>
      <c r="R840" s="467"/>
    </row>
    <row r="841" spans="1:18" s="438" customFormat="1" outlineLevel="1">
      <c r="A841" s="569"/>
      <c r="B841" s="598"/>
      <c r="C841" s="589"/>
      <c r="D841" s="565"/>
      <c r="E841" s="596"/>
      <c r="F841" s="565"/>
      <c r="G841" s="600"/>
      <c r="H841" s="602"/>
      <c r="I841" s="565"/>
      <c r="J841" s="565"/>
      <c r="K841" s="466"/>
      <c r="L841" s="459"/>
      <c r="M841" s="460"/>
      <c r="N841" s="459"/>
      <c r="O841" s="261"/>
      <c r="P841" s="565"/>
      <c r="Q841" s="565"/>
      <c r="R841" s="467"/>
    </row>
    <row r="842" spans="1:18" s="438" customFormat="1" outlineLevel="1">
      <c r="A842" s="569"/>
      <c r="B842" s="598"/>
      <c r="C842" s="589"/>
      <c r="D842" s="565"/>
      <c r="E842" s="596"/>
      <c r="F842" s="565"/>
      <c r="G842" s="600"/>
      <c r="H842" s="602"/>
      <c r="I842" s="565"/>
      <c r="J842" s="565"/>
      <c r="K842" s="466"/>
      <c r="L842" s="459"/>
      <c r="M842" s="460"/>
      <c r="N842" s="459"/>
      <c r="O842" s="261"/>
      <c r="P842" s="565"/>
      <c r="Q842" s="565"/>
      <c r="R842" s="467"/>
    </row>
    <row r="843" spans="1:18" s="438" customFormat="1" outlineLevel="1">
      <c r="A843" s="569"/>
      <c r="B843" s="598"/>
      <c r="C843" s="589"/>
      <c r="D843" s="565"/>
      <c r="E843" s="596"/>
      <c r="F843" s="565"/>
      <c r="G843" s="600"/>
      <c r="H843" s="602"/>
      <c r="I843" s="565"/>
      <c r="J843" s="565"/>
      <c r="K843" s="466"/>
      <c r="L843" s="459"/>
      <c r="M843" s="460"/>
      <c r="N843" s="459"/>
      <c r="O843" s="261"/>
      <c r="P843" s="565"/>
      <c r="Q843" s="565"/>
      <c r="R843" s="467"/>
    </row>
    <row r="844" spans="1:18" s="438" customFormat="1" outlineLevel="1">
      <c r="A844" s="569"/>
      <c r="B844" s="598"/>
      <c r="C844" s="589"/>
      <c r="D844" s="565"/>
      <c r="E844" s="596"/>
      <c r="F844" s="565"/>
      <c r="G844" s="600"/>
      <c r="H844" s="602"/>
      <c r="I844" s="565"/>
      <c r="J844" s="565"/>
      <c r="K844" s="466"/>
      <c r="L844" s="459"/>
      <c r="M844" s="460"/>
      <c r="N844" s="459"/>
      <c r="O844" s="261"/>
      <c r="P844" s="565"/>
      <c r="Q844" s="565"/>
      <c r="R844" s="467"/>
    </row>
    <row r="845" spans="1:18" s="438" customFormat="1" outlineLevel="1">
      <c r="A845" s="569"/>
      <c r="B845" s="598"/>
      <c r="C845" s="589"/>
      <c r="D845" s="565"/>
      <c r="E845" s="596"/>
      <c r="F845" s="565"/>
      <c r="G845" s="600"/>
      <c r="H845" s="602"/>
      <c r="I845" s="565"/>
      <c r="J845" s="565"/>
      <c r="K845" s="466"/>
      <c r="L845" s="459"/>
      <c r="M845" s="460"/>
      <c r="N845" s="459"/>
      <c r="O845" s="261"/>
      <c r="P845" s="565"/>
      <c r="Q845" s="565"/>
      <c r="R845" s="467"/>
    </row>
    <row r="846" spans="1:18" s="438" customFormat="1" outlineLevel="1">
      <c r="A846" s="569"/>
      <c r="B846" s="598"/>
      <c r="C846" s="589"/>
      <c r="D846" s="565"/>
      <c r="E846" s="596"/>
      <c r="F846" s="565"/>
      <c r="G846" s="600"/>
      <c r="H846" s="602"/>
      <c r="I846" s="565"/>
      <c r="J846" s="565"/>
      <c r="K846" s="466"/>
      <c r="L846" s="459"/>
      <c r="M846" s="460"/>
      <c r="N846" s="459"/>
      <c r="O846" s="261"/>
      <c r="P846" s="565"/>
      <c r="Q846" s="565"/>
      <c r="R846" s="467"/>
    </row>
    <row r="847" spans="1:18" s="438" customFormat="1" outlineLevel="1">
      <c r="A847" s="569"/>
      <c r="B847" s="598"/>
      <c r="C847" s="589"/>
      <c r="D847" s="565"/>
      <c r="E847" s="596"/>
      <c r="F847" s="565"/>
      <c r="G847" s="600"/>
      <c r="H847" s="602"/>
      <c r="I847" s="565"/>
      <c r="J847" s="565"/>
      <c r="K847" s="466"/>
      <c r="L847" s="459"/>
      <c r="M847" s="460"/>
      <c r="N847" s="459"/>
      <c r="O847" s="261"/>
      <c r="P847" s="565"/>
      <c r="Q847" s="565"/>
      <c r="R847" s="467"/>
    </row>
    <row r="848" spans="1:18" s="438" customFormat="1" outlineLevel="1">
      <c r="A848" s="569"/>
      <c r="B848" s="598"/>
      <c r="C848" s="589"/>
      <c r="D848" s="565"/>
      <c r="E848" s="596"/>
      <c r="F848" s="565"/>
      <c r="G848" s="600"/>
      <c r="H848" s="602"/>
      <c r="I848" s="565"/>
      <c r="J848" s="565"/>
      <c r="K848" s="466"/>
      <c r="L848" s="459"/>
      <c r="M848" s="460"/>
      <c r="N848" s="459"/>
      <c r="O848" s="261"/>
      <c r="P848" s="565"/>
      <c r="Q848" s="565"/>
      <c r="R848" s="467"/>
    </row>
    <row r="849" spans="1:18" s="438" customFormat="1" outlineLevel="1">
      <c r="A849" s="569"/>
      <c r="B849" s="598"/>
      <c r="C849" s="589"/>
      <c r="D849" s="565"/>
      <c r="E849" s="596"/>
      <c r="F849" s="565"/>
      <c r="G849" s="600"/>
      <c r="H849" s="602"/>
      <c r="I849" s="565"/>
      <c r="J849" s="565"/>
      <c r="K849" s="466"/>
      <c r="L849" s="459"/>
      <c r="M849" s="460"/>
      <c r="N849" s="459"/>
      <c r="O849" s="261"/>
      <c r="P849" s="565"/>
      <c r="Q849" s="565"/>
      <c r="R849" s="467"/>
    </row>
    <row r="850" spans="1:18" s="438" customFormat="1" outlineLevel="1">
      <c r="A850" s="569"/>
      <c r="B850" s="598"/>
      <c r="C850" s="589"/>
      <c r="D850" s="565"/>
      <c r="E850" s="596"/>
      <c r="F850" s="565"/>
      <c r="G850" s="600"/>
      <c r="H850" s="602"/>
      <c r="I850" s="565"/>
      <c r="J850" s="565"/>
      <c r="K850" s="466"/>
      <c r="L850" s="459"/>
      <c r="M850" s="460"/>
      <c r="N850" s="459"/>
      <c r="O850" s="261"/>
      <c r="P850" s="565"/>
      <c r="Q850" s="565"/>
      <c r="R850" s="467"/>
    </row>
    <row r="851" spans="1:18" s="438" customFormat="1" outlineLevel="1">
      <c r="A851" s="569"/>
      <c r="B851" s="598"/>
      <c r="C851" s="589"/>
      <c r="D851" s="565"/>
      <c r="E851" s="596"/>
      <c r="F851" s="565"/>
      <c r="G851" s="600"/>
      <c r="H851" s="602"/>
      <c r="I851" s="565"/>
      <c r="J851" s="565"/>
      <c r="K851" s="466"/>
      <c r="L851" s="459"/>
      <c r="M851" s="460"/>
      <c r="N851" s="459"/>
      <c r="O851" s="261"/>
      <c r="P851" s="565"/>
      <c r="Q851" s="565"/>
      <c r="R851" s="467"/>
    </row>
    <row r="852" spans="1:18" s="438" customFormat="1" outlineLevel="1">
      <c r="A852" s="570"/>
      <c r="B852" s="599"/>
      <c r="C852" s="590"/>
      <c r="D852" s="566"/>
      <c r="E852" s="596"/>
      <c r="F852" s="566"/>
      <c r="G852" s="601"/>
      <c r="H852" s="603"/>
      <c r="I852" s="566"/>
      <c r="J852" s="566"/>
      <c r="K852" s="466"/>
      <c r="L852" s="459"/>
      <c r="M852" s="460"/>
      <c r="N852" s="459"/>
      <c r="O852" s="261"/>
      <c r="P852" s="566"/>
      <c r="Q852" s="566"/>
      <c r="R852" s="467"/>
    </row>
    <row r="853" spans="1:18" s="438" customFormat="1" outlineLevel="1">
      <c r="A853" s="568"/>
      <c r="B853" s="572"/>
      <c r="C853" s="574"/>
      <c r="D853" s="578"/>
      <c r="E853" s="580"/>
      <c r="F853" s="578"/>
      <c r="G853" s="581"/>
      <c r="H853" s="577"/>
      <c r="I853" s="577"/>
      <c r="J853" s="577"/>
      <c r="K853" s="472"/>
      <c r="L853" s="480"/>
      <c r="M853" s="479"/>
      <c r="N853" s="476"/>
      <c r="O853" s="477"/>
      <c r="P853" s="577"/>
      <c r="Q853" s="594"/>
      <c r="R853" s="467"/>
    </row>
    <row r="854" spans="1:18" s="438" customFormat="1" outlineLevel="1">
      <c r="A854" s="569"/>
      <c r="B854" s="598"/>
      <c r="C854" s="589"/>
      <c r="D854" s="565"/>
      <c r="E854" s="596"/>
      <c r="F854" s="565"/>
      <c r="G854" s="600"/>
      <c r="H854" s="602"/>
      <c r="I854" s="565"/>
      <c r="J854" s="565"/>
      <c r="K854" s="466"/>
      <c r="L854" s="480"/>
      <c r="M854" s="479"/>
      <c r="N854" s="479"/>
      <c r="O854" s="261"/>
      <c r="P854" s="565"/>
      <c r="Q854" s="565"/>
      <c r="R854" s="467"/>
    </row>
    <row r="855" spans="1:18" s="438" customFormat="1" outlineLevel="1">
      <c r="A855" s="569"/>
      <c r="B855" s="598"/>
      <c r="C855" s="589"/>
      <c r="D855" s="565"/>
      <c r="E855" s="596"/>
      <c r="F855" s="565"/>
      <c r="G855" s="600"/>
      <c r="H855" s="602"/>
      <c r="I855" s="565"/>
      <c r="J855" s="565"/>
      <c r="K855" s="466"/>
      <c r="L855" s="480"/>
      <c r="M855" s="479"/>
      <c r="N855" s="479"/>
      <c r="O855" s="261"/>
      <c r="P855" s="565"/>
      <c r="Q855" s="565"/>
      <c r="R855" s="467"/>
    </row>
    <row r="856" spans="1:18" s="438" customFormat="1" outlineLevel="1">
      <c r="A856" s="569"/>
      <c r="B856" s="598"/>
      <c r="C856" s="589"/>
      <c r="D856" s="565"/>
      <c r="E856" s="596"/>
      <c r="F856" s="565"/>
      <c r="G856" s="600"/>
      <c r="H856" s="602"/>
      <c r="I856" s="565"/>
      <c r="J856" s="565"/>
      <c r="K856" s="466"/>
      <c r="L856" s="480"/>
      <c r="M856" s="479"/>
      <c r="N856" s="479"/>
      <c r="O856" s="261"/>
      <c r="P856" s="565"/>
      <c r="Q856" s="565"/>
      <c r="R856" s="467"/>
    </row>
    <row r="857" spans="1:18" s="438" customFormat="1" outlineLevel="1">
      <c r="A857" s="569"/>
      <c r="B857" s="598"/>
      <c r="C857" s="589"/>
      <c r="D857" s="565"/>
      <c r="E857" s="596"/>
      <c r="F857" s="565"/>
      <c r="G857" s="600"/>
      <c r="H857" s="602"/>
      <c r="I857" s="565"/>
      <c r="J857" s="565"/>
      <c r="K857" s="466"/>
      <c r="L857" s="459"/>
      <c r="M857" s="460"/>
      <c r="N857" s="459"/>
      <c r="O857" s="261"/>
      <c r="P857" s="565"/>
      <c r="Q857" s="565"/>
      <c r="R857" s="467"/>
    </row>
    <row r="858" spans="1:18" s="438" customFormat="1" outlineLevel="1">
      <c r="A858" s="569"/>
      <c r="B858" s="598"/>
      <c r="C858" s="589"/>
      <c r="D858" s="565"/>
      <c r="E858" s="596"/>
      <c r="F858" s="565"/>
      <c r="G858" s="600"/>
      <c r="H858" s="602"/>
      <c r="I858" s="565"/>
      <c r="J858" s="565"/>
      <c r="K858" s="466"/>
      <c r="L858" s="459"/>
      <c r="M858" s="460"/>
      <c r="N858" s="459"/>
      <c r="O858" s="261"/>
      <c r="P858" s="565"/>
      <c r="Q858" s="565"/>
      <c r="R858" s="467"/>
    </row>
    <row r="859" spans="1:18" s="438" customFormat="1" outlineLevel="1">
      <c r="A859" s="569"/>
      <c r="B859" s="598"/>
      <c r="C859" s="589"/>
      <c r="D859" s="565"/>
      <c r="E859" s="596"/>
      <c r="F859" s="565"/>
      <c r="G859" s="600"/>
      <c r="H859" s="602"/>
      <c r="I859" s="565"/>
      <c r="J859" s="565"/>
      <c r="K859" s="466"/>
      <c r="L859" s="459"/>
      <c r="M859" s="460"/>
      <c r="N859" s="459"/>
      <c r="O859" s="261"/>
      <c r="P859" s="565"/>
      <c r="Q859" s="565"/>
      <c r="R859" s="467"/>
    </row>
    <row r="860" spans="1:18" s="438" customFormat="1" outlineLevel="1">
      <c r="A860" s="569"/>
      <c r="B860" s="598"/>
      <c r="C860" s="589"/>
      <c r="D860" s="565"/>
      <c r="E860" s="596"/>
      <c r="F860" s="565"/>
      <c r="G860" s="600"/>
      <c r="H860" s="602"/>
      <c r="I860" s="565"/>
      <c r="J860" s="565"/>
      <c r="K860" s="466"/>
      <c r="L860" s="459"/>
      <c r="M860" s="460"/>
      <c r="N860" s="459"/>
      <c r="O860" s="261"/>
      <c r="P860" s="565"/>
      <c r="Q860" s="565"/>
      <c r="R860" s="467"/>
    </row>
    <row r="861" spans="1:18" s="438" customFormat="1" outlineLevel="1">
      <c r="A861" s="569"/>
      <c r="B861" s="598"/>
      <c r="C861" s="589"/>
      <c r="D861" s="565"/>
      <c r="E861" s="596"/>
      <c r="F861" s="565"/>
      <c r="G861" s="600"/>
      <c r="H861" s="602"/>
      <c r="I861" s="565"/>
      <c r="J861" s="565"/>
      <c r="K861" s="466"/>
      <c r="L861" s="459"/>
      <c r="M861" s="460"/>
      <c r="N861" s="459"/>
      <c r="O861" s="261"/>
      <c r="P861" s="565"/>
      <c r="Q861" s="565"/>
      <c r="R861" s="467"/>
    </row>
    <row r="862" spans="1:18" s="438" customFormat="1" outlineLevel="1">
      <c r="A862" s="569"/>
      <c r="B862" s="598"/>
      <c r="C862" s="589"/>
      <c r="D862" s="565"/>
      <c r="E862" s="596"/>
      <c r="F862" s="565"/>
      <c r="G862" s="600"/>
      <c r="H862" s="602"/>
      <c r="I862" s="565"/>
      <c r="J862" s="565"/>
      <c r="K862" s="466"/>
      <c r="L862" s="459"/>
      <c r="M862" s="460"/>
      <c r="N862" s="459"/>
      <c r="O862" s="261"/>
      <c r="P862" s="565"/>
      <c r="Q862" s="565"/>
      <c r="R862" s="467"/>
    </row>
    <row r="863" spans="1:18" s="438" customFormat="1" outlineLevel="1">
      <c r="A863" s="569"/>
      <c r="B863" s="598"/>
      <c r="C863" s="589"/>
      <c r="D863" s="565"/>
      <c r="E863" s="596"/>
      <c r="F863" s="565"/>
      <c r="G863" s="600"/>
      <c r="H863" s="602"/>
      <c r="I863" s="565"/>
      <c r="J863" s="565"/>
      <c r="K863" s="466"/>
      <c r="L863" s="459"/>
      <c r="M863" s="460"/>
      <c r="N863" s="459"/>
      <c r="O863" s="261"/>
      <c r="P863" s="565"/>
      <c r="Q863" s="565"/>
      <c r="R863" s="467"/>
    </row>
    <row r="864" spans="1:18" s="438" customFormat="1" outlineLevel="1">
      <c r="A864" s="569"/>
      <c r="B864" s="598"/>
      <c r="C864" s="589"/>
      <c r="D864" s="565"/>
      <c r="E864" s="596"/>
      <c r="F864" s="565"/>
      <c r="G864" s="600"/>
      <c r="H864" s="602"/>
      <c r="I864" s="565"/>
      <c r="J864" s="565"/>
      <c r="K864" s="466"/>
      <c r="L864" s="459"/>
      <c r="M864" s="460"/>
      <c r="N864" s="459"/>
      <c r="O864" s="261"/>
      <c r="P864" s="565"/>
      <c r="Q864" s="565"/>
      <c r="R864" s="467"/>
    </row>
    <row r="865" spans="1:18" s="438" customFormat="1" outlineLevel="1">
      <c r="A865" s="569"/>
      <c r="B865" s="598"/>
      <c r="C865" s="589"/>
      <c r="D865" s="565"/>
      <c r="E865" s="596"/>
      <c r="F865" s="565"/>
      <c r="G865" s="600"/>
      <c r="H865" s="602"/>
      <c r="I865" s="565"/>
      <c r="J865" s="565"/>
      <c r="K865" s="466"/>
      <c r="L865" s="459"/>
      <c r="M865" s="460"/>
      <c r="N865" s="459"/>
      <c r="O865" s="261"/>
      <c r="P865" s="565"/>
      <c r="Q865" s="565"/>
      <c r="R865" s="467"/>
    </row>
    <row r="866" spans="1:18" s="438" customFormat="1" outlineLevel="1">
      <c r="A866" s="569"/>
      <c r="B866" s="598"/>
      <c r="C866" s="589"/>
      <c r="D866" s="565"/>
      <c r="E866" s="596"/>
      <c r="F866" s="565"/>
      <c r="G866" s="600"/>
      <c r="H866" s="602"/>
      <c r="I866" s="565"/>
      <c r="J866" s="565"/>
      <c r="K866" s="466"/>
      <c r="L866" s="459"/>
      <c r="M866" s="460"/>
      <c r="N866" s="459"/>
      <c r="O866" s="261"/>
      <c r="P866" s="565"/>
      <c r="Q866" s="565"/>
      <c r="R866" s="467"/>
    </row>
    <row r="867" spans="1:18" s="438" customFormat="1" outlineLevel="1">
      <c r="A867" s="569"/>
      <c r="B867" s="598"/>
      <c r="C867" s="589"/>
      <c r="D867" s="565"/>
      <c r="E867" s="596"/>
      <c r="F867" s="565"/>
      <c r="G867" s="600"/>
      <c r="H867" s="602"/>
      <c r="I867" s="565"/>
      <c r="J867" s="565"/>
      <c r="K867" s="466"/>
      <c r="L867" s="459"/>
      <c r="M867" s="460"/>
      <c r="N867" s="459"/>
      <c r="O867" s="261"/>
      <c r="P867" s="565"/>
      <c r="Q867" s="565"/>
      <c r="R867" s="467"/>
    </row>
    <row r="868" spans="1:18" s="438" customFormat="1" outlineLevel="1">
      <c r="A868" s="570"/>
      <c r="B868" s="599"/>
      <c r="C868" s="590"/>
      <c r="D868" s="566"/>
      <c r="E868" s="596"/>
      <c r="F868" s="566"/>
      <c r="G868" s="601"/>
      <c r="H868" s="603"/>
      <c r="I868" s="566"/>
      <c r="J868" s="566"/>
      <c r="K868" s="466"/>
      <c r="L868" s="459"/>
      <c r="M868" s="460"/>
      <c r="N868" s="459"/>
      <c r="O868" s="261"/>
      <c r="P868" s="566"/>
      <c r="Q868" s="566"/>
      <c r="R868" s="467"/>
    </row>
    <row r="869" spans="1:18" s="438" customFormat="1" outlineLevel="1">
      <c r="A869" s="568"/>
      <c r="B869" s="572"/>
      <c r="C869" s="574"/>
      <c r="D869" s="578"/>
      <c r="E869" s="580"/>
      <c r="F869" s="578"/>
      <c r="G869" s="581"/>
      <c r="H869" s="581"/>
      <c r="I869" s="577"/>
      <c r="J869" s="577"/>
      <c r="K869" s="472"/>
      <c r="L869" s="480"/>
      <c r="M869" s="479"/>
      <c r="N869" s="476"/>
      <c r="O869" s="477"/>
      <c r="P869" s="581"/>
      <c r="Q869" s="594"/>
      <c r="R869" s="467"/>
    </row>
    <row r="870" spans="1:18" s="438" customFormat="1" outlineLevel="1">
      <c r="A870" s="569"/>
      <c r="B870" s="598"/>
      <c r="C870" s="589"/>
      <c r="D870" s="565"/>
      <c r="E870" s="596"/>
      <c r="F870" s="565"/>
      <c r="G870" s="600"/>
      <c r="H870" s="600"/>
      <c r="I870" s="565"/>
      <c r="J870" s="565"/>
      <c r="K870" s="466"/>
      <c r="L870" s="482"/>
      <c r="M870" s="479"/>
      <c r="N870" s="479"/>
      <c r="O870" s="261"/>
      <c r="P870" s="607"/>
      <c r="Q870" s="565"/>
      <c r="R870" s="467"/>
    </row>
    <row r="871" spans="1:18" s="438" customFormat="1" outlineLevel="1">
      <c r="A871" s="569"/>
      <c r="B871" s="598"/>
      <c r="C871" s="589"/>
      <c r="D871" s="565"/>
      <c r="E871" s="596"/>
      <c r="F871" s="565"/>
      <c r="G871" s="600"/>
      <c r="H871" s="600"/>
      <c r="I871" s="565"/>
      <c r="J871" s="565"/>
      <c r="K871" s="466"/>
      <c r="L871" s="482"/>
      <c r="M871" s="479"/>
      <c r="N871" s="479"/>
      <c r="O871" s="261"/>
      <c r="P871" s="607"/>
      <c r="Q871" s="565"/>
      <c r="R871" s="467"/>
    </row>
    <row r="872" spans="1:18" s="438" customFormat="1" outlineLevel="1">
      <c r="A872" s="569"/>
      <c r="B872" s="598"/>
      <c r="C872" s="589"/>
      <c r="D872" s="565"/>
      <c r="E872" s="596"/>
      <c r="F872" s="565"/>
      <c r="G872" s="600"/>
      <c r="H872" s="600"/>
      <c r="I872" s="565"/>
      <c r="J872" s="565"/>
      <c r="K872" s="466"/>
      <c r="L872" s="480"/>
      <c r="M872" s="479"/>
      <c r="N872" s="479"/>
      <c r="O872" s="261"/>
      <c r="P872" s="607"/>
      <c r="Q872" s="565"/>
      <c r="R872" s="467"/>
    </row>
    <row r="873" spans="1:18" s="438" customFormat="1" outlineLevel="1">
      <c r="A873" s="569"/>
      <c r="B873" s="598"/>
      <c r="C873" s="589"/>
      <c r="D873" s="565"/>
      <c r="E873" s="596"/>
      <c r="F873" s="565"/>
      <c r="G873" s="600"/>
      <c r="H873" s="600"/>
      <c r="I873" s="565"/>
      <c r="J873" s="565"/>
      <c r="K873" s="466"/>
      <c r="L873" s="459"/>
      <c r="M873" s="460"/>
      <c r="N873" s="459"/>
      <c r="O873" s="261"/>
      <c r="P873" s="607"/>
      <c r="Q873" s="565"/>
      <c r="R873" s="467"/>
    </row>
    <row r="874" spans="1:18" s="438" customFormat="1" outlineLevel="1">
      <c r="A874" s="569"/>
      <c r="B874" s="598"/>
      <c r="C874" s="589"/>
      <c r="D874" s="565"/>
      <c r="E874" s="596"/>
      <c r="F874" s="565"/>
      <c r="G874" s="600"/>
      <c r="H874" s="600"/>
      <c r="I874" s="565"/>
      <c r="J874" s="565"/>
      <c r="K874" s="466"/>
      <c r="L874" s="459"/>
      <c r="M874" s="460"/>
      <c r="N874" s="459"/>
      <c r="O874" s="261"/>
      <c r="P874" s="607"/>
      <c r="Q874" s="565"/>
      <c r="R874" s="467"/>
    </row>
    <row r="875" spans="1:18" s="438" customFormat="1" outlineLevel="1">
      <c r="A875" s="569"/>
      <c r="B875" s="598"/>
      <c r="C875" s="589"/>
      <c r="D875" s="565"/>
      <c r="E875" s="596"/>
      <c r="F875" s="565"/>
      <c r="G875" s="600"/>
      <c r="H875" s="600"/>
      <c r="I875" s="565"/>
      <c r="J875" s="565"/>
      <c r="K875" s="466"/>
      <c r="L875" s="459"/>
      <c r="M875" s="460"/>
      <c r="N875" s="459"/>
      <c r="O875" s="261"/>
      <c r="P875" s="607"/>
      <c r="Q875" s="565"/>
      <c r="R875" s="467"/>
    </row>
    <row r="876" spans="1:18" s="438" customFormat="1" outlineLevel="1">
      <c r="A876" s="569"/>
      <c r="B876" s="598"/>
      <c r="C876" s="589"/>
      <c r="D876" s="565"/>
      <c r="E876" s="596"/>
      <c r="F876" s="565"/>
      <c r="G876" s="600"/>
      <c r="H876" s="600"/>
      <c r="I876" s="565"/>
      <c r="J876" s="565"/>
      <c r="K876" s="466"/>
      <c r="L876" s="459"/>
      <c r="M876" s="460"/>
      <c r="N876" s="459"/>
      <c r="O876" s="261"/>
      <c r="P876" s="607"/>
      <c r="Q876" s="565"/>
      <c r="R876" s="467"/>
    </row>
    <row r="877" spans="1:18" s="438" customFormat="1" outlineLevel="1">
      <c r="A877" s="569"/>
      <c r="B877" s="598"/>
      <c r="C877" s="589"/>
      <c r="D877" s="565"/>
      <c r="E877" s="596"/>
      <c r="F877" s="565"/>
      <c r="G877" s="600"/>
      <c r="H877" s="600"/>
      <c r="I877" s="565"/>
      <c r="J877" s="565"/>
      <c r="K877" s="466"/>
      <c r="L877" s="459"/>
      <c r="M877" s="460"/>
      <c r="N877" s="459"/>
      <c r="O877" s="261"/>
      <c r="P877" s="607"/>
      <c r="Q877" s="565"/>
      <c r="R877" s="467"/>
    </row>
    <row r="878" spans="1:18" s="438" customFormat="1" outlineLevel="1">
      <c r="A878" s="569"/>
      <c r="B878" s="598"/>
      <c r="C878" s="589"/>
      <c r="D878" s="565"/>
      <c r="E878" s="596"/>
      <c r="F878" s="565"/>
      <c r="G878" s="600"/>
      <c r="H878" s="600"/>
      <c r="I878" s="565"/>
      <c r="J878" s="565"/>
      <c r="K878" s="466"/>
      <c r="L878" s="459"/>
      <c r="M878" s="460"/>
      <c r="N878" s="459"/>
      <c r="O878" s="261"/>
      <c r="P878" s="607"/>
      <c r="Q878" s="565"/>
      <c r="R878" s="467"/>
    </row>
    <row r="879" spans="1:18" s="438" customFormat="1" outlineLevel="1">
      <c r="A879" s="569"/>
      <c r="B879" s="598"/>
      <c r="C879" s="589"/>
      <c r="D879" s="565"/>
      <c r="E879" s="596"/>
      <c r="F879" s="565"/>
      <c r="G879" s="600"/>
      <c r="H879" s="600"/>
      <c r="I879" s="565"/>
      <c r="J879" s="565"/>
      <c r="K879" s="466"/>
      <c r="L879" s="459"/>
      <c r="M879" s="460"/>
      <c r="N879" s="459"/>
      <c r="O879" s="261"/>
      <c r="P879" s="607"/>
      <c r="Q879" s="565"/>
      <c r="R879" s="467"/>
    </row>
    <row r="880" spans="1:18" s="438" customFormat="1" outlineLevel="1">
      <c r="A880" s="569"/>
      <c r="B880" s="598"/>
      <c r="C880" s="589"/>
      <c r="D880" s="565"/>
      <c r="E880" s="596"/>
      <c r="F880" s="565"/>
      <c r="G880" s="600"/>
      <c r="H880" s="600"/>
      <c r="I880" s="565"/>
      <c r="J880" s="565"/>
      <c r="K880" s="466"/>
      <c r="L880" s="459"/>
      <c r="M880" s="460"/>
      <c r="N880" s="459"/>
      <c r="O880" s="261"/>
      <c r="P880" s="607"/>
      <c r="Q880" s="565"/>
      <c r="R880" s="467"/>
    </row>
    <row r="881" spans="1:18" s="438" customFormat="1" outlineLevel="1">
      <c r="A881" s="569"/>
      <c r="B881" s="598"/>
      <c r="C881" s="589"/>
      <c r="D881" s="565"/>
      <c r="E881" s="596"/>
      <c r="F881" s="565"/>
      <c r="G881" s="600"/>
      <c r="H881" s="600"/>
      <c r="I881" s="565"/>
      <c r="J881" s="565"/>
      <c r="K881" s="466"/>
      <c r="L881" s="459"/>
      <c r="M881" s="460"/>
      <c r="N881" s="459"/>
      <c r="O881" s="261"/>
      <c r="P881" s="607"/>
      <c r="Q881" s="565"/>
      <c r="R881" s="467"/>
    </row>
    <row r="882" spans="1:18" s="438" customFormat="1" outlineLevel="1">
      <c r="A882" s="569"/>
      <c r="B882" s="598"/>
      <c r="C882" s="589"/>
      <c r="D882" s="565"/>
      <c r="E882" s="596"/>
      <c r="F882" s="565"/>
      <c r="G882" s="600"/>
      <c r="H882" s="600"/>
      <c r="I882" s="565"/>
      <c r="J882" s="565"/>
      <c r="K882" s="466"/>
      <c r="L882" s="459"/>
      <c r="M882" s="460"/>
      <c r="N882" s="459"/>
      <c r="O882" s="261"/>
      <c r="P882" s="607"/>
      <c r="Q882" s="565"/>
      <c r="R882" s="467"/>
    </row>
    <row r="883" spans="1:18" s="438" customFormat="1" outlineLevel="1">
      <c r="A883" s="569"/>
      <c r="B883" s="598"/>
      <c r="C883" s="589"/>
      <c r="D883" s="565"/>
      <c r="E883" s="596"/>
      <c r="F883" s="565"/>
      <c r="G883" s="600"/>
      <c r="H883" s="600"/>
      <c r="I883" s="565"/>
      <c r="J883" s="565"/>
      <c r="K883" s="466"/>
      <c r="L883" s="459"/>
      <c r="M883" s="460"/>
      <c r="N883" s="459"/>
      <c r="O883" s="261"/>
      <c r="P883" s="607"/>
      <c r="Q883" s="565"/>
      <c r="R883" s="467"/>
    </row>
    <row r="884" spans="1:18" s="438" customFormat="1" outlineLevel="1">
      <c r="A884" s="570"/>
      <c r="B884" s="599"/>
      <c r="C884" s="590"/>
      <c r="D884" s="566"/>
      <c r="E884" s="596"/>
      <c r="F884" s="566"/>
      <c r="G884" s="601"/>
      <c r="H884" s="601"/>
      <c r="I884" s="566"/>
      <c r="J884" s="566"/>
      <c r="K884" s="466"/>
      <c r="L884" s="459"/>
      <c r="M884" s="460"/>
      <c r="N884" s="459"/>
      <c r="O884" s="261"/>
      <c r="P884" s="608"/>
      <c r="Q884" s="566"/>
      <c r="R884" s="467"/>
    </row>
    <row r="885" spans="1:18" s="438" customFormat="1" outlineLevel="1">
      <c r="A885" s="568"/>
      <c r="B885" s="572"/>
      <c r="C885" s="574"/>
      <c r="D885" s="578"/>
      <c r="E885" s="580"/>
      <c r="F885" s="578"/>
      <c r="G885" s="581"/>
      <c r="H885" s="581"/>
      <c r="I885" s="577"/>
      <c r="J885" s="577"/>
      <c r="K885" s="472"/>
      <c r="L885" s="480"/>
      <c r="M885" s="479"/>
      <c r="N885" s="476"/>
      <c r="O885" s="477"/>
      <c r="P885" s="581"/>
      <c r="Q885" s="594"/>
      <c r="R885" s="467"/>
    </row>
    <row r="886" spans="1:18" s="438" customFormat="1" outlineLevel="1">
      <c r="A886" s="569"/>
      <c r="B886" s="598"/>
      <c r="C886" s="589"/>
      <c r="D886" s="565"/>
      <c r="E886" s="596"/>
      <c r="F886" s="565"/>
      <c r="G886" s="600"/>
      <c r="H886" s="600"/>
      <c r="I886" s="565"/>
      <c r="J886" s="565"/>
      <c r="K886" s="466"/>
      <c r="L886" s="482"/>
      <c r="M886" s="479"/>
      <c r="N886" s="479"/>
      <c r="O886" s="261"/>
      <c r="P886" s="607"/>
      <c r="Q886" s="565"/>
      <c r="R886" s="467"/>
    </row>
    <row r="887" spans="1:18" s="438" customFormat="1" outlineLevel="1">
      <c r="A887" s="569"/>
      <c r="B887" s="598"/>
      <c r="C887" s="589"/>
      <c r="D887" s="565"/>
      <c r="E887" s="596"/>
      <c r="F887" s="565"/>
      <c r="G887" s="600"/>
      <c r="H887" s="600"/>
      <c r="I887" s="565"/>
      <c r="J887" s="565"/>
      <c r="K887" s="466"/>
      <c r="L887" s="482"/>
      <c r="M887" s="479"/>
      <c r="N887" s="479"/>
      <c r="O887" s="261"/>
      <c r="P887" s="607"/>
      <c r="Q887" s="565"/>
      <c r="R887" s="467"/>
    </row>
    <row r="888" spans="1:18" s="438" customFormat="1" outlineLevel="1">
      <c r="A888" s="569"/>
      <c r="B888" s="598"/>
      <c r="C888" s="589"/>
      <c r="D888" s="565"/>
      <c r="E888" s="596"/>
      <c r="F888" s="565"/>
      <c r="G888" s="600"/>
      <c r="H888" s="600"/>
      <c r="I888" s="565"/>
      <c r="J888" s="565"/>
      <c r="K888" s="466"/>
      <c r="L888" s="480"/>
      <c r="M888" s="479"/>
      <c r="N888" s="479"/>
      <c r="O888" s="261"/>
      <c r="P888" s="607"/>
      <c r="Q888" s="565"/>
      <c r="R888" s="467"/>
    </row>
    <row r="889" spans="1:18" s="438" customFormat="1" outlineLevel="1">
      <c r="A889" s="569"/>
      <c r="B889" s="598"/>
      <c r="C889" s="589"/>
      <c r="D889" s="565"/>
      <c r="E889" s="596"/>
      <c r="F889" s="565"/>
      <c r="G889" s="600"/>
      <c r="H889" s="600"/>
      <c r="I889" s="565"/>
      <c r="J889" s="565"/>
      <c r="K889" s="466"/>
      <c r="L889" s="459"/>
      <c r="M889" s="460"/>
      <c r="N889" s="459"/>
      <c r="O889" s="261"/>
      <c r="P889" s="607"/>
      <c r="Q889" s="565"/>
      <c r="R889" s="467"/>
    </row>
    <row r="890" spans="1:18" s="438" customFormat="1" outlineLevel="1">
      <c r="A890" s="569"/>
      <c r="B890" s="598"/>
      <c r="C890" s="589"/>
      <c r="D890" s="565"/>
      <c r="E890" s="596"/>
      <c r="F890" s="565"/>
      <c r="G890" s="600"/>
      <c r="H890" s="600"/>
      <c r="I890" s="565"/>
      <c r="J890" s="565"/>
      <c r="K890" s="466"/>
      <c r="L890" s="459"/>
      <c r="M890" s="460"/>
      <c r="N890" s="459"/>
      <c r="O890" s="261"/>
      <c r="P890" s="607"/>
      <c r="Q890" s="565"/>
      <c r="R890" s="467"/>
    </row>
    <row r="891" spans="1:18" s="438" customFormat="1" outlineLevel="1">
      <c r="A891" s="569"/>
      <c r="B891" s="598"/>
      <c r="C891" s="589"/>
      <c r="D891" s="565"/>
      <c r="E891" s="596"/>
      <c r="F891" s="565"/>
      <c r="G891" s="600"/>
      <c r="H891" s="600"/>
      <c r="I891" s="565"/>
      <c r="J891" s="565"/>
      <c r="K891" s="466"/>
      <c r="L891" s="459"/>
      <c r="M891" s="460"/>
      <c r="N891" s="459"/>
      <c r="O891" s="261"/>
      <c r="P891" s="607"/>
      <c r="Q891" s="565"/>
      <c r="R891" s="467"/>
    </row>
    <row r="892" spans="1:18" s="438" customFormat="1" outlineLevel="1">
      <c r="A892" s="569"/>
      <c r="B892" s="598"/>
      <c r="C892" s="589"/>
      <c r="D892" s="565"/>
      <c r="E892" s="596"/>
      <c r="F892" s="565"/>
      <c r="G892" s="600"/>
      <c r="H892" s="600"/>
      <c r="I892" s="565"/>
      <c r="J892" s="565"/>
      <c r="K892" s="466"/>
      <c r="L892" s="459"/>
      <c r="M892" s="460"/>
      <c r="N892" s="459"/>
      <c r="O892" s="261"/>
      <c r="P892" s="607"/>
      <c r="Q892" s="565"/>
      <c r="R892" s="467"/>
    </row>
    <row r="893" spans="1:18" s="438" customFormat="1" outlineLevel="1">
      <c r="A893" s="569"/>
      <c r="B893" s="598"/>
      <c r="C893" s="589"/>
      <c r="D893" s="565"/>
      <c r="E893" s="596"/>
      <c r="F893" s="565"/>
      <c r="G893" s="600"/>
      <c r="H893" s="600"/>
      <c r="I893" s="565"/>
      <c r="J893" s="565"/>
      <c r="K893" s="466"/>
      <c r="L893" s="459"/>
      <c r="M893" s="460"/>
      <c r="N893" s="459"/>
      <c r="O893" s="261"/>
      <c r="P893" s="607"/>
      <c r="Q893" s="565"/>
      <c r="R893" s="467"/>
    </row>
    <row r="894" spans="1:18" s="438" customFormat="1" outlineLevel="1">
      <c r="A894" s="569"/>
      <c r="B894" s="598"/>
      <c r="C894" s="589"/>
      <c r="D894" s="565"/>
      <c r="E894" s="596"/>
      <c r="F894" s="565"/>
      <c r="G894" s="600"/>
      <c r="H894" s="600"/>
      <c r="I894" s="565"/>
      <c r="J894" s="565"/>
      <c r="K894" s="466"/>
      <c r="L894" s="459"/>
      <c r="M894" s="460"/>
      <c r="N894" s="459"/>
      <c r="O894" s="261"/>
      <c r="P894" s="607"/>
      <c r="Q894" s="565"/>
      <c r="R894" s="467"/>
    </row>
    <row r="895" spans="1:18" s="438" customFormat="1" outlineLevel="1">
      <c r="A895" s="569"/>
      <c r="B895" s="598"/>
      <c r="C895" s="589"/>
      <c r="D895" s="565"/>
      <c r="E895" s="596"/>
      <c r="F895" s="565"/>
      <c r="G895" s="600"/>
      <c r="H895" s="600"/>
      <c r="I895" s="565"/>
      <c r="J895" s="565"/>
      <c r="K895" s="466"/>
      <c r="L895" s="459"/>
      <c r="M895" s="460"/>
      <c r="N895" s="459"/>
      <c r="O895" s="261"/>
      <c r="P895" s="607"/>
      <c r="Q895" s="565"/>
      <c r="R895" s="467"/>
    </row>
    <row r="896" spans="1:18" s="438" customFormat="1" outlineLevel="1">
      <c r="A896" s="569"/>
      <c r="B896" s="598"/>
      <c r="C896" s="589"/>
      <c r="D896" s="565"/>
      <c r="E896" s="596"/>
      <c r="F896" s="565"/>
      <c r="G896" s="600"/>
      <c r="H896" s="600"/>
      <c r="I896" s="565"/>
      <c r="J896" s="565"/>
      <c r="K896" s="466"/>
      <c r="L896" s="459"/>
      <c r="M896" s="460"/>
      <c r="N896" s="459"/>
      <c r="O896" s="261"/>
      <c r="P896" s="607"/>
      <c r="Q896" s="565"/>
      <c r="R896" s="467"/>
    </row>
    <row r="897" spans="1:18" s="438" customFormat="1" outlineLevel="1">
      <c r="A897" s="569"/>
      <c r="B897" s="598"/>
      <c r="C897" s="589"/>
      <c r="D897" s="565"/>
      <c r="E897" s="596"/>
      <c r="F897" s="565"/>
      <c r="G897" s="600"/>
      <c r="H897" s="600"/>
      <c r="I897" s="565"/>
      <c r="J897" s="565"/>
      <c r="K897" s="466"/>
      <c r="L897" s="459"/>
      <c r="M897" s="460"/>
      <c r="N897" s="459"/>
      <c r="O897" s="261"/>
      <c r="P897" s="607"/>
      <c r="Q897" s="565"/>
      <c r="R897" s="467"/>
    </row>
    <row r="898" spans="1:18" s="438" customFormat="1" outlineLevel="1">
      <c r="A898" s="569"/>
      <c r="B898" s="598"/>
      <c r="C898" s="589"/>
      <c r="D898" s="565"/>
      <c r="E898" s="596"/>
      <c r="F898" s="565"/>
      <c r="G898" s="600"/>
      <c r="H898" s="600"/>
      <c r="I898" s="565"/>
      <c r="J898" s="565"/>
      <c r="K898" s="466"/>
      <c r="L898" s="459"/>
      <c r="M898" s="460"/>
      <c r="N898" s="459"/>
      <c r="O898" s="261"/>
      <c r="P898" s="607"/>
      <c r="Q898" s="565"/>
      <c r="R898" s="467"/>
    </row>
    <row r="899" spans="1:18" s="438" customFormat="1" outlineLevel="1">
      <c r="A899" s="569"/>
      <c r="B899" s="598"/>
      <c r="C899" s="589"/>
      <c r="D899" s="565"/>
      <c r="E899" s="596"/>
      <c r="F899" s="565"/>
      <c r="G899" s="600"/>
      <c r="H899" s="600"/>
      <c r="I899" s="565"/>
      <c r="J899" s="565"/>
      <c r="K899" s="466"/>
      <c r="L899" s="459"/>
      <c r="M899" s="460"/>
      <c r="N899" s="459"/>
      <c r="O899" s="261"/>
      <c r="P899" s="607"/>
      <c r="Q899" s="565"/>
      <c r="R899" s="467"/>
    </row>
    <row r="900" spans="1:18" s="438" customFormat="1" outlineLevel="1">
      <c r="A900" s="570"/>
      <c r="B900" s="599"/>
      <c r="C900" s="590"/>
      <c r="D900" s="566"/>
      <c r="E900" s="596"/>
      <c r="F900" s="566"/>
      <c r="G900" s="601"/>
      <c r="H900" s="601"/>
      <c r="I900" s="566"/>
      <c r="J900" s="566"/>
      <c r="K900" s="466"/>
      <c r="L900" s="459"/>
      <c r="M900" s="460"/>
      <c r="N900" s="459"/>
      <c r="O900" s="261"/>
      <c r="P900" s="608"/>
      <c r="Q900" s="566"/>
      <c r="R900" s="467"/>
    </row>
    <row r="901" spans="1:18" s="438" customFormat="1" outlineLevel="1">
      <c r="A901" s="568"/>
      <c r="B901" s="572"/>
      <c r="C901" s="574"/>
      <c r="D901" s="578"/>
      <c r="E901" s="580"/>
      <c r="F901" s="578"/>
      <c r="G901" s="581"/>
      <c r="H901" s="577"/>
      <c r="I901" s="577"/>
      <c r="J901" s="577"/>
      <c r="K901" s="472"/>
      <c r="L901" s="480"/>
      <c r="M901" s="479"/>
      <c r="N901" s="476"/>
      <c r="O901" s="477"/>
      <c r="P901" s="577"/>
      <c r="Q901" s="594"/>
      <c r="R901" s="467"/>
    </row>
    <row r="902" spans="1:18" s="438" customFormat="1" outlineLevel="1">
      <c r="A902" s="569"/>
      <c r="B902" s="598"/>
      <c r="C902" s="589"/>
      <c r="D902" s="565"/>
      <c r="E902" s="596"/>
      <c r="F902" s="565"/>
      <c r="G902" s="600"/>
      <c r="H902" s="602"/>
      <c r="I902" s="565"/>
      <c r="J902" s="565"/>
      <c r="K902" s="466"/>
      <c r="L902" s="480"/>
      <c r="M902" s="479"/>
      <c r="N902" s="479"/>
      <c r="O902" s="261"/>
      <c r="P902" s="565"/>
      <c r="Q902" s="565"/>
      <c r="R902" s="467"/>
    </row>
    <row r="903" spans="1:18" s="438" customFormat="1" outlineLevel="1">
      <c r="A903" s="569"/>
      <c r="B903" s="598"/>
      <c r="C903" s="589"/>
      <c r="D903" s="565"/>
      <c r="E903" s="596"/>
      <c r="F903" s="565"/>
      <c r="G903" s="600"/>
      <c r="H903" s="602"/>
      <c r="I903" s="565"/>
      <c r="J903" s="565"/>
      <c r="K903" s="466"/>
      <c r="L903" s="480"/>
      <c r="M903" s="479"/>
      <c r="N903" s="479"/>
      <c r="O903" s="261"/>
      <c r="P903" s="565"/>
      <c r="Q903" s="565"/>
      <c r="R903" s="467"/>
    </row>
    <row r="904" spans="1:18" s="438" customFormat="1" outlineLevel="1">
      <c r="A904" s="569"/>
      <c r="B904" s="598"/>
      <c r="C904" s="589"/>
      <c r="D904" s="565"/>
      <c r="E904" s="596"/>
      <c r="F904" s="565"/>
      <c r="G904" s="600"/>
      <c r="H904" s="602"/>
      <c r="I904" s="565"/>
      <c r="J904" s="565"/>
      <c r="K904" s="466"/>
      <c r="L904" s="482"/>
      <c r="M904" s="479"/>
      <c r="N904" s="479"/>
      <c r="O904" s="261"/>
      <c r="P904" s="565"/>
      <c r="Q904" s="565"/>
      <c r="R904" s="467"/>
    </row>
    <row r="905" spans="1:18" s="438" customFormat="1" outlineLevel="1">
      <c r="A905" s="569"/>
      <c r="B905" s="598"/>
      <c r="C905" s="589"/>
      <c r="D905" s="565"/>
      <c r="E905" s="596"/>
      <c r="F905" s="565"/>
      <c r="G905" s="600"/>
      <c r="H905" s="602"/>
      <c r="I905" s="565"/>
      <c r="J905" s="565"/>
      <c r="K905" s="466"/>
      <c r="L905" s="459"/>
      <c r="M905" s="460"/>
      <c r="N905" s="459"/>
      <c r="O905" s="261"/>
      <c r="P905" s="565"/>
      <c r="Q905" s="565"/>
      <c r="R905" s="467"/>
    </row>
    <row r="906" spans="1:18" s="438" customFormat="1" outlineLevel="1">
      <c r="A906" s="569"/>
      <c r="B906" s="598"/>
      <c r="C906" s="589"/>
      <c r="D906" s="565"/>
      <c r="E906" s="596"/>
      <c r="F906" s="565"/>
      <c r="G906" s="600"/>
      <c r="H906" s="602"/>
      <c r="I906" s="565"/>
      <c r="J906" s="565"/>
      <c r="K906" s="466"/>
      <c r="L906" s="459"/>
      <c r="M906" s="460"/>
      <c r="N906" s="459"/>
      <c r="O906" s="261"/>
      <c r="P906" s="565"/>
      <c r="Q906" s="565"/>
      <c r="R906" s="467"/>
    </row>
    <row r="907" spans="1:18" s="438" customFormat="1" outlineLevel="1">
      <c r="A907" s="569"/>
      <c r="B907" s="598"/>
      <c r="C907" s="589"/>
      <c r="D907" s="565"/>
      <c r="E907" s="596"/>
      <c r="F907" s="565"/>
      <c r="G907" s="600"/>
      <c r="H907" s="602"/>
      <c r="I907" s="565"/>
      <c r="J907" s="565"/>
      <c r="K907" s="466"/>
      <c r="L907" s="459"/>
      <c r="M907" s="460"/>
      <c r="N907" s="459"/>
      <c r="O907" s="261"/>
      <c r="P907" s="565"/>
      <c r="Q907" s="565"/>
      <c r="R907" s="467"/>
    </row>
    <row r="908" spans="1:18" s="438" customFormat="1" outlineLevel="1">
      <c r="A908" s="569"/>
      <c r="B908" s="598"/>
      <c r="C908" s="589"/>
      <c r="D908" s="565"/>
      <c r="E908" s="596"/>
      <c r="F908" s="565"/>
      <c r="G908" s="600"/>
      <c r="H908" s="602"/>
      <c r="I908" s="565"/>
      <c r="J908" s="565"/>
      <c r="K908" s="466"/>
      <c r="L908" s="459"/>
      <c r="M908" s="460"/>
      <c r="N908" s="459"/>
      <c r="O908" s="261"/>
      <c r="P908" s="565"/>
      <c r="Q908" s="565"/>
      <c r="R908" s="467"/>
    </row>
    <row r="909" spans="1:18" s="438" customFormat="1" outlineLevel="1">
      <c r="A909" s="569"/>
      <c r="B909" s="598"/>
      <c r="C909" s="589"/>
      <c r="D909" s="565"/>
      <c r="E909" s="596"/>
      <c r="F909" s="565"/>
      <c r="G909" s="600"/>
      <c r="H909" s="602"/>
      <c r="I909" s="565"/>
      <c r="J909" s="565"/>
      <c r="K909" s="466"/>
      <c r="L909" s="459"/>
      <c r="M909" s="460"/>
      <c r="N909" s="459"/>
      <c r="O909" s="261"/>
      <c r="P909" s="565"/>
      <c r="Q909" s="565"/>
      <c r="R909" s="467"/>
    </row>
    <row r="910" spans="1:18" s="438" customFormat="1" outlineLevel="1">
      <c r="A910" s="569"/>
      <c r="B910" s="598"/>
      <c r="C910" s="589"/>
      <c r="D910" s="565"/>
      <c r="E910" s="596"/>
      <c r="F910" s="565"/>
      <c r="G910" s="600"/>
      <c r="H910" s="602"/>
      <c r="I910" s="565"/>
      <c r="J910" s="565"/>
      <c r="K910" s="466"/>
      <c r="L910" s="459"/>
      <c r="M910" s="460"/>
      <c r="N910" s="459"/>
      <c r="O910" s="261"/>
      <c r="P910" s="565"/>
      <c r="Q910" s="565"/>
      <c r="R910" s="467"/>
    </row>
    <row r="911" spans="1:18" s="438" customFormat="1" outlineLevel="1">
      <c r="A911" s="569"/>
      <c r="B911" s="598"/>
      <c r="C911" s="589"/>
      <c r="D911" s="565"/>
      <c r="E911" s="596"/>
      <c r="F911" s="565"/>
      <c r="G911" s="600"/>
      <c r="H911" s="602"/>
      <c r="I911" s="565"/>
      <c r="J911" s="565"/>
      <c r="K911" s="466"/>
      <c r="L911" s="459"/>
      <c r="M911" s="460"/>
      <c r="N911" s="459"/>
      <c r="O911" s="261"/>
      <c r="P911" s="565"/>
      <c r="Q911" s="565"/>
      <c r="R911" s="467"/>
    </row>
    <row r="912" spans="1:18" s="438" customFormat="1" outlineLevel="1">
      <c r="A912" s="569"/>
      <c r="B912" s="598"/>
      <c r="C912" s="589"/>
      <c r="D912" s="565"/>
      <c r="E912" s="596"/>
      <c r="F912" s="565"/>
      <c r="G912" s="600"/>
      <c r="H912" s="602"/>
      <c r="I912" s="565"/>
      <c r="J912" s="565"/>
      <c r="K912" s="466"/>
      <c r="L912" s="459"/>
      <c r="M912" s="460"/>
      <c r="N912" s="459"/>
      <c r="O912" s="261"/>
      <c r="P912" s="565"/>
      <c r="Q912" s="565"/>
      <c r="R912" s="467"/>
    </row>
    <row r="913" spans="1:18" s="438" customFormat="1" outlineLevel="1">
      <c r="A913" s="569"/>
      <c r="B913" s="598"/>
      <c r="C913" s="589"/>
      <c r="D913" s="565"/>
      <c r="E913" s="596"/>
      <c r="F913" s="565"/>
      <c r="G913" s="600"/>
      <c r="H913" s="602"/>
      <c r="I913" s="565"/>
      <c r="J913" s="565"/>
      <c r="K913" s="466"/>
      <c r="L913" s="459"/>
      <c r="M913" s="460"/>
      <c r="N913" s="459"/>
      <c r="O913" s="261"/>
      <c r="P913" s="565"/>
      <c r="Q913" s="565"/>
      <c r="R913" s="467"/>
    </row>
    <row r="914" spans="1:18" s="438" customFormat="1" outlineLevel="1">
      <c r="A914" s="569"/>
      <c r="B914" s="598"/>
      <c r="C914" s="589"/>
      <c r="D914" s="565"/>
      <c r="E914" s="596"/>
      <c r="F914" s="565"/>
      <c r="G914" s="600"/>
      <c r="H914" s="602"/>
      <c r="I914" s="565"/>
      <c r="J914" s="565"/>
      <c r="K914" s="466"/>
      <c r="L914" s="459"/>
      <c r="M914" s="460"/>
      <c r="N914" s="459"/>
      <c r="O914" s="261"/>
      <c r="P914" s="565"/>
      <c r="Q914" s="565"/>
      <c r="R914" s="467"/>
    </row>
    <row r="915" spans="1:18" s="438" customFormat="1" outlineLevel="1">
      <c r="A915" s="569"/>
      <c r="B915" s="598"/>
      <c r="C915" s="589"/>
      <c r="D915" s="565"/>
      <c r="E915" s="596"/>
      <c r="F915" s="565"/>
      <c r="G915" s="600"/>
      <c r="H915" s="602"/>
      <c r="I915" s="565"/>
      <c r="J915" s="565"/>
      <c r="K915" s="466"/>
      <c r="L915" s="459"/>
      <c r="M915" s="460"/>
      <c r="N915" s="459"/>
      <c r="O915" s="261"/>
      <c r="P915" s="565"/>
      <c r="Q915" s="565"/>
      <c r="R915" s="467"/>
    </row>
    <row r="916" spans="1:18" s="438" customFormat="1" outlineLevel="1">
      <c r="A916" s="570"/>
      <c r="B916" s="599"/>
      <c r="C916" s="590"/>
      <c r="D916" s="566"/>
      <c r="E916" s="596"/>
      <c r="F916" s="566"/>
      <c r="G916" s="601"/>
      <c r="H916" s="603"/>
      <c r="I916" s="566"/>
      <c r="J916" s="566"/>
      <c r="K916" s="466"/>
      <c r="L916" s="459"/>
      <c r="M916" s="460"/>
      <c r="N916" s="459"/>
      <c r="O916" s="261"/>
      <c r="P916" s="566"/>
      <c r="Q916" s="566"/>
      <c r="R916" s="467"/>
    </row>
    <row r="917" spans="1:18" s="438" customFormat="1" outlineLevel="1">
      <c r="A917" s="568"/>
      <c r="B917" s="587"/>
      <c r="C917" s="595"/>
      <c r="D917" s="565"/>
      <c r="E917" s="596"/>
      <c r="F917" s="565"/>
      <c r="G917" s="597"/>
      <c r="H917" s="594"/>
      <c r="I917" s="594"/>
      <c r="J917" s="594"/>
      <c r="K917" s="458"/>
      <c r="L917" s="459"/>
      <c r="M917" s="460"/>
      <c r="N917" s="459"/>
      <c r="O917" s="261"/>
      <c r="P917" s="594"/>
      <c r="Q917" s="594"/>
      <c r="R917" s="467"/>
    </row>
    <row r="918" spans="1:18" s="438" customFormat="1" outlineLevel="1">
      <c r="A918" s="569"/>
      <c r="B918" s="587"/>
      <c r="C918" s="589"/>
      <c r="D918" s="565"/>
      <c r="E918" s="596"/>
      <c r="F918" s="565"/>
      <c r="G918" s="592"/>
      <c r="H918" s="565"/>
      <c r="I918" s="565"/>
      <c r="J918" s="565"/>
      <c r="K918" s="466"/>
      <c r="L918" s="459"/>
      <c r="M918" s="460"/>
      <c r="N918" s="459"/>
      <c r="O918" s="261"/>
      <c r="P918" s="565"/>
      <c r="Q918" s="565"/>
      <c r="R918" s="467"/>
    </row>
    <row r="919" spans="1:18" s="438" customFormat="1" outlineLevel="1">
      <c r="A919" s="569"/>
      <c r="B919" s="587"/>
      <c r="C919" s="589"/>
      <c r="D919" s="565"/>
      <c r="E919" s="596"/>
      <c r="F919" s="565"/>
      <c r="G919" s="592"/>
      <c r="H919" s="565"/>
      <c r="I919" s="565"/>
      <c r="J919" s="565"/>
      <c r="K919" s="466"/>
      <c r="L919" s="459"/>
      <c r="M919" s="460"/>
      <c r="N919" s="459"/>
      <c r="O919" s="261"/>
      <c r="P919" s="565"/>
      <c r="Q919" s="565"/>
      <c r="R919" s="467"/>
    </row>
    <row r="920" spans="1:18" s="438" customFormat="1" outlineLevel="1">
      <c r="A920" s="569"/>
      <c r="B920" s="587"/>
      <c r="C920" s="589"/>
      <c r="D920" s="565"/>
      <c r="E920" s="596"/>
      <c r="F920" s="565"/>
      <c r="G920" s="592"/>
      <c r="H920" s="565"/>
      <c r="I920" s="565"/>
      <c r="J920" s="565"/>
      <c r="K920" s="466"/>
      <c r="L920" s="459"/>
      <c r="M920" s="460"/>
      <c r="N920" s="459"/>
      <c r="O920" s="261"/>
      <c r="P920" s="565"/>
      <c r="Q920" s="565"/>
      <c r="R920" s="467"/>
    </row>
    <row r="921" spans="1:18" s="438" customFormat="1" outlineLevel="1">
      <c r="A921" s="569"/>
      <c r="B921" s="587"/>
      <c r="C921" s="589"/>
      <c r="D921" s="565"/>
      <c r="E921" s="596"/>
      <c r="F921" s="565"/>
      <c r="G921" s="592"/>
      <c r="H921" s="565"/>
      <c r="I921" s="565"/>
      <c r="J921" s="565"/>
      <c r="K921" s="466"/>
      <c r="L921" s="459"/>
      <c r="M921" s="460"/>
      <c r="N921" s="459"/>
      <c r="O921" s="261"/>
      <c r="P921" s="565"/>
      <c r="Q921" s="565"/>
      <c r="R921" s="467"/>
    </row>
    <row r="922" spans="1:18" s="438" customFormat="1" outlineLevel="1">
      <c r="A922" s="569"/>
      <c r="B922" s="587"/>
      <c r="C922" s="589"/>
      <c r="D922" s="565"/>
      <c r="E922" s="596"/>
      <c r="F922" s="565"/>
      <c r="G922" s="592"/>
      <c r="H922" s="565"/>
      <c r="I922" s="565"/>
      <c r="J922" s="565"/>
      <c r="K922" s="466"/>
      <c r="L922" s="459"/>
      <c r="M922" s="460"/>
      <c r="N922" s="459"/>
      <c r="O922" s="261"/>
      <c r="P922" s="565"/>
      <c r="Q922" s="565"/>
      <c r="R922" s="467"/>
    </row>
    <row r="923" spans="1:18" s="438" customFormat="1" outlineLevel="1">
      <c r="A923" s="569"/>
      <c r="B923" s="587"/>
      <c r="C923" s="589"/>
      <c r="D923" s="565"/>
      <c r="E923" s="596"/>
      <c r="F923" s="565"/>
      <c r="G923" s="592"/>
      <c r="H923" s="565"/>
      <c r="I923" s="565"/>
      <c r="J923" s="565"/>
      <c r="K923" s="466"/>
      <c r="L923" s="459"/>
      <c r="M923" s="460"/>
      <c r="N923" s="459"/>
      <c r="O923" s="261"/>
      <c r="P923" s="565"/>
      <c r="Q923" s="565"/>
      <c r="R923" s="467"/>
    </row>
    <row r="924" spans="1:18" s="438" customFormat="1" outlineLevel="1">
      <c r="A924" s="569"/>
      <c r="B924" s="587"/>
      <c r="C924" s="589"/>
      <c r="D924" s="565"/>
      <c r="E924" s="596"/>
      <c r="F924" s="565"/>
      <c r="G924" s="592"/>
      <c r="H924" s="565"/>
      <c r="I924" s="565"/>
      <c r="J924" s="565"/>
      <c r="K924" s="466"/>
      <c r="L924" s="459"/>
      <c r="M924" s="460"/>
      <c r="N924" s="459"/>
      <c r="O924" s="261"/>
      <c r="P924" s="565"/>
      <c r="Q924" s="565"/>
      <c r="R924" s="467"/>
    </row>
    <row r="925" spans="1:18" s="438" customFormat="1" outlineLevel="1">
      <c r="A925" s="569"/>
      <c r="B925" s="587"/>
      <c r="C925" s="589"/>
      <c r="D925" s="565"/>
      <c r="E925" s="596"/>
      <c r="F925" s="565"/>
      <c r="G925" s="592"/>
      <c r="H925" s="565"/>
      <c r="I925" s="565"/>
      <c r="J925" s="565"/>
      <c r="K925" s="466"/>
      <c r="L925" s="459"/>
      <c r="M925" s="460"/>
      <c r="N925" s="459"/>
      <c r="O925" s="261"/>
      <c r="P925" s="565"/>
      <c r="Q925" s="565"/>
      <c r="R925" s="467"/>
    </row>
    <row r="926" spans="1:18" s="438" customFormat="1" outlineLevel="1">
      <c r="A926" s="569"/>
      <c r="B926" s="587"/>
      <c r="C926" s="589"/>
      <c r="D926" s="565"/>
      <c r="E926" s="596"/>
      <c r="F926" s="565"/>
      <c r="G926" s="592"/>
      <c r="H926" s="565"/>
      <c r="I926" s="565"/>
      <c r="J926" s="565"/>
      <c r="K926" s="466"/>
      <c r="L926" s="459"/>
      <c r="M926" s="460"/>
      <c r="N926" s="459"/>
      <c r="O926" s="261"/>
      <c r="P926" s="565"/>
      <c r="Q926" s="565"/>
      <c r="R926" s="467"/>
    </row>
    <row r="927" spans="1:18" s="438" customFormat="1" outlineLevel="1">
      <c r="A927" s="569"/>
      <c r="B927" s="587"/>
      <c r="C927" s="589"/>
      <c r="D927" s="565"/>
      <c r="E927" s="596"/>
      <c r="F927" s="565"/>
      <c r="G927" s="592"/>
      <c r="H927" s="565"/>
      <c r="I927" s="565"/>
      <c r="J927" s="565"/>
      <c r="K927" s="466"/>
      <c r="L927" s="459"/>
      <c r="M927" s="460"/>
      <c r="N927" s="459"/>
      <c r="O927" s="261"/>
      <c r="P927" s="565"/>
      <c r="Q927" s="565"/>
      <c r="R927" s="467"/>
    </row>
    <row r="928" spans="1:18" s="438" customFormat="1" outlineLevel="1">
      <c r="A928" s="569"/>
      <c r="B928" s="587"/>
      <c r="C928" s="589"/>
      <c r="D928" s="565"/>
      <c r="E928" s="596"/>
      <c r="F928" s="565"/>
      <c r="G928" s="592"/>
      <c r="H928" s="565"/>
      <c r="I928" s="565"/>
      <c r="J928" s="565"/>
      <c r="K928" s="466"/>
      <c r="L928" s="459"/>
      <c r="M928" s="460"/>
      <c r="N928" s="459"/>
      <c r="O928" s="261"/>
      <c r="P928" s="565"/>
      <c r="Q928" s="565"/>
      <c r="R928" s="467"/>
    </row>
    <row r="929" spans="1:18" s="438" customFormat="1" outlineLevel="1">
      <c r="A929" s="569"/>
      <c r="B929" s="587"/>
      <c r="C929" s="589"/>
      <c r="D929" s="565"/>
      <c r="E929" s="596"/>
      <c r="F929" s="565"/>
      <c r="G929" s="592"/>
      <c r="H929" s="565"/>
      <c r="I929" s="565"/>
      <c r="J929" s="565"/>
      <c r="K929" s="466"/>
      <c r="L929" s="459"/>
      <c r="M929" s="460"/>
      <c r="N929" s="459"/>
      <c r="O929" s="261"/>
      <c r="P929" s="565"/>
      <c r="Q929" s="565"/>
      <c r="R929" s="467"/>
    </row>
    <row r="930" spans="1:18" s="438" customFormat="1" outlineLevel="1">
      <c r="A930" s="569"/>
      <c r="B930" s="587"/>
      <c r="C930" s="589"/>
      <c r="D930" s="565"/>
      <c r="E930" s="596"/>
      <c r="F930" s="565"/>
      <c r="G930" s="592"/>
      <c r="H930" s="565"/>
      <c r="I930" s="565"/>
      <c r="J930" s="565"/>
      <c r="K930" s="466"/>
      <c r="L930" s="459"/>
      <c r="M930" s="460"/>
      <c r="N930" s="459"/>
      <c r="O930" s="261"/>
      <c r="P930" s="565"/>
      <c r="Q930" s="565"/>
      <c r="R930" s="467"/>
    </row>
    <row r="931" spans="1:18" s="438" customFormat="1" outlineLevel="1">
      <c r="A931" s="569"/>
      <c r="B931" s="587"/>
      <c r="C931" s="589"/>
      <c r="D931" s="565"/>
      <c r="E931" s="596"/>
      <c r="F931" s="565"/>
      <c r="G931" s="592"/>
      <c r="H931" s="565"/>
      <c r="I931" s="565"/>
      <c r="J931" s="565"/>
      <c r="K931" s="466"/>
      <c r="L931" s="459"/>
      <c r="M931" s="460"/>
      <c r="N931" s="459"/>
      <c r="O931" s="261"/>
      <c r="P931" s="565"/>
      <c r="Q931" s="565"/>
      <c r="R931" s="467"/>
    </row>
    <row r="932" spans="1:18" s="438" customFormat="1" outlineLevel="1">
      <c r="A932" s="570"/>
      <c r="B932" s="588"/>
      <c r="C932" s="590"/>
      <c r="D932" s="566"/>
      <c r="E932" s="596"/>
      <c r="F932" s="566"/>
      <c r="G932" s="593"/>
      <c r="H932" s="566"/>
      <c r="I932" s="566"/>
      <c r="J932" s="566"/>
      <c r="K932" s="466"/>
      <c r="L932" s="459"/>
      <c r="M932" s="460"/>
      <c r="N932" s="459"/>
      <c r="O932" s="261"/>
      <c r="P932" s="566"/>
      <c r="Q932" s="566"/>
      <c r="R932" s="467"/>
    </row>
    <row r="933" spans="1:18" s="438" customFormat="1" outlineLevel="1">
      <c r="A933" s="568"/>
      <c r="B933" s="587"/>
      <c r="C933" s="595"/>
      <c r="D933" s="565"/>
      <c r="E933" s="596"/>
      <c r="F933" s="565"/>
      <c r="G933" s="597"/>
      <c r="H933" s="594"/>
      <c r="I933" s="594"/>
      <c r="J933" s="594"/>
      <c r="K933" s="458"/>
      <c r="L933" s="459"/>
      <c r="M933" s="460"/>
      <c r="N933" s="459"/>
      <c r="O933" s="261"/>
      <c r="P933" s="594"/>
      <c r="Q933" s="594"/>
      <c r="R933" s="467"/>
    </row>
    <row r="934" spans="1:18" s="438" customFormat="1" outlineLevel="1">
      <c r="A934" s="569"/>
      <c r="B934" s="587"/>
      <c r="C934" s="589"/>
      <c r="D934" s="565"/>
      <c r="E934" s="596"/>
      <c r="F934" s="565"/>
      <c r="G934" s="592"/>
      <c r="H934" s="565"/>
      <c r="I934" s="565"/>
      <c r="J934" s="565"/>
      <c r="K934" s="466"/>
      <c r="L934" s="459"/>
      <c r="M934" s="460"/>
      <c r="N934" s="459"/>
      <c r="O934" s="261"/>
      <c r="P934" s="565"/>
      <c r="Q934" s="565"/>
      <c r="R934" s="467"/>
    </row>
    <row r="935" spans="1:18" s="438" customFormat="1" outlineLevel="1">
      <c r="A935" s="569"/>
      <c r="B935" s="587"/>
      <c r="C935" s="589"/>
      <c r="D935" s="565"/>
      <c r="E935" s="596"/>
      <c r="F935" s="565"/>
      <c r="G935" s="592"/>
      <c r="H935" s="565"/>
      <c r="I935" s="565"/>
      <c r="J935" s="565"/>
      <c r="K935" s="466"/>
      <c r="L935" s="459"/>
      <c r="M935" s="460"/>
      <c r="N935" s="459"/>
      <c r="O935" s="261"/>
      <c r="P935" s="565"/>
      <c r="Q935" s="565"/>
      <c r="R935" s="467"/>
    </row>
    <row r="936" spans="1:18" s="438" customFormat="1" outlineLevel="1">
      <c r="A936" s="569"/>
      <c r="B936" s="587"/>
      <c r="C936" s="589"/>
      <c r="D936" s="565"/>
      <c r="E936" s="596"/>
      <c r="F936" s="565"/>
      <c r="G936" s="592"/>
      <c r="H936" s="565"/>
      <c r="I936" s="565"/>
      <c r="J936" s="565"/>
      <c r="K936" s="466"/>
      <c r="L936" s="459"/>
      <c r="M936" s="460"/>
      <c r="N936" s="459"/>
      <c r="O936" s="261"/>
      <c r="P936" s="565"/>
      <c r="Q936" s="565"/>
      <c r="R936" s="467"/>
    </row>
    <row r="937" spans="1:18" s="438" customFormat="1" outlineLevel="1">
      <c r="A937" s="569"/>
      <c r="B937" s="587"/>
      <c r="C937" s="589"/>
      <c r="D937" s="565"/>
      <c r="E937" s="596"/>
      <c r="F937" s="565"/>
      <c r="G937" s="592"/>
      <c r="H937" s="565"/>
      <c r="I937" s="565"/>
      <c r="J937" s="565"/>
      <c r="K937" s="466"/>
      <c r="L937" s="459"/>
      <c r="M937" s="460"/>
      <c r="N937" s="459"/>
      <c r="O937" s="261"/>
      <c r="P937" s="565"/>
      <c r="Q937" s="565"/>
      <c r="R937" s="467"/>
    </row>
    <row r="938" spans="1:18" s="438" customFormat="1" outlineLevel="1">
      <c r="A938" s="569"/>
      <c r="B938" s="587"/>
      <c r="C938" s="589"/>
      <c r="D938" s="565"/>
      <c r="E938" s="596"/>
      <c r="F938" s="565"/>
      <c r="G938" s="592"/>
      <c r="H938" s="565"/>
      <c r="I938" s="565"/>
      <c r="J938" s="565"/>
      <c r="K938" s="466"/>
      <c r="L938" s="459"/>
      <c r="M938" s="460"/>
      <c r="N938" s="459"/>
      <c r="O938" s="261"/>
      <c r="P938" s="565"/>
      <c r="Q938" s="565"/>
      <c r="R938" s="467"/>
    </row>
    <row r="939" spans="1:18" s="438" customFormat="1" outlineLevel="1">
      <c r="A939" s="569"/>
      <c r="B939" s="587"/>
      <c r="C939" s="589"/>
      <c r="D939" s="565"/>
      <c r="E939" s="596"/>
      <c r="F939" s="565"/>
      <c r="G939" s="592"/>
      <c r="H939" s="565"/>
      <c r="I939" s="565"/>
      <c r="J939" s="565"/>
      <c r="K939" s="466"/>
      <c r="L939" s="459"/>
      <c r="M939" s="460"/>
      <c r="N939" s="459"/>
      <c r="O939" s="261"/>
      <c r="P939" s="565"/>
      <c r="Q939" s="565"/>
      <c r="R939" s="467"/>
    </row>
    <row r="940" spans="1:18" s="438" customFormat="1" outlineLevel="1">
      <c r="A940" s="569"/>
      <c r="B940" s="587"/>
      <c r="C940" s="589"/>
      <c r="D940" s="565"/>
      <c r="E940" s="596"/>
      <c r="F940" s="565"/>
      <c r="G940" s="592"/>
      <c r="H940" s="565"/>
      <c r="I940" s="565"/>
      <c r="J940" s="565"/>
      <c r="K940" s="466"/>
      <c r="L940" s="459"/>
      <c r="M940" s="460"/>
      <c r="N940" s="459"/>
      <c r="O940" s="261"/>
      <c r="P940" s="565"/>
      <c r="Q940" s="565"/>
      <c r="R940" s="467"/>
    </row>
    <row r="941" spans="1:18" s="438" customFormat="1" outlineLevel="1">
      <c r="A941" s="569"/>
      <c r="B941" s="587"/>
      <c r="C941" s="589"/>
      <c r="D941" s="565"/>
      <c r="E941" s="596"/>
      <c r="F941" s="565"/>
      <c r="G941" s="592"/>
      <c r="H941" s="565"/>
      <c r="I941" s="565"/>
      <c r="J941" s="565"/>
      <c r="K941" s="466"/>
      <c r="L941" s="459"/>
      <c r="M941" s="460"/>
      <c r="N941" s="459"/>
      <c r="O941" s="261"/>
      <c r="P941" s="565"/>
      <c r="Q941" s="565"/>
      <c r="R941" s="467"/>
    </row>
    <row r="942" spans="1:18" s="438" customFormat="1" outlineLevel="1">
      <c r="A942" s="569"/>
      <c r="B942" s="587"/>
      <c r="C942" s="589"/>
      <c r="D942" s="565"/>
      <c r="E942" s="596"/>
      <c r="F942" s="565"/>
      <c r="G942" s="592"/>
      <c r="H942" s="565"/>
      <c r="I942" s="565"/>
      <c r="J942" s="565"/>
      <c r="K942" s="466"/>
      <c r="L942" s="459"/>
      <c r="M942" s="460"/>
      <c r="N942" s="459"/>
      <c r="O942" s="261"/>
      <c r="P942" s="565"/>
      <c r="Q942" s="565"/>
      <c r="R942" s="467"/>
    </row>
    <row r="943" spans="1:18" s="438" customFormat="1" outlineLevel="1">
      <c r="A943" s="569"/>
      <c r="B943" s="587"/>
      <c r="C943" s="589"/>
      <c r="D943" s="565"/>
      <c r="E943" s="596"/>
      <c r="F943" s="565"/>
      <c r="G943" s="592"/>
      <c r="H943" s="565"/>
      <c r="I943" s="565"/>
      <c r="J943" s="565"/>
      <c r="K943" s="466"/>
      <c r="L943" s="459"/>
      <c r="M943" s="460"/>
      <c r="N943" s="459"/>
      <c r="O943" s="261"/>
      <c r="P943" s="565"/>
      <c r="Q943" s="565"/>
      <c r="R943" s="467"/>
    </row>
    <row r="944" spans="1:18" s="438" customFormat="1" outlineLevel="1">
      <c r="A944" s="569"/>
      <c r="B944" s="587"/>
      <c r="C944" s="589"/>
      <c r="D944" s="565"/>
      <c r="E944" s="596"/>
      <c r="F944" s="565"/>
      <c r="G944" s="592"/>
      <c r="H944" s="565"/>
      <c r="I944" s="565"/>
      <c r="J944" s="565"/>
      <c r="K944" s="466"/>
      <c r="L944" s="459"/>
      <c r="M944" s="460"/>
      <c r="N944" s="459"/>
      <c r="O944" s="261"/>
      <c r="P944" s="565"/>
      <c r="Q944" s="565"/>
      <c r="R944" s="467"/>
    </row>
    <row r="945" spans="1:18" s="438" customFormat="1" outlineLevel="1">
      <c r="A945" s="569"/>
      <c r="B945" s="587"/>
      <c r="C945" s="589"/>
      <c r="D945" s="565"/>
      <c r="E945" s="596"/>
      <c r="F945" s="565"/>
      <c r="G945" s="592"/>
      <c r="H945" s="565"/>
      <c r="I945" s="565"/>
      <c r="J945" s="565"/>
      <c r="K945" s="466"/>
      <c r="L945" s="459"/>
      <c r="M945" s="460"/>
      <c r="N945" s="459"/>
      <c r="O945" s="261"/>
      <c r="P945" s="565"/>
      <c r="Q945" s="565"/>
      <c r="R945" s="467"/>
    </row>
    <row r="946" spans="1:18" s="438" customFormat="1" outlineLevel="1">
      <c r="A946" s="569"/>
      <c r="B946" s="587"/>
      <c r="C946" s="589"/>
      <c r="D946" s="565"/>
      <c r="E946" s="596"/>
      <c r="F946" s="565"/>
      <c r="G946" s="592"/>
      <c r="H946" s="565"/>
      <c r="I946" s="565"/>
      <c r="J946" s="565"/>
      <c r="K946" s="466"/>
      <c r="L946" s="459"/>
      <c r="M946" s="460"/>
      <c r="N946" s="459"/>
      <c r="O946" s="261"/>
      <c r="P946" s="565"/>
      <c r="Q946" s="565"/>
      <c r="R946" s="467"/>
    </row>
    <row r="947" spans="1:18" s="438" customFormat="1" outlineLevel="1">
      <c r="A947" s="569"/>
      <c r="B947" s="587"/>
      <c r="C947" s="589"/>
      <c r="D947" s="565"/>
      <c r="E947" s="596"/>
      <c r="F947" s="565"/>
      <c r="G947" s="592"/>
      <c r="H947" s="565"/>
      <c r="I947" s="565"/>
      <c r="J947" s="565"/>
      <c r="K947" s="466"/>
      <c r="L947" s="459"/>
      <c r="M947" s="460"/>
      <c r="N947" s="459"/>
      <c r="O947" s="261"/>
      <c r="P947" s="565"/>
      <c r="Q947" s="565"/>
      <c r="R947" s="467"/>
    </row>
    <row r="948" spans="1:18" s="438" customFormat="1" outlineLevel="1">
      <c r="A948" s="570"/>
      <c r="B948" s="588"/>
      <c r="C948" s="590"/>
      <c r="D948" s="566"/>
      <c r="E948" s="596"/>
      <c r="F948" s="566"/>
      <c r="G948" s="593"/>
      <c r="H948" s="566"/>
      <c r="I948" s="566"/>
      <c r="J948" s="566"/>
      <c r="K948" s="466"/>
      <c r="L948" s="459"/>
      <c r="M948" s="460"/>
      <c r="N948" s="459"/>
      <c r="O948" s="261"/>
      <c r="P948" s="566"/>
      <c r="Q948" s="566"/>
      <c r="R948" s="467"/>
    </row>
    <row r="949" spans="1:18" s="438" customFormat="1" outlineLevel="1">
      <c r="A949" s="568"/>
      <c r="B949" s="587"/>
      <c r="C949" s="595"/>
      <c r="D949" s="565"/>
      <c r="E949" s="596"/>
      <c r="F949" s="565"/>
      <c r="G949" s="597"/>
      <c r="H949" s="594"/>
      <c r="I949" s="594"/>
      <c r="J949" s="594"/>
      <c r="K949" s="458"/>
      <c r="L949" s="459"/>
      <c r="M949" s="460"/>
      <c r="N949" s="459"/>
      <c r="O949" s="261"/>
      <c r="P949" s="594"/>
      <c r="Q949" s="594"/>
      <c r="R949" s="467"/>
    </row>
    <row r="950" spans="1:18" s="438" customFormat="1" outlineLevel="1">
      <c r="A950" s="569"/>
      <c r="B950" s="587"/>
      <c r="C950" s="589"/>
      <c r="D950" s="565"/>
      <c r="E950" s="596"/>
      <c r="F950" s="565"/>
      <c r="G950" s="592"/>
      <c r="H950" s="565"/>
      <c r="I950" s="565"/>
      <c r="J950" s="565"/>
      <c r="K950" s="466"/>
      <c r="L950" s="459"/>
      <c r="M950" s="460"/>
      <c r="N950" s="459"/>
      <c r="O950" s="261"/>
      <c r="P950" s="565"/>
      <c r="Q950" s="565"/>
      <c r="R950" s="467"/>
    </row>
    <row r="951" spans="1:18" s="438" customFormat="1" outlineLevel="1">
      <c r="A951" s="569"/>
      <c r="B951" s="587"/>
      <c r="C951" s="589"/>
      <c r="D951" s="565"/>
      <c r="E951" s="596"/>
      <c r="F951" s="565"/>
      <c r="G951" s="592"/>
      <c r="H951" s="565"/>
      <c r="I951" s="565"/>
      <c r="J951" s="565"/>
      <c r="K951" s="466"/>
      <c r="L951" s="459"/>
      <c r="M951" s="460"/>
      <c r="N951" s="459"/>
      <c r="O951" s="261"/>
      <c r="P951" s="565"/>
      <c r="Q951" s="565"/>
      <c r="R951" s="467"/>
    </row>
    <row r="952" spans="1:18" s="438" customFormat="1" outlineLevel="1">
      <c r="A952" s="569"/>
      <c r="B952" s="587"/>
      <c r="C952" s="589"/>
      <c r="D952" s="565"/>
      <c r="E952" s="596"/>
      <c r="F952" s="565"/>
      <c r="G952" s="592"/>
      <c r="H952" s="565"/>
      <c r="I952" s="565"/>
      <c r="J952" s="565"/>
      <c r="K952" s="466"/>
      <c r="L952" s="459"/>
      <c r="M952" s="460"/>
      <c r="N952" s="459"/>
      <c r="O952" s="261"/>
      <c r="P952" s="565"/>
      <c r="Q952" s="565"/>
      <c r="R952" s="467"/>
    </row>
    <row r="953" spans="1:18" s="438" customFormat="1" outlineLevel="1">
      <c r="A953" s="569"/>
      <c r="B953" s="587"/>
      <c r="C953" s="589"/>
      <c r="D953" s="565"/>
      <c r="E953" s="596"/>
      <c r="F953" s="565"/>
      <c r="G953" s="592"/>
      <c r="H953" s="565"/>
      <c r="I953" s="565"/>
      <c r="J953" s="565"/>
      <c r="K953" s="466"/>
      <c r="L953" s="459"/>
      <c r="M953" s="460"/>
      <c r="N953" s="459"/>
      <c r="O953" s="261"/>
      <c r="P953" s="565"/>
      <c r="Q953" s="565"/>
      <c r="R953" s="467"/>
    </row>
    <row r="954" spans="1:18" s="438" customFormat="1" outlineLevel="1">
      <c r="A954" s="569"/>
      <c r="B954" s="587"/>
      <c r="C954" s="589"/>
      <c r="D954" s="565"/>
      <c r="E954" s="596"/>
      <c r="F954" s="565"/>
      <c r="G954" s="592"/>
      <c r="H954" s="565"/>
      <c r="I954" s="565"/>
      <c r="J954" s="565"/>
      <c r="K954" s="466"/>
      <c r="L954" s="459"/>
      <c r="M954" s="460"/>
      <c r="N954" s="459"/>
      <c r="O954" s="261"/>
      <c r="P954" s="565"/>
      <c r="Q954" s="565"/>
      <c r="R954" s="467"/>
    </row>
    <row r="955" spans="1:18" s="438" customFormat="1" outlineLevel="1">
      <c r="A955" s="569"/>
      <c r="B955" s="587"/>
      <c r="C955" s="589"/>
      <c r="D955" s="565"/>
      <c r="E955" s="596"/>
      <c r="F955" s="565"/>
      <c r="G955" s="592"/>
      <c r="H955" s="565"/>
      <c r="I955" s="565"/>
      <c r="J955" s="565"/>
      <c r="K955" s="466"/>
      <c r="L955" s="459"/>
      <c r="M955" s="460"/>
      <c r="N955" s="459"/>
      <c r="O955" s="261"/>
      <c r="P955" s="565"/>
      <c r="Q955" s="565"/>
      <c r="R955" s="467"/>
    </row>
    <row r="956" spans="1:18" s="438" customFormat="1" outlineLevel="1">
      <c r="A956" s="569"/>
      <c r="B956" s="587"/>
      <c r="C956" s="589"/>
      <c r="D956" s="565"/>
      <c r="E956" s="596"/>
      <c r="F956" s="565"/>
      <c r="G956" s="592"/>
      <c r="H956" s="565"/>
      <c r="I956" s="565"/>
      <c r="J956" s="565"/>
      <c r="K956" s="466"/>
      <c r="L956" s="459"/>
      <c r="M956" s="460"/>
      <c r="N956" s="459"/>
      <c r="O956" s="261"/>
      <c r="P956" s="565"/>
      <c r="Q956" s="565"/>
      <c r="R956" s="467"/>
    </row>
    <row r="957" spans="1:18" s="438" customFormat="1" outlineLevel="1">
      <c r="A957" s="569"/>
      <c r="B957" s="587"/>
      <c r="C957" s="589"/>
      <c r="D957" s="565"/>
      <c r="E957" s="596"/>
      <c r="F957" s="565"/>
      <c r="G957" s="592"/>
      <c r="H957" s="565"/>
      <c r="I957" s="565"/>
      <c r="J957" s="565"/>
      <c r="K957" s="466"/>
      <c r="L957" s="459"/>
      <c r="M957" s="460"/>
      <c r="N957" s="459"/>
      <c r="O957" s="261"/>
      <c r="P957" s="565"/>
      <c r="Q957" s="565"/>
      <c r="R957" s="467"/>
    </row>
    <row r="958" spans="1:18" s="438" customFormat="1" outlineLevel="1">
      <c r="A958" s="569"/>
      <c r="B958" s="587"/>
      <c r="C958" s="589"/>
      <c r="D958" s="565"/>
      <c r="E958" s="596"/>
      <c r="F958" s="565"/>
      <c r="G958" s="592"/>
      <c r="H958" s="565"/>
      <c r="I958" s="565"/>
      <c r="J958" s="565"/>
      <c r="K958" s="466"/>
      <c r="L958" s="459"/>
      <c r="M958" s="460"/>
      <c r="N958" s="459"/>
      <c r="O958" s="261"/>
      <c r="P958" s="565"/>
      <c r="Q958" s="565"/>
      <c r="R958" s="467"/>
    </row>
    <row r="959" spans="1:18" s="438" customFormat="1" outlineLevel="1">
      <c r="A959" s="569"/>
      <c r="B959" s="587"/>
      <c r="C959" s="589"/>
      <c r="D959" s="565"/>
      <c r="E959" s="596"/>
      <c r="F959" s="565"/>
      <c r="G959" s="592"/>
      <c r="H959" s="565"/>
      <c r="I959" s="565"/>
      <c r="J959" s="565"/>
      <c r="K959" s="466"/>
      <c r="L959" s="459"/>
      <c r="M959" s="460"/>
      <c r="N959" s="459"/>
      <c r="O959" s="261"/>
      <c r="P959" s="565"/>
      <c r="Q959" s="565"/>
      <c r="R959" s="467"/>
    </row>
    <row r="960" spans="1:18" s="438" customFormat="1" outlineLevel="1">
      <c r="A960" s="569"/>
      <c r="B960" s="587"/>
      <c r="C960" s="589"/>
      <c r="D960" s="565"/>
      <c r="E960" s="596"/>
      <c r="F960" s="565"/>
      <c r="G960" s="592"/>
      <c r="H960" s="565"/>
      <c r="I960" s="565"/>
      <c r="J960" s="565"/>
      <c r="K960" s="466"/>
      <c r="L960" s="459"/>
      <c r="M960" s="460"/>
      <c r="N960" s="459"/>
      <c r="O960" s="261"/>
      <c r="P960" s="565"/>
      <c r="Q960" s="565"/>
      <c r="R960" s="467"/>
    </row>
    <row r="961" spans="1:18" s="438" customFormat="1" outlineLevel="1">
      <c r="A961" s="569"/>
      <c r="B961" s="587"/>
      <c r="C961" s="589"/>
      <c r="D961" s="565"/>
      <c r="E961" s="596"/>
      <c r="F961" s="565"/>
      <c r="G961" s="592"/>
      <c r="H961" s="565"/>
      <c r="I961" s="565"/>
      <c r="J961" s="565"/>
      <c r="K961" s="466"/>
      <c r="L961" s="459"/>
      <c r="M961" s="460"/>
      <c r="N961" s="459"/>
      <c r="O961" s="261"/>
      <c r="P961" s="565"/>
      <c r="Q961" s="565"/>
      <c r="R961" s="467"/>
    </row>
    <row r="962" spans="1:18" s="438" customFormat="1" outlineLevel="1">
      <c r="A962" s="569"/>
      <c r="B962" s="587"/>
      <c r="C962" s="589"/>
      <c r="D962" s="565"/>
      <c r="E962" s="596"/>
      <c r="F962" s="565"/>
      <c r="G962" s="592"/>
      <c r="H962" s="565"/>
      <c r="I962" s="565"/>
      <c r="J962" s="565"/>
      <c r="K962" s="466"/>
      <c r="L962" s="459"/>
      <c r="M962" s="460"/>
      <c r="N962" s="459"/>
      <c r="O962" s="261"/>
      <c r="P962" s="565"/>
      <c r="Q962" s="565"/>
      <c r="R962" s="467"/>
    </row>
    <row r="963" spans="1:18" s="438" customFormat="1" outlineLevel="1">
      <c r="A963" s="569"/>
      <c r="B963" s="587"/>
      <c r="C963" s="589"/>
      <c r="D963" s="565"/>
      <c r="E963" s="596"/>
      <c r="F963" s="565"/>
      <c r="G963" s="592"/>
      <c r="H963" s="565"/>
      <c r="I963" s="565"/>
      <c r="J963" s="565"/>
      <c r="K963" s="466"/>
      <c r="L963" s="459"/>
      <c r="M963" s="460"/>
      <c r="N963" s="459"/>
      <c r="O963" s="261"/>
      <c r="P963" s="565"/>
      <c r="Q963" s="565"/>
      <c r="R963" s="467"/>
    </row>
    <row r="964" spans="1:18" s="438" customFormat="1" outlineLevel="1">
      <c r="A964" s="570"/>
      <c r="B964" s="588"/>
      <c r="C964" s="590"/>
      <c r="D964" s="566"/>
      <c r="E964" s="596"/>
      <c r="F964" s="566"/>
      <c r="G964" s="593"/>
      <c r="H964" s="566"/>
      <c r="I964" s="566"/>
      <c r="J964" s="566"/>
      <c r="K964" s="466"/>
      <c r="L964" s="459"/>
      <c r="M964" s="460"/>
      <c r="N964" s="459"/>
      <c r="O964" s="261"/>
      <c r="P964" s="566"/>
      <c r="Q964" s="566"/>
      <c r="R964" s="467"/>
    </row>
    <row r="965" spans="1:18" s="438" customFormat="1" outlineLevel="1">
      <c r="A965" s="568"/>
      <c r="B965" s="587"/>
      <c r="C965" s="595"/>
      <c r="D965" s="565"/>
      <c r="E965" s="596"/>
      <c r="F965" s="565"/>
      <c r="G965" s="597"/>
      <c r="H965" s="594"/>
      <c r="I965" s="594"/>
      <c r="J965" s="594"/>
      <c r="K965" s="458"/>
      <c r="L965" s="459"/>
      <c r="M965" s="460"/>
      <c r="N965" s="459"/>
      <c r="O965" s="261"/>
      <c r="P965" s="594"/>
      <c r="Q965" s="594"/>
      <c r="R965" s="467"/>
    </row>
    <row r="966" spans="1:18" s="438" customFormat="1" outlineLevel="1">
      <c r="A966" s="569"/>
      <c r="B966" s="587"/>
      <c r="C966" s="589"/>
      <c r="D966" s="565"/>
      <c r="E966" s="596"/>
      <c r="F966" s="565"/>
      <c r="G966" s="592"/>
      <c r="H966" s="565"/>
      <c r="I966" s="565"/>
      <c r="J966" s="565"/>
      <c r="K966" s="466"/>
      <c r="L966" s="459"/>
      <c r="M966" s="460"/>
      <c r="N966" s="459"/>
      <c r="O966" s="261"/>
      <c r="P966" s="565"/>
      <c r="Q966" s="565"/>
      <c r="R966" s="467"/>
    </row>
    <row r="967" spans="1:18" s="438" customFormat="1" outlineLevel="1">
      <c r="A967" s="569"/>
      <c r="B967" s="587"/>
      <c r="C967" s="589"/>
      <c r="D967" s="565"/>
      <c r="E967" s="596"/>
      <c r="F967" s="565"/>
      <c r="G967" s="592"/>
      <c r="H967" s="565"/>
      <c r="I967" s="565"/>
      <c r="J967" s="565"/>
      <c r="K967" s="466"/>
      <c r="L967" s="459"/>
      <c r="M967" s="460"/>
      <c r="N967" s="459"/>
      <c r="O967" s="261"/>
      <c r="P967" s="565"/>
      <c r="Q967" s="565"/>
      <c r="R967" s="467"/>
    </row>
    <row r="968" spans="1:18" s="438" customFormat="1" outlineLevel="1">
      <c r="A968" s="569"/>
      <c r="B968" s="587"/>
      <c r="C968" s="589"/>
      <c r="D968" s="565"/>
      <c r="E968" s="596"/>
      <c r="F968" s="565"/>
      <c r="G968" s="592"/>
      <c r="H968" s="565"/>
      <c r="I968" s="565"/>
      <c r="J968" s="565"/>
      <c r="K968" s="466"/>
      <c r="L968" s="459"/>
      <c r="M968" s="460"/>
      <c r="N968" s="459"/>
      <c r="O968" s="261"/>
      <c r="P968" s="565"/>
      <c r="Q968" s="565"/>
      <c r="R968" s="467"/>
    </row>
    <row r="969" spans="1:18" s="438" customFormat="1" outlineLevel="1">
      <c r="A969" s="569"/>
      <c r="B969" s="587"/>
      <c r="C969" s="589"/>
      <c r="D969" s="565"/>
      <c r="E969" s="596"/>
      <c r="F969" s="565"/>
      <c r="G969" s="592"/>
      <c r="H969" s="565"/>
      <c r="I969" s="565"/>
      <c r="J969" s="565"/>
      <c r="K969" s="466"/>
      <c r="L969" s="459"/>
      <c r="M969" s="460"/>
      <c r="N969" s="459"/>
      <c r="O969" s="261"/>
      <c r="P969" s="565"/>
      <c r="Q969" s="565"/>
      <c r="R969" s="467"/>
    </row>
    <row r="970" spans="1:18" s="438" customFormat="1" outlineLevel="1">
      <c r="A970" s="569"/>
      <c r="B970" s="587"/>
      <c r="C970" s="589"/>
      <c r="D970" s="565"/>
      <c r="E970" s="596"/>
      <c r="F970" s="565"/>
      <c r="G970" s="592"/>
      <c r="H970" s="565"/>
      <c r="I970" s="565"/>
      <c r="J970" s="565"/>
      <c r="K970" s="466"/>
      <c r="L970" s="459"/>
      <c r="M970" s="460"/>
      <c r="N970" s="459"/>
      <c r="O970" s="261"/>
      <c r="P970" s="565"/>
      <c r="Q970" s="565"/>
      <c r="R970" s="467"/>
    </row>
    <row r="971" spans="1:18" s="438" customFormat="1" outlineLevel="1">
      <c r="A971" s="569"/>
      <c r="B971" s="587"/>
      <c r="C971" s="589"/>
      <c r="D971" s="565"/>
      <c r="E971" s="596"/>
      <c r="F971" s="565"/>
      <c r="G971" s="592"/>
      <c r="H971" s="565"/>
      <c r="I971" s="565"/>
      <c r="J971" s="565"/>
      <c r="K971" s="466"/>
      <c r="L971" s="459"/>
      <c r="M971" s="460"/>
      <c r="N971" s="459"/>
      <c r="O971" s="261"/>
      <c r="P971" s="565"/>
      <c r="Q971" s="565"/>
      <c r="R971" s="467"/>
    </row>
    <row r="972" spans="1:18" s="438" customFormat="1" outlineLevel="1">
      <c r="A972" s="569"/>
      <c r="B972" s="587"/>
      <c r="C972" s="589"/>
      <c r="D972" s="565"/>
      <c r="E972" s="596"/>
      <c r="F972" s="565"/>
      <c r="G972" s="592"/>
      <c r="H972" s="565"/>
      <c r="I972" s="565"/>
      <c r="J972" s="565"/>
      <c r="K972" s="466"/>
      <c r="L972" s="459"/>
      <c r="M972" s="460"/>
      <c r="N972" s="459"/>
      <c r="O972" s="261"/>
      <c r="P972" s="565"/>
      <c r="Q972" s="565"/>
      <c r="R972" s="467"/>
    </row>
    <row r="973" spans="1:18" s="438" customFormat="1" outlineLevel="1">
      <c r="A973" s="569"/>
      <c r="B973" s="587"/>
      <c r="C973" s="589"/>
      <c r="D973" s="565"/>
      <c r="E973" s="596"/>
      <c r="F973" s="565"/>
      <c r="G973" s="592"/>
      <c r="H973" s="565"/>
      <c r="I973" s="565"/>
      <c r="J973" s="565"/>
      <c r="K973" s="466"/>
      <c r="L973" s="459"/>
      <c r="M973" s="460"/>
      <c r="N973" s="459"/>
      <c r="O973" s="261"/>
      <c r="P973" s="565"/>
      <c r="Q973" s="565"/>
      <c r="R973" s="467"/>
    </row>
    <row r="974" spans="1:18" s="438" customFormat="1" outlineLevel="1">
      <c r="A974" s="569"/>
      <c r="B974" s="587"/>
      <c r="C974" s="589"/>
      <c r="D974" s="565"/>
      <c r="E974" s="596"/>
      <c r="F974" s="565"/>
      <c r="G974" s="592"/>
      <c r="H974" s="565"/>
      <c r="I974" s="565"/>
      <c r="J974" s="565"/>
      <c r="K974" s="466"/>
      <c r="L974" s="459"/>
      <c r="M974" s="460"/>
      <c r="N974" s="459"/>
      <c r="O974" s="261"/>
      <c r="P974" s="565"/>
      <c r="Q974" s="565"/>
      <c r="R974" s="467"/>
    </row>
    <row r="975" spans="1:18" s="438" customFormat="1" outlineLevel="1">
      <c r="A975" s="569"/>
      <c r="B975" s="587"/>
      <c r="C975" s="589"/>
      <c r="D975" s="565"/>
      <c r="E975" s="596"/>
      <c r="F975" s="565"/>
      <c r="G975" s="592"/>
      <c r="H975" s="565"/>
      <c r="I975" s="565"/>
      <c r="J975" s="565"/>
      <c r="K975" s="466"/>
      <c r="L975" s="459"/>
      <c r="M975" s="460"/>
      <c r="N975" s="459"/>
      <c r="O975" s="261"/>
      <c r="P975" s="565"/>
      <c r="Q975" s="565"/>
      <c r="R975" s="467"/>
    </row>
    <row r="976" spans="1:18" s="438" customFormat="1" outlineLevel="1">
      <c r="A976" s="569"/>
      <c r="B976" s="587"/>
      <c r="C976" s="589"/>
      <c r="D976" s="565"/>
      <c r="E976" s="596"/>
      <c r="F976" s="565"/>
      <c r="G976" s="592"/>
      <c r="H976" s="565"/>
      <c r="I976" s="565"/>
      <c r="J976" s="565"/>
      <c r="K976" s="466"/>
      <c r="L976" s="459"/>
      <c r="M976" s="460"/>
      <c r="N976" s="459"/>
      <c r="O976" s="261"/>
      <c r="P976" s="565"/>
      <c r="Q976" s="565"/>
      <c r="R976" s="467"/>
    </row>
    <row r="977" spans="1:18" s="438" customFormat="1" outlineLevel="1">
      <c r="A977" s="569"/>
      <c r="B977" s="587"/>
      <c r="C977" s="589"/>
      <c r="D977" s="565"/>
      <c r="E977" s="596"/>
      <c r="F977" s="565"/>
      <c r="G977" s="592"/>
      <c r="H977" s="565"/>
      <c r="I977" s="565"/>
      <c r="J977" s="565"/>
      <c r="K977" s="466"/>
      <c r="L977" s="459"/>
      <c r="M977" s="460"/>
      <c r="N977" s="459"/>
      <c r="O977" s="261"/>
      <c r="P977" s="565"/>
      <c r="Q977" s="565"/>
      <c r="R977" s="467"/>
    </row>
    <row r="978" spans="1:18" s="438" customFormat="1" outlineLevel="1">
      <c r="A978" s="569"/>
      <c r="B978" s="587"/>
      <c r="C978" s="589"/>
      <c r="D978" s="565"/>
      <c r="E978" s="596"/>
      <c r="F978" s="565"/>
      <c r="G978" s="592"/>
      <c r="H978" s="565"/>
      <c r="I978" s="565"/>
      <c r="J978" s="565"/>
      <c r="K978" s="466"/>
      <c r="L978" s="459"/>
      <c r="M978" s="460"/>
      <c r="N978" s="459"/>
      <c r="O978" s="261"/>
      <c r="P978" s="565"/>
      <c r="Q978" s="565"/>
      <c r="R978" s="467"/>
    </row>
    <row r="979" spans="1:18" s="438" customFormat="1" outlineLevel="1">
      <c r="A979" s="569"/>
      <c r="B979" s="587"/>
      <c r="C979" s="589"/>
      <c r="D979" s="565"/>
      <c r="E979" s="596"/>
      <c r="F979" s="565"/>
      <c r="G979" s="592"/>
      <c r="H979" s="565"/>
      <c r="I979" s="565"/>
      <c r="J979" s="565"/>
      <c r="K979" s="466"/>
      <c r="L979" s="459"/>
      <c r="M979" s="460"/>
      <c r="N979" s="459"/>
      <c r="O979" s="261"/>
      <c r="P979" s="565"/>
      <c r="Q979" s="565"/>
      <c r="R979" s="467"/>
    </row>
    <row r="980" spans="1:18" s="438" customFormat="1" outlineLevel="1">
      <c r="A980" s="570"/>
      <c r="B980" s="588"/>
      <c r="C980" s="590"/>
      <c r="D980" s="566"/>
      <c r="E980" s="596"/>
      <c r="F980" s="566"/>
      <c r="G980" s="593"/>
      <c r="H980" s="566"/>
      <c r="I980" s="566"/>
      <c r="J980" s="566"/>
      <c r="K980" s="466"/>
      <c r="L980" s="459"/>
      <c r="M980" s="460"/>
      <c r="N980" s="459"/>
      <c r="O980" s="261"/>
      <c r="P980" s="566"/>
      <c r="Q980" s="566"/>
      <c r="R980" s="467"/>
    </row>
    <row r="981" spans="1:18" s="438" customFormat="1" outlineLevel="1">
      <c r="A981" s="568"/>
      <c r="B981" s="587"/>
      <c r="C981" s="595"/>
      <c r="D981" s="565"/>
      <c r="E981" s="596"/>
      <c r="F981" s="565"/>
      <c r="G981" s="597"/>
      <c r="H981" s="594"/>
      <c r="I981" s="594"/>
      <c r="J981" s="594"/>
      <c r="K981" s="458"/>
      <c r="L981" s="459"/>
      <c r="M981" s="460"/>
      <c r="N981" s="459"/>
      <c r="O981" s="261"/>
      <c r="P981" s="594"/>
      <c r="Q981" s="594"/>
      <c r="R981" s="467"/>
    </row>
    <row r="982" spans="1:18" s="438" customFormat="1" outlineLevel="1">
      <c r="A982" s="569"/>
      <c r="B982" s="587"/>
      <c r="C982" s="589"/>
      <c r="D982" s="565"/>
      <c r="E982" s="596"/>
      <c r="F982" s="565"/>
      <c r="G982" s="592"/>
      <c r="H982" s="565"/>
      <c r="I982" s="565"/>
      <c r="J982" s="565"/>
      <c r="K982" s="466"/>
      <c r="L982" s="459"/>
      <c r="M982" s="460"/>
      <c r="N982" s="459"/>
      <c r="O982" s="261"/>
      <c r="P982" s="565"/>
      <c r="Q982" s="565"/>
      <c r="R982" s="467"/>
    </row>
    <row r="983" spans="1:18" s="438" customFormat="1" outlineLevel="1">
      <c r="A983" s="569"/>
      <c r="B983" s="587"/>
      <c r="C983" s="589"/>
      <c r="D983" s="565"/>
      <c r="E983" s="596"/>
      <c r="F983" s="565"/>
      <c r="G983" s="592"/>
      <c r="H983" s="565"/>
      <c r="I983" s="565"/>
      <c r="J983" s="565"/>
      <c r="K983" s="466"/>
      <c r="L983" s="459"/>
      <c r="M983" s="460"/>
      <c r="N983" s="459"/>
      <c r="O983" s="261"/>
      <c r="P983" s="565"/>
      <c r="Q983" s="565"/>
      <c r="R983" s="467"/>
    </row>
    <row r="984" spans="1:18" s="438" customFormat="1" outlineLevel="1">
      <c r="A984" s="569"/>
      <c r="B984" s="587"/>
      <c r="C984" s="589"/>
      <c r="D984" s="565"/>
      <c r="E984" s="596"/>
      <c r="F984" s="565"/>
      <c r="G984" s="592"/>
      <c r="H984" s="565"/>
      <c r="I984" s="565"/>
      <c r="J984" s="565"/>
      <c r="K984" s="466"/>
      <c r="L984" s="459"/>
      <c r="M984" s="460"/>
      <c r="N984" s="459"/>
      <c r="O984" s="261"/>
      <c r="P984" s="565"/>
      <c r="Q984" s="565"/>
      <c r="R984" s="467"/>
    </row>
    <row r="985" spans="1:18" s="438" customFormat="1" outlineLevel="1">
      <c r="A985" s="569"/>
      <c r="B985" s="587"/>
      <c r="C985" s="589"/>
      <c r="D985" s="565"/>
      <c r="E985" s="596"/>
      <c r="F985" s="565"/>
      <c r="G985" s="592"/>
      <c r="H985" s="565"/>
      <c r="I985" s="565"/>
      <c r="J985" s="565"/>
      <c r="K985" s="466"/>
      <c r="L985" s="459"/>
      <c r="M985" s="460"/>
      <c r="N985" s="459"/>
      <c r="O985" s="261"/>
      <c r="P985" s="565"/>
      <c r="Q985" s="565"/>
      <c r="R985" s="467"/>
    </row>
    <row r="986" spans="1:18" s="438" customFormat="1" outlineLevel="1">
      <c r="A986" s="569"/>
      <c r="B986" s="587"/>
      <c r="C986" s="589"/>
      <c r="D986" s="565"/>
      <c r="E986" s="596"/>
      <c r="F986" s="565"/>
      <c r="G986" s="592"/>
      <c r="H986" s="565"/>
      <c r="I986" s="565"/>
      <c r="J986" s="565"/>
      <c r="K986" s="466"/>
      <c r="L986" s="459"/>
      <c r="M986" s="460"/>
      <c r="N986" s="459"/>
      <c r="O986" s="261"/>
      <c r="P986" s="565"/>
      <c r="Q986" s="565"/>
      <c r="R986" s="467"/>
    </row>
    <row r="987" spans="1:18" s="438" customFormat="1" outlineLevel="1">
      <c r="A987" s="569"/>
      <c r="B987" s="587"/>
      <c r="C987" s="589"/>
      <c r="D987" s="565"/>
      <c r="E987" s="596"/>
      <c r="F987" s="565"/>
      <c r="G987" s="592"/>
      <c r="H987" s="565"/>
      <c r="I987" s="565"/>
      <c r="J987" s="565"/>
      <c r="K987" s="466"/>
      <c r="L987" s="459"/>
      <c r="M987" s="460"/>
      <c r="N987" s="459"/>
      <c r="O987" s="261"/>
      <c r="P987" s="565"/>
      <c r="Q987" s="565"/>
      <c r="R987" s="467"/>
    </row>
    <row r="988" spans="1:18" s="438" customFormat="1" outlineLevel="1">
      <c r="A988" s="569"/>
      <c r="B988" s="587"/>
      <c r="C988" s="589"/>
      <c r="D988" s="565"/>
      <c r="E988" s="596"/>
      <c r="F988" s="565"/>
      <c r="G988" s="592"/>
      <c r="H988" s="565"/>
      <c r="I988" s="565"/>
      <c r="J988" s="565"/>
      <c r="K988" s="466"/>
      <c r="L988" s="459"/>
      <c r="M988" s="460"/>
      <c r="N988" s="459"/>
      <c r="O988" s="261"/>
      <c r="P988" s="565"/>
      <c r="Q988" s="565"/>
      <c r="R988" s="467"/>
    </row>
    <row r="989" spans="1:18" s="438" customFormat="1" outlineLevel="1">
      <c r="A989" s="569"/>
      <c r="B989" s="587"/>
      <c r="C989" s="589"/>
      <c r="D989" s="565"/>
      <c r="E989" s="596"/>
      <c r="F989" s="565"/>
      <c r="G989" s="592"/>
      <c r="H989" s="565"/>
      <c r="I989" s="565"/>
      <c r="J989" s="565"/>
      <c r="K989" s="466"/>
      <c r="L989" s="459"/>
      <c r="M989" s="460"/>
      <c r="N989" s="459"/>
      <c r="O989" s="261"/>
      <c r="P989" s="565"/>
      <c r="Q989" s="565"/>
      <c r="R989" s="467"/>
    </row>
    <row r="990" spans="1:18" s="438" customFormat="1" outlineLevel="1">
      <c r="A990" s="569"/>
      <c r="B990" s="587"/>
      <c r="C990" s="589"/>
      <c r="D990" s="565"/>
      <c r="E990" s="596"/>
      <c r="F990" s="565"/>
      <c r="G990" s="592"/>
      <c r="H990" s="565"/>
      <c r="I990" s="565"/>
      <c r="J990" s="565"/>
      <c r="K990" s="466"/>
      <c r="L990" s="459"/>
      <c r="M990" s="460"/>
      <c r="N990" s="459"/>
      <c r="O990" s="261"/>
      <c r="P990" s="565"/>
      <c r="Q990" s="565"/>
      <c r="R990" s="467"/>
    </row>
    <row r="991" spans="1:18" s="438" customFormat="1" outlineLevel="1">
      <c r="A991" s="569"/>
      <c r="B991" s="587"/>
      <c r="C991" s="589"/>
      <c r="D991" s="565"/>
      <c r="E991" s="596"/>
      <c r="F991" s="565"/>
      <c r="G991" s="592"/>
      <c r="H991" s="565"/>
      <c r="I991" s="565"/>
      <c r="J991" s="565"/>
      <c r="K991" s="466"/>
      <c r="L991" s="459"/>
      <c r="M991" s="460"/>
      <c r="N991" s="459"/>
      <c r="O991" s="261"/>
      <c r="P991" s="565"/>
      <c r="Q991" s="565"/>
      <c r="R991" s="467"/>
    </row>
    <row r="992" spans="1:18" s="438" customFormat="1" outlineLevel="1">
      <c r="A992" s="569"/>
      <c r="B992" s="587"/>
      <c r="C992" s="589"/>
      <c r="D992" s="565"/>
      <c r="E992" s="596"/>
      <c r="F992" s="565"/>
      <c r="G992" s="592"/>
      <c r="H992" s="565"/>
      <c r="I992" s="565"/>
      <c r="J992" s="565"/>
      <c r="K992" s="466"/>
      <c r="L992" s="459"/>
      <c r="M992" s="460"/>
      <c r="N992" s="459"/>
      <c r="O992" s="261"/>
      <c r="P992" s="565"/>
      <c r="Q992" s="565"/>
      <c r="R992" s="467"/>
    </row>
    <row r="993" spans="1:79" s="438" customFormat="1" outlineLevel="1">
      <c r="A993" s="569"/>
      <c r="B993" s="587"/>
      <c r="C993" s="589"/>
      <c r="D993" s="565"/>
      <c r="E993" s="596"/>
      <c r="F993" s="565"/>
      <c r="G993" s="592"/>
      <c r="H993" s="565"/>
      <c r="I993" s="565"/>
      <c r="J993" s="565"/>
      <c r="K993" s="466"/>
      <c r="L993" s="459"/>
      <c r="M993" s="460"/>
      <c r="N993" s="459"/>
      <c r="O993" s="261"/>
      <c r="P993" s="565"/>
      <c r="Q993" s="565"/>
      <c r="R993" s="467"/>
    </row>
    <row r="994" spans="1:79" s="438" customFormat="1" outlineLevel="1">
      <c r="A994" s="569"/>
      <c r="B994" s="587"/>
      <c r="C994" s="589"/>
      <c r="D994" s="565"/>
      <c r="E994" s="596"/>
      <c r="F994" s="565"/>
      <c r="G994" s="592"/>
      <c r="H994" s="565"/>
      <c r="I994" s="565"/>
      <c r="J994" s="565"/>
      <c r="K994" s="466"/>
      <c r="L994" s="459"/>
      <c r="M994" s="460"/>
      <c r="N994" s="459"/>
      <c r="O994" s="261"/>
      <c r="P994" s="565"/>
      <c r="Q994" s="565"/>
      <c r="R994" s="467"/>
    </row>
    <row r="995" spans="1:79" s="438" customFormat="1" outlineLevel="1">
      <c r="A995" s="569"/>
      <c r="B995" s="587"/>
      <c r="C995" s="589"/>
      <c r="D995" s="565"/>
      <c r="E995" s="596"/>
      <c r="F995" s="565"/>
      <c r="G995" s="592"/>
      <c r="H995" s="565"/>
      <c r="I995" s="565"/>
      <c r="J995" s="565"/>
      <c r="K995" s="466"/>
      <c r="L995" s="459"/>
      <c r="M995" s="460"/>
      <c r="N995" s="459"/>
      <c r="O995" s="261"/>
      <c r="P995" s="565"/>
      <c r="Q995" s="565"/>
      <c r="R995" s="467"/>
    </row>
    <row r="996" spans="1:79" s="438" customFormat="1" outlineLevel="1">
      <c r="A996" s="570"/>
      <c r="B996" s="588"/>
      <c r="C996" s="590"/>
      <c r="D996" s="566"/>
      <c r="E996" s="596"/>
      <c r="F996" s="566"/>
      <c r="G996" s="593"/>
      <c r="H996" s="566"/>
      <c r="I996" s="566"/>
      <c r="J996" s="566"/>
      <c r="K996" s="466"/>
      <c r="L996" s="459"/>
      <c r="M996" s="460"/>
      <c r="N996" s="459"/>
      <c r="O996" s="261"/>
      <c r="P996" s="566"/>
      <c r="Q996" s="566"/>
      <c r="R996" s="467"/>
    </row>
    <row r="997" spans="1:79" s="455" customFormat="1" outlineLevel="1">
      <c r="A997" s="569"/>
      <c r="B997" s="587"/>
      <c r="C997" s="595"/>
      <c r="D997" s="565"/>
      <c r="E997" s="565"/>
      <c r="F997" s="565"/>
      <c r="G997" s="592"/>
      <c r="H997" s="565"/>
      <c r="I997" s="565"/>
      <c r="J997" s="565"/>
      <c r="K997" s="458"/>
      <c r="L997" s="459"/>
      <c r="M997" s="460"/>
      <c r="N997" s="461"/>
      <c r="O997" s="462"/>
      <c r="P997" s="565"/>
      <c r="Q997" s="565"/>
      <c r="R997" s="463"/>
      <c r="S997" s="464"/>
      <c r="T997" s="438"/>
      <c r="U997" s="438"/>
      <c r="V997" s="464"/>
      <c r="W997" s="464"/>
      <c r="X997" s="464"/>
      <c r="Y997" s="438"/>
      <c r="Z997" s="438"/>
      <c r="AA997" s="438"/>
      <c r="AB997" s="438"/>
      <c r="AC997" s="435"/>
      <c r="AD997" s="435"/>
      <c r="AE997" s="435"/>
      <c r="AF997" s="435"/>
      <c r="AG997" s="435"/>
      <c r="AH997" s="435"/>
      <c r="AI997" s="435"/>
      <c r="AJ997" s="435"/>
      <c r="AK997" s="435"/>
      <c r="AL997" s="435"/>
      <c r="AM997" s="435"/>
      <c r="AN997" s="435"/>
      <c r="AO997" s="435"/>
      <c r="AP997" s="435"/>
      <c r="AQ997" s="435"/>
      <c r="AR997" s="435"/>
      <c r="AS997" s="435"/>
      <c r="AT997" s="435"/>
      <c r="AU997" s="435"/>
      <c r="AV997" s="435"/>
      <c r="AW997" s="435"/>
      <c r="AX997" s="435"/>
      <c r="AY997" s="435"/>
      <c r="AZ997" s="435"/>
      <c r="BA997" s="435"/>
      <c r="BB997" s="435"/>
      <c r="BC997" s="435"/>
      <c r="BD997" s="435"/>
      <c r="BE997" s="435"/>
      <c r="BF997" s="435"/>
      <c r="BG997" s="435"/>
      <c r="BH997" s="435"/>
      <c r="BI997" s="435"/>
      <c r="BJ997" s="435"/>
      <c r="BK997" s="435"/>
      <c r="BL997" s="435"/>
      <c r="BM997" s="435"/>
      <c r="BN997" s="435"/>
      <c r="BO997" s="435"/>
      <c r="BP997" s="435"/>
      <c r="BQ997" s="435"/>
      <c r="BR997" s="435"/>
    </row>
    <row r="998" spans="1:79" s="438" customFormat="1" outlineLevel="1">
      <c r="A998" s="569"/>
      <c r="B998" s="587"/>
      <c r="C998" s="589"/>
      <c r="D998" s="565"/>
      <c r="E998" s="565"/>
      <c r="F998" s="565"/>
      <c r="G998" s="592"/>
      <c r="H998" s="565"/>
      <c r="I998" s="565"/>
      <c r="J998" s="565"/>
      <c r="K998" s="466"/>
      <c r="L998" s="459"/>
      <c r="M998" s="460"/>
      <c r="N998" s="459"/>
      <c r="O998" s="143"/>
      <c r="P998" s="565"/>
      <c r="Q998" s="565"/>
      <c r="R998" s="467"/>
      <c r="S998" s="464"/>
      <c r="V998" s="464"/>
      <c r="W998" s="464"/>
      <c r="X998" s="464"/>
      <c r="AC998" s="435"/>
      <c r="AD998" s="435"/>
      <c r="AE998" s="435"/>
      <c r="AF998" s="435"/>
      <c r="AG998" s="435"/>
      <c r="AH998" s="435"/>
      <c r="AI998" s="435"/>
      <c r="AJ998" s="435"/>
      <c r="AK998" s="435"/>
      <c r="AL998" s="435"/>
      <c r="AM998" s="435"/>
      <c r="AN998" s="435"/>
      <c r="AO998" s="435"/>
      <c r="AP998" s="435"/>
      <c r="AQ998" s="435"/>
      <c r="AR998" s="435"/>
      <c r="AS998" s="435"/>
      <c r="AT998" s="435"/>
      <c r="AU998" s="435"/>
      <c r="AV998" s="435"/>
      <c r="AW998" s="435"/>
      <c r="AX998" s="435"/>
      <c r="AY998" s="435"/>
      <c r="AZ998" s="435"/>
      <c r="BA998" s="435"/>
      <c r="BB998" s="435"/>
      <c r="BC998" s="435"/>
      <c r="BD998" s="435"/>
      <c r="BE998" s="435"/>
      <c r="BF998" s="435"/>
      <c r="BG998" s="435"/>
      <c r="BH998" s="435"/>
      <c r="BI998" s="435"/>
      <c r="BJ998" s="435"/>
      <c r="BK998" s="435"/>
      <c r="BL998" s="435"/>
      <c r="BM998" s="435"/>
      <c r="BN998" s="435"/>
      <c r="BO998" s="435"/>
      <c r="BP998" s="435"/>
      <c r="BQ998" s="435"/>
      <c r="BR998" s="435"/>
      <c r="BS998" s="435"/>
      <c r="BT998" s="435"/>
      <c r="BU998" s="435"/>
      <c r="BV998" s="435"/>
      <c r="BW998" s="435"/>
      <c r="BX998" s="435"/>
      <c r="BY998" s="435"/>
      <c r="BZ998" s="435"/>
      <c r="CA998" s="435"/>
    </row>
    <row r="999" spans="1:79" s="438" customFormat="1" outlineLevel="1">
      <c r="A999" s="569"/>
      <c r="B999" s="587"/>
      <c r="C999" s="589"/>
      <c r="D999" s="565"/>
      <c r="E999" s="565"/>
      <c r="F999" s="565"/>
      <c r="G999" s="592"/>
      <c r="H999" s="565"/>
      <c r="I999" s="565"/>
      <c r="J999" s="565"/>
      <c r="K999" s="466"/>
      <c r="L999" s="459"/>
      <c r="M999" s="460"/>
      <c r="N999" s="459"/>
      <c r="O999" s="143"/>
      <c r="P999" s="565"/>
      <c r="Q999" s="565"/>
      <c r="R999" s="467"/>
      <c r="S999" s="464"/>
      <c r="V999" s="464"/>
      <c r="W999" s="464"/>
      <c r="X999" s="464"/>
      <c r="AC999" s="435"/>
      <c r="AD999" s="435"/>
      <c r="AE999" s="435"/>
      <c r="AF999" s="435"/>
      <c r="AG999" s="435"/>
      <c r="AH999" s="435"/>
      <c r="AI999" s="435"/>
      <c r="AJ999" s="435"/>
      <c r="AK999" s="435"/>
      <c r="AL999" s="435"/>
      <c r="AM999" s="435"/>
      <c r="AN999" s="435"/>
      <c r="AO999" s="435"/>
      <c r="AP999" s="435"/>
      <c r="AQ999" s="435"/>
      <c r="AR999" s="435"/>
      <c r="AS999" s="435"/>
      <c r="AT999" s="435"/>
      <c r="AU999" s="435"/>
      <c r="AV999" s="435"/>
      <c r="AW999" s="435"/>
      <c r="AX999" s="435"/>
      <c r="AY999" s="435"/>
      <c r="AZ999" s="435"/>
      <c r="BA999" s="435"/>
      <c r="BB999" s="435"/>
      <c r="BC999" s="435"/>
      <c r="BD999" s="435"/>
      <c r="BE999" s="435"/>
      <c r="BF999" s="435"/>
      <c r="BG999" s="435"/>
      <c r="BH999" s="435"/>
      <c r="BI999" s="435"/>
      <c r="BJ999" s="435"/>
      <c r="BK999" s="435"/>
      <c r="BL999" s="435"/>
      <c r="BM999" s="435"/>
      <c r="BN999" s="435"/>
      <c r="BO999" s="435"/>
      <c r="BP999" s="435"/>
      <c r="BQ999" s="435"/>
      <c r="BR999" s="435"/>
      <c r="BS999" s="435"/>
      <c r="BT999" s="435"/>
      <c r="BU999" s="435"/>
      <c r="BV999" s="435"/>
      <c r="BW999" s="435"/>
      <c r="BX999" s="435"/>
      <c r="BY999" s="435"/>
      <c r="BZ999" s="435"/>
      <c r="CA999" s="435"/>
    </row>
    <row r="1000" spans="1:79" s="438" customFormat="1" outlineLevel="1">
      <c r="A1000" s="569"/>
      <c r="B1000" s="587"/>
      <c r="C1000" s="589"/>
      <c r="D1000" s="565"/>
      <c r="E1000" s="565"/>
      <c r="F1000" s="565"/>
      <c r="G1000" s="592"/>
      <c r="H1000" s="565"/>
      <c r="I1000" s="565"/>
      <c r="J1000" s="565"/>
      <c r="K1000" s="466"/>
      <c r="L1000" s="459"/>
      <c r="M1000" s="460"/>
      <c r="N1000" s="459"/>
      <c r="O1000" s="143"/>
      <c r="P1000" s="565"/>
      <c r="Q1000" s="565"/>
      <c r="R1000" s="467"/>
      <c r="S1000" s="464"/>
      <c r="V1000" s="464"/>
      <c r="W1000" s="464"/>
      <c r="X1000" s="464"/>
      <c r="AC1000" s="435"/>
      <c r="AD1000" s="435"/>
      <c r="AE1000" s="435"/>
      <c r="AF1000" s="435"/>
      <c r="AG1000" s="435"/>
      <c r="AH1000" s="435"/>
      <c r="AI1000" s="435"/>
      <c r="AJ1000" s="435"/>
      <c r="AK1000" s="435"/>
      <c r="AL1000" s="435"/>
      <c r="AM1000" s="435"/>
      <c r="AN1000" s="435"/>
      <c r="AO1000" s="435"/>
      <c r="AP1000" s="435"/>
      <c r="AQ1000" s="435"/>
      <c r="AR1000" s="435"/>
      <c r="AS1000" s="435"/>
      <c r="AT1000" s="435"/>
      <c r="AU1000" s="435"/>
      <c r="AV1000" s="435"/>
      <c r="AW1000" s="435"/>
      <c r="AX1000" s="435"/>
      <c r="AY1000" s="435"/>
      <c r="AZ1000" s="435"/>
      <c r="BA1000" s="435"/>
      <c r="BB1000" s="435"/>
      <c r="BC1000" s="435"/>
      <c r="BD1000" s="435"/>
      <c r="BE1000" s="435"/>
      <c r="BF1000" s="435"/>
      <c r="BG1000" s="435"/>
      <c r="BH1000" s="435"/>
      <c r="BI1000" s="435"/>
      <c r="BJ1000" s="435"/>
      <c r="BK1000" s="435"/>
      <c r="BL1000" s="435"/>
      <c r="BM1000" s="435"/>
      <c r="BN1000" s="435"/>
      <c r="BO1000" s="435"/>
      <c r="BP1000" s="435"/>
      <c r="BQ1000" s="435"/>
      <c r="BR1000" s="435"/>
      <c r="BS1000" s="435"/>
      <c r="BT1000" s="435"/>
      <c r="BU1000" s="435"/>
      <c r="BV1000" s="435"/>
      <c r="BW1000" s="435"/>
      <c r="BX1000" s="435"/>
      <c r="BY1000" s="435"/>
      <c r="BZ1000" s="435"/>
      <c r="CA1000" s="435"/>
    </row>
    <row r="1001" spans="1:79" s="438" customFormat="1" outlineLevel="1">
      <c r="A1001" s="569"/>
      <c r="B1001" s="587"/>
      <c r="C1001" s="589"/>
      <c r="D1001" s="565"/>
      <c r="E1001" s="565"/>
      <c r="F1001" s="565"/>
      <c r="G1001" s="592"/>
      <c r="H1001" s="565"/>
      <c r="I1001" s="565"/>
      <c r="J1001" s="565"/>
      <c r="K1001" s="466"/>
      <c r="L1001" s="459"/>
      <c r="M1001" s="460"/>
      <c r="N1001" s="459"/>
      <c r="O1001" s="143"/>
      <c r="P1001" s="565"/>
      <c r="Q1001" s="565"/>
      <c r="R1001" s="467"/>
      <c r="S1001" s="464"/>
      <c r="V1001" s="464"/>
      <c r="W1001" s="464"/>
      <c r="X1001" s="464"/>
      <c r="AC1001" s="435"/>
      <c r="AD1001" s="435"/>
      <c r="AE1001" s="435"/>
      <c r="AF1001" s="435"/>
      <c r="AG1001" s="435"/>
      <c r="AH1001" s="435"/>
      <c r="AI1001" s="435"/>
      <c r="AJ1001" s="435"/>
      <c r="AK1001" s="435"/>
      <c r="AL1001" s="435"/>
      <c r="AM1001" s="435"/>
      <c r="AN1001" s="435"/>
      <c r="AO1001" s="435"/>
      <c r="AP1001" s="435"/>
      <c r="AQ1001" s="435"/>
      <c r="AR1001" s="435"/>
      <c r="AS1001" s="435"/>
      <c r="AT1001" s="435"/>
      <c r="AU1001" s="435"/>
      <c r="AV1001" s="435"/>
      <c r="AW1001" s="435"/>
      <c r="AX1001" s="435"/>
      <c r="AY1001" s="435"/>
      <c r="AZ1001" s="435"/>
      <c r="BA1001" s="435"/>
      <c r="BB1001" s="435"/>
      <c r="BC1001" s="435"/>
      <c r="BD1001" s="435"/>
      <c r="BE1001" s="435"/>
      <c r="BF1001" s="435"/>
      <c r="BG1001" s="435"/>
      <c r="BH1001" s="435"/>
      <c r="BI1001" s="435"/>
      <c r="BJ1001" s="435"/>
      <c r="BK1001" s="435"/>
      <c r="BL1001" s="435"/>
      <c r="BM1001" s="435"/>
      <c r="BN1001" s="435"/>
      <c r="BO1001" s="435"/>
      <c r="BP1001" s="435"/>
      <c r="BQ1001" s="435"/>
      <c r="BR1001" s="435"/>
      <c r="BS1001" s="435"/>
      <c r="BT1001" s="435"/>
      <c r="BU1001" s="435"/>
      <c r="BV1001" s="435"/>
      <c r="BW1001" s="435"/>
      <c r="BX1001" s="435"/>
      <c r="BY1001" s="435"/>
      <c r="BZ1001" s="435"/>
      <c r="CA1001" s="435"/>
    </row>
    <row r="1002" spans="1:79" s="438" customFormat="1" outlineLevel="1">
      <c r="A1002" s="569"/>
      <c r="B1002" s="587"/>
      <c r="C1002" s="589"/>
      <c r="D1002" s="565"/>
      <c r="E1002" s="565"/>
      <c r="F1002" s="565"/>
      <c r="G1002" s="592"/>
      <c r="H1002" s="565"/>
      <c r="I1002" s="565"/>
      <c r="J1002" s="565"/>
      <c r="K1002" s="466"/>
      <c r="L1002" s="459"/>
      <c r="M1002" s="460"/>
      <c r="N1002" s="459"/>
      <c r="O1002" s="143"/>
      <c r="P1002" s="565"/>
      <c r="Q1002" s="565"/>
      <c r="R1002" s="467"/>
      <c r="S1002" s="464"/>
      <c r="V1002" s="464"/>
      <c r="W1002" s="464"/>
      <c r="X1002" s="464"/>
      <c r="AC1002" s="435"/>
      <c r="AD1002" s="435"/>
      <c r="AE1002" s="435"/>
      <c r="AF1002" s="435"/>
      <c r="AG1002" s="435"/>
      <c r="AH1002" s="435"/>
      <c r="AI1002" s="435"/>
      <c r="AJ1002" s="435"/>
      <c r="AK1002" s="435"/>
      <c r="AL1002" s="435"/>
      <c r="AM1002" s="435"/>
      <c r="AN1002" s="435"/>
      <c r="AO1002" s="435"/>
      <c r="AP1002" s="435"/>
      <c r="AQ1002" s="435"/>
      <c r="AR1002" s="435"/>
      <c r="AS1002" s="435"/>
      <c r="AT1002" s="435"/>
      <c r="AU1002" s="435"/>
      <c r="AV1002" s="435"/>
      <c r="AW1002" s="435"/>
      <c r="AX1002" s="435"/>
      <c r="AY1002" s="435"/>
      <c r="AZ1002" s="435"/>
      <c r="BA1002" s="435"/>
      <c r="BB1002" s="435"/>
      <c r="BC1002" s="435"/>
      <c r="BD1002" s="435"/>
      <c r="BE1002" s="435"/>
      <c r="BF1002" s="435"/>
      <c r="BG1002" s="435"/>
      <c r="BH1002" s="435"/>
      <c r="BI1002" s="435"/>
      <c r="BJ1002" s="435"/>
      <c r="BK1002" s="435"/>
      <c r="BL1002" s="435"/>
      <c r="BM1002" s="435"/>
      <c r="BN1002" s="435"/>
      <c r="BO1002" s="435"/>
      <c r="BP1002" s="435"/>
      <c r="BQ1002" s="435"/>
      <c r="BR1002" s="435"/>
      <c r="BS1002" s="435"/>
      <c r="BT1002" s="435"/>
      <c r="BU1002" s="435"/>
      <c r="BV1002" s="435"/>
      <c r="BW1002" s="435"/>
      <c r="BX1002" s="435"/>
      <c r="BY1002" s="435"/>
      <c r="BZ1002" s="435"/>
      <c r="CA1002" s="435"/>
    </row>
    <row r="1003" spans="1:79" s="438" customFormat="1" outlineLevel="1">
      <c r="A1003" s="569"/>
      <c r="B1003" s="587"/>
      <c r="C1003" s="589"/>
      <c r="D1003" s="565"/>
      <c r="E1003" s="565"/>
      <c r="F1003" s="565"/>
      <c r="G1003" s="592"/>
      <c r="H1003" s="565"/>
      <c r="I1003" s="565"/>
      <c r="J1003" s="565"/>
      <c r="K1003" s="466"/>
      <c r="L1003" s="459"/>
      <c r="M1003" s="460"/>
      <c r="N1003" s="459"/>
      <c r="O1003" s="143"/>
      <c r="P1003" s="565"/>
      <c r="Q1003" s="565"/>
      <c r="R1003" s="467"/>
      <c r="S1003" s="464"/>
      <c r="T1003" s="464"/>
      <c r="U1003" s="464"/>
      <c r="V1003" s="464"/>
      <c r="W1003" s="464"/>
      <c r="X1003" s="464"/>
      <c r="AC1003" s="435"/>
      <c r="AD1003" s="435"/>
      <c r="AE1003" s="435"/>
      <c r="AF1003" s="435"/>
      <c r="AG1003" s="435"/>
      <c r="AH1003" s="435"/>
      <c r="AI1003" s="435"/>
      <c r="AJ1003" s="435"/>
      <c r="AK1003" s="435"/>
      <c r="AL1003" s="435"/>
      <c r="AM1003" s="435"/>
      <c r="AN1003" s="435"/>
      <c r="AO1003" s="435"/>
      <c r="AP1003" s="435"/>
      <c r="AQ1003" s="435"/>
      <c r="AR1003" s="435"/>
      <c r="AS1003" s="435"/>
      <c r="AT1003" s="435"/>
      <c r="AU1003" s="435"/>
      <c r="AV1003" s="435"/>
      <c r="AW1003" s="435"/>
      <c r="AX1003" s="435"/>
      <c r="AY1003" s="435"/>
      <c r="AZ1003" s="435"/>
      <c r="BA1003" s="435"/>
      <c r="BB1003" s="435"/>
      <c r="BC1003" s="435"/>
      <c r="BD1003" s="435"/>
      <c r="BE1003" s="435"/>
      <c r="BF1003" s="435"/>
      <c r="BG1003" s="435"/>
      <c r="BH1003" s="435"/>
      <c r="BI1003" s="435"/>
      <c r="BJ1003" s="435"/>
      <c r="BK1003" s="435"/>
      <c r="BL1003" s="435"/>
      <c r="BM1003" s="435"/>
      <c r="BN1003" s="435"/>
      <c r="BO1003" s="435"/>
      <c r="BP1003" s="435"/>
      <c r="BQ1003" s="435"/>
      <c r="BR1003" s="435"/>
      <c r="BS1003" s="435"/>
      <c r="BT1003" s="435"/>
      <c r="BU1003" s="435"/>
      <c r="BV1003" s="435"/>
      <c r="BW1003" s="435"/>
      <c r="BX1003" s="435"/>
      <c r="BY1003" s="435"/>
      <c r="BZ1003" s="435"/>
      <c r="CA1003" s="435"/>
    </row>
    <row r="1004" spans="1:79" s="438" customFormat="1" outlineLevel="1">
      <c r="A1004" s="569"/>
      <c r="B1004" s="587"/>
      <c r="C1004" s="589"/>
      <c r="D1004" s="565"/>
      <c r="E1004" s="565"/>
      <c r="F1004" s="565"/>
      <c r="G1004" s="592"/>
      <c r="H1004" s="565"/>
      <c r="I1004" s="565"/>
      <c r="J1004" s="565"/>
      <c r="K1004" s="466"/>
      <c r="L1004" s="459"/>
      <c r="M1004" s="460"/>
      <c r="N1004" s="459"/>
      <c r="O1004" s="143"/>
      <c r="P1004" s="565"/>
      <c r="Q1004" s="565"/>
      <c r="R1004" s="467"/>
      <c r="S1004" s="464"/>
      <c r="T1004" s="464"/>
      <c r="U1004" s="464"/>
      <c r="V1004" s="464"/>
      <c r="W1004" s="464"/>
      <c r="X1004" s="464"/>
      <c r="AC1004" s="435"/>
      <c r="AD1004" s="435"/>
      <c r="AE1004" s="435"/>
      <c r="AF1004" s="435"/>
      <c r="AG1004" s="435"/>
      <c r="AH1004" s="435"/>
      <c r="AI1004" s="435"/>
      <c r="AJ1004" s="435"/>
      <c r="AK1004" s="435"/>
      <c r="AL1004" s="435"/>
      <c r="AM1004" s="435"/>
      <c r="AN1004" s="435"/>
      <c r="AO1004" s="435"/>
      <c r="AP1004" s="435"/>
      <c r="AQ1004" s="435"/>
      <c r="AR1004" s="435"/>
      <c r="AS1004" s="435"/>
      <c r="AT1004" s="435"/>
      <c r="AU1004" s="435"/>
      <c r="AV1004" s="435"/>
      <c r="AW1004" s="435"/>
      <c r="AX1004" s="435"/>
      <c r="AY1004" s="435"/>
      <c r="AZ1004" s="435"/>
      <c r="BA1004" s="435"/>
      <c r="BB1004" s="435"/>
      <c r="BC1004" s="435"/>
      <c r="BD1004" s="435"/>
      <c r="BE1004" s="435"/>
      <c r="BF1004" s="435"/>
      <c r="BG1004" s="435"/>
      <c r="BH1004" s="435"/>
      <c r="BI1004" s="435"/>
      <c r="BJ1004" s="435"/>
      <c r="BK1004" s="435"/>
      <c r="BL1004" s="435"/>
      <c r="BM1004" s="435"/>
      <c r="BN1004" s="435"/>
      <c r="BO1004" s="435"/>
      <c r="BP1004" s="435"/>
      <c r="BQ1004" s="435"/>
      <c r="BR1004" s="435"/>
      <c r="BS1004" s="435"/>
      <c r="BT1004" s="435"/>
      <c r="BU1004" s="435"/>
      <c r="BV1004" s="435"/>
      <c r="BW1004" s="435"/>
      <c r="BX1004" s="435"/>
      <c r="BY1004" s="435"/>
      <c r="BZ1004" s="435"/>
      <c r="CA1004" s="435"/>
    </row>
    <row r="1005" spans="1:79" s="438" customFormat="1" outlineLevel="1">
      <c r="A1005" s="569"/>
      <c r="B1005" s="587"/>
      <c r="C1005" s="589"/>
      <c r="D1005" s="565"/>
      <c r="E1005" s="565"/>
      <c r="F1005" s="565"/>
      <c r="G1005" s="592"/>
      <c r="H1005" s="565"/>
      <c r="I1005" s="565"/>
      <c r="J1005" s="565"/>
      <c r="K1005" s="466"/>
      <c r="L1005" s="459"/>
      <c r="M1005" s="460"/>
      <c r="N1005" s="459"/>
      <c r="O1005" s="143"/>
      <c r="P1005" s="565"/>
      <c r="Q1005" s="565"/>
      <c r="R1005" s="467"/>
      <c r="AC1005" s="435"/>
      <c r="AD1005" s="435"/>
      <c r="AE1005" s="435"/>
      <c r="AF1005" s="435"/>
      <c r="AG1005" s="435"/>
      <c r="AH1005" s="435"/>
      <c r="AI1005" s="435"/>
      <c r="AJ1005" s="435"/>
      <c r="AK1005" s="435"/>
      <c r="AL1005" s="435"/>
      <c r="AM1005" s="435"/>
      <c r="AN1005" s="435"/>
      <c r="AO1005" s="435"/>
      <c r="AP1005" s="435"/>
      <c r="AQ1005" s="435"/>
      <c r="AR1005" s="435"/>
      <c r="AS1005" s="435"/>
      <c r="AT1005" s="435"/>
      <c r="AU1005" s="435"/>
      <c r="AV1005" s="435"/>
      <c r="AW1005" s="435"/>
      <c r="AX1005" s="435"/>
      <c r="AY1005" s="435"/>
      <c r="AZ1005" s="435"/>
      <c r="BA1005" s="435"/>
      <c r="BB1005" s="435"/>
      <c r="BC1005" s="435"/>
      <c r="BD1005" s="435"/>
      <c r="BE1005" s="435"/>
      <c r="BF1005" s="435"/>
      <c r="BG1005" s="435"/>
      <c r="BH1005" s="435"/>
      <c r="BI1005" s="435"/>
      <c r="BJ1005" s="435"/>
      <c r="BK1005" s="435"/>
      <c r="BL1005" s="435"/>
      <c r="BM1005" s="435"/>
      <c r="BN1005" s="435"/>
      <c r="BO1005" s="435"/>
      <c r="BP1005" s="435"/>
      <c r="BQ1005" s="435"/>
      <c r="BR1005" s="435"/>
      <c r="BS1005" s="435"/>
      <c r="BT1005" s="435"/>
      <c r="BU1005" s="435"/>
      <c r="BV1005" s="435"/>
      <c r="BW1005" s="435"/>
      <c r="BX1005" s="435"/>
      <c r="BY1005" s="435"/>
      <c r="BZ1005" s="435"/>
      <c r="CA1005" s="435"/>
    </row>
    <row r="1006" spans="1:79" s="438" customFormat="1" outlineLevel="1">
      <c r="A1006" s="569"/>
      <c r="B1006" s="587"/>
      <c r="C1006" s="589"/>
      <c r="D1006" s="565"/>
      <c r="E1006" s="565"/>
      <c r="F1006" s="565"/>
      <c r="G1006" s="592"/>
      <c r="H1006" s="565"/>
      <c r="I1006" s="565"/>
      <c r="J1006" s="565"/>
      <c r="K1006" s="466"/>
      <c r="L1006" s="459"/>
      <c r="M1006" s="460"/>
      <c r="N1006" s="459"/>
      <c r="O1006" s="143"/>
      <c r="P1006" s="565"/>
      <c r="Q1006" s="565"/>
      <c r="R1006" s="467"/>
      <c r="AC1006" s="435"/>
      <c r="AD1006" s="435"/>
      <c r="AE1006" s="435"/>
      <c r="AF1006" s="435"/>
      <c r="AG1006" s="435"/>
      <c r="AH1006" s="435"/>
      <c r="AI1006" s="435"/>
      <c r="AJ1006" s="435"/>
      <c r="AK1006" s="435"/>
      <c r="AL1006" s="435"/>
      <c r="AM1006" s="435"/>
      <c r="AN1006" s="435"/>
      <c r="AO1006" s="435"/>
      <c r="AP1006" s="435"/>
      <c r="AQ1006" s="435"/>
      <c r="AR1006" s="435"/>
      <c r="AS1006" s="435"/>
      <c r="AT1006" s="435"/>
      <c r="AU1006" s="435"/>
      <c r="AV1006" s="435"/>
      <c r="AW1006" s="435"/>
      <c r="AX1006" s="435"/>
      <c r="AY1006" s="435"/>
      <c r="AZ1006" s="435"/>
      <c r="BA1006" s="435"/>
      <c r="BB1006" s="435"/>
      <c r="BC1006" s="435"/>
      <c r="BD1006" s="435"/>
      <c r="BE1006" s="435"/>
      <c r="BF1006" s="435"/>
      <c r="BG1006" s="435"/>
      <c r="BH1006" s="435"/>
      <c r="BI1006" s="435"/>
      <c r="BJ1006" s="435"/>
      <c r="BK1006" s="435"/>
      <c r="BL1006" s="435"/>
      <c r="BM1006" s="435"/>
      <c r="BN1006" s="435"/>
      <c r="BO1006" s="435"/>
      <c r="BP1006" s="435"/>
      <c r="BQ1006" s="435"/>
      <c r="BR1006" s="435"/>
      <c r="BS1006" s="435"/>
      <c r="BT1006" s="435"/>
      <c r="BU1006" s="435"/>
      <c r="BV1006" s="435"/>
      <c r="BW1006" s="435"/>
      <c r="BX1006" s="435"/>
      <c r="BY1006" s="435"/>
      <c r="BZ1006" s="435"/>
      <c r="CA1006" s="435"/>
    </row>
    <row r="1007" spans="1:79" s="438" customFormat="1" outlineLevel="1">
      <c r="A1007" s="569"/>
      <c r="B1007" s="587"/>
      <c r="C1007" s="589"/>
      <c r="D1007" s="565"/>
      <c r="E1007" s="565"/>
      <c r="F1007" s="565"/>
      <c r="G1007" s="592"/>
      <c r="H1007" s="565"/>
      <c r="I1007" s="565"/>
      <c r="J1007" s="565"/>
      <c r="K1007" s="466"/>
      <c r="L1007" s="459"/>
      <c r="M1007" s="460"/>
      <c r="N1007" s="459"/>
      <c r="O1007" s="143"/>
      <c r="P1007" s="565"/>
      <c r="Q1007" s="565"/>
      <c r="R1007" s="467"/>
      <c r="AC1007" s="435"/>
      <c r="AD1007" s="435"/>
      <c r="AE1007" s="435"/>
      <c r="AF1007" s="435"/>
      <c r="AG1007" s="435"/>
      <c r="AH1007" s="435"/>
      <c r="AI1007" s="435"/>
      <c r="AJ1007" s="435"/>
      <c r="AK1007" s="435"/>
      <c r="AL1007" s="435"/>
      <c r="AM1007" s="435"/>
      <c r="AN1007" s="435"/>
      <c r="AO1007" s="435"/>
      <c r="AP1007" s="435"/>
      <c r="AQ1007" s="435"/>
      <c r="AR1007" s="435"/>
      <c r="AS1007" s="435"/>
      <c r="AT1007" s="435"/>
      <c r="AU1007" s="435"/>
      <c r="AV1007" s="435"/>
      <c r="AW1007" s="435"/>
      <c r="AX1007" s="435"/>
      <c r="AY1007" s="435"/>
      <c r="AZ1007" s="435"/>
      <c r="BA1007" s="435"/>
      <c r="BB1007" s="435"/>
      <c r="BC1007" s="435"/>
      <c r="BD1007" s="435"/>
      <c r="BE1007" s="435"/>
      <c r="BF1007" s="435"/>
      <c r="BG1007" s="435"/>
      <c r="BH1007" s="435"/>
      <c r="BI1007" s="435"/>
      <c r="BJ1007" s="435"/>
      <c r="BK1007" s="435"/>
      <c r="BL1007" s="435"/>
      <c r="BM1007" s="435"/>
      <c r="BN1007" s="435"/>
      <c r="BO1007" s="435"/>
      <c r="BP1007" s="435"/>
      <c r="BQ1007" s="435"/>
      <c r="BR1007" s="435"/>
      <c r="BS1007" s="435"/>
      <c r="BT1007" s="435"/>
      <c r="BU1007" s="435"/>
      <c r="BV1007" s="435"/>
      <c r="BW1007" s="435"/>
      <c r="BX1007" s="435"/>
      <c r="BY1007" s="435"/>
      <c r="BZ1007" s="435"/>
      <c r="CA1007" s="435"/>
    </row>
    <row r="1008" spans="1:79" s="438" customFormat="1" outlineLevel="1">
      <c r="A1008" s="569"/>
      <c r="B1008" s="587"/>
      <c r="C1008" s="589"/>
      <c r="D1008" s="565"/>
      <c r="E1008" s="565"/>
      <c r="F1008" s="565"/>
      <c r="G1008" s="592"/>
      <c r="H1008" s="565"/>
      <c r="I1008" s="565"/>
      <c r="J1008" s="565"/>
      <c r="K1008" s="466"/>
      <c r="L1008" s="459"/>
      <c r="M1008" s="460"/>
      <c r="N1008" s="459"/>
      <c r="O1008" s="143"/>
      <c r="P1008" s="565"/>
      <c r="Q1008" s="565"/>
      <c r="R1008" s="467"/>
      <c r="AC1008" s="435"/>
      <c r="AD1008" s="435"/>
      <c r="AE1008" s="435"/>
      <c r="AF1008" s="435"/>
      <c r="AG1008" s="435"/>
      <c r="AH1008" s="435"/>
      <c r="AI1008" s="435"/>
      <c r="AJ1008" s="435"/>
      <c r="AK1008" s="435"/>
      <c r="AL1008" s="435"/>
      <c r="AM1008" s="435"/>
      <c r="AN1008" s="435"/>
      <c r="AO1008" s="435"/>
      <c r="AP1008" s="435"/>
      <c r="AQ1008" s="435"/>
      <c r="AR1008" s="435"/>
      <c r="AS1008" s="435"/>
      <c r="AT1008" s="435"/>
      <c r="AU1008" s="435"/>
      <c r="AV1008" s="435"/>
      <c r="AW1008" s="435"/>
      <c r="AX1008" s="435"/>
      <c r="AY1008" s="435"/>
      <c r="AZ1008" s="435"/>
      <c r="BA1008" s="435"/>
      <c r="BB1008" s="435"/>
      <c r="BC1008" s="435"/>
      <c r="BD1008" s="435"/>
      <c r="BE1008" s="435"/>
      <c r="BF1008" s="435"/>
      <c r="BG1008" s="435"/>
      <c r="BH1008" s="435"/>
      <c r="BI1008" s="435"/>
      <c r="BJ1008" s="435"/>
      <c r="BK1008" s="435"/>
      <c r="BL1008" s="435"/>
      <c r="BM1008" s="435"/>
      <c r="BN1008" s="435"/>
      <c r="BO1008" s="435"/>
      <c r="BP1008" s="435"/>
      <c r="BQ1008" s="435"/>
      <c r="BR1008" s="435"/>
      <c r="BS1008" s="435"/>
      <c r="BT1008" s="435"/>
      <c r="BU1008" s="435"/>
      <c r="BV1008" s="435"/>
      <c r="BW1008" s="435"/>
      <c r="BX1008" s="435"/>
      <c r="BY1008" s="435"/>
      <c r="BZ1008" s="435"/>
      <c r="CA1008" s="435"/>
    </row>
    <row r="1009" spans="1:79" s="438" customFormat="1" outlineLevel="1">
      <c r="A1009" s="569"/>
      <c r="B1009" s="587"/>
      <c r="C1009" s="589"/>
      <c r="D1009" s="565"/>
      <c r="E1009" s="565"/>
      <c r="F1009" s="565"/>
      <c r="G1009" s="592"/>
      <c r="H1009" s="565"/>
      <c r="I1009" s="565"/>
      <c r="J1009" s="565"/>
      <c r="K1009" s="466"/>
      <c r="L1009" s="459"/>
      <c r="M1009" s="460"/>
      <c r="N1009" s="459"/>
      <c r="O1009" s="143"/>
      <c r="P1009" s="565"/>
      <c r="Q1009" s="565"/>
      <c r="R1009" s="467"/>
      <c r="AC1009" s="435"/>
      <c r="AD1009" s="435"/>
      <c r="AE1009" s="435"/>
      <c r="AF1009" s="435"/>
      <c r="AG1009" s="435"/>
      <c r="AH1009" s="435"/>
      <c r="AI1009" s="435"/>
      <c r="AJ1009" s="435"/>
      <c r="AK1009" s="435"/>
      <c r="AL1009" s="435"/>
      <c r="AM1009" s="435"/>
      <c r="AN1009" s="435"/>
      <c r="AO1009" s="435"/>
      <c r="AP1009" s="435"/>
      <c r="AQ1009" s="435"/>
      <c r="AR1009" s="435"/>
      <c r="AS1009" s="435"/>
      <c r="AT1009" s="435"/>
      <c r="AU1009" s="435"/>
      <c r="AV1009" s="435"/>
      <c r="AW1009" s="435"/>
      <c r="AX1009" s="435"/>
      <c r="AY1009" s="435"/>
      <c r="AZ1009" s="435"/>
      <c r="BA1009" s="435"/>
      <c r="BB1009" s="435"/>
      <c r="BC1009" s="435"/>
      <c r="BD1009" s="435"/>
      <c r="BE1009" s="435"/>
      <c r="BF1009" s="435"/>
      <c r="BG1009" s="435"/>
      <c r="BH1009" s="435"/>
      <c r="BI1009" s="435"/>
      <c r="BJ1009" s="435"/>
      <c r="BK1009" s="435"/>
      <c r="BL1009" s="435"/>
      <c r="BM1009" s="435"/>
      <c r="BN1009" s="435"/>
      <c r="BO1009" s="435"/>
      <c r="BP1009" s="435"/>
      <c r="BQ1009" s="435"/>
      <c r="BR1009" s="435"/>
      <c r="BS1009" s="435"/>
      <c r="BT1009" s="435"/>
      <c r="BU1009" s="435"/>
      <c r="BV1009" s="435"/>
      <c r="BW1009" s="435"/>
      <c r="BX1009" s="435"/>
      <c r="BY1009" s="435"/>
      <c r="BZ1009" s="435"/>
      <c r="CA1009" s="435"/>
    </row>
    <row r="1010" spans="1:79" s="438" customFormat="1" outlineLevel="1">
      <c r="A1010" s="569"/>
      <c r="B1010" s="587"/>
      <c r="C1010" s="589"/>
      <c r="D1010" s="565"/>
      <c r="E1010" s="565"/>
      <c r="F1010" s="565"/>
      <c r="G1010" s="592"/>
      <c r="H1010" s="565"/>
      <c r="I1010" s="565"/>
      <c r="J1010" s="565"/>
      <c r="K1010" s="466"/>
      <c r="L1010" s="459"/>
      <c r="M1010" s="460"/>
      <c r="N1010" s="459"/>
      <c r="O1010" s="143"/>
      <c r="P1010" s="565"/>
      <c r="Q1010" s="565"/>
      <c r="R1010" s="467"/>
      <c r="AC1010" s="435"/>
      <c r="AD1010" s="435"/>
      <c r="AE1010" s="435"/>
      <c r="AF1010" s="435"/>
      <c r="AG1010" s="435"/>
      <c r="AH1010" s="435"/>
      <c r="AI1010" s="435"/>
      <c r="AJ1010" s="435"/>
      <c r="AK1010" s="435"/>
      <c r="AL1010" s="435"/>
      <c r="AM1010" s="435"/>
      <c r="AN1010" s="435"/>
      <c r="AO1010" s="435"/>
      <c r="AP1010" s="435"/>
      <c r="AQ1010" s="435"/>
      <c r="AR1010" s="435"/>
      <c r="AS1010" s="435"/>
      <c r="AT1010" s="435"/>
      <c r="AU1010" s="435"/>
      <c r="AV1010" s="435"/>
      <c r="AW1010" s="435"/>
      <c r="AX1010" s="435"/>
      <c r="AY1010" s="435"/>
      <c r="AZ1010" s="435"/>
      <c r="BA1010" s="435"/>
      <c r="BB1010" s="435"/>
      <c r="BC1010" s="435"/>
      <c r="BD1010" s="435"/>
      <c r="BE1010" s="435"/>
      <c r="BF1010" s="435"/>
      <c r="BG1010" s="435"/>
      <c r="BH1010" s="435"/>
      <c r="BI1010" s="435"/>
      <c r="BJ1010" s="435"/>
      <c r="BK1010" s="435"/>
      <c r="BL1010" s="435"/>
      <c r="BM1010" s="435"/>
      <c r="BN1010" s="435"/>
      <c r="BO1010" s="435"/>
      <c r="BP1010" s="435"/>
      <c r="BQ1010" s="435"/>
      <c r="BR1010" s="435"/>
      <c r="BS1010" s="435"/>
      <c r="BT1010" s="435"/>
      <c r="BU1010" s="435"/>
      <c r="BV1010" s="435"/>
      <c r="BW1010" s="435"/>
      <c r="BX1010" s="435"/>
      <c r="BY1010" s="435"/>
      <c r="BZ1010" s="435"/>
      <c r="CA1010" s="435"/>
    </row>
    <row r="1011" spans="1:79" s="438" customFormat="1" outlineLevel="1">
      <c r="A1011" s="569"/>
      <c r="B1011" s="587"/>
      <c r="C1011" s="589"/>
      <c r="D1011" s="565"/>
      <c r="E1011" s="565"/>
      <c r="F1011" s="565"/>
      <c r="G1011" s="592"/>
      <c r="H1011" s="565"/>
      <c r="I1011" s="565"/>
      <c r="J1011" s="565"/>
      <c r="K1011" s="466"/>
      <c r="L1011" s="459"/>
      <c r="M1011" s="460"/>
      <c r="N1011" s="459"/>
      <c r="O1011" s="143"/>
      <c r="P1011" s="565"/>
      <c r="Q1011" s="565"/>
      <c r="R1011" s="467"/>
      <c r="AC1011" s="435"/>
      <c r="AD1011" s="435"/>
      <c r="AE1011" s="435"/>
      <c r="AF1011" s="435"/>
      <c r="AG1011" s="435"/>
      <c r="AH1011" s="435"/>
      <c r="AI1011" s="435"/>
      <c r="AJ1011" s="435"/>
      <c r="AK1011" s="435"/>
      <c r="AL1011" s="435"/>
      <c r="AM1011" s="435"/>
      <c r="AN1011" s="435"/>
      <c r="AO1011" s="435"/>
      <c r="AP1011" s="435"/>
      <c r="AQ1011" s="435"/>
      <c r="AR1011" s="435"/>
      <c r="AS1011" s="435"/>
      <c r="AT1011" s="435"/>
      <c r="AU1011" s="435"/>
      <c r="AV1011" s="435"/>
      <c r="AW1011" s="435"/>
      <c r="AX1011" s="435"/>
      <c r="AY1011" s="435"/>
      <c r="AZ1011" s="435"/>
      <c r="BA1011" s="435"/>
      <c r="BB1011" s="435"/>
      <c r="BC1011" s="435"/>
      <c r="BD1011" s="435"/>
      <c r="BE1011" s="435"/>
      <c r="BF1011" s="435"/>
      <c r="BG1011" s="435"/>
      <c r="BH1011" s="435"/>
      <c r="BI1011" s="435"/>
      <c r="BJ1011" s="435"/>
      <c r="BK1011" s="435"/>
      <c r="BL1011" s="435"/>
      <c r="BM1011" s="435"/>
      <c r="BN1011" s="435"/>
      <c r="BO1011" s="435"/>
      <c r="BP1011" s="435"/>
      <c r="BQ1011" s="435"/>
      <c r="BR1011" s="435"/>
      <c r="BS1011" s="435"/>
      <c r="BT1011" s="435"/>
      <c r="BU1011" s="435"/>
      <c r="BV1011" s="435"/>
      <c r="BW1011" s="435"/>
      <c r="BX1011" s="435"/>
      <c r="BY1011" s="435"/>
      <c r="BZ1011" s="435"/>
      <c r="CA1011" s="435"/>
    </row>
    <row r="1012" spans="1:79" s="438" customFormat="1" outlineLevel="1">
      <c r="A1012" s="570"/>
      <c r="B1012" s="588"/>
      <c r="C1012" s="590"/>
      <c r="D1012" s="566"/>
      <c r="E1012" s="566"/>
      <c r="F1012" s="566"/>
      <c r="G1012" s="593"/>
      <c r="H1012" s="566"/>
      <c r="I1012" s="566"/>
      <c r="J1012" s="566"/>
      <c r="K1012" s="466"/>
      <c r="L1012" s="459"/>
      <c r="M1012" s="460"/>
      <c r="N1012" s="459"/>
      <c r="O1012" s="143"/>
      <c r="P1012" s="566"/>
      <c r="Q1012" s="566"/>
      <c r="R1012" s="467"/>
      <c r="AC1012" s="435"/>
      <c r="AD1012" s="435"/>
      <c r="AE1012" s="435"/>
      <c r="AF1012" s="435"/>
      <c r="AG1012" s="435"/>
      <c r="AH1012" s="435"/>
      <c r="AI1012" s="435"/>
      <c r="AJ1012" s="435"/>
      <c r="AK1012" s="435"/>
      <c r="AL1012" s="435"/>
      <c r="AM1012" s="435"/>
      <c r="AN1012" s="435"/>
      <c r="AO1012" s="435"/>
      <c r="AP1012" s="435"/>
      <c r="AQ1012" s="435"/>
      <c r="AR1012" s="435"/>
      <c r="AS1012" s="435"/>
      <c r="AT1012" s="435"/>
      <c r="AU1012" s="435"/>
      <c r="AV1012" s="435"/>
      <c r="AW1012" s="435"/>
      <c r="AX1012" s="435"/>
      <c r="AY1012" s="435"/>
      <c r="AZ1012" s="435"/>
      <c r="BA1012" s="435"/>
      <c r="BB1012" s="435"/>
      <c r="BC1012" s="435"/>
      <c r="BD1012" s="435"/>
      <c r="BE1012" s="435"/>
      <c r="BF1012" s="435"/>
      <c r="BG1012" s="435"/>
      <c r="BH1012" s="435"/>
      <c r="BI1012" s="435"/>
      <c r="BJ1012" s="435"/>
      <c r="BK1012" s="435"/>
      <c r="BL1012" s="435"/>
      <c r="BM1012" s="435"/>
      <c r="BN1012" s="435"/>
      <c r="BO1012" s="435"/>
      <c r="BP1012" s="435"/>
      <c r="BQ1012" s="435"/>
      <c r="BR1012" s="435"/>
      <c r="BS1012" s="435"/>
      <c r="BT1012" s="435"/>
      <c r="BU1012" s="435"/>
      <c r="BV1012" s="435"/>
      <c r="BW1012" s="435"/>
      <c r="BX1012" s="435"/>
      <c r="BY1012" s="435"/>
      <c r="BZ1012" s="435"/>
      <c r="CA1012" s="435"/>
    </row>
    <row r="1013" spans="1:79" s="438" customFormat="1" outlineLevel="1">
      <c r="A1013" s="568"/>
      <c r="B1013" s="609"/>
      <c r="C1013" s="595"/>
      <c r="D1013" s="565"/>
      <c r="E1013" s="565"/>
      <c r="F1013" s="565"/>
      <c r="G1013" s="597"/>
      <c r="H1013" s="594"/>
      <c r="I1013" s="594"/>
      <c r="J1013" s="565"/>
      <c r="K1013" s="458"/>
      <c r="L1013" s="459"/>
      <c r="M1013" s="460"/>
      <c r="N1013" s="459"/>
      <c r="O1013" s="143"/>
      <c r="P1013" s="594"/>
      <c r="Q1013" s="594"/>
      <c r="R1013" s="467"/>
      <c r="AC1013" s="435"/>
      <c r="AD1013" s="435"/>
      <c r="AE1013" s="435"/>
      <c r="AF1013" s="435"/>
      <c r="AG1013" s="435"/>
      <c r="AH1013" s="435"/>
      <c r="AI1013" s="435"/>
      <c r="AJ1013" s="435"/>
      <c r="AK1013" s="435"/>
      <c r="AL1013" s="435"/>
      <c r="AM1013" s="435"/>
      <c r="AN1013" s="435"/>
      <c r="AO1013" s="435"/>
      <c r="AP1013" s="435"/>
      <c r="AQ1013" s="435"/>
      <c r="AR1013" s="435"/>
      <c r="AS1013" s="435"/>
      <c r="AT1013" s="435"/>
      <c r="AU1013" s="435"/>
      <c r="AV1013" s="435"/>
      <c r="AW1013" s="435"/>
      <c r="AX1013" s="435"/>
      <c r="AY1013" s="435"/>
      <c r="AZ1013" s="435"/>
      <c r="BA1013" s="435"/>
      <c r="BB1013" s="435"/>
      <c r="BC1013" s="435"/>
      <c r="BD1013" s="435"/>
      <c r="BE1013" s="435"/>
      <c r="BF1013" s="435"/>
      <c r="BG1013" s="435"/>
      <c r="BH1013" s="435"/>
      <c r="BI1013" s="435"/>
      <c r="BJ1013" s="435"/>
      <c r="BK1013" s="435"/>
      <c r="BL1013" s="435"/>
      <c r="BM1013" s="435"/>
      <c r="BN1013" s="435"/>
      <c r="BO1013" s="435"/>
      <c r="BP1013" s="435"/>
      <c r="BQ1013" s="435"/>
      <c r="BR1013" s="435"/>
      <c r="BS1013" s="435"/>
      <c r="BT1013" s="435"/>
      <c r="BU1013" s="435"/>
      <c r="BV1013" s="435"/>
      <c r="BW1013" s="435"/>
      <c r="BX1013" s="435"/>
      <c r="BY1013" s="435"/>
      <c r="BZ1013" s="435"/>
      <c r="CA1013" s="435"/>
    </row>
    <row r="1014" spans="1:79" s="438" customFormat="1" outlineLevel="1">
      <c r="A1014" s="569"/>
      <c r="B1014" s="587"/>
      <c r="C1014" s="589"/>
      <c r="D1014" s="565"/>
      <c r="E1014" s="565"/>
      <c r="F1014" s="565"/>
      <c r="G1014" s="592"/>
      <c r="H1014" s="565"/>
      <c r="I1014" s="565"/>
      <c r="J1014" s="565"/>
      <c r="K1014" s="466"/>
      <c r="L1014" s="459"/>
      <c r="M1014" s="460"/>
      <c r="N1014" s="459"/>
      <c r="O1014" s="143"/>
      <c r="P1014" s="565"/>
      <c r="Q1014" s="565"/>
      <c r="R1014" s="467"/>
      <c r="AC1014" s="435"/>
      <c r="AD1014" s="435"/>
      <c r="AE1014" s="435"/>
      <c r="AF1014" s="435"/>
      <c r="AG1014" s="435"/>
      <c r="AH1014" s="435"/>
      <c r="AI1014" s="435"/>
      <c r="AJ1014" s="435"/>
      <c r="AK1014" s="435"/>
      <c r="AL1014" s="435"/>
      <c r="AM1014" s="435"/>
      <c r="AN1014" s="435"/>
      <c r="AO1014" s="435"/>
      <c r="AP1014" s="435"/>
      <c r="AQ1014" s="435"/>
      <c r="AR1014" s="435"/>
      <c r="AS1014" s="435"/>
      <c r="AT1014" s="435"/>
      <c r="AU1014" s="435"/>
      <c r="AV1014" s="435"/>
      <c r="AW1014" s="435"/>
      <c r="AX1014" s="435"/>
      <c r="AY1014" s="435"/>
      <c r="AZ1014" s="435"/>
      <c r="BA1014" s="435"/>
      <c r="BB1014" s="435"/>
      <c r="BC1014" s="435"/>
      <c r="BD1014" s="435"/>
      <c r="BE1014" s="435"/>
      <c r="BF1014" s="435"/>
      <c r="BG1014" s="435"/>
      <c r="BH1014" s="435"/>
      <c r="BI1014" s="435"/>
      <c r="BJ1014" s="435"/>
      <c r="BK1014" s="435"/>
      <c r="BL1014" s="435"/>
      <c r="BM1014" s="435"/>
      <c r="BN1014" s="435"/>
      <c r="BO1014" s="435"/>
      <c r="BP1014" s="435"/>
      <c r="BQ1014" s="435"/>
      <c r="BR1014" s="435"/>
      <c r="BS1014" s="435"/>
      <c r="BT1014" s="435"/>
      <c r="BU1014" s="435"/>
      <c r="BV1014" s="435"/>
      <c r="BW1014" s="435"/>
      <c r="BX1014" s="435"/>
      <c r="BY1014" s="435"/>
      <c r="BZ1014" s="435"/>
      <c r="CA1014" s="435"/>
    </row>
    <row r="1015" spans="1:79" s="438" customFormat="1" outlineLevel="1">
      <c r="A1015" s="569"/>
      <c r="B1015" s="587"/>
      <c r="C1015" s="589"/>
      <c r="D1015" s="565"/>
      <c r="E1015" s="565"/>
      <c r="F1015" s="565"/>
      <c r="G1015" s="592"/>
      <c r="H1015" s="565"/>
      <c r="I1015" s="565"/>
      <c r="J1015" s="565"/>
      <c r="K1015" s="466"/>
      <c r="L1015" s="459"/>
      <c r="M1015" s="460"/>
      <c r="N1015" s="459"/>
      <c r="O1015" s="143"/>
      <c r="P1015" s="565"/>
      <c r="Q1015" s="565"/>
      <c r="R1015" s="467"/>
      <c r="AC1015" s="435"/>
      <c r="AD1015" s="435"/>
      <c r="AE1015" s="435"/>
      <c r="AF1015" s="435"/>
      <c r="AG1015" s="435"/>
      <c r="AH1015" s="435"/>
      <c r="AI1015" s="435"/>
      <c r="AJ1015" s="435"/>
      <c r="AK1015" s="435"/>
      <c r="AL1015" s="435"/>
      <c r="AM1015" s="435"/>
      <c r="AN1015" s="435"/>
      <c r="AO1015" s="435"/>
      <c r="AP1015" s="435"/>
      <c r="AQ1015" s="435"/>
      <c r="AR1015" s="435"/>
      <c r="AS1015" s="435"/>
      <c r="AT1015" s="435"/>
      <c r="AU1015" s="435"/>
      <c r="AV1015" s="435"/>
      <c r="AW1015" s="435"/>
      <c r="AX1015" s="435"/>
      <c r="AY1015" s="435"/>
      <c r="AZ1015" s="435"/>
      <c r="BA1015" s="435"/>
      <c r="BB1015" s="435"/>
      <c r="BC1015" s="435"/>
      <c r="BD1015" s="435"/>
      <c r="BE1015" s="435"/>
      <c r="BF1015" s="435"/>
      <c r="BG1015" s="435"/>
      <c r="BH1015" s="435"/>
      <c r="BI1015" s="435"/>
      <c r="BJ1015" s="435"/>
      <c r="BK1015" s="435"/>
      <c r="BL1015" s="435"/>
      <c r="BM1015" s="435"/>
      <c r="BN1015" s="435"/>
      <c r="BO1015" s="435"/>
      <c r="BP1015" s="435"/>
      <c r="BQ1015" s="435"/>
      <c r="BR1015" s="435"/>
      <c r="BS1015" s="435"/>
      <c r="BT1015" s="435"/>
      <c r="BU1015" s="435"/>
      <c r="BV1015" s="435"/>
      <c r="BW1015" s="435"/>
      <c r="BX1015" s="435"/>
      <c r="BY1015" s="435"/>
      <c r="BZ1015" s="435"/>
      <c r="CA1015" s="435"/>
    </row>
    <row r="1016" spans="1:79" s="438" customFormat="1" outlineLevel="1">
      <c r="A1016" s="569"/>
      <c r="B1016" s="587"/>
      <c r="C1016" s="589"/>
      <c r="D1016" s="565"/>
      <c r="E1016" s="565"/>
      <c r="F1016" s="565"/>
      <c r="G1016" s="592"/>
      <c r="H1016" s="565"/>
      <c r="I1016" s="565"/>
      <c r="J1016" s="565"/>
      <c r="K1016" s="466"/>
      <c r="L1016" s="459"/>
      <c r="M1016" s="460"/>
      <c r="N1016" s="459"/>
      <c r="O1016" s="261"/>
      <c r="P1016" s="565"/>
      <c r="Q1016" s="565"/>
      <c r="R1016" s="467"/>
      <c r="AC1016" s="435"/>
      <c r="AD1016" s="435"/>
      <c r="AE1016" s="435"/>
      <c r="AF1016" s="435"/>
      <c r="AG1016" s="435"/>
      <c r="AH1016" s="435"/>
      <c r="AI1016" s="435"/>
      <c r="AJ1016" s="435"/>
      <c r="AK1016" s="435"/>
      <c r="AL1016" s="435"/>
      <c r="AM1016" s="435"/>
      <c r="AN1016" s="435"/>
      <c r="AO1016" s="435"/>
      <c r="AP1016" s="435"/>
      <c r="AQ1016" s="435"/>
      <c r="AR1016" s="435"/>
      <c r="AS1016" s="435"/>
      <c r="AT1016" s="435"/>
      <c r="AU1016" s="435"/>
      <c r="AV1016" s="435"/>
      <c r="AW1016" s="435"/>
      <c r="AX1016" s="435"/>
      <c r="AY1016" s="435"/>
      <c r="AZ1016" s="435"/>
      <c r="BA1016" s="435"/>
      <c r="BB1016" s="435"/>
      <c r="BC1016" s="435"/>
      <c r="BD1016" s="435"/>
      <c r="BE1016" s="435"/>
      <c r="BF1016" s="435"/>
      <c r="BG1016" s="435"/>
      <c r="BH1016" s="435"/>
      <c r="BI1016" s="435"/>
      <c r="BJ1016" s="435"/>
      <c r="BK1016" s="435"/>
      <c r="BL1016" s="435"/>
      <c r="BM1016" s="435"/>
      <c r="BN1016" s="435"/>
      <c r="BO1016" s="435"/>
      <c r="BP1016" s="435"/>
      <c r="BQ1016" s="435"/>
      <c r="BR1016" s="435"/>
      <c r="BS1016" s="435"/>
      <c r="BT1016" s="435"/>
      <c r="BU1016" s="435"/>
      <c r="BV1016" s="435"/>
      <c r="BW1016" s="435"/>
      <c r="BX1016" s="435"/>
      <c r="BY1016" s="435"/>
      <c r="BZ1016" s="435"/>
      <c r="CA1016" s="435"/>
    </row>
    <row r="1017" spans="1:79" s="438" customFormat="1" outlineLevel="1">
      <c r="A1017" s="569"/>
      <c r="B1017" s="587"/>
      <c r="C1017" s="589"/>
      <c r="D1017" s="565"/>
      <c r="E1017" s="565"/>
      <c r="F1017" s="565"/>
      <c r="G1017" s="592"/>
      <c r="H1017" s="565"/>
      <c r="I1017" s="565"/>
      <c r="J1017" s="565"/>
      <c r="K1017" s="466"/>
      <c r="L1017" s="459"/>
      <c r="M1017" s="460"/>
      <c r="N1017" s="459"/>
      <c r="O1017" s="261"/>
      <c r="P1017" s="565"/>
      <c r="Q1017" s="565"/>
      <c r="R1017" s="467"/>
      <c r="AC1017" s="435"/>
      <c r="AD1017" s="435"/>
      <c r="AE1017" s="435"/>
      <c r="AF1017" s="435"/>
      <c r="AG1017" s="435"/>
      <c r="AH1017" s="435"/>
      <c r="AI1017" s="435"/>
      <c r="AJ1017" s="435"/>
      <c r="AK1017" s="435"/>
      <c r="AL1017" s="435"/>
      <c r="AM1017" s="435"/>
      <c r="AN1017" s="435"/>
      <c r="AO1017" s="435"/>
      <c r="AP1017" s="435"/>
      <c r="AQ1017" s="435"/>
      <c r="AR1017" s="435"/>
      <c r="AS1017" s="435"/>
      <c r="AT1017" s="435"/>
      <c r="AU1017" s="435"/>
      <c r="AV1017" s="435"/>
      <c r="AW1017" s="435"/>
      <c r="AX1017" s="435"/>
      <c r="AY1017" s="435"/>
      <c r="AZ1017" s="435"/>
      <c r="BA1017" s="435"/>
      <c r="BB1017" s="435"/>
      <c r="BC1017" s="435"/>
      <c r="BD1017" s="435"/>
      <c r="BE1017" s="435"/>
      <c r="BF1017" s="435"/>
      <c r="BG1017" s="435"/>
      <c r="BH1017" s="435"/>
      <c r="BI1017" s="435"/>
      <c r="BJ1017" s="435"/>
      <c r="BK1017" s="435"/>
      <c r="BL1017" s="435"/>
      <c r="BM1017" s="435"/>
      <c r="BN1017" s="435"/>
      <c r="BO1017" s="435"/>
      <c r="BP1017" s="435"/>
      <c r="BQ1017" s="435"/>
      <c r="BR1017" s="435"/>
      <c r="BS1017" s="435"/>
      <c r="BT1017" s="435"/>
      <c r="BU1017" s="435"/>
      <c r="BV1017" s="435"/>
      <c r="BW1017" s="435"/>
      <c r="BX1017" s="435"/>
      <c r="BY1017" s="435"/>
      <c r="BZ1017" s="435"/>
      <c r="CA1017" s="435"/>
    </row>
    <row r="1018" spans="1:79" s="438" customFormat="1" outlineLevel="1">
      <c r="A1018" s="569"/>
      <c r="B1018" s="587"/>
      <c r="C1018" s="589"/>
      <c r="D1018" s="565"/>
      <c r="E1018" s="565"/>
      <c r="F1018" s="565"/>
      <c r="G1018" s="592"/>
      <c r="H1018" s="565"/>
      <c r="I1018" s="565"/>
      <c r="J1018" s="565"/>
      <c r="K1018" s="466"/>
      <c r="L1018" s="459"/>
      <c r="M1018" s="460"/>
      <c r="N1018" s="459"/>
      <c r="O1018" s="261"/>
      <c r="P1018" s="565"/>
      <c r="Q1018" s="565"/>
      <c r="R1018" s="467"/>
      <c r="AC1018" s="435"/>
      <c r="AD1018" s="435"/>
      <c r="AE1018" s="435"/>
      <c r="AF1018" s="435"/>
      <c r="AG1018" s="435"/>
      <c r="AH1018" s="435"/>
      <c r="AI1018" s="435"/>
      <c r="AJ1018" s="435"/>
      <c r="AK1018" s="435"/>
      <c r="AL1018" s="435"/>
      <c r="AM1018" s="435"/>
      <c r="AN1018" s="435"/>
      <c r="AO1018" s="435"/>
      <c r="AP1018" s="435"/>
      <c r="AQ1018" s="435"/>
      <c r="AR1018" s="435"/>
      <c r="AS1018" s="435"/>
      <c r="AT1018" s="435"/>
      <c r="AU1018" s="435"/>
      <c r="AV1018" s="435"/>
      <c r="AW1018" s="435"/>
      <c r="AX1018" s="435"/>
      <c r="AY1018" s="435"/>
      <c r="AZ1018" s="435"/>
      <c r="BA1018" s="435"/>
      <c r="BB1018" s="435"/>
      <c r="BC1018" s="435"/>
      <c r="BD1018" s="435"/>
      <c r="BE1018" s="435"/>
      <c r="BF1018" s="435"/>
      <c r="BG1018" s="435"/>
      <c r="BH1018" s="435"/>
      <c r="BI1018" s="435"/>
      <c r="BJ1018" s="435"/>
      <c r="BK1018" s="435"/>
      <c r="BL1018" s="435"/>
      <c r="BM1018" s="435"/>
      <c r="BN1018" s="435"/>
      <c r="BO1018" s="435"/>
      <c r="BP1018" s="435"/>
      <c r="BQ1018" s="435"/>
      <c r="BR1018" s="435"/>
      <c r="BS1018" s="435"/>
      <c r="BT1018" s="435"/>
      <c r="BU1018" s="435"/>
      <c r="BV1018" s="435"/>
      <c r="BW1018" s="435"/>
      <c r="BX1018" s="435"/>
      <c r="BY1018" s="435"/>
      <c r="BZ1018" s="435"/>
      <c r="CA1018" s="435"/>
    </row>
    <row r="1019" spans="1:79" s="438" customFormat="1" outlineLevel="1">
      <c r="A1019" s="569"/>
      <c r="B1019" s="587"/>
      <c r="C1019" s="589"/>
      <c r="D1019" s="565"/>
      <c r="E1019" s="565"/>
      <c r="F1019" s="565"/>
      <c r="G1019" s="592"/>
      <c r="H1019" s="565"/>
      <c r="I1019" s="565"/>
      <c r="J1019" s="565"/>
      <c r="K1019" s="466"/>
      <c r="L1019" s="459"/>
      <c r="M1019" s="460"/>
      <c r="N1019" s="459"/>
      <c r="O1019" s="261"/>
      <c r="P1019" s="565"/>
      <c r="Q1019" s="565"/>
      <c r="R1019" s="467"/>
      <c r="AC1019" s="435"/>
      <c r="AD1019" s="435"/>
      <c r="AE1019" s="435"/>
      <c r="AF1019" s="435"/>
      <c r="AG1019" s="435"/>
      <c r="AH1019" s="435"/>
      <c r="AI1019" s="435"/>
      <c r="AJ1019" s="435"/>
      <c r="AK1019" s="435"/>
      <c r="AL1019" s="435"/>
      <c r="AM1019" s="435"/>
      <c r="AN1019" s="435"/>
      <c r="AO1019" s="435"/>
      <c r="AP1019" s="435"/>
      <c r="AQ1019" s="435"/>
      <c r="AR1019" s="435"/>
      <c r="AS1019" s="435"/>
      <c r="AT1019" s="435"/>
      <c r="AU1019" s="435"/>
      <c r="AV1019" s="435"/>
      <c r="AW1019" s="435"/>
      <c r="AX1019" s="435"/>
      <c r="AY1019" s="435"/>
      <c r="AZ1019" s="435"/>
      <c r="BA1019" s="435"/>
      <c r="BB1019" s="435"/>
      <c r="BC1019" s="435"/>
      <c r="BD1019" s="435"/>
      <c r="BE1019" s="435"/>
      <c r="BF1019" s="435"/>
      <c r="BG1019" s="435"/>
      <c r="BH1019" s="435"/>
      <c r="BI1019" s="435"/>
      <c r="BJ1019" s="435"/>
      <c r="BK1019" s="435"/>
      <c r="BL1019" s="435"/>
      <c r="BM1019" s="435"/>
      <c r="BN1019" s="435"/>
      <c r="BO1019" s="435"/>
      <c r="BP1019" s="435"/>
      <c r="BQ1019" s="435"/>
      <c r="BR1019" s="435"/>
      <c r="BS1019" s="435"/>
      <c r="BT1019" s="435"/>
      <c r="BU1019" s="435"/>
      <c r="BV1019" s="435"/>
      <c r="BW1019" s="435"/>
      <c r="BX1019" s="435"/>
      <c r="BY1019" s="435"/>
      <c r="BZ1019" s="435"/>
      <c r="CA1019" s="435"/>
    </row>
    <row r="1020" spans="1:79" s="438" customFormat="1" outlineLevel="1">
      <c r="A1020" s="569"/>
      <c r="B1020" s="587"/>
      <c r="C1020" s="589"/>
      <c r="D1020" s="565"/>
      <c r="E1020" s="565"/>
      <c r="F1020" s="565"/>
      <c r="G1020" s="592"/>
      <c r="H1020" s="565"/>
      <c r="I1020" s="565"/>
      <c r="J1020" s="565"/>
      <c r="K1020" s="466"/>
      <c r="L1020" s="459"/>
      <c r="M1020" s="460"/>
      <c r="N1020" s="459"/>
      <c r="O1020" s="261"/>
      <c r="P1020" s="565"/>
      <c r="Q1020" s="565"/>
      <c r="R1020" s="467"/>
      <c r="AC1020" s="435"/>
      <c r="AD1020" s="435"/>
      <c r="AE1020" s="435"/>
      <c r="AF1020" s="435"/>
      <c r="AG1020" s="435"/>
      <c r="AH1020" s="435"/>
      <c r="AI1020" s="435"/>
      <c r="AJ1020" s="435"/>
      <c r="AK1020" s="435"/>
      <c r="AL1020" s="435"/>
      <c r="AM1020" s="435"/>
      <c r="AN1020" s="435"/>
      <c r="AO1020" s="435"/>
      <c r="AP1020" s="435"/>
      <c r="AQ1020" s="435"/>
      <c r="AR1020" s="435"/>
      <c r="AS1020" s="435"/>
      <c r="AT1020" s="435"/>
      <c r="AU1020" s="435"/>
      <c r="AV1020" s="435"/>
      <c r="AW1020" s="435"/>
      <c r="AX1020" s="435"/>
      <c r="AY1020" s="435"/>
      <c r="AZ1020" s="435"/>
      <c r="BA1020" s="435"/>
      <c r="BB1020" s="435"/>
      <c r="BC1020" s="435"/>
      <c r="BD1020" s="435"/>
      <c r="BE1020" s="435"/>
      <c r="BF1020" s="435"/>
      <c r="BG1020" s="435"/>
      <c r="BH1020" s="435"/>
      <c r="BI1020" s="435"/>
      <c r="BJ1020" s="435"/>
      <c r="BK1020" s="435"/>
      <c r="BL1020" s="435"/>
      <c r="BM1020" s="435"/>
      <c r="BN1020" s="435"/>
      <c r="BO1020" s="435"/>
      <c r="BP1020" s="435"/>
      <c r="BQ1020" s="435"/>
      <c r="BR1020" s="435"/>
      <c r="BS1020" s="435"/>
      <c r="BT1020" s="435"/>
      <c r="BU1020" s="435"/>
      <c r="BV1020" s="435"/>
      <c r="BW1020" s="435"/>
      <c r="BX1020" s="435"/>
      <c r="BY1020" s="435"/>
      <c r="BZ1020" s="435"/>
      <c r="CA1020" s="435"/>
    </row>
    <row r="1021" spans="1:79" s="438" customFormat="1" outlineLevel="1">
      <c r="A1021" s="569"/>
      <c r="B1021" s="587"/>
      <c r="C1021" s="589"/>
      <c r="D1021" s="565"/>
      <c r="E1021" s="565"/>
      <c r="F1021" s="565"/>
      <c r="G1021" s="592"/>
      <c r="H1021" s="565"/>
      <c r="I1021" s="565"/>
      <c r="J1021" s="565"/>
      <c r="K1021" s="466"/>
      <c r="L1021" s="459"/>
      <c r="M1021" s="460"/>
      <c r="N1021" s="459"/>
      <c r="O1021" s="261"/>
      <c r="P1021" s="565"/>
      <c r="Q1021" s="565"/>
      <c r="R1021" s="467"/>
      <c r="AC1021" s="435"/>
      <c r="AD1021" s="435"/>
      <c r="AE1021" s="435"/>
      <c r="AF1021" s="435"/>
      <c r="AG1021" s="435"/>
      <c r="AH1021" s="435"/>
      <c r="AI1021" s="435"/>
      <c r="AJ1021" s="435"/>
      <c r="AK1021" s="435"/>
      <c r="AL1021" s="435"/>
      <c r="AM1021" s="435"/>
      <c r="AN1021" s="435"/>
      <c r="AO1021" s="435"/>
      <c r="AP1021" s="435"/>
      <c r="AQ1021" s="435"/>
      <c r="AR1021" s="435"/>
      <c r="AS1021" s="435"/>
      <c r="AT1021" s="435"/>
      <c r="AU1021" s="435"/>
      <c r="AV1021" s="435"/>
      <c r="AW1021" s="435"/>
      <c r="AX1021" s="435"/>
      <c r="AY1021" s="435"/>
      <c r="AZ1021" s="435"/>
      <c r="BA1021" s="435"/>
      <c r="BB1021" s="435"/>
      <c r="BC1021" s="435"/>
      <c r="BD1021" s="435"/>
      <c r="BE1021" s="435"/>
      <c r="BF1021" s="435"/>
      <c r="BG1021" s="435"/>
      <c r="BH1021" s="435"/>
      <c r="BI1021" s="435"/>
      <c r="BJ1021" s="435"/>
      <c r="BK1021" s="435"/>
      <c r="BL1021" s="435"/>
      <c r="BM1021" s="435"/>
      <c r="BN1021" s="435"/>
      <c r="BO1021" s="435"/>
      <c r="BP1021" s="435"/>
      <c r="BQ1021" s="435"/>
      <c r="BR1021" s="435"/>
      <c r="BS1021" s="435"/>
      <c r="BT1021" s="435"/>
      <c r="BU1021" s="435"/>
      <c r="BV1021" s="435"/>
      <c r="BW1021" s="435"/>
      <c r="BX1021" s="435"/>
      <c r="BY1021" s="435"/>
      <c r="BZ1021" s="435"/>
      <c r="CA1021" s="435"/>
    </row>
    <row r="1022" spans="1:79" s="438" customFormat="1" outlineLevel="1">
      <c r="A1022" s="569"/>
      <c r="B1022" s="587"/>
      <c r="C1022" s="589"/>
      <c r="D1022" s="565"/>
      <c r="E1022" s="565"/>
      <c r="F1022" s="565"/>
      <c r="G1022" s="592"/>
      <c r="H1022" s="565"/>
      <c r="I1022" s="565"/>
      <c r="J1022" s="565"/>
      <c r="K1022" s="466"/>
      <c r="L1022" s="459"/>
      <c r="M1022" s="460"/>
      <c r="N1022" s="459"/>
      <c r="O1022" s="261"/>
      <c r="P1022" s="565"/>
      <c r="Q1022" s="565"/>
      <c r="R1022" s="467"/>
      <c r="AC1022" s="435"/>
      <c r="AD1022" s="435"/>
      <c r="AE1022" s="435"/>
      <c r="AF1022" s="435"/>
      <c r="AG1022" s="435"/>
      <c r="AH1022" s="435"/>
      <c r="AI1022" s="435"/>
      <c r="AJ1022" s="435"/>
      <c r="AK1022" s="435"/>
      <c r="AL1022" s="435"/>
      <c r="AM1022" s="435"/>
      <c r="AN1022" s="435"/>
      <c r="AO1022" s="435"/>
      <c r="AP1022" s="435"/>
      <c r="AQ1022" s="435"/>
      <c r="AR1022" s="435"/>
      <c r="AS1022" s="435"/>
      <c r="AT1022" s="435"/>
      <c r="AU1022" s="435"/>
      <c r="AV1022" s="435"/>
      <c r="AW1022" s="435"/>
      <c r="AX1022" s="435"/>
      <c r="AY1022" s="435"/>
      <c r="AZ1022" s="435"/>
      <c r="BA1022" s="435"/>
      <c r="BB1022" s="435"/>
      <c r="BC1022" s="435"/>
      <c r="BD1022" s="435"/>
      <c r="BE1022" s="435"/>
      <c r="BF1022" s="435"/>
      <c r="BG1022" s="435"/>
      <c r="BH1022" s="435"/>
      <c r="BI1022" s="435"/>
      <c r="BJ1022" s="435"/>
      <c r="BK1022" s="435"/>
      <c r="BL1022" s="435"/>
      <c r="BM1022" s="435"/>
      <c r="BN1022" s="435"/>
      <c r="BO1022" s="435"/>
      <c r="BP1022" s="435"/>
      <c r="BQ1022" s="435"/>
      <c r="BR1022" s="435"/>
      <c r="BS1022" s="435"/>
      <c r="BT1022" s="435"/>
      <c r="BU1022" s="435"/>
      <c r="BV1022" s="435"/>
      <c r="BW1022" s="435"/>
      <c r="BX1022" s="435"/>
      <c r="BY1022" s="435"/>
      <c r="BZ1022" s="435"/>
      <c r="CA1022" s="435"/>
    </row>
    <row r="1023" spans="1:79" s="438" customFormat="1" outlineLevel="1">
      <c r="A1023" s="569"/>
      <c r="B1023" s="587"/>
      <c r="C1023" s="589"/>
      <c r="D1023" s="565"/>
      <c r="E1023" s="565"/>
      <c r="F1023" s="565"/>
      <c r="G1023" s="592"/>
      <c r="H1023" s="565"/>
      <c r="I1023" s="565"/>
      <c r="J1023" s="565"/>
      <c r="K1023" s="466"/>
      <c r="L1023" s="459"/>
      <c r="M1023" s="460"/>
      <c r="N1023" s="459"/>
      <c r="O1023" s="261"/>
      <c r="P1023" s="565"/>
      <c r="Q1023" s="565"/>
      <c r="R1023" s="467"/>
      <c r="AC1023" s="435"/>
      <c r="AD1023" s="435"/>
      <c r="AE1023" s="435"/>
      <c r="AF1023" s="435"/>
      <c r="AG1023" s="435"/>
      <c r="AH1023" s="435"/>
      <c r="AI1023" s="435"/>
      <c r="AJ1023" s="435"/>
      <c r="AK1023" s="435"/>
      <c r="AL1023" s="435"/>
      <c r="AM1023" s="435"/>
      <c r="AN1023" s="435"/>
      <c r="AO1023" s="435"/>
      <c r="AP1023" s="435"/>
      <c r="AQ1023" s="435"/>
      <c r="AR1023" s="435"/>
      <c r="AS1023" s="435"/>
      <c r="AT1023" s="435"/>
      <c r="AU1023" s="435"/>
      <c r="AV1023" s="435"/>
      <c r="AW1023" s="435"/>
      <c r="AX1023" s="435"/>
      <c r="AY1023" s="435"/>
      <c r="AZ1023" s="435"/>
      <c r="BA1023" s="435"/>
      <c r="BB1023" s="435"/>
      <c r="BC1023" s="435"/>
      <c r="BD1023" s="435"/>
      <c r="BE1023" s="435"/>
      <c r="BF1023" s="435"/>
      <c r="BG1023" s="435"/>
      <c r="BH1023" s="435"/>
      <c r="BI1023" s="435"/>
      <c r="BJ1023" s="435"/>
      <c r="BK1023" s="435"/>
      <c r="BL1023" s="435"/>
      <c r="BM1023" s="435"/>
      <c r="BN1023" s="435"/>
      <c r="BO1023" s="435"/>
      <c r="BP1023" s="435"/>
      <c r="BQ1023" s="435"/>
      <c r="BR1023" s="435"/>
      <c r="BS1023" s="435"/>
      <c r="BT1023" s="435"/>
      <c r="BU1023" s="435"/>
      <c r="BV1023" s="435"/>
      <c r="BW1023" s="435"/>
      <c r="BX1023" s="435"/>
      <c r="BY1023" s="435"/>
      <c r="BZ1023" s="435"/>
      <c r="CA1023" s="435"/>
    </row>
    <row r="1024" spans="1:79" s="438" customFormat="1" outlineLevel="1">
      <c r="A1024" s="569"/>
      <c r="B1024" s="587"/>
      <c r="C1024" s="589"/>
      <c r="D1024" s="565"/>
      <c r="E1024" s="565"/>
      <c r="F1024" s="565"/>
      <c r="G1024" s="592"/>
      <c r="H1024" s="565"/>
      <c r="I1024" s="565"/>
      <c r="J1024" s="565"/>
      <c r="K1024" s="466"/>
      <c r="L1024" s="459"/>
      <c r="M1024" s="460"/>
      <c r="N1024" s="459"/>
      <c r="O1024" s="261"/>
      <c r="P1024" s="565"/>
      <c r="Q1024" s="565"/>
      <c r="R1024" s="467"/>
      <c r="AC1024" s="435"/>
      <c r="AD1024" s="435"/>
      <c r="AE1024" s="435"/>
      <c r="AF1024" s="435"/>
      <c r="AG1024" s="435"/>
      <c r="AH1024" s="435"/>
      <c r="AI1024" s="435"/>
      <c r="AJ1024" s="435"/>
      <c r="AK1024" s="435"/>
      <c r="AL1024" s="435"/>
      <c r="AM1024" s="435"/>
      <c r="AN1024" s="435"/>
      <c r="AO1024" s="435"/>
      <c r="AP1024" s="435"/>
      <c r="AQ1024" s="435"/>
      <c r="AR1024" s="435"/>
      <c r="AS1024" s="435"/>
      <c r="AT1024" s="435"/>
      <c r="AU1024" s="435"/>
      <c r="AV1024" s="435"/>
      <c r="AW1024" s="435"/>
      <c r="AX1024" s="435"/>
      <c r="AY1024" s="435"/>
      <c r="AZ1024" s="435"/>
      <c r="BA1024" s="435"/>
      <c r="BB1024" s="435"/>
      <c r="BC1024" s="435"/>
      <c r="BD1024" s="435"/>
      <c r="BE1024" s="435"/>
      <c r="BF1024" s="435"/>
      <c r="BG1024" s="435"/>
      <c r="BH1024" s="435"/>
      <c r="BI1024" s="435"/>
      <c r="BJ1024" s="435"/>
      <c r="BK1024" s="435"/>
      <c r="BL1024" s="435"/>
      <c r="BM1024" s="435"/>
      <c r="BN1024" s="435"/>
      <c r="BO1024" s="435"/>
      <c r="BP1024" s="435"/>
      <c r="BQ1024" s="435"/>
      <c r="BR1024" s="435"/>
      <c r="BS1024" s="435"/>
      <c r="BT1024" s="435"/>
      <c r="BU1024" s="435"/>
      <c r="BV1024" s="435"/>
      <c r="BW1024" s="435"/>
      <c r="BX1024" s="435"/>
      <c r="BY1024" s="435"/>
      <c r="BZ1024" s="435"/>
      <c r="CA1024" s="435"/>
    </row>
    <row r="1025" spans="1:79" s="438" customFormat="1" outlineLevel="1">
      <c r="A1025" s="569"/>
      <c r="B1025" s="587"/>
      <c r="C1025" s="589"/>
      <c r="D1025" s="565"/>
      <c r="E1025" s="565"/>
      <c r="F1025" s="565"/>
      <c r="G1025" s="592"/>
      <c r="H1025" s="565"/>
      <c r="I1025" s="565"/>
      <c r="J1025" s="565"/>
      <c r="K1025" s="466"/>
      <c r="L1025" s="459"/>
      <c r="M1025" s="460"/>
      <c r="N1025" s="459"/>
      <c r="O1025" s="261"/>
      <c r="P1025" s="565"/>
      <c r="Q1025" s="565"/>
      <c r="R1025" s="467"/>
      <c r="AC1025" s="435"/>
      <c r="AD1025" s="435"/>
      <c r="AE1025" s="435"/>
      <c r="AF1025" s="435"/>
      <c r="AG1025" s="435"/>
      <c r="AH1025" s="435"/>
      <c r="AI1025" s="435"/>
      <c r="AJ1025" s="435"/>
      <c r="AK1025" s="435"/>
      <c r="AL1025" s="435"/>
      <c r="AM1025" s="435"/>
      <c r="AN1025" s="435"/>
      <c r="AO1025" s="435"/>
      <c r="AP1025" s="435"/>
      <c r="AQ1025" s="435"/>
      <c r="AR1025" s="435"/>
      <c r="AS1025" s="435"/>
      <c r="AT1025" s="435"/>
      <c r="AU1025" s="435"/>
      <c r="AV1025" s="435"/>
      <c r="AW1025" s="435"/>
      <c r="AX1025" s="435"/>
      <c r="AY1025" s="435"/>
      <c r="AZ1025" s="435"/>
      <c r="BA1025" s="435"/>
      <c r="BB1025" s="435"/>
      <c r="BC1025" s="435"/>
      <c r="BD1025" s="435"/>
      <c r="BE1025" s="435"/>
      <c r="BF1025" s="435"/>
      <c r="BG1025" s="435"/>
      <c r="BH1025" s="435"/>
      <c r="BI1025" s="435"/>
      <c r="BJ1025" s="435"/>
      <c r="BK1025" s="435"/>
      <c r="BL1025" s="435"/>
      <c r="BM1025" s="435"/>
      <c r="BN1025" s="435"/>
      <c r="BO1025" s="435"/>
      <c r="BP1025" s="435"/>
      <c r="BQ1025" s="435"/>
      <c r="BR1025" s="435"/>
      <c r="BS1025" s="435"/>
      <c r="BT1025" s="435"/>
      <c r="BU1025" s="435"/>
      <c r="BV1025" s="435"/>
      <c r="BW1025" s="435"/>
      <c r="BX1025" s="435"/>
      <c r="BY1025" s="435"/>
      <c r="BZ1025" s="435"/>
      <c r="CA1025" s="435"/>
    </row>
    <row r="1026" spans="1:79" s="438" customFormat="1" outlineLevel="1">
      <c r="A1026" s="569"/>
      <c r="B1026" s="587"/>
      <c r="C1026" s="589"/>
      <c r="D1026" s="565"/>
      <c r="E1026" s="565"/>
      <c r="F1026" s="565"/>
      <c r="G1026" s="592"/>
      <c r="H1026" s="565"/>
      <c r="I1026" s="565"/>
      <c r="J1026" s="565"/>
      <c r="K1026" s="466"/>
      <c r="L1026" s="459"/>
      <c r="M1026" s="460"/>
      <c r="N1026" s="459"/>
      <c r="O1026" s="261"/>
      <c r="P1026" s="565"/>
      <c r="Q1026" s="565"/>
      <c r="R1026" s="467"/>
      <c r="AC1026" s="435"/>
      <c r="AD1026" s="435"/>
      <c r="AE1026" s="435"/>
      <c r="AF1026" s="435"/>
      <c r="AG1026" s="435"/>
      <c r="AH1026" s="435"/>
      <c r="AI1026" s="435"/>
      <c r="AJ1026" s="435"/>
      <c r="AK1026" s="435"/>
      <c r="AL1026" s="435"/>
      <c r="AM1026" s="435"/>
      <c r="AN1026" s="435"/>
      <c r="AO1026" s="435"/>
      <c r="AP1026" s="435"/>
      <c r="AQ1026" s="435"/>
      <c r="AR1026" s="435"/>
      <c r="AS1026" s="435"/>
      <c r="AT1026" s="435"/>
      <c r="AU1026" s="435"/>
      <c r="AV1026" s="435"/>
      <c r="AW1026" s="435"/>
      <c r="AX1026" s="435"/>
      <c r="AY1026" s="435"/>
      <c r="AZ1026" s="435"/>
      <c r="BA1026" s="435"/>
      <c r="BB1026" s="435"/>
      <c r="BC1026" s="435"/>
      <c r="BD1026" s="435"/>
      <c r="BE1026" s="435"/>
      <c r="BF1026" s="435"/>
      <c r="BG1026" s="435"/>
      <c r="BH1026" s="435"/>
      <c r="BI1026" s="435"/>
      <c r="BJ1026" s="435"/>
      <c r="BK1026" s="435"/>
      <c r="BL1026" s="435"/>
      <c r="BM1026" s="435"/>
      <c r="BN1026" s="435"/>
      <c r="BO1026" s="435"/>
      <c r="BP1026" s="435"/>
      <c r="BQ1026" s="435"/>
      <c r="BR1026" s="435"/>
      <c r="BS1026" s="435"/>
      <c r="BT1026" s="435"/>
      <c r="BU1026" s="435"/>
      <c r="BV1026" s="435"/>
      <c r="BW1026" s="435"/>
      <c r="BX1026" s="435"/>
      <c r="BY1026" s="435"/>
      <c r="BZ1026" s="435"/>
      <c r="CA1026" s="435"/>
    </row>
    <row r="1027" spans="1:79" s="438" customFormat="1" outlineLevel="1">
      <c r="A1027" s="569"/>
      <c r="B1027" s="587"/>
      <c r="C1027" s="589"/>
      <c r="D1027" s="565"/>
      <c r="E1027" s="565"/>
      <c r="F1027" s="565"/>
      <c r="G1027" s="592"/>
      <c r="H1027" s="565"/>
      <c r="I1027" s="565"/>
      <c r="J1027" s="565"/>
      <c r="K1027" s="466"/>
      <c r="L1027" s="459"/>
      <c r="M1027" s="460"/>
      <c r="N1027" s="459"/>
      <c r="O1027" s="261"/>
      <c r="P1027" s="565"/>
      <c r="Q1027" s="565"/>
      <c r="R1027" s="467"/>
      <c r="AC1027" s="435"/>
      <c r="AD1027" s="435"/>
      <c r="AE1027" s="435"/>
      <c r="AF1027" s="435"/>
      <c r="AG1027" s="435"/>
      <c r="AH1027" s="435"/>
      <c r="AI1027" s="435"/>
      <c r="AJ1027" s="435"/>
      <c r="AK1027" s="435"/>
      <c r="AL1027" s="435"/>
      <c r="AM1027" s="435"/>
      <c r="AN1027" s="435"/>
      <c r="AO1027" s="435"/>
      <c r="AP1027" s="435"/>
      <c r="AQ1027" s="435"/>
      <c r="AR1027" s="435"/>
      <c r="AS1027" s="435"/>
      <c r="AT1027" s="435"/>
      <c r="AU1027" s="435"/>
      <c r="AV1027" s="435"/>
      <c r="AW1027" s="435"/>
      <c r="AX1027" s="435"/>
      <c r="AY1027" s="435"/>
      <c r="AZ1027" s="435"/>
      <c r="BA1027" s="435"/>
      <c r="BB1027" s="435"/>
      <c r="BC1027" s="435"/>
      <c r="BD1027" s="435"/>
      <c r="BE1027" s="435"/>
      <c r="BF1027" s="435"/>
      <c r="BG1027" s="435"/>
      <c r="BH1027" s="435"/>
      <c r="BI1027" s="435"/>
      <c r="BJ1027" s="435"/>
      <c r="BK1027" s="435"/>
      <c r="BL1027" s="435"/>
      <c r="BM1027" s="435"/>
      <c r="BN1027" s="435"/>
      <c r="BO1027" s="435"/>
      <c r="BP1027" s="435"/>
      <c r="BQ1027" s="435"/>
      <c r="BR1027" s="435"/>
      <c r="BS1027" s="435"/>
      <c r="BT1027" s="435"/>
      <c r="BU1027" s="435"/>
      <c r="BV1027" s="435"/>
      <c r="BW1027" s="435"/>
      <c r="BX1027" s="435"/>
      <c r="BY1027" s="435"/>
      <c r="BZ1027" s="435"/>
      <c r="CA1027" s="435"/>
    </row>
    <row r="1028" spans="1:79" s="438" customFormat="1" ht="13.5" outlineLevel="1" thickBot="1">
      <c r="A1028" s="570"/>
      <c r="B1028" s="588"/>
      <c r="C1028" s="590"/>
      <c r="D1028" s="566"/>
      <c r="E1028" s="566"/>
      <c r="F1028" s="566"/>
      <c r="G1028" s="593"/>
      <c r="H1028" s="566"/>
      <c r="I1028" s="566"/>
      <c r="J1028" s="566"/>
      <c r="K1028" s="466"/>
      <c r="L1028" s="459"/>
      <c r="M1028" s="460"/>
      <c r="N1028" s="459"/>
      <c r="O1028" s="261"/>
      <c r="P1028" s="566"/>
      <c r="Q1028" s="566"/>
      <c r="R1028" s="467"/>
      <c r="AC1028" s="435"/>
      <c r="AD1028" s="435"/>
      <c r="AE1028" s="435"/>
      <c r="AF1028" s="435"/>
      <c r="AG1028" s="435"/>
      <c r="AH1028" s="435"/>
      <c r="AI1028" s="435"/>
      <c r="AJ1028" s="435"/>
      <c r="AK1028" s="435"/>
      <c r="AL1028" s="435"/>
      <c r="AM1028" s="435"/>
      <c r="AN1028" s="435"/>
      <c r="AO1028" s="435"/>
      <c r="AP1028" s="435"/>
      <c r="AQ1028" s="435"/>
      <c r="AR1028" s="435"/>
      <c r="AS1028" s="435"/>
      <c r="AT1028" s="435"/>
      <c r="AU1028" s="435"/>
      <c r="AV1028" s="435"/>
      <c r="AW1028" s="435"/>
      <c r="AX1028" s="435"/>
      <c r="AY1028" s="435"/>
      <c r="AZ1028" s="435"/>
      <c r="BA1028" s="435"/>
      <c r="BB1028" s="435"/>
      <c r="BC1028" s="435"/>
      <c r="BD1028" s="435"/>
      <c r="BE1028" s="435"/>
      <c r="BF1028" s="435"/>
      <c r="BG1028" s="435"/>
      <c r="BH1028" s="435"/>
      <c r="BI1028" s="435"/>
      <c r="BJ1028" s="435"/>
      <c r="BK1028" s="435"/>
      <c r="BL1028" s="435"/>
      <c r="BM1028" s="435"/>
      <c r="BN1028" s="435"/>
      <c r="BO1028" s="435"/>
      <c r="BP1028" s="435"/>
      <c r="BQ1028" s="435"/>
      <c r="BR1028" s="435"/>
      <c r="BS1028" s="435"/>
      <c r="BT1028" s="435"/>
      <c r="BU1028" s="435"/>
      <c r="BV1028" s="435"/>
      <c r="BW1028" s="435"/>
      <c r="BX1028" s="435"/>
      <c r="BY1028" s="435"/>
      <c r="BZ1028" s="435"/>
      <c r="CA1028" s="435"/>
    </row>
    <row r="1029" spans="1:79" s="438" customFormat="1" outlineLevel="1">
      <c r="A1029" s="568"/>
      <c r="B1029" s="587"/>
      <c r="C1029" s="595"/>
      <c r="D1029" s="565"/>
      <c r="E1029" s="591"/>
      <c r="F1029" s="565"/>
      <c r="G1029" s="597"/>
      <c r="H1029" s="594"/>
      <c r="I1029" s="594"/>
      <c r="J1029" s="594"/>
      <c r="K1029" s="458"/>
      <c r="L1029" s="459"/>
      <c r="M1029" s="460"/>
      <c r="N1029" s="459"/>
      <c r="O1029" s="261"/>
      <c r="P1029" s="594"/>
      <c r="Q1029" s="594"/>
      <c r="R1029" s="467"/>
    </row>
    <row r="1030" spans="1:79" s="438" customFormat="1" outlineLevel="1">
      <c r="A1030" s="569"/>
      <c r="B1030" s="587"/>
      <c r="C1030" s="589"/>
      <c r="D1030" s="565"/>
      <c r="E1030" s="565"/>
      <c r="F1030" s="565"/>
      <c r="G1030" s="592"/>
      <c r="H1030" s="565"/>
      <c r="I1030" s="565"/>
      <c r="J1030" s="565"/>
      <c r="K1030" s="466"/>
      <c r="L1030" s="459"/>
      <c r="M1030" s="460"/>
      <c r="N1030" s="459"/>
      <c r="O1030" s="261"/>
      <c r="P1030" s="565"/>
      <c r="Q1030" s="565"/>
      <c r="R1030" s="467"/>
    </row>
    <row r="1031" spans="1:79" s="438" customFormat="1" outlineLevel="1">
      <c r="A1031" s="569"/>
      <c r="B1031" s="587"/>
      <c r="C1031" s="589"/>
      <c r="D1031" s="565"/>
      <c r="E1031" s="565"/>
      <c r="F1031" s="565"/>
      <c r="G1031" s="592"/>
      <c r="H1031" s="565"/>
      <c r="I1031" s="565"/>
      <c r="J1031" s="565"/>
      <c r="K1031" s="466"/>
      <c r="L1031" s="459"/>
      <c r="M1031" s="460"/>
      <c r="N1031" s="459"/>
      <c r="O1031" s="261"/>
      <c r="P1031" s="565"/>
      <c r="Q1031" s="565"/>
      <c r="R1031" s="467"/>
    </row>
    <row r="1032" spans="1:79" s="438" customFormat="1" outlineLevel="1">
      <c r="A1032" s="569"/>
      <c r="B1032" s="587"/>
      <c r="C1032" s="589"/>
      <c r="D1032" s="565"/>
      <c r="E1032" s="565"/>
      <c r="F1032" s="565"/>
      <c r="G1032" s="592"/>
      <c r="H1032" s="565"/>
      <c r="I1032" s="565"/>
      <c r="J1032" s="565"/>
      <c r="K1032" s="466"/>
      <c r="L1032" s="459"/>
      <c r="M1032" s="460"/>
      <c r="N1032" s="459"/>
      <c r="O1032" s="261"/>
      <c r="P1032" s="565"/>
      <c r="Q1032" s="565"/>
      <c r="R1032" s="467"/>
    </row>
    <row r="1033" spans="1:79" s="438" customFormat="1" outlineLevel="1">
      <c r="A1033" s="569"/>
      <c r="B1033" s="587"/>
      <c r="C1033" s="589"/>
      <c r="D1033" s="565"/>
      <c r="E1033" s="565"/>
      <c r="F1033" s="565"/>
      <c r="G1033" s="592"/>
      <c r="H1033" s="565"/>
      <c r="I1033" s="565"/>
      <c r="J1033" s="565"/>
      <c r="K1033" s="466"/>
      <c r="L1033" s="459"/>
      <c r="M1033" s="460"/>
      <c r="N1033" s="459"/>
      <c r="O1033" s="261"/>
      <c r="P1033" s="565"/>
      <c r="Q1033" s="565"/>
      <c r="R1033" s="467"/>
    </row>
    <row r="1034" spans="1:79" s="438" customFormat="1" outlineLevel="1">
      <c r="A1034" s="569"/>
      <c r="B1034" s="587"/>
      <c r="C1034" s="589"/>
      <c r="D1034" s="565"/>
      <c r="E1034" s="565"/>
      <c r="F1034" s="565"/>
      <c r="G1034" s="592"/>
      <c r="H1034" s="565"/>
      <c r="I1034" s="565"/>
      <c r="J1034" s="565"/>
      <c r="K1034" s="466"/>
      <c r="L1034" s="459"/>
      <c r="M1034" s="460"/>
      <c r="N1034" s="459"/>
      <c r="O1034" s="261"/>
      <c r="P1034" s="565"/>
      <c r="Q1034" s="565"/>
      <c r="R1034" s="467"/>
    </row>
    <row r="1035" spans="1:79" s="438" customFormat="1" outlineLevel="1">
      <c r="A1035" s="569"/>
      <c r="B1035" s="587"/>
      <c r="C1035" s="589"/>
      <c r="D1035" s="565"/>
      <c r="E1035" s="565"/>
      <c r="F1035" s="565"/>
      <c r="G1035" s="592"/>
      <c r="H1035" s="565"/>
      <c r="I1035" s="565"/>
      <c r="J1035" s="565"/>
      <c r="K1035" s="466"/>
      <c r="L1035" s="459"/>
      <c r="M1035" s="460"/>
      <c r="N1035" s="459"/>
      <c r="O1035" s="261"/>
      <c r="P1035" s="565"/>
      <c r="Q1035" s="565"/>
      <c r="R1035" s="467"/>
    </row>
    <row r="1036" spans="1:79" s="438" customFormat="1" outlineLevel="1">
      <c r="A1036" s="569"/>
      <c r="B1036" s="587"/>
      <c r="C1036" s="589"/>
      <c r="D1036" s="565"/>
      <c r="E1036" s="565"/>
      <c r="F1036" s="565"/>
      <c r="G1036" s="592"/>
      <c r="H1036" s="565"/>
      <c r="I1036" s="565"/>
      <c r="J1036" s="565"/>
      <c r="K1036" s="466"/>
      <c r="L1036" s="459"/>
      <c r="M1036" s="460"/>
      <c r="N1036" s="459"/>
      <c r="O1036" s="261"/>
      <c r="P1036" s="565"/>
      <c r="Q1036" s="565"/>
      <c r="R1036" s="467"/>
    </row>
    <row r="1037" spans="1:79" s="438" customFormat="1" outlineLevel="1">
      <c r="A1037" s="569"/>
      <c r="B1037" s="587"/>
      <c r="C1037" s="589"/>
      <c r="D1037" s="565"/>
      <c r="E1037" s="565"/>
      <c r="F1037" s="565"/>
      <c r="G1037" s="592"/>
      <c r="H1037" s="565"/>
      <c r="I1037" s="565"/>
      <c r="J1037" s="565"/>
      <c r="K1037" s="466"/>
      <c r="L1037" s="459"/>
      <c r="M1037" s="460"/>
      <c r="N1037" s="459"/>
      <c r="O1037" s="261"/>
      <c r="P1037" s="565"/>
      <c r="Q1037" s="565"/>
      <c r="R1037" s="467"/>
    </row>
    <row r="1038" spans="1:79" s="438" customFormat="1" outlineLevel="1">
      <c r="A1038" s="569"/>
      <c r="B1038" s="587"/>
      <c r="C1038" s="589"/>
      <c r="D1038" s="565"/>
      <c r="E1038" s="565"/>
      <c r="F1038" s="565"/>
      <c r="G1038" s="592"/>
      <c r="H1038" s="565"/>
      <c r="I1038" s="565"/>
      <c r="J1038" s="565"/>
      <c r="K1038" s="466"/>
      <c r="L1038" s="459"/>
      <c r="M1038" s="460"/>
      <c r="N1038" s="459"/>
      <c r="O1038" s="261"/>
      <c r="P1038" s="565"/>
      <c r="Q1038" s="565"/>
      <c r="R1038" s="467"/>
    </row>
    <row r="1039" spans="1:79" s="438" customFormat="1" outlineLevel="1">
      <c r="A1039" s="569"/>
      <c r="B1039" s="587"/>
      <c r="C1039" s="589"/>
      <c r="D1039" s="565"/>
      <c r="E1039" s="565"/>
      <c r="F1039" s="565"/>
      <c r="G1039" s="592"/>
      <c r="H1039" s="565"/>
      <c r="I1039" s="565"/>
      <c r="J1039" s="565"/>
      <c r="K1039" s="466"/>
      <c r="L1039" s="459"/>
      <c r="M1039" s="460"/>
      <c r="N1039" s="459"/>
      <c r="O1039" s="261"/>
      <c r="P1039" s="565"/>
      <c r="Q1039" s="565"/>
      <c r="R1039" s="467"/>
    </row>
    <row r="1040" spans="1:79" s="438" customFormat="1" outlineLevel="1">
      <c r="A1040" s="569"/>
      <c r="B1040" s="587"/>
      <c r="C1040" s="589"/>
      <c r="D1040" s="565"/>
      <c r="E1040" s="565"/>
      <c r="F1040" s="565"/>
      <c r="G1040" s="592"/>
      <c r="H1040" s="565"/>
      <c r="I1040" s="565"/>
      <c r="J1040" s="565"/>
      <c r="K1040" s="466"/>
      <c r="L1040" s="459"/>
      <c r="M1040" s="460"/>
      <c r="N1040" s="459"/>
      <c r="O1040" s="261"/>
      <c r="P1040" s="565"/>
      <c r="Q1040" s="565"/>
      <c r="R1040" s="467"/>
    </row>
    <row r="1041" spans="1:18" s="438" customFormat="1" outlineLevel="1">
      <c r="A1041" s="569"/>
      <c r="B1041" s="587"/>
      <c r="C1041" s="589"/>
      <c r="D1041" s="565"/>
      <c r="E1041" s="565"/>
      <c r="F1041" s="565"/>
      <c r="G1041" s="592"/>
      <c r="H1041" s="565"/>
      <c r="I1041" s="565"/>
      <c r="J1041" s="565"/>
      <c r="K1041" s="466"/>
      <c r="L1041" s="459"/>
      <c r="M1041" s="460"/>
      <c r="N1041" s="459"/>
      <c r="O1041" s="261"/>
      <c r="P1041" s="565"/>
      <c r="Q1041" s="565"/>
      <c r="R1041" s="467"/>
    </row>
    <row r="1042" spans="1:18" s="438" customFormat="1" outlineLevel="1">
      <c r="A1042" s="569"/>
      <c r="B1042" s="587"/>
      <c r="C1042" s="589"/>
      <c r="D1042" s="565"/>
      <c r="E1042" s="565"/>
      <c r="F1042" s="565"/>
      <c r="G1042" s="592"/>
      <c r="H1042" s="565"/>
      <c r="I1042" s="565"/>
      <c r="J1042" s="565"/>
      <c r="K1042" s="466"/>
      <c r="L1042" s="459"/>
      <c r="M1042" s="460"/>
      <c r="N1042" s="459"/>
      <c r="O1042" s="261"/>
      <c r="P1042" s="565"/>
      <c r="Q1042" s="565"/>
      <c r="R1042" s="467"/>
    </row>
    <row r="1043" spans="1:18" s="438" customFormat="1" outlineLevel="1">
      <c r="A1043" s="569"/>
      <c r="B1043" s="587"/>
      <c r="C1043" s="589"/>
      <c r="D1043" s="565"/>
      <c r="E1043" s="565"/>
      <c r="F1043" s="565"/>
      <c r="G1043" s="592"/>
      <c r="H1043" s="565"/>
      <c r="I1043" s="565"/>
      <c r="J1043" s="565"/>
      <c r="K1043" s="466"/>
      <c r="L1043" s="459"/>
      <c r="M1043" s="460"/>
      <c r="N1043" s="459"/>
      <c r="O1043" s="261"/>
      <c r="P1043" s="565"/>
      <c r="Q1043" s="565"/>
      <c r="R1043" s="467"/>
    </row>
    <row r="1044" spans="1:18" s="438" customFormat="1" outlineLevel="1">
      <c r="A1044" s="570"/>
      <c r="B1044" s="588"/>
      <c r="C1044" s="590"/>
      <c r="D1044" s="566"/>
      <c r="E1044" s="565"/>
      <c r="F1044" s="566"/>
      <c r="G1044" s="593"/>
      <c r="H1044" s="566"/>
      <c r="I1044" s="566"/>
      <c r="J1044" s="566"/>
      <c r="K1044" s="466"/>
      <c r="L1044" s="459"/>
      <c r="M1044" s="460"/>
      <c r="N1044" s="459"/>
      <c r="O1044" s="261"/>
      <c r="P1044" s="566"/>
      <c r="Q1044" s="566"/>
      <c r="R1044" s="467"/>
    </row>
    <row r="1045" spans="1:18" s="438" customFormat="1" outlineLevel="1">
      <c r="A1045" s="568"/>
      <c r="B1045" s="587"/>
      <c r="C1045" s="595"/>
      <c r="D1045" s="565"/>
      <c r="E1045" s="596"/>
      <c r="F1045" s="565"/>
      <c r="G1045" s="597"/>
      <c r="H1045" s="594"/>
      <c r="I1045" s="594"/>
      <c r="J1045" s="594"/>
      <c r="K1045" s="458"/>
      <c r="L1045" s="459"/>
      <c r="M1045" s="460"/>
      <c r="N1045" s="459"/>
      <c r="O1045" s="261"/>
      <c r="P1045" s="594"/>
      <c r="Q1045" s="594"/>
      <c r="R1045" s="467"/>
    </row>
    <row r="1046" spans="1:18" s="438" customFormat="1" outlineLevel="1">
      <c r="A1046" s="569"/>
      <c r="B1046" s="587"/>
      <c r="C1046" s="589"/>
      <c r="D1046" s="565"/>
      <c r="E1046" s="596"/>
      <c r="F1046" s="565"/>
      <c r="G1046" s="592"/>
      <c r="H1046" s="565"/>
      <c r="I1046" s="565"/>
      <c r="J1046" s="565"/>
      <c r="K1046" s="466"/>
      <c r="L1046" s="459"/>
      <c r="M1046" s="460"/>
      <c r="N1046" s="459"/>
      <c r="O1046" s="261"/>
      <c r="P1046" s="565"/>
      <c r="Q1046" s="565"/>
      <c r="R1046" s="467"/>
    </row>
    <row r="1047" spans="1:18" s="438" customFormat="1" outlineLevel="1">
      <c r="A1047" s="569"/>
      <c r="B1047" s="587"/>
      <c r="C1047" s="589"/>
      <c r="D1047" s="565"/>
      <c r="E1047" s="596"/>
      <c r="F1047" s="565"/>
      <c r="G1047" s="592"/>
      <c r="H1047" s="565"/>
      <c r="I1047" s="565"/>
      <c r="J1047" s="565"/>
      <c r="K1047" s="466"/>
      <c r="L1047" s="459"/>
      <c r="M1047" s="460"/>
      <c r="N1047" s="459"/>
      <c r="O1047" s="261"/>
      <c r="P1047" s="565"/>
      <c r="Q1047" s="565"/>
      <c r="R1047" s="467"/>
    </row>
    <row r="1048" spans="1:18" s="438" customFormat="1" outlineLevel="1">
      <c r="A1048" s="569"/>
      <c r="B1048" s="587"/>
      <c r="C1048" s="589"/>
      <c r="D1048" s="565"/>
      <c r="E1048" s="596"/>
      <c r="F1048" s="565"/>
      <c r="G1048" s="592"/>
      <c r="H1048" s="565"/>
      <c r="I1048" s="565"/>
      <c r="J1048" s="565"/>
      <c r="K1048" s="466"/>
      <c r="L1048" s="459"/>
      <c r="M1048" s="460"/>
      <c r="N1048" s="459"/>
      <c r="O1048" s="261"/>
      <c r="P1048" s="565"/>
      <c r="Q1048" s="565"/>
      <c r="R1048" s="467"/>
    </row>
    <row r="1049" spans="1:18" s="438" customFormat="1" outlineLevel="1">
      <c r="A1049" s="569"/>
      <c r="B1049" s="587"/>
      <c r="C1049" s="589"/>
      <c r="D1049" s="565"/>
      <c r="E1049" s="596"/>
      <c r="F1049" s="565"/>
      <c r="G1049" s="592"/>
      <c r="H1049" s="565"/>
      <c r="I1049" s="565"/>
      <c r="J1049" s="565"/>
      <c r="K1049" s="466"/>
      <c r="L1049" s="459"/>
      <c r="M1049" s="460"/>
      <c r="N1049" s="459"/>
      <c r="O1049" s="261"/>
      <c r="P1049" s="565"/>
      <c r="Q1049" s="565"/>
      <c r="R1049" s="467"/>
    </row>
    <row r="1050" spans="1:18" s="438" customFormat="1" outlineLevel="1">
      <c r="A1050" s="569"/>
      <c r="B1050" s="587"/>
      <c r="C1050" s="589"/>
      <c r="D1050" s="565"/>
      <c r="E1050" s="596"/>
      <c r="F1050" s="565"/>
      <c r="G1050" s="592"/>
      <c r="H1050" s="565"/>
      <c r="I1050" s="565"/>
      <c r="J1050" s="565"/>
      <c r="K1050" s="466"/>
      <c r="L1050" s="459"/>
      <c r="M1050" s="460"/>
      <c r="N1050" s="459"/>
      <c r="O1050" s="261"/>
      <c r="P1050" s="565"/>
      <c r="Q1050" s="565"/>
      <c r="R1050" s="467"/>
    </row>
    <row r="1051" spans="1:18" s="438" customFormat="1" outlineLevel="1">
      <c r="A1051" s="569"/>
      <c r="B1051" s="587"/>
      <c r="C1051" s="589"/>
      <c r="D1051" s="565"/>
      <c r="E1051" s="596"/>
      <c r="F1051" s="565"/>
      <c r="G1051" s="592"/>
      <c r="H1051" s="565"/>
      <c r="I1051" s="565"/>
      <c r="J1051" s="565"/>
      <c r="K1051" s="466"/>
      <c r="L1051" s="459"/>
      <c r="M1051" s="460"/>
      <c r="N1051" s="459"/>
      <c r="O1051" s="261"/>
      <c r="P1051" s="565"/>
      <c r="Q1051" s="565"/>
      <c r="R1051" s="467"/>
    </row>
    <row r="1052" spans="1:18" s="438" customFormat="1" outlineLevel="1">
      <c r="A1052" s="569"/>
      <c r="B1052" s="587"/>
      <c r="C1052" s="589"/>
      <c r="D1052" s="565"/>
      <c r="E1052" s="596"/>
      <c r="F1052" s="565"/>
      <c r="G1052" s="592"/>
      <c r="H1052" s="565"/>
      <c r="I1052" s="565"/>
      <c r="J1052" s="565"/>
      <c r="K1052" s="466"/>
      <c r="L1052" s="459"/>
      <c r="M1052" s="460"/>
      <c r="N1052" s="459"/>
      <c r="O1052" s="261"/>
      <c r="P1052" s="565"/>
      <c r="Q1052" s="565"/>
      <c r="R1052" s="467"/>
    </row>
    <row r="1053" spans="1:18" s="438" customFormat="1" outlineLevel="1">
      <c r="A1053" s="569"/>
      <c r="B1053" s="587"/>
      <c r="C1053" s="589"/>
      <c r="D1053" s="565"/>
      <c r="E1053" s="596"/>
      <c r="F1053" s="565"/>
      <c r="G1053" s="592"/>
      <c r="H1053" s="565"/>
      <c r="I1053" s="565"/>
      <c r="J1053" s="565"/>
      <c r="K1053" s="466"/>
      <c r="L1053" s="459"/>
      <c r="M1053" s="460"/>
      <c r="N1053" s="459"/>
      <c r="O1053" s="261"/>
      <c r="P1053" s="565"/>
      <c r="Q1053" s="565"/>
      <c r="R1053" s="467"/>
    </row>
    <row r="1054" spans="1:18" s="438" customFormat="1" outlineLevel="1">
      <c r="A1054" s="569"/>
      <c r="B1054" s="587"/>
      <c r="C1054" s="589"/>
      <c r="D1054" s="565"/>
      <c r="E1054" s="596"/>
      <c r="F1054" s="565"/>
      <c r="G1054" s="592"/>
      <c r="H1054" s="565"/>
      <c r="I1054" s="565"/>
      <c r="J1054" s="565"/>
      <c r="K1054" s="466"/>
      <c r="L1054" s="459"/>
      <c r="M1054" s="460"/>
      <c r="N1054" s="459"/>
      <c r="O1054" s="261"/>
      <c r="P1054" s="565"/>
      <c r="Q1054" s="565"/>
      <c r="R1054" s="467"/>
    </row>
    <row r="1055" spans="1:18" s="438" customFormat="1" outlineLevel="1">
      <c r="A1055" s="569"/>
      <c r="B1055" s="587"/>
      <c r="C1055" s="589"/>
      <c r="D1055" s="565"/>
      <c r="E1055" s="596"/>
      <c r="F1055" s="565"/>
      <c r="G1055" s="592"/>
      <c r="H1055" s="565"/>
      <c r="I1055" s="565"/>
      <c r="J1055" s="565"/>
      <c r="K1055" s="466"/>
      <c r="L1055" s="459"/>
      <c r="M1055" s="460"/>
      <c r="N1055" s="459"/>
      <c r="O1055" s="261"/>
      <c r="P1055" s="565"/>
      <c r="Q1055" s="565"/>
      <c r="R1055" s="467"/>
    </row>
    <row r="1056" spans="1:18" s="438" customFormat="1" outlineLevel="1">
      <c r="A1056" s="569"/>
      <c r="B1056" s="587"/>
      <c r="C1056" s="589"/>
      <c r="D1056" s="565"/>
      <c r="E1056" s="596"/>
      <c r="F1056" s="565"/>
      <c r="G1056" s="592"/>
      <c r="H1056" s="565"/>
      <c r="I1056" s="565"/>
      <c r="J1056" s="565"/>
      <c r="K1056" s="466"/>
      <c r="L1056" s="459"/>
      <c r="M1056" s="460"/>
      <c r="N1056" s="459"/>
      <c r="O1056" s="261"/>
      <c r="P1056" s="565"/>
      <c r="Q1056" s="565"/>
      <c r="R1056" s="467"/>
    </row>
    <row r="1057" spans="1:18" s="438" customFormat="1" outlineLevel="1">
      <c r="A1057" s="569"/>
      <c r="B1057" s="587"/>
      <c r="C1057" s="589"/>
      <c r="D1057" s="565"/>
      <c r="E1057" s="596"/>
      <c r="F1057" s="565"/>
      <c r="G1057" s="592"/>
      <c r="H1057" s="565"/>
      <c r="I1057" s="565"/>
      <c r="J1057" s="565"/>
      <c r="K1057" s="466"/>
      <c r="L1057" s="459"/>
      <c r="M1057" s="460"/>
      <c r="N1057" s="459"/>
      <c r="O1057" s="261"/>
      <c r="P1057" s="565"/>
      <c r="Q1057" s="565"/>
      <c r="R1057" s="467"/>
    </row>
    <row r="1058" spans="1:18" s="438" customFormat="1" outlineLevel="1">
      <c r="A1058" s="569"/>
      <c r="B1058" s="587"/>
      <c r="C1058" s="589"/>
      <c r="D1058" s="565"/>
      <c r="E1058" s="596"/>
      <c r="F1058" s="565"/>
      <c r="G1058" s="592"/>
      <c r="H1058" s="565"/>
      <c r="I1058" s="565"/>
      <c r="J1058" s="565"/>
      <c r="K1058" s="466"/>
      <c r="L1058" s="459"/>
      <c r="M1058" s="460"/>
      <c r="N1058" s="459"/>
      <c r="O1058" s="261"/>
      <c r="P1058" s="565"/>
      <c r="Q1058" s="565"/>
      <c r="R1058" s="467"/>
    </row>
    <row r="1059" spans="1:18" s="438" customFormat="1" outlineLevel="1">
      <c r="A1059" s="569"/>
      <c r="B1059" s="587"/>
      <c r="C1059" s="589"/>
      <c r="D1059" s="565"/>
      <c r="E1059" s="596"/>
      <c r="F1059" s="565"/>
      <c r="G1059" s="592"/>
      <c r="H1059" s="565"/>
      <c r="I1059" s="565"/>
      <c r="J1059" s="565"/>
      <c r="K1059" s="466"/>
      <c r="L1059" s="459"/>
      <c r="M1059" s="460"/>
      <c r="N1059" s="459"/>
      <c r="O1059" s="261"/>
      <c r="P1059" s="565"/>
      <c r="Q1059" s="565"/>
      <c r="R1059" s="467"/>
    </row>
    <row r="1060" spans="1:18" s="438" customFormat="1" outlineLevel="1">
      <c r="A1060" s="570"/>
      <c r="B1060" s="588"/>
      <c r="C1060" s="590"/>
      <c r="D1060" s="566"/>
      <c r="E1060" s="596"/>
      <c r="F1060" s="566"/>
      <c r="G1060" s="593"/>
      <c r="H1060" s="566"/>
      <c r="I1060" s="566"/>
      <c r="J1060" s="566"/>
      <c r="K1060" s="466"/>
      <c r="L1060" s="459"/>
      <c r="M1060" s="460"/>
      <c r="N1060" s="459"/>
      <c r="O1060" s="261"/>
      <c r="P1060" s="566"/>
      <c r="Q1060" s="566"/>
      <c r="R1060" s="467"/>
    </row>
    <row r="1061" spans="1:18" s="438" customFormat="1" outlineLevel="1">
      <c r="A1061" s="568"/>
      <c r="B1061" s="587"/>
      <c r="C1061" s="595"/>
      <c r="D1061" s="565"/>
      <c r="E1061" s="596"/>
      <c r="F1061" s="565"/>
      <c r="G1061" s="597"/>
      <c r="H1061" s="594"/>
      <c r="I1061" s="594"/>
      <c r="J1061" s="594"/>
      <c r="K1061" s="458"/>
      <c r="L1061" s="459"/>
      <c r="M1061" s="460"/>
      <c r="N1061" s="459"/>
      <c r="O1061" s="261"/>
      <c r="P1061" s="594"/>
      <c r="Q1061" s="594"/>
      <c r="R1061" s="467"/>
    </row>
    <row r="1062" spans="1:18" s="438" customFormat="1" outlineLevel="1">
      <c r="A1062" s="569"/>
      <c r="B1062" s="587"/>
      <c r="C1062" s="589"/>
      <c r="D1062" s="565"/>
      <c r="E1062" s="596"/>
      <c r="F1062" s="565"/>
      <c r="G1062" s="592"/>
      <c r="H1062" s="565"/>
      <c r="I1062" s="565"/>
      <c r="J1062" s="565"/>
      <c r="K1062" s="466"/>
      <c r="L1062" s="459"/>
      <c r="M1062" s="460"/>
      <c r="N1062" s="459"/>
      <c r="O1062" s="261"/>
      <c r="P1062" s="565"/>
      <c r="Q1062" s="565"/>
      <c r="R1062" s="467"/>
    </row>
    <row r="1063" spans="1:18" s="438" customFormat="1" outlineLevel="1">
      <c r="A1063" s="569"/>
      <c r="B1063" s="587"/>
      <c r="C1063" s="589"/>
      <c r="D1063" s="565"/>
      <c r="E1063" s="596"/>
      <c r="F1063" s="565"/>
      <c r="G1063" s="592"/>
      <c r="H1063" s="565"/>
      <c r="I1063" s="565"/>
      <c r="J1063" s="565"/>
      <c r="K1063" s="466"/>
      <c r="L1063" s="459"/>
      <c r="M1063" s="460"/>
      <c r="N1063" s="459"/>
      <c r="O1063" s="261"/>
      <c r="P1063" s="565"/>
      <c r="Q1063" s="565"/>
      <c r="R1063" s="467"/>
    </row>
    <row r="1064" spans="1:18" s="438" customFormat="1" outlineLevel="1">
      <c r="A1064" s="569"/>
      <c r="B1064" s="587"/>
      <c r="C1064" s="589"/>
      <c r="D1064" s="565"/>
      <c r="E1064" s="596"/>
      <c r="F1064" s="565"/>
      <c r="G1064" s="592"/>
      <c r="H1064" s="565"/>
      <c r="I1064" s="565"/>
      <c r="J1064" s="565"/>
      <c r="K1064" s="466"/>
      <c r="L1064" s="459"/>
      <c r="M1064" s="460"/>
      <c r="N1064" s="459"/>
      <c r="O1064" s="261"/>
      <c r="P1064" s="565"/>
      <c r="Q1064" s="565"/>
      <c r="R1064" s="467"/>
    </row>
    <row r="1065" spans="1:18" s="438" customFormat="1" outlineLevel="1">
      <c r="A1065" s="569"/>
      <c r="B1065" s="587"/>
      <c r="C1065" s="589"/>
      <c r="D1065" s="565"/>
      <c r="E1065" s="596"/>
      <c r="F1065" s="565"/>
      <c r="G1065" s="592"/>
      <c r="H1065" s="565"/>
      <c r="I1065" s="565"/>
      <c r="J1065" s="565"/>
      <c r="K1065" s="466"/>
      <c r="L1065" s="459"/>
      <c r="M1065" s="460"/>
      <c r="N1065" s="459"/>
      <c r="O1065" s="261"/>
      <c r="P1065" s="565"/>
      <c r="Q1065" s="565"/>
      <c r="R1065" s="467"/>
    </row>
    <row r="1066" spans="1:18" s="438" customFormat="1" outlineLevel="1">
      <c r="A1066" s="569"/>
      <c r="B1066" s="587"/>
      <c r="C1066" s="589"/>
      <c r="D1066" s="565"/>
      <c r="E1066" s="596"/>
      <c r="F1066" s="565"/>
      <c r="G1066" s="592"/>
      <c r="H1066" s="565"/>
      <c r="I1066" s="565"/>
      <c r="J1066" s="565"/>
      <c r="K1066" s="466"/>
      <c r="L1066" s="459"/>
      <c r="M1066" s="460"/>
      <c r="N1066" s="459"/>
      <c r="O1066" s="261"/>
      <c r="P1066" s="565"/>
      <c r="Q1066" s="565"/>
      <c r="R1066" s="467"/>
    </row>
    <row r="1067" spans="1:18" s="438" customFormat="1" outlineLevel="1">
      <c r="A1067" s="569"/>
      <c r="B1067" s="587"/>
      <c r="C1067" s="589"/>
      <c r="D1067" s="565"/>
      <c r="E1067" s="596"/>
      <c r="F1067" s="565"/>
      <c r="G1067" s="592"/>
      <c r="H1067" s="565"/>
      <c r="I1067" s="565"/>
      <c r="J1067" s="565"/>
      <c r="K1067" s="466"/>
      <c r="L1067" s="459"/>
      <c r="M1067" s="460"/>
      <c r="N1067" s="459"/>
      <c r="O1067" s="261"/>
      <c r="P1067" s="565"/>
      <c r="Q1067" s="565"/>
      <c r="R1067" s="467"/>
    </row>
    <row r="1068" spans="1:18" s="438" customFormat="1" outlineLevel="1">
      <c r="A1068" s="569"/>
      <c r="B1068" s="587"/>
      <c r="C1068" s="589"/>
      <c r="D1068" s="565"/>
      <c r="E1068" s="596"/>
      <c r="F1068" s="565"/>
      <c r="G1068" s="592"/>
      <c r="H1068" s="565"/>
      <c r="I1068" s="565"/>
      <c r="J1068" s="565"/>
      <c r="K1068" s="466"/>
      <c r="L1068" s="459"/>
      <c r="M1068" s="460"/>
      <c r="N1068" s="459"/>
      <c r="O1068" s="261"/>
      <c r="P1068" s="565"/>
      <c r="Q1068" s="565"/>
      <c r="R1068" s="467"/>
    </row>
    <row r="1069" spans="1:18" s="438" customFormat="1" outlineLevel="1">
      <c r="A1069" s="569"/>
      <c r="B1069" s="587"/>
      <c r="C1069" s="589"/>
      <c r="D1069" s="565"/>
      <c r="E1069" s="596"/>
      <c r="F1069" s="565"/>
      <c r="G1069" s="592"/>
      <c r="H1069" s="565"/>
      <c r="I1069" s="565"/>
      <c r="J1069" s="565"/>
      <c r="K1069" s="466"/>
      <c r="L1069" s="459"/>
      <c r="M1069" s="460"/>
      <c r="N1069" s="459"/>
      <c r="O1069" s="261"/>
      <c r="P1069" s="565"/>
      <c r="Q1069" s="565"/>
      <c r="R1069" s="467"/>
    </row>
    <row r="1070" spans="1:18" s="438" customFormat="1" outlineLevel="1">
      <c r="A1070" s="569"/>
      <c r="B1070" s="587"/>
      <c r="C1070" s="589"/>
      <c r="D1070" s="565"/>
      <c r="E1070" s="596"/>
      <c r="F1070" s="565"/>
      <c r="G1070" s="592"/>
      <c r="H1070" s="565"/>
      <c r="I1070" s="565"/>
      <c r="J1070" s="565"/>
      <c r="K1070" s="466"/>
      <c r="L1070" s="459"/>
      <c r="M1070" s="460"/>
      <c r="N1070" s="459"/>
      <c r="O1070" s="261"/>
      <c r="P1070" s="565"/>
      <c r="Q1070" s="565"/>
      <c r="R1070" s="467"/>
    </row>
    <row r="1071" spans="1:18" s="438" customFormat="1" outlineLevel="1">
      <c r="A1071" s="569"/>
      <c r="B1071" s="587"/>
      <c r="C1071" s="589"/>
      <c r="D1071" s="565"/>
      <c r="E1071" s="596"/>
      <c r="F1071" s="565"/>
      <c r="G1071" s="592"/>
      <c r="H1071" s="565"/>
      <c r="I1071" s="565"/>
      <c r="J1071" s="565"/>
      <c r="K1071" s="466"/>
      <c r="L1071" s="459"/>
      <c r="M1071" s="460"/>
      <c r="N1071" s="459"/>
      <c r="O1071" s="261"/>
      <c r="P1071" s="565"/>
      <c r="Q1071" s="565"/>
      <c r="R1071" s="467"/>
    </row>
    <row r="1072" spans="1:18" s="438" customFormat="1" outlineLevel="1">
      <c r="A1072" s="569"/>
      <c r="B1072" s="587"/>
      <c r="C1072" s="589"/>
      <c r="D1072" s="565"/>
      <c r="E1072" s="596"/>
      <c r="F1072" s="565"/>
      <c r="G1072" s="592"/>
      <c r="H1072" s="565"/>
      <c r="I1072" s="565"/>
      <c r="J1072" s="565"/>
      <c r="K1072" s="466"/>
      <c r="L1072" s="459"/>
      <c r="M1072" s="460"/>
      <c r="N1072" s="459"/>
      <c r="O1072" s="261"/>
      <c r="P1072" s="565"/>
      <c r="Q1072" s="565"/>
      <c r="R1072" s="467"/>
    </row>
    <row r="1073" spans="1:18" s="438" customFormat="1" outlineLevel="1">
      <c r="A1073" s="569"/>
      <c r="B1073" s="587"/>
      <c r="C1073" s="589"/>
      <c r="D1073" s="565"/>
      <c r="E1073" s="596"/>
      <c r="F1073" s="565"/>
      <c r="G1073" s="592"/>
      <c r="H1073" s="565"/>
      <c r="I1073" s="565"/>
      <c r="J1073" s="565"/>
      <c r="K1073" s="466"/>
      <c r="L1073" s="459"/>
      <c r="M1073" s="460"/>
      <c r="N1073" s="459"/>
      <c r="O1073" s="261"/>
      <c r="P1073" s="565"/>
      <c r="Q1073" s="565"/>
      <c r="R1073" s="467"/>
    </row>
    <row r="1074" spans="1:18" s="438" customFormat="1" outlineLevel="1">
      <c r="A1074" s="569"/>
      <c r="B1074" s="587"/>
      <c r="C1074" s="589"/>
      <c r="D1074" s="565"/>
      <c r="E1074" s="596"/>
      <c r="F1074" s="565"/>
      <c r="G1074" s="592"/>
      <c r="H1074" s="565"/>
      <c r="I1074" s="565"/>
      <c r="J1074" s="565"/>
      <c r="K1074" s="466"/>
      <c r="L1074" s="459"/>
      <c r="M1074" s="460"/>
      <c r="N1074" s="459"/>
      <c r="O1074" s="261"/>
      <c r="P1074" s="565"/>
      <c r="Q1074" s="565"/>
      <c r="R1074" s="467"/>
    </row>
    <row r="1075" spans="1:18" s="438" customFormat="1" outlineLevel="1">
      <c r="A1075" s="569"/>
      <c r="B1075" s="587"/>
      <c r="C1075" s="589"/>
      <c r="D1075" s="565"/>
      <c r="E1075" s="596"/>
      <c r="F1075" s="565"/>
      <c r="G1075" s="592"/>
      <c r="H1075" s="565"/>
      <c r="I1075" s="565"/>
      <c r="J1075" s="565"/>
      <c r="K1075" s="466"/>
      <c r="L1075" s="459"/>
      <c r="M1075" s="460"/>
      <c r="N1075" s="459"/>
      <c r="O1075" s="261"/>
      <c r="P1075" s="565"/>
      <c r="Q1075" s="565"/>
      <c r="R1075" s="467"/>
    </row>
    <row r="1076" spans="1:18" s="438" customFormat="1" outlineLevel="1">
      <c r="A1076" s="570"/>
      <c r="B1076" s="588"/>
      <c r="C1076" s="590"/>
      <c r="D1076" s="566"/>
      <c r="E1076" s="596"/>
      <c r="F1076" s="566"/>
      <c r="G1076" s="593"/>
      <c r="H1076" s="566"/>
      <c r="I1076" s="566"/>
      <c r="J1076" s="566"/>
      <c r="K1076" s="466"/>
      <c r="L1076" s="459"/>
      <c r="M1076" s="460"/>
      <c r="N1076" s="459"/>
      <c r="O1076" s="261"/>
      <c r="P1076" s="566"/>
      <c r="Q1076" s="566"/>
      <c r="R1076" s="467"/>
    </row>
    <row r="1077" spans="1:18" s="438" customFormat="1" outlineLevel="1">
      <c r="A1077" s="568"/>
      <c r="B1077" s="587"/>
      <c r="C1077" s="595"/>
      <c r="D1077" s="565"/>
      <c r="E1077" s="596"/>
      <c r="F1077" s="565"/>
      <c r="G1077" s="597"/>
      <c r="H1077" s="594"/>
      <c r="I1077" s="594"/>
      <c r="J1077" s="594"/>
      <c r="K1077" s="458"/>
      <c r="L1077" s="459"/>
      <c r="M1077" s="460"/>
      <c r="N1077" s="459"/>
      <c r="O1077" s="261"/>
      <c r="P1077" s="594"/>
      <c r="Q1077" s="594"/>
      <c r="R1077" s="467"/>
    </row>
    <row r="1078" spans="1:18" s="438" customFormat="1" outlineLevel="1">
      <c r="A1078" s="569"/>
      <c r="B1078" s="587"/>
      <c r="C1078" s="589"/>
      <c r="D1078" s="565"/>
      <c r="E1078" s="596"/>
      <c r="F1078" s="565"/>
      <c r="G1078" s="592"/>
      <c r="H1078" s="565"/>
      <c r="I1078" s="565"/>
      <c r="J1078" s="565"/>
      <c r="K1078" s="466"/>
      <c r="L1078" s="459"/>
      <c r="M1078" s="460"/>
      <c r="N1078" s="459"/>
      <c r="O1078" s="261"/>
      <c r="P1078" s="565"/>
      <c r="Q1078" s="565"/>
      <c r="R1078" s="467"/>
    </row>
    <row r="1079" spans="1:18" s="438" customFormat="1" outlineLevel="1">
      <c r="A1079" s="569"/>
      <c r="B1079" s="587"/>
      <c r="C1079" s="589"/>
      <c r="D1079" s="565"/>
      <c r="E1079" s="596"/>
      <c r="F1079" s="565"/>
      <c r="G1079" s="592"/>
      <c r="H1079" s="565"/>
      <c r="I1079" s="565"/>
      <c r="J1079" s="565"/>
      <c r="K1079" s="466"/>
      <c r="L1079" s="459"/>
      <c r="M1079" s="460"/>
      <c r="N1079" s="459"/>
      <c r="O1079" s="261"/>
      <c r="P1079" s="565"/>
      <c r="Q1079" s="565"/>
      <c r="R1079" s="467"/>
    </row>
    <row r="1080" spans="1:18" s="438" customFormat="1" outlineLevel="1">
      <c r="A1080" s="569"/>
      <c r="B1080" s="587"/>
      <c r="C1080" s="589"/>
      <c r="D1080" s="565"/>
      <c r="E1080" s="596"/>
      <c r="F1080" s="565"/>
      <c r="G1080" s="592"/>
      <c r="H1080" s="565"/>
      <c r="I1080" s="565"/>
      <c r="J1080" s="565"/>
      <c r="K1080" s="466"/>
      <c r="L1080" s="459"/>
      <c r="M1080" s="460"/>
      <c r="N1080" s="459"/>
      <c r="O1080" s="261"/>
      <c r="P1080" s="565"/>
      <c r="Q1080" s="565"/>
      <c r="R1080" s="467"/>
    </row>
    <row r="1081" spans="1:18" s="438" customFormat="1" outlineLevel="1">
      <c r="A1081" s="569"/>
      <c r="B1081" s="587"/>
      <c r="C1081" s="589"/>
      <c r="D1081" s="565"/>
      <c r="E1081" s="596"/>
      <c r="F1081" s="565"/>
      <c r="G1081" s="592"/>
      <c r="H1081" s="565"/>
      <c r="I1081" s="565"/>
      <c r="J1081" s="565"/>
      <c r="K1081" s="466"/>
      <c r="L1081" s="459"/>
      <c r="M1081" s="460"/>
      <c r="N1081" s="459"/>
      <c r="O1081" s="261"/>
      <c r="P1081" s="565"/>
      <c r="Q1081" s="565"/>
      <c r="R1081" s="467"/>
    </row>
    <row r="1082" spans="1:18" s="438" customFormat="1" outlineLevel="1">
      <c r="A1082" s="569"/>
      <c r="B1082" s="587"/>
      <c r="C1082" s="589"/>
      <c r="D1082" s="565"/>
      <c r="E1082" s="596"/>
      <c r="F1082" s="565"/>
      <c r="G1082" s="592"/>
      <c r="H1082" s="565"/>
      <c r="I1082" s="565"/>
      <c r="J1082" s="565"/>
      <c r="K1082" s="466"/>
      <c r="L1082" s="459"/>
      <c r="M1082" s="460"/>
      <c r="N1082" s="459"/>
      <c r="O1082" s="261"/>
      <c r="P1082" s="565"/>
      <c r="Q1082" s="565"/>
      <c r="R1082" s="467"/>
    </row>
    <row r="1083" spans="1:18" s="438" customFormat="1" outlineLevel="1">
      <c r="A1083" s="569"/>
      <c r="B1083" s="587"/>
      <c r="C1083" s="589"/>
      <c r="D1083" s="565"/>
      <c r="E1083" s="596"/>
      <c r="F1083" s="565"/>
      <c r="G1083" s="592"/>
      <c r="H1083" s="565"/>
      <c r="I1083" s="565"/>
      <c r="J1083" s="565"/>
      <c r="K1083" s="466"/>
      <c r="L1083" s="459"/>
      <c r="M1083" s="460"/>
      <c r="N1083" s="459"/>
      <c r="O1083" s="261"/>
      <c r="P1083" s="565"/>
      <c r="Q1083" s="565"/>
      <c r="R1083" s="467"/>
    </row>
    <row r="1084" spans="1:18" s="438" customFormat="1" outlineLevel="1">
      <c r="A1084" s="569"/>
      <c r="B1084" s="587"/>
      <c r="C1084" s="589"/>
      <c r="D1084" s="565"/>
      <c r="E1084" s="596"/>
      <c r="F1084" s="565"/>
      <c r="G1084" s="592"/>
      <c r="H1084" s="565"/>
      <c r="I1084" s="565"/>
      <c r="J1084" s="565"/>
      <c r="K1084" s="466"/>
      <c r="L1084" s="459"/>
      <c r="M1084" s="460"/>
      <c r="N1084" s="459"/>
      <c r="O1084" s="261"/>
      <c r="P1084" s="565"/>
      <c r="Q1084" s="565"/>
      <c r="R1084" s="467"/>
    </row>
    <row r="1085" spans="1:18" s="438" customFormat="1" outlineLevel="1">
      <c r="A1085" s="569"/>
      <c r="B1085" s="587"/>
      <c r="C1085" s="589"/>
      <c r="D1085" s="565"/>
      <c r="E1085" s="596"/>
      <c r="F1085" s="565"/>
      <c r="G1085" s="592"/>
      <c r="H1085" s="565"/>
      <c r="I1085" s="565"/>
      <c r="J1085" s="565"/>
      <c r="K1085" s="466"/>
      <c r="L1085" s="459"/>
      <c r="M1085" s="460"/>
      <c r="N1085" s="459"/>
      <c r="O1085" s="261"/>
      <c r="P1085" s="565"/>
      <c r="Q1085" s="565"/>
      <c r="R1085" s="467"/>
    </row>
    <row r="1086" spans="1:18" s="438" customFormat="1" outlineLevel="1">
      <c r="A1086" s="569"/>
      <c r="B1086" s="587"/>
      <c r="C1086" s="589"/>
      <c r="D1086" s="565"/>
      <c r="E1086" s="596"/>
      <c r="F1086" s="565"/>
      <c r="G1086" s="592"/>
      <c r="H1086" s="565"/>
      <c r="I1086" s="565"/>
      <c r="J1086" s="565"/>
      <c r="K1086" s="466"/>
      <c r="L1086" s="459"/>
      <c r="M1086" s="460"/>
      <c r="N1086" s="459"/>
      <c r="O1086" s="261"/>
      <c r="P1086" s="565"/>
      <c r="Q1086" s="565"/>
      <c r="R1086" s="467"/>
    </row>
    <row r="1087" spans="1:18" s="438" customFormat="1" outlineLevel="1">
      <c r="A1087" s="569"/>
      <c r="B1087" s="587"/>
      <c r="C1087" s="589"/>
      <c r="D1087" s="565"/>
      <c r="E1087" s="596"/>
      <c r="F1087" s="565"/>
      <c r="G1087" s="592"/>
      <c r="H1087" s="565"/>
      <c r="I1087" s="565"/>
      <c r="J1087" s="565"/>
      <c r="K1087" s="466"/>
      <c r="L1087" s="459"/>
      <c r="M1087" s="460"/>
      <c r="N1087" s="459"/>
      <c r="O1087" s="261"/>
      <c r="P1087" s="565"/>
      <c r="Q1087" s="565"/>
      <c r="R1087" s="467"/>
    </row>
    <row r="1088" spans="1:18" s="438" customFormat="1" outlineLevel="1">
      <c r="A1088" s="569"/>
      <c r="B1088" s="587"/>
      <c r="C1088" s="589"/>
      <c r="D1088" s="565"/>
      <c r="E1088" s="596"/>
      <c r="F1088" s="565"/>
      <c r="G1088" s="592"/>
      <c r="H1088" s="565"/>
      <c r="I1088" s="565"/>
      <c r="J1088" s="565"/>
      <c r="K1088" s="466"/>
      <c r="L1088" s="459"/>
      <c r="M1088" s="460"/>
      <c r="N1088" s="459"/>
      <c r="O1088" s="261"/>
      <c r="P1088" s="565"/>
      <c r="Q1088" s="565"/>
      <c r="R1088" s="467"/>
    </row>
    <row r="1089" spans="1:18" s="438" customFormat="1" outlineLevel="1">
      <c r="A1089" s="569"/>
      <c r="B1089" s="587"/>
      <c r="C1089" s="589"/>
      <c r="D1089" s="565"/>
      <c r="E1089" s="596"/>
      <c r="F1089" s="565"/>
      <c r="G1089" s="592"/>
      <c r="H1089" s="565"/>
      <c r="I1089" s="565"/>
      <c r="J1089" s="565"/>
      <c r="K1089" s="466"/>
      <c r="L1089" s="459"/>
      <c r="M1089" s="460"/>
      <c r="N1089" s="459"/>
      <c r="O1089" s="261"/>
      <c r="P1089" s="565"/>
      <c r="Q1089" s="565"/>
      <c r="R1089" s="467"/>
    </row>
    <row r="1090" spans="1:18" s="438" customFormat="1" outlineLevel="1">
      <c r="A1090" s="569"/>
      <c r="B1090" s="587"/>
      <c r="C1090" s="589"/>
      <c r="D1090" s="565"/>
      <c r="E1090" s="596"/>
      <c r="F1090" s="565"/>
      <c r="G1090" s="592"/>
      <c r="H1090" s="565"/>
      <c r="I1090" s="565"/>
      <c r="J1090" s="565"/>
      <c r="K1090" s="466"/>
      <c r="L1090" s="459"/>
      <c r="M1090" s="460"/>
      <c r="N1090" s="459"/>
      <c r="O1090" s="261"/>
      <c r="P1090" s="565"/>
      <c r="Q1090" s="565"/>
      <c r="R1090" s="467"/>
    </row>
    <row r="1091" spans="1:18" s="438" customFormat="1" outlineLevel="1">
      <c r="A1091" s="569"/>
      <c r="B1091" s="587"/>
      <c r="C1091" s="589"/>
      <c r="D1091" s="565"/>
      <c r="E1091" s="596"/>
      <c r="F1091" s="565"/>
      <c r="G1091" s="592"/>
      <c r="H1091" s="565"/>
      <c r="I1091" s="565"/>
      <c r="J1091" s="565"/>
      <c r="K1091" s="466"/>
      <c r="L1091" s="459"/>
      <c r="M1091" s="460"/>
      <c r="N1091" s="459"/>
      <c r="O1091" s="261"/>
      <c r="P1091" s="565"/>
      <c r="Q1091" s="565"/>
      <c r="R1091" s="467"/>
    </row>
    <row r="1092" spans="1:18" s="438" customFormat="1" outlineLevel="1">
      <c r="A1092" s="570"/>
      <c r="B1092" s="588"/>
      <c r="C1092" s="590"/>
      <c r="D1092" s="566"/>
      <c r="E1092" s="596"/>
      <c r="F1092" s="566"/>
      <c r="G1092" s="593"/>
      <c r="H1092" s="566"/>
      <c r="I1092" s="566"/>
      <c r="J1092" s="566"/>
      <c r="K1092" s="466"/>
      <c r="L1092" s="459"/>
      <c r="M1092" s="460"/>
      <c r="N1092" s="459"/>
      <c r="O1092" s="261"/>
      <c r="P1092" s="566"/>
      <c r="Q1092" s="566"/>
      <c r="R1092" s="467"/>
    </row>
    <row r="1093" spans="1:18" s="438" customFormat="1" outlineLevel="1">
      <c r="A1093" s="568"/>
      <c r="B1093" s="587"/>
      <c r="C1093" s="595"/>
      <c r="D1093" s="565"/>
      <c r="E1093" s="596"/>
      <c r="F1093" s="565"/>
      <c r="G1093" s="597"/>
      <c r="H1093" s="594"/>
      <c r="I1093" s="594"/>
      <c r="J1093" s="594"/>
      <c r="K1093" s="458"/>
      <c r="L1093" s="459"/>
      <c r="M1093" s="460"/>
      <c r="N1093" s="459"/>
      <c r="O1093" s="261"/>
      <c r="P1093" s="594"/>
      <c r="Q1093" s="594"/>
      <c r="R1093" s="467"/>
    </row>
    <row r="1094" spans="1:18" s="438" customFormat="1" outlineLevel="1">
      <c r="A1094" s="569"/>
      <c r="B1094" s="587"/>
      <c r="C1094" s="589"/>
      <c r="D1094" s="565"/>
      <c r="E1094" s="596"/>
      <c r="F1094" s="565"/>
      <c r="G1094" s="592"/>
      <c r="H1094" s="565"/>
      <c r="I1094" s="565"/>
      <c r="J1094" s="565"/>
      <c r="K1094" s="466"/>
      <c r="L1094" s="459"/>
      <c r="M1094" s="460"/>
      <c r="N1094" s="459"/>
      <c r="O1094" s="261"/>
      <c r="P1094" s="565"/>
      <c r="Q1094" s="565"/>
      <c r="R1094" s="467"/>
    </row>
    <row r="1095" spans="1:18" s="438" customFormat="1" outlineLevel="1">
      <c r="A1095" s="569"/>
      <c r="B1095" s="587"/>
      <c r="C1095" s="589"/>
      <c r="D1095" s="565"/>
      <c r="E1095" s="596"/>
      <c r="F1095" s="565"/>
      <c r="G1095" s="592"/>
      <c r="H1095" s="565"/>
      <c r="I1095" s="565"/>
      <c r="J1095" s="565"/>
      <c r="K1095" s="466"/>
      <c r="L1095" s="459"/>
      <c r="M1095" s="460"/>
      <c r="N1095" s="459"/>
      <c r="O1095" s="261"/>
      <c r="P1095" s="565"/>
      <c r="Q1095" s="565"/>
      <c r="R1095" s="467"/>
    </row>
    <row r="1096" spans="1:18" s="438" customFormat="1" outlineLevel="1">
      <c r="A1096" s="569"/>
      <c r="B1096" s="587"/>
      <c r="C1096" s="589"/>
      <c r="D1096" s="565"/>
      <c r="E1096" s="596"/>
      <c r="F1096" s="565"/>
      <c r="G1096" s="592"/>
      <c r="H1096" s="565"/>
      <c r="I1096" s="565"/>
      <c r="J1096" s="565"/>
      <c r="K1096" s="466"/>
      <c r="L1096" s="459"/>
      <c r="M1096" s="460"/>
      <c r="N1096" s="459"/>
      <c r="O1096" s="261"/>
      <c r="P1096" s="565"/>
      <c r="Q1096" s="565"/>
      <c r="R1096" s="467"/>
    </row>
    <row r="1097" spans="1:18" s="438" customFormat="1" outlineLevel="1">
      <c r="A1097" s="569"/>
      <c r="B1097" s="587"/>
      <c r="C1097" s="589"/>
      <c r="D1097" s="565"/>
      <c r="E1097" s="596"/>
      <c r="F1097" s="565"/>
      <c r="G1097" s="592"/>
      <c r="H1097" s="565"/>
      <c r="I1097" s="565"/>
      <c r="J1097" s="565"/>
      <c r="K1097" s="466"/>
      <c r="L1097" s="459"/>
      <c r="M1097" s="460"/>
      <c r="N1097" s="459"/>
      <c r="O1097" s="261"/>
      <c r="P1097" s="565"/>
      <c r="Q1097" s="565"/>
      <c r="R1097" s="467"/>
    </row>
    <row r="1098" spans="1:18" s="438" customFormat="1" outlineLevel="1">
      <c r="A1098" s="569"/>
      <c r="B1098" s="587"/>
      <c r="C1098" s="589"/>
      <c r="D1098" s="565"/>
      <c r="E1098" s="596"/>
      <c r="F1098" s="565"/>
      <c r="G1098" s="592"/>
      <c r="H1098" s="565"/>
      <c r="I1098" s="565"/>
      <c r="J1098" s="565"/>
      <c r="K1098" s="466"/>
      <c r="L1098" s="459"/>
      <c r="M1098" s="460"/>
      <c r="N1098" s="459"/>
      <c r="O1098" s="261"/>
      <c r="P1098" s="565"/>
      <c r="Q1098" s="565"/>
      <c r="R1098" s="467"/>
    </row>
    <row r="1099" spans="1:18" s="438" customFormat="1" outlineLevel="1">
      <c r="A1099" s="569"/>
      <c r="B1099" s="587"/>
      <c r="C1099" s="589"/>
      <c r="D1099" s="565"/>
      <c r="E1099" s="596"/>
      <c r="F1099" s="565"/>
      <c r="G1099" s="592"/>
      <c r="H1099" s="565"/>
      <c r="I1099" s="565"/>
      <c r="J1099" s="565"/>
      <c r="K1099" s="466"/>
      <c r="L1099" s="459"/>
      <c r="M1099" s="460"/>
      <c r="N1099" s="459"/>
      <c r="O1099" s="261"/>
      <c r="P1099" s="565"/>
      <c r="Q1099" s="565"/>
      <c r="R1099" s="467"/>
    </row>
    <row r="1100" spans="1:18" s="438" customFormat="1" outlineLevel="1">
      <c r="A1100" s="569"/>
      <c r="B1100" s="587"/>
      <c r="C1100" s="589"/>
      <c r="D1100" s="565"/>
      <c r="E1100" s="596"/>
      <c r="F1100" s="565"/>
      <c r="G1100" s="592"/>
      <c r="H1100" s="565"/>
      <c r="I1100" s="565"/>
      <c r="J1100" s="565"/>
      <c r="K1100" s="466"/>
      <c r="L1100" s="459"/>
      <c r="M1100" s="460"/>
      <c r="N1100" s="459"/>
      <c r="O1100" s="261"/>
      <c r="P1100" s="565"/>
      <c r="Q1100" s="565"/>
      <c r="R1100" s="467"/>
    </row>
    <row r="1101" spans="1:18" s="438" customFormat="1" outlineLevel="1">
      <c r="A1101" s="569"/>
      <c r="B1101" s="587"/>
      <c r="C1101" s="589"/>
      <c r="D1101" s="565"/>
      <c r="E1101" s="596"/>
      <c r="F1101" s="565"/>
      <c r="G1101" s="592"/>
      <c r="H1101" s="565"/>
      <c r="I1101" s="565"/>
      <c r="J1101" s="565"/>
      <c r="K1101" s="466"/>
      <c r="L1101" s="459"/>
      <c r="M1101" s="460"/>
      <c r="N1101" s="459"/>
      <c r="O1101" s="261"/>
      <c r="P1101" s="565"/>
      <c r="Q1101" s="565"/>
      <c r="R1101" s="467"/>
    </row>
    <row r="1102" spans="1:18" s="438" customFormat="1" outlineLevel="1">
      <c r="A1102" s="569"/>
      <c r="B1102" s="587"/>
      <c r="C1102" s="589"/>
      <c r="D1102" s="565"/>
      <c r="E1102" s="596"/>
      <c r="F1102" s="565"/>
      <c r="G1102" s="592"/>
      <c r="H1102" s="565"/>
      <c r="I1102" s="565"/>
      <c r="J1102" s="565"/>
      <c r="K1102" s="466"/>
      <c r="L1102" s="459"/>
      <c r="M1102" s="460"/>
      <c r="N1102" s="459"/>
      <c r="O1102" s="261"/>
      <c r="P1102" s="565"/>
      <c r="Q1102" s="565"/>
      <c r="R1102" s="467"/>
    </row>
    <row r="1103" spans="1:18" s="438" customFormat="1" outlineLevel="1">
      <c r="A1103" s="569"/>
      <c r="B1103" s="587"/>
      <c r="C1103" s="589"/>
      <c r="D1103" s="565"/>
      <c r="E1103" s="596"/>
      <c r="F1103" s="565"/>
      <c r="G1103" s="592"/>
      <c r="H1103" s="565"/>
      <c r="I1103" s="565"/>
      <c r="J1103" s="565"/>
      <c r="K1103" s="466"/>
      <c r="L1103" s="459"/>
      <c r="M1103" s="460"/>
      <c r="N1103" s="459"/>
      <c r="O1103" s="261"/>
      <c r="P1103" s="565"/>
      <c r="Q1103" s="565"/>
      <c r="R1103" s="467"/>
    </row>
    <row r="1104" spans="1:18" s="438" customFormat="1" outlineLevel="1">
      <c r="A1104" s="569"/>
      <c r="B1104" s="587"/>
      <c r="C1104" s="589"/>
      <c r="D1104" s="565"/>
      <c r="E1104" s="596"/>
      <c r="F1104" s="565"/>
      <c r="G1104" s="592"/>
      <c r="H1104" s="565"/>
      <c r="I1104" s="565"/>
      <c r="J1104" s="565"/>
      <c r="K1104" s="466"/>
      <c r="L1104" s="459"/>
      <c r="M1104" s="460"/>
      <c r="N1104" s="459"/>
      <c r="O1104" s="261"/>
      <c r="P1104" s="565"/>
      <c r="Q1104" s="565"/>
      <c r="R1104" s="467"/>
    </row>
    <row r="1105" spans="1:18" s="438" customFormat="1" outlineLevel="1">
      <c r="A1105" s="569"/>
      <c r="B1105" s="587"/>
      <c r="C1105" s="589"/>
      <c r="D1105" s="565"/>
      <c r="E1105" s="596"/>
      <c r="F1105" s="565"/>
      <c r="G1105" s="592"/>
      <c r="H1105" s="565"/>
      <c r="I1105" s="565"/>
      <c r="J1105" s="565"/>
      <c r="K1105" s="466"/>
      <c r="L1105" s="459"/>
      <c r="M1105" s="460"/>
      <c r="N1105" s="459"/>
      <c r="O1105" s="261"/>
      <c r="P1105" s="565"/>
      <c r="Q1105" s="565"/>
      <c r="R1105" s="467"/>
    </row>
    <row r="1106" spans="1:18" s="438" customFormat="1" outlineLevel="1">
      <c r="A1106" s="569"/>
      <c r="B1106" s="587"/>
      <c r="C1106" s="589"/>
      <c r="D1106" s="565"/>
      <c r="E1106" s="596"/>
      <c r="F1106" s="565"/>
      <c r="G1106" s="592"/>
      <c r="H1106" s="565"/>
      <c r="I1106" s="565"/>
      <c r="J1106" s="565"/>
      <c r="K1106" s="466"/>
      <c r="L1106" s="459"/>
      <c r="M1106" s="460"/>
      <c r="N1106" s="459"/>
      <c r="O1106" s="261"/>
      <c r="P1106" s="565"/>
      <c r="Q1106" s="565"/>
      <c r="R1106" s="467"/>
    </row>
    <row r="1107" spans="1:18" s="438" customFormat="1" outlineLevel="1">
      <c r="A1107" s="569"/>
      <c r="B1107" s="587"/>
      <c r="C1107" s="589"/>
      <c r="D1107" s="565"/>
      <c r="E1107" s="596"/>
      <c r="F1107" s="565"/>
      <c r="G1107" s="592"/>
      <c r="H1107" s="565"/>
      <c r="I1107" s="565"/>
      <c r="J1107" s="565"/>
      <c r="K1107" s="466"/>
      <c r="L1107" s="459"/>
      <c r="M1107" s="460"/>
      <c r="N1107" s="459"/>
      <c r="O1107" s="261"/>
      <c r="P1107" s="565"/>
      <c r="Q1107" s="565"/>
      <c r="R1107" s="467"/>
    </row>
    <row r="1108" spans="1:18" s="438" customFormat="1" outlineLevel="1">
      <c r="A1108" s="570"/>
      <c r="B1108" s="588"/>
      <c r="C1108" s="590"/>
      <c r="D1108" s="566"/>
      <c r="E1108" s="596"/>
      <c r="F1108" s="566"/>
      <c r="G1108" s="593"/>
      <c r="H1108" s="566"/>
      <c r="I1108" s="566"/>
      <c r="J1108" s="566"/>
      <c r="K1108" s="466"/>
      <c r="L1108" s="459"/>
      <c r="M1108" s="460"/>
      <c r="N1108" s="459"/>
      <c r="O1108" s="261"/>
      <c r="P1108" s="566"/>
      <c r="Q1108" s="566"/>
      <c r="R1108" s="467"/>
    </row>
    <row r="1109" spans="1:18" s="438" customFormat="1" outlineLevel="1">
      <c r="A1109" s="568"/>
      <c r="B1109" s="587"/>
      <c r="C1109" s="595"/>
      <c r="D1109" s="565"/>
      <c r="E1109" s="596"/>
      <c r="F1109" s="565"/>
      <c r="G1109" s="597"/>
      <c r="H1109" s="594"/>
      <c r="I1109" s="594"/>
      <c r="J1109" s="594"/>
      <c r="K1109" s="458"/>
      <c r="L1109" s="459"/>
      <c r="M1109" s="460"/>
      <c r="N1109" s="459"/>
      <c r="O1109" s="261"/>
      <c r="P1109" s="594"/>
      <c r="Q1109" s="594"/>
      <c r="R1109" s="467"/>
    </row>
    <row r="1110" spans="1:18" s="438" customFormat="1" outlineLevel="1">
      <c r="A1110" s="569"/>
      <c r="B1110" s="587"/>
      <c r="C1110" s="589"/>
      <c r="D1110" s="565"/>
      <c r="E1110" s="596"/>
      <c r="F1110" s="565"/>
      <c r="G1110" s="592"/>
      <c r="H1110" s="565"/>
      <c r="I1110" s="565"/>
      <c r="J1110" s="565"/>
      <c r="K1110" s="466"/>
      <c r="L1110" s="459"/>
      <c r="M1110" s="460"/>
      <c r="N1110" s="459"/>
      <c r="O1110" s="261"/>
      <c r="P1110" s="565"/>
      <c r="Q1110" s="565"/>
      <c r="R1110" s="467"/>
    </row>
    <row r="1111" spans="1:18" s="438" customFormat="1" outlineLevel="1">
      <c r="A1111" s="569"/>
      <c r="B1111" s="587"/>
      <c r="C1111" s="589"/>
      <c r="D1111" s="565"/>
      <c r="E1111" s="596"/>
      <c r="F1111" s="565"/>
      <c r="G1111" s="592"/>
      <c r="H1111" s="565"/>
      <c r="I1111" s="565"/>
      <c r="J1111" s="565"/>
      <c r="K1111" s="466"/>
      <c r="L1111" s="459"/>
      <c r="M1111" s="460"/>
      <c r="N1111" s="459"/>
      <c r="O1111" s="261"/>
      <c r="P1111" s="565"/>
      <c r="Q1111" s="565"/>
      <c r="R1111" s="467"/>
    </row>
    <row r="1112" spans="1:18" s="438" customFormat="1" outlineLevel="1">
      <c r="A1112" s="569"/>
      <c r="B1112" s="587"/>
      <c r="C1112" s="589"/>
      <c r="D1112" s="565"/>
      <c r="E1112" s="596"/>
      <c r="F1112" s="565"/>
      <c r="G1112" s="592"/>
      <c r="H1112" s="565"/>
      <c r="I1112" s="565"/>
      <c r="J1112" s="565"/>
      <c r="K1112" s="466"/>
      <c r="L1112" s="459"/>
      <c r="M1112" s="460"/>
      <c r="N1112" s="459"/>
      <c r="O1112" s="261"/>
      <c r="P1112" s="565"/>
      <c r="Q1112" s="565"/>
      <c r="R1112" s="467"/>
    </row>
    <row r="1113" spans="1:18" s="438" customFormat="1" outlineLevel="1">
      <c r="A1113" s="569"/>
      <c r="B1113" s="587"/>
      <c r="C1113" s="589"/>
      <c r="D1113" s="565"/>
      <c r="E1113" s="596"/>
      <c r="F1113" s="565"/>
      <c r="G1113" s="592"/>
      <c r="H1113" s="565"/>
      <c r="I1113" s="565"/>
      <c r="J1113" s="565"/>
      <c r="K1113" s="466"/>
      <c r="L1113" s="459"/>
      <c r="M1113" s="460"/>
      <c r="N1113" s="459"/>
      <c r="O1113" s="261"/>
      <c r="P1113" s="565"/>
      <c r="Q1113" s="565"/>
      <c r="R1113" s="467"/>
    </row>
    <row r="1114" spans="1:18" s="438" customFormat="1" outlineLevel="1">
      <c r="A1114" s="569"/>
      <c r="B1114" s="587"/>
      <c r="C1114" s="589"/>
      <c r="D1114" s="565"/>
      <c r="E1114" s="596"/>
      <c r="F1114" s="565"/>
      <c r="G1114" s="592"/>
      <c r="H1114" s="565"/>
      <c r="I1114" s="565"/>
      <c r="J1114" s="565"/>
      <c r="K1114" s="466"/>
      <c r="L1114" s="459"/>
      <c r="M1114" s="460"/>
      <c r="N1114" s="459"/>
      <c r="O1114" s="261"/>
      <c r="P1114" s="565"/>
      <c r="Q1114" s="565"/>
      <c r="R1114" s="467"/>
    </row>
    <row r="1115" spans="1:18" s="438" customFormat="1" outlineLevel="1">
      <c r="A1115" s="569"/>
      <c r="B1115" s="587"/>
      <c r="C1115" s="589"/>
      <c r="D1115" s="565"/>
      <c r="E1115" s="596"/>
      <c r="F1115" s="565"/>
      <c r="G1115" s="592"/>
      <c r="H1115" s="565"/>
      <c r="I1115" s="565"/>
      <c r="J1115" s="565"/>
      <c r="K1115" s="466"/>
      <c r="L1115" s="459"/>
      <c r="M1115" s="460"/>
      <c r="N1115" s="459"/>
      <c r="O1115" s="261"/>
      <c r="P1115" s="565"/>
      <c r="Q1115" s="565"/>
      <c r="R1115" s="467"/>
    </row>
    <row r="1116" spans="1:18" s="438" customFormat="1" outlineLevel="1">
      <c r="A1116" s="569"/>
      <c r="B1116" s="587"/>
      <c r="C1116" s="589"/>
      <c r="D1116" s="565"/>
      <c r="E1116" s="596"/>
      <c r="F1116" s="565"/>
      <c r="G1116" s="592"/>
      <c r="H1116" s="565"/>
      <c r="I1116" s="565"/>
      <c r="J1116" s="565"/>
      <c r="K1116" s="466"/>
      <c r="L1116" s="459"/>
      <c r="M1116" s="460"/>
      <c r="N1116" s="459"/>
      <c r="O1116" s="261"/>
      <c r="P1116" s="565"/>
      <c r="Q1116" s="565"/>
      <c r="R1116" s="467"/>
    </row>
    <row r="1117" spans="1:18" s="438" customFormat="1" outlineLevel="1">
      <c r="A1117" s="569"/>
      <c r="B1117" s="587"/>
      <c r="C1117" s="589"/>
      <c r="D1117" s="565"/>
      <c r="E1117" s="596"/>
      <c r="F1117" s="565"/>
      <c r="G1117" s="592"/>
      <c r="H1117" s="565"/>
      <c r="I1117" s="565"/>
      <c r="J1117" s="565"/>
      <c r="K1117" s="466"/>
      <c r="L1117" s="459"/>
      <c r="M1117" s="460"/>
      <c r="N1117" s="459"/>
      <c r="O1117" s="261"/>
      <c r="P1117" s="565"/>
      <c r="Q1117" s="565"/>
      <c r="R1117" s="467"/>
    </row>
    <row r="1118" spans="1:18" s="438" customFormat="1" outlineLevel="1">
      <c r="A1118" s="569"/>
      <c r="B1118" s="587"/>
      <c r="C1118" s="589"/>
      <c r="D1118" s="565"/>
      <c r="E1118" s="596"/>
      <c r="F1118" s="565"/>
      <c r="G1118" s="592"/>
      <c r="H1118" s="565"/>
      <c r="I1118" s="565"/>
      <c r="J1118" s="565"/>
      <c r="K1118" s="466"/>
      <c r="L1118" s="459"/>
      <c r="M1118" s="460"/>
      <c r="N1118" s="459"/>
      <c r="O1118" s="261"/>
      <c r="P1118" s="565"/>
      <c r="Q1118" s="565"/>
      <c r="R1118" s="467"/>
    </row>
    <row r="1119" spans="1:18" s="438" customFormat="1" outlineLevel="1">
      <c r="A1119" s="569"/>
      <c r="B1119" s="587"/>
      <c r="C1119" s="589"/>
      <c r="D1119" s="565"/>
      <c r="E1119" s="596"/>
      <c r="F1119" s="565"/>
      <c r="G1119" s="592"/>
      <c r="H1119" s="565"/>
      <c r="I1119" s="565"/>
      <c r="J1119" s="565"/>
      <c r="K1119" s="466"/>
      <c r="L1119" s="459"/>
      <c r="M1119" s="460"/>
      <c r="N1119" s="459"/>
      <c r="O1119" s="261"/>
      <c r="P1119" s="565"/>
      <c r="Q1119" s="565"/>
      <c r="R1119" s="467"/>
    </row>
    <row r="1120" spans="1:18" s="438" customFormat="1" outlineLevel="1">
      <c r="A1120" s="569"/>
      <c r="B1120" s="587"/>
      <c r="C1120" s="589"/>
      <c r="D1120" s="565"/>
      <c r="E1120" s="596"/>
      <c r="F1120" s="565"/>
      <c r="G1120" s="592"/>
      <c r="H1120" s="565"/>
      <c r="I1120" s="565"/>
      <c r="J1120" s="565"/>
      <c r="K1120" s="466"/>
      <c r="L1120" s="459"/>
      <c r="M1120" s="460"/>
      <c r="N1120" s="459"/>
      <c r="O1120" s="261"/>
      <c r="P1120" s="565"/>
      <c r="Q1120" s="565"/>
      <c r="R1120" s="467"/>
    </row>
    <row r="1121" spans="1:18" s="438" customFormat="1" outlineLevel="1">
      <c r="A1121" s="569"/>
      <c r="B1121" s="587"/>
      <c r="C1121" s="589"/>
      <c r="D1121" s="565"/>
      <c r="E1121" s="596"/>
      <c r="F1121" s="565"/>
      <c r="G1121" s="592"/>
      <c r="H1121" s="565"/>
      <c r="I1121" s="565"/>
      <c r="J1121" s="565"/>
      <c r="K1121" s="466"/>
      <c r="L1121" s="459"/>
      <c r="M1121" s="460"/>
      <c r="N1121" s="459"/>
      <c r="O1121" s="261"/>
      <c r="P1121" s="565"/>
      <c r="Q1121" s="565"/>
      <c r="R1121" s="467"/>
    </row>
    <row r="1122" spans="1:18" s="438" customFormat="1" outlineLevel="1">
      <c r="A1122" s="569"/>
      <c r="B1122" s="587"/>
      <c r="C1122" s="589"/>
      <c r="D1122" s="565"/>
      <c r="E1122" s="596"/>
      <c r="F1122" s="565"/>
      <c r="G1122" s="592"/>
      <c r="H1122" s="565"/>
      <c r="I1122" s="565"/>
      <c r="J1122" s="565"/>
      <c r="K1122" s="466"/>
      <c r="L1122" s="459"/>
      <c r="M1122" s="460"/>
      <c r="N1122" s="459"/>
      <c r="O1122" s="261"/>
      <c r="P1122" s="565"/>
      <c r="Q1122" s="565"/>
      <c r="R1122" s="467"/>
    </row>
    <row r="1123" spans="1:18" s="438" customFormat="1" outlineLevel="1">
      <c r="A1123" s="569"/>
      <c r="B1123" s="587"/>
      <c r="C1123" s="589"/>
      <c r="D1123" s="565"/>
      <c r="E1123" s="596"/>
      <c r="F1123" s="565"/>
      <c r="G1123" s="592"/>
      <c r="H1123" s="565"/>
      <c r="I1123" s="565"/>
      <c r="J1123" s="565"/>
      <c r="K1123" s="466"/>
      <c r="L1123" s="459"/>
      <c r="M1123" s="460"/>
      <c r="N1123" s="459"/>
      <c r="O1123" s="261"/>
      <c r="P1123" s="565"/>
      <c r="Q1123" s="565"/>
      <c r="R1123" s="467"/>
    </row>
    <row r="1124" spans="1:18" s="438" customFormat="1" outlineLevel="1">
      <c r="A1124" s="570"/>
      <c r="B1124" s="588"/>
      <c r="C1124" s="590"/>
      <c r="D1124" s="566"/>
      <c r="E1124" s="596"/>
      <c r="F1124" s="566"/>
      <c r="G1124" s="593"/>
      <c r="H1124" s="566"/>
      <c r="I1124" s="566"/>
      <c r="J1124" s="566"/>
      <c r="K1124" s="466"/>
      <c r="L1124" s="459"/>
      <c r="M1124" s="460"/>
      <c r="N1124" s="459"/>
      <c r="O1124" s="261"/>
      <c r="P1124" s="566"/>
      <c r="Q1124" s="566"/>
      <c r="R1124" s="467"/>
    </row>
    <row r="1125" spans="1:18" s="438" customFormat="1" outlineLevel="1">
      <c r="A1125" s="568"/>
      <c r="B1125" s="587"/>
      <c r="C1125" s="595"/>
      <c r="D1125" s="565"/>
      <c r="E1125" s="596"/>
      <c r="F1125" s="565"/>
      <c r="G1125" s="597"/>
      <c r="H1125" s="594"/>
      <c r="I1125" s="594"/>
      <c r="J1125" s="594"/>
      <c r="K1125" s="458"/>
      <c r="L1125" s="459"/>
      <c r="M1125" s="460"/>
      <c r="N1125" s="459"/>
      <c r="O1125" s="261"/>
      <c r="P1125" s="594"/>
      <c r="Q1125" s="594"/>
      <c r="R1125" s="467"/>
    </row>
    <row r="1126" spans="1:18" s="438" customFormat="1" outlineLevel="1">
      <c r="A1126" s="569"/>
      <c r="B1126" s="587"/>
      <c r="C1126" s="589"/>
      <c r="D1126" s="565"/>
      <c r="E1126" s="596"/>
      <c r="F1126" s="565"/>
      <c r="G1126" s="592"/>
      <c r="H1126" s="565"/>
      <c r="I1126" s="565"/>
      <c r="J1126" s="565"/>
      <c r="K1126" s="466"/>
      <c r="L1126" s="459"/>
      <c r="M1126" s="460"/>
      <c r="N1126" s="459"/>
      <c r="O1126" s="261"/>
      <c r="P1126" s="565"/>
      <c r="Q1126" s="565"/>
      <c r="R1126" s="467"/>
    </row>
    <row r="1127" spans="1:18" s="438" customFormat="1" outlineLevel="1">
      <c r="A1127" s="569"/>
      <c r="B1127" s="587"/>
      <c r="C1127" s="589"/>
      <c r="D1127" s="565"/>
      <c r="E1127" s="596"/>
      <c r="F1127" s="565"/>
      <c r="G1127" s="592"/>
      <c r="H1127" s="565"/>
      <c r="I1127" s="565"/>
      <c r="J1127" s="565"/>
      <c r="K1127" s="466"/>
      <c r="L1127" s="459"/>
      <c r="M1127" s="460"/>
      <c r="N1127" s="459"/>
      <c r="O1127" s="261"/>
      <c r="P1127" s="565"/>
      <c r="Q1127" s="565"/>
      <c r="R1127" s="467"/>
    </row>
    <row r="1128" spans="1:18" s="438" customFormat="1" outlineLevel="1">
      <c r="A1128" s="569"/>
      <c r="B1128" s="587"/>
      <c r="C1128" s="589"/>
      <c r="D1128" s="565"/>
      <c r="E1128" s="596"/>
      <c r="F1128" s="565"/>
      <c r="G1128" s="592"/>
      <c r="H1128" s="565"/>
      <c r="I1128" s="565"/>
      <c r="J1128" s="565"/>
      <c r="K1128" s="466"/>
      <c r="L1128" s="459"/>
      <c r="M1128" s="460"/>
      <c r="N1128" s="459"/>
      <c r="O1128" s="261"/>
      <c r="P1128" s="565"/>
      <c r="Q1128" s="565"/>
      <c r="R1128" s="467"/>
    </row>
    <row r="1129" spans="1:18" s="438" customFormat="1" outlineLevel="1">
      <c r="A1129" s="569"/>
      <c r="B1129" s="587"/>
      <c r="C1129" s="589"/>
      <c r="D1129" s="565"/>
      <c r="E1129" s="596"/>
      <c r="F1129" s="565"/>
      <c r="G1129" s="592"/>
      <c r="H1129" s="565"/>
      <c r="I1129" s="565"/>
      <c r="J1129" s="565"/>
      <c r="K1129" s="466"/>
      <c r="L1129" s="459"/>
      <c r="M1129" s="460"/>
      <c r="N1129" s="459"/>
      <c r="O1129" s="261"/>
      <c r="P1129" s="565"/>
      <c r="Q1129" s="565"/>
      <c r="R1129" s="467"/>
    </row>
    <row r="1130" spans="1:18" s="438" customFormat="1" outlineLevel="1">
      <c r="A1130" s="569"/>
      <c r="B1130" s="587"/>
      <c r="C1130" s="589"/>
      <c r="D1130" s="565"/>
      <c r="E1130" s="596"/>
      <c r="F1130" s="565"/>
      <c r="G1130" s="592"/>
      <c r="H1130" s="565"/>
      <c r="I1130" s="565"/>
      <c r="J1130" s="565"/>
      <c r="K1130" s="466"/>
      <c r="L1130" s="459"/>
      <c r="M1130" s="460"/>
      <c r="N1130" s="459"/>
      <c r="O1130" s="261"/>
      <c r="P1130" s="565"/>
      <c r="Q1130" s="565"/>
      <c r="R1130" s="467"/>
    </row>
    <row r="1131" spans="1:18" s="438" customFormat="1" outlineLevel="1">
      <c r="A1131" s="569"/>
      <c r="B1131" s="587"/>
      <c r="C1131" s="589"/>
      <c r="D1131" s="565"/>
      <c r="E1131" s="596"/>
      <c r="F1131" s="565"/>
      <c r="G1131" s="592"/>
      <c r="H1131" s="565"/>
      <c r="I1131" s="565"/>
      <c r="J1131" s="565"/>
      <c r="K1131" s="466"/>
      <c r="L1131" s="459"/>
      <c r="M1131" s="460"/>
      <c r="N1131" s="459"/>
      <c r="O1131" s="261"/>
      <c r="P1131" s="565"/>
      <c r="Q1131" s="565"/>
      <c r="R1131" s="467"/>
    </row>
    <row r="1132" spans="1:18" s="438" customFormat="1" outlineLevel="1">
      <c r="A1132" s="569"/>
      <c r="B1132" s="587"/>
      <c r="C1132" s="589"/>
      <c r="D1132" s="565"/>
      <c r="E1132" s="596"/>
      <c r="F1132" s="565"/>
      <c r="G1132" s="592"/>
      <c r="H1132" s="565"/>
      <c r="I1132" s="565"/>
      <c r="J1132" s="565"/>
      <c r="K1132" s="466"/>
      <c r="L1132" s="459"/>
      <c r="M1132" s="460"/>
      <c r="N1132" s="459"/>
      <c r="O1132" s="261"/>
      <c r="P1132" s="565"/>
      <c r="Q1132" s="565"/>
      <c r="R1132" s="467"/>
    </row>
    <row r="1133" spans="1:18" s="438" customFormat="1" outlineLevel="1">
      <c r="A1133" s="569"/>
      <c r="B1133" s="587"/>
      <c r="C1133" s="589"/>
      <c r="D1133" s="565"/>
      <c r="E1133" s="596"/>
      <c r="F1133" s="565"/>
      <c r="G1133" s="592"/>
      <c r="H1133" s="565"/>
      <c r="I1133" s="565"/>
      <c r="J1133" s="565"/>
      <c r="K1133" s="466"/>
      <c r="L1133" s="459"/>
      <c r="M1133" s="460"/>
      <c r="N1133" s="459"/>
      <c r="O1133" s="261"/>
      <c r="P1133" s="565"/>
      <c r="Q1133" s="565"/>
      <c r="R1133" s="467"/>
    </row>
    <row r="1134" spans="1:18" s="438" customFormat="1" outlineLevel="1">
      <c r="A1134" s="569"/>
      <c r="B1134" s="587"/>
      <c r="C1134" s="589"/>
      <c r="D1134" s="565"/>
      <c r="E1134" s="596"/>
      <c r="F1134" s="565"/>
      <c r="G1134" s="592"/>
      <c r="H1134" s="565"/>
      <c r="I1134" s="565"/>
      <c r="J1134" s="565"/>
      <c r="K1134" s="466"/>
      <c r="L1134" s="459"/>
      <c r="M1134" s="460"/>
      <c r="N1134" s="459"/>
      <c r="O1134" s="261"/>
      <c r="P1134" s="565"/>
      <c r="Q1134" s="565"/>
      <c r="R1134" s="467"/>
    </row>
    <row r="1135" spans="1:18" s="438" customFormat="1" outlineLevel="1">
      <c r="A1135" s="569"/>
      <c r="B1135" s="587"/>
      <c r="C1135" s="589"/>
      <c r="D1135" s="565"/>
      <c r="E1135" s="596"/>
      <c r="F1135" s="565"/>
      <c r="G1135" s="592"/>
      <c r="H1135" s="565"/>
      <c r="I1135" s="565"/>
      <c r="J1135" s="565"/>
      <c r="K1135" s="466"/>
      <c r="L1135" s="459"/>
      <c r="M1135" s="460"/>
      <c r="N1135" s="459"/>
      <c r="O1135" s="261"/>
      <c r="P1135" s="565"/>
      <c r="Q1135" s="565"/>
      <c r="R1135" s="467"/>
    </row>
    <row r="1136" spans="1:18" s="438" customFormat="1" outlineLevel="1">
      <c r="A1136" s="569"/>
      <c r="B1136" s="587"/>
      <c r="C1136" s="589"/>
      <c r="D1136" s="565"/>
      <c r="E1136" s="596"/>
      <c r="F1136" s="565"/>
      <c r="G1136" s="592"/>
      <c r="H1136" s="565"/>
      <c r="I1136" s="565"/>
      <c r="J1136" s="565"/>
      <c r="K1136" s="466"/>
      <c r="L1136" s="459"/>
      <c r="M1136" s="460"/>
      <c r="N1136" s="459"/>
      <c r="O1136" s="261"/>
      <c r="P1136" s="565"/>
      <c r="Q1136" s="565"/>
      <c r="R1136" s="467"/>
    </row>
    <row r="1137" spans="1:18" s="438" customFormat="1" outlineLevel="1">
      <c r="A1137" s="569"/>
      <c r="B1137" s="587"/>
      <c r="C1137" s="589"/>
      <c r="D1137" s="565"/>
      <c r="E1137" s="596"/>
      <c r="F1137" s="565"/>
      <c r="G1137" s="592"/>
      <c r="H1137" s="565"/>
      <c r="I1137" s="565"/>
      <c r="J1137" s="565"/>
      <c r="K1137" s="466"/>
      <c r="L1137" s="459"/>
      <c r="M1137" s="460"/>
      <c r="N1137" s="459"/>
      <c r="O1137" s="261"/>
      <c r="P1137" s="565"/>
      <c r="Q1137" s="565"/>
      <c r="R1137" s="467"/>
    </row>
    <row r="1138" spans="1:18" s="438" customFormat="1" outlineLevel="1">
      <c r="A1138" s="569"/>
      <c r="B1138" s="587"/>
      <c r="C1138" s="589"/>
      <c r="D1138" s="565"/>
      <c r="E1138" s="596"/>
      <c r="F1138" s="565"/>
      <c r="G1138" s="592"/>
      <c r="H1138" s="565"/>
      <c r="I1138" s="565"/>
      <c r="J1138" s="565"/>
      <c r="K1138" s="466"/>
      <c r="L1138" s="459"/>
      <c r="M1138" s="460"/>
      <c r="N1138" s="459"/>
      <c r="O1138" s="261"/>
      <c r="P1138" s="565"/>
      <c r="Q1138" s="565"/>
      <c r="R1138" s="467"/>
    </row>
    <row r="1139" spans="1:18" s="438" customFormat="1" outlineLevel="1">
      <c r="A1139" s="569"/>
      <c r="B1139" s="587"/>
      <c r="C1139" s="589"/>
      <c r="D1139" s="565"/>
      <c r="E1139" s="596"/>
      <c r="F1139" s="565"/>
      <c r="G1139" s="592"/>
      <c r="H1139" s="565"/>
      <c r="I1139" s="565"/>
      <c r="J1139" s="565"/>
      <c r="K1139" s="466"/>
      <c r="L1139" s="459"/>
      <c r="M1139" s="460"/>
      <c r="N1139" s="459"/>
      <c r="O1139" s="261"/>
      <c r="P1139" s="565"/>
      <c r="Q1139" s="565"/>
      <c r="R1139" s="467"/>
    </row>
    <row r="1140" spans="1:18" s="438" customFormat="1" outlineLevel="1">
      <c r="A1140" s="570"/>
      <c r="B1140" s="588"/>
      <c r="C1140" s="590"/>
      <c r="D1140" s="566"/>
      <c r="E1140" s="596"/>
      <c r="F1140" s="566"/>
      <c r="G1140" s="593"/>
      <c r="H1140" s="566"/>
      <c r="I1140" s="566"/>
      <c r="J1140" s="566"/>
      <c r="K1140" s="466"/>
      <c r="L1140" s="459"/>
      <c r="M1140" s="460"/>
      <c r="N1140" s="459"/>
      <c r="O1140" s="261"/>
      <c r="P1140" s="566"/>
      <c r="Q1140" s="566"/>
      <c r="R1140" s="467"/>
    </row>
    <row r="1141" spans="1:18" s="438" customFormat="1" outlineLevel="1">
      <c r="A1141" s="568"/>
      <c r="B1141" s="587"/>
      <c r="C1141" s="595"/>
      <c r="D1141" s="565"/>
      <c r="E1141" s="596"/>
      <c r="F1141" s="565"/>
      <c r="G1141" s="597"/>
      <c r="H1141" s="594"/>
      <c r="I1141" s="594"/>
      <c r="J1141" s="594"/>
      <c r="K1141" s="458"/>
      <c r="L1141" s="459"/>
      <c r="M1141" s="460"/>
      <c r="N1141" s="459"/>
      <c r="O1141" s="261"/>
      <c r="P1141" s="594"/>
      <c r="Q1141" s="594"/>
      <c r="R1141" s="467"/>
    </row>
    <row r="1142" spans="1:18" s="438" customFormat="1" outlineLevel="1">
      <c r="A1142" s="569"/>
      <c r="B1142" s="587"/>
      <c r="C1142" s="589"/>
      <c r="D1142" s="565"/>
      <c r="E1142" s="596"/>
      <c r="F1142" s="565"/>
      <c r="G1142" s="592"/>
      <c r="H1142" s="565"/>
      <c r="I1142" s="565"/>
      <c r="J1142" s="565"/>
      <c r="K1142" s="466"/>
      <c r="L1142" s="459"/>
      <c r="M1142" s="460"/>
      <c r="N1142" s="459"/>
      <c r="O1142" s="261"/>
      <c r="P1142" s="565"/>
      <c r="Q1142" s="565"/>
      <c r="R1142" s="467"/>
    </row>
    <row r="1143" spans="1:18" s="438" customFormat="1" outlineLevel="1">
      <c r="A1143" s="569"/>
      <c r="B1143" s="587"/>
      <c r="C1143" s="589"/>
      <c r="D1143" s="565"/>
      <c r="E1143" s="596"/>
      <c r="F1143" s="565"/>
      <c r="G1143" s="592"/>
      <c r="H1143" s="565"/>
      <c r="I1143" s="565"/>
      <c r="J1143" s="565"/>
      <c r="K1143" s="466"/>
      <c r="L1143" s="459"/>
      <c r="M1143" s="460"/>
      <c r="N1143" s="459"/>
      <c r="O1143" s="261"/>
      <c r="P1143" s="565"/>
      <c r="Q1143" s="565"/>
      <c r="R1143" s="467"/>
    </row>
    <row r="1144" spans="1:18" s="438" customFormat="1" outlineLevel="1">
      <c r="A1144" s="569"/>
      <c r="B1144" s="587"/>
      <c r="C1144" s="589"/>
      <c r="D1144" s="565"/>
      <c r="E1144" s="596"/>
      <c r="F1144" s="565"/>
      <c r="G1144" s="592"/>
      <c r="H1144" s="565"/>
      <c r="I1144" s="565"/>
      <c r="J1144" s="565"/>
      <c r="K1144" s="466"/>
      <c r="L1144" s="459"/>
      <c r="M1144" s="460"/>
      <c r="N1144" s="459"/>
      <c r="O1144" s="261"/>
      <c r="P1144" s="565"/>
      <c r="Q1144" s="565"/>
      <c r="R1144" s="467"/>
    </row>
    <row r="1145" spans="1:18" s="438" customFormat="1" outlineLevel="1">
      <c r="A1145" s="569"/>
      <c r="B1145" s="587"/>
      <c r="C1145" s="589"/>
      <c r="D1145" s="565"/>
      <c r="E1145" s="596"/>
      <c r="F1145" s="565"/>
      <c r="G1145" s="592"/>
      <c r="H1145" s="565"/>
      <c r="I1145" s="565"/>
      <c r="J1145" s="565"/>
      <c r="K1145" s="466"/>
      <c r="L1145" s="459"/>
      <c r="M1145" s="460"/>
      <c r="N1145" s="459"/>
      <c r="O1145" s="261"/>
      <c r="P1145" s="565"/>
      <c r="Q1145" s="565"/>
      <c r="R1145" s="467"/>
    </row>
    <row r="1146" spans="1:18" s="438" customFormat="1" outlineLevel="1">
      <c r="A1146" s="569"/>
      <c r="B1146" s="587"/>
      <c r="C1146" s="589"/>
      <c r="D1146" s="565"/>
      <c r="E1146" s="596"/>
      <c r="F1146" s="565"/>
      <c r="G1146" s="592"/>
      <c r="H1146" s="565"/>
      <c r="I1146" s="565"/>
      <c r="J1146" s="565"/>
      <c r="K1146" s="466"/>
      <c r="L1146" s="459"/>
      <c r="M1146" s="460"/>
      <c r="N1146" s="459"/>
      <c r="O1146" s="261"/>
      <c r="P1146" s="565"/>
      <c r="Q1146" s="565"/>
      <c r="R1146" s="467"/>
    </row>
    <row r="1147" spans="1:18" s="438" customFormat="1" outlineLevel="1">
      <c r="A1147" s="569"/>
      <c r="B1147" s="587"/>
      <c r="C1147" s="589"/>
      <c r="D1147" s="565"/>
      <c r="E1147" s="596"/>
      <c r="F1147" s="565"/>
      <c r="G1147" s="592"/>
      <c r="H1147" s="565"/>
      <c r="I1147" s="565"/>
      <c r="J1147" s="565"/>
      <c r="K1147" s="466"/>
      <c r="L1147" s="459"/>
      <c r="M1147" s="460"/>
      <c r="N1147" s="459"/>
      <c r="O1147" s="261"/>
      <c r="P1147" s="565"/>
      <c r="Q1147" s="565"/>
      <c r="R1147" s="467"/>
    </row>
    <row r="1148" spans="1:18" s="438" customFormat="1" outlineLevel="1">
      <c r="A1148" s="569"/>
      <c r="B1148" s="587"/>
      <c r="C1148" s="589"/>
      <c r="D1148" s="565"/>
      <c r="E1148" s="596"/>
      <c r="F1148" s="565"/>
      <c r="G1148" s="592"/>
      <c r="H1148" s="565"/>
      <c r="I1148" s="565"/>
      <c r="J1148" s="565"/>
      <c r="K1148" s="466"/>
      <c r="L1148" s="459"/>
      <c r="M1148" s="460"/>
      <c r="N1148" s="459"/>
      <c r="O1148" s="261"/>
      <c r="P1148" s="565"/>
      <c r="Q1148" s="565"/>
      <c r="R1148" s="467"/>
    </row>
    <row r="1149" spans="1:18" s="438" customFormat="1" outlineLevel="1">
      <c r="A1149" s="569"/>
      <c r="B1149" s="587"/>
      <c r="C1149" s="589"/>
      <c r="D1149" s="565"/>
      <c r="E1149" s="596"/>
      <c r="F1149" s="565"/>
      <c r="G1149" s="592"/>
      <c r="H1149" s="565"/>
      <c r="I1149" s="565"/>
      <c r="J1149" s="565"/>
      <c r="K1149" s="466"/>
      <c r="L1149" s="459"/>
      <c r="M1149" s="460"/>
      <c r="N1149" s="459"/>
      <c r="O1149" s="261"/>
      <c r="P1149" s="565"/>
      <c r="Q1149" s="565"/>
      <c r="R1149" s="467"/>
    </row>
    <row r="1150" spans="1:18" s="438" customFormat="1" outlineLevel="1">
      <c r="A1150" s="569"/>
      <c r="B1150" s="587"/>
      <c r="C1150" s="589"/>
      <c r="D1150" s="565"/>
      <c r="E1150" s="596"/>
      <c r="F1150" s="565"/>
      <c r="G1150" s="592"/>
      <c r="H1150" s="565"/>
      <c r="I1150" s="565"/>
      <c r="J1150" s="565"/>
      <c r="K1150" s="466"/>
      <c r="L1150" s="459"/>
      <c r="M1150" s="460"/>
      <c r="N1150" s="459"/>
      <c r="O1150" s="261"/>
      <c r="P1150" s="565"/>
      <c r="Q1150" s="565"/>
      <c r="R1150" s="467"/>
    </row>
    <row r="1151" spans="1:18" s="438" customFormat="1" outlineLevel="1">
      <c r="A1151" s="569"/>
      <c r="B1151" s="587"/>
      <c r="C1151" s="589"/>
      <c r="D1151" s="565"/>
      <c r="E1151" s="596"/>
      <c r="F1151" s="565"/>
      <c r="G1151" s="592"/>
      <c r="H1151" s="565"/>
      <c r="I1151" s="565"/>
      <c r="J1151" s="565"/>
      <c r="K1151" s="466"/>
      <c r="L1151" s="459"/>
      <c r="M1151" s="460"/>
      <c r="N1151" s="459"/>
      <c r="O1151" s="261"/>
      <c r="P1151" s="565"/>
      <c r="Q1151" s="565"/>
      <c r="R1151" s="467"/>
    </row>
    <row r="1152" spans="1:18" s="438" customFormat="1" outlineLevel="1">
      <c r="A1152" s="569"/>
      <c r="B1152" s="587"/>
      <c r="C1152" s="589"/>
      <c r="D1152" s="565"/>
      <c r="E1152" s="596"/>
      <c r="F1152" s="565"/>
      <c r="G1152" s="592"/>
      <c r="H1152" s="565"/>
      <c r="I1152" s="565"/>
      <c r="J1152" s="565"/>
      <c r="K1152" s="466"/>
      <c r="L1152" s="459"/>
      <c r="M1152" s="460"/>
      <c r="N1152" s="459"/>
      <c r="O1152" s="261"/>
      <c r="P1152" s="565"/>
      <c r="Q1152" s="565"/>
      <c r="R1152" s="467"/>
    </row>
    <row r="1153" spans="1:18" s="438" customFormat="1" outlineLevel="1">
      <c r="A1153" s="569"/>
      <c r="B1153" s="587"/>
      <c r="C1153" s="589"/>
      <c r="D1153" s="565"/>
      <c r="E1153" s="596"/>
      <c r="F1153" s="565"/>
      <c r="G1153" s="592"/>
      <c r="H1153" s="565"/>
      <c r="I1153" s="565"/>
      <c r="J1153" s="565"/>
      <c r="K1153" s="466"/>
      <c r="L1153" s="459"/>
      <c r="M1153" s="460"/>
      <c r="N1153" s="459"/>
      <c r="O1153" s="261"/>
      <c r="P1153" s="565"/>
      <c r="Q1153" s="565"/>
      <c r="R1153" s="467"/>
    </row>
    <row r="1154" spans="1:18" s="438" customFormat="1" outlineLevel="1">
      <c r="A1154" s="569"/>
      <c r="B1154" s="587"/>
      <c r="C1154" s="589"/>
      <c r="D1154" s="565"/>
      <c r="E1154" s="596"/>
      <c r="F1154" s="565"/>
      <c r="G1154" s="592"/>
      <c r="H1154" s="565"/>
      <c r="I1154" s="565"/>
      <c r="J1154" s="565"/>
      <c r="K1154" s="466"/>
      <c r="L1154" s="459"/>
      <c r="M1154" s="460"/>
      <c r="N1154" s="459"/>
      <c r="O1154" s="261"/>
      <c r="P1154" s="565"/>
      <c r="Q1154" s="565"/>
      <c r="R1154" s="467"/>
    </row>
    <row r="1155" spans="1:18" s="438" customFormat="1" outlineLevel="1">
      <c r="A1155" s="569"/>
      <c r="B1155" s="587"/>
      <c r="C1155" s="589"/>
      <c r="D1155" s="565"/>
      <c r="E1155" s="596"/>
      <c r="F1155" s="565"/>
      <c r="G1155" s="592"/>
      <c r="H1155" s="565"/>
      <c r="I1155" s="565"/>
      <c r="J1155" s="565"/>
      <c r="K1155" s="466"/>
      <c r="L1155" s="459"/>
      <c r="M1155" s="460"/>
      <c r="N1155" s="459"/>
      <c r="O1155" s="261"/>
      <c r="P1155" s="565"/>
      <c r="Q1155" s="565"/>
      <c r="R1155" s="467"/>
    </row>
    <row r="1156" spans="1:18" s="438" customFormat="1" outlineLevel="1">
      <c r="A1156" s="570"/>
      <c r="B1156" s="588"/>
      <c r="C1156" s="590"/>
      <c r="D1156" s="566"/>
      <c r="E1156" s="596"/>
      <c r="F1156" s="566"/>
      <c r="G1156" s="593"/>
      <c r="H1156" s="566"/>
      <c r="I1156" s="566"/>
      <c r="J1156" s="566"/>
      <c r="K1156" s="466"/>
      <c r="L1156" s="459"/>
      <c r="M1156" s="460"/>
      <c r="N1156" s="459"/>
      <c r="O1156" s="261"/>
      <c r="P1156" s="566"/>
      <c r="Q1156" s="566"/>
      <c r="R1156" s="467"/>
    </row>
    <row r="1157" spans="1:18" s="438" customFormat="1" outlineLevel="1">
      <c r="A1157" s="568"/>
      <c r="B1157" s="587"/>
      <c r="C1157" s="595"/>
      <c r="D1157" s="565"/>
      <c r="E1157" s="596"/>
      <c r="F1157" s="565"/>
      <c r="G1157" s="597"/>
      <c r="H1157" s="594"/>
      <c r="I1157" s="594"/>
      <c r="J1157" s="594"/>
      <c r="K1157" s="458"/>
      <c r="L1157" s="459"/>
      <c r="M1157" s="460"/>
      <c r="N1157" s="459"/>
      <c r="O1157" s="261"/>
      <c r="P1157" s="594"/>
      <c r="Q1157" s="594"/>
      <c r="R1157" s="467"/>
    </row>
    <row r="1158" spans="1:18" s="438" customFormat="1" outlineLevel="1">
      <c r="A1158" s="569"/>
      <c r="B1158" s="587"/>
      <c r="C1158" s="589"/>
      <c r="D1158" s="565"/>
      <c r="E1158" s="596"/>
      <c r="F1158" s="565"/>
      <c r="G1158" s="592"/>
      <c r="H1158" s="565"/>
      <c r="I1158" s="565"/>
      <c r="J1158" s="565"/>
      <c r="K1158" s="466"/>
      <c r="L1158" s="459"/>
      <c r="M1158" s="460"/>
      <c r="N1158" s="459"/>
      <c r="O1158" s="261"/>
      <c r="P1158" s="565"/>
      <c r="Q1158" s="565"/>
      <c r="R1158" s="467"/>
    </row>
    <row r="1159" spans="1:18" s="438" customFormat="1" outlineLevel="1">
      <c r="A1159" s="569"/>
      <c r="B1159" s="587"/>
      <c r="C1159" s="589"/>
      <c r="D1159" s="565"/>
      <c r="E1159" s="596"/>
      <c r="F1159" s="565"/>
      <c r="G1159" s="592"/>
      <c r="H1159" s="565"/>
      <c r="I1159" s="565"/>
      <c r="J1159" s="565"/>
      <c r="K1159" s="466"/>
      <c r="L1159" s="459"/>
      <c r="M1159" s="460"/>
      <c r="N1159" s="459"/>
      <c r="O1159" s="261"/>
      <c r="P1159" s="565"/>
      <c r="Q1159" s="565"/>
      <c r="R1159" s="467"/>
    </row>
    <row r="1160" spans="1:18" s="438" customFormat="1" outlineLevel="1">
      <c r="A1160" s="569"/>
      <c r="B1160" s="587"/>
      <c r="C1160" s="589"/>
      <c r="D1160" s="565"/>
      <c r="E1160" s="596"/>
      <c r="F1160" s="565"/>
      <c r="G1160" s="592"/>
      <c r="H1160" s="565"/>
      <c r="I1160" s="565"/>
      <c r="J1160" s="565"/>
      <c r="K1160" s="466"/>
      <c r="L1160" s="459"/>
      <c r="M1160" s="460"/>
      <c r="N1160" s="459"/>
      <c r="O1160" s="261"/>
      <c r="P1160" s="565"/>
      <c r="Q1160" s="565"/>
      <c r="R1160" s="467"/>
    </row>
    <row r="1161" spans="1:18" s="438" customFormat="1" outlineLevel="1">
      <c r="A1161" s="569"/>
      <c r="B1161" s="587"/>
      <c r="C1161" s="589"/>
      <c r="D1161" s="565"/>
      <c r="E1161" s="596"/>
      <c r="F1161" s="565"/>
      <c r="G1161" s="592"/>
      <c r="H1161" s="565"/>
      <c r="I1161" s="565"/>
      <c r="J1161" s="565"/>
      <c r="K1161" s="466"/>
      <c r="L1161" s="459"/>
      <c r="M1161" s="460"/>
      <c r="N1161" s="459"/>
      <c r="O1161" s="261"/>
      <c r="P1161" s="565"/>
      <c r="Q1161" s="565"/>
      <c r="R1161" s="467"/>
    </row>
    <row r="1162" spans="1:18" s="438" customFormat="1" outlineLevel="1">
      <c r="A1162" s="569"/>
      <c r="B1162" s="587"/>
      <c r="C1162" s="589"/>
      <c r="D1162" s="565"/>
      <c r="E1162" s="596"/>
      <c r="F1162" s="565"/>
      <c r="G1162" s="592"/>
      <c r="H1162" s="565"/>
      <c r="I1162" s="565"/>
      <c r="J1162" s="565"/>
      <c r="K1162" s="466"/>
      <c r="L1162" s="459"/>
      <c r="M1162" s="460"/>
      <c r="N1162" s="459"/>
      <c r="O1162" s="261"/>
      <c r="P1162" s="565"/>
      <c r="Q1162" s="565"/>
      <c r="R1162" s="467"/>
    </row>
    <row r="1163" spans="1:18" s="438" customFormat="1" outlineLevel="1">
      <c r="A1163" s="569"/>
      <c r="B1163" s="587"/>
      <c r="C1163" s="589"/>
      <c r="D1163" s="565"/>
      <c r="E1163" s="596"/>
      <c r="F1163" s="565"/>
      <c r="G1163" s="592"/>
      <c r="H1163" s="565"/>
      <c r="I1163" s="565"/>
      <c r="J1163" s="565"/>
      <c r="K1163" s="466"/>
      <c r="L1163" s="459"/>
      <c r="M1163" s="460"/>
      <c r="N1163" s="459"/>
      <c r="O1163" s="261"/>
      <c r="P1163" s="565"/>
      <c r="Q1163" s="565"/>
      <c r="R1163" s="467"/>
    </row>
    <row r="1164" spans="1:18" s="438" customFormat="1" outlineLevel="1">
      <c r="A1164" s="569"/>
      <c r="B1164" s="587"/>
      <c r="C1164" s="589"/>
      <c r="D1164" s="565"/>
      <c r="E1164" s="596"/>
      <c r="F1164" s="565"/>
      <c r="G1164" s="592"/>
      <c r="H1164" s="565"/>
      <c r="I1164" s="565"/>
      <c r="J1164" s="565"/>
      <c r="K1164" s="466"/>
      <c r="L1164" s="459"/>
      <c r="M1164" s="460"/>
      <c r="N1164" s="459"/>
      <c r="O1164" s="261"/>
      <c r="P1164" s="565"/>
      <c r="Q1164" s="565"/>
      <c r="R1164" s="467"/>
    </row>
    <row r="1165" spans="1:18" s="438" customFormat="1" outlineLevel="1">
      <c r="A1165" s="569"/>
      <c r="B1165" s="587"/>
      <c r="C1165" s="589"/>
      <c r="D1165" s="565"/>
      <c r="E1165" s="596"/>
      <c r="F1165" s="565"/>
      <c r="G1165" s="592"/>
      <c r="H1165" s="565"/>
      <c r="I1165" s="565"/>
      <c r="J1165" s="565"/>
      <c r="K1165" s="466"/>
      <c r="L1165" s="459"/>
      <c r="M1165" s="460"/>
      <c r="N1165" s="459"/>
      <c r="O1165" s="261"/>
      <c r="P1165" s="565"/>
      <c r="Q1165" s="565"/>
      <c r="R1165" s="467"/>
    </row>
    <row r="1166" spans="1:18" s="438" customFormat="1" outlineLevel="1">
      <c r="A1166" s="569"/>
      <c r="B1166" s="587"/>
      <c r="C1166" s="589"/>
      <c r="D1166" s="565"/>
      <c r="E1166" s="596"/>
      <c r="F1166" s="565"/>
      <c r="G1166" s="592"/>
      <c r="H1166" s="565"/>
      <c r="I1166" s="565"/>
      <c r="J1166" s="565"/>
      <c r="K1166" s="466"/>
      <c r="L1166" s="459"/>
      <c r="M1166" s="460"/>
      <c r="N1166" s="459"/>
      <c r="O1166" s="261"/>
      <c r="P1166" s="565"/>
      <c r="Q1166" s="565"/>
      <c r="R1166" s="467"/>
    </row>
    <row r="1167" spans="1:18" s="438" customFormat="1" outlineLevel="1">
      <c r="A1167" s="569"/>
      <c r="B1167" s="587"/>
      <c r="C1167" s="589"/>
      <c r="D1167" s="565"/>
      <c r="E1167" s="596"/>
      <c r="F1167" s="565"/>
      <c r="G1167" s="592"/>
      <c r="H1167" s="565"/>
      <c r="I1167" s="565"/>
      <c r="J1167" s="565"/>
      <c r="K1167" s="466"/>
      <c r="L1167" s="459"/>
      <c r="M1167" s="460"/>
      <c r="N1167" s="459"/>
      <c r="O1167" s="261"/>
      <c r="P1167" s="565"/>
      <c r="Q1167" s="565"/>
      <c r="R1167" s="467"/>
    </row>
    <row r="1168" spans="1:18" s="438" customFormat="1" outlineLevel="1">
      <c r="A1168" s="569"/>
      <c r="B1168" s="587"/>
      <c r="C1168" s="589"/>
      <c r="D1168" s="565"/>
      <c r="E1168" s="596"/>
      <c r="F1168" s="565"/>
      <c r="G1168" s="592"/>
      <c r="H1168" s="565"/>
      <c r="I1168" s="565"/>
      <c r="J1168" s="565"/>
      <c r="K1168" s="466"/>
      <c r="L1168" s="459"/>
      <c r="M1168" s="460"/>
      <c r="N1168" s="459"/>
      <c r="O1168" s="261"/>
      <c r="P1168" s="565"/>
      <c r="Q1168" s="565"/>
      <c r="R1168" s="467"/>
    </row>
    <row r="1169" spans="1:18" s="438" customFormat="1" outlineLevel="1">
      <c r="A1169" s="569"/>
      <c r="B1169" s="587"/>
      <c r="C1169" s="589"/>
      <c r="D1169" s="565"/>
      <c r="E1169" s="596"/>
      <c r="F1169" s="565"/>
      <c r="G1169" s="592"/>
      <c r="H1169" s="565"/>
      <c r="I1169" s="565"/>
      <c r="J1169" s="565"/>
      <c r="K1169" s="466"/>
      <c r="L1169" s="459"/>
      <c r="M1169" s="460"/>
      <c r="N1169" s="459"/>
      <c r="O1169" s="261"/>
      <c r="P1169" s="565"/>
      <c r="Q1169" s="565"/>
      <c r="R1169" s="467"/>
    </row>
    <row r="1170" spans="1:18" s="438" customFormat="1" outlineLevel="1">
      <c r="A1170" s="569"/>
      <c r="B1170" s="587"/>
      <c r="C1170" s="589"/>
      <c r="D1170" s="565"/>
      <c r="E1170" s="596"/>
      <c r="F1170" s="565"/>
      <c r="G1170" s="592"/>
      <c r="H1170" s="565"/>
      <c r="I1170" s="565"/>
      <c r="J1170" s="565"/>
      <c r="K1170" s="466"/>
      <c r="L1170" s="459"/>
      <c r="M1170" s="460"/>
      <c r="N1170" s="459"/>
      <c r="O1170" s="261"/>
      <c r="P1170" s="565"/>
      <c r="Q1170" s="565"/>
      <c r="R1170" s="467"/>
    </row>
    <row r="1171" spans="1:18" s="438" customFormat="1" outlineLevel="1">
      <c r="A1171" s="569"/>
      <c r="B1171" s="587"/>
      <c r="C1171" s="589"/>
      <c r="D1171" s="565"/>
      <c r="E1171" s="596"/>
      <c r="F1171" s="565"/>
      <c r="G1171" s="592"/>
      <c r="H1171" s="565"/>
      <c r="I1171" s="565"/>
      <c r="J1171" s="565"/>
      <c r="K1171" s="466"/>
      <c r="L1171" s="459"/>
      <c r="M1171" s="460"/>
      <c r="N1171" s="459"/>
      <c r="O1171" s="261"/>
      <c r="P1171" s="565"/>
      <c r="Q1171" s="565"/>
      <c r="R1171" s="467"/>
    </row>
    <row r="1172" spans="1:18" s="438" customFormat="1" outlineLevel="1">
      <c r="A1172" s="570"/>
      <c r="B1172" s="588"/>
      <c r="C1172" s="590"/>
      <c r="D1172" s="566"/>
      <c r="E1172" s="596"/>
      <c r="F1172" s="566"/>
      <c r="G1172" s="593"/>
      <c r="H1172" s="566"/>
      <c r="I1172" s="566"/>
      <c r="J1172" s="566"/>
      <c r="K1172" s="466"/>
      <c r="L1172" s="459"/>
      <c r="M1172" s="460"/>
      <c r="N1172" s="459"/>
      <c r="O1172" s="261"/>
      <c r="P1172" s="566"/>
      <c r="Q1172" s="566"/>
      <c r="R1172" s="467"/>
    </row>
    <row r="1173" spans="1:18" s="438" customFormat="1" outlineLevel="1">
      <c r="A1173" s="568"/>
      <c r="B1173" s="587"/>
      <c r="C1173" s="595"/>
      <c r="D1173" s="565"/>
      <c r="E1173" s="596"/>
      <c r="F1173" s="565"/>
      <c r="G1173" s="597"/>
      <c r="H1173" s="594"/>
      <c r="I1173" s="594"/>
      <c r="J1173" s="594"/>
      <c r="K1173" s="458"/>
      <c r="L1173" s="459"/>
      <c r="M1173" s="460"/>
      <c r="N1173" s="459"/>
      <c r="O1173" s="261"/>
      <c r="P1173" s="594"/>
      <c r="Q1173" s="594"/>
      <c r="R1173" s="467"/>
    </row>
    <row r="1174" spans="1:18" s="438" customFormat="1" outlineLevel="1">
      <c r="A1174" s="569"/>
      <c r="B1174" s="587"/>
      <c r="C1174" s="589"/>
      <c r="D1174" s="565"/>
      <c r="E1174" s="596"/>
      <c r="F1174" s="565"/>
      <c r="G1174" s="592"/>
      <c r="H1174" s="565"/>
      <c r="I1174" s="565"/>
      <c r="J1174" s="565"/>
      <c r="K1174" s="466"/>
      <c r="L1174" s="459"/>
      <c r="M1174" s="460"/>
      <c r="N1174" s="459"/>
      <c r="O1174" s="261"/>
      <c r="P1174" s="565"/>
      <c r="Q1174" s="565"/>
      <c r="R1174" s="467"/>
    </row>
    <row r="1175" spans="1:18" s="438" customFormat="1" outlineLevel="1">
      <c r="A1175" s="569"/>
      <c r="B1175" s="587"/>
      <c r="C1175" s="589"/>
      <c r="D1175" s="565"/>
      <c r="E1175" s="596"/>
      <c r="F1175" s="565"/>
      <c r="G1175" s="592"/>
      <c r="H1175" s="565"/>
      <c r="I1175" s="565"/>
      <c r="J1175" s="565"/>
      <c r="K1175" s="466"/>
      <c r="L1175" s="459"/>
      <c r="M1175" s="460"/>
      <c r="N1175" s="459"/>
      <c r="O1175" s="261"/>
      <c r="P1175" s="565"/>
      <c r="Q1175" s="565"/>
      <c r="R1175" s="467"/>
    </row>
    <row r="1176" spans="1:18" s="438" customFormat="1" outlineLevel="1">
      <c r="A1176" s="569"/>
      <c r="B1176" s="587"/>
      <c r="C1176" s="589"/>
      <c r="D1176" s="565"/>
      <c r="E1176" s="596"/>
      <c r="F1176" s="565"/>
      <c r="G1176" s="592"/>
      <c r="H1176" s="565"/>
      <c r="I1176" s="565"/>
      <c r="J1176" s="565"/>
      <c r="K1176" s="466"/>
      <c r="L1176" s="459"/>
      <c r="M1176" s="460"/>
      <c r="N1176" s="459"/>
      <c r="O1176" s="261"/>
      <c r="P1176" s="565"/>
      <c r="Q1176" s="565"/>
      <c r="R1176" s="467"/>
    </row>
    <row r="1177" spans="1:18" s="438" customFormat="1" outlineLevel="1">
      <c r="A1177" s="569"/>
      <c r="B1177" s="587"/>
      <c r="C1177" s="589"/>
      <c r="D1177" s="565"/>
      <c r="E1177" s="596"/>
      <c r="F1177" s="565"/>
      <c r="G1177" s="592"/>
      <c r="H1177" s="565"/>
      <c r="I1177" s="565"/>
      <c r="J1177" s="565"/>
      <c r="K1177" s="466"/>
      <c r="L1177" s="459"/>
      <c r="M1177" s="460"/>
      <c r="N1177" s="459"/>
      <c r="O1177" s="261"/>
      <c r="P1177" s="565"/>
      <c r="Q1177" s="565"/>
      <c r="R1177" s="467"/>
    </row>
    <row r="1178" spans="1:18" s="438" customFormat="1" outlineLevel="1">
      <c r="A1178" s="569"/>
      <c r="B1178" s="587"/>
      <c r="C1178" s="589"/>
      <c r="D1178" s="565"/>
      <c r="E1178" s="596"/>
      <c r="F1178" s="565"/>
      <c r="G1178" s="592"/>
      <c r="H1178" s="565"/>
      <c r="I1178" s="565"/>
      <c r="J1178" s="565"/>
      <c r="K1178" s="466"/>
      <c r="L1178" s="459"/>
      <c r="M1178" s="460"/>
      <c r="N1178" s="459"/>
      <c r="O1178" s="261"/>
      <c r="P1178" s="565"/>
      <c r="Q1178" s="565"/>
      <c r="R1178" s="467"/>
    </row>
    <row r="1179" spans="1:18" s="438" customFormat="1" outlineLevel="1">
      <c r="A1179" s="569"/>
      <c r="B1179" s="587"/>
      <c r="C1179" s="589"/>
      <c r="D1179" s="565"/>
      <c r="E1179" s="596"/>
      <c r="F1179" s="565"/>
      <c r="G1179" s="592"/>
      <c r="H1179" s="565"/>
      <c r="I1179" s="565"/>
      <c r="J1179" s="565"/>
      <c r="K1179" s="466"/>
      <c r="L1179" s="459"/>
      <c r="M1179" s="460"/>
      <c r="N1179" s="459"/>
      <c r="O1179" s="261"/>
      <c r="P1179" s="565"/>
      <c r="Q1179" s="565"/>
      <c r="R1179" s="467"/>
    </row>
    <row r="1180" spans="1:18" s="438" customFormat="1" outlineLevel="1">
      <c r="A1180" s="569"/>
      <c r="B1180" s="587"/>
      <c r="C1180" s="589"/>
      <c r="D1180" s="565"/>
      <c r="E1180" s="596"/>
      <c r="F1180" s="565"/>
      <c r="G1180" s="592"/>
      <c r="H1180" s="565"/>
      <c r="I1180" s="565"/>
      <c r="J1180" s="565"/>
      <c r="K1180" s="466"/>
      <c r="L1180" s="459"/>
      <c r="M1180" s="460"/>
      <c r="N1180" s="459"/>
      <c r="O1180" s="261"/>
      <c r="P1180" s="565"/>
      <c r="Q1180" s="565"/>
      <c r="R1180" s="467"/>
    </row>
    <row r="1181" spans="1:18" s="438" customFormat="1" outlineLevel="1">
      <c r="A1181" s="569"/>
      <c r="B1181" s="587"/>
      <c r="C1181" s="589"/>
      <c r="D1181" s="565"/>
      <c r="E1181" s="596"/>
      <c r="F1181" s="565"/>
      <c r="G1181" s="592"/>
      <c r="H1181" s="565"/>
      <c r="I1181" s="565"/>
      <c r="J1181" s="565"/>
      <c r="K1181" s="466"/>
      <c r="L1181" s="459"/>
      <c r="M1181" s="460"/>
      <c r="N1181" s="459"/>
      <c r="O1181" s="261"/>
      <c r="P1181" s="565"/>
      <c r="Q1181" s="565"/>
      <c r="R1181" s="467"/>
    </row>
    <row r="1182" spans="1:18" s="438" customFormat="1" outlineLevel="1">
      <c r="A1182" s="569"/>
      <c r="B1182" s="587"/>
      <c r="C1182" s="589"/>
      <c r="D1182" s="565"/>
      <c r="E1182" s="596"/>
      <c r="F1182" s="565"/>
      <c r="G1182" s="592"/>
      <c r="H1182" s="565"/>
      <c r="I1182" s="565"/>
      <c r="J1182" s="565"/>
      <c r="K1182" s="466"/>
      <c r="L1182" s="459"/>
      <c r="M1182" s="460"/>
      <c r="N1182" s="459"/>
      <c r="O1182" s="261"/>
      <c r="P1182" s="565"/>
      <c r="Q1182" s="565"/>
      <c r="R1182" s="467"/>
    </row>
    <row r="1183" spans="1:18" s="438" customFormat="1" outlineLevel="1">
      <c r="A1183" s="569"/>
      <c r="B1183" s="587"/>
      <c r="C1183" s="589"/>
      <c r="D1183" s="565"/>
      <c r="E1183" s="596"/>
      <c r="F1183" s="565"/>
      <c r="G1183" s="592"/>
      <c r="H1183" s="565"/>
      <c r="I1183" s="565"/>
      <c r="J1183" s="565"/>
      <c r="K1183" s="466"/>
      <c r="L1183" s="459"/>
      <c r="M1183" s="460"/>
      <c r="N1183" s="459"/>
      <c r="O1183" s="261"/>
      <c r="P1183" s="565"/>
      <c r="Q1183" s="565"/>
      <c r="R1183" s="467"/>
    </row>
    <row r="1184" spans="1:18" s="438" customFormat="1" outlineLevel="1">
      <c r="A1184" s="569"/>
      <c r="B1184" s="587"/>
      <c r="C1184" s="589"/>
      <c r="D1184" s="565"/>
      <c r="E1184" s="596"/>
      <c r="F1184" s="565"/>
      <c r="G1184" s="592"/>
      <c r="H1184" s="565"/>
      <c r="I1184" s="565"/>
      <c r="J1184" s="565"/>
      <c r="K1184" s="466"/>
      <c r="L1184" s="459"/>
      <c r="M1184" s="460"/>
      <c r="N1184" s="459"/>
      <c r="O1184" s="261"/>
      <c r="P1184" s="565"/>
      <c r="Q1184" s="565"/>
      <c r="R1184" s="467"/>
    </row>
    <row r="1185" spans="1:18" s="438" customFormat="1" outlineLevel="1">
      <c r="A1185" s="569"/>
      <c r="B1185" s="587"/>
      <c r="C1185" s="589"/>
      <c r="D1185" s="565"/>
      <c r="E1185" s="596"/>
      <c r="F1185" s="565"/>
      <c r="G1185" s="592"/>
      <c r="H1185" s="565"/>
      <c r="I1185" s="565"/>
      <c r="J1185" s="565"/>
      <c r="K1185" s="466"/>
      <c r="L1185" s="459"/>
      <c r="M1185" s="460"/>
      <c r="N1185" s="459"/>
      <c r="O1185" s="261"/>
      <c r="P1185" s="565"/>
      <c r="Q1185" s="565"/>
      <c r="R1185" s="467"/>
    </row>
    <row r="1186" spans="1:18" s="438" customFormat="1" outlineLevel="1">
      <c r="A1186" s="569"/>
      <c r="B1186" s="587"/>
      <c r="C1186" s="589"/>
      <c r="D1186" s="565"/>
      <c r="E1186" s="596"/>
      <c r="F1186" s="565"/>
      <c r="G1186" s="592"/>
      <c r="H1186" s="565"/>
      <c r="I1186" s="565"/>
      <c r="J1186" s="565"/>
      <c r="K1186" s="466"/>
      <c r="L1186" s="459"/>
      <c r="M1186" s="460"/>
      <c r="N1186" s="459"/>
      <c r="O1186" s="261"/>
      <c r="P1186" s="565"/>
      <c r="Q1186" s="565"/>
      <c r="R1186" s="467"/>
    </row>
    <row r="1187" spans="1:18" s="438" customFormat="1" outlineLevel="1">
      <c r="A1187" s="569"/>
      <c r="B1187" s="587"/>
      <c r="C1187" s="589"/>
      <c r="D1187" s="565"/>
      <c r="E1187" s="596"/>
      <c r="F1187" s="565"/>
      <c r="G1187" s="592"/>
      <c r="H1187" s="565"/>
      <c r="I1187" s="565"/>
      <c r="J1187" s="565"/>
      <c r="K1187" s="466"/>
      <c r="L1187" s="459"/>
      <c r="M1187" s="460"/>
      <c r="N1187" s="459"/>
      <c r="O1187" s="261"/>
      <c r="P1187" s="565"/>
      <c r="Q1187" s="565"/>
      <c r="R1187" s="467"/>
    </row>
    <row r="1188" spans="1:18" s="438" customFormat="1" outlineLevel="1">
      <c r="A1188" s="570"/>
      <c r="B1188" s="588"/>
      <c r="C1188" s="590"/>
      <c r="D1188" s="566"/>
      <c r="E1188" s="596"/>
      <c r="F1188" s="566"/>
      <c r="G1188" s="593"/>
      <c r="H1188" s="566"/>
      <c r="I1188" s="566"/>
      <c r="J1188" s="566"/>
      <c r="K1188" s="466"/>
      <c r="L1188" s="459"/>
      <c r="M1188" s="460"/>
      <c r="N1188" s="459"/>
      <c r="O1188" s="261"/>
      <c r="P1188" s="566"/>
      <c r="Q1188" s="566"/>
      <c r="R1188" s="467"/>
    </row>
    <row r="1189" spans="1:18" s="438" customFormat="1" outlineLevel="1">
      <c r="A1189" s="568"/>
      <c r="B1189" s="587"/>
      <c r="C1189" s="595"/>
      <c r="D1189" s="565"/>
      <c r="E1189" s="596"/>
      <c r="F1189" s="565"/>
      <c r="G1189" s="597"/>
      <c r="H1189" s="594"/>
      <c r="I1189" s="594"/>
      <c r="J1189" s="594"/>
      <c r="K1189" s="458"/>
      <c r="L1189" s="459"/>
      <c r="M1189" s="460"/>
      <c r="N1189" s="459"/>
      <c r="O1189" s="261"/>
      <c r="P1189" s="594"/>
      <c r="Q1189" s="594"/>
      <c r="R1189" s="467"/>
    </row>
    <row r="1190" spans="1:18" s="438" customFormat="1" outlineLevel="1">
      <c r="A1190" s="569"/>
      <c r="B1190" s="587"/>
      <c r="C1190" s="589"/>
      <c r="D1190" s="565"/>
      <c r="E1190" s="596"/>
      <c r="F1190" s="565"/>
      <c r="G1190" s="592"/>
      <c r="H1190" s="565"/>
      <c r="I1190" s="565"/>
      <c r="J1190" s="565"/>
      <c r="K1190" s="466"/>
      <c r="L1190" s="459"/>
      <c r="M1190" s="460"/>
      <c r="N1190" s="459"/>
      <c r="O1190" s="261"/>
      <c r="P1190" s="565"/>
      <c r="Q1190" s="565"/>
      <c r="R1190" s="467"/>
    </row>
    <row r="1191" spans="1:18" s="438" customFormat="1" outlineLevel="1">
      <c r="A1191" s="569"/>
      <c r="B1191" s="587"/>
      <c r="C1191" s="589"/>
      <c r="D1191" s="565"/>
      <c r="E1191" s="596"/>
      <c r="F1191" s="565"/>
      <c r="G1191" s="592"/>
      <c r="H1191" s="565"/>
      <c r="I1191" s="565"/>
      <c r="J1191" s="565"/>
      <c r="K1191" s="466"/>
      <c r="L1191" s="459"/>
      <c r="M1191" s="460"/>
      <c r="N1191" s="459"/>
      <c r="O1191" s="261"/>
      <c r="P1191" s="565"/>
      <c r="Q1191" s="565"/>
      <c r="R1191" s="467"/>
    </row>
    <row r="1192" spans="1:18" s="438" customFormat="1" outlineLevel="1">
      <c r="A1192" s="569"/>
      <c r="B1192" s="587"/>
      <c r="C1192" s="589"/>
      <c r="D1192" s="565"/>
      <c r="E1192" s="596"/>
      <c r="F1192" s="565"/>
      <c r="G1192" s="592"/>
      <c r="H1192" s="565"/>
      <c r="I1192" s="565"/>
      <c r="J1192" s="565"/>
      <c r="K1192" s="466"/>
      <c r="L1192" s="459"/>
      <c r="M1192" s="460"/>
      <c r="N1192" s="459"/>
      <c r="O1192" s="261"/>
      <c r="P1192" s="565"/>
      <c r="Q1192" s="565"/>
      <c r="R1192" s="467"/>
    </row>
    <row r="1193" spans="1:18" s="438" customFormat="1" outlineLevel="1">
      <c r="A1193" s="569"/>
      <c r="B1193" s="587"/>
      <c r="C1193" s="589"/>
      <c r="D1193" s="565"/>
      <c r="E1193" s="596"/>
      <c r="F1193" s="565"/>
      <c r="G1193" s="592"/>
      <c r="H1193" s="565"/>
      <c r="I1193" s="565"/>
      <c r="J1193" s="565"/>
      <c r="K1193" s="466"/>
      <c r="L1193" s="459"/>
      <c r="M1193" s="460"/>
      <c r="N1193" s="459"/>
      <c r="O1193" s="261"/>
      <c r="P1193" s="565"/>
      <c r="Q1193" s="565"/>
      <c r="R1193" s="467"/>
    </row>
    <row r="1194" spans="1:18" s="438" customFormat="1" outlineLevel="1">
      <c r="A1194" s="569"/>
      <c r="B1194" s="587"/>
      <c r="C1194" s="589"/>
      <c r="D1194" s="565"/>
      <c r="E1194" s="596"/>
      <c r="F1194" s="565"/>
      <c r="G1194" s="592"/>
      <c r="H1194" s="565"/>
      <c r="I1194" s="565"/>
      <c r="J1194" s="565"/>
      <c r="K1194" s="466"/>
      <c r="L1194" s="459"/>
      <c r="M1194" s="460"/>
      <c r="N1194" s="459"/>
      <c r="O1194" s="261"/>
      <c r="P1194" s="565"/>
      <c r="Q1194" s="565"/>
      <c r="R1194" s="467"/>
    </row>
    <row r="1195" spans="1:18" s="438" customFormat="1" outlineLevel="1">
      <c r="A1195" s="569"/>
      <c r="B1195" s="587"/>
      <c r="C1195" s="589"/>
      <c r="D1195" s="565"/>
      <c r="E1195" s="596"/>
      <c r="F1195" s="565"/>
      <c r="G1195" s="592"/>
      <c r="H1195" s="565"/>
      <c r="I1195" s="565"/>
      <c r="J1195" s="565"/>
      <c r="K1195" s="466"/>
      <c r="L1195" s="459"/>
      <c r="M1195" s="460"/>
      <c r="N1195" s="459"/>
      <c r="O1195" s="261"/>
      <c r="P1195" s="565"/>
      <c r="Q1195" s="565"/>
      <c r="R1195" s="467"/>
    </row>
    <row r="1196" spans="1:18" s="438" customFormat="1" outlineLevel="1">
      <c r="A1196" s="569"/>
      <c r="B1196" s="587"/>
      <c r="C1196" s="589"/>
      <c r="D1196" s="565"/>
      <c r="E1196" s="596"/>
      <c r="F1196" s="565"/>
      <c r="G1196" s="592"/>
      <c r="H1196" s="565"/>
      <c r="I1196" s="565"/>
      <c r="J1196" s="565"/>
      <c r="K1196" s="466"/>
      <c r="L1196" s="459"/>
      <c r="M1196" s="460"/>
      <c r="N1196" s="459"/>
      <c r="O1196" s="261"/>
      <c r="P1196" s="565"/>
      <c r="Q1196" s="565"/>
      <c r="R1196" s="467"/>
    </row>
    <row r="1197" spans="1:18" s="438" customFormat="1" outlineLevel="1">
      <c r="A1197" s="569"/>
      <c r="B1197" s="587"/>
      <c r="C1197" s="589"/>
      <c r="D1197" s="565"/>
      <c r="E1197" s="596"/>
      <c r="F1197" s="565"/>
      <c r="G1197" s="592"/>
      <c r="H1197" s="565"/>
      <c r="I1197" s="565"/>
      <c r="J1197" s="565"/>
      <c r="K1197" s="466"/>
      <c r="L1197" s="459"/>
      <c r="M1197" s="460"/>
      <c r="N1197" s="459"/>
      <c r="O1197" s="261"/>
      <c r="P1197" s="565"/>
      <c r="Q1197" s="565"/>
      <c r="R1197" s="467"/>
    </row>
    <row r="1198" spans="1:18" s="438" customFormat="1" outlineLevel="1">
      <c r="A1198" s="569"/>
      <c r="B1198" s="587"/>
      <c r="C1198" s="589"/>
      <c r="D1198" s="565"/>
      <c r="E1198" s="596"/>
      <c r="F1198" s="565"/>
      <c r="G1198" s="592"/>
      <c r="H1198" s="565"/>
      <c r="I1198" s="565"/>
      <c r="J1198" s="565"/>
      <c r="K1198" s="466"/>
      <c r="L1198" s="459"/>
      <c r="M1198" s="460"/>
      <c r="N1198" s="459"/>
      <c r="O1198" s="261"/>
      <c r="P1198" s="565"/>
      <c r="Q1198" s="565"/>
      <c r="R1198" s="467"/>
    </row>
    <row r="1199" spans="1:18" s="438" customFormat="1" outlineLevel="1">
      <c r="A1199" s="569"/>
      <c r="B1199" s="587"/>
      <c r="C1199" s="589"/>
      <c r="D1199" s="565"/>
      <c r="E1199" s="596"/>
      <c r="F1199" s="565"/>
      <c r="G1199" s="592"/>
      <c r="H1199" s="565"/>
      <c r="I1199" s="565"/>
      <c r="J1199" s="565"/>
      <c r="K1199" s="466"/>
      <c r="L1199" s="459"/>
      <c r="M1199" s="460"/>
      <c r="N1199" s="459"/>
      <c r="O1199" s="261"/>
      <c r="P1199" s="565"/>
      <c r="Q1199" s="565"/>
      <c r="R1199" s="467"/>
    </row>
    <row r="1200" spans="1:18" s="438" customFormat="1" outlineLevel="1">
      <c r="A1200" s="569"/>
      <c r="B1200" s="587"/>
      <c r="C1200" s="589"/>
      <c r="D1200" s="565"/>
      <c r="E1200" s="596"/>
      <c r="F1200" s="565"/>
      <c r="G1200" s="592"/>
      <c r="H1200" s="565"/>
      <c r="I1200" s="565"/>
      <c r="J1200" s="565"/>
      <c r="K1200" s="466"/>
      <c r="L1200" s="459"/>
      <c r="M1200" s="460"/>
      <c r="N1200" s="459"/>
      <c r="O1200" s="261"/>
      <c r="P1200" s="565"/>
      <c r="Q1200" s="565"/>
      <c r="R1200" s="467"/>
    </row>
    <row r="1201" spans="1:18" s="438" customFormat="1" outlineLevel="1">
      <c r="A1201" s="569"/>
      <c r="B1201" s="587"/>
      <c r="C1201" s="589"/>
      <c r="D1201" s="565"/>
      <c r="E1201" s="596"/>
      <c r="F1201" s="565"/>
      <c r="G1201" s="592"/>
      <c r="H1201" s="565"/>
      <c r="I1201" s="565"/>
      <c r="J1201" s="565"/>
      <c r="K1201" s="466"/>
      <c r="L1201" s="459"/>
      <c r="M1201" s="460"/>
      <c r="N1201" s="459"/>
      <c r="O1201" s="261"/>
      <c r="P1201" s="565"/>
      <c r="Q1201" s="565"/>
      <c r="R1201" s="467"/>
    </row>
    <row r="1202" spans="1:18" s="438" customFormat="1" outlineLevel="1">
      <c r="A1202" s="569"/>
      <c r="B1202" s="587"/>
      <c r="C1202" s="589"/>
      <c r="D1202" s="565"/>
      <c r="E1202" s="596"/>
      <c r="F1202" s="565"/>
      <c r="G1202" s="592"/>
      <c r="H1202" s="565"/>
      <c r="I1202" s="565"/>
      <c r="J1202" s="565"/>
      <c r="K1202" s="466"/>
      <c r="L1202" s="459"/>
      <c r="M1202" s="460"/>
      <c r="N1202" s="459"/>
      <c r="O1202" s="261"/>
      <c r="P1202" s="565"/>
      <c r="Q1202" s="565"/>
      <c r="R1202" s="467"/>
    </row>
    <row r="1203" spans="1:18" s="438" customFormat="1" outlineLevel="1">
      <c r="A1203" s="569"/>
      <c r="B1203" s="587"/>
      <c r="C1203" s="589"/>
      <c r="D1203" s="565"/>
      <c r="E1203" s="596"/>
      <c r="F1203" s="565"/>
      <c r="G1203" s="592"/>
      <c r="H1203" s="565"/>
      <c r="I1203" s="565"/>
      <c r="J1203" s="565"/>
      <c r="K1203" s="466"/>
      <c r="L1203" s="459"/>
      <c r="M1203" s="460"/>
      <c r="N1203" s="459"/>
      <c r="O1203" s="261"/>
      <c r="P1203" s="565"/>
      <c r="Q1203" s="565"/>
      <c r="R1203" s="467"/>
    </row>
    <row r="1204" spans="1:18" s="438" customFormat="1" outlineLevel="1">
      <c r="A1204" s="570"/>
      <c r="B1204" s="588"/>
      <c r="C1204" s="590"/>
      <c r="D1204" s="566"/>
      <c r="E1204" s="596"/>
      <c r="F1204" s="566"/>
      <c r="G1204" s="593"/>
      <c r="H1204" s="566"/>
      <c r="I1204" s="566"/>
      <c r="J1204" s="566"/>
      <c r="K1204" s="466"/>
      <c r="L1204" s="459"/>
      <c r="M1204" s="460"/>
      <c r="N1204" s="459"/>
      <c r="O1204" s="261"/>
      <c r="P1204" s="566"/>
      <c r="Q1204" s="566"/>
      <c r="R1204" s="467"/>
    </row>
    <row r="1205" spans="1:18" s="438" customFormat="1" outlineLevel="1">
      <c r="A1205" s="568"/>
      <c r="B1205" s="587"/>
      <c r="C1205" s="595"/>
      <c r="D1205" s="565"/>
      <c r="E1205" s="596"/>
      <c r="F1205" s="565"/>
      <c r="G1205" s="597"/>
      <c r="H1205" s="594"/>
      <c r="I1205" s="594"/>
      <c r="J1205" s="594"/>
      <c r="K1205" s="458"/>
      <c r="L1205" s="459"/>
      <c r="M1205" s="460"/>
      <c r="N1205" s="459"/>
      <c r="O1205" s="261"/>
      <c r="P1205" s="594"/>
      <c r="Q1205" s="594"/>
      <c r="R1205" s="467"/>
    </row>
    <row r="1206" spans="1:18" s="438" customFormat="1" outlineLevel="1">
      <c r="A1206" s="569"/>
      <c r="B1206" s="587"/>
      <c r="C1206" s="589"/>
      <c r="D1206" s="565"/>
      <c r="E1206" s="596"/>
      <c r="F1206" s="565"/>
      <c r="G1206" s="592"/>
      <c r="H1206" s="565"/>
      <c r="I1206" s="565"/>
      <c r="J1206" s="565"/>
      <c r="K1206" s="466"/>
      <c r="L1206" s="459"/>
      <c r="M1206" s="460"/>
      <c r="N1206" s="459"/>
      <c r="O1206" s="261"/>
      <c r="P1206" s="565"/>
      <c r="Q1206" s="565"/>
      <c r="R1206" s="467"/>
    </row>
    <row r="1207" spans="1:18" s="438" customFormat="1" outlineLevel="1">
      <c r="A1207" s="569"/>
      <c r="B1207" s="587"/>
      <c r="C1207" s="589"/>
      <c r="D1207" s="565"/>
      <c r="E1207" s="596"/>
      <c r="F1207" s="565"/>
      <c r="G1207" s="592"/>
      <c r="H1207" s="565"/>
      <c r="I1207" s="565"/>
      <c r="J1207" s="565"/>
      <c r="K1207" s="466"/>
      <c r="L1207" s="459"/>
      <c r="M1207" s="460"/>
      <c r="N1207" s="459"/>
      <c r="O1207" s="261"/>
      <c r="P1207" s="565"/>
      <c r="Q1207" s="565"/>
      <c r="R1207" s="467"/>
    </row>
    <row r="1208" spans="1:18" s="438" customFormat="1" outlineLevel="1">
      <c r="A1208" s="569"/>
      <c r="B1208" s="587"/>
      <c r="C1208" s="589"/>
      <c r="D1208" s="565"/>
      <c r="E1208" s="596"/>
      <c r="F1208" s="565"/>
      <c r="G1208" s="592"/>
      <c r="H1208" s="565"/>
      <c r="I1208" s="565"/>
      <c r="J1208" s="565"/>
      <c r="K1208" s="466"/>
      <c r="L1208" s="459"/>
      <c r="M1208" s="460"/>
      <c r="N1208" s="459"/>
      <c r="O1208" s="261"/>
      <c r="P1208" s="565"/>
      <c r="Q1208" s="565"/>
      <c r="R1208" s="467"/>
    </row>
    <row r="1209" spans="1:18" s="438" customFormat="1" outlineLevel="1">
      <c r="A1209" s="569"/>
      <c r="B1209" s="587"/>
      <c r="C1209" s="589"/>
      <c r="D1209" s="565"/>
      <c r="E1209" s="596"/>
      <c r="F1209" s="565"/>
      <c r="G1209" s="592"/>
      <c r="H1209" s="565"/>
      <c r="I1209" s="565"/>
      <c r="J1209" s="565"/>
      <c r="K1209" s="466"/>
      <c r="L1209" s="459"/>
      <c r="M1209" s="460"/>
      <c r="N1209" s="459"/>
      <c r="O1209" s="261"/>
      <c r="P1209" s="565"/>
      <c r="Q1209" s="565"/>
      <c r="R1209" s="467"/>
    </row>
    <row r="1210" spans="1:18" s="438" customFormat="1" outlineLevel="1">
      <c r="A1210" s="569"/>
      <c r="B1210" s="587"/>
      <c r="C1210" s="589"/>
      <c r="D1210" s="565"/>
      <c r="E1210" s="596"/>
      <c r="F1210" s="565"/>
      <c r="G1210" s="592"/>
      <c r="H1210" s="565"/>
      <c r="I1210" s="565"/>
      <c r="J1210" s="565"/>
      <c r="K1210" s="466"/>
      <c r="L1210" s="459"/>
      <c r="M1210" s="460"/>
      <c r="N1210" s="459"/>
      <c r="O1210" s="261"/>
      <c r="P1210" s="565"/>
      <c r="Q1210" s="565"/>
      <c r="R1210" s="467"/>
    </row>
    <row r="1211" spans="1:18" s="438" customFormat="1" outlineLevel="1">
      <c r="A1211" s="569"/>
      <c r="B1211" s="587"/>
      <c r="C1211" s="589"/>
      <c r="D1211" s="565"/>
      <c r="E1211" s="596"/>
      <c r="F1211" s="565"/>
      <c r="G1211" s="592"/>
      <c r="H1211" s="565"/>
      <c r="I1211" s="565"/>
      <c r="J1211" s="565"/>
      <c r="K1211" s="466"/>
      <c r="L1211" s="459"/>
      <c r="M1211" s="460"/>
      <c r="N1211" s="459"/>
      <c r="O1211" s="261"/>
      <c r="P1211" s="565"/>
      <c r="Q1211" s="565"/>
      <c r="R1211" s="467"/>
    </row>
    <row r="1212" spans="1:18" s="438" customFormat="1" outlineLevel="1">
      <c r="A1212" s="569"/>
      <c r="B1212" s="587"/>
      <c r="C1212" s="589"/>
      <c r="D1212" s="565"/>
      <c r="E1212" s="596"/>
      <c r="F1212" s="565"/>
      <c r="G1212" s="592"/>
      <c r="H1212" s="565"/>
      <c r="I1212" s="565"/>
      <c r="J1212" s="565"/>
      <c r="K1212" s="466"/>
      <c r="L1212" s="459"/>
      <c r="M1212" s="460"/>
      <c r="N1212" s="459"/>
      <c r="O1212" s="261"/>
      <c r="P1212" s="565"/>
      <c r="Q1212" s="565"/>
      <c r="R1212" s="467"/>
    </row>
    <row r="1213" spans="1:18" s="438" customFormat="1" outlineLevel="1">
      <c r="A1213" s="569"/>
      <c r="B1213" s="587"/>
      <c r="C1213" s="589"/>
      <c r="D1213" s="565"/>
      <c r="E1213" s="596"/>
      <c r="F1213" s="565"/>
      <c r="G1213" s="592"/>
      <c r="H1213" s="565"/>
      <c r="I1213" s="565"/>
      <c r="J1213" s="565"/>
      <c r="K1213" s="466"/>
      <c r="L1213" s="459"/>
      <c r="M1213" s="460"/>
      <c r="N1213" s="459"/>
      <c r="O1213" s="261"/>
      <c r="P1213" s="565"/>
      <c r="Q1213" s="565"/>
      <c r="R1213" s="467"/>
    </row>
    <row r="1214" spans="1:18" s="438" customFormat="1" outlineLevel="1">
      <c r="A1214" s="569"/>
      <c r="B1214" s="587"/>
      <c r="C1214" s="589"/>
      <c r="D1214" s="565"/>
      <c r="E1214" s="596"/>
      <c r="F1214" s="565"/>
      <c r="G1214" s="592"/>
      <c r="H1214" s="565"/>
      <c r="I1214" s="565"/>
      <c r="J1214" s="565"/>
      <c r="K1214" s="466"/>
      <c r="L1214" s="459"/>
      <c r="M1214" s="460"/>
      <c r="N1214" s="459"/>
      <c r="O1214" s="261"/>
      <c r="P1214" s="565"/>
      <c r="Q1214" s="565"/>
      <c r="R1214" s="467"/>
    </row>
    <row r="1215" spans="1:18" s="438" customFormat="1" outlineLevel="1">
      <c r="A1215" s="569"/>
      <c r="B1215" s="587"/>
      <c r="C1215" s="589"/>
      <c r="D1215" s="565"/>
      <c r="E1215" s="596"/>
      <c r="F1215" s="565"/>
      <c r="G1215" s="592"/>
      <c r="H1215" s="565"/>
      <c r="I1215" s="565"/>
      <c r="J1215" s="565"/>
      <c r="K1215" s="466"/>
      <c r="L1215" s="459"/>
      <c r="M1215" s="460"/>
      <c r="N1215" s="459"/>
      <c r="O1215" s="261"/>
      <c r="P1215" s="565"/>
      <c r="Q1215" s="565"/>
      <c r="R1215" s="467"/>
    </row>
    <row r="1216" spans="1:18" s="438" customFormat="1" outlineLevel="1">
      <c r="A1216" s="569"/>
      <c r="B1216" s="587"/>
      <c r="C1216" s="589"/>
      <c r="D1216" s="565"/>
      <c r="E1216" s="596"/>
      <c r="F1216" s="565"/>
      <c r="G1216" s="592"/>
      <c r="H1216" s="565"/>
      <c r="I1216" s="565"/>
      <c r="J1216" s="565"/>
      <c r="K1216" s="466"/>
      <c r="L1216" s="459"/>
      <c r="M1216" s="460"/>
      <c r="N1216" s="459"/>
      <c r="O1216" s="261"/>
      <c r="P1216" s="565"/>
      <c r="Q1216" s="565"/>
      <c r="R1216" s="467"/>
    </row>
    <row r="1217" spans="1:18" s="438" customFormat="1" outlineLevel="1">
      <c r="A1217" s="569"/>
      <c r="B1217" s="587"/>
      <c r="C1217" s="589"/>
      <c r="D1217" s="565"/>
      <c r="E1217" s="596"/>
      <c r="F1217" s="565"/>
      <c r="G1217" s="592"/>
      <c r="H1217" s="565"/>
      <c r="I1217" s="565"/>
      <c r="J1217" s="565"/>
      <c r="K1217" s="466"/>
      <c r="L1217" s="459"/>
      <c r="M1217" s="460"/>
      <c r="N1217" s="459"/>
      <c r="O1217" s="261"/>
      <c r="P1217" s="565"/>
      <c r="Q1217" s="565"/>
      <c r="R1217" s="467"/>
    </row>
    <row r="1218" spans="1:18" s="438" customFormat="1" outlineLevel="1">
      <c r="A1218" s="569"/>
      <c r="B1218" s="587"/>
      <c r="C1218" s="589"/>
      <c r="D1218" s="565"/>
      <c r="E1218" s="596"/>
      <c r="F1218" s="565"/>
      <c r="G1218" s="592"/>
      <c r="H1218" s="565"/>
      <c r="I1218" s="565"/>
      <c r="J1218" s="565"/>
      <c r="K1218" s="466"/>
      <c r="L1218" s="459"/>
      <c r="M1218" s="460"/>
      <c r="N1218" s="459"/>
      <c r="O1218" s="261"/>
      <c r="P1218" s="565"/>
      <c r="Q1218" s="565"/>
      <c r="R1218" s="467"/>
    </row>
    <row r="1219" spans="1:18" s="438" customFormat="1" outlineLevel="1">
      <c r="A1219" s="569"/>
      <c r="B1219" s="587"/>
      <c r="C1219" s="589"/>
      <c r="D1219" s="565"/>
      <c r="E1219" s="596"/>
      <c r="F1219" s="565"/>
      <c r="G1219" s="592"/>
      <c r="H1219" s="565"/>
      <c r="I1219" s="565"/>
      <c r="J1219" s="565"/>
      <c r="K1219" s="466"/>
      <c r="L1219" s="459"/>
      <c r="M1219" s="460"/>
      <c r="N1219" s="459"/>
      <c r="O1219" s="261"/>
      <c r="P1219" s="565"/>
      <c r="Q1219" s="565"/>
      <c r="R1219" s="467"/>
    </row>
    <row r="1220" spans="1:18" s="438" customFormat="1" outlineLevel="1">
      <c r="A1220" s="570"/>
      <c r="B1220" s="588"/>
      <c r="C1220" s="590"/>
      <c r="D1220" s="566"/>
      <c r="E1220" s="596"/>
      <c r="F1220" s="566"/>
      <c r="G1220" s="593"/>
      <c r="H1220" s="566"/>
      <c r="I1220" s="566"/>
      <c r="J1220" s="566"/>
      <c r="K1220" s="466"/>
      <c r="L1220" s="459"/>
      <c r="M1220" s="460"/>
      <c r="N1220" s="459"/>
      <c r="O1220" s="261"/>
      <c r="P1220" s="566"/>
      <c r="Q1220" s="566"/>
      <c r="R1220" s="467"/>
    </row>
    <row r="1221" spans="1:18" s="438" customFormat="1" outlineLevel="1">
      <c r="A1221" s="568"/>
      <c r="B1221" s="587"/>
      <c r="C1221" s="595"/>
      <c r="D1221" s="565"/>
      <c r="E1221" s="596"/>
      <c r="F1221" s="565"/>
      <c r="G1221" s="597"/>
      <c r="H1221" s="594"/>
      <c r="I1221" s="594"/>
      <c r="J1221" s="594"/>
      <c r="K1221" s="458"/>
      <c r="L1221" s="459"/>
      <c r="M1221" s="460"/>
      <c r="N1221" s="459"/>
      <c r="O1221" s="261"/>
      <c r="P1221" s="594"/>
      <c r="Q1221" s="594"/>
      <c r="R1221" s="467"/>
    </row>
    <row r="1222" spans="1:18" s="438" customFormat="1" outlineLevel="1">
      <c r="A1222" s="569"/>
      <c r="B1222" s="587"/>
      <c r="C1222" s="589"/>
      <c r="D1222" s="565"/>
      <c r="E1222" s="596"/>
      <c r="F1222" s="565"/>
      <c r="G1222" s="592"/>
      <c r="H1222" s="565"/>
      <c r="I1222" s="565"/>
      <c r="J1222" s="565"/>
      <c r="K1222" s="466"/>
      <c r="L1222" s="459"/>
      <c r="M1222" s="460"/>
      <c r="N1222" s="459"/>
      <c r="O1222" s="261"/>
      <c r="P1222" s="565"/>
      <c r="Q1222" s="565"/>
      <c r="R1222" s="467"/>
    </row>
    <row r="1223" spans="1:18" s="438" customFormat="1" outlineLevel="1">
      <c r="A1223" s="569"/>
      <c r="B1223" s="587"/>
      <c r="C1223" s="589"/>
      <c r="D1223" s="565"/>
      <c r="E1223" s="596"/>
      <c r="F1223" s="565"/>
      <c r="G1223" s="592"/>
      <c r="H1223" s="565"/>
      <c r="I1223" s="565"/>
      <c r="J1223" s="565"/>
      <c r="K1223" s="466"/>
      <c r="L1223" s="459"/>
      <c r="M1223" s="460"/>
      <c r="N1223" s="459"/>
      <c r="O1223" s="261"/>
      <c r="P1223" s="565"/>
      <c r="Q1223" s="565"/>
      <c r="R1223" s="467"/>
    </row>
    <row r="1224" spans="1:18" s="438" customFormat="1" outlineLevel="1">
      <c r="A1224" s="569"/>
      <c r="B1224" s="587"/>
      <c r="C1224" s="589"/>
      <c r="D1224" s="565"/>
      <c r="E1224" s="596"/>
      <c r="F1224" s="565"/>
      <c r="G1224" s="592"/>
      <c r="H1224" s="565"/>
      <c r="I1224" s="565"/>
      <c r="J1224" s="565"/>
      <c r="K1224" s="466"/>
      <c r="L1224" s="459"/>
      <c r="M1224" s="460"/>
      <c r="N1224" s="459"/>
      <c r="O1224" s="261"/>
      <c r="P1224" s="565"/>
      <c r="Q1224" s="565"/>
      <c r="R1224" s="467"/>
    </row>
    <row r="1225" spans="1:18" s="438" customFormat="1" outlineLevel="1">
      <c r="A1225" s="569"/>
      <c r="B1225" s="587"/>
      <c r="C1225" s="589"/>
      <c r="D1225" s="565"/>
      <c r="E1225" s="596"/>
      <c r="F1225" s="565"/>
      <c r="G1225" s="592"/>
      <c r="H1225" s="565"/>
      <c r="I1225" s="565"/>
      <c r="J1225" s="565"/>
      <c r="K1225" s="466"/>
      <c r="L1225" s="459"/>
      <c r="M1225" s="460"/>
      <c r="N1225" s="459"/>
      <c r="O1225" s="261"/>
      <c r="P1225" s="565"/>
      <c r="Q1225" s="565"/>
      <c r="R1225" s="467"/>
    </row>
    <row r="1226" spans="1:18" s="438" customFormat="1" outlineLevel="1">
      <c r="A1226" s="569"/>
      <c r="B1226" s="587"/>
      <c r="C1226" s="589"/>
      <c r="D1226" s="565"/>
      <c r="E1226" s="596"/>
      <c r="F1226" s="565"/>
      <c r="G1226" s="592"/>
      <c r="H1226" s="565"/>
      <c r="I1226" s="565"/>
      <c r="J1226" s="565"/>
      <c r="K1226" s="466"/>
      <c r="L1226" s="459"/>
      <c r="M1226" s="460"/>
      <c r="N1226" s="459"/>
      <c r="O1226" s="261"/>
      <c r="P1226" s="565"/>
      <c r="Q1226" s="565"/>
      <c r="R1226" s="467"/>
    </row>
    <row r="1227" spans="1:18" s="438" customFormat="1" outlineLevel="1">
      <c r="A1227" s="569"/>
      <c r="B1227" s="587"/>
      <c r="C1227" s="589"/>
      <c r="D1227" s="565"/>
      <c r="E1227" s="596"/>
      <c r="F1227" s="565"/>
      <c r="G1227" s="592"/>
      <c r="H1227" s="565"/>
      <c r="I1227" s="565"/>
      <c r="J1227" s="565"/>
      <c r="K1227" s="466"/>
      <c r="L1227" s="459"/>
      <c r="M1227" s="460"/>
      <c r="N1227" s="459"/>
      <c r="O1227" s="261"/>
      <c r="P1227" s="565"/>
      <c r="Q1227" s="565"/>
      <c r="R1227" s="467"/>
    </row>
    <row r="1228" spans="1:18" s="438" customFormat="1" outlineLevel="1">
      <c r="A1228" s="569"/>
      <c r="B1228" s="587"/>
      <c r="C1228" s="589"/>
      <c r="D1228" s="565"/>
      <c r="E1228" s="596"/>
      <c r="F1228" s="565"/>
      <c r="G1228" s="592"/>
      <c r="H1228" s="565"/>
      <c r="I1228" s="565"/>
      <c r="J1228" s="565"/>
      <c r="K1228" s="466"/>
      <c r="L1228" s="459"/>
      <c r="M1228" s="460"/>
      <c r="N1228" s="459"/>
      <c r="O1228" s="261"/>
      <c r="P1228" s="565"/>
      <c r="Q1228" s="565"/>
      <c r="R1228" s="467"/>
    </row>
    <row r="1229" spans="1:18" s="438" customFormat="1" outlineLevel="1">
      <c r="A1229" s="569"/>
      <c r="B1229" s="587"/>
      <c r="C1229" s="589"/>
      <c r="D1229" s="565"/>
      <c r="E1229" s="596"/>
      <c r="F1229" s="565"/>
      <c r="G1229" s="592"/>
      <c r="H1229" s="565"/>
      <c r="I1229" s="565"/>
      <c r="J1229" s="565"/>
      <c r="K1229" s="466"/>
      <c r="L1229" s="459"/>
      <c r="M1229" s="460"/>
      <c r="N1229" s="459"/>
      <c r="O1229" s="261"/>
      <c r="P1229" s="565"/>
      <c r="Q1229" s="565"/>
      <c r="R1229" s="467"/>
    </row>
    <row r="1230" spans="1:18" s="438" customFormat="1" outlineLevel="1">
      <c r="A1230" s="569"/>
      <c r="B1230" s="587"/>
      <c r="C1230" s="589"/>
      <c r="D1230" s="565"/>
      <c r="E1230" s="596"/>
      <c r="F1230" s="565"/>
      <c r="G1230" s="592"/>
      <c r="H1230" s="565"/>
      <c r="I1230" s="565"/>
      <c r="J1230" s="565"/>
      <c r="K1230" s="466"/>
      <c r="L1230" s="459"/>
      <c r="M1230" s="460"/>
      <c r="N1230" s="459"/>
      <c r="O1230" s="261"/>
      <c r="P1230" s="565"/>
      <c r="Q1230" s="565"/>
      <c r="R1230" s="467"/>
    </row>
    <row r="1231" spans="1:18" s="438" customFormat="1" outlineLevel="1">
      <c r="A1231" s="569"/>
      <c r="B1231" s="587"/>
      <c r="C1231" s="589"/>
      <c r="D1231" s="565"/>
      <c r="E1231" s="596"/>
      <c r="F1231" s="565"/>
      <c r="G1231" s="592"/>
      <c r="H1231" s="565"/>
      <c r="I1231" s="565"/>
      <c r="J1231" s="565"/>
      <c r="K1231" s="466"/>
      <c r="L1231" s="459"/>
      <c r="M1231" s="460"/>
      <c r="N1231" s="459"/>
      <c r="O1231" s="261"/>
      <c r="P1231" s="565"/>
      <c r="Q1231" s="565"/>
      <c r="R1231" s="467"/>
    </row>
    <row r="1232" spans="1:18" s="438" customFormat="1" outlineLevel="1">
      <c r="A1232" s="569"/>
      <c r="B1232" s="587"/>
      <c r="C1232" s="589"/>
      <c r="D1232" s="565"/>
      <c r="E1232" s="596"/>
      <c r="F1232" s="565"/>
      <c r="G1232" s="592"/>
      <c r="H1232" s="565"/>
      <c r="I1232" s="565"/>
      <c r="J1232" s="565"/>
      <c r="K1232" s="466"/>
      <c r="L1232" s="459"/>
      <c r="M1232" s="460"/>
      <c r="N1232" s="459"/>
      <c r="O1232" s="261"/>
      <c r="P1232" s="565"/>
      <c r="Q1232" s="565"/>
      <c r="R1232" s="467"/>
    </row>
    <row r="1233" spans="1:18" s="438" customFormat="1" outlineLevel="1">
      <c r="A1233" s="569"/>
      <c r="B1233" s="587"/>
      <c r="C1233" s="589"/>
      <c r="D1233" s="565"/>
      <c r="E1233" s="596"/>
      <c r="F1233" s="565"/>
      <c r="G1233" s="592"/>
      <c r="H1233" s="565"/>
      <c r="I1233" s="565"/>
      <c r="J1233" s="565"/>
      <c r="K1233" s="466"/>
      <c r="L1233" s="459"/>
      <c r="M1233" s="460"/>
      <c r="N1233" s="459"/>
      <c r="O1233" s="261"/>
      <c r="P1233" s="565"/>
      <c r="Q1233" s="565"/>
      <c r="R1233" s="467"/>
    </row>
    <row r="1234" spans="1:18" s="438" customFormat="1" outlineLevel="1">
      <c r="A1234" s="569"/>
      <c r="B1234" s="587"/>
      <c r="C1234" s="589"/>
      <c r="D1234" s="565"/>
      <c r="E1234" s="596"/>
      <c r="F1234" s="565"/>
      <c r="G1234" s="592"/>
      <c r="H1234" s="565"/>
      <c r="I1234" s="565"/>
      <c r="J1234" s="565"/>
      <c r="K1234" s="466"/>
      <c r="L1234" s="459"/>
      <c r="M1234" s="460"/>
      <c r="N1234" s="459"/>
      <c r="O1234" s="261"/>
      <c r="P1234" s="565"/>
      <c r="Q1234" s="565"/>
      <c r="R1234" s="467"/>
    </row>
    <row r="1235" spans="1:18" s="438" customFormat="1" outlineLevel="1">
      <c r="A1235" s="569"/>
      <c r="B1235" s="587"/>
      <c r="C1235" s="589"/>
      <c r="D1235" s="565"/>
      <c r="E1235" s="596"/>
      <c r="F1235" s="565"/>
      <c r="G1235" s="592"/>
      <c r="H1235" s="565"/>
      <c r="I1235" s="565"/>
      <c r="J1235" s="565"/>
      <c r="K1235" s="466"/>
      <c r="L1235" s="459"/>
      <c r="M1235" s="460"/>
      <c r="N1235" s="459"/>
      <c r="O1235" s="261"/>
      <c r="P1235" s="565"/>
      <c r="Q1235" s="565"/>
      <c r="R1235" s="467"/>
    </row>
    <row r="1236" spans="1:18" s="438" customFormat="1" outlineLevel="1">
      <c r="A1236" s="570"/>
      <c r="B1236" s="588"/>
      <c r="C1236" s="590"/>
      <c r="D1236" s="566"/>
      <c r="E1236" s="596"/>
      <c r="F1236" s="566"/>
      <c r="G1236" s="593"/>
      <c r="H1236" s="566"/>
      <c r="I1236" s="566"/>
      <c r="J1236" s="566"/>
      <c r="K1236" s="466"/>
      <c r="L1236" s="459"/>
      <c r="M1236" s="460"/>
      <c r="N1236" s="459"/>
      <c r="O1236" s="261"/>
      <c r="P1236" s="566"/>
      <c r="Q1236" s="566"/>
      <c r="R1236" s="467"/>
    </row>
    <row r="1237" spans="1:18" s="438" customFormat="1" outlineLevel="1">
      <c r="A1237" s="568"/>
      <c r="B1237" s="587"/>
      <c r="C1237" s="595"/>
      <c r="D1237" s="565"/>
      <c r="E1237" s="596"/>
      <c r="F1237" s="565"/>
      <c r="G1237" s="597"/>
      <c r="H1237" s="594"/>
      <c r="I1237" s="594"/>
      <c r="J1237" s="594"/>
      <c r="K1237" s="458"/>
      <c r="L1237" s="459"/>
      <c r="M1237" s="460"/>
      <c r="N1237" s="459"/>
      <c r="O1237" s="261"/>
      <c r="P1237" s="594"/>
      <c r="Q1237" s="594"/>
      <c r="R1237" s="467"/>
    </row>
    <row r="1238" spans="1:18" s="438" customFormat="1" outlineLevel="1">
      <c r="A1238" s="569"/>
      <c r="B1238" s="587"/>
      <c r="C1238" s="589"/>
      <c r="D1238" s="565"/>
      <c r="E1238" s="596"/>
      <c r="F1238" s="565"/>
      <c r="G1238" s="592"/>
      <c r="H1238" s="565"/>
      <c r="I1238" s="565"/>
      <c r="J1238" s="565"/>
      <c r="K1238" s="466"/>
      <c r="L1238" s="459"/>
      <c r="M1238" s="460"/>
      <c r="N1238" s="459"/>
      <c r="O1238" s="261"/>
      <c r="P1238" s="565"/>
      <c r="Q1238" s="565"/>
      <c r="R1238" s="467"/>
    </row>
    <row r="1239" spans="1:18" s="438" customFormat="1" outlineLevel="1">
      <c r="A1239" s="569"/>
      <c r="B1239" s="587"/>
      <c r="C1239" s="589"/>
      <c r="D1239" s="565"/>
      <c r="E1239" s="596"/>
      <c r="F1239" s="565"/>
      <c r="G1239" s="592"/>
      <c r="H1239" s="565"/>
      <c r="I1239" s="565"/>
      <c r="J1239" s="565"/>
      <c r="K1239" s="466"/>
      <c r="L1239" s="459"/>
      <c r="M1239" s="460"/>
      <c r="N1239" s="459"/>
      <c r="O1239" s="261"/>
      <c r="P1239" s="565"/>
      <c r="Q1239" s="565"/>
      <c r="R1239" s="467"/>
    </row>
    <row r="1240" spans="1:18" s="438" customFormat="1" outlineLevel="1">
      <c r="A1240" s="569"/>
      <c r="B1240" s="587"/>
      <c r="C1240" s="589"/>
      <c r="D1240" s="565"/>
      <c r="E1240" s="596"/>
      <c r="F1240" s="565"/>
      <c r="G1240" s="592"/>
      <c r="H1240" s="565"/>
      <c r="I1240" s="565"/>
      <c r="J1240" s="565"/>
      <c r="K1240" s="466"/>
      <c r="L1240" s="459"/>
      <c r="M1240" s="460"/>
      <c r="N1240" s="459"/>
      <c r="O1240" s="261"/>
      <c r="P1240" s="565"/>
      <c r="Q1240" s="565"/>
      <c r="R1240" s="467"/>
    </row>
    <row r="1241" spans="1:18" s="438" customFormat="1" outlineLevel="1">
      <c r="A1241" s="569"/>
      <c r="B1241" s="587"/>
      <c r="C1241" s="589"/>
      <c r="D1241" s="565"/>
      <c r="E1241" s="596"/>
      <c r="F1241" s="565"/>
      <c r="G1241" s="592"/>
      <c r="H1241" s="565"/>
      <c r="I1241" s="565"/>
      <c r="J1241" s="565"/>
      <c r="K1241" s="466"/>
      <c r="L1241" s="459"/>
      <c r="M1241" s="460"/>
      <c r="N1241" s="459"/>
      <c r="O1241" s="261"/>
      <c r="P1241" s="565"/>
      <c r="Q1241" s="565"/>
      <c r="R1241" s="467"/>
    </row>
    <row r="1242" spans="1:18" s="438" customFormat="1" outlineLevel="1">
      <c r="A1242" s="569"/>
      <c r="B1242" s="587"/>
      <c r="C1242" s="589"/>
      <c r="D1242" s="565"/>
      <c r="E1242" s="596"/>
      <c r="F1242" s="565"/>
      <c r="G1242" s="592"/>
      <c r="H1242" s="565"/>
      <c r="I1242" s="565"/>
      <c r="J1242" s="565"/>
      <c r="K1242" s="466"/>
      <c r="L1242" s="459"/>
      <c r="M1242" s="460"/>
      <c r="N1242" s="459"/>
      <c r="O1242" s="261"/>
      <c r="P1242" s="565"/>
      <c r="Q1242" s="565"/>
      <c r="R1242" s="467"/>
    </row>
    <row r="1243" spans="1:18" s="438" customFormat="1" outlineLevel="1">
      <c r="A1243" s="569"/>
      <c r="B1243" s="587"/>
      <c r="C1243" s="589"/>
      <c r="D1243" s="565"/>
      <c r="E1243" s="596"/>
      <c r="F1243" s="565"/>
      <c r="G1243" s="592"/>
      <c r="H1243" s="565"/>
      <c r="I1243" s="565"/>
      <c r="J1243" s="565"/>
      <c r="K1243" s="466"/>
      <c r="L1243" s="459"/>
      <c r="M1243" s="460"/>
      <c r="N1243" s="459"/>
      <c r="O1243" s="261"/>
      <c r="P1243" s="565"/>
      <c r="Q1243" s="565"/>
      <c r="R1243" s="467"/>
    </row>
    <row r="1244" spans="1:18" s="438" customFormat="1" outlineLevel="1">
      <c r="A1244" s="569"/>
      <c r="B1244" s="587"/>
      <c r="C1244" s="589"/>
      <c r="D1244" s="565"/>
      <c r="E1244" s="596"/>
      <c r="F1244" s="565"/>
      <c r="G1244" s="592"/>
      <c r="H1244" s="565"/>
      <c r="I1244" s="565"/>
      <c r="J1244" s="565"/>
      <c r="K1244" s="466"/>
      <c r="L1244" s="459"/>
      <c r="M1244" s="460"/>
      <c r="N1244" s="459"/>
      <c r="O1244" s="261"/>
      <c r="P1244" s="565"/>
      <c r="Q1244" s="565"/>
      <c r="R1244" s="467"/>
    </row>
    <row r="1245" spans="1:18" s="438" customFormat="1" outlineLevel="1">
      <c r="A1245" s="569"/>
      <c r="B1245" s="587"/>
      <c r="C1245" s="589"/>
      <c r="D1245" s="565"/>
      <c r="E1245" s="596"/>
      <c r="F1245" s="565"/>
      <c r="G1245" s="592"/>
      <c r="H1245" s="565"/>
      <c r="I1245" s="565"/>
      <c r="J1245" s="565"/>
      <c r="K1245" s="466"/>
      <c r="L1245" s="459"/>
      <c r="M1245" s="460"/>
      <c r="N1245" s="459"/>
      <c r="O1245" s="261"/>
      <c r="P1245" s="565"/>
      <c r="Q1245" s="565"/>
      <c r="R1245" s="467"/>
    </row>
    <row r="1246" spans="1:18" s="438" customFormat="1" outlineLevel="1">
      <c r="A1246" s="569"/>
      <c r="B1246" s="587"/>
      <c r="C1246" s="589"/>
      <c r="D1246" s="565"/>
      <c r="E1246" s="596"/>
      <c r="F1246" s="565"/>
      <c r="G1246" s="592"/>
      <c r="H1246" s="565"/>
      <c r="I1246" s="565"/>
      <c r="J1246" s="565"/>
      <c r="K1246" s="466"/>
      <c r="L1246" s="459"/>
      <c r="M1246" s="460"/>
      <c r="N1246" s="459"/>
      <c r="O1246" s="261"/>
      <c r="P1246" s="565"/>
      <c r="Q1246" s="565"/>
      <c r="R1246" s="467"/>
    </row>
    <row r="1247" spans="1:18" s="438" customFormat="1" outlineLevel="1">
      <c r="A1247" s="569"/>
      <c r="B1247" s="587"/>
      <c r="C1247" s="589"/>
      <c r="D1247" s="565"/>
      <c r="E1247" s="596"/>
      <c r="F1247" s="565"/>
      <c r="G1247" s="592"/>
      <c r="H1247" s="565"/>
      <c r="I1247" s="565"/>
      <c r="J1247" s="565"/>
      <c r="K1247" s="466"/>
      <c r="L1247" s="459"/>
      <c r="M1247" s="460"/>
      <c r="N1247" s="459"/>
      <c r="O1247" s="261"/>
      <c r="P1247" s="565"/>
      <c r="Q1247" s="565"/>
      <c r="R1247" s="467"/>
    </row>
    <row r="1248" spans="1:18" s="438" customFormat="1" outlineLevel="1">
      <c r="A1248" s="569"/>
      <c r="B1248" s="587"/>
      <c r="C1248" s="589"/>
      <c r="D1248" s="565"/>
      <c r="E1248" s="596"/>
      <c r="F1248" s="565"/>
      <c r="G1248" s="592"/>
      <c r="H1248" s="565"/>
      <c r="I1248" s="565"/>
      <c r="J1248" s="565"/>
      <c r="K1248" s="466"/>
      <c r="L1248" s="459"/>
      <c r="M1248" s="460"/>
      <c r="N1248" s="459"/>
      <c r="O1248" s="261"/>
      <c r="P1248" s="565"/>
      <c r="Q1248" s="565"/>
      <c r="R1248" s="467"/>
    </row>
    <row r="1249" spans="1:18" s="438" customFormat="1" outlineLevel="1">
      <c r="A1249" s="569"/>
      <c r="B1249" s="587"/>
      <c r="C1249" s="589"/>
      <c r="D1249" s="565"/>
      <c r="E1249" s="596"/>
      <c r="F1249" s="565"/>
      <c r="G1249" s="592"/>
      <c r="H1249" s="565"/>
      <c r="I1249" s="565"/>
      <c r="J1249" s="565"/>
      <c r="K1249" s="466"/>
      <c r="L1249" s="459"/>
      <c r="M1249" s="460"/>
      <c r="N1249" s="459"/>
      <c r="O1249" s="261"/>
      <c r="P1249" s="565"/>
      <c r="Q1249" s="565"/>
      <c r="R1249" s="467"/>
    </row>
    <row r="1250" spans="1:18" s="438" customFormat="1" outlineLevel="1">
      <c r="A1250" s="569"/>
      <c r="B1250" s="587"/>
      <c r="C1250" s="589"/>
      <c r="D1250" s="565"/>
      <c r="E1250" s="596"/>
      <c r="F1250" s="565"/>
      <c r="G1250" s="592"/>
      <c r="H1250" s="565"/>
      <c r="I1250" s="565"/>
      <c r="J1250" s="565"/>
      <c r="K1250" s="466"/>
      <c r="L1250" s="459"/>
      <c r="M1250" s="460"/>
      <c r="N1250" s="459"/>
      <c r="O1250" s="261"/>
      <c r="P1250" s="565"/>
      <c r="Q1250" s="565"/>
      <c r="R1250" s="467"/>
    </row>
    <row r="1251" spans="1:18" s="438" customFormat="1" outlineLevel="1">
      <c r="A1251" s="569"/>
      <c r="B1251" s="587"/>
      <c r="C1251" s="589"/>
      <c r="D1251" s="565"/>
      <c r="E1251" s="596"/>
      <c r="F1251" s="565"/>
      <c r="G1251" s="592"/>
      <c r="H1251" s="565"/>
      <c r="I1251" s="565"/>
      <c r="J1251" s="565"/>
      <c r="K1251" s="466"/>
      <c r="L1251" s="459"/>
      <c r="M1251" s="460"/>
      <c r="N1251" s="459"/>
      <c r="O1251" s="261"/>
      <c r="P1251" s="565"/>
      <c r="Q1251" s="565"/>
      <c r="R1251" s="467"/>
    </row>
    <row r="1252" spans="1:18" s="438" customFormat="1" outlineLevel="1">
      <c r="A1252" s="570"/>
      <c r="B1252" s="588"/>
      <c r="C1252" s="590"/>
      <c r="D1252" s="566"/>
      <c r="E1252" s="596"/>
      <c r="F1252" s="566"/>
      <c r="G1252" s="593"/>
      <c r="H1252" s="566"/>
      <c r="I1252" s="566"/>
      <c r="J1252" s="566"/>
      <c r="K1252" s="466"/>
      <c r="L1252" s="459"/>
      <c r="M1252" s="460"/>
      <c r="N1252" s="459"/>
      <c r="O1252" s="261"/>
      <c r="P1252" s="566"/>
      <c r="Q1252" s="566"/>
      <c r="R1252" s="467"/>
    </row>
    <row r="1253" spans="1:18" s="438" customFormat="1" outlineLevel="1">
      <c r="A1253" s="568"/>
      <c r="B1253" s="587"/>
      <c r="C1253" s="595"/>
      <c r="D1253" s="565"/>
      <c r="E1253" s="596"/>
      <c r="F1253" s="565"/>
      <c r="G1253" s="597"/>
      <c r="H1253" s="594"/>
      <c r="I1253" s="594"/>
      <c r="J1253" s="594"/>
      <c r="K1253" s="458"/>
      <c r="L1253" s="459"/>
      <c r="M1253" s="460"/>
      <c r="N1253" s="459"/>
      <c r="O1253" s="261"/>
      <c r="P1253" s="594"/>
      <c r="Q1253" s="594"/>
      <c r="R1253" s="467"/>
    </row>
    <row r="1254" spans="1:18" s="438" customFormat="1" outlineLevel="1">
      <c r="A1254" s="569"/>
      <c r="B1254" s="587"/>
      <c r="C1254" s="589"/>
      <c r="D1254" s="565"/>
      <c r="E1254" s="596"/>
      <c r="F1254" s="565"/>
      <c r="G1254" s="592"/>
      <c r="H1254" s="565"/>
      <c r="I1254" s="565"/>
      <c r="J1254" s="565"/>
      <c r="K1254" s="466"/>
      <c r="L1254" s="459"/>
      <c r="M1254" s="460"/>
      <c r="N1254" s="459"/>
      <c r="O1254" s="261"/>
      <c r="P1254" s="565"/>
      <c r="Q1254" s="565"/>
      <c r="R1254" s="467"/>
    </row>
    <row r="1255" spans="1:18" s="438" customFormat="1" outlineLevel="1">
      <c r="A1255" s="569"/>
      <c r="B1255" s="587"/>
      <c r="C1255" s="589"/>
      <c r="D1255" s="565"/>
      <c r="E1255" s="596"/>
      <c r="F1255" s="565"/>
      <c r="G1255" s="592"/>
      <c r="H1255" s="565"/>
      <c r="I1255" s="565"/>
      <c r="J1255" s="565"/>
      <c r="K1255" s="466"/>
      <c r="L1255" s="459"/>
      <c r="M1255" s="460"/>
      <c r="N1255" s="459"/>
      <c r="O1255" s="261"/>
      <c r="P1255" s="565"/>
      <c r="Q1255" s="565"/>
      <c r="R1255" s="467"/>
    </row>
    <row r="1256" spans="1:18" s="438" customFormat="1" outlineLevel="1">
      <c r="A1256" s="569"/>
      <c r="B1256" s="587"/>
      <c r="C1256" s="589"/>
      <c r="D1256" s="565"/>
      <c r="E1256" s="596"/>
      <c r="F1256" s="565"/>
      <c r="G1256" s="592"/>
      <c r="H1256" s="565"/>
      <c r="I1256" s="565"/>
      <c r="J1256" s="565"/>
      <c r="K1256" s="466"/>
      <c r="L1256" s="459"/>
      <c r="M1256" s="460"/>
      <c r="N1256" s="459"/>
      <c r="O1256" s="261"/>
      <c r="P1256" s="565"/>
      <c r="Q1256" s="565"/>
      <c r="R1256" s="467"/>
    </row>
    <row r="1257" spans="1:18" s="438" customFormat="1" outlineLevel="1">
      <c r="A1257" s="569"/>
      <c r="B1257" s="587"/>
      <c r="C1257" s="589"/>
      <c r="D1257" s="565"/>
      <c r="E1257" s="596"/>
      <c r="F1257" s="565"/>
      <c r="G1257" s="592"/>
      <c r="H1257" s="565"/>
      <c r="I1257" s="565"/>
      <c r="J1257" s="565"/>
      <c r="K1257" s="466"/>
      <c r="L1257" s="459"/>
      <c r="M1257" s="460"/>
      <c r="N1257" s="459"/>
      <c r="O1257" s="261"/>
      <c r="P1257" s="565"/>
      <c r="Q1257" s="565"/>
      <c r="R1257" s="467"/>
    </row>
    <row r="1258" spans="1:18" s="438" customFormat="1" outlineLevel="1">
      <c r="A1258" s="569"/>
      <c r="B1258" s="587"/>
      <c r="C1258" s="589"/>
      <c r="D1258" s="565"/>
      <c r="E1258" s="596"/>
      <c r="F1258" s="565"/>
      <c r="G1258" s="592"/>
      <c r="H1258" s="565"/>
      <c r="I1258" s="565"/>
      <c r="J1258" s="565"/>
      <c r="K1258" s="466"/>
      <c r="L1258" s="459"/>
      <c r="M1258" s="460"/>
      <c r="N1258" s="459"/>
      <c r="O1258" s="261"/>
      <c r="P1258" s="565"/>
      <c r="Q1258" s="565"/>
      <c r="R1258" s="467"/>
    </row>
    <row r="1259" spans="1:18" s="438" customFormat="1" outlineLevel="1">
      <c r="A1259" s="569"/>
      <c r="B1259" s="587"/>
      <c r="C1259" s="589"/>
      <c r="D1259" s="565"/>
      <c r="E1259" s="596"/>
      <c r="F1259" s="565"/>
      <c r="G1259" s="592"/>
      <c r="H1259" s="565"/>
      <c r="I1259" s="565"/>
      <c r="J1259" s="565"/>
      <c r="K1259" s="466"/>
      <c r="L1259" s="459"/>
      <c r="M1259" s="460"/>
      <c r="N1259" s="459"/>
      <c r="O1259" s="261"/>
      <c r="P1259" s="565"/>
      <c r="Q1259" s="565"/>
      <c r="R1259" s="467"/>
    </row>
    <row r="1260" spans="1:18" s="438" customFormat="1" outlineLevel="1">
      <c r="A1260" s="569"/>
      <c r="B1260" s="587"/>
      <c r="C1260" s="589"/>
      <c r="D1260" s="565"/>
      <c r="E1260" s="596"/>
      <c r="F1260" s="565"/>
      <c r="G1260" s="592"/>
      <c r="H1260" s="565"/>
      <c r="I1260" s="565"/>
      <c r="J1260" s="565"/>
      <c r="K1260" s="466"/>
      <c r="L1260" s="459"/>
      <c r="M1260" s="460"/>
      <c r="N1260" s="459"/>
      <c r="O1260" s="261"/>
      <c r="P1260" s="565"/>
      <c r="Q1260" s="565"/>
      <c r="R1260" s="467"/>
    </row>
    <row r="1261" spans="1:18" s="438" customFormat="1" outlineLevel="1">
      <c r="A1261" s="569"/>
      <c r="B1261" s="587"/>
      <c r="C1261" s="589"/>
      <c r="D1261" s="565"/>
      <c r="E1261" s="596"/>
      <c r="F1261" s="565"/>
      <c r="G1261" s="592"/>
      <c r="H1261" s="565"/>
      <c r="I1261" s="565"/>
      <c r="J1261" s="565"/>
      <c r="K1261" s="466"/>
      <c r="L1261" s="459"/>
      <c r="M1261" s="460"/>
      <c r="N1261" s="459"/>
      <c r="O1261" s="261"/>
      <c r="P1261" s="565"/>
      <c r="Q1261" s="565"/>
      <c r="R1261" s="467"/>
    </row>
    <row r="1262" spans="1:18" s="438" customFormat="1" outlineLevel="1">
      <c r="A1262" s="569"/>
      <c r="B1262" s="587"/>
      <c r="C1262" s="589"/>
      <c r="D1262" s="565"/>
      <c r="E1262" s="596"/>
      <c r="F1262" s="565"/>
      <c r="G1262" s="592"/>
      <c r="H1262" s="565"/>
      <c r="I1262" s="565"/>
      <c r="J1262" s="565"/>
      <c r="K1262" s="466"/>
      <c r="L1262" s="459"/>
      <c r="M1262" s="460"/>
      <c r="N1262" s="459"/>
      <c r="O1262" s="261"/>
      <c r="P1262" s="565"/>
      <c r="Q1262" s="565"/>
      <c r="R1262" s="467"/>
    </row>
    <row r="1263" spans="1:18" s="438" customFormat="1" outlineLevel="1">
      <c r="A1263" s="569"/>
      <c r="B1263" s="587"/>
      <c r="C1263" s="589"/>
      <c r="D1263" s="565"/>
      <c r="E1263" s="596"/>
      <c r="F1263" s="565"/>
      <c r="G1263" s="592"/>
      <c r="H1263" s="565"/>
      <c r="I1263" s="565"/>
      <c r="J1263" s="565"/>
      <c r="K1263" s="466"/>
      <c r="L1263" s="459"/>
      <c r="M1263" s="460"/>
      <c r="N1263" s="459"/>
      <c r="O1263" s="261"/>
      <c r="P1263" s="565"/>
      <c r="Q1263" s="565"/>
      <c r="R1263" s="467"/>
    </row>
    <row r="1264" spans="1:18" s="438" customFormat="1" outlineLevel="1">
      <c r="A1264" s="569"/>
      <c r="B1264" s="587"/>
      <c r="C1264" s="589"/>
      <c r="D1264" s="565"/>
      <c r="E1264" s="596"/>
      <c r="F1264" s="565"/>
      <c r="G1264" s="592"/>
      <c r="H1264" s="565"/>
      <c r="I1264" s="565"/>
      <c r="J1264" s="565"/>
      <c r="K1264" s="466"/>
      <c r="L1264" s="459"/>
      <c r="M1264" s="460"/>
      <c r="N1264" s="459"/>
      <c r="O1264" s="261"/>
      <c r="P1264" s="565"/>
      <c r="Q1264" s="565"/>
      <c r="R1264" s="467"/>
    </row>
    <row r="1265" spans="1:18" s="438" customFormat="1" outlineLevel="1">
      <c r="A1265" s="569"/>
      <c r="B1265" s="587"/>
      <c r="C1265" s="589"/>
      <c r="D1265" s="565"/>
      <c r="E1265" s="596"/>
      <c r="F1265" s="565"/>
      <c r="G1265" s="592"/>
      <c r="H1265" s="565"/>
      <c r="I1265" s="565"/>
      <c r="J1265" s="565"/>
      <c r="K1265" s="466"/>
      <c r="L1265" s="459"/>
      <c r="M1265" s="460"/>
      <c r="N1265" s="459"/>
      <c r="O1265" s="261"/>
      <c r="P1265" s="565"/>
      <c r="Q1265" s="565"/>
      <c r="R1265" s="467"/>
    </row>
    <row r="1266" spans="1:18" s="438" customFormat="1" outlineLevel="1">
      <c r="A1266" s="569"/>
      <c r="B1266" s="587"/>
      <c r="C1266" s="589"/>
      <c r="D1266" s="565"/>
      <c r="E1266" s="596"/>
      <c r="F1266" s="565"/>
      <c r="G1266" s="592"/>
      <c r="H1266" s="565"/>
      <c r="I1266" s="565"/>
      <c r="J1266" s="565"/>
      <c r="K1266" s="466"/>
      <c r="L1266" s="459"/>
      <c r="M1266" s="460"/>
      <c r="N1266" s="459"/>
      <c r="O1266" s="261"/>
      <c r="P1266" s="565"/>
      <c r="Q1266" s="565"/>
      <c r="R1266" s="467"/>
    </row>
    <row r="1267" spans="1:18" s="438" customFormat="1" outlineLevel="1">
      <c r="A1267" s="569"/>
      <c r="B1267" s="587"/>
      <c r="C1267" s="589"/>
      <c r="D1267" s="565"/>
      <c r="E1267" s="596"/>
      <c r="F1267" s="565"/>
      <c r="G1267" s="592"/>
      <c r="H1267" s="565"/>
      <c r="I1267" s="565"/>
      <c r="J1267" s="565"/>
      <c r="K1267" s="466"/>
      <c r="L1267" s="459"/>
      <c r="M1267" s="460"/>
      <c r="N1267" s="459"/>
      <c r="O1267" s="261"/>
      <c r="P1267" s="565"/>
      <c r="Q1267" s="565"/>
      <c r="R1267" s="467"/>
    </row>
    <row r="1268" spans="1:18" s="438" customFormat="1" outlineLevel="1">
      <c r="A1268" s="570"/>
      <c r="B1268" s="588"/>
      <c r="C1268" s="590"/>
      <c r="D1268" s="566"/>
      <c r="E1268" s="596"/>
      <c r="F1268" s="566"/>
      <c r="G1268" s="593"/>
      <c r="H1268" s="566"/>
      <c r="I1268" s="566"/>
      <c r="J1268" s="566"/>
      <c r="K1268" s="466"/>
      <c r="L1268" s="459"/>
      <c r="M1268" s="460"/>
      <c r="N1268" s="459"/>
      <c r="O1268" s="261"/>
      <c r="P1268" s="566"/>
      <c r="Q1268" s="566"/>
      <c r="R1268" s="467"/>
    </row>
    <row r="1269" spans="1:18" s="438" customFormat="1" outlineLevel="1">
      <c r="A1269" s="568"/>
      <c r="B1269" s="587"/>
      <c r="C1269" s="595"/>
      <c r="D1269" s="565"/>
      <c r="E1269" s="596"/>
      <c r="F1269" s="565"/>
      <c r="G1269" s="597"/>
      <c r="H1269" s="594"/>
      <c r="I1269" s="594"/>
      <c r="J1269" s="594"/>
      <c r="K1269" s="458"/>
      <c r="L1269" s="459"/>
      <c r="M1269" s="460"/>
      <c r="N1269" s="459"/>
      <c r="O1269" s="261"/>
      <c r="P1269" s="594"/>
      <c r="Q1269" s="594"/>
      <c r="R1269" s="467"/>
    </row>
    <row r="1270" spans="1:18" s="438" customFormat="1" outlineLevel="1">
      <c r="A1270" s="569"/>
      <c r="B1270" s="587"/>
      <c r="C1270" s="589"/>
      <c r="D1270" s="565"/>
      <c r="E1270" s="596"/>
      <c r="F1270" s="565"/>
      <c r="G1270" s="592"/>
      <c r="H1270" s="565"/>
      <c r="I1270" s="565"/>
      <c r="J1270" s="565"/>
      <c r="K1270" s="466"/>
      <c r="L1270" s="459"/>
      <c r="M1270" s="460"/>
      <c r="N1270" s="459"/>
      <c r="O1270" s="261"/>
      <c r="P1270" s="565"/>
      <c r="Q1270" s="565"/>
      <c r="R1270" s="467"/>
    </row>
    <row r="1271" spans="1:18" s="438" customFormat="1" outlineLevel="1">
      <c r="A1271" s="569"/>
      <c r="B1271" s="587"/>
      <c r="C1271" s="589"/>
      <c r="D1271" s="565"/>
      <c r="E1271" s="596"/>
      <c r="F1271" s="565"/>
      <c r="G1271" s="592"/>
      <c r="H1271" s="565"/>
      <c r="I1271" s="565"/>
      <c r="J1271" s="565"/>
      <c r="K1271" s="466"/>
      <c r="L1271" s="459"/>
      <c r="M1271" s="460"/>
      <c r="N1271" s="459"/>
      <c r="O1271" s="261"/>
      <c r="P1271" s="565"/>
      <c r="Q1271" s="565"/>
      <c r="R1271" s="467"/>
    </row>
    <row r="1272" spans="1:18" s="438" customFormat="1" outlineLevel="1">
      <c r="A1272" s="569"/>
      <c r="B1272" s="587"/>
      <c r="C1272" s="589"/>
      <c r="D1272" s="565"/>
      <c r="E1272" s="596"/>
      <c r="F1272" s="565"/>
      <c r="G1272" s="592"/>
      <c r="H1272" s="565"/>
      <c r="I1272" s="565"/>
      <c r="J1272" s="565"/>
      <c r="K1272" s="466"/>
      <c r="L1272" s="459"/>
      <c r="M1272" s="460"/>
      <c r="N1272" s="459"/>
      <c r="O1272" s="261"/>
      <c r="P1272" s="565"/>
      <c r="Q1272" s="565"/>
      <c r="R1272" s="467"/>
    </row>
    <row r="1273" spans="1:18" s="438" customFormat="1" outlineLevel="1">
      <c r="A1273" s="569"/>
      <c r="B1273" s="587"/>
      <c r="C1273" s="589"/>
      <c r="D1273" s="565"/>
      <c r="E1273" s="596"/>
      <c r="F1273" s="565"/>
      <c r="G1273" s="592"/>
      <c r="H1273" s="565"/>
      <c r="I1273" s="565"/>
      <c r="J1273" s="565"/>
      <c r="K1273" s="466"/>
      <c r="L1273" s="459"/>
      <c r="M1273" s="460"/>
      <c r="N1273" s="459"/>
      <c r="O1273" s="261"/>
      <c r="P1273" s="565"/>
      <c r="Q1273" s="565"/>
      <c r="R1273" s="467"/>
    </row>
    <row r="1274" spans="1:18" s="438" customFormat="1" outlineLevel="1">
      <c r="A1274" s="569"/>
      <c r="B1274" s="587"/>
      <c r="C1274" s="589"/>
      <c r="D1274" s="565"/>
      <c r="E1274" s="596"/>
      <c r="F1274" s="565"/>
      <c r="G1274" s="592"/>
      <c r="H1274" s="565"/>
      <c r="I1274" s="565"/>
      <c r="J1274" s="565"/>
      <c r="K1274" s="466"/>
      <c r="L1274" s="459"/>
      <c r="M1274" s="460"/>
      <c r="N1274" s="459"/>
      <c r="O1274" s="261"/>
      <c r="P1274" s="565"/>
      <c r="Q1274" s="565"/>
      <c r="R1274" s="467"/>
    </row>
    <row r="1275" spans="1:18" s="438" customFormat="1" outlineLevel="1">
      <c r="A1275" s="569"/>
      <c r="B1275" s="587"/>
      <c r="C1275" s="589"/>
      <c r="D1275" s="565"/>
      <c r="E1275" s="596"/>
      <c r="F1275" s="565"/>
      <c r="G1275" s="592"/>
      <c r="H1275" s="565"/>
      <c r="I1275" s="565"/>
      <c r="J1275" s="565"/>
      <c r="K1275" s="466"/>
      <c r="L1275" s="459"/>
      <c r="M1275" s="460"/>
      <c r="N1275" s="459"/>
      <c r="O1275" s="261"/>
      <c r="P1275" s="565"/>
      <c r="Q1275" s="565"/>
      <c r="R1275" s="467"/>
    </row>
    <row r="1276" spans="1:18" s="438" customFormat="1" outlineLevel="1">
      <c r="A1276" s="569"/>
      <c r="B1276" s="587"/>
      <c r="C1276" s="589"/>
      <c r="D1276" s="565"/>
      <c r="E1276" s="596"/>
      <c r="F1276" s="565"/>
      <c r="G1276" s="592"/>
      <c r="H1276" s="565"/>
      <c r="I1276" s="565"/>
      <c r="J1276" s="565"/>
      <c r="K1276" s="466"/>
      <c r="L1276" s="459"/>
      <c r="M1276" s="460"/>
      <c r="N1276" s="459"/>
      <c r="O1276" s="261"/>
      <c r="P1276" s="565"/>
      <c r="Q1276" s="565"/>
      <c r="R1276" s="467"/>
    </row>
    <row r="1277" spans="1:18" s="438" customFormat="1" outlineLevel="1">
      <c r="A1277" s="569"/>
      <c r="B1277" s="587"/>
      <c r="C1277" s="589"/>
      <c r="D1277" s="565"/>
      <c r="E1277" s="596"/>
      <c r="F1277" s="565"/>
      <c r="G1277" s="592"/>
      <c r="H1277" s="565"/>
      <c r="I1277" s="565"/>
      <c r="J1277" s="565"/>
      <c r="K1277" s="466"/>
      <c r="L1277" s="459"/>
      <c r="M1277" s="460"/>
      <c r="N1277" s="459"/>
      <c r="O1277" s="261"/>
      <c r="P1277" s="565"/>
      <c r="Q1277" s="565"/>
      <c r="R1277" s="467"/>
    </row>
    <row r="1278" spans="1:18" s="438" customFormat="1" outlineLevel="1">
      <c r="A1278" s="569"/>
      <c r="B1278" s="587"/>
      <c r="C1278" s="589"/>
      <c r="D1278" s="565"/>
      <c r="E1278" s="596"/>
      <c r="F1278" s="565"/>
      <c r="G1278" s="592"/>
      <c r="H1278" s="565"/>
      <c r="I1278" s="565"/>
      <c r="J1278" s="565"/>
      <c r="K1278" s="466"/>
      <c r="L1278" s="459"/>
      <c r="M1278" s="460"/>
      <c r="N1278" s="459"/>
      <c r="O1278" s="261"/>
      <c r="P1278" s="565"/>
      <c r="Q1278" s="565"/>
      <c r="R1278" s="467"/>
    </row>
    <row r="1279" spans="1:18" s="438" customFormat="1" outlineLevel="1">
      <c r="A1279" s="569"/>
      <c r="B1279" s="587"/>
      <c r="C1279" s="589"/>
      <c r="D1279" s="565"/>
      <c r="E1279" s="596"/>
      <c r="F1279" s="565"/>
      <c r="G1279" s="592"/>
      <c r="H1279" s="565"/>
      <c r="I1279" s="565"/>
      <c r="J1279" s="565"/>
      <c r="K1279" s="466"/>
      <c r="L1279" s="459"/>
      <c r="M1279" s="460"/>
      <c r="N1279" s="459"/>
      <c r="O1279" s="261"/>
      <c r="P1279" s="565"/>
      <c r="Q1279" s="565"/>
      <c r="R1279" s="467"/>
    </row>
    <row r="1280" spans="1:18" s="438" customFormat="1" outlineLevel="1">
      <c r="A1280" s="569"/>
      <c r="B1280" s="587"/>
      <c r="C1280" s="589"/>
      <c r="D1280" s="565"/>
      <c r="E1280" s="596"/>
      <c r="F1280" s="565"/>
      <c r="G1280" s="592"/>
      <c r="H1280" s="565"/>
      <c r="I1280" s="565"/>
      <c r="J1280" s="565"/>
      <c r="K1280" s="466"/>
      <c r="L1280" s="459"/>
      <c r="M1280" s="460"/>
      <c r="N1280" s="459"/>
      <c r="O1280" s="261"/>
      <c r="P1280" s="565"/>
      <c r="Q1280" s="565"/>
      <c r="R1280" s="467"/>
    </row>
    <row r="1281" spans="1:18" s="438" customFormat="1" outlineLevel="1">
      <c r="A1281" s="569"/>
      <c r="B1281" s="587"/>
      <c r="C1281" s="589"/>
      <c r="D1281" s="565"/>
      <c r="E1281" s="596"/>
      <c r="F1281" s="565"/>
      <c r="G1281" s="592"/>
      <c r="H1281" s="565"/>
      <c r="I1281" s="565"/>
      <c r="J1281" s="565"/>
      <c r="K1281" s="466"/>
      <c r="L1281" s="459"/>
      <c r="M1281" s="460"/>
      <c r="N1281" s="459"/>
      <c r="O1281" s="261"/>
      <c r="P1281" s="565"/>
      <c r="Q1281" s="565"/>
      <c r="R1281" s="467"/>
    </row>
    <row r="1282" spans="1:18" s="438" customFormat="1" outlineLevel="1">
      <c r="A1282" s="569"/>
      <c r="B1282" s="587"/>
      <c r="C1282" s="589"/>
      <c r="D1282" s="565"/>
      <c r="E1282" s="596"/>
      <c r="F1282" s="565"/>
      <c r="G1282" s="592"/>
      <c r="H1282" s="565"/>
      <c r="I1282" s="565"/>
      <c r="J1282" s="565"/>
      <c r="K1282" s="466"/>
      <c r="L1282" s="459"/>
      <c r="M1282" s="460"/>
      <c r="N1282" s="459"/>
      <c r="O1282" s="261"/>
      <c r="P1282" s="565"/>
      <c r="Q1282" s="565"/>
      <c r="R1282" s="467"/>
    </row>
    <row r="1283" spans="1:18" s="438" customFormat="1" outlineLevel="1">
      <c r="A1283" s="569"/>
      <c r="B1283" s="587"/>
      <c r="C1283" s="589"/>
      <c r="D1283" s="565"/>
      <c r="E1283" s="596"/>
      <c r="F1283" s="565"/>
      <c r="G1283" s="592"/>
      <c r="H1283" s="565"/>
      <c r="I1283" s="565"/>
      <c r="J1283" s="565"/>
      <c r="K1283" s="466"/>
      <c r="L1283" s="459"/>
      <c r="M1283" s="460"/>
      <c r="N1283" s="459"/>
      <c r="O1283" s="261"/>
      <c r="P1283" s="565"/>
      <c r="Q1283" s="565"/>
      <c r="R1283" s="467"/>
    </row>
    <row r="1284" spans="1:18" s="438" customFormat="1" outlineLevel="1">
      <c r="A1284" s="570"/>
      <c r="B1284" s="588"/>
      <c r="C1284" s="590"/>
      <c r="D1284" s="566"/>
      <c r="E1284" s="596"/>
      <c r="F1284" s="566"/>
      <c r="G1284" s="593"/>
      <c r="H1284" s="566"/>
      <c r="I1284" s="566"/>
      <c r="J1284" s="566"/>
      <c r="K1284" s="466"/>
      <c r="L1284" s="459"/>
      <c r="M1284" s="460"/>
      <c r="N1284" s="459"/>
      <c r="O1284" s="261"/>
      <c r="P1284" s="566"/>
      <c r="Q1284" s="566"/>
      <c r="R1284" s="467"/>
    </row>
    <row r="1285" spans="1:18" s="438" customFormat="1" outlineLevel="1">
      <c r="A1285" s="568"/>
      <c r="B1285" s="587"/>
      <c r="C1285" s="595"/>
      <c r="D1285" s="565"/>
      <c r="E1285" s="596"/>
      <c r="F1285" s="565"/>
      <c r="G1285" s="597"/>
      <c r="H1285" s="594"/>
      <c r="I1285" s="594"/>
      <c r="J1285" s="594"/>
      <c r="K1285" s="458"/>
      <c r="L1285" s="459"/>
      <c r="M1285" s="460"/>
      <c r="N1285" s="459"/>
      <c r="O1285" s="261"/>
      <c r="P1285" s="594"/>
      <c r="Q1285" s="594"/>
      <c r="R1285" s="467"/>
    </row>
    <row r="1286" spans="1:18" s="438" customFormat="1" outlineLevel="1">
      <c r="A1286" s="569"/>
      <c r="B1286" s="587"/>
      <c r="C1286" s="589"/>
      <c r="D1286" s="565"/>
      <c r="E1286" s="596"/>
      <c r="F1286" s="565"/>
      <c r="G1286" s="592"/>
      <c r="H1286" s="565"/>
      <c r="I1286" s="565"/>
      <c r="J1286" s="565"/>
      <c r="K1286" s="466"/>
      <c r="L1286" s="459"/>
      <c r="M1286" s="460"/>
      <c r="N1286" s="459"/>
      <c r="O1286" s="261"/>
      <c r="P1286" s="565"/>
      <c r="Q1286" s="565"/>
      <c r="R1286" s="467"/>
    </row>
    <row r="1287" spans="1:18" s="438" customFormat="1" outlineLevel="1">
      <c r="A1287" s="569"/>
      <c r="B1287" s="587"/>
      <c r="C1287" s="589"/>
      <c r="D1287" s="565"/>
      <c r="E1287" s="596"/>
      <c r="F1287" s="565"/>
      <c r="G1287" s="592"/>
      <c r="H1287" s="565"/>
      <c r="I1287" s="565"/>
      <c r="J1287" s="565"/>
      <c r="K1287" s="466"/>
      <c r="L1287" s="459"/>
      <c r="M1287" s="460"/>
      <c r="N1287" s="459"/>
      <c r="O1287" s="261"/>
      <c r="P1287" s="565"/>
      <c r="Q1287" s="565"/>
      <c r="R1287" s="467"/>
    </row>
    <row r="1288" spans="1:18" s="438" customFormat="1" outlineLevel="1">
      <c r="A1288" s="569"/>
      <c r="B1288" s="587"/>
      <c r="C1288" s="589"/>
      <c r="D1288" s="565"/>
      <c r="E1288" s="596"/>
      <c r="F1288" s="565"/>
      <c r="G1288" s="592"/>
      <c r="H1288" s="565"/>
      <c r="I1288" s="565"/>
      <c r="J1288" s="565"/>
      <c r="K1288" s="466"/>
      <c r="L1288" s="459"/>
      <c r="M1288" s="460"/>
      <c r="N1288" s="459"/>
      <c r="O1288" s="261"/>
      <c r="P1288" s="565"/>
      <c r="Q1288" s="565"/>
      <c r="R1288" s="467"/>
    </row>
    <row r="1289" spans="1:18" s="438" customFormat="1" outlineLevel="1">
      <c r="A1289" s="569"/>
      <c r="B1289" s="587"/>
      <c r="C1289" s="589"/>
      <c r="D1289" s="565"/>
      <c r="E1289" s="596"/>
      <c r="F1289" s="565"/>
      <c r="G1289" s="592"/>
      <c r="H1289" s="565"/>
      <c r="I1289" s="565"/>
      <c r="J1289" s="565"/>
      <c r="K1289" s="466"/>
      <c r="L1289" s="459"/>
      <c r="M1289" s="460"/>
      <c r="N1289" s="459"/>
      <c r="O1289" s="261"/>
      <c r="P1289" s="565"/>
      <c r="Q1289" s="565"/>
      <c r="R1289" s="467"/>
    </row>
    <row r="1290" spans="1:18" s="438" customFormat="1" outlineLevel="1">
      <c r="A1290" s="569"/>
      <c r="B1290" s="587"/>
      <c r="C1290" s="589"/>
      <c r="D1290" s="565"/>
      <c r="E1290" s="596"/>
      <c r="F1290" s="565"/>
      <c r="G1290" s="592"/>
      <c r="H1290" s="565"/>
      <c r="I1290" s="565"/>
      <c r="J1290" s="565"/>
      <c r="K1290" s="466"/>
      <c r="L1290" s="459"/>
      <c r="M1290" s="460"/>
      <c r="N1290" s="459"/>
      <c r="O1290" s="261"/>
      <c r="P1290" s="565"/>
      <c r="Q1290" s="565"/>
      <c r="R1290" s="467"/>
    </row>
    <row r="1291" spans="1:18" s="438" customFormat="1" outlineLevel="1">
      <c r="A1291" s="569"/>
      <c r="B1291" s="587"/>
      <c r="C1291" s="589"/>
      <c r="D1291" s="565"/>
      <c r="E1291" s="596"/>
      <c r="F1291" s="565"/>
      <c r="G1291" s="592"/>
      <c r="H1291" s="565"/>
      <c r="I1291" s="565"/>
      <c r="J1291" s="565"/>
      <c r="K1291" s="466"/>
      <c r="L1291" s="459"/>
      <c r="M1291" s="460"/>
      <c r="N1291" s="459"/>
      <c r="O1291" s="261"/>
      <c r="P1291" s="565"/>
      <c r="Q1291" s="565"/>
      <c r="R1291" s="467"/>
    </row>
    <row r="1292" spans="1:18" s="438" customFormat="1" outlineLevel="1">
      <c r="A1292" s="569"/>
      <c r="B1292" s="587"/>
      <c r="C1292" s="589"/>
      <c r="D1292" s="565"/>
      <c r="E1292" s="596"/>
      <c r="F1292" s="565"/>
      <c r="G1292" s="592"/>
      <c r="H1292" s="565"/>
      <c r="I1292" s="565"/>
      <c r="J1292" s="565"/>
      <c r="K1292" s="466"/>
      <c r="L1292" s="459"/>
      <c r="M1292" s="460"/>
      <c r="N1292" s="459"/>
      <c r="O1292" s="261"/>
      <c r="P1292" s="565"/>
      <c r="Q1292" s="565"/>
      <c r="R1292" s="467"/>
    </row>
    <row r="1293" spans="1:18" s="438" customFormat="1" outlineLevel="1">
      <c r="A1293" s="569"/>
      <c r="B1293" s="587"/>
      <c r="C1293" s="589"/>
      <c r="D1293" s="565"/>
      <c r="E1293" s="596"/>
      <c r="F1293" s="565"/>
      <c r="G1293" s="592"/>
      <c r="H1293" s="565"/>
      <c r="I1293" s="565"/>
      <c r="J1293" s="565"/>
      <c r="K1293" s="466"/>
      <c r="L1293" s="459"/>
      <c r="M1293" s="460"/>
      <c r="N1293" s="459"/>
      <c r="O1293" s="261"/>
      <c r="P1293" s="565"/>
      <c r="Q1293" s="565"/>
      <c r="R1293" s="467"/>
    </row>
    <row r="1294" spans="1:18" s="438" customFormat="1" outlineLevel="1">
      <c r="A1294" s="569"/>
      <c r="B1294" s="587"/>
      <c r="C1294" s="589"/>
      <c r="D1294" s="565"/>
      <c r="E1294" s="596"/>
      <c r="F1294" s="565"/>
      <c r="G1294" s="592"/>
      <c r="H1294" s="565"/>
      <c r="I1294" s="565"/>
      <c r="J1294" s="565"/>
      <c r="K1294" s="466"/>
      <c r="L1294" s="459"/>
      <c r="M1294" s="460"/>
      <c r="N1294" s="459"/>
      <c r="O1294" s="261"/>
      <c r="P1294" s="565"/>
      <c r="Q1294" s="565"/>
      <c r="R1294" s="467"/>
    </row>
    <row r="1295" spans="1:18" s="438" customFormat="1" outlineLevel="1">
      <c r="A1295" s="569"/>
      <c r="B1295" s="587"/>
      <c r="C1295" s="589"/>
      <c r="D1295" s="565"/>
      <c r="E1295" s="596"/>
      <c r="F1295" s="565"/>
      <c r="G1295" s="592"/>
      <c r="H1295" s="565"/>
      <c r="I1295" s="565"/>
      <c r="J1295" s="565"/>
      <c r="K1295" s="466"/>
      <c r="L1295" s="459"/>
      <c r="M1295" s="460"/>
      <c r="N1295" s="459"/>
      <c r="O1295" s="261"/>
      <c r="P1295" s="565"/>
      <c r="Q1295" s="565"/>
      <c r="R1295" s="467"/>
    </row>
    <row r="1296" spans="1:18" s="438" customFormat="1" outlineLevel="1">
      <c r="A1296" s="569"/>
      <c r="B1296" s="587"/>
      <c r="C1296" s="589"/>
      <c r="D1296" s="565"/>
      <c r="E1296" s="596"/>
      <c r="F1296" s="565"/>
      <c r="G1296" s="592"/>
      <c r="H1296" s="565"/>
      <c r="I1296" s="565"/>
      <c r="J1296" s="565"/>
      <c r="K1296" s="466"/>
      <c r="L1296" s="459"/>
      <c r="M1296" s="460"/>
      <c r="N1296" s="459"/>
      <c r="O1296" s="261"/>
      <c r="P1296" s="565"/>
      <c r="Q1296" s="565"/>
      <c r="R1296" s="467"/>
    </row>
    <row r="1297" spans="1:18" s="438" customFormat="1" outlineLevel="1">
      <c r="A1297" s="569"/>
      <c r="B1297" s="587"/>
      <c r="C1297" s="589"/>
      <c r="D1297" s="565"/>
      <c r="E1297" s="596"/>
      <c r="F1297" s="565"/>
      <c r="G1297" s="592"/>
      <c r="H1297" s="565"/>
      <c r="I1297" s="565"/>
      <c r="J1297" s="565"/>
      <c r="K1297" s="466"/>
      <c r="L1297" s="459"/>
      <c r="M1297" s="460"/>
      <c r="N1297" s="459"/>
      <c r="O1297" s="261"/>
      <c r="P1297" s="565"/>
      <c r="Q1297" s="565"/>
      <c r="R1297" s="467"/>
    </row>
    <row r="1298" spans="1:18" s="438" customFormat="1" outlineLevel="1">
      <c r="A1298" s="569"/>
      <c r="B1298" s="587"/>
      <c r="C1298" s="589"/>
      <c r="D1298" s="565"/>
      <c r="E1298" s="596"/>
      <c r="F1298" s="565"/>
      <c r="G1298" s="592"/>
      <c r="H1298" s="565"/>
      <c r="I1298" s="565"/>
      <c r="J1298" s="565"/>
      <c r="K1298" s="466"/>
      <c r="L1298" s="459"/>
      <c r="M1298" s="460"/>
      <c r="N1298" s="459"/>
      <c r="O1298" s="261"/>
      <c r="P1298" s="565"/>
      <c r="Q1298" s="565"/>
      <c r="R1298" s="467"/>
    </row>
    <row r="1299" spans="1:18" s="438" customFormat="1" outlineLevel="1">
      <c r="A1299" s="569"/>
      <c r="B1299" s="587"/>
      <c r="C1299" s="589"/>
      <c r="D1299" s="565"/>
      <c r="E1299" s="596"/>
      <c r="F1299" s="565"/>
      <c r="G1299" s="592"/>
      <c r="H1299" s="565"/>
      <c r="I1299" s="565"/>
      <c r="J1299" s="565"/>
      <c r="K1299" s="466"/>
      <c r="L1299" s="459"/>
      <c r="M1299" s="460"/>
      <c r="N1299" s="459"/>
      <c r="O1299" s="261"/>
      <c r="P1299" s="565"/>
      <c r="Q1299" s="565"/>
      <c r="R1299" s="467"/>
    </row>
    <row r="1300" spans="1:18" s="438" customFormat="1" outlineLevel="1">
      <c r="A1300" s="570"/>
      <c r="B1300" s="588"/>
      <c r="C1300" s="590"/>
      <c r="D1300" s="566"/>
      <c r="E1300" s="596"/>
      <c r="F1300" s="566"/>
      <c r="G1300" s="593"/>
      <c r="H1300" s="566"/>
      <c r="I1300" s="566"/>
      <c r="J1300" s="566"/>
      <c r="K1300" s="466"/>
      <c r="L1300" s="459"/>
      <c r="M1300" s="460"/>
      <c r="N1300" s="459"/>
      <c r="O1300" s="261"/>
      <c r="P1300" s="566"/>
      <c r="Q1300" s="566"/>
      <c r="R1300" s="467"/>
    </row>
    <row r="1301" spans="1:18" s="438" customFormat="1" outlineLevel="1">
      <c r="A1301" s="568"/>
      <c r="B1301" s="587"/>
      <c r="C1301" s="595"/>
      <c r="D1301" s="565"/>
      <c r="E1301" s="596"/>
      <c r="F1301" s="565"/>
      <c r="G1301" s="597"/>
      <c r="H1301" s="594"/>
      <c r="I1301" s="594"/>
      <c r="J1301" s="594"/>
      <c r="K1301" s="458"/>
      <c r="L1301" s="459"/>
      <c r="M1301" s="460"/>
      <c r="N1301" s="459"/>
      <c r="O1301" s="261"/>
      <c r="P1301" s="594"/>
      <c r="Q1301" s="594"/>
      <c r="R1301" s="467"/>
    </row>
    <row r="1302" spans="1:18" s="438" customFormat="1" outlineLevel="1">
      <c r="A1302" s="569"/>
      <c r="B1302" s="587"/>
      <c r="C1302" s="589"/>
      <c r="D1302" s="565"/>
      <c r="E1302" s="596"/>
      <c r="F1302" s="565"/>
      <c r="G1302" s="592"/>
      <c r="H1302" s="565"/>
      <c r="I1302" s="565"/>
      <c r="J1302" s="565"/>
      <c r="K1302" s="466"/>
      <c r="L1302" s="459"/>
      <c r="M1302" s="460"/>
      <c r="N1302" s="459"/>
      <c r="O1302" s="261"/>
      <c r="P1302" s="565"/>
      <c r="Q1302" s="565"/>
      <c r="R1302" s="467"/>
    </row>
    <row r="1303" spans="1:18" s="438" customFormat="1" outlineLevel="1">
      <c r="A1303" s="569"/>
      <c r="B1303" s="587"/>
      <c r="C1303" s="589"/>
      <c r="D1303" s="565"/>
      <c r="E1303" s="596"/>
      <c r="F1303" s="565"/>
      <c r="G1303" s="592"/>
      <c r="H1303" s="565"/>
      <c r="I1303" s="565"/>
      <c r="J1303" s="565"/>
      <c r="K1303" s="466"/>
      <c r="L1303" s="459"/>
      <c r="M1303" s="460"/>
      <c r="N1303" s="459"/>
      <c r="O1303" s="261"/>
      <c r="P1303" s="565"/>
      <c r="Q1303" s="565"/>
      <c r="R1303" s="467"/>
    </row>
    <row r="1304" spans="1:18" s="438" customFormat="1" outlineLevel="1">
      <c r="A1304" s="569"/>
      <c r="B1304" s="587"/>
      <c r="C1304" s="589"/>
      <c r="D1304" s="565"/>
      <c r="E1304" s="596"/>
      <c r="F1304" s="565"/>
      <c r="G1304" s="592"/>
      <c r="H1304" s="565"/>
      <c r="I1304" s="565"/>
      <c r="J1304" s="565"/>
      <c r="K1304" s="466"/>
      <c r="L1304" s="459"/>
      <c r="M1304" s="460"/>
      <c r="N1304" s="459"/>
      <c r="O1304" s="261"/>
      <c r="P1304" s="565"/>
      <c r="Q1304" s="565"/>
      <c r="R1304" s="467"/>
    </row>
    <row r="1305" spans="1:18" s="438" customFormat="1" outlineLevel="1">
      <c r="A1305" s="569"/>
      <c r="B1305" s="587"/>
      <c r="C1305" s="589"/>
      <c r="D1305" s="565"/>
      <c r="E1305" s="596"/>
      <c r="F1305" s="565"/>
      <c r="G1305" s="592"/>
      <c r="H1305" s="565"/>
      <c r="I1305" s="565"/>
      <c r="J1305" s="565"/>
      <c r="K1305" s="466"/>
      <c r="L1305" s="459"/>
      <c r="M1305" s="460"/>
      <c r="N1305" s="459"/>
      <c r="O1305" s="261"/>
      <c r="P1305" s="565"/>
      <c r="Q1305" s="565"/>
      <c r="R1305" s="467"/>
    </row>
    <row r="1306" spans="1:18" s="438" customFormat="1" outlineLevel="1">
      <c r="A1306" s="569"/>
      <c r="B1306" s="587"/>
      <c r="C1306" s="589"/>
      <c r="D1306" s="565"/>
      <c r="E1306" s="596"/>
      <c r="F1306" s="565"/>
      <c r="G1306" s="592"/>
      <c r="H1306" s="565"/>
      <c r="I1306" s="565"/>
      <c r="J1306" s="565"/>
      <c r="K1306" s="466"/>
      <c r="L1306" s="459"/>
      <c r="M1306" s="460"/>
      <c r="N1306" s="459"/>
      <c r="O1306" s="261"/>
      <c r="P1306" s="565"/>
      <c r="Q1306" s="565"/>
      <c r="R1306" s="467"/>
    </row>
    <row r="1307" spans="1:18" s="438" customFormat="1" outlineLevel="1">
      <c r="A1307" s="569"/>
      <c r="B1307" s="587"/>
      <c r="C1307" s="589"/>
      <c r="D1307" s="565"/>
      <c r="E1307" s="596"/>
      <c r="F1307" s="565"/>
      <c r="G1307" s="592"/>
      <c r="H1307" s="565"/>
      <c r="I1307" s="565"/>
      <c r="J1307" s="565"/>
      <c r="K1307" s="466"/>
      <c r="L1307" s="459"/>
      <c r="M1307" s="460"/>
      <c r="N1307" s="459"/>
      <c r="O1307" s="261"/>
      <c r="P1307" s="565"/>
      <c r="Q1307" s="565"/>
      <c r="R1307" s="467"/>
    </row>
    <row r="1308" spans="1:18" s="438" customFormat="1" outlineLevel="1">
      <c r="A1308" s="569"/>
      <c r="B1308" s="587"/>
      <c r="C1308" s="589"/>
      <c r="D1308" s="565"/>
      <c r="E1308" s="596"/>
      <c r="F1308" s="565"/>
      <c r="G1308" s="592"/>
      <c r="H1308" s="565"/>
      <c r="I1308" s="565"/>
      <c r="J1308" s="565"/>
      <c r="K1308" s="466"/>
      <c r="L1308" s="459"/>
      <c r="M1308" s="460"/>
      <c r="N1308" s="459"/>
      <c r="O1308" s="261"/>
      <c r="P1308" s="565"/>
      <c r="Q1308" s="565"/>
      <c r="R1308" s="467"/>
    </row>
    <row r="1309" spans="1:18" s="438" customFormat="1" outlineLevel="1">
      <c r="A1309" s="569"/>
      <c r="B1309" s="587"/>
      <c r="C1309" s="589"/>
      <c r="D1309" s="565"/>
      <c r="E1309" s="596"/>
      <c r="F1309" s="565"/>
      <c r="G1309" s="592"/>
      <c r="H1309" s="565"/>
      <c r="I1309" s="565"/>
      <c r="J1309" s="565"/>
      <c r="K1309" s="466"/>
      <c r="L1309" s="459"/>
      <c r="M1309" s="460"/>
      <c r="N1309" s="459"/>
      <c r="O1309" s="261"/>
      <c r="P1309" s="565"/>
      <c r="Q1309" s="565"/>
      <c r="R1309" s="467"/>
    </row>
    <row r="1310" spans="1:18" s="438" customFormat="1" outlineLevel="1">
      <c r="A1310" s="569"/>
      <c r="B1310" s="587"/>
      <c r="C1310" s="589"/>
      <c r="D1310" s="565"/>
      <c r="E1310" s="596"/>
      <c r="F1310" s="565"/>
      <c r="G1310" s="592"/>
      <c r="H1310" s="565"/>
      <c r="I1310" s="565"/>
      <c r="J1310" s="565"/>
      <c r="K1310" s="466"/>
      <c r="L1310" s="459"/>
      <c r="M1310" s="460"/>
      <c r="N1310" s="459"/>
      <c r="O1310" s="261"/>
      <c r="P1310" s="565"/>
      <c r="Q1310" s="565"/>
      <c r="R1310" s="467"/>
    </row>
    <row r="1311" spans="1:18" s="438" customFormat="1" outlineLevel="1">
      <c r="A1311" s="569"/>
      <c r="B1311" s="587"/>
      <c r="C1311" s="589"/>
      <c r="D1311" s="565"/>
      <c r="E1311" s="596"/>
      <c r="F1311" s="565"/>
      <c r="G1311" s="592"/>
      <c r="H1311" s="565"/>
      <c r="I1311" s="565"/>
      <c r="J1311" s="565"/>
      <c r="K1311" s="466"/>
      <c r="L1311" s="459"/>
      <c r="M1311" s="460"/>
      <c r="N1311" s="459"/>
      <c r="O1311" s="261"/>
      <c r="P1311" s="565"/>
      <c r="Q1311" s="565"/>
      <c r="R1311" s="467"/>
    </row>
    <row r="1312" spans="1:18" s="438" customFormat="1" outlineLevel="1">
      <c r="A1312" s="569"/>
      <c r="B1312" s="587"/>
      <c r="C1312" s="589"/>
      <c r="D1312" s="565"/>
      <c r="E1312" s="596"/>
      <c r="F1312" s="565"/>
      <c r="G1312" s="592"/>
      <c r="H1312" s="565"/>
      <c r="I1312" s="565"/>
      <c r="J1312" s="565"/>
      <c r="K1312" s="466"/>
      <c r="L1312" s="459"/>
      <c r="M1312" s="460"/>
      <c r="N1312" s="459"/>
      <c r="O1312" s="261"/>
      <c r="P1312" s="565"/>
      <c r="Q1312" s="565"/>
      <c r="R1312" s="467"/>
    </row>
    <row r="1313" spans="1:18" s="438" customFormat="1" outlineLevel="1">
      <c r="A1313" s="569"/>
      <c r="B1313" s="587"/>
      <c r="C1313" s="589"/>
      <c r="D1313" s="565"/>
      <c r="E1313" s="596"/>
      <c r="F1313" s="565"/>
      <c r="G1313" s="592"/>
      <c r="H1313" s="565"/>
      <c r="I1313" s="565"/>
      <c r="J1313" s="565"/>
      <c r="K1313" s="466"/>
      <c r="L1313" s="459"/>
      <c r="M1313" s="460"/>
      <c r="N1313" s="459"/>
      <c r="O1313" s="261"/>
      <c r="P1313" s="565"/>
      <c r="Q1313" s="565"/>
      <c r="R1313" s="467"/>
    </row>
    <row r="1314" spans="1:18" s="438" customFormat="1" outlineLevel="1">
      <c r="A1314" s="569"/>
      <c r="B1314" s="587"/>
      <c r="C1314" s="589"/>
      <c r="D1314" s="565"/>
      <c r="E1314" s="596"/>
      <c r="F1314" s="565"/>
      <c r="G1314" s="592"/>
      <c r="H1314" s="565"/>
      <c r="I1314" s="565"/>
      <c r="J1314" s="565"/>
      <c r="K1314" s="466"/>
      <c r="L1314" s="459"/>
      <c r="M1314" s="460"/>
      <c r="N1314" s="459"/>
      <c r="O1314" s="261"/>
      <c r="P1314" s="565"/>
      <c r="Q1314" s="565"/>
      <c r="R1314" s="467"/>
    </row>
    <row r="1315" spans="1:18" s="438" customFormat="1" outlineLevel="1">
      <c r="A1315" s="569"/>
      <c r="B1315" s="587"/>
      <c r="C1315" s="589"/>
      <c r="D1315" s="565"/>
      <c r="E1315" s="596"/>
      <c r="F1315" s="565"/>
      <c r="G1315" s="592"/>
      <c r="H1315" s="565"/>
      <c r="I1315" s="565"/>
      <c r="J1315" s="565"/>
      <c r="K1315" s="466"/>
      <c r="L1315" s="459"/>
      <c r="M1315" s="460"/>
      <c r="N1315" s="459"/>
      <c r="O1315" s="261"/>
      <c r="P1315" s="565"/>
      <c r="Q1315" s="565"/>
      <c r="R1315" s="467"/>
    </row>
    <row r="1316" spans="1:18" s="438" customFormat="1" outlineLevel="1">
      <c r="A1316" s="570"/>
      <c r="B1316" s="588"/>
      <c r="C1316" s="590"/>
      <c r="D1316" s="566"/>
      <c r="E1316" s="596"/>
      <c r="F1316" s="566"/>
      <c r="G1316" s="593"/>
      <c r="H1316" s="566"/>
      <c r="I1316" s="566"/>
      <c r="J1316" s="566"/>
      <c r="K1316" s="466"/>
      <c r="L1316" s="459"/>
      <c r="M1316" s="460"/>
      <c r="N1316" s="459"/>
      <c r="O1316" s="261"/>
      <c r="P1316" s="566"/>
      <c r="Q1316" s="566"/>
      <c r="R1316" s="467"/>
    </row>
    <row r="1317" spans="1:18" s="438" customFormat="1" outlineLevel="1">
      <c r="A1317" s="568"/>
      <c r="B1317" s="587"/>
      <c r="C1317" s="595"/>
      <c r="D1317" s="565"/>
      <c r="E1317" s="596"/>
      <c r="F1317" s="565"/>
      <c r="G1317" s="597"/>
      <c r="H1317" s="594"/>
      <c r="I1317" s="594"/>
      <c r="J1317" s="594"/>
      <c r="K1317" s="458"/>
      <c r="L1317" s="459"/>
      <c r="M1317" s="460"/>
      <c r="N1317" s="459"/>
      <c r="O1317" s="261"/>
      <c r="P1317" s="594"/>
      <c r="Q1317" s="594"/>
      <c r="R1317" s="467"/>
    </row>
    <row r="1318" spans="1:18" s="438" customFormat="1" outlineLevel="1">
      <c r="A1318" s="569"/>
      <c r="B1318" s="587"/>
      <c r="C1318" s="589"/>
      <c r="D1318" s="565"/>
      <c r="E1318" s="596"/>
      <c r="F1318" s="565"/>
      <c r="G1318" s="592"/>
      <c r="H1318" s="565"/>
      <c r="I1318" s="565"/>
      <c r="J1318" s="565"/>
      <c r="K1318" s="466"/>
      <c r="L1318" s="459"/>
      <c r="M1318" s="460"/>
      <c r="N1318" s="459"/>
      <c r="O1318" s="261"/>
      <c r="P1318" s="565"/>
      <c r="Q1318" s="565"/>
      <c r="R1318" s="467"/>
    </row>
    <row r="1319" spans="1:18" s="438" customFormat="1" outlineLevel="1">
      <c r="A1319" s="569"/>
      <c r="B1319" s="587"/>
      <c r="C1319" s="589"/>
      <c r="D1319" s="565"/>
      <c r="E1319" s="596"/>
      <c r="F1319" s="565"/>
      <c r="G1319" s="592"/>
      <c r="H1319" s="565"/>
      <c r="I1319" s="565"/>
      <c r="J1319" s="565"/>
      <c r="K1319" s="466"/>
      <c r="L1319" s="459"/>
      <c r="M1319" s="460"/>
      <c r="N1319" s="459"/>
      <c r="O1319" s="261"/>
      <c r="P1319" s="565"/>
      <c r="Q1319" s="565"/>
      <c r="R1319" s="467"/>
    </row>
    <row r="1320" spans="1:18" s="438" customFormat="1" outlineLevel="1">
      <c r="A1320" s="569"/>
      <c r="B1320" s="587"/>
      <c r="C1320" s="589"/>
      <c r="D1320" s="565"/>
      <c r="E1320" s="596"/>
      <c r="F1320" s="565"/>
      <c r="G1320" s="592"/>
      <c r="H1320" s="565"/>
      <c r="I1320" s="565"/>
      <c r="J1320" s="565"/>
      <c r="K1320" s="466"/>
      <c r="L1320" s="459"/>
      <c r="M1320" s="460"/>
      <c r="N1320" s="459"/>
      <c r="O1320" s="261"/>
      <c r="P1320" s="565"/>
      <c r="Q1320" s="565"/>
      <c r="R1320" s="467"/>
    </row>
    <row r="1321" spans="1:18" s="438" customFormat="1" outlineLevel="1">
      <c r="A1321" s="569"/>
      <c r="B1321" s="587"/>
      <c r="C1321" s="589"/>
      <c r="D1321" s="565"/>
      <c r="E1321" s="596"/>
      <c r="F1321" s="565"/>
      <c r="G1321" s="592"/>
      <c r="H1321" s="565"/>
      <c r="I1321" s="565"/>
      <c r="J1321" s="565"/>
      <c r="K1321" s="466"/>
      <c r="L1321" s="459"/>
      <c r="M1321" s="460"/>
      <c r="N1321" s="459"/>
      <c r="O1321" s="261"/>
      <c r="P1321" s="565"/>
      <c r="Q1321" s="565"/>
      <c r="R1321" s="467"/>
    </row>
    <row r="1322" spans="1:18" s="438" customFormat="1" outlineLevel="1">
      <c r="A1322" s="569"/>
      <c r="B1322" s="587"/>
      <c r="C1322" s="589"/>
      <c r="D1322" s="565"/>
      <c r="E1322" s="596"/>
      <c r="F1322" s="565"/>
      <c r="G1322" s="592"/>
      <c r="H1322" s="565"/>
      <c r="I1322" s="565"/>
      <c r="J1322" s="565"/>
      <c r="K1322" s="466"/>
      <c r="L1322" s="459"/>
      <c r="M1322" s="460"/>
      <c r="N1322" s="459"/>
      <c r="O1322" s="261"/>
      <c r="P1322" s="565"/>
      <c r="Q1322" s="565"/>
      <c r="R1322" s="467"/>
    </row>
    <row r="1323" spans="1:18" s="438" customFormat="1" outlineLevel="1">
      <c r="A1323" s="569"/>
      <c r="B1323" s="587"/>
      <c r="C1323" s="589"/>
      <c r="D1323" s="565"/>
      <c r="E1323" s="596"/>
      <c r="F1323" s="565"/>
      <c r="G1323" s="592"/>
      <c r="H1323" s="565"/>
      <c r="I1323" s="565"/>
      <c r="J1323" s="565"/>
      <c r="K1323" s="466"/>
      <c r="L1323" s="459"/>
      <c r="M1323" s="460"/>
      <c r="N1323" s="459"/>
      <c r="O1323" s="261"/>
      <c r="P1323" s="565"/>
      <c r="Q1323" s="565"/>
      <c r="R1323" s="467"/>
    </row>
    <row r="1324" spans="1:18" s="438" customFormat="1" outlineLevel="1">
      <c r="A1324" s="569"/>
      <c r="B1324" s="587"/>
      <c r="C1324" s="589"/>
      <c r="D1324" s="565"/>
      <c r="E1324" s="596"/>
      <c r="F1324" s="565"/>
      <c r="G1324" s="592"/>
      <c r="H1324" s="565"/>
      <c r="I1324" s="565"/>
      <c r="J1324" s="565"/>
      <c r="K1324" s="466"/>
      <c r="L1324" s="459"/>
      <c r="M1324" s="460"/>
      <c r="N1324" s="459"/>
      <c r="O1324" s="261"/>
      <c r="P1324" s="565"/>
      <c r="Q1324" s="565"/>
      <c r="R1324" s="467"/>
    </row>
    <row r="1325" spans="1:18" s="438" customFormat="1" outlineLevel="1">
      <c r="A1325" s="569"/>
      <c r="B1325" s="587"/>
      <c r="C1325" s="589"/>
      <c r="D1325" s="565"/>
      <c r="E1325" s="596"/>
      <c r="F1325" s="565"/>
      <c r="G1325" s="592"/>
      <c r="H1325" s="565"/>
      <c r="I1325" s="565"/>
      <c r="J1325" s="565"/>
      <c r="K1325" s="466"/>
      <c r="L1325" s="459"/>
      <c r="M1325" s="460"/>
      <c r="N1325" s="459"/>
      <c r="O1325" s="261"/>
      <c r="P1325" s="565"/>
      <c r="Q1325" s="565"/>
      <c r="R1325" s="467"/>
    </row>
    <row r="1326" spans="1:18" s="438" customFormat="1" outlineLevel="1">
      <c r="A1326" s="569"/>
      <c r="B1326" s="587"/>
      <c r="C1326" s="589"/>
      <c r="D1326" s="565"/>
      <c r="E1326" s="596"/>
      <c r="F1326" s="565"/>
      <c r="G1326" s="592"/>
      <c r="H1326" s="565"/>
      <c r="I1326" s="565"/>
      <c r="J1326" s="565"/>
      <c r="K1326" s="466"/>
      <c r="L1326" s="459"/>
      <c r="M1326" s="460"/>
      <c r="N1326" s="459"/>
      <c r="O1326" s="261"/>
      <c r="P1326" s="565"/>
      <c r="Q1326" s="565"/>
      <c r="R1326" s="467"/>
    </row>
    <row r="1327" spans="1:18" s="438" customFormat="1" outlineLevel="1">
      <c r="A1327" s="569"/>
      <c r="B1327" s="587"/>
      <c r="C1327" s="589"/>
      <c r="D1327" s="565"/>
      <c r="E1327" s="596"/>
      <c r="F1327" s="565"/>
      <c r="G1327" s="592"/>
      <c r="H1327" s="565"/>
      <c r="I1327" s="565"/>
      <c r="J1327" s="565"/>
      <c r="K1327" s="466"/>
      <c r="L1327" s="459"/>
      <c r="M1327" s="460"/>
      <c r="N1327" s="459"/>
      <c r="O1327" s="261"/>
      <c r="P1327" s="565"/>
      <c r="Q1327" s="565"/>
      <c r="R1327" s="467"/>
    </row>
    <row r="1328" spans="1:18" s="438" customFormat="1" outlineLevel="1">
      <c r="A1328" s="569"/>
      <c r="B1328" s="587"/>
      <c r="C1328" s="589"/>
      <c r="D1328" s="565"/>
      <c r="E1328" s="596"/>
      <c r="F1328" s="565"/>
      <c r="G1328" s="592"/>
      <c r="H1328" s="565"/>
      <c r="I1328" s="565"/>
      <c r="J1328" s="565"/>
      <c r="K1328" s="466"/>
      <c r="L1328" s="459"/>
      <c r="M1328" s="460"/>
      <c r="N1328" s="459"/>
      <c r="O1328" s="261"/>
      <c r="P1328" s="565"/>
      <c r="Q1328" s="565"/>
      <c r="R1328" s="467"/>
    </row>
    <row r="1329" spans="1:18" s="438" customFormat="1" outlineLevel="1">
      <c r="A1329" s="569"/>
      <c r="B1329" s="587"/>
      <c r="C1329" s="589"/>
      <c r="D1329" s="565"/>
      <c r="E1329" s="596"/>
      <c r="F1329" s="565"/>
      <c r="G1329" s="592"/>
      <c r="H1329" s="565"/>
      <c r="I1329" s="565"/>
      <c r="J1329" s="565"/>
      <c r="K1329" s="466"/>
      <c r="L1329" s="459"/>
      <c r="M1329" s="460"/>
      <c r="N1329" s="459"/>
      <c r="O1329" s="261"/>
      <c r="P1329" s="565"/>
      <c r="Q1329" s="565"/>
      <c r="R1329" s="467"/>
    </row>
    <row r="1330" spans="1:18" s="438" customFormat="1" outlineLevel="1">
      <c r="A1330" s="569"/>
      <c r="B1330" s="587"/>
      <c r="C1330" s="589"/>
      <c r="D1330" s="565"/>
      <c r="E1330" s="596"/>
      <c r="F1330" s="565"/>
      <c r="G1330" s="592"/>
      <c r="H1330" s="565"/>
      <c r="I1330" s="565"/>
      <c r="J1330" s="565"/>
      <c r="K1330" s="466"/>
      <c r="L1330" s="459"/>
      <c r="M1330" s="460"/>
      <c r="N1330" s="459"/>
      <c r="O1330" s="261"/>
      <c r="P1330" s="565"/>
      <c r="Q1330" s="565"/>
      <c r="R1330" s="467"/>
    </row>
    <row r="1331" spans="1:18" s="438" customFormat="1" outlineLevel="1">
      <c r="A1331" s="569"/>
      <c r="B1331" s="587"/>
      <c r="C1331" s="589"/>
      <c r="D1331" s="565"/>
      <c r="E1331" s="596"/>
      <c r="F1331" s="565"/>
      <c r="G1331" s="592"/>
      <c r="H1331" s="565"/>
      <c r="I1331" s="565"/>
      <c r="J1331" s="565"/>
      <c r="K1331" s="466"/>
      <c r="L1331" s="459"/>
      <c r="M1331" s="460"/>
      <c r="N1331" s="459"/>
      <c r="O1331" s="261"/>
      <c r="P1331" s="565"/>
      <c r="Q1331" s="565"/>
      <c r="R1331" s="467"/>
    </row>
    <row r="1332" spans="1:18" s="438" customFormat="1" outlineLevel="1">
      <c r="A1332" s="570"/>
      <c r="B1332" s="588"/>
      <c r="C1332" s="590"/>
      <c r="D1332" s="566"/>
      <c r="E1332" s="596"/>
      <c r="F1332" s="566"/>
      <c r="G1332" s="593"/>
      <c r="H1332" s="566"/>
      <c r="I1332" s="566"/>
      <c r="J1332" s="566"/>
      <c r="K1332" s="466"/>
      <c r="L1332" s="459"/>
      <c r="M1332" s="460"/>
      <c r="N1332" s="459"/>
      <c r="O1332" s="261"/>
      <c r="P1332" s="566"/>
      <c r="Q1332" s="566"/>
      <c r="R1332" s="467"/>
    </row>
    <row r="1333" spans="1:18" s="438" customFormat="1" outlineLevel="1">
      <c r="A1333" s="568"/>
      <c r="B1333" s="587"/>
      <c r="C1333" s="595"/>
      <c r="D1333" s="565"/>
      <c r="E1333" s="596"/>
      <c r="F1333" s="565"/>
      <c r="G1333" s="597"/>
      <c r="H1333" s="594"/>
      <c r="I1333" s="594"/>
      <c r="J1333" s="594"/>
      <c r="K1333" s="458"/>
      <c r="L1333" s="459"/>
      <c r="M1333" s="460"/>
      <c r="N1333" s="459"/>
      <c r="O1333" s="261"/>
      <c r="P1333" s="594"/>
      <c r="Q1333" s="594"/>
      <c r="R1333" s="467"/>
    </row>
    <row r="1334" spans="1:18" s="438" customFormat="1" outlineLevel="1">
      <c r="A1334" s="569"/>
      <c r="B1334" s="587"/>
      <c r="C1334" s="589"/>
      <c r="D1334" s="565"/>
      <c r="E1334" s="596"/>
      <c r="F1334" s="565"/>
      <c r="G1334" s="592"/>
      <c r="H1334" s="565"/>
      <c r="I1334" s="565"/>
      <c r="J1334" s="565"/>
      <c r="K1334" s="466"/>
      <c r="L1334" s="459"/>
      <c r="M1334" s="460"/>
      <c r="N1334" s="459"/>
      <c r="O1334" s="261"/>
      <c r="P1334" s="565"/>
      <c r="Q1334" s="565"/>
      <c r="R1334" s="467"/>
    </row>
    <row r="1335" spans="1:18" s="438" customFormat="1" outlineLevel="1">
      <c r="A1335" s="569"/>
      <c r="B1335" s="587"/>
      <c r="C1335" s="589"/>
      <c r="D1335" s="565"/>
      <c r="E1335" s="596"/>
      <c r="F1335" s="565"/>
      <c r="G1335" s="592"/>
      <c r="H1335" s="565"/>
      <c r="I1335" s="565"/>
      <c r="J1335" s="565"/>
      <c r="K1335" s="466"/>
      <c r="L1335" s="459"/>
      <c r="M1335" s="460"/>
      <c r="N1335" s="459"/>
      <c r="O1335" s="261"/>
      <c r="P1335" s="565"/>
      <c r="Q1335" s="565"/>
      <c r="R1335" s="467"/>
    </row>
    <row r="1336" spans="1:18" s="438" customFormat="1" outlineLevel="1">
      <c r="A1336" s="569"/>
      <c r="B1336" s="587"/>
      <c r="C1336" s="589"/>
      <c r="D1336" s="565"/>
      <c r="E1336" s="596"/>
      <c r="F1336" s="565"/>
      <c r="G1336" s="592"/>
      <c r="H1336" s="565"/>
      <c r="I1336" s="565"/>
      <c r="J1336" s="565"/>
      <c r="K1336" s="466"/>
      <c r="L1336" s="459"/>
      <c r="M1336" s="460"/>
      <c r="N1336" s="459"/>
      <c r="O1336" s="261"/>
      <c r="P1336" s="565"/>
      <c r="Q1336" s="565"/>
      <c r="R1336" s="467"/>
    </row>
    <row r="1337" spans="1:18" s="438" customFormat="1" outlineLevel="1">
      <c r="A1337" s="569"/>
      <c r="B1337" s="587"/>
      <c r="C1337" s="589"/>
      <c r="D1337" s="565"/>
      <c r="E1337" s="596"/>
      <c r="F1337" s="565"/>
      <c r="G1337" s="592"/>
      <c r="H1337" s="565"/>
      <c r="I1337" s="565"/>
      <c r="J1337" s="565"/>
      <c r="K1337" s="466"/>
      <c r="L1337" s="459"/>
      <c r="M1337" s="460"/>
      <c r="N1337" s="459"/>
      <c r="O1337" s="261"/>
      <c r="P1337" s="565"/>
      <c r="Q1337" s="565"/>
      <c r="R1337" s="467"/>
    </row>
    <row r="1338" spans="1:18" s="438" customFormat="1" outlineLevel="1">
      <c r="A1338" s="569"/>
      <c r="B1338" s="587"/>
      <c r="C1338" s="589"/>
      <c r="D1338" s="565"/>
      <c r="E1338" s="596"/>
      <c r="F1338" s="565"/>
      <c r="G1338" s="592"/>
      <c r="H1338" s="565"/>
      <c r="I1338" s="565"/>
      <c r="J1338" s="565"/>
      <c r="K1338" s="466"/>
      <c r="L1338" s="459"/>
      <c r="M1338" s="460"/>
      <c r="N1338" s="459"/>
      <c r="O1338" s="261"/>
      <c r="P1338" s="565"/>
      <c r="Q1338" s="565"/>
      <c r="R1338" s="467"/>
    </row>
    <row r="1339" spans="1:18" s="438" customFormat="1" outlineLevel="1">
      <c r="A1339" s="569"/>
      <c r="B1339" s="587"/>
      <c r="C1339" s="589"/>
      <c r="D1339" s="565"/>
      <c r="E1339" s="596"/>
      <c r="F1339" s="565"/>
      <c r="G1339" s="592"/>
      <c r="H1339" s="565"/>
      <c r="I1339" s="565"/>
      <c r="J1339" s="565"/>
      <c r="K1339" s="466"/>
      <c r="L1339" s="459"/>
      <c r="M1339" s="460"/>
      <c r="N1339" s="459"/>
      <c r="O1339" s="261"/>
      <c r="P1339" s="565"/>
      <c r="Q1339" s="565"/>
      <c r="R1339" s="467"/>
    </row>
    <row r="1340" spans="1:18" s="438" customFormat="1" outlineLevel="1">
      <c r="A1340" s="569"/>
      <c r="B1340" s="587"/>
      <c r="C1340" s="589"/>
      <c r="D1340" s="565"/>
      <c r="E1340" s="596"/>
      <c r="F1340" s="565"/>
      <c r="G1340" s="592"/>
      <c r="H1340" s="565"/>
      <c r="I1340" s="565"/>
      <c r="J1340" s="565"/>
      <c r="K1340" s="466"/>
      <c r="L1340" s="459"/>
      <c r="M1340" s="460"/>
      <c r="N1340" s="459"/>
      <c r="O1340" s="261"/>
      <c r="P1340" s="565"/>
      <c r="Q1340" s="565"/>
      <c r="R1340" s="467"/>
    </row>
    <row r="1341" spans="1:18" s="438" customFormat="1" outlineLevel="1">
      <c r="A1341" s="569"/>
      <c r="B1341" s="587"/>
      <c r="C1341" s="589"/>
      <c r="D1341" s="565"/>
      <c r="E1341" s="596"/>
      <c r="F1341" s="565"/>
      <c r="G1341" s="592"/>
      <c r="H1341" s="565"/>
      <c r="I1341" s="565"/>
      <c r="J1341" s="565"/>
      <c r="K1341" s="466"/>
      <c r="L1341" s="459"/>
      <c r="M1341" s="460"/>
      <c r="N1341" s="459"/>
      <c r="O1341" s="261"/>
      <c r="P1341" s="565"/>
      <c r="Q1341" s="565"/>
      <c r="R1341" s="467"/>
    </row>
    <row r="1342" spans="1:18" s="438" customFormat="1" outlineLevel="1">
      <c r="A1342" s="569"/>
      <c r="B1342" s="587"/>
      <c r="C1342" s="589"/>
      <c r="D1342" s="565"/>
      <c r="E1342" s="596"/>
      <c r="F1342" s="565"/>
      <c r="G1342" s="592"/>
      <c r="H1342" s="565"/>
      <c r="I1342" s="565"/>
      <c r="J1342" s="565"/>
      <c r="K1342" s="466"/>
      <c r="L1342" s="459"/>
      <c r="M1342" s="460"/>
      <c r="N1342" s="459"/>
      <c r="O1342" s="261"/>
      <c r="P1342" s="565"/>
      <c r="Q1342" s="565"/>
      <c r="R1342" s="467"/>
    </row>
    <row r="1343" spans="1:18" s="438" customFormat="1" outlineLevel="1">
      <c r="A1343" s="569"/>
      <c r="B1343" s="587"/>
      <c r="C1343" s="589"/>
      <c r="D1343" s="565"/>
      <c r="E1343" s="596"/>
      <c r="F1343" s="565"/>
      <c r="G1343" s="592"/>
      <c r="H1343" s="565"/>
      <c r="I1343" s="565"/>
      <c r="J1343" s="565"/>
      <c r="K1343" s="466"/>
      <c r="L1343" s="459"/>
      <c r="M1343" s="460"/>
      <c r="N1343" s="459"/>
      <c r="O1343" s="261"/>
      <c r="P1343" s="565"/>
      <c r="Q1343" s="565"/>
      <c r="R1343" s="467"/>
    </row>
    <row r="1344" spans="1:18" s="438" customFormat="1" outlineLevel="1">
      <c r="A1344" s="569"/>
      <c r="B1344" s="587"/>
      <c r="C1344" s="589"/>
      <c r="D1344" s="565"/>
      <c r="E1344" s="596"/>
      <c r="F1344" s="565"/>
      <c r="G1344" s="592"/>
      <c r="H1344" s="565"/>
      <c r="I1344" s="565"/>
      <c r="J1344" s="565"/>
      <c r="K1344" s="466"/>
      <c r="L1344" s="459"/>
      <c r="M1344" s="460"/>
      <c r="N1344" s="459"/>
      <c r="O1344" s="261"/>
      <c r="P1344" s="565"/>
      <c r="Q1344" s="565"/>
      <c r="R1344" s="467"/>
    </row>
    <row r="1345" spans="1:18" s="438" customFormat="1" outlineLevel="1">
      <c r="A1345" s="569"/>
      <c r="B1345" s="587"/>
      <c r="C1345" s="589"/>
      <c r="D1345" s="565"/>
      <c r="E1345" s="596"/>
      <c r="F1345" s="565"/>
      <c r="G1345" s="592"/>
      <c r="H1345" s="565"/>
      <c r="I1345" s="565"/>
      <c r="J1345" s="565"/>
      <c r="K1345" s="466"/>
      <c r="L1345" s="459"/>
      <c r="M1345" s="460"/>
      <c r="N1345" s="459"/>
      <c r="O1345" s="261"/>
      <c r="P1345" s="565"/>
      <c r="Q1345" s="565"/>
      <c r="R1345" s="467"/>
    </row>
    <row r="1346" spans="1:18" s="438" customFormat="1" outlineLevel="1">
      <c r="A1346" s="569"/>
      <c r="B1346" s="587"/>
      <c r="C1346" s="589"/>
      <c r="D1346" s="565"/>
      <c r="E1346" s="596"/>
      <c r="F1346" s="565"/>
      <c r="G1346" s="592"/>
      <c r="H1346" s="565"/>
      <c r="I1346" s="565"/>
      <c r="J1346" s="565"/>
      <c r="K1346" s="466"/>
      <c r="L1346" s="459"/>
      <c r="M1346" s="460"/>
      <c r="N1346" s="459"/>
      <c r="O1346" s="261"/>
      <c r="P1346" s="565"/>
      <c r="Q1346" s="565"/>
      <c r="R1346" s="467"/>
    </row>
    <row r="1347" spans="1:18" s="438" customFormat="1" outlineLevel="1">
      <c r="A1347" s="569"/>
      <c r="B1347" s="587"/>
      <c r="C1347" s="589"/>
      <c r="D1347" s="565"/>
      <c r="E1347" s="596"/>
      <c r="F1347" s="565"/>
      <c r="G1347" s="592"/>
      <c r="H1347" s="565"/>
      <c r="I1347" s="565"/>
      <c r="J1347" s="565"/>
      <c r="K1347" s="466"/>
      <c r="L1347" s="459"/>
      <c r="M1347" s="460"/>
      <c r="N1347" s="459"/>
      <c r="O1347" s="261"/>
      <c r="P1347" s="565"/>
      <c r="Q1347" s="565"/>
      <c r="R1347" s="467"/>
    </row>
    <row r="1348" spans="1:18" s="438" customFormat="1" outlineLevel="1">
      <c r="A1348" s="570"/>
      <c r="B1348" s="588"/>
      <c r="C1348" s="590"/>
      <c r="D1348" s="566"/>
      <c r="E1348" s="596"/>
      <c r="F1348" s="566"/>
      <c r="G1348" s="593"/>
      <c r="H1348" s="566"/>
      <c r="I1348" s="566"/>
      <c r="J1348" s="566"/>
      <c r="K1348" s="466"/>
      <c r="L1348" s="459"/>
      <c r="M1348" s="460"/>
      <c r="N1348" s="459"/>
      <c r="O1348" s="261"/>
      <c r="P1348" s="566"/>
      <c r="Q1348" s="566"/>
      <c r="R1348" s="467"/>
    </row>
    <row r="1349" spans="1:18" s="438" customFormat="1" outlineLevel="1">
      <c r="A1349" s="568"/>
      <c r="B1349" s="587"/>
      <c r="C1349" s="595"/>
      <c r="D1349" s="565"/>
      <c r="E1349" s="596"/>
      <c r="F1349" s="565"/>
      <c r="G1349" s="597"/>
      <c r="H1349" s="594"/>
      <c r="I1349" s="594"/>
      <c r="J1349" s="594"/>
      <c r="K1349" s="458"/>
      <c r="L1349" s="459"/>
      <c r="M1349" s="460"/>
      <c r="N1349" s="459"/>
      <c r="O1349" s="261"/>
      <c r="P1349" s="594"/>
      <c r="Q1349" s="594"/>
      <c r="R1349" s="467"/>
    </row>
    <row r="1350" spans="1:18" s="438" customFormat="1" outlineLevel="1">
      <c r="A1350" s="569"/>
      <c r="B1350" s="587"/>
      <c r="C1350" s="589"/>
      <c r="D1350" s="565"/>
      <c r="E1350" s="596"/>
      <c r="F1350" s="565"/>
      <c r="G1350" s="592"/>
      <c r="H1350" s="565"/>
      <c r="I1350" s="565"/>
      <c r="J1350" s="565"/>
      <c r="K1350" s="466"/>
      <c r="L1350" s="459"/>
      <c r="M1350" s="460"/>
      <c r="N1350" s="459"/>
      <c r="O1350" s="261"/>
      <c r="P1350" s="565"/>
      <c r="Q1350" s="565"/>
      <c r="R1350" s="467"/>
    </row>
    <row r="1351" spans="1:18" s="438" customFormat="1" outlineLevel="1">
      <c r="A1351" s="569"/>
      <c r="B1351" s="587"/>
      <c r="C1351" s="589"/>
      <c r="D1351" s="565"/>
      <c r="E1351" s="596"/>
      <c r="F1351" s="565"/>
      <c r="G1351" s="592"/>
      <c r="H1351" s="565"/>
      <c r="I1351" s="565"/>
      <c r="J1351" s="565"/>
      <c r="K1351" s="466"/>
      <c r="L1351" s="459"/>
      <c r="M1351" s="460"/>
      <c r="N1351" s="459"/>
      <c r="O1351" s="261"/>
      <c r="P1351" s="565"/>
      <c r="Q1351" s="565"/>
      <c r="R1351" s="467"/>
    </row>
    <row r="1352" spans="1:18" s="438" customFormat="1" outlineLevel="1">
      <c r="A1352" s="569"/>
      <c r="B1352" s="587"/>
      <c r="C1352" s="589"/>
      <c r="D1352" s="565"/>
      <c r="E1352" s="596"/>
      <c r="F1352" s="565"/>
      <c r="G1352" s="592"/>
      <c r="H1352" s="565"/>
      <c r="I1352" s="565"/>
      <c r="J1352" s="565"/>
      <c r="K1352" s="466"/>
      <c r="L1352" s="459"/>
      <c r="M1352" s="460"/>
      <c r="N1352" s="459"/>
      <c r="O1352" s="261"/>
      <c r="P1352" s="565"/>
      <c r="Q1352" s="565"/>
      <c r="R1352" s="467"/>
    </row>
    <row r="1353" spans="1:18" s="438" customFormat="1" outlineLevel="1">
      <c r="A1353" s="569"/>
      <c r="B1353" s="587"/>
      <c r="C1353" s="589"/>
      <c r="D1353" s="565"/>
      <c r="E1353" s="596"/>
      <c r="F1353" s="565"/>
      <c r="G1353" s="592"/>
      <c r="H1353" s="565"/>
      <c r="I1353" s="565"/>
      <c r="J1353" s="565"/>
      <c r="K1353" s="466"/>
      <c r="L1353" s="459"/>
      <c r="M1353" s="460"/>
      <c r="N1353" s="459"/>
      <c r="O1353" s="261"/>
      <c r="P1353" s="565"/>
      <c r="Q1353" s="565"/>
      <c r="R1353" s="467"/>
    </row>
    <row r="1354" spans="1:18" s="438" customFormat="1" outlineLevel="1">
      <c r="A1354" s="569"/>
      <c r="B1354" s="587"/>
      <c r="C1354" s="589"/>
      <c r="D1354" s="565"/>
      <c r="E1354" s="596"/>
      <c r="F1354" s="565"/>
      <c r="G1354" s="592"/>
      <c r="H1354" s="565"/>
      <c r="I1354" s="565"/>
      <c r="J1354" s="565"/>
      <c r="K1354" s="466"/>
      <c r="L1354" s="459"/>
      <c r="M1354" s="460"/>
      <c r="N1354" s="459"/>
      <c r="O1354" s="261"/>
      <c r="P1354" s="565"/>
      <c r="Q1354" s="565"/>
      <c r="R1354" s="467"/>
    </row>
    <row r="1355" spans="1:18" s="438" customFormat="1" outlineLevel="1">
      <c r="A1355" s="569"/>
      <c r="B1355" s="587"/>
      <c r="C1355" s="589"/>
      <c r="D1355" s="565"/>
      <c r="E1355" s="596"/>
      <c r="F1355" s="565"/>
      <c r="G1355" s="592"/>
      <c r="H1355" s="565"/>
      <c r="I1355" s="565"/>
      <c r="J1355" s="565"/>
      <c r="K1355" s="466"/>
      <c r="L1355" s="459"/>
      <c r="M1355" s="460"/>
      <c r="N1355" s="459"/>
      <c r="O1355" s="261"/>
      <c r="P1355" s="565"/>
      <c r="Q1355" s="565"/>
      <c r="R1355" s="467"/>
    </row>
    <row r="1356" spans="1:18" s="438" customFormat="1" outlineLevel="1">
      <c r="A1356" s="569"/>
      <c r="B1356" s="587"/>
      <c r="C1356" s="589"/>
      <c r="D1356" s="565"/>
      <c r="E1356" s="596"/>
      <c r="F1356" s="565"/>
      <c r="G1356" s="592"/>
      <c r="H1356" s="565"/>
      <c r="I1356" s="565"/>
      <c r="J1356" s="565"/>
      <c r="K1356" s="466"/>
      <c r="L1356" s="459"/>
      <c r="M1356" s="460"/>
      <c r="N1356" s="459"/>
      <c r="O1356" s="261"/>
      <c r="P1356" s="565"/>
      <c r="Q1356" s="565"/>
      <c r="R1356" s="467"/>
    </row>
    <row r="1357" spans="1:18" s="438" customFormat="1" outlineLevel="1">
      <c r="A1357" s="569"/>
      <c r="B1357" s="587"/>
      <c r="C1357" s="589"/>
      <c r="D1357" s="565"/>
      <c r="E1357" s="596"/>
      <c r="F1357" s="565"/>
      <c r="G1357" s="592"/>
      <c r="H1357" s="565"/>
      <c r="I1357" s="565"/>
      <c r="J1357" s="565"/>
      <c r="K1357" s="466"/>
      <c r="L1357" s="459"/>
      <c r="M1357" s="460"/>
      <c r="N1357" s="459"/>
      <c r="O1357" s="261"/>
      <c r="P1357" s="565"/>
      <c r="Q1357" s="565"/>
      <c r="R1357" s="467"/>
    </row>
    <row r="1358" spans="1:18" s="438" customFormat="1" outlineLevel="1">
      <c r="A1358" s="569"/>
      <c r="B1358" s="587"/>
      <c r="C1358" s="589"/>
      <c r="D1358" s="565"/>
      <c r="E1358" s="596"/>
      <c r="F1358" s="565"/>
      <c r="G1358" s="592"/>
      <c r="H1358" s="565"/>
      <c r="I1358" s="565"/>
      <c r="J1358" s="565"/>
      <c r="K1358" s="466"/>
      <c r="L1358" s="459"/>
      <c r="M1358" s="460"/>
      <c r="N1358" s="459"/>
      <c r="O1358" s="261"/>
      <c r="P1358" s="565"/>
      <c r="Q1358" s="565"/>
      <c r="R1358" s="467"/>
    </row>
    <row r="1359" spans="1:18" s="438" customFormat="1" outlineLevel="1">
      <c r="A1359" s="569"/>
      <c r="B1359" s="587"/>
      <c r="C1359" s="589"/>
      <c r="D1359" s="565"/>
      <c r="E1359" s="596"/>
      <c r="F1359" s="565"/>
      <c r="G1359" s="592"/>
      <c r="H1359" s="565"/>
      <c r="I1359" s="565"/>
      <c r="J1359" s="565"/>
      <c r="K1359" s="466"/>
      <c r="L1359" s="459"/>
      <c r="M1359" s="460"/>
      <c r="N1359" s="459"/>
      <c r="O1359" s="261"/>
      <c r="P1359" s="565"/>
      <c r="Q1359" s="565"/>
      <c r="R1359" s="467"/>
    </row>
    <row r="1360" spans="1:18" s="438" customFormat="1" outlineLevel="1">
      <c r="A1360" s="569"/>
      <c r="B1360" s="587"/>
      <c r="C1360" s="589"/>
      <c r="D1360" s="565"/>
      <c r="E1360" s="596"/>
      <c r="F1360" s="565"/>
      <c r="G1360" s="592"/>
      <c r="H1360" s="565"/>
      <c r="I1360" s="565"/>
      <c r="J1360" s="565"/>
      <c r="K1360" s="466"/>
      <c r="L1360" s="459"/>
      <c r="M1360" s="460"/>
      <c r="N1360" s="459"/>
      <c r="O1360" s="261"/>
      <c r="P1360" s="565"/>
      <c r="Q1360" s="565"/>
      <c r="R1360" s="467"/>
    </row>
    <row r="1361" spans="1:18" s="438" customFormat="1" outlineLevel="1">
      <c r="A1361" s="569"/>
      <c r="B1361" s="587"/>
      <c r="C1361" s="589"/>
      <c r="D1361" s="565"/>
      <c r="E1361" s="596"/>
      <c r="F1361" s="565"/>
      <c r="G1361" s="592"/>
      <c r="H1361" s="565"/>
      <c r="I1361" s="565"/>
      <c r="J1361" s="565"/>
      <c r="K1361" s="466"/>
      <c r="L1361" s="459"/>
      <c r="M1361" s="460"/>
      <c r="N1361" s="459"/>
      <c r="O1361" s="261"/>
      <c r="P1361" s="565"/>
      <c r="Q1361" s="565"/>
      <c r="R1361" s="467"/>
    </row>
    <row r="1362" spans="1:18" s="438" customFormat="1" outlineLevel="1">
      <c r="A1362" s="569"/>
      <c r="B1362" s="587"/>
      <c r="C1362" s="589"/>
      <c r="D1362" s="565"/>
      <c r="E1362" s="596"/>
      <c r="F1362" s="565"/>
      <c r="G1362" s="592"/>
      <c r="H1362" s="565"/>
      <c r="I1362" s="565"/>
      <c r="J1362" s="565"/>
      <c r="K1362" s="466"/>
      <c r="L1362" s="459"/>
      <c r="M1362" s="460"/>
      <c r="N1362" s="459"/>
      <c r="O1362" s="261"/>
      <c r="P1362" s="565"/>
      <c r="Q1362" s="565"/>
      <c r="R1362" s="467"/>
    </row>
    <row r="1363" spans="1:18" s="438" customFormat="1" outlineLevel="1">
      <c r="A1363" s="569"/>
      <c r="B1363" s="587"/>
      <c r="C1363" s="589"/>
      <c r="D1363" s="565"/>
      <c r="E1363" s="596"/>
      <c r="F1363" s="565"/>
      <c r="G1363" s="592"/>
      <c r="H1363" s="565"/>
      <c r="I1363" s="565"/>
      <c r="J1363" s="565"/>
      <c r="K1363" s="466"/>
      <c r="L1363" s="459"/>
      <c r="M1363" s="460"/>
      <c r="N1363" s="459"/>
      <c r="O1363" s="261"/>
      <c r="P1363" s="565"/>
      <c r="Q1363" s="565"/>
      <c r="R1363" s="467"/>
    </row>
    <row r="1364" spans="1:18" s="438" customFormat="1" outlineLevel="1">
      <c r="A1364" s="570"/>
      <c r="B1364" s="588"/>
      <c r="C1364" s="590"/>
      <c r="D1364" s="566"/>
      <c r="E1364" s="596"/>
      <c r="F1364" s="566"/>
      <c r="G1364" s="593"/>
      <c r="H1364" s="566"/>
      <c r="I1364" s="566"/>
      <c r="J1364" s="566"/>
      <c r="K1364" s="466"/>
      <c r="L1364" s="459"/>
      <c r="M1364" s="460"/>
      <c r="N1364" s="459"/>
      <c r="O1364" s="261"/>
      <c r="P1364" s="566"/>
      <c r="Q1364" s="566"/>
      <c r="R1364" s="467"/>
    </row>
    <row r="1365" spans="1:18" s="438" customFormat="1" outlineLevel="1">
      <c r="A1365" s="568"/>
      <c r="B1365" s="587"/>
      <c r="C1365" s="595"/>
      <c r="D1365" s="565"/>
      <c r="E1365" s="596"/>
      <c r="F1365" s="565"/>
      <c r="G1365" s="597"/>
      <c r="H1365" s="594"/>
      <c r="I1365" s="594"/>
      <c r="J1365" s="594"/>
      <c r="K1365" s="458"/>
      <c r="L1365" s="459"/>
      <c r="M1365" s="460"/>
      <c r="N1365" s="459"/>
      <c r="O1365" s="261"/>
      <c r="P1365" s="594"/>
      <c r="Q1365" s="594"/>
      <c r="R1365" s="467"/>
    </row>
    <row r="1366" spans="1:18" s="438" customFormat="1" outlineLevel="1">
      <c r="A1366" s="569"/>
      <c r="B1366" s="587"/>
      <c r="C1366" s="589"/>
      <c r="D1366" s="565"/>
      <c r="E1366" s="596"/>
      <c r="F1366" s="565"/>
      <c r="G1366" s="592"/>
      <c r="H1366" s="565"/>
      <c r="I1366" s="565"/>
      <c r="J1366" s="565"/>
      <c r="K1366" s="466"/>
      <c r="L1366" s="459"/>
      <c r="M1366" s="460"/>
      <c r="N1366" s="459"/>
      <c r="O1366" s="261"/>
      <c r="P1366" s="565"/>
      <c r="Q1366" s="565"/>
      <c r="R1366" s="467"/>
    </row>
    <row r="1367" spans="1:18" s="438" customFormat="1" outlineLevel="1">
      <c r="A1367" s="569"/>
      <c r="B1367" s="587"/>
      <c r="C1367" s="589"/>
      <c r="D1367" s="565"/>
      <c r="E1367" s="596"/>
      <c r="F1367" s="565"/>
      <c r="G1367" s="592"/>
      <c r="H1367" s="565"/>
      <c r="I1367" s="565"/>
      <c r="J1367" s="565"/>
      <c r="K1367" s="466"/>
      <c r="L1367" s="459"/>
      <c r="M1367" s="460"/>
      <c r="N1367" s="459"/>
      <c r="O1367" s="261"/>
      <c r="P1367" s="565"/>
      <c r="Q1367" s="565"/>
      <c r="R1367" s="467"/>
    </row>
    <row r="1368" spans="1:18" s="438" customFormat="1" outlineLevel="1">
      <c r="A1368" s="569"/>
      <c r="B1368" s="587"/>
      <c r="C1368" s="589"/>
      <c r="D1368" s="565"/>
      <c r="E1368" s="596"/>
      <c r="F1368" s="565"/>
      <c r="G1368" s="592"/>
      <c r="H1368" s="565"/>
      <c r="I1368" s="565"/>
      <c r="J1368" s="565"/>
      <c r="K1368" s="466"/>
      <c r="L1368" s="459"/>
      <c r="M1368" s="460"/>
      <c r="N1368" s="459"/>
      <c r="O1368" s="261"/>
      <c r="P1368" s="565"/>
      <c r="Q1368" s="565"/>
      <c r="R1368" s="467"/>
    </row>
    <row r="1369" spans="1:18" s="438" customFormat="1" outlineLevel="1">
      <c r="A1369" s="569"/>
      <c r="B1369" s="587"/>
      <c r="C1369" s="589"/>
      <c r="D1369" s="565"/>
      <c r="E1369" s="596"/>
      <c r="F1369" s="565"/>
      <c r="G1369" s="592"/>
      <c r="H1369" s="565"/>
      <c r="I1369" s="565"/>
      <c r="J1369" s="565"/>
      <c r="K1369" s="466"/>
      <c r="L1369" s="459"/>
      <c r="M1369" s="460"/>
      <c r="N1369" s="459"/>
      <c r="O1369" s="261"/>
      <c r="P1369" s="565"/>
      <c r="Q1369" s="565"/>
      <c r="R1369" s="467"/>
    </row>
    <row r="1370" spans="1:18" s="438" customFormat="1" outlineLevel="1">
      <c r="A1370" s="569"/>
      <c r="B1370" s="587"/>
      <c r="C1370" s="589"/>
      <c r="D1370" s="565"/>
      <c r="E1370" s="596"/>
      <c r="F1370" s="565"/>
      <c r="G1370" s="592"/>
      <c r="H1370" s="565"/>
      <c r="I1370" s="565"/>
      <c r="J1370" s="565"/>
      <c r="K1370" s="466"/>
      <c r="L1370" s="459"/>
      <c r="M1370" s="460"/>
      <c r="N1370" s="459"/>
      <c r="O1370" s="261"/>
      <c r="P1370" s="565"/>
      <c r="Q1370" s="565"/>
      <c r="R1370" s="467"/>
    </row>
    <row r="1371" spans="1:18" s="438" customFormat="1" outlineLevel="1">
      <c r="A1371" s="569"/>
      <c r="B1371" s="587"/>
      <c r="C1371" s="589"/>
      <c r="D1371" s="565"/>
      <c r="E1371" s="596"/>
      <c r="F1371" s="565"/>
      <c r="G1371" s="592"/>
      <c r="H1371" s="565"/>
      <c r="I1371" s="565"/>
      <c r="J1371" s="565"/>
      <c r="K1371" s="466"/>
      <c r="L1371" s="459"/>
      <c r="M1371" s="460"/>
      <c r="N1371" s="459"/>
      <c r="O1371" s="261"/>
      <c r="P1371" s="565"/>
      <c r="Q1371" s="565"/>
      <c r="R1371" s="467"/>
    </row>
    <row r="1372" spans="1:18" s="438" customFormat="1" outlineLevel="1">
      <c r="A1372" s="569"/>
      <c r="B1372" s="587"/>
      <c r="C1372" s="589"/>
      <c r="D1372" s="565"/>
      <c r="E1372" s="596"/>
      <c r="F1372" s="565"/>
      <c r="G1372" s="592"/>
      <c r="H1372" s="565"/>
      <c r="I1372" s="565"/>
      <c r="J1372" s="565"/>
      <c r="K1372" s="466"/>
      <c r="L1372" s="459"/>
      <c r="M1372" s="460"/>
      <c r="N1372" s="459"/>
      <c r="O1372" s="261"/>
      <c r="P1372" s="565"/>
      <c r="Q1372" s="565"/>
      <c r="R1372" s="467"/>
    </row>
    <row r="1373" spans="1:18" s="438" customFormat="1" outlineLevel="1">
      <c r="A1373" s="569"/>
      <c r="B1373" s="587"/>
      <c r="C1373" s="589"/>
      <c r="D1373" s="565"/>
      <c r="E1373" s="596"/>
      <c r="F1373" s="565"/>
      <c r="G1373" s="592"/>
      <c r="H1373" s="565"/>
      <c r="I1373" s="565"/>
      <c r="J1373" s="565"/>
      <c r="K1373" s="466"/>
      <c r="L1373" s="459"/>
      <c r="M1373" s="460"/>
      <c r="N1373" s="459"/>
      <c r="O1373" s="261"/>
      <c r="P1373" s="565"/>
      <c r="Q1373" s="565"/>
      <c r="R1373" s="467"/>
    </row>
    <row r="1374" spans="1:18" s="438" customFormat="1" outlineLevel="1">
      <c r="A1374" s="569"/>
      <c r="B1374" s="587"/>
      <c r="C1374" s="589"/>
      <c r="D1374" s="565"/>
      <c r="E1374" s="596"/>
      <c r="F1374" s="565"/>
      <c r="G1374" s="592"/>
      <c r="H1374" s="565"/>
      <c r="I1374" s="565"/>
      <c r="J1374" s="565"/>
      <c r="K1374" s="466"/>
      <c r="L1374" s="459"/>
      <c r="M1374" s="460"/>
      <c r="N1374" s="459"/>
      <c r="O1374" s="261"/>
      <c r="P1374" s="565"/>
      <c r="Q1374" s="565"/>
      <c r="R1374" s="467"/>
    </row>
    <row r="1375" spans="1:18" s="438" customFormat="1" outlineLevel="1">
      <c r="A1375" s="569"/>
      <c r="B1375" s="587"/>
      <c r="C1375" s="589"/>
      <c r="D1375" s="565"/>
      <c r="E1375" s="596"/>
      <c r="F1375" s="565"/>
      <c r="G1375" s="592"/>
      <c r="H1375" s="565"/>
      <c r="I1375" s="565"/>
      <c r="J1375" s="565"/>
      <c r="K1375" s="466"/>
      <c r="L1375" s="459"/>
      <c r="M1375" s="460"/>
      <c r="N1375" s="459"/>
      <c r="O1375" s="261"/>
      <c r="P1375" s="565"/>
      <c r="Q1375" s="565"/>
      <c r="R1375" s="467"/>
    </row>
    <row r="1376" spans="1:18" s="438" customFormat="1" outlineLevel="1">
      <c r="A1376" s="569"/>
      <c r="B1376" s="587"/>
      <c r="C1376" s="589"/>
      <c r="D1376" s="565"/>
      <c r="E1376" s="596"/>
      <c r="F1376" s="565"/>
      <c r="G1376" s="592"/>
      <c r="H1376" s="565"/>
      <c r="I1376" s="565"/>
      <c r="J1376" s="565"/>
      <c r="K1376" s="466"/>
      <c r="L1376" s="459"/>
      <c r="M1376" s="460"/>
      <c r="N1376" s="459"/>
      <c r="O1376" s="261"/>
      <c r="P1376" s="565"/>
      <c r="Q1376" s="565"/>
      <c r="R1376" s="467"/>
    </row>
    <row r="1377" spans="1:18" s="438" customFormat="1" outlineLevel="1">
      <c r="A1377" s="569"/>
      <c r="B1377" s="587"/>
      <c r="C1377" s="589"/>
      <c r="D1377" s="565"/>
      <c r="E1377" s="596"/>
      <c r="F1377" s="565"/>
      <c r="G1377" s="592"/>
      <c r="H1377" s="565"/>
      <c r="I1377" s="565"/>
      <c r="J1377" s="565"/>
      <c r="K1377" s="466"/>
      <c r="L1377" s="459"/>
      <c r="M1377" s="460"/>
      <c r="N1377" s="459"/>
      <c r="O1377" s="261"/>
      <c r="P1377" s="565"/>
      <c r="Q1377" s="565"/>
      <c r="R1377" s="467"/>
    </row>
    <row r="1378" spans="1:18" s="438" customFormat="1" outlineLevel="1">
      <c r="A1378" s="569"/>
      <c r="B1378" s="587"/>
      <c r="C1378" s="589"/>
      <c r="D1378" s="565"/>
      <c r="E1378" s="596"/>
      <c r="F1378" s="565"/>
      <c r="G1378" s="592"/>
      <c r="H1378" s="565"/>
      <c r="I1378" s="565"/>
      <c r="J1378" s="565"/>
      <c r="K1378" s="466"/>
      <c r="L1378" s="459"/>
      <c r="M1378" s="460"/>
      <c r="N1378" s="459"/>
      <c r="O1378" s="261"/>
      <c r="P1378" s="565"/>
      <c r="Q1378" s="565"/>
      <c r="R1378" s="467"/>
    </row>
    <row r="1379" spans="1:18" s="438" customFormat="1" outlineLevel="1">
      <c r="A1379" s="569"/>
      <c r="B1379" s="587"/>
      <c r="C1379" s="589"/>
      <c r="D1379" s="565"/>
      <c r="E1379" s="596"/>
      <c r="F1379" s="565"/>
      <c r="G1379" s="592"/>
      <c r="H1379" s="565"/>
      <c r="I1379" s="565"/>
      <c r="J1379" s="565"/>
      <c r="K1379" s="466"/>
      <c r="L1379" s="459"/>
      <c r="M1379" s="460"/>
      <c r="N1379" s="459"/>
      <c r="O1379" s="261"/>
      <c r="P1379" s="565"/>
      <c r="Q1379" s="565"/>
      <c r="R1379" s="467"/>
    </row>
    <row r="1380" spans="1:18" s="438" customFormat="1" outlineLevel="1">
      <c r="A1380" s="570"/>
      <c r="B1380" s="588"/>
      <c r="C1380" s="590"/>
      <c r="D1380" s="566"/>
      <c r="E1380" s="596"/>
      <c r="F1380" s="566"/>
      <c r="G1380" s="593"/>
      <c r="H1380" s="566"/>
      <c r="I1380" s="566"/>
      <c r="J1380" s="566"/>
      <c r="K1380" s="466"/>
      <c r="L1380" s="459"/>
      <c r="M1380" s="460"/>
      <c r="N1380" s="459"/>
      <c r="O1380" s="261"/>
      <c r="P1380" s="566"/>
      <c r="Q1380" s="566"/>
      <c r="R1380" s="467"/>
    </row>
    <row r="1381" spans="1:18" s="438" customFormat="1" outlineLevel="1">
      <c r="A1381" s="568"/>
      <c r="B1381" s="587"/>
      <c r="C1381" s="595"/>
      <c r="D1381" s="565"/>
      <c r="E1381" s="596"/>
      <c r="F1381" s="565"/>
      <c r="G1381" s="597"/>
      <c r="H1381" s="594"/>
      <c r="I1381" s="594"/>
      <c r="J1381" s="594"/>
      <c r="K1381" s="458"/>
      <c r="L1381" s="459"/>
      <c r="M1381" s="460"/>
      <c r="N1381" s="459"/>
      <c r="O1381" s="261"/>
      <c r="P1381" s="594"/>
      <c r="Q1381" s="594"/>
      <c r="R1381" s="467"/>
    </row>
    <row r="1382" spans="1:18" s="438" customFormat="1" outlineLevel="1">
      <c r="A1382" s="569"/>
      <c r="B1382" s="587"/>
      <c r="C1382" s="589"/>
      <c r="D1382" s="565"/>
      <c r="E1382" s="596"/>
      <c r="F1382" s="565"/>
      <c r="G1382" s="592"/>
      <c r="H1382" s="565"/>
      <c r="I1382" s="565"/>
      <c r="J1382" s="565"/>
      <c r="K1382" s="466"/>
      <c r="L1382" s="459"/>
      <c r="M1382" s="460"/>
      <c r="N1382" s="459"/>
      <c r="O1382" s="261"/>
      <c r="P1382" s="565"/>
      <c r="Q1382" s="565"/>
      <c r="R1382" s="467"/>
    </row>
    <row r="1383" spans="1:18" s="438" customFormat="1" outlineLevel="1">
      <c r="A1383" s="569"/>
      <c r="B1383" s="587"/>
      <c r="C1383" s="589"/>
      <c r="D1383" s="565"/>
      <c r="E1383" s="596"/>
      <c r="F1383" s="565"/>
      <c r="G1383" s="592"/>
      <c r="H1383" s="565"/>
      <c r="I1383" s="565"/>
      <c r="J1383" s="565"/>
      <c r="K1383" s="466"/>
      <c r="L1383" s="459"/>
      <c r="M1383" s="460"/>
      <c r="N1383" s="459"/>
      <c r="O1383" s="261"/>
      <c r="P1383" s="565"/>
      <c r="Q1383" s="565"/>
      <c r="R1383" s="467"/>
    </row>
    <row r="1384" spans="1:18" s="438" customFormat="1" outlineLevel="1">
      <c r="A1384" s="569"/>
      <c r="B1384" s="587"/>
      <c r="C1384" s="589"/>
      <c r="D1384" s="565"/>
      <c r="E1384" s="596"/>
      <c r="F1384" s="565"/>
      <c r="G1384" s="592"/>
      <c r="H1384" s="565"/>
      <c r="I1384" s="565"/>
      <c r="J1384" s="565"/>
      <c r="K1384" s="466"/>
      <c r="L1384" s="459"/>
      <c r="M1384" s="460"/>
      <c r="N1384" s="459"/>
      <c r="O1384" s="261"/>
      <c r="P1384" s="565"/>
      <c r="Q1384" s="565"/>
      <c r="R1384" s="467"/>
    </row>
    <row r="1385" spans="1:18" s="438" customFormat="1" outlineLevel="1">
      <c r="A1385" s="569"/>
      <c r="B1385" s="587"/>
      <c r="C1385" s="589"/>
      <c r="D1385" s="565"/>
      <c r="E1385" s="596"/>
      <c r="F1385" s="565"/>
      <c r="G1385" s="592"/>
      <c r="H1385" s="565"/>
      <c r="I1385" s="565"/>
      <c r="J1385" s="565"/>
      <c r="K1385" s="466"/>
      <c r="L1385" s="459"/>
      <c r="M1385" s="460"/>
      <c r="N1385" s="459"/>
      <c r="O1385" s="261"/>
      <c r="P1385" s="565"/>
      <c r="Q1385" s="565"/>
      <c r="R1385" s="467"/>
    </row>
    <row r="1386" spans="1:18" s="438" customFormat="1" outlineLevel="1">
      <c r="A1386" s="569"/>
      <c r="B1386" s="587"/>
      <c r="C1386" s="589"/>
      <c r="D1386" s="565"/>
      <c r="E1386" s="596"/>
      <c r="F1386" s="565"/>
      <c r="G1386" s="592"/>
      <c r="H1386" s="565"/>
      <c r="I1386" s="565"/>
      <c r="J1386" s="565"/>
      <c r="K1386" s="466"/>
      <c r="L1386" s="459"/>
      <c r="M1386" s="460"/>
      <c r="N1386" s="459"/>
      <c r="O1386" s="261"/>
      <c r="P1386" s="565"/>
      <c r="Q1386" s="565"/>
      <c r="R1386" s="467"/>
    </row>
    <row r="1387" spans="1:18" s="438" customFormat="1" outlineLevel="1">
      <c r="A1387" s="569"/>
      <c r="B1387" s="587"/>
      <c r="C1387" s="589"/>
      <c r="D1387" s="565"/>
      <c r="E1387" s="596"/>
      <c r="F1387" s="565"/>
      <c r="G1387" s="592"/>
      <c r="H1387" s="565"/>
      <c r="I1387" s="565"/>
      <c r="J1387" s="565"/>
      <c r="K1387" s="466"/>
      <c r="L1387" s="459"/>
      <c r="M1387" s="460"/>
      <c r="N1387" s="459"/>
      <c r="O1387" s="261"/>
      <c r="P1387" s="565"/>
      <c r="Q1387" s="565"/>
      <c r="R1387" s="467"/>
    </row>
    <row r="1388" spans="1:18" s="438" customFormat="1" outlineLevel="1">
      <c r="A1388" s="569"/>
      <c r="B1388" s="587"/>
      <c r="C1388" s="589"/>
      <c r="D1388" s="565"/>
      <c r="E1388" s="596"/>
      <c r="F1388" s="565"/>
      <c r="G1388" s="592"/>
      <c r="H1388" s="565"/>
      <c r="I1388" s="565"/>
      <c r="J1388" s="565"/>
      <c r="K1388" s="466"/>
      <c r="L1388" s="459"/>
      <c r="M1388" s="460"/>
      <c r="N1388" s="459"/>
      <c r="O1388" s="261"/>
      <c r="P1388" s="565"/>
      <c r="Q1388" s="565"/>
      <c r="R1388" s="467"/>
    </row>
    <row r="1389" spans="1:18" s="438" customFormat="1" outlineLevel="1">
      <c r="A1389" s="569"/>
      <c r="B1389" s="587"/>
      <c r="C1389" s="589"/>
      <c r="D1389" s="565"/>
      <c r="E1389" s="596"/>
      <c r="F1389" s="565"/>
      <c r="G1389" s="592"/>
      <c r="H1389" s="565"/>
      <c r="I1389" s="565"/>
      <c r="J1389" s="565"/>
      <c r="K1389" s="466"/>
      <c r="L1389" s="459"/>
      <c r="M1389" s="460"/>
      <c r="N1389" s="459"/>
      <c r="O1389" s="261"/>
      <c r="P1389" s="565"/>
      <c r="Q1389" s="565"/>
      <c r="R1389" s="467"/>
    </row>
    <row r="1390" spans="1:18" s="438" customFormat="1" outlineLevel="1">
      <c r="A1390" s="569"/>
      <c r="B1390" s="587"/>
      <c r="C1390" s="589"/>
      <c r="D1390" s="565"/>
      <c r="E1390" s="596"/>
      <c r="F1390" s="565"/>
      <c r="G1390" s="592"/>
      <c r="H1390" s="565"/>
      <c r="I1390" s="565"/>
      <c r="J1390" s="565"/>
      <c r="K1390" s="466"/>
      <c r="L1390" s="459"/>
      <c r="M1390" s="460"/>
      <c r="N1390" s="459"/>
      <c r="O1390" s="261"/>
      <c r="P1390" s="565"/>
      <c r="Q1390" s="565"/>
      <c r="R1390" s="467"/>
    </row>
    <row r="1391" spans="1:18" s="438" customFormat="1" outlineLevel="1">
      <c r="A1391" s="569"/>
      <c r="B1391" s="587"/>
      <c r="C1391" s="589"/>
      <c r="D1391" s="565"/>
      <c r="E1391" s="596"/>
      <c r="F1391" s="565"/>
      <c r="G1391" s="592"/>
      <c r="H1391" s="565"/>
      <c r="I1391" s="565"/>
      <c r="J1391" s="565"/>
      <c r="K1391" s="466"/>
      <c r="L1391" s="459"/>
      <c r="M1391" s="460"/>
      <c r="N1391" s="459"/>
      <c r="O1391" s="261"/>
      <c r="P1391" s="565"/>
      <c r="Q1391" s="565"/>
      <c r="R1391" s="467"/>
    </row>
    <row r="1392" spans="1:18" s="438" customFormat="1" outlineLevel="1">
      <c r="A1392" s="569"/>
      <c r="B1392" s="587"/>
      <c r="C1392" s="589"/>
      <c r="D1392" s="565"/>
      <c r="E1392" s="596"/>
      <c r="F1392" s="565"/>
      <c r="G1392" s="592"/>
      <c r="H1392" s="565"/>
      <c r="I1392" s="565"/>
      <c r="J1392" s="565"/>
      <c r="K1392" s="466"/>
      <c r="L1392" s="459"/>
      <c r="M1392" s="460"/>
      <c r="N1392" s="459"/>
      <c r="O1392" s="261"/>
      <c r="P1392" s="565"/>
      <c r="Q1392" s="565"/>
      <c r="R1392" s="467"/>
    </row>
    <row r="1393" spans="1:18" s="438" customFormat="1" outlineLevel="1">
      <c r="A1393" s="569"/>
      <c r="B1393" s="587"/>
      <c r="C1393" s="589"/>
      <c r="D1393" s="565"/>
      <c r="E1393" s="596"/>
      <c r="F1393" s="565"/>
      <c r="G1393" s="592"/>
      <c r="H1393" s="565"/>
      <c r="I1393" s="565"/>
      <c r="J1393" s="565"/>
      <c r="K1393" s="466"/>
      <c r="L1393" s="459"/>
      <c r="M1393" s="460"/>
      <c r="N1393" s="459"/>
      <c r="O1393" s="261"/>
      <c r="P1393" s="565"/>
      <c r="Q1393" s="565"/>
      <c r="R1393" s="467"/>
    </row>
    <row r="1394" spans="1:18" s="438" customFormat="1" outlineLevel="1">
      <c r="A1394" s="569"/>
      <c r="B1394" s="587"/>
      <c r="C1394" s="589"/>
      <c r="D1394" s="565"/>
      <c r="E1394" s="596"/>
      <c r="F1394" s="565"/>
      <c r="G1394" s="592"/>
      <c r="H1394" s="565"/>
      <c r="I1394" s="565"/>
      <c r="J1394" s="565"/>
      <c r="K1394" s="466"/>
      <c r="L1394" s="459"/>
      <c r="M1394" s="460"/>
      <c r="N1394" s="459"/>
      <c r="O1394" s="261"/>
      <c r="P1394" s="565"/>
      <c r="Q1394" s="565"/>
      <c r="R1394" s="467"/>
    </row>
    <row r="1395" spans="1:18" s="438" customFormat="1" outlineLevel="1">
      <c r="A1395" s="569"/>
      <c r="B1395" s="587"/>
      <c r="C1395" s="589"/>
      <c r="D1395" s="565"/>
      <c r="E1395" s="596"/>
      <c r="F1395" s="565"/>
      <c r="G1395" s="592"/>
      <c r="H1395" s="565"/>
      <c r="I1395" s="565"/>
      <c r="J1395" s="565"/>
      <c r="K1395" s="466"/>
      <c r="L1395" s="459"/>
      <c r="M1395" s="460"/>
      <c r="N1395" s="459"/>
      <c r="O1395" s="261"/>
      <c r="P1395" s="565"/>
      <c r="Q1395" s="565"/>
      <c r="R1395" s="467"/>
    </row>
    <row r="1396" spans="1:18" s="438" customFormat="1" outlineLevel="1">
      <c r="A1396" s="570"/>
      <c r="B1396" s="588"/>
      <c r="C1396" s="590"/>
      <c r="D1396" s="566"/>
      <c r="E1396" s="596"/>
      <c r="F1396" s="566"/>
      <c r="G1396" s="593"/>
      <c r="H1396" s="566"/>
      <c r="I1396" s="566"/>
      <c r="J1396" s="566"/>
      <c r="K1396" s="466"/>
      <c r="L1396" s="459"/>
      <c r="M1396" s="460"/>
      <c r="N1396" s="459"/>
      <c r="O1396" s="261"/>
      <c r="P1396" s="566"/>
      <c r="Q1396" s="566"/>
      <c r="R1396" s="467"/>
    </row>
    <row r="1397" spans="1:18" s="438" customFormat="1" outlineLevel="1">
      <c r="A1397" s="568"/>
      <c r="B1397" s="587"/>
      <c r="C1397" s="595"/>
      <c r="D1397" s="565"/>
      <c r="E1397" s="596"/>
      <c r="F1397" s="565"/>
      <c r="G1397" s="597"/>
      <c r="H1397" s="594"/>
      <c r="I1397" s="594"/>
      <c r="J1397" s="594"/>
      <c r="K1397" s="458"/>
      <c r="L1397" s="459"/>
      <c r="M1397" s="460"/>
      <c r="N1397" s="459"/>
      <c r="O1397" s="261"/>
      <c r="P1397" s="594"/>
      <c r="Q1397" s="594"/>
      <c r="R1397" s="467"/>
    </row>
    <row r="1398" spans="1:18" s="438" customFormat="1" outlineLevel="1">
      <c r="A1398" s="569"/>
      <c r="B1398" s="587"/>
      <c r="C1398" s="589"/>
      <c r="D1398" s="565"/>
      <c r="E1398" s="596"/>
      <c r="F1398" s="565"/>
      <c r="G1398" s="592"/>
      <c r="H1398" s="565"/>
      <c r="I1398" s="565"/>
      <c r="J1398" s="565"/>
      <c r="K1398" s="466"/>
      <c r="L1398" s="459"/>
      <c r="M1398" s="460"/>
      <c r="N1398" s="459"/>
      <c r="O1398" s="261"/>
      <c r="P1398" s="565"/>
      <c r="Q1398" s="565"/>
      <c r="R1398" s="467"/>
    </row>
    <row r="1399" spans="1:18" s="438" customFormat="1" outlineLevel="1">
      <c r="A1399" s="569"/>
      <c r="B1399" s="587"/>
      <c r="C1399" s="589"/>
      <c r="D1399" s="565"/>
      <c r="E1399" s="596"/>
      <c r="F1399" s="565"/>
      <c r="G1399" s="592"/>
      <c r="H1399" s="565"/>
      <c r="I1399" s="565"/>
      <c r="J1399" s="565"/>
      <c r="K1399" s="466"/>
      <c r="L1399" s="459"/>
      <c r="M1399" s="460"/>
      <c r="N1399" s="459"/>
      <c r="O1399" s="261"/>
      <c r="P1399" s="565"/>
      <c r="Q1399" s="565"/>
      <c r="R1399" s="467"/>
    </row>
    <row r="1400" spans="1:18" s="438" customFormat="1" outlineLevel="1">
      <c r="A1400" s="569"/>
      <c r="B1400" s="587"/>
      <c r="C1400" s="589"/>
      <c r="D1400" s="565"/>
      <c r="E1400" s="596"/>
      <c r="F1400" s="565"/>
      <c r="G1400" s="592"/>
      <c r="H1400" s="565"/>
      <c r="I1400" s="565"/>
      <c r="J1400" s="565"/>
      <c r="K1400" s="466"/>
      <c r="L1400" s="459"/>
      <c r="M1400" s="460"/>
      <c r="N1400" s="459"/>
      <c r="O1400" s="261"/>
      <c r="P1400" s="565"/>
      <c r="Q1400" s="565"/>
      <c r="R1400" s="467"/>
    </row>
    <row r="1401" spans="1:18" s="438" customFormat="1" outlineLevel="1">
      <c r="A1401" s="569"/>
      <c r="B1401" s="587"/>
      <c r="C1401" s="589"/>
      <c r="D1401" s="565"/>
      <c r="E1401" s="596"/>
      <c r="F1401" s="565"/>
      <c r="G1401" s="592"/>
      <c r="H1401" s="565"/>
      <c r="I1401" s="565"/>
      <c r="J1401" s="565"/>
      <c r="K1401" s="466"/>
      <c r="L1401" s="459"/>
      <c r="M1401" s="460"/>
      <c r="N1401" s="459"/>
      <c r="O1401" s="261"/>
      <c r="P1401" s="565"/>
      <c r="Q1401" s="565"/>
      <c r="R1401" s="467"/>
    </row>
    <row r="1402" spans="1:18" s="438" customFormat="1" outlineLevel="1">
      <c r="A1402" s="569"/>
      <c r="B1402" s="587"/>
      <c r="C1402" s="589"/>
      <c r="D1402" s="565"/>
      <c r="E1402" s="596"/>
      <c r="F1402" s="565"/>
      <c r="G1402" s="592"/>
      <c r="H1402" s="565"/>
      <c r="I1402" s="565"/>
      <c r="J1402" s="565"/>
      <c r="K1402" s="466"/>
      <c r="L1402" s="459"/>
      <c r="M1402" s="460"/>
      <c r="N1402" s="459"/>
      <c r="O1402" s="261"/>
      <c r="P1402" s="565"/>
      <c r="Q1402" s="565"/>
      <c r="R1402" s="467"/>
    </row>
    <row r="1403" spans="1:18" s="438" customFormat="1" outlineLevel="1">
      <c r="A1403" s="569"/>
      <c r="B1403" s="587"/>
      <c r="C1403" s="589"/>
      <c r="D1403" s="565"/>
      <c r="E1403" s="596"/>
      <c r="F1403" s="565"/>
      <c r="G1403" s="592"/>
      <c r="H1403" s="565"/>
      <c r="I1403" s="565"/>
      <c r="J1403" s="565"/>
      <c r="K1403" s="466"/>
      <c r="L1403" s="459"/>
      <c r="M1403" s="460"/>
      <c r="N1403" s="459"/>
      <c r="O1403" s="261"/>
      <c r="P1403" s="565"/>
      <c r="Q1403" s="565"/>
      <c r="R1403" s="467"/>
    </row>
    <row r="1404" spans="1:18" s="438" customFormat="1" outlineLevel="1">
      <c r="A1404" s="569"/>
      <c r="B1404" s="587"/>
      <c r="C1404" s="589"/>
      <c r="D1404" s="565"/>
      <c r="E1404" s="596"/>
      <c r="F1404" s="565"/>
      <c r="G1404" s="592"/>
      <c r="H1404" s="565"/>
      <c r="I1404" s="565"/>
      <c r="J1404" s="565"/>
      <c r="K1404" s="466"/>
      <c r="L1404" s="459"/>
      <c r="M1404" s="460"/>
      <c r="N1404" s="459"/>
      <c r="O1404" s="261"/>
      <c r="P1404" s="565"/>
      <c r="Q1404" s="565"/>
      <c r="R1404" s="467"/>
    </row>
    <row r="1405" spans="1:18" s="438" customFormat="1" outlineLevel="1">
      <c r="A1405" s="569"/>
      <c r="B1405" s="587"/>
      <c r="C1405" s="589"/>
      <c r="D1405" s="565"/>
      <c r="E1405" s="596"/>
      <c r="F1405" s="565"/>
      <c r="G1405" s="592"/>
      <c r="H1405" s="565"/>
      <c r="I1405" s="565"/>
      <c r="J1405" s="565"/>
      <c r="K1405" s="466"/>
      <c r="L1405" s="459"/>
      <c r="M1405" s="460"/>
      <c r="N1405" s="459"/>
      <c r="O1405" s="261"/>
      <c r="P1405" s="565"/>
      <c r="Q1405" s="565"/>
      <c r="R1405" s="467"/>
    </row>
    <row r="1406" spans="1:18" s="438" customFormat="1" outlineLevel="1">
      <c r="A1406" s="569"/>
      <c r="B1406" s="587"/>
      <c r="C1406" s="589"/>
      <c r="D1406" s="565"/>
      <c r="E1406" s="596"/>
      <c r="F1406" s="565"/>
      <c r="G1406" s="592"/>
      <c r="H1406" s="565"/>
      <c r="I1406" s="565"/>
      <c r="J1406" s="565"/>
      <c r="K1406" s="466"/>
      <c r="L1406" s="459"/>
      <c r="M1406" s="460"/>
      <c r="N1406" s="459"/>
      <c r="O1406" s="261"/>
      <c r="P1406" s="565"/>
      <c r="Q1406" s="565"/>
      <c r="R1406" s="467"/>
    </row>
    <row r="1407" spans="1:18" s="438" customFormat="1" outlineLevel="1">
      <c r="A1407" s="569"/>
      <c r="B1407" s="587"/>
      <c r="C1407" s="589"/>
      <c r="D1407" s="565"/>
      <c r="E1407" s="596"/>
      <c r="F1407" s="565"/>
      <c r="G1407" s="592"/>
      <c r="H1407" s="565"/>
      <c r="I1407" s="565"/>
      <c r="J1407" s="565"/>
      <c r="K1407" s="466"/>
      <c r="L1407" s="459"/>
      <c r="M1407" s="460"/>
      <c r="N1407" s="459"/>
      <c r="O1407" s="261"/>
      <c r="P1407" s="565"/>
      <c r="Q1407" s="565"/>
      <c r="R1407" s="467"/>
    </row>
    <row r="1408" spans="1:18" s="438" customFormat="1" outlineLevel="1">
      <c r="A1408" s="569"/>
      <c r="B1408" s="587"/>
      <c r="C1408" s="589"/>
      <c r="D1408" s="565"/>
      <c r="E1408" s="596"/>
      <c r="F1408" s="565"/>
      <c r="G1408" s="592"/>
      <c r="H1408" s="565"/>
      <c r="I1408" s="565"/>
      <c r="J1408" s="565"/>
      <c r="K1408" s="466"/>
      <c r="L1408" s="459"/>
      <c r="M1408" s="460"/>
      <c r="N1408" s="459"/>
      <c r="O1408" s="261"/>
      <c r="P1408" s="565"/>
      <c r="Q1408" s="565"/>
      <c r="R1408" s="467"/>
    </row>
    <row r="1409" spans="1:18" s="438" customFormat="1" outlineLevel="1">
      <c r="A1409" s="569"/>
      <c r="B1409" s="587"/>
      <c r="C1409" s="589"/>
      <c r="D1409" s="565"/>
      <c r="E1409" s="596"/>
      <c r="F1409" s="565"/>
      <c r="G1409" s="592"/>
      <c r="H1409" s="565"/>
      <c r="I1409" s="565"/>
      <c r="J1409" s="565"/>
      <c r="K1409" s="466"/>
      <c r="L1409" s="459"/>
      <c r="M1409" s="460"/>
      <c r="N1409" s="459"/>
      <c r="O1409" s="261"/>
      <c r="P1409" s="565"/>
      <c r="Q1409" s="565"/>
      <c r="R1409" s="467"/>
    </row>
    <row r="1410" spans="1:18" s="438" customFormat="1" outlineLevel="1">
      <c r="A1410" s="569"/>
      <c r="B1410" s="587"/>
      <c r="C1410" s="589"/>
      <c r="D1410" s="565"/>
      <c r="E1410" s="596"/>
      <c r="F1410" s="565"/>
      <c r="G1410" s="592"/>
      <c r="H1410" s="565"/>
      <c r="I1410" s="565"/>
      <c r="J1410" s="565"/>
      <c r="K1410" s="466"/>
      <c r="L1410" s="459"/>
      <c r="M1410" s="460"/>
      <c r="N1410" s="459"/>
      <c r="O1410" s="261"/>
      <c r="P1410" s="565"/>
      <c r="Q1410" s="565"/>
      <c r="R1410" s="467"/>
    </row>
    <row r="1411" spans="1:18" s="438" customFormat="1" outlineLevel="1">
      <c r="A1411" s="569"/>
      <c r="B1411" s="587"/>
      <c r="C1411" s="589"/>
      <c r="D1411" s="565"/>
      <c r="E1411" s="596"/>
      <c r="F1411" s="565"/>
      <c r="G1411" s="592"/>
      <c r="H1411" s="565"/>
      <c r="I1411" s="565"/>
      <c r="J1411" s="565"/>
      <c r="K1411" s="466"/>
      <c r="L1411" s="459"/>
      <c r="M1411" s="460"/>
      <c r="N1411" s="459"/>
      <c r="O1411" s="261"/>
      <c r="P1411" s="565"/>
      <c r="Q1411" s="565"/>
      <c r="R1411" s="467"/>
    </row>
    <row r="1412" spans="1:18" s="438" customFormat="1" outlineLevel="1">
      <c r="A1412" s="570"/>
      <c r="B1412" s="588"/>
      <c r="C1412" s="590"/>
      <c r="D1412" s="566"/>
      <c r="E1412" s="596"/>
      <c r="F1412" s="566"/>
      <c r="G1412" s="593"/>
      <c r="H1412" s="566"/>
      <c r="I1412" s="566"/>
      <c r="J1412" s="566"/>
      <c r="K1412" s="466"/>
      <c r="L1412" s="459"/>
      <c r="M1412" s="460"/>
      <c r="N1412" s="459"/>
      <c r="O1412" s="261"/>
      <c r="P1412" s="566"/>
      <c r="Q1412" s="566"/>
      <c r="R1412" s="467"/>
    </row>
    <row r="1413" spans="1:18" s="438" customFormat="1" outlineLevel="1">
      <c r="A1413" s="568"/>
      <c r="B1413" s="587"/>
      <c r="C1413" s="595"/>
      <c r="D1413" s="565"/>
      <c r="E1413" s="596"/>
      <c r="F1413" s="565"/>
      <c r="G1413" s="597"/>
      <c r="H1413" s="594"/>
      <c r="I1413" s="594"/>
      <c r="J1413" s="594"/>
      <c r="K1413" s="458"/>
      <c r="L1413" s="459"/>
      <c r="M1413" s="460"/>
      <c r="N1413" s="459"/>
      <c r="O1413" s="261"/>
      <c r="P1413" s="594"/>
      <c r="Q1413" s="594"/>
      <c r="R1413" s="467"/>
    </row>
    <row r="1414" spans="1:18" s="438" customFormat="1" outlineLevel="1">
      <c r="A1414" s="569"/>
      <c r="B1414" s="587"/>
      <c r="C1414" s="589"/>
      <c r="D1414" s="565"/>
      <c r="E1414" s="596"/>
      <c r="F1414" s="565"/>
      <c r="G1414" s="592"/>
      <c r="H1414" s="565"/>
      <c r="I1414" s="565"/>
      <c r="J1414" s="565"/>
      <c r="K1414" s="466"/>
      <c r="L1414" s="459"/>
      <c r="M1414" s="460"/>
      <c r="N1414" s="459"/>
      <c r="O1414" s="261"/>
      <c r="P1414" s="565"/>
      <c r="Q1414" s="565"/>
      <c r="R1414" s="467"/>
    </row>
    <row r="1415" spans="1:18" s="438" customFormat="1" outlineLevel="1">
      <c r="A1415" s="569"/>
      <c r="B1415" s="587"/>
      <c r="C1415" s="589"/>
      <c r="D1415" s="565"/>
      <c r="E1415" s="596"/>
      <c r="F1415" s="565"/>
      <c r="G1415" s="592"/>
      <c r="H1415" s="565"/>
      <c r="I1415" s="565"/>
      <c r="J1415" s="565"/>
      <c r="K1415" s="466"/>
      <c r="L1415" s="459"/>
      <c r="M1415" s="460"/>
      <c r="N1415" s="459"/>
      <c r="O1415" s="261"/>
      <c r="P1415" s="565"/>
      <c r="Q1415" s="565"/>
      <c r="R1415" s="467"/>
    </row>
    <row r="1416" spans="1:18" s="438" customFormat="1" outlineLevel="1">
      <c r="A1416" s="569"/>
      <c r="B1416" s="587"/>
      <c r="C1416" s="589"/>
      <c r="D1416" s="565"/>
      <c r="E1416" s="596"/>
      <c r="F1416" s="565"/>
      <c r="G1416" s="592"/>
      <c r="H1416" s="565"/>
      <c r="I1416" s="565"/>
      <c r="J1416" s="565"/>
      <c r="K1416" s="466"/>
      <c r="L1416" s="459"/>
      <c r="M1416" s="460"/>
      <c r="N1416" s="459"/>
      <c r="O1416" s="261"/>
      <c r="P1416" s="565"/>
      <c r="Q1416" s="565"/>
      <c r="R1416" s="467"/>
    </row>
    <row r="1417" spans="1:18" s="438" customFormat="1" outlineLevel="1">
      <c r="A1417" s="569"/>
      <c r="B1417" s="587"/>
      <c r="C1417" s="589"/>
      <c r="D1417" s="565"/>
      <c r="E1417" s="596"/>
      <c r="F1417" s="565"/>
      <c r="G1417" s="592"/>
      <c r="H1417" s="565"/>
      <c r="I1417" s="565"/>
      <c r="J1417" s="565"/>
      <c r="K1417" s="466"/>
      <c r="L1417" s="459"/>
      <c r="M1417" s="460"/>
      <c r="N1417" s="459"/>
      <c r="O1417" s="261"/>
      <c r="P1417" s="565"/>
      <c r="Q1417" s="565"/>
      <c r="R1417" s="467"/>
    </row>
    <row r="1418" spans="1:18" s="438" customFormat="1" outlineLevel="1">
      <c r="A1418" s="569"/>
      <c r="B1418" s="587"/>
      <c r="C1418" s="589"/>
      <c r="D1418" s="565"/>
      <c r="E1418" s="596"/>
      <c r="F1418" s="565"/>
      <c r="G1418" s="592"/>
      <c r="H1418" s="565"/>
      <c r="I1418" s="565"/>
      <c r="J1418" s="565"/>
      <c r="K1418" s="466"/>
      <c r="L1418" s="459"/>
      <c r="M1418" s="460"/>
      <c r="N1418" s="459"/>
      <c r="O1418" s="261"/>
      <c r="P1418" s="565"/>
      <c r="Q1418" s="565"/>
      <c r="R1418" s="467"/>
    </row>
    <row r="1419" spans="1:18" s="438" customFormat="1" outlineLevel="1">
      <c r="A1419" s="569"/>
      <c r="B1419" s="587"/>
      <c r="C1419" s="589"/>
      <c r="D1419" s="565"/>
      <c r="E1419" s="596"/>
      <c r="F1419" s="565"/>
      <c r="G1419" s="592"/>
      <c r="H1419" s="565"/>
      <c r="I1419" s="565"/>
      <c r="J1419" s="565"/>
      <c r="K1419" s="466"/>
      <c r="L1419" s="459"/>
      <c r="M1419" s="460"/>
      <c r="N1419" s="459"/>
      <c r="O1419" s="261"/>
      <c r="P1419" s="565"/>
      <c r="Q1419" s="565"/>
      <c r="R1419" s="467"/>
    </row>
    <row r="1420" spans="1:18" s="438" customFormat="1" outlineLevel="1">
      <c r="A1420" s="569"/>
      <c r="B1420" s="587"/>
      <c r="C1420" s="589"/>
      <c r="D1420" s="565"/>
      <c r="E1420" s="596"/>
      <c r="F1420" s="565"/>
      <c r="G1420" s="592"/>
      <c r="H1420" s="565"/>
      <c r="I1420" s="565"/>
      <c r="J1420" s="565"/>
      <c r="K1420" s="466"/>
      <c r="L1420" s="459"/>
      <c r="M1420" s="460"/>
      <c r="N1420" s="459"/>
      <c r="O1420" s="261"/>
      <c r="P1420" s="565"/>
      <c r="Q1420" s="565"/>
      <c r="R1420" s="467"/>
    </row>
    <row r="1421" spans="1:18" s="438" customFormat="1" outlineLevel="1">
      <c r="A1421" s="569"/>
      <c r="B1421" s="587"/>
      <c r="C1421" s="589"/>
      <c r="D1421" s="565"/>
      <c r="E1421" s="596"/>
      <c r="F1421" s="565"/>
      <c r="G1421" s="592"/>
      <c r="H1421" s="565"/>
      <c r="I1421" s="565"/>
      <c r="J1421" s="565"/>
      <c r="K1421" s="466"/>
      <c r="L1421" s="459"/>
      <c r="M1421" s="460"/>
      <c r="N1421" s="459"/>
      <c r="O1421" s="261"/>
      <c r="P1421" s="565"/>
      <c r="Q1421" s="565"/>
      <c r="R1421" s="467"/>
    </row>
    <row r="1422" spans="1:18" s="438" customFormat="1" outlineLevel="1">
      <c r="A1422" s="569"/>
      <c r="B1422" s="587"/>
      <c r="C1422" s="589"/>
      <c r="D1422" s="565"/>
      <c r="E1422" s="596"/>
      <c r="F1422" s="565"/>
      <c r="G1422" s="592"/>
      <c r="H1422" s="565"/>
      <c r="I1422" s="565"/>
      <c r="J1422" s="565"/>
      <c r="K1422" s="466"/>
      <c r="L1422" s="459"/>
      <c r="M1422" s="460"/>
      <c r="N1422" s="459"/>
      <c r="O1422" s="261"/>
      <c r="P1422" s="565"/>
      <c r="Q1422" s="565"/>
      <c r="R1422" s="467"/>
    </row>
    <row r="1423" spans="1:18" s="438" customFormat="1" outlineLevel="1">
      <c r="A1423" s="569"/>
      <c r="B1423" s="587"/>
      <c r="C1423" s="589"/>
      <c r="D1423" s="565"/>
      <c r="E1423" s="596"/>
      <c r="F1423" s="565"/>
      <c r="G1423" s="592"/>
      <c r="H1423" s="565"/>
      <c r="I1423" s="565"/>
      <c r="J1423" s="565"/>
      <c r="K1423" s="466"/>
      <c r="L1423" s="459"/>
      <c r="M1423" s="460"/>
      <c r="N1423" s="459"/>
      <c r="O1423" s="261"/>
      <c r="P1423" s="565"/>
      <c r="Q1423" s="565"/>
      <c r="R1423" s="467"/>
    </row>
    <row r="1424" spans="1:18" s="438" customFormat="1" outlineLevel="1">
      <c r="A1424" s="569"/>
      <c r="B1424" s="587"/>
      <c r="C1424" s="589"/>
      <c r="D1424" s="565"/>
      <c r="E1424" s="596"/>
      <c r="F1424" s="565"/>
      <c r="G1424" s="592"/>
      <c r="H1424" s="565"/>
      <c r="I1424" s="565"/>
      <c r="J1424" s="565"/>
      <c r="K1424" s="466"/>
      <c r="L1424" s="459"/>
      <c r="M1424" s="460"/>
      <c r="N1424" s="459"/>
      <c r="O1424" s="261"/>
      <c r="P1424" s="565"/>
      <c r="Q1424" s="565"/>
      <c r="R1424" s="467"/>
    </row>
    <row r="1425" spans="1:18" s="438" customFormat="1" outlineLevel="1">
      <c r="A1425" s="569"/>
      <c r="B1425" s="587"/>
      <c r="C1425" s="589"/>
      <c r="D1425" s="565"/>
      <c r="E1425" s="596"/>
      <c r="F1425" s="565"/>
      <c r="G1425" s="592"/>
      <c r="H1425" s="565"/>
      <c r="I1425" s="565"/>
      <c r="J1425" s="565"/>
      <c r="K1425" s="466"/>
      <c r="L1425" s="459"/>
      <c r="M1425" s="460"/>
      <c r="N1425" s="459"/>
      <c r="O1425" s="261"/>
      <c r="P1425" s="565"/>
      <c r="Q1425" s="565"/>
      <c r="R1425" s="467"/>
    </row>
    <row r="1426" spans="1:18" s="438" customFormat="1" outlineLevel="1">
      <c r="A1426" s="569"/>
      <c r="B1426" s="587"/>
      <c r="C1426" s="589"/>
      <c r="D1426" s="565"/>
      <c r="E1426" s="596"/>
      <c r="F1426" s="565"/>
      <c r="G1426" s="592"/>
      <c r="H1426" s="565"/>
      <c r="I1426" s="565"/>
      <c r="J1426" s="565"/>
      <c r="K1426" s="466"/>
      <c r="L1426" s="459"/>
      <c r="M1426" s="460"/>
      <c r="N1426" s="459"/>
      <c r="O1426" s="261"/>
      <c r="P1426" s="565"/>
      <c r="Q1426" s="565"/>
      <c r="R1426" s="467"/>
    </row>
    <row r="1427" spans="1:18" s="438" customFormat="1" outlineLevel="1">
      <c r="A1427" s="569"/>
      <c r="B1427" s="587"/>
      <c r="C1427" s="589"/>
      <c r="D1427" s="565"/>
      <c r="E1427" s="596"/>
      <c r="F1427" s="565"/>
      <c r="G1427" s="592"/>
      <c r="H1427" s="565"/>
      <c r="I1427" s="565"/>
      <c r="J1427" s="565"/>
      <c r="K1427" s="466"/>
      <c r="L1427" s="459"/>
      <c r="M1427" s="460"/>
      <c r="N1427" s="459"/>
      <c r="O1427" s="261"/>
      <c r="P1427" s="565"/>
      <c r="Q1427" s="565"/>
      <c r="R1427" s="467"/>
    </row>
    <row r="1428" spans="1:18" s="438" customFormat="1" outlineLevel="1">
      <c r="A1428" s="570"/>
      <c r="B1428" s="588"/>
      <c r="C1428" s="590"/>
      <c r="D1428" s="566"/>
      <c r="E1428" s="596"/>
      <c r="F1428" s="566"/>
      <c r="G1428" s="593"/>
      <c r="H1428" s="566"/>
      <c r="I1428" s="566"/>
      <c r="J1428" s="566"/>
      <c r="K1428" s="466"/>
      <c r="L1428" s="459"/>
      <c r="M1428" s="460"/>
      <c r="N1428" s="459"/>
      <c r="O1428" s="261"/>
      <c r="P1428" s="566"/>
      <c r="Q1428" s="566"/>
      <c r="R1428" s="467"/>
    </row>
    <row r="1429" spans="1:18" s="438" customFormat="1" outlineLevel="1">
      <c r="A1429" s="568"/>
      <c r="B1429" s="587"/>
      <c r="C1429" s="595"/>
      <c r="D1429" s="565"/>
      <c r="E1429" s="596"/>
      <c r="F1429" s="565"/>
      <c r="G1429" s="597"/>
      <c r="H1429" s="594"/>
      <c r="I1429" s="594"/>
      <c r="J1429" s="594"/>
      <c r="K1429" s="458"/>
      <c r="L1429" s="459"/>
      <c r="M1429" s="460"/>
      <c r="N1429" s="459"/>
      <c r="O1429" s="261"/>
      <c r="P1429" s="594"/>
      <c r="Q1429" s="594"/>
      <c r="R1429" s="467"/>
    </row>
    <row r="1430" spans="1:18" s="438" customFormat="1" outlineLevel="1">
      <c r="A1430" s="569"/>
      <c r="B1430" s="587"/>
      <c r="C1430" s="589"/>
      <c r="D1430" s="565"/>
      <c r="E1430" s="596"/>
      <c r="F1430" s="565"/>
      <c r="G1430" s="592"/>
      <c r="H1430" s="565"/>
      <c r="I1430" s="565"/>
      <c r="J1430" s="565"/>
      <c r="K1430" s="466"/>
      <c r="L1430" s="459"/>
      <c r="M1430" s="460"/>
      <c r="N1430" s="459"/>
      <c r="O1430" s="261"/>
      <c r="P1430" s="565"/>
      <c r="Q1430" s="565"/>
      <c r="R1430" s="467"/>
    </row>
    <row r="1431" spans="1:18" s="438" customFormat="1" outlineLevel="1">
      <c r="A1431" s="569"/>
      <c r="B1431" s="587"/>
      <c r="C1431" s="589"/>
      <c r="D1431" s="565"/>
      <c r="E1431" s="596"/>
      <c r="F1431" s="565"/>
      <c r="G1431" s="592"/>
      <c r="H1431" s="565"/>
      <c r="I1431" s="565"/>
      <c r="J1431" s="565"/>
      <c r="K1431" s="466"/>
      <c r="L1431" s="459"/>
      <c r="M1431" s="460"/>
      <c r="N1431" s="459"/>
      <c r="O1431" s="261"/>
      <c r="P1431" s="565"/>
      <c r="Q1431" s="565"/>
      <c r="R1431" s="467"/>
    </row>
    <row r="1432" spans="1:18" s="438" customFormat="1" outlineLevel="1">
      <c r="A1432" s="569"/>
      <c r="B1432" s="587"/>
      <c r="C1432" s="589"/>
      <c r="D1432" s="565"/>
      <c r="E1432" s="596"/>
      <c r="F1432" s="565"/>
      <c r="G1432" s="592"/>
      <c r="H1432" s="565"/>
      <c r="I1432" s="565"/>
      <c r="J1432" s="565"/>
      <c r="K1432" s="466"/>
      <c r="L1432" s="459"/>
      <c r="M1432" s="460"/>
      <c r="N1432" s="459"/>
      <c r="O1432" s="261"/>
      <c r="P1432" s="565"/>
      <c r="Q1432" s="565"/>
      <c r="R1432" s="467"/>
    </row>
    <row r="1433" spans="1:18" s="438" customFormat="1" outlineLevel="1">
      <c r="A1433" s="569"/>
      <c r="B1433" s="587"/>
      <c r="C1433" s="589"/>
      <c r="D1433" s="565"/>
      <c r="E1433" s="596"/>
      <c r="F1433" s="565"/>
      <c r="G1433" s="592"/>
      <c r="H1433" s="565"/>
      <c r="I1433" s="565"/>
      <c r="J1433" s="565"/>
      <c r="K1433" s="466"/>
      <c r="L1433" s="459"/>
      <c r="M1433" s="460"/>
      <c r="N1433" s="459"/>
      <c r="O1433" s="261"/>
      <c r="P1433" s="565"/>
      <c r="Q1433" s="565"/>
      <c r="R1433" s="467"/>
    </row>
    <row r="1434" spans="1:18" s="438" customFormat="1" outlineLevel="1">
      <c r="A1434" s="569"/>
      <c r="B1434" s="587"/>
      <c r="C1434" s="589"/>
      <c r="D1434" s="565"/>
      <c r="E1434" s="596"/>
      <c r="F1434" s="565"/>
      <c r="G1434" s="592"/>
      <c r="H1434" s="565"/>
      <c r="I1434" s="565"/>
      <c r="J1434" s="565"/>
      <c r="K1434" s="466"/>
      <c r="L1434" s="459"/>
      <c r="M1434" s="460"/>
      <c r="N1434" s="459"/>
      <c r="O1434" s="261"/>
      <c r="P1434" s="565"/>
      <c r="Q1434" s="565"/>
      <c r="R1434" s="467"/>
    </row>
    <row r="1435" spans="1:18" s="438" customFormat="1" outlineLevel="1">
      <c r="A1435" s="569"/>
      <c r="B1435" s="587"/>
      <c r="C1435" s="589"/>
      <c r="D1435" s="565"/>
      <c r="E1435" s="596"/>
      <c r="F1435" s="565"/>
      <c r="G1435" s="592"/>
      <c r="H1435" s="565"/>
      <c r="I1435" s="565"/>
      <c r="J1435" s="565"/>
      <c r="K1435" s="466"/>
      <c r="L1435" s="459"/>
      <c r="M1435" s="460"/>
      <c r="N1435" s="459"/>
      <c r="O1435" s="261"/>
      <c r="P1435" s="565"/>
      <c r="Q1435" s="565"/>
      <c r="R1435" s="467"/>
    </row>
    <row r="1436" spans="1:18" s="438" customFormat="1" outlineLevel="1">
      <c r="A1436" s="569"/>
      <c r="B1436" s="587"/>
      <c r="C1436" s="589"/>
      <c r="D1436" s="565"/>
      <c r="E1436" s="596"/>
      <c r="F1436" s="565"/>
      <c r="G1436" s="592"/>
      <c r="H1436" s="565"/>
      <c r="I1436" s="565"/>
      <c r="J1436" s="565"/>
      <c r="K1436" s="466"/>
      <c r="L1436" s="459"/>
      <c r="M1436" s="460"/>
      <c r="N1436" s="459"/>
      <c r="O1436" s="261"/>
      <c r="P1436" s="565"/>
      <c r="Q1436" s="565"/>
      <c r="R1436" s="467"/>
    </row>
    <row r="1437" spans="1:18" s="438" customFormat="1" outlineLevel="1">
      <c r="A1437" s="569"/>
      <c r="B1437" s="587"/>
      <c r="C1437" s="589"/>
      <c r="D1437" s="565"/>
      <c r="E1437" s="596"/>
      <c r="F1437" s="565"/>
      <c r="G1437" s="592"/>
      <c r="H1437" s="565"/>
      <c r="I1437" s="565"/>
      <c r="J1437" s="565"/>
      <c r="K1437" s="466"/>
      <c r="L1437" s="459"/>
      <c r="M1437" s="460"/>
      <c r="N1437" s="459"/>
      <c r="O1437" s="261"/>
      <c r="P1437" s="565"/>
      <c r="Q1437" s="565"/>
      <c r="R1437" s="467"/>
    </row>
    <row r="1438" spans="1:18" s="438" customFormat="1" outlineLevel="1">
      <c r="A1438" s="569"/>
      <c r="B1438" s="587"/>
      <c r="C1438" s="589"/>
      <c r="D1438" s="565"/>
      <c r="E1438" s="596"/>
      <c r="F1438" s="565"/>
      <c r="G1438" s="592"/>
      <c r="H1438" s="565"/>
      <c r="I1438" s="565"/>
      <c r="J1438" s="565"/>
      <c r="K1438" s="466"/>
      <c r="L1438" s="459"/>
      <c r="M1438" s="460"/>
      <c r="N1438" s="459"/>
      <c r="O1438" s="261"/>
      <c r="P1438" s="565"/>
      <c r="Q1438" s="565"/>
      <c r="R1438" s="467"/>
    </row>
    <row r="1439" spans="1:18" s="438" customFormat="1" outlineLevel="1">
      <c r="A1439" s="569"/>
      <c r="B1439" s="587"/>
      <c r="C1439" s="589"/>
      <c r="D1439" s="565"/>
      <c r="E1439" s="596"/>
      <c r="F1439" s="565"/>
      <c r="G1439" s="592"/>
      <c r="H1439" s="565"/>
      <c r="I1439" s="565"/>
      <c r="J1439" s="565"/>
      <c r="K1439" s="466"/>
      <c r="L1439" s="459"/>
      <c r="M1439" s="460"/>
      <c r="N1439" s="459"/>
      <c r="O1439" s="261"/>
      <c r="P1439" s="565"/>
      <c r="Q1439" s="565"/>
      <c r="R1439" s="467"/>
    </row>
    <row r="1440" spans="1:18" s="438" customFormat="1" outlineLevel="1">
      <c r="A1440" s="569"/>
      <c r="B1440" s="587"/>
      <c r="C1440" s="589"/>
      <c r="D1440" s="565"/>
      <c r="E1440" s="596"/>
      <c r="F1440" s="565"/>
      <c r="G1440" s="592"/>
      <c r="H1440" s="565"/>
      <c r="I1440" s="565"/>
      <c r="J1440" s="565"/>
      <c r="K1440" s="466"/>
      <c r="L1440" s="459"/>
      <c r="M1440" s="460"/>
      <c r="N1440" s="459"/>
      <c r="O1440" s="261"/>
      <c r="P1440" s="565"/>
      <c r="Q1440" s="565"/>
      <c r="R1440" s="467"/>
    </row>
    <row r="1441" spans="1:18" s="438" customFormat="1" outlineLevel="1">
      <c r="A1441" s="569"/>
      <c r="B1441" s="587"/>
      <c r="C1441" s="589"/>
      <c r="D1441" s="565"/>
      <c r="E1441" s="596"/>
      <c r="F1441" s="565"/>
      <c r="G1441" s="592"/>
      <c r="H1441" s="565"/>
      <c r="I1441" s="565"/>
      <c r="J1441" s="565"/>
      <c r="K1441" s="466"/>
      <c r="L1441" s="459"/>
      <c r="M1441" s="460"/>
      <c r="N1441" s="459"/>
      <c r="O1441" s="261"/>
      <c r="P1441" s="565"/>
      <c r="Q1441" s="565"/>
      <c r="R1441" s="467"/>
    </row>
    <row r="1442" spans="1:18" s="438" customFormat="1" outlineLevel="1">
      <c r="A1442" s="569"/>
      <c r="B1442" s="587"/>
      <c r="C1442" s="589"/>
      <c r="D1442" s="565"/>
      <c r="E1442" s="596"/>
      <c r="F1442" s="565"/>
      <c r="G1442" s="592"/>
      <c r="H1442" s="565"/>
      <c r="I1442" s="565"/>
      <c r="J1442" s="565"/>
      <c r="K1442" s="466"/>
      <c r="L1442" s="459"/>
      <c r="M1442" s="460"/>
      <c r="N1442" s="459"/>
      <c r="O1442" s="261"/>
      <c r="P1442" s="565"/>
      <c r="Q1442" s="565"/>
      <c r="R1442" s="467"/>
    </row>
    <row r="1443" spans="1:18" s="438" customFormat="1" outlineLevel="1">
      <c r="A1443" s="569"/>
      <c r="B1443" s="587"/>
      <c r="C1443" s="589"/>
      <c r="D1443" s="565"/>
      <c r="E1443" s="596"/>
      <c r="F1443" s="565"/>
      <c r="G1443" s="592"/>
      <c r="H1443" s="565"/>
      <c r="I1443" s="565"/>
      <c r="J1443" s="565"/>
      <c r="K1443" s="466"/>
      <c r="L1443" s="459"/>
      <c r="M1443" s="460"/>
      <c r="N1443" s="459"/>
      <c r="O1443" s="261"/>
      <c r="P1443" s="565"/>
      <c r="Q1443" s="565"/>
      <c r="R1443" s="467"/>
    </row>
    <row r="1444" spans="1:18" s="438" customFormat="1" outlineLevel="1">
      <c r="A1444" s="570"/>
      <c r="B1444" s="588"/>
      <c r="C1444" s="590"/>
      <c r="D1444" s="566"/>
      <c r="E1444" s="596"/>
      <c r="F1444" s="566"/>
      <c r="G1444" s="593"/>
      <c r="H1444" s="566"/>
      <c r="I1444" s="566"/>
      <c r="J1444" s="566"/>
      <c r="K1444" s="466"/>
      <c r="L1444" s="459"/>
      <c r="M1444" s="460"/>
      <c r="N1444" s="459"/>
      <c r="O1444" s="261"/>
      <c r="P1444" s="566"/>
      <c r="Q1444" s="566"/>
      <c r="R1444" s="467"/>
    </row>
    <row r="1445" spans="1:18" s="438" customFormat="1" outlineLevel="1">
      <c r="A1445" s="568"/>
      <c r="B1445" s="587"/>
      <c r="C1445" s="595"/>
      <c r="D1445" s="565"/>
      <c r="E1445" s="596"/>
      <c r="F1445" s="565"/>
      <c r="G1445" s="597"/>
      <c r="H1445" s="594"/>
      <c r="I1445" s="594"/>
      <c r="J1445" s="594"/>
      <c r="K1445" s="458"/>
      <c r="L1445" s="459"/>
      <c r="M1445" s="460"/>
      <c r="N1445" s="459"/>
      <c r="O1445" s="261"/>
      <c r="P1445" s="594"/>
      <c r="Q1445" s="594"/>
      <c r="R1445" s="467"/>
    </row>
    <row r="1446" spans="1:18" s="438" customFormat="1" outlineLevel="1">
      <c r="A1446" s="569"/>
      <c r="B1446" s="587"/>
      <c r="C1446" s="589"/>
      <c r="D1446" s="565"/>
      <c r="E1446" s="596"/>
      <c r="F1446" s="565"/>
      <c r="G1446" s="592"/>
      <c r="H1446" s="565"/>
      <c r="I1446" s="565"/>
      <c r="J1446" s="565"/>
      <c r="K1446" s="466"/>
      <c r="L1446" s="459"/>
      <c r="M1446" s="460"/>
      <c r="N1446" s="459"/>
      <c r="O1446" s="261"/>
      <c r="P1446" s="565"/>
      <c r="Q1446" s="565"/>
      <c r="R1446" s="467"/>
    </row>
    <row r="1447" spans="1:18" s="438" customFormat="1" outlineLevel="1">
      <c r="A1447" s="569"/>
      <c r="B1447" s="587"/>
      <c r="C1447" s="589"/>
      <c r="D1447" s="565"/>
      <c r="E1447" s="596"/>
      <c r="F1447" s="565"/>
      <c r="G1447" s="592"/>
      <c r="H1447" s="565"/>
      <c r="I1447" s="565"/>
      <c r="J1447" s="565"/>
      <c r="K1447" s="466"/>
      <c r="L1447" s="459"/>
      <c r="M1447" s="460"/>
      <c r="N1447" s="459"/>
      <c r="O1447" s="261"/>
      <c r="P1447" s="565"/>
      <c r="Q1447" s="565"/>
      <c r="R1447" s="467"/>
    </row>
    <row r="1448" spans="1:18" s="438" customFormat="1" outlineLevel="1">
      <c r="A1448" s="569"/>
      <c r="B1448" s="587"/>
      <c r="C1448" s="589"/>
      <c r="D1448" s="565"/>
      <c r="E1448" s="596"/>
      <c r="F1448" s="565"/>
      <c r="G1448" s="592"/>
      <c r="H1448" s="565"/>
      <c r="I1448" s="565"/>
      <c r="J1448" s="565"/>
      <c r="K1448" s="466"/>
      <c r="L1448" s="459"/>
      <c r="M1448" s="460"/>
      <c r="N1448" s="459"/>
      <c r="O1448" s="261"/>
      <c r="P1448" s="565"/>
      <c r="Q1448" s="565"/>
      <c r="R1448" s="467"/>
    </row>
    <row r="1449" spans="1:18" s="438" customFormat="1" outlineLevel="1">
      <c r="A1449" s="569"/>
      <c r="B1449" s="587"/>
      <c r="C1449" s="589"/>
      <c r="D1449" s="565"/>
      <c r="E1449" s="596"/>
      <c r="F1449" s="565"/>
      <c r="G1449" s="592"/>
      <c r="H1449" s="565"/>
      <c r="I1449" s="565"/>
      <c r="J1449" s="565"/>
      <c r="K1449" s="466"/>
      <c r="L1449" s="459"/>
      <c r="M1449" s="460"/>
      <c r="N1449" s="459"/>
      <c r="O1449" s="261"/>
      <c r="P1449" s="565"/>
      <c r="Q1449" s="565"/>
      <c r="R1449" s="467"/>
    </row>
    <row r="1450" spans="1:18" s="438" customFormat="1" outlineLevel="1">
      <c r="A1450" s="569"/>
      <c r="B1450" s="587"/>
      <c r="C1450" s="589"/>
      <c r="D1450" s="565"/>
      <c r="E1450" s="596"/>
      <c r="F1450" s="565"/>
      <c r="G1450" s="592"/>
      <c r="H1450" s="565"/>
      <c r="I1450" s="565"/>
      <c r="J1450" s="565"/>
      <c r="K1450" s="466"/>
      <c r="L1450" s="459"/>
      <c r="M1450" s="460"/>
      <c r="N1450" s="459"/>
      <c r="O1450" s="261"/>
      <c r="P1450" s="565"/>
      <c r="Q1450" s="565"/>
      <c r="R1450" s="467"/>
    </row>
    <row r="1451" spans="1:18" s="438" customFormat="1" outlineLevel="1">
      <c r="A1451" s="569"/>
      <c r="B1451" s="587"/>
      <c r="C1451" s="589"/>
      <c r="D1451" s="565"/>
      <c r="E1451" s="596"/>
      <c r="F1451" s="565"/>
      <c r="G1451" s="592"/>
      <c r="H1451" s="565"/>
      <c r="I1451" s="565"/>
      <c r="J1451" s="565"/>
      <c r="K1451" s="466"/>
      <c r="L1451" s="459"/>
      <c r="M1451" s="460"/>
      <c r="N1451" s="459"/>
      <c r="O1451" s="261"/>
      <c r="P1451" s="565"/>
      <c r="Q1451" s="565"/>
      <c r="R1451" s="467"/>
    </row>
    <row r="1452" spans="1:18" s="438" customFormat="1" outlineLevel="1">
      <c r="A1452" s="569"/>
      <c r="B1452" s="587"/>
      <c r="C1452" s="589"/>
      <c r="D1452" s="565"/>
      <c r="E1452" s="596"/>
      <c r="F1452" s="565"/>
      <c r="G1452" s="592"/>
      <c r="H1452" s="565"/>
      <c r="I1452" s="565"/>
      <c r="J1452" s="565"/>
      <c r="K1452" s="466"/>
      <c r="L1452" s="459"/>
      <c r="M1452" s="460"/>
      <c r="N1452" s="459"/>
      <c r="O1452" s="261"/>
      <c r="P1452" s="565"/>
      <c r="Q1452" s="565"/>
      <c r="R1452" s="467"/>
    </row>
    <row r="1453" spans="1:18" s="438" customFormat="1" outlineLevel="1">
      <c r="A1453" s="569"/>
      <c r="B1453" s="587"/>
      <c r="C1453" s="589"/>
      <c r="D1453" s="565"/>
      <c r="E1453" s="596"/>
      <c r="F1453" s="565"/>
      <c r="G1453" s="592"/>
      <c r="H1453" s="565"/>
      <c r="I1453" s="565"/>
      <c r="J1453" s="565"/>
      <c r="K1453" s="466"/>
      <c r="L1453" s="459"/>
      <c r="M1453" s="460"/>
      <c r="N1453" s="459"/>
      <c r="O1453" s="261"/>
      <c r="P1453" s="565"/>
      <c r="Q1453" s="565"/>
      <c r="R1453" s="467"/>
    </row>
    <row r="1454" spans="1:18" s="438" customFormat="1" outlineLevel="1">
      <c r="A1454" s="569"/>
      <c r="B1454" s="587"/>
      <c r="C1454" s="589"/>
      <c r="D1454" s="565"/>
      <c r="E1454" s="596"/>
      <c r="F1454" s="565"/>
      <c r="G1454" s="592"/>
      <c r="H1454" s="565"/>
      <c r="I1454" s="565"/>
      <c r="J1454" s="565"/>
      <c r="K1454" s="466"/>
      <c r="L1454" s="459"/>
      <c r="M1454" s="460"/>
      <c r="N1454" s="459"/>
      <c r="O1454" s="261"/>
      <c r="P1454" s="565"/>
      <c r="Q1454" s="565"/>
      <c r="R1454" s="467"/>
    </row>
    <row r="1455" spans="1:18" s="438" customFormat="1" outlineLevel="1">
      <c r="A1455" s="569"/>
      <c r="B1455" s="587"/>
      <c r="C1455" s="589"/>
      <c r="D1455" s="565"/>
      <c r="E1455" s="596"/>
      <c r="F1455" s="565"/>
      <c r="G1455" s="592"/>
      <c r="H1455" s="565"/>
      <c r="I1455" s="565"/>
      <c r="J1455" s="565"/>
      <c r="K1455" s="466"/>
      <c r="L1455" s="459"/>
      <c r="M1455" s="460"/>
      <c r="N1455" s="459"/>
      <c r="O1455" s="261"/>
      <c r="P1455" s="565"/>
      <c r="Q1455" s="565"/>
      <c r="R1455" s="467"/>
    </row>
    <row r="1456" spans="1:18" s="438" customFormat="1" outlineLevel="1">
      <c r="A1456" s="569"/>
      <c r="B1456" s="587"/>
      <c r="C1456" s="589"/>
      <c r="D1456" s="565"/>
      <c r="E1456" s="596"/>
      <c r="F1456" s="565"/>
      <c r="G1456" s="592"/>
      <c r="H1456" s="565"/>
      <c r="I1456" s="565"/>
      <c r="J1456" s="565"/>
      <c r="K1456" s="466"/>
      <c r="L1456" s="459"/>
      <c r="M1456" s="460"/>
      <c r="N1456" s="459"/>
      <c r="O1456" s="261"/>
      <c r="P1456" s="565"/>
      <c r="Q1456" s="565"/>
      <c r="R1456" s="467"/>
    </row>
    <row r="1457" spans="1:18" s="438" customFormat="1" outlineLevel="1">
      <c r="A1457" s="569"/>
      <c r="B1457" s="587"/>
      <c r="C1457" s="589"/>
      <c r="D1457" s="565"/>
      <c r="E1457" s="596"/>
      <c r="F1457" s="565"/>
      <c r="G1457" s="592"/>
      <c r="H1457" s="565"/>
      <c r="I1457" s="565"/>
      <c r="J1457" s="565"/>
      <c r="K1457" s="466"/>
      <c r="L1457" s="459"/>
      <c r="M1457" s="460"/>
      <c r="N1457" s="459"/>
      <c r="O1457" s="261"/>
      <c r="P1457" s="565"/>
      <c r="Q1457" s="565"/>
      <c r="R1457" s="467"/>
    </row>
    <row r="1458" spans="1:18" s="438" customFormat="1" outlineLevel="1">
      <c r="A1458" s="569"/>
      <c r="B1458" s="587"/>
      <c r="C1458" s="589"/>
      <c r="D1458" s="565"/>
      <c r="E1458" s="596"/>
      <c r="F1458" s="565"/>
      <c r="G1458" s="592"/>
      <c r="H1458" s="565"/>
      <c r="I1458" s="565"/>
      <c r="J1458" s="565"/>
      <c r="K1458" s="466"/>
      <c r="L1458" s="459"/>
      <c r="M1458" s="460"/>
      <c r="N1458" s="459"/>
      <c r="O1458" s="261"/>
      <c r="P1458" s="565"/>
      <c r="Q1458" s="565"/>
      <c r="R1458" s="467"/>
    </row>
    <row r="1459" spans="1:18" s="438" customFormat="1" outlineLevel="1">
      <c r="A1459" s="569"/>
      <c r="B1459" s="587"/>
      <c r="C1459" s="589"/>
      <c r="D1459" s="565"/>
      <c r="E1459" s="596"/>
      <c r="F1459" s="565"/>
      <c r="G1459" s="592"/>
      <c r="H1459" s="565"/>
      <c r="I1459" s="565"/>
      <c r="J1459" s="565"/>
      <c r="K1459" s="466"/>
      <c r="L1459" s="459"/>
      <c r="M1459" s="460"/>
      <c r="N1459" s="459"/>
      <c r="O1459" s="261"/>
      <c r="P1459" s="565"/>
      <c r="Q1459" s="565"/>
      <c r="R1459" s="467"/>
    </row>
    <row r="1460" spans="1:18" s="438" customFormat="1" outlineLevel="1">
      <c r="A1460" s="570"/>
      <c r="B1460" s="588"/>
      <c r="C1460" s="590"/>
      <c r="D1460" s="566"/>
      <c r="E1460" s="596"/>
      <c r="F1460" s="566"/>
      <c r="G1460" s="593"/>
      <c r="H1460" s="566"/>
      <c r="I1460" s="566"/>
      <c r="J1460" s="566"/>
      <c r="K1460" s="466"/>
      <c r="L1460" s="459"/>
      <c r="M1460" s="460"/>
      <c r="N1460" s="459"/>
      <c r="O1460" s="261"/>
      <c r="P1460" s="566"/>
      <c r="Q1460" s="566"/>
      <c r="R1460" s="467"/>
    </row>
    <row r="1461" spans="1:18" s="438" customFormat="1" outlineLevel="1">
      <c r="A1461" s="568"/>
      <c r="B1461" s="587"/>
      <c r="C1461" s="595"/>
      <c r="D1461" s="565"/>
      <c r="E1461" s="596"/>
      <c r="F1461" s="565"/>
      <c r="G1461" s="597"/>
      <c r="H1461" s="594"/>
      <c r="I1461" s="594"/>
      <c r="J1461" s="594"/>
      <c r="K1461" s="458"/>
      <c r="L1461" s="459"/>
      <c r="M1461" s="460"/>
      <c r="N1461" s="459"/>
      <c r="O1461" s="261"/>
      <c r="P1461" s="594"/>
      <c r="Q1461" s="594"/>
      <c r="R1461" s="467"/>
    </row>
    <row r="1462" spans="1:18" s="438" customFormat="1" outlineLevel="1">
      <c r="A1462" s="569"/>
      <c r="B1462" s="587"/>
      <c r="C1462" s="589"/>
      <c r="D1462" s="565"/>
      <c r="E1462" s="596"/>
      <c r="F1462" s="565"/>
      <c r="G1462" s="592"/>
      <c r="H1462" s="565"/>
      <c r="I1462" s="565"/>
      <c r="J1462" s="565"/>
      <c r="K1462" s="466"/>
      <c r="L1462" s="459"/>
      <c r="M1462" s="460"/>
      <c r="N1462" s="459"/>
      <c r="O1462" s="261"/>
      <c r="P1462" s="565"/>
      <c r="Q1462" s="565"/>
      <c r="R1462" s="467"/>
    </row>
    <row r="1463" spans="1:18" s="438" customFormat="1" outlineLevel="1">
      <c r="A1463" s="569"/>
      <c r="B1463" s="587"/>
      <c r="C1463" s="589"/>
      <c r="D1463" s="565"/>
      <c r="E1463" s="596"/>
      <c r="F1463" s="565"/>
      <c r="G1463" s="592"/>
      <c r="H1463" s="565"/>
      <c r="I1463" s="565"/>
      <c r="J1463" s="565"/>
      <c r="K1463" s="466"/>
      <c r="L1463" s="459"/>
      <c r="M1463" s="460"/>
      <c r="N1463" s="459"/>
      <c r="O1463" s="261"/>
      <c r="P1463" s="565"/>
      <c r="Q1463" s="565"/>
      <c r="R1463" s="467"/>
    </row>
    <row r="1464" spans="1:18" s="438" customFormat="1" outlineLevel="1">
      <c r="A1464" s="569"/>
      <c r="B1464" s="587"/>
      <c r="C1464" s="589"/>
      <c r="D1464" s="565"/>
      <c r="E1464" s="596"/>
      <c r="F1464" s="565"/>
      <c r="G1464" s="592"/>
      <c r="H1464" s="565"/>
      <c r="I1464" s="565"/>
      <c r="J1464" s="565"/>
      <c r="K1464" s="466"/>
      <c r="L1464" s="459"/>
      <c r="M1464" s="460"/>
      <c r="N1464" s="459"/>
      <c r="O1464" s="261"/>
      <c r="P1464" s="565"/>
      <c r="Q1464" s="565"/>
      <c r="R1464" s="467"/>
    </row>
    <row r="1465" spans="1:18" s="438" customFormat="1" outlineLevel="1">
      <c r="A1465" s="569"/>
      <c r="B1465" s="587"/>
      <c r="C1465" s="589"/>
      <c r="D1465" s="565"/>
      <c r="E1465" s="596"/>
      <c r="F1465" s="565"/>
      <c r="G1465" s="592"/>
      <c r="H1465" s="565"/>
      <c r="I1465" s="565"/>
      <c r="J1465" s="565"/>
      <c r="K1465" s="466"/>
      <c r="L1465" s="459"/>
      <c r="M1465" s="460"/>
      <c r="N1465" s="459"/>
      <c r="O1465" s="261"/>
      <c r="P1465" s="565"/>
      <c r="Q1465" s="565"/>
      <c r="R1465" s="467"/>
    </row>
    <row r="1466" spans="1:18" s="438" customFormat="1" outlineLevel="1">
      <c r="A1466" s="569"/>
      <c r="B1466" s="587"/>
      <c r="C1466" s="589"/>
      <c r="D1466" s="565"/>
      <c r="E1466" s="596"/>
      <c r="F1466" s="565"/>
      <c r="G1466" s="592"/>
      <c r="H1466" s="565"/>
      <c r="I1466" s="565"/>
      <c r="J1466" s="565"/>
      <c r="K1466" s="466"/>
      <c r="L1466" s="459"/>
      <c r="M1466" s="460"/>
      <c r="N1466" s="459"/>
      <c r="O1466" s="261"/>
      <c r="P1466" s="565"/>
      <c r="Q1466" s="565"/>
      <c r="R1466" s="467"/>
    </row>
    <row r="1467" spans="1:18" s="438" customFormat="1" outlineLevel="1">
      <c r="A1467" s="569"/>
      <c r="B1467" s="587"/>
      <c r="C1467" s="589"/>
      <c r="D1467" s="565"/>
      <c r="E1467" s="596"/>
      <c r="F1467" s="565"/>
      <c r="G1467" s="592"/>
      <c r="H1467" s="565"/>
      <c r="I1467" s="565"/>
      <c r="J1467" s="565"/>
      <c r="K1467" s="466"/>
      <c r="L1467" s="459"/>
      <c r="M1467" s="460"/>
      <c r="N1467" s="459"/>
      <c r="O1467" s="261"/>
      <c r="P1467" s="565"/>
      <c r="Q1467" s="565"/>
      <c r="R1467" s="467"/>
    </row>
    <row r="1468" spans="1:18" s="438" customFormat="1" outlineLevel="1">
      <c r="A1468" s="569"/>
      <c r="B1468" s="587"/>
      <c r="C1468" s="589"/>
      <c r="D1468" s="565"/>
      <c r="E1468" s="596"/>
      <c r="F1468" s="565"/>
      <c r="G1468" s="592"/>
      <c r="H1468" s="565"/>
      <c r="I1468" s="565"/>
      <c r="J1468" s="565"/>
      <c r="K1468" s="466"/>
      <c r="L1468" s="459"/>
      <c r="M1468" s="460"/>
      <c r="N1468" s="459"/>
      <c r="O1468" s="261"/>
      <c r="P1468" s="565"/>
      <c r="Q1468" s="565"/>
      <c r="R1468" s="467"/>
    </row>
    <row r="1469" spans="1:18" s="438" customFormat="1" outlineLevel="1">
      <c r="A1469" s="569"/>
      <c r="B1469" s="587"/>
      <c r="C1469" s="589"/>
      <c r="D1469" s="565"/>
      <c r="E1469" s="596"/>
      <c r="F1469" s="565"/>
      <c r="G1469" s="592"/>
      <c r="H1469" s="565"/>
      <c r="I1469" s="565"/>
      <c r="J1469" s="565"/>
      <c r="K1469" s="466"/>
      <c r="L1469" s="459"/>
      <c r="M1469" s="460"/>
      <c r="N1469" s="459"/>
      <c r="O1469" s="261"/>
      <c r="P1469" s="565"/>
      <c r="Q1469" s="565"/>
      <c r="R1469" s="467"/>
    </row>
    <row r="1470" spans="1:18" s="438" customFormat="1" outlineLevel="1">
      <c r="A1470" s="569"/>
      <c r="B1470" s="587"/>
      <c r="C1470" s="589"/>
      <c r="D1470" s="565"/>
      <c r="E1470" s="596"/>
      <c r="F1470" s="565"/>
      <c r="G1470" s="592"/>
      <c r="H1470" s="565"/>
      <c r="I1470" s="565"/>
      <c r="J1470" s="565"/>
      <c r="K1470" s="466"/>
      <c r="L1470" s="459"/>
      <c r="M1470" s="460"/>
      <c r="N1470" s="459"/>
      <c r="O1470" s="261"/>
      <c r="P1470" s="565"/>
      <c r="Q1470" s="565"/>
      <c r="R1470" s="467"/>
    </row>
    <row r="1471" spans="1:18" s="438" customFormat="1" outlineLevel="1">
      <c r="A1471" s="569"/>
      <c r="B1471" s="587"/>
      <c r="C1471" s="589"/>
      <c r="D1471" s="565"/>
      <c r="E1471" s="596"/>
      <c r="F1471" s="565"/>
      <c r="G1471" s="592"/>
      <c r="H1471" s="565"/>
      <c r="I1471" s="565"/>
      <c r="J1471" s="565"/>
      <c r="K1471" s="466"/>
      <c r="L1471" s="459"/>
      <c r="M1471" s="460"/>
      <c r="N1471" s="459"/>
      <c r="O1471" s="261"/>
      <c r="P1471" s="565"/>
      <c r="Q1471" s="565"/>
      <c r="R1471" s="467"/>
    </row>
    <row r="1472" spans="1:18" s="438" customFormat="1" outlineLevel="1">
      <c r="A1472" s="569"/>
      <c r="B1472" s="587"/>
      <c r="C1472" s="589"/>
      <c r="D1472" s="565"/>
      <c r="E1472" s="596"/>
      <c r="F1472" s="565"/>
      <c r="G1472" s="592"/>
      <c r="H1472" s="565"/>
      <c r="I1472" s="565"/>
      <c r="J1472" s="565"/>
      <c r="K1472" s="466"/>
      <c r="L1472" s="459"/>
      <c r="M1472" s="460"/>
      <c r="N1472" s="459"/>
      <c r="O1472" s="261"/>
      <c r="P1472" s="565"/>
      <c r="Q1472" s="565"/>
      <c r="R1472" s="467"/>
    </row>
    <row r="1473" spans="1:18" s="438" customFormat="1" outlineLevel="1">
      <c r="A1473" s="569"/>
      <c r="B1473" s="587"/>
      <c r="C1473" s="589"/>
      <c r="D1473" s="565"/>
      <c r="E1473" s="596"/>
      <c r="F1473" s="565"/>
      <c r="G1473" s="592"/>
      <c r="H1473" s="565"/>
      <c r="I1473" s="565"/>
      <c r="J1473" s="565"/>
      <c r="K1473" s="466"/>
      <c r="L1473" s="459"/>
      <c r="M1473" s="460"/>
      <c r="N1473" s="459"/>
      <c r="O1473" s="261"/>
      <c r="P1473" s="565"/>
      <c r="Q1473" s="565"/>
      <c r="R1473" s="467"/>
    </row>
    <row r="1474" spans="1:18" s="438" customFormat="1" outlineLevel="1">
      <c r="A1474" s="569"/>
      <c r="B1474" s="587"/>
      <c r="C1474" s="589"/>
      <c r="D1474" s="565"/>
      <c r="E1474" s="596"/>
      <c r="F1474" s="565"/>
      <c r="G1474" s="592"/>
      <c r="H1474" s="565"/>
      <c r="I1474" s="565"/>
      <c r="J1474" s="565"/>
      <c r="K1474" s="466"/>
      <c r="L1474" s="459"/>
      <c r="M1474" s="460"/>
      <c r="N1474" s="459"/>
      <c r="O1474" s="261"/>
      <c r="P1474" s="565"/>
      <c r="Q1474" s="565"/>
      <c r="R1474" s="467"/>
    </row>
    <row r="1475" spans="1:18" s="438" customFormat="1" outlineLevel="1">
      <c r="A1475" s="569"/>
      <c r="B1475" s="587"/>
      <c r="C1475" s="589"/>
      <c r="D1475" s="565"/>
      <c r="E1475" s="596"/>
      <c r="F1475" s="565"/>
      <c r="G1475" s="592"/>
      <c r="H1475" s="565"/>
      <c r="I1475" s="565"/>
      <c r="J1475" s="565"/>
      <c r="K1475" s="466"/>
      <c r="L1475" s="459"/>
      <c r="M1475" s="460"/>
      <c r="N1475" s="459"/>
      <c r="O1475" s="261"/>
      <c r="P1475" s="565"/>
      <c r="Q1475" s="565"/>
      <c r="R1475" s="467"/>
    </row>
    <row r="1476" spans="1:18" s="438" customFormat="1" outlineLevel="1">
      <c r="A1476" s="570"/>
      <c r="B1476" s="588"/>
      <c r="C1476" s="590"/>
      <c r="D1476" s="566"/>
      <c r="E1476" s="596"/>
      <c r="F1476" s="566"/>
      <c r="G1476" s="593"/>
      <c r="H1476" s="566"/>
      <c r="I1476" s="566"/>
      <c r="J1476" s="566"/>
      <c r="K1476" s="466"/>
      <c r="L1476" s="459"/>
      <c r="M1476" s="460"/>
      <c r="N1476" s="459"/>
      <c r="O1476" s="261"/>
      <c r="P1476" s="566"/>
      <c r="Q1476" s="566"/>
      <c r="R1476" s="467"/>
    </row>
    <row r="1477" spans="1:18" s="438" customFormat="1" outlineLevel="1">
      <c r="A1477" s="568"/>
      <c r="B1477" s="587"/>
      <c r="C1477" s="595"/>
      <c r="D1477" s="565"/>
      <c r="E1477" s="596"/>
      <c r="F1477" s="565"/>
      <c r="G1477" s="597"/>
      <c r="H1477" s="594"/>
      <c r="I1477" s="594"/>
      <c r="J1477" s="594"/>
      <c r="K1477" s="458"/>
      <c r="L1477" s="459"/>
      <c r="M1477" s="460"/>
      <c r="N1477" s="459"/>
      <c r="O1477" s="261"/>
      <c r="P1477" s="594"/>
      <c r="Q1477" s="594"/>
      <c r="R1477" s="467"/>
    </row>
    <row r="1478" spans="1:18" s="438" customFormat="1" outlineLevel="1">
      <c r="A1478" s="569"/>
      <c r="B1478" s="587"/>
      <c r="C1478" s="589"/>
      <c r="D1478" s="565"/>
      <c r="E1478" s="596"/>
      <c r="F1478" s="565"/>
      <c r="G1478" s="592"/>
      <c r="H1478" s="565"/>
      <c r="I1478" s="565"/>
      <c r="J1478" s="565"/>
      <c r="K1478" s="466"/>
      <c r="L1478" s="459"/>
      <c r="M1478" s="460"/>
      <c r="N1478" s="459"/>
      <c r="O1478" s="261"/>
      <c r="P1478" s="565"/>
      <c r="Q1478" s="565"/>
      <c r="R1478" s="467"/>
    </row>
    <row r="1479" spans="1:18" s="438" customFormat="1" outlineLevel="1">
      <c r="A1479" s="569"/>
      <c r="B1479" s="587"/>
      <c r="C1479" s="589"/>
      <c r="D1479" s="565"/>
      <c r="E1479" s="596"/>
      <c r="F1479" s="565"/>
      <c r="G1479" s="592"/>
      <c r="H1479" s="565"/>
      <c r="I1479" s="565"/>
      <c r="J1479" s="565"/>
      <c r="K1479" s="466"/>
      <c r="L1479" s="459"/>
      <c r="M1479" s="460"/>
      <c r="N1479" s="459"/>
      <c r="O1479" s="261"/>
      <c r="P1479" s="565"/>
      <c r="Q1479" s="565"/>
      <c r="R1479" s="467"/>
    </row>
    <row r="1480" spans="1:18" s="438" customFormat="1" outlineLevel="1">
      <c r="A1480" s="569"/>
      <c r="B1480" s="587"/>
      <c r="C1480" s="589"/>
      <c r="D1480" s="565"/>
      <c r="E1480" s="596"/>
      <c r="F1480" s="565"/>
      <c r="G1480" s="592"/>
      <c r="H1480" s="565"/>
      <c r="I1480" s="565"/>
      <c r="J1480" s="565"/>
      <c r="K1480" s="466"/>
      <c r="L1480" s="459"/>
      <c r="M1480" s="460"/>
      <c r="N1480" s="459"/>
      <c r="O1480" s="261"/>
      <c r="P1480" s="565"/>
      <c r="Q1480" s="565"/>
      <c r="R1480" s="467"/>
    </row>
    <row r="1481" spans="1:18" s="438" customFormat="1" outlineLevel="1">
      <c r="A1481" s="569"/>
      <c r="B1481" s="587"/>
      <c r="C1481" s="589"/>
      <c r="D1481" s="565"/>
      <c r="E1481" s="596"/>
      <c r="F1481" s="565"/>
      <c r="G1481" s="592"/>
      <c r="H1481" s="565"/>
      <c r="I1481" s="565"/>
      <c r="J1481" s="565"/>
      <c r="K1481" s="466"/>
      <c r="L1481" s="459"/>
      <c r="M1481" s="460"/>
      <c r="N1481" s="459"/>
      <c r="O1481" s="261"/>
      <c r="P1481" s="565"/>
      <c r="Q1481" s="565"/>
      <c r="R1481" s="467"/>
    </row>
    <row r="1482" spans="1:18" s="438" customFormat="1" outlineLevel="1">
      <c r="A1482" s="569"/>
      <c r="B1482" s="587"/>
      <c r="C1482" s="589"/>
      <c r="D1482" s="565"/>
      <c r="E1482" s="596"/>
      <c r="F1482" s="565"/>
      <c r="G1482" s="592"/>
      <c r="H1482" s="565"/>
      <c r="I1482" s="565"/>
      <c r="J1482" s="565"/>
      <c r="K1482" s="466"/>
      <c r="L1482" s="459"/>
      <c r="M1482" s="460"/>
      <c r="N1482" s="459"/>
      <c r="O1482" s="261"/>
      <c r="P1482" s="565"/>
      <c r="Q1482" s="565"/>
      <c r="R1482" s="467"/>
    </row>
    <row r="1483" spans="1:18" s="438" customFormat="1" outlineLevel="1">
      <c r="A1483" s="569"/>
      <c r="B1483" s="587"/>
      <c r="C1483" s="589"/>
      <c r="D1483" s="565"/>
      <c r="E1483" s="596"/>
      <c r="F1483" s="565"/>
      <c r="G1483" s="592"/>
      <c r="H1483" s="565"/>
      <c r="I1483" s="565"/>
      <c r="J1483" s="565"/>
      <c r="K1483" s="466"/>
      <c r="L1483" s="459"/>
      <c r="M1483" s="460"/>
      <c r="N1483" s="459"/>
      <c r="O1483" s="261"/>
      <c r="P1483" s="565"/>
      <c r="Q1483" s="565"/>
      <c r="R1483" s="467"/>
    </row>
    <row r="1484" spans="1:18" s="438" customFormat="1" outlineLevel="1">
      <c r="A1484" s="569"/>
      <c r="B1484" s="587"/>
      <c r="C1484" s="589"/>
      <c r="D1484" s="565"/>
      <c r="E1484" s="596"/>
      <c r="F1484" s="565"/>
      <c r="G1484" s="592"/>
      <c r="H1484" s="565"/>
      <c r="I1484" s="565"/>
      <c r="J1484" s="565"/>
      <c r="K1484" s="466"/>
      <c r="L1484" s="459"/>
      <c r="M1484" s="460"/>
      <c r="N1484" s="459"/>
      <c r="O1484" s="261"/>
      <c r="P1484" s="565"/>
      <c r="Q1484" s="565"/>
      <c r="R1484" s="467"/>
    </row>
    <row r="1485" spans="1:18" s="438" customFormat="1" outlineLevel="1">
      <c r="A1485" s="569"/>
      <c r="B1485" s="587"/>
      <c r="C1485" s="589"/>
      <c r="D1485" s="565"/>
      <c r="E1485" s="596"/>
      <c r="F1485" s="565"/>
      <c r="G1485" s="592"/>
      <c r="H1485" s="565"/>
      <c r="I1485" s="565"/>
      <c r="J1485" s="565"/>
      <c r="K1485" s="466"/>
      <c r="L1485" s="459"/>
      <c r="M1485" s="460"/>
      <c r="N1485" s="459"/>
      <c r="O1485" s="261"/>
      <c r="P1485" s="565"/>
      <c r="Q1485" s="565"/>
      <c r="R1485" s="467"/>
    </row>
    <row r="1486" spans="1:18" s="438" customFormat="1" outlineLevel="1">
      <c r="A1486" s="569"/>
      <c r="B1486" s="587"/>
      <c r="C1486" s="589"/>
      <c r="D1486" s="565"/>
      <c r="E1486" s="596"/>
      <c r="F1486" s="565"/>
      <c r="G1486" s="592"/>
      <c r="H1486" s="565"/>
      <c r="I1486" s="565"/>
      <c r="J1486" s="565"/>
      <c r="K1486" s="466"/>
      <c r="L1486" s="459"/>
      <c r="M1486" s="460"/>
      <c r="N1486" s="459"/>
      <c r="O1486" s="261"/>
      <c r="P1486" s="565"/>
      <c r="Q1486" s="565"/>
      <c r="R1486" s="467"/>
    </row>
    <row r="1487" spans="1:18" s="438" customFormat="1" outlineLevel="1">
      <c r="A1487" s="569"/>
      <c r="B1487" s="587"/>
      <c r="C1487" s="589"/>
      <c r="D1487" s="565"/>
      <c r="E1487" s="596"/>
      <c r="F1487" s="565"/>
      <c r="G1487" s="592"/>
      <c r="H1487" s="565"/>
      <c r="I1487" s="565"/>
      <c r="J1487" s="565"/>
      <c r="K1487" s="466"/>
      <c r="L1487" s="459"/>
      <c r="M1487" s="460"/>
      <c r="N1487" s="459"/>
      <c r="O1487" s="261"/>
      <c r="P1487" s="565"/>
      <c r="Q1487" s="565"/>
      <c r="R1487" s="467"/>
    </row>
    <row r="1488" spans="1:18" s="438" customFormat="1" outlineLevel="1">
      <c r="A1488" s="569"/>
      <c r="B1488" s="587"/>
      <c r="C1488" s="589"/>
      <c r="D1488" s="565"/>
      <c r="E1488" s="596"/>
      <c r="F1488" s="565"/>
      <c r="G1488" s="592"/>
      <c r="H1488" s="565"/>
      <c r="I1488" s="565"/>
      <c r="J1488" s="565"/>
      <c r="K1488" s="466"/>
      <c r="L1488" s="459"/>
      <c r="M1488" s="460"/>
      <c r="N1488" s="459"/>
      <c r="O1488" s="261"/>
      <c r="P1488" s="565"/>
      <c r="Q1488" s="565"/>
      <c r="R1488" s="467"/>
    </row>
    <row r="1489" spans="1:18" s="438" customFormat="1" outlineLevel="1">
      <c r="A1489" s="569"/>
      <c r="B1489" s="587"/>
      <c r="C1489" s="589"/>
      <c r="D1489" s="565"/>
      <c r="E1489" s="596"/>
      <c r="F1489" s="565"/>
      <c r="G1489" s="592"/>
      <c r="H1489" s="565"/>
      <c r="I1489" s="565"/>
      <c r="J1489" s="565"/>
      <c r="K1489" s="466"/>
      <c r="L1489" s="459"/>
      <c r="M1489" s="460"/>
      <c r="N1489" s="459"/>
      <c r="O1489" s="261"/>
      <c r="P1489" s="565"/>
      <c r="Q1489" s="565"/>
      <c r="R1489" s="467"/>
    </row>
    <row r="1490" spans="1:18" s="438" customFormat="1" outlineLevel="1">
      <c r="A1490" s="569"/>
      <c r="B1490" s="587"/>
      <c r="C1490" s="589"/>
      <c r="D1490" s="565"/>
      <c r="E1490" s="596"/>
      <c r="F1490" s="565"/>
      <c r="G1490" s="592"/>
      <c r="H1490" s="565"/>
      <c r="I1490" s="565"/>
      <c r="J1490" s="565"/>
      <c r="K1490" s="466"/>
      <c r="L1490" s="459"/>
      <c r="M1490" s="460"/>
      <c r="N1490" s="459"/>
      <c r="O1490" s="261"/>
      <c r="P1490" s="565"/>
      <c r="Q1490" s="565"/>
      <c r="R1490" s="467"/>
    </row>
    <row r="1491" spans="1:18" s="438" customFormat="1" outlineLevel="1">
      <c r="A1491" s="569"/>
      <c r="B1491" s="587"/>
      <c r="C1491" s="589"/>
      <c r="D1491" s="565"/>
      <c r="E1491" s="596"/>
      <c r="F1491" s="565"/>
      <c r="G1491" s="592"/>
      <c r="H1491" s="565"/>
      <c r="I1491" s="565"/>
      <c r="J1491" s="565"/>
      <c r="K1491" s="466"/>
      <c r="L1491" s="459"/>
      <c r="M1491" s="460"/>
      <c r="N1491" s="459"/>
      <c r="O1491" s="261"/>
      <c r="P1491" s="565"/>
      <c r="Q1491" s="565"/>
      <c r="R1491" s="467"/>
    </row>
    <row r="1492" spans="1:18" s="438" customFormat="1" outlineLevel="1">
      <c r="A1492" s="570"/>
      <c r="B1492" s="588"/>
      <c r="C1492" s="590"/>
      <c r="D1492" s="566"/>
      <c r="E1492" s="596"/>
      <c r="F1492" s="566"/>
      <c r="G1492" s="593"/>
      <c r="H1492" s="566"/>
      <c r="I1492" s="566"/>
      <c r="J1492" s="566"/>
      <c r="K1492" s="466"/>
      <c r="L1492" s="459"/>
      <c r="M1492" s="460"/>
      <c r="N1492" s="459"/>
      <c r="O1492" s="261"/>
      <c r="P1492" s="566"/>
      <c r="Q1492" s="566"/>
      <c r="R1492" s="467"/>
    </row>
    <row r="1493" spans="1:18" s="438" customFormat="1" outlineLevel="1">
      <c r="A1493" s="568"/>
      <c r="B1493" s="587"/>
      <c r="C1493" s="595"/>
      <c r="D1493" s="565"/>
      <c r="E1493" s="596"/>
      <c r="F1493" s="565"/>
      <c r="G1493" s="597"/>
      <c r="H1493" s="594"/>
      <c r="I1493" s="594"/>
      <c r="J1493" s="594"/>
      <c r="K1493" s="458"/>
      <c r="L1493" s="459"/>
      <c r="M1493" s="460"/>
      <c r="N1493" s="459"/>
      <c r="O1493" s="261"/>
      <c r="P1493" s="594"/>
      <c r="Q1493" s="594"/>
      <c r="R1493" s="467"/>
    </row>
    <row r="1494" spans="1:18" s="438" customFormat="1" outlineLevel="1">
      <c r="A1494" s="569"/>
      <c r="B1494" s="587"/>
      <c r="C1494" s="589"/>
      <c r="D1494" s="565"/>
      <c r="E1494" s="596"/>
      <c r="F1494" s="565"/>
      <c r="G1494" s="592"/>
      <c r="H1494" s="565"/>
      <c r="I1494" s="565"/>
      <c r="J1494" s="565"/>
      <c r="K1494" s="466"/>
      <c r="L1494" s="459"/>
      <c r="M1494" s="460"/>
      <c r="N1494" s="459"/>
      <c r="O1494" s="261"/>
      <c r="P1494" s="565"/>
      <c r="Q1494" s="565"/>
      <c r="R1494" s="467"/>
    </row>
    <row r="1495" spans="1:18" s="438" customFormat="1" outlineLevel="1">
      <c r="A1495" s="569"/>
      <c r="B1495" s="587"/>
      <c r="C1495" s="589"/>
      <c r="D1495" s="565"/>
      <c r="E1495" s="596"/>
      <c r="F1495" s="565"/>
      <c r="G1495" s="592"/>
      <c r="H1495" s="565"/>
      <c r="I1495" s="565"/>
      <c r="J1495" s="565"/>
      <c r="K1495" s="466"/>
      <c r="L1495" s="459"/>
      <c r="M1495" s="460"/>
      <c r="N1495" s="459"/>
      <c r="O1495" s="261"/>
      <c r="P1495" s="565"/>
      <c r="Q1495" s="565"/>
      <c r="R1495" s="467"/>
    </row>
    <row r="1496" spans="1:18" s="438" customFormat="1" outlineLevel="1">
      <c r="A1496" s="569"/>
      <c r="B1496" s="587"/>
      <c r="C1496" s="589"/>
      <c r="D1496" s="565"/>
      <c r="E1496" s="596"/>
      <c r="F1496" s="565"/>
      <c r="G1496" s="592"/>
      <c r="H1496" s="565"/>
      <c r="I1496" s="565"/>
      <c r="J1496" s="565"/>
      <c r="K1496" s="466"/>
      <c r="L1496" s="459"/>
      <c r="M1496" s="460"/>
      <c r="N1496" s="459"/>
      <c r="O1496" s="261"/>
      <c r="P1496" s="565"/>
      <c r="Q1496" s="565"/>
      <c r="R1496" s="467"/>
    </row>
    <row r="1497" spans="1:18" s="438" customFormat="1" outlineLevel="1">
      <c r="A1497" s="569"/>
      <c r="B1497" s="587"/>
      <c r="C1497" s="589"/>
      <c r="D1497" s="565"/>
      <c r="E1497" s="596"/>
      <c r="F1497" s="565"/>
      <c r="G1497" s="592"/>
      <c r="H1497" s="565"/>
      <c r="I1497" s="565"/>
      <c r="J1497" s="565"/>
      <c r="K1497" s="466"/>
      <c r="L1497" s="459"/>
      <c r="M1497" s="460"/>
      <c r="N1497" s="459"/>
      <c r="O1497" s="261"/>
      <c r="P1497" s="565"/>
      <c r="Q1497" s="565"/>
      <c r="R1497" s="467"/>
    </row>
    <row r="1498" spans="1:18" s="438" customFormat="1" outlineLevel="1">
      <c r="A1498" s="569"/>
      <c r="B1498" s="587"/>
      <c r="C1498" s="589"/>
      <c r="D1498" s="565"/>
      <c r="E1498" s="596"/>
      <c r="F1498" s="565"/>
      <c r="G1498" s="592"/>
      <c r="H1498" s="565"/>
      <c r="I1498" s="565"/>
      <c r="J1498" s="565"/>
      <c r="K1498" s="466"/>
      <c r="L1498" s="459"/>
      <c r="M1498" s="460"/>
      <c r="N1498" s="459"/>
      <c r="O1498" s="261"/>
      <c r="P1498" s="565"/>
      <c r="Q1498" s="565"/>
      <c r="R1498" s="467"/>
    </row>
    <row r="1499" spans="1:18" s="438" customFormat="1" outlineLevel="1">
      <c r="A1499" s="569"/>
      <c r="B1499" s="587"/>
      <c r="C1499" s="589"/>
      <c r="D1499" s="565"/>
      <c r="E1499" s="596"/>
      <c r="F1499" s="565"/>
      <c r="G1499" s="592"/>
      <c r="H1499" s="565"/>
      <c r="I1499" s="565"/>
      <c r="J1499" s="565"/>
      <c r="K1499" s="466"/>
      <c r="L1499" s="459"/>
      <c r="M1499" s="460"/>
      <c r="N1499" s="459"/>
      <c r="O1499" s="261"/>
      <c r="P1499" s="565"/>
      <c r="Q1499" s="565"/>
      <c r="R1499" s="467"/>
    </row>
    <row r="1500" spans="1:18" s="438" customFormat="1" outlineLevel="1">
      <c r="A1500" s="569"/>
      <c r="B1500" s="587"/>
      <c r="C1500" s="589"/>
      <c r="D1500" s="565"/>
      <c r="E1500" s="596"/>
      <c r="F1500" s="565"/>
      <c r="G1500" s="592"/>
      <c r="H1500" s="565"/>
      <c r="I1500" s="565"/>
      <c r="J1500" s="565"/>
      <c r="K1500" s="466"/>
      <c r="L1500" s="459"/>
      <c r="M1500" s="460"/>
      <c r="N1500" s="459"/>
      <c r="O1500" s="261"/>
      <c r="P1500" s="565"/>
      <c r="Q1500" s="565"/>
      <c r="R1500" s="467"/>
    </row>
    <row r="1501" spans="1:18" s="438" customFormat="1" outlineLevel="1">
      <c r="A1501" s="569"/>
      <c r="B1501" s="587"/>
      <c r="C1501" s="589"/>
      <c r="D1501" s="565"/>
      <c r="E1501" s="596"/>
      <c r="F1501" s="565"/>
      <c r="G1501" s="592"/>
      <c r="H1501" s="565"/>
      <c r="I1501" s="565"/>
      <c r="J1501" s="565"/>
      <c r="K1501" s="466"/>
      <c r="L1501" s="459"/>
      <c r="M1501" s="460"/>
      <c r="N1501" s="459"/>
      <c r="O1501" s="261"/>
      <c r="P1501" s="565"/>
      <c r="Q1501" s="565"/>
      <c r="R1501" s="467"/>
    </row>
    <row r="1502" spans="1:18" s="438" customFormat="1" outlineLevel="1">
      <c r="A1502" s="569"/>
      <c r="B1502" s="587"/>
      <c r="C1502" s="589"/>
      <c r="D1502" s="565"/>
      <c r="E1502" s="596"/>
      <c r="F1502" s="565"/>
      <c r="G1502" s="592"/>
      <c r="H1502" s="565"/>
      <c r="I1502" s="565"/>
      <c r="J1502" s="565"/>
      <c r="K1502" s="466"/>
      <c r="L1502" s="459"/>
      <c r="M1502" s="460"/>
      <c r="N1502" s="459"/>
      <c r="O1502" s="261"/>
      <c r="P1502" s="565"/>
      <c r="Q1502" s="565"/>
      <c r="R1502" s="467"/>
    </row>
    <row r="1503" spans="1:18" s="438" customFormat="1" outlineLevel="1">
      <c r="A1503" s="569"/>
      <c r="B1503" s="587"/>
      <c r="C1503" s="589"/>
      <c r="D1503" s="565"/>
      <c r="E1503" s="596"/>
      <c r="F1503" s="565"/>
      <c r="G1503" s="592"/>
      <c r="H1503" s="565"/>
      <c r="I1503" s="565"/>
      <c r="J1503" s="565"/>
      <c r="K1503" s="466"/>
      <c r="L1503" s="459"/>
      <c r="M1503" s="460"/>
      <c r="N1503" s="459"/>
      <c r="O1503" s="261"/>
      <c r="P1503" s="565"/>
      <c r="Q1503" s="565"/>
      <c r="R1503" s="467"/>
    </row>
    <row r="1504" spans="1:18" s="438" customFormat="1" outlineLevel="1">
      <c r="A1504" s="569"/>
      <c r="B1504" s="587"/>
      <c r="C1504" s="589"/>
      <c r="D1504" s="565"/>
      <c r="E1504" s="596"/>
      <c r="F1504" s="565"/>
      <c r="G1504" s="592"/>
      <c r="H1504" s="565"/>
      <c r="I1504" s="565"/>
      <c r="J1504" s="565"/>
      <c r="K1504" s="466"/>
      <c r="L1504" s="459"/>
      <c r="M1504" s="460"/>
      <c r="N1504" s="459"/>
      <c r="O1504" s="261"/>
      <c r="P1504" s="565"/>
      <c r="Q1504" s="565"/>
      <c r="R1504" s="467"/>
    </row>
    <row r="1505" spans="1:18" s="438" customFormat="1" outlineLevel="1">
      <c r="A1505" s="569"/>
      <c r="B1505" s="587"/>
      <c r="C1505" s="589"/>
      <c r="D1505" s="565"/>
      <c r="E1505" s="596"/>
      <c r="F1505" s="565"/>
      <c r="G1505" s="592"/>
      <c r="H1505" s="565"/>
      <c r="I1505" s="565"/>
      <c r="J1505" s="565"/>
      <c r="K1505" s="466"/>
      <c r="L1505" s="459"/>
      <c r="M1505" s="460"/>
      <c r="N1505" s="459"/>
      <c r="O1505" s="261"/>
      <c r="P1505" s="565"/>
      <c r="Q1505" s="565"/>
      <c r="R1505" s="467"/>
    </row>
    <row r="1506" spans="1:18" s="438" customFormat="1" outlineLevel="1">
      <c r="A1506" s="569"/>
      <c r="B1506" s="587"/>
      <c r="C1506" s="589"/>
      <c r="D1506" s="565"/>
      <c r="E1506" s="596"/>
      <c r="F1506" s="565"/>
      <c r="G1506" s="592"/>
      <c r="H1506" s="565"/>
      <c r="I1506" s="565"/>
      <c r="J1506" s="565"/>
      <c r="K1506" s="466"/>
      <c r="L1506" s="459"/>
      <c r="M1506" s="460"/>
      <c r="N1506" s="459"/>
      <c r="O1506" s="261"/>
      <c r="P1506" s="565"/>
      <c r="Q1506" s="565"/>
      <c r="R1506" s="467"/>
    </row>
    <row r="1507" spans="1:18" s="438" customFormat="1" outlineLevel="1">
      <c r="A1507" s="569"/>
      <c r="B1507" s="587"/>
      <c r="C1507" s="589"/>
      <c r="D1507" s="565"/>
      <c r="E1507" s="596"/>
      <c r="F1507" s="565"/>
      <c r="G1507" s="592"/>
      <c r="H1507" s="565"/>
      <c r="I1507" s="565"/>
      <c r="J1507" s="565"/>
      <c r="K1507" s="466"/>
      <c r="L1507" s="459"/>
      <c r="M1507" s="460"/>
      <c r="N1507" s="459"/>
      <c r="O1507" s="261"/>
      <c r="P1507" s="565"/>
      <c r="Q1507" s="565"/>
      <c r="R1507" s="467"/>
    </row>
    <row r="1508" spans="1:18" s="438" customFormat="1" outlineLevel="1">
      <c r="A1508" s="570"/>
      <c r="B1508" s="588"/>
      <c r="C1508" s="590"/>
      <c r="D1508" s="566"/>
      <c r="E1508" s="596"/>
      <c r="F1508" s="566"/>
      <c r="G1508" s="593"/>
      <c r="H1508" s="566"/>
      <c r="I1508" s="566"/>
      <c r="J1508" s="566"/>
      <c r="K1508" s="466"/>
      <c r="L1508" s="459"/>
      <c r="M1508" s="460"/>
      <c r="N1508" s="459"/>
      <c r="O1508" s="261"/>
      <c r="P1508" s="566"/>
      <c r="Q1508" s="566"/>
      <c r="R1508" s="467"/>
    </row>
    <row r="1509" spans="1:18" s="438" customFormat="1" outlineLevel="1">
      <c r="A1509" s="568"/>
      <c r="B1509" s="587"/>
      <c r="C1509" s="595"/>
      <c r="D1509" s="565"/>
      <c r="E1509" s="596"/>
      <c r="F1509" s="565"/>
      <c r="G1509" s="597"/>
      <c r="H1509" s="594"/>
      <c r="I1509" s="594"/>
      <c r="J1509" s="594"/>
      <c r="K1509" s="458"/>
      <c r="L1509" s="459"/>
      <c r="M1509" s="460"/>
      <c r="N1509" s="459"/>
      <c r="O1509" s="261"/>
      <c r="P1509" s="594"/>
      <c r="Q1509" s="594"/>
      <c r="R1509" s="467"/>
    </row>
    <row r="1510" spans="1:18" s="438" customFormat="1" outlineLevel="1">
      <c r="A1510" s="569"/>
      <c r="B1510" s="587"/>
      <c r="C1510" s="589"/>
      <c r="D1510" s="565"/>
      <c r="E1510" s="596"/>
      <c r="F1510" s="565"/>
      <c r="G1510" s="592"/>
      <c r="H1510" s="565"/>
      <c r="I1510" s="565"/>
      <c r="J1510" s="565"/>
      <c r="K1510" s="466"/>
      <c r="L1510" s="459"/>
      <c r="M1510" s="460"/>
      <c r="N1510" s="459"/>
      <c r="O1510" s="261"/>
      <c r="P1510" s="565"/>
      <c r="Q1510" s="565"/>
      <c r="R1510" s="467"/>
    </row>
    <row r="1511" spans="1:18" s="438" customFormat="1" outlineLevel="1">
      <c r="A1511" s="569"/>
      <c r="B1511" s="587"/>
      <c r="C1511" s="589"/>
      <c r="D1511" s="565"/>
      <c r="E1511" s="596"/>
      <c r="F1511" s="565"/>
      <c r="G1511" s="592"/>
      <c r="H1511" s="565"/>
      <c r="I1511" s="565"/>
      <c r="J1511" s="565"/>
      <c r="K1511" s="466"/>
      <c r="L1511" s="459"/>
      <c r="M1511" s="460"/>
      <c r="N1511" s="459"/>
      <c r="O1511" s="261"/>
      <c r="P1511" s="565"/>
      <c r="Q1511" s="565"/>
      <c r="R1511" s="467"/>
    </row>
    <row r="1512" spans="1:18" s="438" customFormat="1" outlineLevel="1">
      <c r="A1512" s="569"/>
      <c r="B1512" s="587"/>
      <c r="C1512" s="589"/>
      <c r="D1512" s="565"/>
      <c r="E1512" s="596"/>
      <c r="F1512" s="565"/>
      <c r="G1512" s="592"/>
      <c r="H1512" s="565"/>
      <c r="I1512" s="565"/>
      <c r="J1512" s="565"/>
      <c r="K1512" s="466"/>
      <c r="L1512" s="459"/>
      <c r="M1512" s="460"/>
      <c r="N1512" s="459"/>
      <c r="O1512" s="261"/>
      <c r="P1512" s="565"/>
      <c r="Q1512" s="565"/>
      <c r="R1512" s="467"/>
    </row>
    <row r="1513" spans="1:18" s="438" customFormat="1" outlineLevel="1">
      <c r="A1513" s="569"/>
      <c r="B1513" s="587"/>
      <c r="C1513" s="589"/>
      <c r="D1513" s="565"/>
      <c r="E1513" s="596"/>
      <c r="F1513" s="565"/>
      <c r="G1513" s="592"/>
      <c r="H1513" s="565"/>
      <c r="I1513" s="565"/>
      <c r="J1513" s="565"/>
      <c r="K1513" s="466"/>
      <c r="L1513" s="459"/>
      <c r="M1513" s="460"/>
      <c r="N1513" s="459"/>
      <c r="O1513" s="261"/>
      <c r="P1513" s="565"/>
      <c r="Q1513" s="565"/>
      <c r="R1513" s="467"/>
    </row>
    <row r="1514" spans="1:18" s="438" customFormat="1" outlineLevel="1">
      <c r="A1514" s="569"/>
      <c r="B1514" s="587"/>
      <c r="C1514" s="589"/>
      <c r="D1514" s="565"/>
      <c r="E1514" s="596"/>
      <c r="F1514" s="565"/>
      <c r="G1514" s="592"/>
      <c r="H1514" s="565"/>
      <c r="I1514" s="565"/>
      <c r="J1514" s="565"/>
      <c r="K1514" s="466"/>
      <c r="L1514" s="459"/>
      <c r="M1514" s="460"/>
      <c r="N1514" s="459"/>
      <c r="O1514" s="261"/>
      <c r="P1514" s="565"/>
      <c r="Q1514" s="565"/>
      <c r="R1514" s="467"/>
    </row>
    <row r="1515" spans="1:18" s="438" customFormat="1" outlineLevel="1">
      <c r="A1515" s="569"/>
      <c r="B1515" s="587"/>
      <c r="C1515" s="589"/>
      <c r="D1515" s="565"/>
      <c r="E1515" s="596"/>
      <c r="F1515" s="565"/>
      <c r="G1515" s="592"/>
      <c r="H1515" s="565"/>
      <c r="I1515" s="565"/>
      <c r="J1515" s="565"/>
      <c r="K1515" s="466"/>
      <c r="L1515" s="459"/>
      <c r="M1515" s="460"/>
      <c r="N1515" s="459"/>
      <c r="O1515" s="261"/>
      <c r="P1515" s="565"/>
      <c r="Q1515" s="565"/>
      <c r="R1515" s="467"/>
    </row>
    <row r="1516" spans="1:18" s="438" customFormat="1" outlineLevel="1">
      <c r="A1516" s="569"/>
      <c r="B1516" s="587"/>
      <c r="C1516" s="589"/>
      <c r="D1516" s="565"/>
      <c r="E1516" s="596"/>
      <c r="F1516" s="565"/>
      <c r="G1516" s="592"/>
      <c r="H1516" s="565"/>
      <c r="I1516" s="565"/>
      <c r="J1516" s="565"/>
      <c r="K1516" s="466"/>
      <c r="L1516" s="459"/>
      <c r="M1516" s="460"/>
      <c r="N1516" s="459"/>
      <c r="O1516" s="261"/>
      <c r="P1516" s="565"/>
      <c r="Q1516" s="565"/>
      <c r="R1516" s="467"/>
    </row>
    <row r="1517" spans="1:18" s="438" customFormat="1" outlineLevel="1">
      <c r="A1517" s="569"/>
      <c r="B1517" s="587"/>
      <c r="C1517" s="589"/>
      <c r="D1517" s="565"/>
      <c r="E1517" s="596"/>
      <c r="F1517" s="565"/>
      <c r="G1517" s="592"/>
      <c r="H1517" s="565"/>
      <c r="I1517" s="565"/>
      <c r="J1517" s="565"/>
      <c r="K1517" s="466"/>
      <c r="L1517" s="459"/>
      <c r="M1517" s="460"/>
      <c r="N1517" s="459"/>
      <c r="O1517" s="261"/>
      <c r="P1517" s="565"/>
      <c r="Q1517" s="565"/>
      <c r="R1517" s="467"/>
    </row>
    <row r="1518" spans="1:18" s="438" customFormat="1" outlineLevel="1">
      <c r="A1518" s="569"/>
      <c r="B1518" s="587"/>
      <c r="C1518" s="589"/>
      <c r="D1518" s="565"/>
      <c r="E1518" s="596"/>
      <c r="F1518" s="565"/>
      <c r="G1518" s="592"/>
      <c r="H1518" s="565"/>
      <c r="I1518" s="565"/>
      <c r="J1518" s="565"/>
      <c r="K1518" s="466"/>
      <c r="L1518" s="459"/>
      <c r="M1518" s="460"/>
      <c r="N1518" s="459"/>
      <c r="O1518" s="261"/>
      <c r="P1518" s="565"/>
      <c r="Q1518" s="565"/>
      <c r="R1518" s="467"/>
    </row>
    <row r="1519" spans="1:18" s="438" customFormat="1" outlineLevel="1">
      <c r="A1519" s="569"/>
      <c r="B1519" s="587"/>
      <c r="C1519" s="589"/>
      <c r="D1519" s="565"/>
      <c r="E1519" s="596"/>
      <c r="F1519" s="565"/>
      <c r="G1519" s="592"/>
      <c r="H1519" s="565"/>
      <c r="I1519" s="565"/>
      <c r="J1519" s="565"/>
      <c r="K1519" s="466"/>
      <c r="L1519" s="459"/>
      <c r="M1519" s="460"/>
      <c r="N1519" s="459"/>
      <c r="O1519" s="261"/>
      <c r="P1519" s="565"/>
      <c r="Q1519" s="565"/>
      <c r="R1519" s="467"/>
    </row>
    <row r="1520" spans="1:18" s="438" customFormat="1" outlineLevel="1">
      <c r="A1520" s="569"/>
      <c r="B1520" s="587"/>
      <c r="C1520" s="589"/>
      <c r="D1520" s="565"/>
      <c r="E1520" s="596"/>
      <c r="F1520" s="565"/>
      <c r="G1520" s="592"/>
      <c r="H1520" s="565"/>
      <c r="I1520" s="565"/>
      <c r="J1520" s="565"/>
      <c r="K1520" s="466"/>
      <c r="L1520" s="459"/>
      <c r="M1520" s="460"/>
      <c r="N1520" s="459"/>
      <c r="O1520" s="261"/>
      <c r="P1520" s="565"/>
      <c r="Q1520" s="565"/>
      <c r="R1520" s="467"/>
    </row>
    <row r="1521" spans="1:18" s="438" customFormat="1" outlineLevel="1">
      <c r="A1521" s="569"/>
      <c r="B1521" s="587"/>
      <c r="C1521" s="589"/>
      <c r="D1521" s="565"/>
      <c r="E1521" s="596"/>
      <c r="F1521" s="565"/>
      <c r="G1521" s="592"/>
      <c r="H1521" s="565"/>
      <c r="I1521" s="565"/>
      <c r="J1521" s="565"/>
      <c r="K1521" s="466"/>
      <c r="L1521" s="459"/>
      <c r="M1521" s="460"/>
      <c r="N1521" s="459"/>
      <c r="O1521" s="261"/>
      <c r="P1521" s="565"/>
      <c r="Q1521" s="565"/>
      <c r="R1521" s="467"/>
    </row>
    <row r="1522" spans="1:18" s="438" customFormat="1" outlineLevel="1">
      <c r="A1522" s="569"/>
      <c r="B1522" s="587"/>
      <c r="C1522" s="589"/>
      <c r="D1522" s="565"/>
      <c r="E1522" s="596"/>
      <c r="F1522" s="565"/>
      <c r="G1522" s="592"/>
      <c r="H1522" s="565"/>
      <c r="I1522" s="565"/>
      <c r="J1522" s="565"/>
      <c r="K1522" s="466"/>
      <c r="L1522" s="459"/>
      <c r="M1522" s="460"/>
      <c r="N1522" s="459"/>
      <c r="O1522" s="261"/>
      <c r="P1522" s="565"/>
      <c r="Q1522" s="565"/>
      <c r="R1522" s="467"/>
    </row>
    <row r="1523" spans="1:18" s="438" customFormat="1" outlineLevel="1">
      <c r="A1523" s="569"/>
      <c r="B1523" s="587"/>
      <c r="C1523" s="589"/>
      <c r="D1523" s="565"/>
      <c r="E1523" s="596"/>
      <c r="F1523" s="565"/>
      <c r="G1523" s="592"/>
      <c r="H1523" s="565"/>
      <c r="I1523" s="565"/>
      <c r="J1523" s="565"/>
      <c r="K1523" s="466"/>
      <c r="L1523" s="459"/>
      <c r="M1523" s="460"/>
      <c r="N1523" s="459"/>
      <c r="O1523" s="261"/>
      <c r="P1523" s="565"/>
      <c r="Q1523" s="565"/>
      <c r="R1523" s="467"/>
    </row>
    <row r="1524" spans="1:18" s="438" customFormat="1" outlineLevel="1">
      <c r="A1524" s="570"/>
      <c r="B1524" s="588"/>
      <c r="C1524" s="590"/>
      <c r="D1524" s="566"/>
      <c r="E1524" s="596"/>
      <c r="F1524" s="566"/>
      <c r="G1524" s="593"/>
      <c r="H1524" s="566"/>
      <c r="I1524" s="566"/>
      <c r="J1524" s="566"/>
      <c r="K1524" s="466"/>
      <c r="L1524" s="459"/>
      <c r="M1524" s="460"/>
      <c r="N1524" s="459"/>
      <c r="O1524" s="261"/>
      <c r="P1524" s="566"/>
      <c r="Q1524" s="566"/>
      <c r="R1524" s="467"/>
    </row>
    <row r="1525" spans="1:18" s="438" customFormat="1" outlineLevel="1">
      <c r="A1525" s="568"/>
      <c r="B1525" s="587"/>
      <c r="C1525" s="595"/>
      <c r="D1525" s="565"/>
      <c r="E1525" s="596"/>
      <c r="F1525" s="565"/>
      <c r="G1525" s="597"/>
      <c r="H1525" s="594"/>
      <c r="I1525" s="594"/>
      <c r="J1525" s="594"/>
      <c r="K1525" s="458"/>
      <c r="L1525" s="459"/>
      <c r="M1525" s="460"/>
      <c r="N1525" s="459"/>
      <c r="O1525" s="261"/>
      <c r="P1525" s="594"/>
      <c r="Q1525" s="594"/>
      <c r="R1525" s="467"/>
    </row>
    <row r="1526" spans="1:18" s="438" customFormat="1" outlineLevel="1">
      <c r="A1526" s="569"/>
      <c r="B1526" s="587"/>
      <c r="C1526" s="589"/>
      <c r="D1526" s="565"/>
      <c r="E1526" s="596"/>
      <c r="F1526" s="565"/>
      <c r="G1526" s="592"/>
      <c r="H1526" s="565"/>
      <c r="I1526" s="565"/>
      <c r="J1526" s="565"/>
      <c r="K1526" s="466"/>
      <c r="L1526" s="459"/>
      <c r="M1526" s="460"/>
      <c r="N1526" s="459"/>
      <c r="O1526" s="261"/>
      <c r="P1526" s="565"/>
      <c r="Q1526" s="565"/>
      <c r="R1526" s="467"/>
    </row>
    <row r="1527" spans="1:18" s="438" customFormat="1" outlineLevel="1">
      <c r="A1527" s="569"/>
      <c r="B1527" s="587"/>
      <c r="C1527" s="589"/>
      <c r="D1527" s="565"/>
      <c r="E1527" s="596"/>
      <c r="F1527" s="565"/>
      <c r="G1527" s="592"/>
      <c r="H1527" s="565"/>
      <c r="I1527" s="565"/>
      <c r="J1527" s="565"/>
      <c r="K1527" s="466"/>
      <c r="L1527" s="459"/>
      <c r="M1527" s="460"/>
      <c r="N1527" s="459"/>
      <c r="O1527" s="261"/>
      <c r="P1527" s="565"/>
      <c r="Q1527" s="565"/>
      <c r="R1527" s="467"/>
    </row>
    <row r="1528" spans="1:18" s="438" customFormat="1" outlineLevel="1">
      <c r="A1528" s="569"/>
      <c r="B1528" s="587"/>
      <c r="C1528" s="589"/>
      <c r="D1528" s="565"/>
      <c r="E1528" s="596"/>
      <c r="F1528" s="565"/>
      <c r="G1528" s="592"/>
      <c r="H1528" s="565"/>
      <c r="I1528" s="565"/>
      <c r="J1528" s="565"/>
      <c r="K1528" s="466"/>
      <c r="L1528" s="459"/>
      <c r="M1528" s="460"/>
      <c r="N1528" s="459"/>
      <c r="O1528" s="261"/>
      <c r="P1528" s="565"/>
      <c r="Q1528" s="565"/>
      <c r="R1528" s="467"/>
    </row>
    <row r="1529" spans="1:18" s="438" customFormat="1" outlineLevel="1">
      <c r="A1529" s="569"/>
      <c r="B1529" s="587"/>
      <c r="C1529" s="589"/>
      <c r="D1529" s="565"/>
      <c r="E1529" s="596"/>
      <c r="F1529" s="565"/>
      <c r="G1529" s="592"/>
      <c r="H1529" s="565"/>
      <c r="I1529" s="565"/>
      <c r="J1529" s="565"/>
      <c r="K1529" s="466"/>
      <c r="L1529" s="459"/>
      <c r="M1529" s="460"/>
      <c r="N1529" s="459"/>
      <c r="O1529" s="261"/>
      <c r="P1529" s="565"/>
      <c r="Q1529" s="565"/>
      <c r="R1529" s="467"/>
    </row>
    <row r="1530" spans="1:18" s="438" customFormat="1" outlineLevel="1">
      <c r="A1530" s="569"/>
      <c r="B1530" s="587"/>
      <c r="C1530" s="589"/>
      <c r="D1530" s="565"/>
      <c r="E1530" s="596"/>
      <c r="F1530" s="565"/>
      <c r="G1530" s="592"/>
      <c r="H1530" s="565"/>
      <c r="I1530" s="565"/>
      <c r="J1530" s="565"/>
      <c r="K1530" s="466"/>
      <c r="L1530" s="459"/>
      <c r="M1530" s="460"/>
      <c r="N1530" s="459"/>
      <c r="O1530" s="261"/>
      <c r="P1530" s="565"/>
      <c r="Q1530" s="565"/>
      <c r="R1530" s="467"/>
    </row>
    <row r="1531" spans="1:18" s="438" customFormat="1" outlineLevel="1">
      <c r="A1531" s="569"/>
      <c r="B1531" s="587"/>
      <c r="C1531" s="589"/>
      <c r="D1531" s="565"/>
      <c r="E1531" s="596"/>
      <c r="F1531" s="565"/>
      <c r="G1531" s="592"/>
      <c r="H1531" s="565"/>
      <c r="I1531" s="565"/>
      <c r="J1531" s="565"/>
      <c r="K1531" s="466"/>
      <c r="L1531" s="459"/>
      <c r="M1531" s="460"/>
      <c r="N1531" s="459"/>
      <c r="O1531" s="261"/>
      <c r="P1531" s="565"/>
      <c r="Q1531" s="565"/>
      <c r="R1531" s="467"/>
    </row>
    <row r="1532" spans="1:18" s="438" customFormat="1" outlineLevel="1">
      <c r="A1532" s="569"/>
      <c r="B1532" s="587"/>
      <c r="C1532" s="589"/>
      <c r="D1532" s="565"/>
      <c r="E1532" s="596"/>
      <c r="F1532" s="565"/>
      <c r="G1532" s="592"/>
      <c r="H1532" s="565"/>
      <c r="I1532" s="565"/>
      <c r="J1532" s="565"/>
      <c r="K1532" s="466"/>
      <c r="L1532" s="459"/>
      <c r="M1532" s="460"/>
      <c r="N1532" s="459"/>
      <c r="O1532" s="261"/>
      <c r="P1532" s="565"/>
      <c r="Q1532" s="565"/>
      <c r="R1532" s="467"/>
    </row>
    <row r="1533" spans="1:18" s="438" customFormat="1" outlineLevel="1">
      <c r="A1533" s="569"/>
      <c r="B1533" s="587"/>
      <c r="C1533" s="589"/>
      <c r="D1533" s="565"/>
      <c r="E1533" s="596"/>
      <c r="F1533" s="565"/>
      <c r="G1533" s="592"/>
      <c r="H1533" s="565"/>
      <c r="I1533" s="565"/>
      <c r="J1533" s="565"/>
      <c r="K1533" s="466"/>
      <c r="L1533" s="459"/>
      <c r="M1533" s="460"/>
      <c r="N1533" s="459"/>
      <c r="O1533" s="261"/>
      <c r="P1533" s="565"/>
      <c r="Q1533" s="565"/>
      <c r="R1533" s="467"/>
    </row>
    <row r="1534" spans="1:18" s="438" customFormat="1" outlineLevel="1">
      <c r="A1534" s="569"/>
      <c r="B1534" s="587"/>
      <c r="C1534" s="589"/>
      <c r="D1534" s="565"/>
      <c r="E1534" s="596"/>
      <c r="F1534" s="565"/>
      <c r="G1534" s="592"/>
      <c r="H1534" s="565"/>
      <c r="I1534" s="565"/>
      <c r="J1534" s="565"/>
      <c r="K1534" s="466"/>
      <c r="L1534" s="459"/>
      <c r="M1534" s="460"/>
      <c r="N1534" s="459"/>
      <c r="O1534" s="261"/>
      <c r="P1534" s="565"/>
      <c r="Q1534" s="565"/>
      <c r="R1534" s="467"/>
    </row>
    <row r="1535" spans="1:18" s="438" customFormat="1" outlineLevel="1">
      <c r="A1535" s="569"/>
      <c r="B1535" s="587"/>
      <c r="C1535" s="589"/>
      <c r="D1535" s="565"/>
      <c r="E1535" s="596"/>
      <c r="F1535" s="565"/>
      <c r="G1535" s="592"/>
      <c r="H1535" s="565"/>
      <c r="I1535" s="565"/>
      <c r="J1535" s="565"/>
      <c r="K1535" s="466"/>
      <c r="L1535" s="459"/>
      <c r="M1535" s="460"/>
      <c r="N1535" s="459"/>
      <c r="O1535" s="261"/>
      <c r="P1535" s="565"/>
      <c r="Q1535" s="565"/>
      <c r="R1535" s="467"/>
    </row>
    <row r="1536" spans="1:18" s="438" customFormat="1" outlineLevel="1">
      <c r="A1536" s="569"/>
      <c r="B1536" s="587"/>
      <c r="C1536" s="589"/>
      <c r="D1536" s="565"/>
      <c r="E1536" s="596"/>
      <c r="F1536" s="565"/>
      <c r="G1536" s="592"/>
      <c r="H1536" s="565"/>
      <c r="I1536" s="565"/>
      <c r="J1536" s="565"/>
      <c r="K1536" s="466"/>
      <c r="L1536" s="459"/>
      <c r="M1536" s="460"/>
      <c r="N1536" s="459"/>
      <c r="O1536" s="261"/>
      <c r="P1536" s="565"/>
      <c r="Q1536" s="565"/>
      <c r="R1536" s="467"/>
    </row>
    <row r="1537" spans="1:18" s="438" customFormat="1" outlineLevel="1">
      <c r="A1537" s="569"/>
      <c r="B1537" s="587"/>
      <c r="C1537" s="589"/>
      <c r="D1537" s="565"/>
      <c r="E1537" s="596"/>
      <c r="F1537" s="565"/>
      <c r="G1537" s="592"/>
      <c r="H1537" s="565"/>
      <c r="I1537" s="565"/>
      <c r="J1537" s="565"/>
      <c r="K1537" s="466"/>
      <c r="L1537" s="459"/>
      <c r="M1537" s="460"/>
      <c r="N1537" s="459"/>
      <c r="O1537" s="261"/>
      <c r="P1537" s="565"/>
      <c r="Q1537" s="565"/>
      <c r="R1537" s="467"/>
    </row>
    <row r="1538" spans="1:18" s="438" customFormat="1" outlineLevel="1">
      <c r="A1538" s="569"/>
      <c r="B1538" s="587"/>
      <c r="C1538" s="589"/>
      <c r="D1538" s="565"/>
      <c r="E1538" s="596"/>
      <c r="F1538" s="565"/>
      <c r="G1538" s="592"/>
      <c r="H1538" s="565"/>
      <c r="I1538" s="565"/>
      <c r="J1538" s="565"/>
      <c r="K1538" s="466"/>
      <c r="L1538" s="459"/>
      <c r="M1538" s="460"/>
      <c r="N1538" s="459"/>
      <c r="O1538" s="261"/>
      <c r="P1538" s="565"/>
      <c r="Q1538" s="565"/>
      <c r="R1538" s="467"/>
    </row>
    <row r="1539" spans="1:18" s="438" customFormat="1" outlineLevel="1">
      <c r="A1539" s="569"/>
      <c r="B1539" s="587"/>
      <c r="C1539" s="589"/>
      <c r="D1539" s="565"/>
      <c r="E1539" s="596"/>
      <c r="F1539" s="565"/>
      <c r="G1539" s="592"/>
      <c r="H1539" s="565"/>
      <c r="I1539" s="565"/>
      <c r="J1539" s="565"/>
      <c r="K1539" s="466"/>
      <c r="L1539" s="459"/>
      <c r="M1539" s="460"/>
      <c r="N1539" s="459"/>
      <c r="O1539" s="261"/>
      <c r="P1539" s="565"/>
      <c r="Q1539" s="565"/>
      <c r="R1539" s="467"/>
    </row>
    <row r="1540" spans="1:18" s="438" customFormat="1" outlineLevel="1">
      <c r="A1540" s="570"/>
      <c r="B1540" s="588"/>
      <c r="C1540" s="590"/>
      <c r="D1540" s="566"/>
      <c r="E1540" s="596"/>
      <c r="F1540" s="566"/>
      <c r="G1540" s="593"/>
      <c r="H1540" s="566"/>
      <c r="I1540" s="566"/>
      <c r="J1540" s="566"/>
      <c r="K1540" s="466"/>
      <c r="L1540" s="459"/>
      <c r="M1540" s="460"/>
      <c r="N1540" s="459"/>
      <c r="O1540" s="261"/>
      <c r="P1540" s="566"/>
      <c r="Q1540" s="566"/>
      <c r="R1540" s="467"/>
    </row>
    <row r="1541" spans="1:18" s="438" customFormat="1" outlineLevel="1">
      <c r="A1541" s="568"/>
      <c r="B1541" s="587"/>
      <c r="C1541" s="595"/>
      <c r="D1541" s="565"/>
      <c r="E1541" s="596"/>
      <c r="F1541" s="565"/>
      <c r="G1541" s="597"/>
      <c r="H1541" s="594"/>
      <c r="I1541" s="594"/>
      <c r="J1541" s="594"/>
      <c r="K1541" s="458"/>
      <c r="L1541" s="459"/>
      <c r="M1541" s="460"/>
      <c r="N1541" s="459"/>
      <c r="O1541" s="261"/>
      <c r="P1541" s="594"/>
      <c r="Q1541" s="594"/>
      <c r="R1541" s="467"/>
    </row>
    <row r="1542" spans="1:18" s="438" customFormat="1" outlineLevel="1">
      <c r="A1542" s="569"/>
      <c r="B1542" s="587"/>
      <c r="C1542" s="589"/>
      <c r="D1542" s="565"/>
      <c r="E1542" s="596"/>
      <c r="F1542" s="565"/>
      <c r="G1542" s="592"/>
      <c r="H1542" s="565"/>
      <c r="I1542" s="565"/>
      <c r="J1542" s="565"/>
      <c r="K1542" s="466"/>
      <c r="L1542" s="459"/>
      <c r="M1542" s="460"/>
      <c r="N1542" s="459"/>
      <c r="O1542" s="261"/>
      <c r="P1542" s="565"/>
      <c r="Q1542" s="565"/>
      <c r="R1542" s="467"/>
    </row>
    <row r="1543" spans="1:18" s="438" customFormat="1" outlineLevel="1">
      <c r="A1543" s="569"/>
      <c r="B1543" s="587"/>
      <c r="C1543" s="589"/>
      <c r="D1543" s="565"/>
      <c r="E1543" s="596"/>
      <c r="F1543" s="565"/>
      <c r="G1543" s="592"/>
      <c r="H1543" s="565"/>
      <c r="I1543" s="565"/>
      <c r="J1543" s="565"/>
      <c r="K1543" s="466"/>
      <c r="L1543" s="459"/>
      <c r="M1543" s="460"/>
      <c r="N1543" s="459"/>
      <c r="O1543" s="261"/>
      <c r="P1543" s="565"/>
      <c r="Q1543" s="565"/>
      <c r="R1543" s="467"/>
    </row>
    <row r="1544" spans="1:18" s="438" customFormat="1" outlineLevel="1">
      <c r="A1544" s="569"/>
      <c r="B1544" s="587"/>
      <c r="C1544" s="589"/>
      <c r="D1544" s="565"/>
      <c r="E1544" s="596"/>
      <c r="F1544" s="565"/>
      <c r="G1544" s="592"/>
      <c r="H1544" s="565"/>
      <c r="I1544" s="565"/>
      <c r="J1544" s="565"/>
      <c r="K1544" s="466"/>
      <c r="L1544" s="459"/>
      <c r="M1544" s="460"/>
      <c r="N1544" s="459"/>
      <c r="O1544" s="261"/>
      <c r="P1544" s="565"/>
      <c r="Q1544" s="565"/>
      <c r="R1544" s="467"/>
    </row>
    <row r="1545" spans="1:18" s="438" customFormat="1" outlineLevel="1">
      <c r="A1545" s="569"/>
      <c r="B1545" s="587"/>
      <c r="C1545" s="589"/>
      <c r="D1545" s="565"/>
      <c r="E1545" s="596"/>
      <c r="F1545" s="565"/>
      <c r="G1545" s="592"/>
      <c r="H1545" s="565"/>
      <c r="I1545" s="565"/>
      <c r="J1545" s="565"/>
      <c r="K1545" s="466"/>
      <c r="L1545" s="459"/>
      <c r="M1545" s="460"/>
      <c r="N1545" s="459"/>
      <c r="O1545" s="261"/>
      <c r="P1545" s="565"/>
      <c r="Q1545" s="565"/>
      <c r="R1545" s="467"/>
    </row>
    <row r="1546" spans="1:18" s="438" customFormat="1" outlineLevel="1">
      <c r="A1546" s="569"/>
      <c r="B1546" s="587"/>
      <c r="C1546" s="589"/>
      <c r="D1546" s="565"/>
      <c r="E1546" s="596"/>
      <c r="F1546" s="565"/>
      <c r="G1546" s="592"/>
      <c r="H1546" s="565"/>
      <c r="I1546" s="565"/>
      <c r="J1546" s="565"/>
      <c r="K1546" s="466"/>
      <c r="L1546" s="459"/>
      <c r="M1546" s="460"/>
      <c r="N1546" s="459"/>
      <c r="O1546" s="261"/>
      <c r="P1546" s="565"/>
      <c r="Q1546" s="565"/>
      <c r="R1546" s="467"/>
    </row>
    <row r="1547" spans="1:18" s="438" customFormat="1" outlineLevel="1">
      <c r="A1547" s="569"/>
      <c r="B1547" s="587"/>
      <c r="C1547" s="589"/>
      <c r="D1547" s="565"/>
      <c r="E1547" s="596"/>
      <c r="F1547" s="565"/>
      <c r="G1547" s="592"/>
      <c r="H1547" s="565"/>
      <c r="I1547" s="565"/>
      <c r="J1547" s="565"/>
      <c r="K1547" s="466"/>
      <c r="L1547" s="459"/>
      <c r="M1547" s="460"/>
      <c r="N1547" s="459"/>
      <c r="O1547" s="261"/>
      <c r="P1547" s="565"/>
      <c r="Q1547" s="565"/>
      <c r="R1547" s="467"/>
    </row>
    <row r="1548" spans="1:18" s="438" customFormat="1" outlineLevel="1">
      <c r="A1548" s="569"/>
      <c r="B1548" s="587"/>
      <c r="C1548" s="589"/>
      <c r="D1548" s="565"/>
      <c r="E1548" s="596"/>
      <c r="F1548" s="565"/>
      <c r="G1548" s="592"/>
      <c r="H1548" s="565"/>
      <c r="I1548" s="565"/>
      <c r="J1548" s="565"/>
      <c r="K1548" s="466"/>
      <c r="L1548" s="459"/>
      <c r="M1548" s="460"/>
      <c r="N1548" s="459"/>
      <c r="O1548" s="261"/>
      <c r="P1548" s="565"/>
      <c r="Q1548" s="565"/>
      <c r="R1548" s="467"/>
    </row>
    <row r="1549" spans="1:18" s="438" customFormat="1" outlineLevel="1">
      <c r="A1549" s="569"/>
      <c r="B1549" s="587"/>
      <c r="C1549" s="589"/>
      <c r="D1549" s="565"/>
      <c r="E1549" s="596"/>
      <c r="F1549" s="565"/>
      <c r="G1549" s="592"/>
      <c r="H1549" s="565"/>
      <c r="I1549" s="565"/>
      <c r="J1549" s="565"/>
      <c r="K1549" s="466"/>
      <c r="L1549" s="459"/>
      <c r="M1549" s="460"/>
      <c r="N1549" s="459"/>
      <c r="O1549" s="261"/>
      <c r="P1549" s="565"/>
      <c r="Q1549" s="565"/>
      <c r="R1549" s="467"/>
    </row>
    <row r="1550" spans="1:18" s="438" customFormat="1" outlineLevel="1">
      <c r="A1550" s="569"/>
      <c r="B1550" s="587"/>
      <c r="C1550" s="589"/>
      <c r="D1550" s="565"/>
      <c r="E1550" s="596"/>
      <c r="F1550" s="565"/>
      <c r="G1550" s="592"/>
      <c r="H1550" s="565"/>
      <c r="I1550" s="565"/>
      <c r="J1550" s="565"/>
      <c r="K1550" s="466"/>
      <c r="L1550" s="459"/>
      <c r="M1550" s="460"/>
      <c r="N1550" s="459"/>
      <c r="O1550" s="261"/>
      <c r="P1550" s="565"/>
      <c r="Q1550" s="565"/>
      <c r="R1550" s="467"/>
    </row>
    <row r="1551" spans="1:18" s="438" customFormat="1" outlineLevel="1">
      <c r="A1551" s="569"/>
      <c r="B1551" s="587"/>
      <c r="C1551" s="589"/>
      <c r="D1551" s="565"/>
      <c r="E1551" s="596"/>
      <c r="F1551" s="565"/>
      <c r="G1551" s="592"/>
      <c r="H1551" s="565"/>
      <c r="I1551" s="565"/>
      <c r="J1551" s="565"/>
      <c r="K1551" s="466"/>
      <c r="L1551" s="459"/>
      <c r="M1551" s="460"/>
      <c r="N1551" s="459"/>
      <c r="O1551" s="261"/>
      <c r="P1551" s="565"/>
      <c r="Q1551" s="565"/>
      <c r="R1551" s="467"/>
    </row>
    <row r="1552" spans="1:18" s="438" customFormat="1" outlineLevel="1">
      <c r="A1552" s="569"/>
      <c r="B1552" s="587"/>
      <c r="C1552" s="589"/>
      <c r="D1552" s="565"/>
      <c r="E1552" s="596"/>
      <c r="F1552" s="565"/>
      <c r="G1552" s="592"/>
      <c r="H1552" s="565"/>
      <c r="I1552" s="565"/>
      <c r="J1552" s="565"/>
      <c r="K1552" s="466"/>
      <c r="L1552" s="459"/>
      <c r="M1552" s="460"/>
      <c r="N1552" s="459"/>
      <c r="O1552" s="261"/>
      <c r="P1552" s="565"/>
      <c r="Q1552" s="565"/>
      <c r="R1552" s="467"/>
    </row>
    <row r="1553" spans="1:18" s="438" customFormat="1" outlineLevel="1">
      <c r="A1553" s="569"/>
      <c r="B1553" s="587"/>
      <c r="C1553" s="589"/>
      <c r="D1553" s="565"/>
      <c r="E1553" s="596"/>
      <c r="F1553" s="565"/>
      <c r="G1553" s="592"/>
      <c r="H1553" s="565"/>
      <c r="I1553" s="565"/>
      <c r="J1553" s="565"/>
      <c r="K1553" s="466"/>
      <c r="L1553" s="459"/>
      <c r="M1553" s="460"/>
      <c r="N1553" s="459"/>
      <c r="O1553" s="261"/>
      <c r="P1553" s="565"/>
      <c r="Q1553" s="565"/>
      <c r="R1553" s="467"/>
    </row>
    <row r="1554" spans="1:18" s="438" customFormat="1" outlineLevel="1">
      <c r="A1554" s="569"/>
      <c r="B1554" s="587"/>
      <c r="C1554" s="589"/>
      <c r="D1554" s="565"/>
      <c r="E1554" s="596"/>
      <c r="F1554" s="565"/>
      <c r="G1554" s="592"/>
      <c r="H1554" s="565"/>
      <c r="I1554" s="565"/>
      <c r="J1554" s="565"/>
      <c r="K1554" s="466"/>
      <c r="L1554" s="459"/>
      <c r="M1554" s="460"/>
      <c r="N1554" s="459"/>
      <c r="O1554" s="261"/>
      <c r="P1554" s="565"/>
      <c r="Q1554" s="565"/>
      <c r="R1554" s="467"/>
    </row>
    <row r="1555" spans="1:18" s="438" customFormat="1" outlineLevel="1">
      <c r="A1555" s="569"/>
      <c r="B1555" s="587"/>
      <c r="C1555" s="589"/>
      <c r="D1555" s="565"/>
      <c r="E1555" s="596"/>
      <c r="F1555" s="565"/>
      <c r="G1555" s="592"/>
      <c r="H1555" s="565"/>
      <c r="I1555" s="565"/>
      <c r="J1555" s="565"/>
      <c r="K1555" s="466"/>
      <c r="L1555" s="459"/>
      <c r="M1555" s="460"/>
      <c r="N1555" s="459"/>
      <c r="O1555" s="261"/>
      <c r="P1555" s="565"/>
      <c r="Q1555" s="565"/>
      <c r="R1555" s="467"/>
    </row>
    <row r="1556" spans="1:18" s="438" customFormat="1" outlineLevel="1">
      <c r="A1556" s="570"/>
      <c r="B1556" s="588"/>
      <c r="C1556" s="590"/>
      <c r="D1556" s="566"/>
      <c r="E1556" s="596"/>
      <c r="F1556" s="566"/>
      <c r="G1556" s="593"/>
      <c r="H1556" s="566"/>
      <c r="I1556" s="566"/>
      <c r="J1556" s="566"/>
      <c r="K1556" s="466"/>
      <c r="L1556" s="459"/>
      <c r="M1556" s="460"/>
      <c r="N1556" s="459"/>
      <c r="O1556" s="261"/>
      <c r="P1556" s="566"/>
      <c r="Q1556" s="566"/>
      <c r="R1556" s="467"/>
    </row>
    <row r="1557" spans="1:18" s="438" customFormat="1" outlineLevel="1">
      <c r="A1557" s="568"/>
      <c r="B1557" s="587"/>
      <c r="C1557" s="595"/>
      <c r="D1557" s="565"/>
      <c r="E1557" s="596"/>
      <c r="F1557" s="565"/>
      <c r="G1557" s="597"/>
      <c r="H1557" s="594"/>
      <c r="I1557" s="594"/>
      <c r="J1557" s="594"/>
      <c r="K1557" s="458"/>
      <c r="L1557" s="459"/>
      <c r="M1557" s="460"/>
      <c r="N1557" s="459"/>
      <c r="O1557" s="261"/>
      <c r="P1557" s="594"/>
      <c r="Q1557" s="594"/>
      <c r="R1557" s="467"/>
    </row>
    <row r="1558" spans="1:18" s="438" customFormat="1" outlineLevel="1">
      <c r="A1558" s="569"/>
      <c r="B1558" s="587"/>
      <c r="C1558" s="589"/>
      <c r="D1558" s="565"/>
      <c r="E1558" s="596"/>
      <c r="F1558" s="565"/>
      <c r="G1558" s="592"/>
      <c r="H1558" s="565"/>
      <c r="I1558" s="565"/>
      <c r="J1558" s="565"/>
      <c r="K1558" s="466"/>
      <c r="L1558" s="459"/>
      <c r="M1558" s="460"/>
      <c r="N1558" s="459"/>
      <c r="O1558" s="261"/>
      <c r="P1558" s="565"/>
      <c r="Q1558" s="565"/>
      <c r="R1558" s="467"/>
    </row>
    <row r="1559" spans="1:18" s="438" customFormat="1" outlineLevel="1">
      <c r="A1559" s="569"/>
      <c r="B1559" s="587"/>
      <c r="C1559" s="589"/>
      <c r="D1559" s="565"/>
      <c r="E1559" s="596"/>
      <c r="F1559" s="565"/>
      <c r="G1559" s="592"/>
      <c r="H1559" s="565"/>
      <c r="I1559" s="565"/>
      <c r="J1559" s="565"/>
      <c r="K1559" s="466"/>
      <c r="L1559" s="459"/>
      <c r="M1559" s="460"/>
      <c r="N1559" s="459"/>
      <c r="O1559" s="261"/>
      <c r="P1559" s="565"/>
      <c r="Q1559" s="565"/>
      <c r="R1559" s="467"/>
    </row>
    <row r="1560" spans="1:18" s="438" customFormat="1" outlineLevel="1">
      <c r="A1560" s="569"/>
      <c r="B1560" s="587"/>
      <c r="C1560" s="589"/>
      <c r="D1560" s="565"/>
      <c r="E1560" s="596"/>
      <c r="F1560" s="565"/>
      <c r="G1560" s="592"/>
      <c r="H1560" s="565"/>
      <c r="I1560" s="565"/>
      <c r="J1560" s="565"/>
      <c r="K1560" s="466"/>
      <c r="L1560" s="459"/>
      <c r="M1560" s="460"/>
      <c r="N1560" s="459"/>
      <c r="O1560" s="261"/>
      <c r="P1560" s="565"/>
      <c r="Q1560" s="565"/>
      <c r="R1560" s="467"/>
    </row>
    <row r="1561" spans="1:18" s="438" customFormat="1" outlineLevel="1">
      <c r="A1561" s="569"/>
      <c r="B1561" s="587"/>
      <c r="C1561" s="589"/>
      <c r="D1561" s="565"/>
      <c r="E1561" s="596"/>
      <c r="F1561" s="565"/>
      <c r="G1561" s="592"/>
      <c r="H1561" s="565"/>
      <c r="I1561" s="565"/>
      <c r="J1561" s="565"/>
      <c r="K1561" s="466"/>
      <c r="L1561" s="459"/>
      <c r="M1561" s="460"/>
      <c r="N1561" s="459"/>
      <c r="O1561" s="261"/>
      <c r="P1561" s="565"/>
      <c r="Q1561" s="565"/>
      <c r="R1561" s="467"/>
    </row>
    <row r="1562" spans="1:18" s="438" customFormat="1" outlineLevel="1">
      <c r="A1562" s="569"/>
      <c r="B1562" s="587"/>
      <c r="C1562" s="589"/>
      <c r="D1562" s="565"/>
      <c r="E1562" s="596"/>
      <c r="F1562" s="565"/>
      <c r="G1562" s="592"/>
      <c r="H1562" s="565"/>
      <c r="I1562" s="565"/>
      <c r="J1562" s="565"/>
      <c r="K1562" s="466"/>
      <c r="L1562" s="459"/>
      <c r="M1562" s="460"/>
      <c r="N1562" s="459"/>
      <c r="O1562" s="261"/>
      <c r="P1562" s="565"/>
      <c r="Q1562" s="565"/>
      <c r="R1562" s="467"/>
    </row>
    <row r="1563" spans="1:18" s="438" customFormat="1" outlineLevel="1">
      <c r="A1563" s="569"/>
      <c r="B1563" s="587"/>
      <c r="C1563" s="589"/>
      <c r="D1563" s="565"/>
      <c r="E1563" s="596"/>
      <c r="F1563" s="565"/>
      <c r="G1563" s="592"/>
      <c r="H1563" s="565"/>
      <c r="I1563" s="565"/>
      <c r="J1563" s="565"/>
      <c r="K1563" s="466"/>
      <c r="L1563" s="459"/>
      <c r="M1563" s="460"/>
      <c r="N1563" s="459"/>
      <c r="O1563" s="261"/>
      <c r="P1563" s="565"/>
      <c r="Q1563" s="565"/>
      <c r="R1563" s="467"/>
    </row>
    <row r="1564" spans="1:18" s="438" customFormat="1" outlineLevel="1">
      <c r="A1564" s="569"/>
      <c r="B1564" s="587"/>
      <c r="C1564" s="589"/>
      <c r="D1564" s="565"/>
      <c r="E1564" s="596"/>
      <c r="F1564" s="565"/>
      <c r="G1564" s="592"/>
      <c r="H1564" s="565"/>
      <c r="I1564" s="565"/>
      <c r="J1564" s="565"/>
      <c r="K1564" s="466"/>
      <c r="L1564" s="459"/>
      <c r="M1564" s="460"/>
      <c r="N1564" s="459"/>
      <c r="O1564" s="261"/>
      <c r="P1564" s="565"/>
      <c r="Q1564" s="565"/>
      <c r="R1564" s="467"/>
    </row>
    <row r="1565" spans="1:18" s="438" customFormat="1" outlineLevel="1">
      <c r="A1565" s="569"/>
      <c r="B1565" s="587"/>
      <c r="C1565" s="589"/>
      <c r="D1565" s="565"/>
      <c r="E1565" s="596"/>
      <c r="F1565" s="565"/>
      <c r="G1565" s="592"/>
      <c r="H1565" s="565"/>
      <c r="I1565" s="565"/>
      <c r="J1565" s="565"/>
      <c r="K1565" s="466"/>
      <c r="L1565" s="459"/>
      <c r="M1565" s="460"/>
      <c r="N1565" s="459"/>
      <c r="O1565" s="261"/>
      <c r="P1565" s="565"/>
      <c r="Q1565" s="565"/>
      <c r="R1565" s="467"/>
    </row>
    <row r="1566" spans="1:18" s="438" customFormat="1" outlineLevel="1">
      <c r="A1566" s="569"/>
      <c r="B1566" s="587"/>
      <c r="C1566" s="589"/>
      <c r="D1566" s="565"/>
      <c r="E1566" s="596"/>
      <c r="F1566" s="565"/>
      <c r="G1566" s="592"/>
      <c r="H1566" s="565"/>
      <c r="I1566" s="565"/>
      <c r="J1566" s="565"/>
      <c r="K1566" s="466"/>
      <c r="L1566" s="459"/>
      <c r="M1566" s="460"/>
      <c r="N1566" s="459"/>
      <c r="O1566" s="261"/>
      <c r="P1566" s="565"/>
      <c r="Q1566" s="565"/>
      <c r="R1566" s="467"/>
    </row>
    <row r="1567" spans="1:18" s="438" customFormat="1" outlineLevel="1">
      <c r="A1567" s="569"/>
      <c r="B1567" s="587"/>
      <c r="C1567" s="589"/>
      <c r="D1567" s="565"/>
      <c r="E1567" s="596"/>
      <c r="F1567" s="565"/>
      <c r="G1567" s="592"/>
      <c r="H1567" s="565"/>
      <c r="I1567" s="565"/>
      <c r="J1567" s="565"/>
      <c r="K1567" s="466"/>
      <c r="L1567" s="459"/>
      <c r="M1567" s="460"/>
      <c r="N1567" s="459"/>
      <c r="O1567" s="261"/>
      <c r="P1567" s="565"/>
      <c r="Q1567" s="565"/>
      <c r="R1567" s="467"/>
    </row>
    <row r="1568" spans="1:18" s="438" customFormat="1" outlineLevel="1">
      <c r="A1568" s="569"/>
      <c r="B1568" s="587"/>
      <c r="C1568" s="589"/>
      <c r="D1568" s="565"/>
      <c r="E1568" s="596"/>
      <c r="F1568" s="565"/>
      <c r="G1568" s="592"/>
      <c r="H1568" s="565"/>
      <c r="I1568" s="565"/>
      <c r="J1568" s="565"/>
      <c r="K1568" s="466"/>
      <c r="L1568" s="459"/>
      <c r="M1568" s="460"/>
      <c r="N1568" s="459"/>
      <c r="O1568" s="261"/>
      <c r="P1568" s="565"/>
      <c r="Q1568" s="565"/>
      <c r="R1568" s="467"/>
    </row>
    <row r="1569" spans="1:18" s="438" customFormat="1" outlineLevel="1">
      <c r="A1569" s="569"/>
      <c r="B1569" s="587"/>
      <c r="C1569" s="589"/>
      <c r="D1569" s="565"/>
      <c r="E1569" s="596"/>
      <c r="F1569" s="565"/>
      <c r="G1569" s="592"/>
      <c r="H1569" s="565"/>
      <c r="I1569" s="565"/>
      <c r="J1569" s="565"/>
      <c r="K1569" s="466"/>
      <c r="L1569" s="459"/>
      <c r="M1569" s="460"/>
      <c r="N1569" s="459"/>
      <c r="O1569" s="261"/>
      <c r="P1569" s="565"/>
      <c r="Q1569" s="565"/>
      <c r="R1569" s="467"/>
    </row>
    <row r="1570" spans="1:18" s="438" customFormat="1" outlineLevel="1">
      <c r="A1570" s="569"/>
      <c r="B1570" s="587"/>
      <c r="C1570" s="589"/>
      <c r="D1570" s="565"/>
      <c r="E1570" s="596"/>
      <c r="F1570" s="565"/>
      <c r="G1570" s="592"/>
      <c r="H1570" s="565"/>
      <c r="I1570" s="565"/>
      <c r="J1570" s="565"/>
      <c r="K1570" s="466"/>
      <c r="L1570" s="459"/>
      <c r="M1570" s="460"/>
      <c r="N1570" s="459"/>
      <c r="O1570" s="261"/>
      <c r="P1570" s="565"/>
      <c r="Q1570" s="565"/>
      <c r="R1570" s="467"/>
    </row>
    <row r="1571" spans="1:18" s="438" customFormat="1" outlineLevel="1">
      <c r="A1571" s="569"/>
      <c r="B1571" s="587"/>
      <c r="C1571" s="589"/>
      <c r="D1571" s="565"/>
      <c r="E1571" s="596"/>
      <c r="F1571" s="565"/>
      <c r="G1571" s="592"/>
      <c r="H1571" s="565"/>
      <c r="I1571" s="565"/>
      <c r="J1571" s="565"/>
      <c r="K1571" s="466"/>
      <c r="L1571" s="459"/>
      <c r="M1571" s="460"/>
      <c r="N1571" s="459"/>
      <c r="O1571" s="261"/>
      <c r="P1571" s="565"/>
      <c r="Q1571" s="565"/>
      <c r="R1571" s="467"/>
    </row>
    <row r="1572" spans="1:18" s="438" customFormat="1" outlineLevel="1">
      <c r="A1572" s="570"/>
      <c r="B1572" s="588"/>
      <c r="C1572" s="590"/>
      <c r="D1572" s="566"/>
      <c r="E1572" s="596"/>
      <c r="F1572" s="566"/>
      <c r="G1572" s="593"/>
      <c r="H1572" s="566"/>
      <c r="I1572" s="566"/>
      <c r="J1572" s="566"/>
      <c r="K1572" s="466"/>
      <c r="L1572" s="459"/>
      <c r="M1572" s="460"/>
      <c r="N1572" s="459"/>
      <c r="O1572" s="261"/>
      <c r="P1572" s="566"/>
      <c r="Q1572" s="566"/>
      <c r="R1572" s="467"/>
    </row>
    <row r="1573" spans="1:18" s="438" customFormat="1" outlineLevel="1">
      <c r="A1573" s="568"/>
      <c r="B1573" s="587"/>
      <c r="C1573" s="595"/>
      <c r="D1573" s="565"/>
      <c r="E1573" s="596"/>
      <c r="F1573" s="565"/>
      <c r="G1573" s="597"/>
      <c r="H1573" s="594"/>
      <c r="I1573" s="594"/>
      <c r="J1573" s="594"/>
      <c r="K1573" s="458"/>
      <c r="L1573" s="459"/>
      <c r="M1573" s="460"/>
      <c r="N1573" s="459"/>
      <c r="O1573" s="261"/>
      <c r="P1573" s="594"/>
      <c r="Q1573" s="594"/>
      <c r="R1573" s="467"/>
    </row>
    <row r="1574" spans="1:18" s="438" customFormat="1" outlineLevel="1">
      <c r="A1574" s="569"/>
      <c r="B1574" s="587"/>
      <c r="C1574" s="589"/>
      <c r="D1574" s="565"/>
      <c r="E1574" s="596"/>
      <c r="F1574" s="565"/>
      <c r="G1574" s="592"/>
      <c r="H1574" s="565"/>
      <c r="I1574" s="565"/>
      <c r="J1574" s="565"/>
      <c r="K1574" s="466"/>
      <c r="L1574" s="459"/>
      <c r="M1574" s="460"/>
      <c r="N1574" s="459"/>
      <c r="O1574" s="261"/>
      <c r="P1574" s="565"/>
      <c r="Q1574" s="565"/>
      <c r="R1574" s="467"/>
    </row>
    <row r="1575" spans="1:18" s="438" customFormat="1" outlineLevel="1">
      <c r="A1575" s="569"/>
      <c r="B1575" s="587"/>
      <c r="C1575" s="589"/>
      <c r="D1575" s="565"/>
      <c r="E1575" s="596"/>
      <c r="F1575" s="565"/>
      <c r="G1575" s="592"/>
      <c r="H1575" s="565"/>
      <c r="I1575" s="565"/>
      <c r="J1575" s="565"/>
      <c r="K1575" s="466"/>
      <c r="L1575" s="459"/>
      <c r="M1575" s="460"/>
      <c r="N1575" s="459"/>
      <c r="O1575" s="261"/>
      <c r="P1575" s="565"/>
      <c r="Q1575" s="565"/>
      <c r="R1575" s="467"/>
    </row>
    <row r="1576" spans="1:18" s="438" customFormat="1" outlineLevel="1">
      <c r="A1576" s="569"/>
      <c r="B1576" s="587"/>
      <c r="C1576" s="589"/>
      <c r="D1576" s="565"/>
      <c r="E1576" s="596"/>
      <c r="F1576" s="565"/>
      <c r="G1576" s="592"/>
      <c r="H1576" s="565"/>
      <c r="I1576" s="565"/>
      <c r="J1576" s="565"/>
      <c r="K1576" s="466"/>
      <c r="L1576" s="459"/>
      <c r="M1576" s="460"/>
      <c r="N1576" s="459"/>
      <c r="O1576" s="261"/>
      <c r="P1576" s="565"/>
      <c r="Q1576" s="565"/>
      <c r="R1576" s="467"/>
    </row>
    <row r="1577" spans="1:18" s="438" customFormat="1" outlineLevel="1">
      <c r="A1577" s="569"/>
      <c r="B1577" s="587"/>
      <c r="C1577" s="589"/>
      <c r="D1577" s="565"/>
      <c r="E1577" s="596"/>
      <c r="F1577" s="565"/>
      <c r="G1577" s="592"/>
      <c r="H1577" s="565"/>
      <c r="I1577" s="565"/>
      <c r="J1577" s="565"/>
      <c r="K1577" s="466"/>
      <c r="L1577" s="459"/>
      <c r="M1577" s="460"/>
      <c r="N1577" s="459"/>
      <c r="O1577" s="261"/>
      <c r="P1577" s="565"/>
      <c r="Q1577" s="565"/>
      <c r="R1577" s="467"/>
    </row>
    <row r="1578" spans="1:18" s="438" customFormat="1" outlineLevel="1">
      <c r="A1578" s="569"/>
      <c r="B1578" s="587"/>
      <c r="C1578" s="589"/>
      <c r="D1578" s="565"/>
      <c r="E1578" s="596"/>
      <c r="F1578" s="565"/>
      <c r="G1578" s="592"/>
      <c r="H1578" s="565"/>
      <c r="I1578" s="565"/>
      <c r="J1578" s="565"/>
      <c r="K1578" s="466"/>
      <c r="L1578" s="459"/>
      <c r="M1578" s="460"/>
      <c r="N1578" s="459"/>
      <c r="O1578" s="261"/>
      <c r="P1578" s="565"/>
      <c r="Q1578" s="565"/>
      <c r="R1578" s="467"/>
    </row>
    <row r="1579" spans="1:18" s="438" customFormat="1" outlineLevel="1">
      <c r="A1579" s="569"/>
      <c r="B1579" s="587"/>
      <c r="C1579" s="589"/>
      <c r="D1579" s="565"/>
      <c r="E1579" s="596"/>
      <c r="F1579" s="565"/>
      <c r="G1579" s="592"/>
      <c r="H1579" s="565"/>
      <c r="I1579" s="565"/>
      <c r="J1579" s="565"/>
      <c r="K1579" s="466"/>
      <c r="L1579" s="459"/>
      <c r="M1579" s="460"/>
      <c r="N1579" s="459"/>
      <c r="O1579" s="261"/>
      <c r="P1579" s="565"/>
      <c r="Q1579" s="565"/>
      <c r="R1579" s="467"/>
    </row>
    <row r="1580" spans="1:18" s="438" customFormat="1" outlineLevel="1">
      <c r="A1580" s="569"/>
      <c r="B1580" s="587"/>
      <c r="C1580" s="589"/>
      <c r="D1580" s="565"/>
      <c r="E1580" s="596"/>
      <c r="F1580" s="565"/>
      <c r="G1580" s="592"/>
      <c r="H1580" s="565"/>
      <c r="I1580" s="565"/>
      <c r="J1580" s="565"/>
      <c r="K1580" s="466"/>
      <c r="L1580" s="459"/>
      <c r="M1580" s="460"/>
      <c r="N1580" s="459"/>
      <c r="O1580" s="261"/>
      <c r="P1580" s="565"/>
      <c r="Q1580" s="565"/>
      <c r="R1580" s="467"/>
    </row>
    <row r="1581" spans="1:18" s="438" customFormat="1" outlineLevel="1">
      <c r="A1581" s="569"/>
      <c r="B1581" s="587"/>
      <c r="C1581" s="589"/>
      <c r="D1581" s="565"/>
      <c r="E1581" s="596"/>
      <c r="F1581" s="565"/>
      <c r="G1581" s="592"/>
      <c r="H1581" s="565"/>
      <c r="I1581" s="565"/>
      <c r="J1581" s="565"/>
      <c r="K1581" s="466"/>
      <c r="L1581" s="459"/>
      <c r="M1581" s="460"/>
      <c r="N1581" s="459"/>
      <c r="O1581" s="261"/>
      <c r="P1581" s="565"/>
      <c r="Q1581" s="565"/>
      <c r="R1581" s="467"/>
    </row>
    <row r="1582" spans="1:18" s="438" customFormat="1" outlineLevel="1">
      <c r="A1582" s="569"/>
      <c r="B1582" s="587"/>
      <c r="C1582" s="589"/>
      <c r="D1582" s="565"/>
      <c r="E1582" s="596"/>
      <c r="F1582" s="565"/>
      <c r="G1582" s="592"/>
      <c r="H1582" s="565"/>
      <c r="I1582" s="565"/>
      <c r="J1582" s="565"/>
      <c r="K1582" s="466"/>
      <c r="L1582" s="459"/>
      <c r="M1582" s="460"/>
      <c r="N1582" s="459"/>
      <c r="O1582" s="261"/>
      <c r="P1582" s="565"/>
      <c r="Q1582" s="565"/>
      <c r="R1582" s="467"/>
    </row>
    <row r="1583" spans="1:18" s="438" customFormat="1" outlineLevel="1">
      <c r="A1583" s="569"/>
      <c r="B1583" s="587"/>
      <c r="C1583" s="589"/>
      <c r="D1583" s="565"/>
      <c r="E1583" s="596"/>
      <c r="F1583" s="565"/>
      <c r="G1583" s="592"/>
      <c r="H1583" s="565"/>
      <c r="I1583" s="565"/>
      <c r="J1583" s="565"/>
      <c r="K1583" s="466"/>
      <c r="L1583" s="459"/>
      <c r="M1583" s="460"/>
      <c r="N1583" s="459"/>
      <c r="O1583" s="261"/>
      <c r="P1583" s="565"/>
      <c r="Q1583" s="565"/>
      <c r="R1583" s="467"/>
    </row>
    <row r="1584" spans="1:18" s="438" customFormat="1" outlineLevel="1">
      <c r="A1584" s="569"/>
      <c r="B1584" s="587"/>
      <c r="C1584" s="589"/>
      <c r="D1584" s="565"/>
      <c r="E1584" s="596"/>
      <c r="F1584" s="565"/>
      <c r="G1584" s="592"/>
      <c r="H1584" s="565"/>
      <c r="I1584" s="565"/>
      <c r="J1584" s="565"/>
      <c r="K1584" s="466"/>
      <c r="L1584" s="459"/>
      <c r="M1584" s="460"/>
      <c r="N1584" s="459"/>
      <c r="O1584" s="261"/>
      <c r="P1584" s="565"/>
      <c r="Q1584" s="565"/>
      <c r="R1584" s="467"/>
    </row>
    <row r="1585" spans="1:18" s="438" customFormat="1" outlineLevel="1">
      <c r="A1585" s="569"/>
      <c r="B1585" s="587"/>
      <c r="C1585" s="589"/>
      <c r="D1585" s="565"/>
      <c r="E1585" s="596"/>
      <c r="F1585" s="565"/>
      <c r="G1585" s="592"/>
      <c r="H1585" s="565"/>
      <c r="I1585" s="565"/>
      <c r="J1585" s="565"/>
      <c r="K1585" s="466"/>
      <c r="L1585" s="459"/>
      <c r="M1585" s="460"/>
      <c r="N1585" s="459"/>
      <c r="O1585" s="261"/>
      <c r="P1585" s="565"/>
      <c r="Q1585" s="565"/>
      <c r="R1585" s="467"/>
    </row>
    <row r="1586" spans="1:18" s="438" customFormat="1" outlineLevel="1">
      <c r="A1586" s="569"/>
      <c r="B1586" s="587"/>
      <c r="C1586" s="589"/>
      <c r="D1586" s="565"/>
      <c r="E1586" s="596"/>
      <c r="F1586" s="565"/>
      <c r="G1586" s="592"/>
      <c r="H1586" s="565"/>
      <c r="I1586" s="565"/>
      <c r="J1586" s="565"/>
      <c r="K1586" s="466"/>
      <c r="L1586" s="459"/>
      <c r="M1586" s="460"/>
      <c r="N1586" s="459"/>
      <c r="O1586" s="261"/>
      <c r="P1586" s="565"/>
      <c r="Q1586" s="565"/>
      <c r="R1586" s="467"/>
    </row>
    <row r="1587" spans="1:18" s="438" customFormat="1" outlineLevel="1">
      <c r="A1587" s="569"/>
      <c r="B1587" s="587"/>
      <c r="C1587" s="589"/>
      <c r="D1587" s="565"/>
      <c r="E1587" s="596"/>
      <c r="F1587" s="565"/>
      <c r="G1587" s="592"/>
      <c r="H1587" s="565"/>
      <c r="I1587" s="565"/>
      <c r="J1587" s="565"/>
      <c r="K1587" s="466"/>
      <c r="L1587" s="459"/>
      <c r="M1587" s="460"/>
      <c r="N1587" s="459"/>
      <c r="O1587" s="261"/>
      <c r="P1587" s="565"/>
      <c r="Q1587" s="565"/>
      <c r="R1587" s="467"/>
    </row>
    <row r="1588" spans="1:18" s="438" customFormat="1" outlineLevel="1">
      <c r="A1588" s="570"/>
      <c r="B1588" s="588"/>
      <c r="C1588" s="590"/>
      <c r="D1588" s="566"/>
      <c r="E1588" s="596"/>
      <c r="F1588" s="566"/>
      <c r="G1588" s="593"/>
      <c r="H1588" s="566"/>
      <c r="I1588" s="566"/>
      <c r="J1588" s="566"/>
      <c r="K1588" s="466"/>
      <c r="L1588" s="459"/>
      <c r="M1588" s="460"/>
      <c r="N1588" s="459"/>
      <c r="O1588" s="261"/>
      <c r="P1588" s="566"/>
      <c r="Q1588" s="566"/>
      <c r="R1588" s="467"/>
    </row>
    <row r="1589" spans="1:18" s="438" customFormat="1" outlineLevel="1">
      <c r="A1589" s="568"/>
      <c r="B1589" s="587"/>
      <c r="C1589" s="595"/>
      <c r="D1589" s="565"/>
      <c r="E1589" s="596"/>
      <c r="F1589" s="565"/>
      <c r="G1589" s="597"/>
      <c r="H1589" s="594"/>
      <c r="I1589" s="594"/>
      <c r="J1589" s="594"/>
      <c r="K1589" s="458"/>
      <c r="L1589" s="459"/>
      <c r="M1589" s="460"/>
      <c r="N1589" s="459"/>
      <c r="O1589" s="261"/>
      <c r="P1589" s="594"/>
      <c r="Q1589" s="594"/>
      <c r="R1589" s="467"/>
    </row>
    <row r="1590" spans="1:18" s="438" customFormat="1" outlineLevel="1">
      <c r="A1590" s="569"/>
      <c r="B1590" s="587"/>
      <c r="C1590" s="589"/>
      <c r="D1590" s="565"/>
      <c r="E1590" s="596"/>
      <c r="F1590" s="565"/>
      <c r="G1590" s="592"/>
      <c r="H1590" s="565"/>
      <c r="I1590" s="565"/>
      <c r="J1590" s="565"/>
      <c r="K1590" s="466"/>
      <c r="L1590" s="459"/>
      <c r="M1590" s="460"/>
      <c r="N1590" s="459"/>
      <c r="O1590" s="261"/>
      <c r="P1590" s="565"/>
      <c r="Q1590" s="565"/>
      <c r="R1590" s="467"/>
    </row>
    <row r="1591" spans="1:18" s="438" customFormat="1" outlineLevel="1">
      <c r="A1591" s="569"/>
      <c r="B1591" s="587"/>
      <c r="C1591" s="589"/>
      <c r="D1591" s="565"/>
      <c r="E1591" s="596"/>
      <c r="F1591" s="565"/>
      <c r="G1591" s="592"/>
      <c r="H1591" s="565"/>
      <c r="I1591" s="565"/>
      <c r="J1591" s="565"/>
      <c r="K1591" s="466"/>
      <c r="L1591" s="459"/>
      <c r="M1591" s="460"/>
      <c r="N1591" s="459"/>
      <c r="O1591" s="261"/>
      <c r="P1591" s="565"/>
      <c r="Q1591" s="565"/>
      <c r="R1591" s="467"/>
    </row>
    <row r="1592" spans="1:18" s="438" customFormat="1" outlineLevel="1">
      <c r="A1592" s="569"/>
      <c r="B1592" s="587"/>
      <c r="C1592" s="589"/>
      <c r="D1592" s="565"/>
      <c r="E1592" s="596"/>
      <c r="F1592" s="565"/>
      <c r="G1592" s="592"/>
      <c r="H1592" s="565"/>
      <c r="I1592" s="565"/>
      <c r="J1592" s="565"/>
      <c r="K1592" s="466"/>
      <c r="L1592" s="459"/>
      <c r="M1592" s="460"/>
      <c r="N1592" s="459"/>
      <c r="O1592" s="261"/>
      <c r="P1592" s="565"/>
      <c r="Q1592" s="565"/>
      <c r="R1592" s="467"/>
    </row>
    <row r="1593" spans="1:18" s="438" customFormat="1" outlineLevel="1">
      <c r="A1593" s="569"/>
      <c r="B1593" s="587"/>
      <c r="C1593" s="589"/>
      <c r="D1593" s="565"/>
      <c r="E1593" s="596"/>
      <c r="F1593" s="565"/>
      <c r="G1593" s="592"/>
      <c r="H1593" s="565"/>
      <c r="I1593" s="565"/>
      <c r="J1593" s="565"/>
      <c r="K1593" s="466"/>
      <c r="L1593" s="459"/>
      <c r="M1593" s="460"/>
      <c r="N1593" s="459"/>
      <c r="O1593" s="261"/>
      <c r="P1593" s="565"/>
      <c r="Q1593" s="565"/>
      <c r="R1593" s="467"/>
    </row>
    <row r="1594" spans="1:18" s="438" customFormat="1" outlineLevel="1">
      <c r="A1594" s="569"/>
      <c r="B1594" s="587"/>
      <c r="C1594" s="589"/>
      <c r="D1594" s="565"/>
      <c r="E1594" s="596"/>
      <c r="F1594" s="565"/>
      <c r="G1594" s="592"/>
      <c r="H1594" s="565"/>
      <c r="I1594" s="565"/>
      <c r="J1594" s="565"/>
      <c r="K1594" s="466"/>
      <c r="L1594" s="459"/>
      <c r="M1594" s="460"/>
      <c r="N1594" s="459"/>
      <c r="O1594" s="261"/>
      <c r="P1594" s="565"/>
      <c r="Q1594" s="565"/>
      <c r="R1594" s="467"/>
    </row>
    <row r="1595" spans="1:18" s="438" customFormat="1" outlineLevel="1">
      <c r="A1595" s="569"/>
      <c r="B1595" s="587"/>
      <c r="C1595" s="589"/>
      <c r="D1595" s="565"/>
      <c r="E1595" s="596"/>
      <c r="F1595" s="565"/>
      <c r="G1595" s="592"/>
      <c r="H1595" s="565"/>
      <c r="I1595" s="565"/>
      <c r="J1595" s="565"/>
      <c r="K1595" s="466"/>
      <c r="L1595" s="459"/>
      <c r="M1595" s="460"/>
      <c r="N1595" s="459"/>
      <c r="O1595" s="261"/>
      <c r="P1595" s="565"/>
      <c r="Q1595" s="565"/>
      <c r="R1595" s="467"/>
    </row>
    <row r="1596" spans="1:18" s="438" customFormat="1" outlineLevel="1">
      <c r="A1596" s="569"/>
      <c r="B1596" s="587"/>
      <c r="C1596" s="589"/>
      <c r="D1596" s="565"/>
      <c r="E1596" s="596"/>
      <c r="F1596" s="565"/>
      <c r="G1596" s="592"/>
      <c r="H1596" s="565"/>
      <c r="I1596" s="565"/>
      <c r="J1596" s="565"/>
      <c r="K1596" s="466"/>
      <c r="L1596" s="459"/>
      <c r="M1596" s="460"/>
      <c r="N1596" s="459"/>
      <c r="O1596" s="261"/>
      <c r="P1596" s="565"/>
      <c r="Q1596" s="565"/>
      <c r="R1596" s="467"/>
    </row>
    <row r="1597" spans="1:18" s="438" customFormat="1" outlineLevel="1">
      <c r="A1597" s="569"/>
      <c r="B1597" s="587"/>
      <c r="C1597" s="589"/>
      <c r="D1597" s="565"/>
      <c r="E1597" s="596"/>
      <c r="F1597" s="565"/>
      <c r="G1597" s="592"/>
      <c r="H1597" s="565"/>
      <c r="I1597" s="565"/>
      <c r="J1597" s="565"/>
      <c r="K1597" s="466"/>
      <c r="L1597" s="459"/>
      <c r="M1597" s="460"/>
      <c r="N1597" s="459"/>
      <c r="O1597" s="261"/>
      <c r="P1597" s="565"/>
      <c r="Q1597" s="565"/>
      <c r="R1597" s="467"/>
    </row>
    <row r="1598" spans="1:18" s="438" customFormat="1" outlineLevel="1">
      <c r="A1598" s="569"/>
      <c r="B1598" s="587"/>
      <c r="C1598" s="589"/>
      <c r="D1598" s="565"/>
      <c r="E1598" s="596"/>
      <c r="F1598" s="565"/>
      <c r="G1598" s="592"/>
      <c r="H1598" s="565"/>
      <c r="I1598" s="565"/>
      <c r="J1598" s="565"/>
      <c r="K1598" s="466"/>
      <c r="L1598" s="459"/>
      <c r="M1598" s="460"/>
      <c r="N1598" s="459"/>
      <c r="O1598" s="261"/>
      <c r="P1598" s="565"/>
      <c r="Q1598" s="565"/>
      <c r="R1598" s="467"/>
    </row>
    <row r="1599" spans="1:18" s="438" customFormat="1" outlineLevel="1">
      <c r="A1599" s="569"/>
      <c r="B1599" s="587"/>
      <c r="C1599" s="589"/>
      <c r="D1599" s="565"/>
      <c r="E1599" s="596"/>
      <c r="F1599" s="565"/>
      <c r="G1599" s="592"/>
      <c r="H1599" s="565"/>
      <c r="I1599" s="565"/>
      <c r="J1599" s="565"/>
      <c r="K1599" s="466"/>
      <c r="L1599" s="459"/>
      <c r="M1599" s="460"/>
      <c r="N1599" s="459"/>
      <c r="O1599" s="261"/>
      <c r="P1599" s="565"/>
      <c r="Q1599" s="565"/>
      <c r="R1599" s="467"/>
    </row>
    <row r="1600" spans="1:18" s="438" customFormat="1" outlineLevel="1">
      <c r="A1600" s="569"/>
      <c r="B1600" s="587"/>
      <c r="C1600" s="589"/>
      <c r="D1600" s="565"/>
      <c r="E1600" s="596"/>
      <c r="F1600" s="565"/>
      <c r="G1600" s="592"/>
      <c r="H1600" s="565"/>
      <c r="I1600" s="565"/>
      <c r="J1600" s="565"/>
      <c r="K1600" s="466"/>
      <c r="L1600" s="459"/>
      <c r="M1600" s="460"/>
      <c r="N1600" s="459"/>
      <c r="O1600" s="261"/>
      <c r="P1600" s="565"/>
      <c r="Q1600" s="565"/>
      <c r="R1600" s="467"/>
    </row>
    <row r="1601" spans="1:18" s="438" customFormat="1" outlineLevel="1">
      <c r="A1601" s="569"/>
      <c r="B1601" s="587"/>
      <c r="C1601" s="589"/>
      <c r="D1601" s="565"/>
      <c r="E1601" s="596"/>
      <c r="F1601" s="565"/>
      <c r="G1601" s="592"/>
      <c r="H1601" s="565"/>
      <c r="I1601" s="565"/>
      <c r="J1601" s="565"/>
      <c r="K1601" s="466"/>
      <c r="L1601" s="459"/>
      <c r="M1601" s="460"/>
      <c r="N1601" s="459"/>
      <c r="O1601" s="261"/>
      <c r="P1601" s="565"/>
      <c r="Q1601" s="565"/>
      <c r="R1601" s="467"/>
    </row>
    <row r="1602" spans="1:18" s="438" customFormat="1" outlineLevel="1">
      <c r="A1602" s="569"/>
      <c r="B1602" s="587"/>
      <c r="C1602" s="589"/>
      <c r="D1602" s="565"/>
      <c r="E1602" s="596"/>
      <c r="F1602" s="565"/>
      <c r="G1602" s="592"/>
      <c r="H1602" s="565"/>
      <c r="I1602" s="565"/>
      <c r="J1602" s="565"/>
      <c r="K1602" s="466"/>
      <c r="L1602" s="459"/>
      <c r="M1602" s="460"/>
      <c r="N1602" s="459"/>
      <c r="O1602" s="261"/>
      <c r="P1602" s="565"/>
      <c r="Q1602" s="565"/>
      <c r="R1602" s="467"/>
    </row>
    <row r="1603" spans="1:18" s="438" customFormat="1" outlineLevel="1">
      <c r="A1603" s="569"/>
      <c r="B1603" s="587"/>
      <c r="C1603" s="589"/>
      <c r="D1603" s="565"/>
      <c r="E1603" s="596"/>
      <c r="F1603" s="565"/>
      <c r="G1603" s="592"/>
      <c r="H1603" s="565"/>
      <c r="I1603" s="565"/>
      <c r="J1603" s="565"/>
      <c r="K1603" s="466"/>
      <c r="L1603" s="459"/>
      <c r="M1603" s="460"/>
      <c r="N1603" s="459"/>
      <c r="O1603" s="261"/>
      <c r="P1603" s="565"/>
      <c r="Q1603" s="565"/>
      <c r="R1603" s="467"/>
    </row>
    <row r="1604" spans="1:18" s="438" customFormat="1" outlineLevel="1">
      <c r="A1604" s="570"/>
      <c r="B1604" s="588"/>
      <c r="C1604" s="590"/>
      <c r="D1604" s="566"/>
      <c r="E1604" s="596"/>
      <c r="F1604" s="566"/>
      <c r="G1604" s="593"/>
      <c r="H1604" s="566"/>
      <c r="I1604" s="566"/>
      <c r="J1604" s="566"/>
      <c r="K1604" s="466"/>
      <c r="L1604" s="459"/>
      <c r="M1604" s="460"/>
      <c r="N1604" s="459"/>
      <c r="O1604" s="261"/>
      <c r="P1604" s="566"/>
      <c r="Q1604" s="566"/>
      <c r="R1604" s="467"/>
    </row>
    <row r="1605" spans="1:18" s="438" customFormat="1" outlineLevel="1">
      <c r="A1605" s="568"/>
      <c r="B1605" s="572"/>
      <c r="C1605" s="574"/>
      <c r="D1605" s="578"/>
      <c r="E1605" s="580"/>
      <c r="F1605" s="578"/>
      <c r="G1605" s="581"/>
      <c r="H1605" s="577"/>
      <c r="I1605" s="577"/>
      <c r="J1605" s="577"/>
      <c r="K1605" s="472"/>
      <c r="L1605" s="482"/>
      <c r="M1605" s="479"/>
      <c r="N1605" s="476"/>
      <c r="O1605" s="477"/>
      <c r="P1605" s="577"/>
      <c r="Q1605" s="594"/>
      <c r="R1605" s="467"/>
    </row>
    <row r="1606" spans="1:18" s="438" customFormat="1" outlineLevel="1">
      <c r="A1606" s="569"/>
      <c r="B1606" s="598"/>
      <c r="C1606" s="589"/>
      <c r="D1606" s="565"/>
      <c r="E1606" s="596"/>
      <c r="F1606" s="565"/>
      <c r="G1606" s="600"/>
      <c r="H1606" s="602"/>
      <c r="I1606" s="565"/>
      <c r="J1606" s="565"/>
      <c r="K1606" s="466"/>
      <c r="L1606" s="459"/>
      <c r="M1606" s="460"/>
      <c r="N1606" s="459"/>
      <c r="O1606" s="261"/>
      <c r="P1606" s="565"/>
      <c r="Q1606" s="565"/>
      <c r="R1606" s="467"/>
    </row>
    <row r="1607" spans="1:18" s="438" customFormat="1" outlineLevel="1">
      <c r="A1607" s="569"/>
      <c r="B1607" s="598"/>
      <c r="C1607" s="589"/>
      <c r="D1607" s="565"/>
      <c r="E1607" s="596"/>
      <c r="F1607" s="565"/>
      <c r="G1607" s="600"/>
      <c r="H1607" s="602"/>
      <c r="I1607" s="565"/>
      <c r="J1607" s="565"/>
      <c r="K1607" s="466"/>
      <c r="L1607" s="459"/>
      <c r="M1607" s="460"/>
      <c r="N1607" s="459"/>
      <c r="O1607" s="261"/>
      <c r="P1607" s="565"/>
      <c r="Q1607" s="565"/>
      <c r="R1607" s="467"/>
    </row>
    <row r="1608" spans="1:18" s="438" customFormat="1" outlineLevel="1">
      <c r="A1608" s="569"/>
      <c r="B1608" s="598"/>
      <c r="C1608" s="589"/>
      <c r="D1608" s="565"/>
      <c r="E1608" s="596"/>
      <c r="F1608" s="565"/>
      <c r="G1608" s="600"/>
      <c r="H1608" s="602"/>
      <c r="I1608" s="565"/>
      <c r="J1608" s="565"/>
      <c r="K1608" s="466"/>
      <c r="L1608" s="459"/>
      <c r="M1608" s="460"/>
      <c r="N1608" s="459"/>
      <c r="O1608" s="261"/>
      <c r="P1608" s="565"/>
      <c r="Q1608" s="565"/>
      <c r="R1608" s="467"/>
    </row>
    <row r="1609" spans="1:18" s="438" customFormat="1" outlineLevel="1">
      <c r="A1609" s="569"/>
      <c r="B1609" s="598"/>
      <c r="C1609" s="589"/>
      <c r="D1609" s="565"/>
      <c r="E1609" s="596"/>
      <c r="F1609" s="565"/>
      <c r="G1609" s="600"/>
      <c r="H1609" s="602"/>
      <c r="I1609" s="565"/>
      <c r="J1609" s="565"/>
      <c r="K1609" s="466"/>
      <c r="L1609" s="459"/>
      <c r="M1609" s="460"/>
      <c r="N1609" s="459"/>
      <c r="O1609" s="261"/>
      <c r="P1609" s="565"/>
      <c r="Q1609" s="565"/>
      <c r="R1609" s="467"/>
    </row>
    <row r="1610" spans="1:18" s="438" customFormat="1" outlineLevel="1">
      <c r="A1610" s="569"/>
      <c r="B1610" s="598"/>
      <c r="C1610" s="589"/>
      <c r="D1610" s="565"/>
      <c r="E1610" s="596"/>
      <c r="F1610" s="565"/>
      <c r="G1610" s="600"/>
      <c r="H1610" s="602"/>
      <c r="I1610" s="565"/>
      <c r="J1610" s="565"/>
      <c r="K1610" s="466"/>
      <c r="L1610" s="459"/>
      <c r="M1610" s="460"/>
      <c r="N1610" s="459"/>
      <c r="O1610" s="261"/>
      <c r="P1610" s="565"/>
      <c r="Q1610" s="565"/>
      <c r="R1610" s="467"/>
    </row>
    <row r="1611" spans="1:18" s="438" customFormat="1" outlineLevel="1">
      <c r="A1611" s="569"/>
      <c r="B1611" s="598"/>
      <c r="C1611" s="589"/>
      <c r="D1611" s="565"/>
      <c r="E1611" s="596"/>
      <c r="F1611" s="565"/>
      <c r="G1611" s="600"/>
      <c r="H1611" s="602"/>
      <c r="I1611" s="565"/>
      <c r="J1611" s="565"/>
      <c r="K1611" s="466"/>
      <c r="L1611" s="459"/>
      <c r="M1611" s="460"/>
      <c r="N1611" s="459"/>
      <c r="O1611" s="261"/>
      <c r="P1611" s="565"/>
      <c r="Q1611" s="565"/>
      <c r="R1611" s="467"/>
    </row>
    <row r="1612" spans="1:18" s="438" customFormat="1" outlineLevel="1">
      <c r="A1612" s="569"/>
      <c r="B1612" s="598"/>
      <c r="C1612" s="589"/>
      <c r="D1612" s="565"/>
      <c r="E1612" s="596"/>
      <c r="F1612" s="565"/>
      <c r="G1612" s="600"/>
      <c r="H1612" s="602"/>
      <c r="I1612" s="565"/>
      <c r="J1612" s="565"/>
      <c r="K1612" s="466"/>
      <c r="L1612" s="459"/>
      <c r="M1612" s="460"/>
      <c r="N1612" s="459"/>
      <c r="O1612" s="261"/>
      <c r="P1612" s="565"/>
      <c r="Q1612" s="565"/>
      <c r="R1612" s="467"/>
    </row>
    <row r="1613" spans="1:18" s="438" customFormat="1" outlineLevel="1">
      <c r="A1613" s="569"/>
      <c r="B1613" s="598"/>
      <c r="C1613" s="589"/>
      <c r="D1613" s="565"/>
      <c r="E1613" s="596"/>
      <c r="F1613" s="565"/>
      <c r="G1613" s="600"/>
      <c r="H1613" s="602"/>
      <c r="I1613" s="565"/>
      <c r="J1613" s="565"/>
      <c r="K1613" s="466"/>
      <c r="L1613" s="459"/>
      <c r="M1613" s="460"/>
      <c r="N1613" s="459"/>
      <c r="O1613" s="261"/>
      <c r="P1613" s="565"/>
      <c r="Q1613" s="565"/>
      <c r="R1613" s="467"/>
    </row>
    <row r="1614" spans="1:18" s="438" customFormat="1" outlineLevel="1">
      <c r="A1614" s="569"/>
      <c r="B1614" s="598"/>
      <c r="C1614" s="589"/>
      <c r="D1614" s="565"/>
      <c r="E1614" s="596"/>
      <c r="F1614" s="565"/>
      <c r="G1614" s="600"/>
      <c r="H1614" s="602"/>
      <c r="I1614" s="565"/>
      <c r="J1614" s="565"/>
      <c r="K1614" s="466"/>
      <c r="L1614" s="459"/>
      <c r="M1614" s="460"/>
      <c r="N1614" s="459"/>
      <c r="O1614" s="261"/>
      <c r="P1614" s="565"/>
      <c r="Q1614" s="565"/>
      <c r="R1614" s="467"/>
    </row>
    <row r="1615" spans="1:18" s="438" customFormat="1" outlineLevel="1">
      <c r="A1615" s="569"/>
      <c r="B1615" s="598"/>
      <c r="C1615" s="589"/>
      <c r="D1615" s="565"/>
      <c r="E1615" s="596"/>
      <c r="F1615" s="565"/>
      <c r="G1615" s="600"/>
      <c r="H1615" s="602"/>
      <c r="I1615" s="565"/>
      <c r="J1615" s="565"/>
      <c r="K1615" s="466"/>
      <c r="L1615" s="459"/>
      <c r="M1615" s="460"/>
      <c r="N1615" s="459"/>
      <c r="O1615" s="261"/>
      <c r="P1615" s="565"/>
      <c r="Q1615" s="565"/>
      <c r="R1615" s="467"/>
    </row>
    <row r="1616" spans="1:18" s="438" customFormat="1" outlineLevel="1">
      <c r="A1616" s="569"/>
      <c r="B1616" s="598"/>
      <c r="C1616" s="589"/>
      <c r="D1616" s="565"/>
      <c r="E1616" s="596"/>
      <c r="F1616" s="565"/>
      <c r="G1616" s="600"/>
      <c r="H1616" s="602"/>
      <c r="I1616" s="565"/>
      <c r="J1616" s="565"/>
      <c r="K1616" s="466"/>
      <c r="L1616" s="459"/>
      <c r="M1616" s="460"/>
      <c r="N1616" s="459"/>
      <c r="O1616" s="261"/>
      <c r="P1616" s="565"/>
      <c r="Q1616" s="565"/>
      <c r="R1616" s="467"/>
    </row>
    <row r="1617" spans="1:18" s="438" customFormat="1" outlineLevel="1">
      <c r="A1617" s="569"/>
      <c r="B1617" s="598"/>
      <c r="C1617" s="589"/>
      <c r="D1617" s="565"/>
      <c r="E1617" s="596"/>
      <c r="F1617" s="565"/>
      <c r="G1617" s="600"/>
      <c r="H1617" s="602"/>
      <c r="I1617" s="565"/>
      <c r="J1617" s="565"/>
      <c r="K1617" s="466"/>
      <c r="L1617" s="459"/>
      <c r="M1617" s="460"/>
      <c r="N1617" s="459"/>
      <c r="O1617" s="261"/>
      <c r="P1617" s="565"/>
      <c r="Q1617" s="565"/>
      <c r="R1617" s="467"/>
    </row>
    <row r="1618" spans="1:18" s="438" customFormat="1" outlineLevel="1">
      <c r="A1618" s="569"/>
      <c r="B1618" s="598"/>
      <c r="C1618" s="589"/>
      <c r="D1618" s="565"/>
      <c r="E1618" s="596"/>
      <c r="F1618" s="565"/>
      <c r="G1618" s="600"/>
      <c r="H1618" s="602"/>
      <c r="I1618" s="565"/>
      <c r="J1618" s="565"/>
      <c r="K1618" s="466"/>
      <c r="L1618" s="459"/>
      <c r="M1618" s="460"/>
      <c r="N1618" s="459"/>
      <c r="O1618" s="261"/>
      <c r="P1618" s="565"/>
      <c r="Q1618" s="565"/>
      <c r="R1618" s="467"/>
    </row>
    <row r="1619" spans="1:18" s="438" customFormat="1" outlineLevel="1">
      <c r="A1619" s="569"/>
      <c r="B1619" s="598"/>
      <c r="C1619" s="589"/>
      <c r="D1619" s="565"/>
      <c r="E1619" s="596"/>
      <c r="F1619" s="565"/>
      <c r="G1619" s="600"/>
      <c r="H1619" s="602"/>
      <c r="I1619" s="565"/>
      <c r="J1619" s="565"/>
      <c r="K1619" s="466"/>
      <c r="L1619" s="459"/>
      <c r="M1619" s="460"/>
      <c r="N1619" s="459"/>
      <c r="O1619" s="261"/>
      <c r="P1619" s="565"/>
      <c r="Q1619" s="565"/>
      <c r="R1619" s="467"/>
    </row>
    <row r="1620" spans="1:18" s="438" customFormat="1" outlineLevel="1">
      <c r="A1620" s="570"/>
      <c r="B1620" s="599"/>
      <c r="C1620" s="590"/>
      <c r="D1620" s="566"/>
      <c r="E1620" s="596"/>
      <c r="F1620" s="566"/>
      <c r="G1620" s="601"/>
      <c r="H1620" s="603"/>
      <c r="I1620" s="566"/>
      <c r="J1620" s="566"/>
      <c r="K1620" s="466"/>
      <c r="L1620" s="459"/>
      <c r="M1620" s="460"/>
      <c r="N1620" s="459"/>
      <c r="O1620" s="261"/>
      <c r="P1620" s="566"/>
      <c r="Q1620" s="566"/>
      <c r="R1620" s="467"/>
    </row>
    <row r="1621" spans="1:18" s="438" customFormat="1" outlineLevel="1">
      <c r="A1621" s="568"/>
      <c r="B1621" s="572"/>
      <c r="C1621" s="574"/>
      <c r="D1621" s="578"/>
      <c r="E1621" s="580"/>
      <c r="F1621" s="578"/>
      <c r="G1621" s="581"/>
      <c r="H1621" s="577"/>
      <c r="I1621" s="577"/>
      <c r="J1621" s="577"/>
      <c r="K1621" s="472"/>
      <c r="L1621" s="482"/>
      <c r="M1621" s="479"/>
      <c r="N1621" s="476"/>
      <c r="O1621" s="477"/>
      <c r="P1621" s="577"/>
      <c r="Q1621" s="594"/>
      <c r="R1621" s="467"/>
    </row>
    <row r="1622" spans="1:18" s="438" customFormat="1" outlineLevel="1">
      <c r="A1622" s="569"/>
      <c r="B1622" s="598"/>
      <c r="C1622" s="589"/>
      <c r="D1622" s="565"/>
      <c r="E1622" s="596"/>
      <c r="F1622" s="565"/>
      <c r="G1622" s="600"/>
      <c r="H1622" s="602"/>
      <c r="I1622" s="565"/>
      <c r="J1622" s="565"/>
      <c r="K1622" s="466"/>
      <c r="L1622" s="459"/>
      <c r="M1622" s="460"/>
      <c r="N1622" s="459"/>
      <c r="O1622" s="261"/>
      <c r="P1622" s="565"/>
      <c r="Q1622" s="565"/>
      <c r="R1622" s="467"/>
    </row>
    <row r="1623" spans="1:18" s="438" customFormat="1" outlineLevel="1">
      <c r="A1623" s="569"/>
      <c r="B1623" s="598"/>
      <c r="C1623" s="589"/>
      <c r="D1623" s="565"/>
      <c r="E1623" s="596"/>
      <c r="F1623" s="565"/>
      <c r="G1623" s="600"/>
      <c r="H1623" s="602"/>
      <c r="I1623" s="565"/>
      <c r="J1623" s="565"/>
      <c r="K1623" s="466"/>
      <c r="L1623" s="459"/>
      <c r="M1623" s="460"/>
      <c r="N1623" s="459"/>
      <c r="O1623" s="261"/>
      <c r="P1623" s="565"/>
      <c r="Q1623" s="565"/>
      <c r="R1623" s="467"/>
    </row>
    <row r="1624" spans="1:18" s="438" customFormat="1" outlineLevel="1">
      <c r="A1624" s="569"/>
      <c r="B1624" s="598"/>
      <c r="C1624" s="589"/>
      <c r="D1624" s="565"/>
      <c r="E1624" s="596"/>
      <c r="F1624" s="565"/>
      <c r="G1624" s="600"/>
      <c r="H1624" s="602"/>
      <c r="I1624" s="565"/>
      <c r="J1624" s="565"/>
      <c r="K1624" s="466"/>
      <c r="L1624" s="459"/>
      <c r="M1624" s="460"/>
      <c r="N1624" s="459"/>
      <c r="O1624" s="261"/>
      <c r="P1624" s="565"/>
      <c r="Q1624" s="565"/>
      <c r="R1624" s="467"/>
    </row>
    <row r="1625" spans="1:18" s="438" customFormat="1" outlineLevel="1">
      <c r="A1625" s="569"/>
      <c r="B1625" s="598"/>
      <c r="C1625" s="589"/>
      <c r="D1625" s="565"/>
      <c r="E1625" s="596"/>
      <c r="F1625" s="565"/>
      <c r="G1625" s="600"/>
      <c r="H1625" s="602"/>
      <c r="I1625" s="565"/>
      <c r="J1625" s="565"/>
      <c r="K1625" s="466"/>
      <c r="L1625" s="459"/>
      <c r="M1625" s="460"/>
      <c r="N1625" s="459"/>
      <c r="O1625" s="261"/>
      <c r="P1625" s="565"/>
      <c r="Q1625" s="565"/>
      <c r="R1625" s="467"/>
    </row>
    <row r="1626" spans="1:18" s="438" customFormat="1" outlineLevel="1">
      <c r="A1626" s="569"/>
      <c r="B1626" s="598"/>
      <c r="C1626" s="589"/>
      <c r="D1626" s="565"/>
      <c r="E1626" s="596"/>
      <c r="F1626" s="565"/>
      <c r="G1626" s="600"/>
      <c r="H1626" s="602"/>
      <c r="I1626" s="565"/>
      <c r="J1626" s="565"/>
      <c r="K1626" s="466"/>
      <c r="L1626" s="459"/>
      <c r="M1626" s="460"/>
      <c r="N1626" s="459"/>
      <c r="O1626" s="261"/>
      <c r="P1626" s="565"/>
      <c r="Q1626" s="565"/>
      <c r="R1626" s="467"/>
    </row>
    <row r="1627" spans="1:18" s="438" customFormat="1" outlineLevel="1">
      <c r="A1627" s="569"/>
      <c r="B1627" s="598"/>
      <c r="C1627" s="589"/>
      <c r="D1627" s="565"/>
      <c r="E1627" s="596"/>
      <c r="F1627" s="565"/>
      <c r="G1627" s="600"/>
      <c r="H1627" s="602"/>
      <c r="I1627" s="565"/>
      <c r="J1627" s="565"/>
      <c r="K1627" s="466"/>
      <c r="L1627" s="459"/>
      <c r="M1627" s="460"/>
      <c r="N1627" s="459"/>
      <c r="O1627" s="261"/>
      <c r="P1627" s="565"/>
      <c r="Q1627" s="565"/>
      <c r="R1627" s="467"/>
    </row>
    <row r="1628" spans="1:18" s="438" customFormat="1" outlineLevel="1">
      <c r="A1628" s="569"/>
      <c r="B1628" s="598"/>
      <c r="C1628" s="589"/>
      <c r="D1628" s="565"/>
      <c r="E1628" s="596"/>
      <c r="F1628" s="565"/>
      <c r="G1628" s="600"/>
      <c r="H1628" s="602"/>
      <c r="I1628" s="565"/>
      <c r="J1628" s="565"/>
      <c r="K1628" s="466"/>
      <c r="L1628" s="459"/>
      <c r="M1628" s="460"/>
      <c r="N1628" s="459"/>
      <c r="O1628" s="261"/>
      <c r="P1628" s="565"/>
      <c r="Q1628" s="565"/>
      <c r="R1628" s="467"/>
    </row>
    <row r="1629" spans="1:18" s="438" customFormat="1" outlineLevel="1">
      <c r="A1629" s="569"/>
      <c r="B1629" s="598"/>
      <c r="C1629" s="589"/>
      <c r="D1629" s="565"/>
      <c r="E1629" s="596"/>
      <c r="F1629" s="565"/>
      <c r="G1629" s="600"/>
      <c r="H1629" s="602"/>
      <c r="I1629" s="565"/>
      <c r="J1629" s="565"/>
      <c r="K1629" s="466"/>
      <c r="L1629" s="459"/>
      <c r="M1629" s="460"/>
      <c r="N1629" s="459"/>
      <c r="O1629" s="261"/>
      <c r="P1629" s="565"/>
      <c r="Q1629" s="565"/>
      <c r="R1629" s="467"/>
    </row>
    <row r="1630" spans="1:18" s="438" customFormat="1" outlineLevel="1">
      <c r="A1630" s="569"/>
      <c r="B1630" s="598"/>
      <c r="C1630" s="589"/>
      <c r="D1630" s="565"/>
      <c r="E1630" s="596"/>
      <c r="F1630" s="565"/>
      <c r="G1630" s="600"/>
      <c r="H1630" s="602"/>
      <c r="I1630" s="565"/>
      <c r="J1630" s="565"/>
      <c r="K1630" s="466"/>
      <c r="L1630" s="459"/>
      <c r="M1630" s="460"/>
      <c r="N1630" s="459"/>
      <c r="O1630" s="261"/>
      <c r="P1630" s="565"/>
      <c r="Q1630" s="565"/>
      <c r="R1630" s="467"/>
    </row>
    <row r="1631" spans="1:18" s="438" customFormat="1" outlineLevel="1">
      <c r="A1631" s="569"/>
      <c r="B1631" s="598"/>
      <c r="C1631" s="589"/>
      <c r="D1631" s="565"/>
      <c r="E1631" s="596"/>
      <c r="F1631" s="565"/>
      <c r="G1631" s="600"/>
      <c r="H1631" s="602"/>
      <c r="I1631" s="565"/>
      <c r="J1631" s="565"/>
      <c r="K1631" s="466"/>
      <c r="L1631" s="459"/>
      <c r="M1631" s="460"/>
      <c r="N1631" s="459"/>
      <c r="O1631" s="261"/>
      <c r="P1631" s="565"/>
      <c r="Q1631" s="565"/>
      <c r="R1631" s="467"/>
    </row>
    <row r="1632" spans="1:18" s="438" customFormat="1" outlineLevel="1">
      <c r="A1632" s="569"/>
      <c r="B1632" s="598"/>
      <c r="C1632" s="589"/>
      <c r="D1632" s="565"/>
      <c r="E1632" s="596"/>
      <c r="F1632" s="565"/>
      <c r="G1632" s="600"/>
      <c r="H1632" s="602"/>
      <c r="I1632" s="565"/>
      <c r="J1632" s="565"/>
      <c r="K1632" s="466"/>
      <c r="L1632" s="459"/>
      <c r="M1632" s="460"/>
      <c r="N1632" s="459"/>
      <c r="O1632" s="261"/>
      <c r="P1632" s="565"/>
      <c r="Q1632" s="565"/>
      <c r="R1632" s="467"/>
    </row>
    <row r="1633" spans="1:18" s="438" customFormat="1" outlineLevel="1">
      <c r="A1633" s="569"/>
      <c r="B1633" s="598"/>
      <c r="C1633" s="589"/>
      <c r="D1633" s="565"/>
      <c r="E1633" s="596"/>
      <c r="F1633" s="565"/>
      <c r="G1633" s="600"/>
      <c r="H1633" s="602"/>
      <c r="I1633" s="565"/>
      <c r="J1633" s="565"/>
      <c r="K1633" s="466"/>
      <c r="L1633" s="459"/>
      <c r="M1633" s="460"/>
      <c r="N1633" s="459"/>
      <c r="O1633" s="261"/>
      <c r="P1633" s="565"/>
      <c r="Q1633" s="565"/>
      <c r="R1633" s="467"/>
    </row>
    <row r="1634" spans="1:18" s="438" customFormat="1" outlineLevel="1">
      <c r="A1634" s="569"/>
      <c r="B1634" s="598"/>
      <c r="C1634" s="589"/>
      <c r="D1634" s="565"/>
      <c r="E1634" s="596"/>
      <c r="F1634" s="565"/>
      <c r="G1634" s="600"/>
      <c r="H1634" s="602"/>
      <c r="I1634" s="565"/>
      <c r="J1634" s="565"/>
      <c r="K1634" s="466"/>
      <c r="L1634" s="459"/>
      <c r="M1634" s="460"/>
      <c r="N1634" s="459"/>
      <c r="O1634" s="261"/>
      <c r="P1634" s="565"/>
      <c r="Q1634" s="565"/>
      <c r="R1634" s="467"/>
    </row>
    <row r="1635" spans="1:18" s="438" customFormat="1" outlineLevel="1">
      <c r="A1635" s="569"/>
      <c r="B1635" s="598"/>
      <c r="C1635" s="589"/>
      <c r="D1635" s="565"/>
      <c r="E1635" s="596"/>
      <c r="F1635" s="565"/>
      <c r="G1635" s="600"/>
      <c r="H1635" s="602"/>
      <c r="I1635" s="565"/>
      <c r="J1635" s="565"/>
      <c r="K1635" s="466"/>
      <c r="L1635" s="459"/>
      <c r="M1635" s="460"/>
      <c r="N1635" s="459"/>
      <c r="O1635" s="261"/>
      <c r="P1635" s="565"/>
      <c r="Q1635" s="565"/>
      <c r="R1635" s="467"/>
    </row>
    <row r="1636" spans="1:18" s="438" customFormat="1" outlineLevel="1">
      <c r="A1636" s="570"/>
      <c r="B1636" s="599"/>
      <c r="C1636" s="590"/>
      <c r="D1636" s="566"/>
      <c r="E1636" s="596"/>
      <c r="F1636" s="566"/>
      <c r="G1636" s="601"/>
      <c r="H1636" s="603"/>
      <c r="I1636" s="566"/>
      <c r="J1636" s="566"/>
      <c r="K1636" s="466"/>
      <c r="L1636" s="459"/>
      <c r="M1636" s="460"/>
      <c r="N1636" s="459"/>
      <c r="O1636" s="261"/>
      <c r="P1636" s="566"/>
      <c r="Q1636" s="566"/>
      <c r="R1636" s="467"/>
    </row>
    <row r="1637" spans="1:18" s="438" customFormat="1" outlineLevel="1">
      <c r="A1637" s="568"/>
      <c r="B1637" s="572"/>
      <c r="C1637" s="574"/>
      <c r="D1637" s="578"/>
      <c r="E1637" s="580"/>
      <c r="F1637" s="578"/>
      <c r="G1637" s="581"/>
      <c r="H1637" s="577"/>
      <c r="I1637" s="577"/>
      <c r="J1637" s="577"/>
      <c r="K1637" s="472"/>
      <c r="L1637" s="482"/>
      <c r="M1637" s="479"/>
      <c r="N1637" s="476"/>
      <c r="O1637" s="477"/>
      <c r="P1637" s="577"/>
      <c r="Q1637" s="594"/>
      <c r="R1637" s="467"/>
    </row>
    <row r="1638" spans="1:18" s="438" customFormat="1" outlineLevel="1">
      <c r="A1638" s="569"/>
      <c r="B1638" s="598"/>
      <c r="C1638" s="589"/>
      <c r="D1638" s="565"/>
      <c r="E1638" s="596"/>
      <c r="F1638" s="565"/>
      <c r="G1638" s="600"/>
      <c r="H1638" s="602"/>
      <c r="I1638" s="565"/>
      <c r="J1638" s="565"/>
      <c r="K1638" s="466"/>
      <c r="L1638" s="459"/>
      <c r="M1638" s="460"/>
      <c r="N1638" s="459"/>
      <c r="O1638" s="261"/>
      <c r="P1638" s="565"/>
      <c r="Q1638" s="565"/>
      <c r="R1638" s="467"/>
    </row>
    <row r="1639" spans="1:18" s="438" customFormat="1" outlineLevel="1">
      <c r="A1639" s="569"/>
      <c r="B1639" s="598"/>
      <c r="C1639" s="589"/>
      <c r="D1639" s="565"/>
      <c r="E1639" s="596"/>
      <c r="F1639" s="565"/>
      <c r="G1639" s="600"/>
      <c r="H1639" s="602"/>
      <c r="I1639" s="565"/>
      <c r="J1639" s="565"/>
      <c r="K1639" s="466"/>
      <c r="L1639" s="459"/>
      <c r="M1639" s="460"/>
      <c r="N1639" s="459"/>
      <c r="O1639" s="261"/>
      <c r="P1639" s="565"/>
      <c r="Q1639" s="565"/>
      <c r="R1639" s="467"/>
    </row>
    <row r="1640" spans="1:18" s="438" customFormat="1" outlineLevel="1">
      <c r="A1640" s="569"/>
      <c r="B1640" s="598"/>
      <c r="C1640" s="589"/>
      <c r="D1640" s="565"/>
      <c r="E1640" s="596"/>
      <c r="F1640" s="565"/>
      <c r="G1640" s="600"/>
      <c r="H1640" s="602"/>
      <c r="I1640" s="565"/>
      <c r="J1640" s="565"/>
      <c r="K1640" s="466"/>
      <c r="L1640" s="459"/>
      <c r="M1640" s="460"/>
      <c r="N1640" s="459"/>
      <c r="O1640" s="261"/>
      <c r="P1640" s="565"/>
      <c r="Q1640" s="565"/>
      <c r="R1640" s="467"/>
    </row>
    <row r="1641" spans="1:18" s="438" customFormat="1" outlineLevel="1">
      <c r="A1641" s="569"/>
      <c r="B1641" s="598"/>
      <c r="C1641" s="589"/>
      <c r="D1641" s="565"/>
      <c r="E1641" s="596"/>
      <c r="F1641" s="565"/>
      <c r="G1641" s="600"/>
      <c r="H1641" s="602"/>
      <c r="I1641" s="565"/>
      <c r="J1641" s="565"/>
      <c r="K1641" s="466"/>
      <c r="L1641" s="459"/>
      <c r="M1641" s="460"/>
      <c r="N1641" s="459"/>
      <c r="O1641" s="261"/>
      <c r="P1641" s="565"/>
      <c r="Q1641" s="565"/>
      <c r="R1641" s="467"/>
    </row>
    <row r="1642" spans="1:18" s="438" customFormat="1" outlineLevel="1">
      <c r="A1642" s="569"/>
      <c r="B1642" s="598"/>
      <c r="C1642" s="589"/>
      <c r="D1642" s="565"/>
      <c r="E1642" s="596"/>
      <c r="F1642" s="565"/>
      <c r="G1642" s="600"/>
      <c r="H1642" s="602"/>
      <c r="I1642" s="565"/>
      <c r="J1642" s="565"/>
      <c r="K1642" s="466"/>
      <c r="L1642" s="459"/>
      <c r="M1642" s="460"/>
      <c r="N1642" s="459"/>
      <c r="O1642" s="261"/>
      <c r="P1642" s="565"/>
      <c r="Q1642" s="565"/>
      <c r="R1642" s="467"/>
    </row>
    <row r="1643" spans="1:18" s="438" customFormat="1" outlineLevel="1">
      <c r="A1643" s="569"/>
      <c r="B1643" s="598"/>
      <c r="C1643" s="589"/>
      <c r="D1643" s="565"/>
      <c r="E1643" s="596"/>
      <c r="F1643" s="565"/>
      <c r="G1643" s="600"/>
      <c r="H1643" s="602"/>
      <c r="I1643" s="565"/>
      <c r="J1643" s="565"/>
      <c r="K1643" s="466"/>
      <c r="L1643" s="459"/>
      <c r="M1643" s="460"/>
      <c r="N1643" s="459"/>
      <c r="O1643" s="261"/>
      <c r="P1643" s="565"/>
      <c r="Q1643" s="565"/>
      <c r="R1643" s="467"/>
    </row>
    <row r="1644" spans="1:18" s="438" customFormat="1" outlineLevel="1">
      <c r="A1644" s="569"/>
      <c r="B1644" s="598"/>
      <c r="C1644" s="589"/>
      <c r="D1644" s="565"/>
      <c r="E1644" s="596"/>
      <c r="F1644" s="565"/>
      <c r="G1644" s="600"/>
      <c r="H1644" s="602"/>
      <c r="I1644" s="565"/>
      <c r="J1644" s="565"/>
      <c r="K1644" s="466"/>
      <c r="L1644" s="459"/>
      <c r="M1644" s="460"/>
      <c r="N1644" s="459"/>
      <c r="O1644" s="261"/>
      <c r="P1644" s="565"/>
      <c r="Q1644" s="565"/>
      <c r="R1644" s="467"/>
    </row>
    <row r="1645" spans="1:18" s="438" customFormat="1" outlineLevel="1">
      <c r="A1645" s="569"/>
      <c r="B1645" s="598"/>
      <c r="C1645" s="589"/>
      <c r="D1645" s="565"/>
      <c r="E1645" s="596"/>
      <c r="F1645" s="565"/>
      <c r="G1645" s="600"/>
      <c r="H1645" s="602"/>
      <c r="I1645" s="565"/>
      <c r="J1645" s="565"/>
      <c r="K1645" s="466"/>
      <c r="L1645" s="459"/>
      <c r="M1645" s="460"/>
      <c r="N1645" s="459"/>
      <c r="O1645" s="261"/>
      <c r="P1645" s="565"/>
      <c r="Q1645" s="565"/>
      <c r="R1645" s="467"/>
    </row>
    <row r="1646" spans="1:18" s="438" customFormat="1" outlineLevel="1">
      <c r="A1646" s="569"/>
      <c r="B1646" s="598"/>
      <c r="C1646" s="589"/>
      <c r="D1646" s="565"/>
      <c r="E1646" s="596"/>
      <c r="F1646" s="565"/>
      <c r="G1646" s="600"/>
      <c r="H1646" s="602"/>
      <c r="I1646" s="565"/>
      <c r="J1646" s="565"/>
      <c r="K1646" s="466"/>
      <c r="L1646" s="459"/>
      <c r="M1646" s="460"/>
      <c r="N1646" s="459"/>
      <c r="O1646" s="261"/>
      <c r="P1646" s="565"/>
      <c r="Q1646" s="565"/>
      <c r="R1646" s="467"/>
    </row>
    <row r="1647" spans="1:18" s="438" customFormat="1" outlineLevel="1">
      <c r="A1647" s="569"/>
      <c r="B1647" s="598"/>
      <c r="C1647" s="589"/>
      <c r="D1647" s="565"/>
      <c r="E1647" s="596"/>
      <c r="F1647" s="565"/>
      <c r="G1647" s="600"/>
      <c r="H1647" s="602"/>
      <c r="I1647" s="565"/>
      <c r="J1647" s="565"/>
      <c r="K1647" s="466"/>
      <c r="L1647" s="459"/>
      <c r="M1647" s="460"/>
      <c r="N1647" s="459"/>
      <c r="O1647" s="261"/>
      <c r="P1647" s="565"/>
      <c r="Q1647" s="565"/>
      <c r="R1647" s="467"/>
    </row>
    <row r="1648" spans="1:18" s="438" customFormat="1" outlineLevel="1">
      <c r="A1648" s="569"/>
      <c r="B1648" s="598"/>
      <c r="C1648" s="589"/>
      <c r="D1648" s="565"/>
      <c r="E1648" s="596"/>
      <c r="F1648" s="565"/>
      <c r="G1648" s="600"/>
      <c r="H1648" s="602"/>
      <c r="I1648" s="565"/>
      <c r="J1648" s="565"/>
      <c r="K1648" s="466"/>
      <c r="L1648" s="459"/>
      <c r="M1648" s="460"/>
      <c r="N1648" s="459"/>
      <c r="O1648" s="261"/>
      <c r="P1648" s="565"/>
      <c r="Q1648" s="565"/>
      <c r="R1648" s="467"/>
    </row>
    <row r="1649" spans="1:18" s="438" customFormat="1" outlineLevel="1">
      <c r="A1649" s="569"/>
      <c r="B1649" s="598"/>
      <c r="C1649" s="589"/>
      <c r="D1649" s="565"/>
      <c r="E1649" s="596"/>
      <c r="F1649" s="565"/>
      <c r="G1649" s="600"/>
      <c r="H1649" s="602"/>
      <c r="I1649" s="565"/>
      <c r="J1649" s="565"/>
      <c r="K1649" s="466"/>
      <c r="L1649" s="459"/>
      <c r="M1649" s="460"/>
      <c r="N1649" s="459"/>
      <c r="O1649" s="261"/>
      <c r="P1649" s="565"/>
      <c r="Q1649" s="565"/>
      <c r="R1649" s="467"/>
    </row>
    <row r="1650" spans="1:18" s="438" customFormat="1" outlineLevel="1">
      <c r="A1650" s="569"/>
      <c r="B1650" s="598"/>
      <c r="C1650" s="589"/>
      <c r="D1650" s="565"/>
      <c r="E1650" s="596"/>
      <c r="F1650" s="565"/>
      <c r="G1650" s="600"/>
      <c r="H1650" s="602"/>
      <c r="I1650" s="565"/>
      <c r="J1650" s="565"/>
      <c r="K1650" s="466"/>
      <c r="L1650" s="459"/>
      <c r="M1650" s="460"/>
      <c r="N1650" s="459"/>
      <c r="O1650" s="261"/>
      <c r="P1650" s="565"/>
      <c r="Q1650" s="565"/>
      <c r="R1650" s="467"/>
    </row>
    <row r="1651" spans="1:18" s="438" customFormat="1" outlineLevel="1">
      <c r="A1651" s="569"/>
      <c r="B1651" s="598"/>
      <c r="C1651" s="589"/>
      <c r="D1651" s="565"/>
      <c r="E1651" s="596"/>
      <c r="F1651" s="565"/>
      <c r="G1651" s="600"/>
      <c r="H1651" s="602"/>
      <c r="I1651" s="565"/>
      <c r="J1651" s="565"/>
      <c r="K1651" s="466"/>
      <c r="L1651" s="459"/>
      <c r="M1651" s="460"/>
      <c r="N1651" s="459"/>
      <c r="O1651" s="261"/>
      <c r="P1651" s="565"/>
      <c r="Q1651" s="565"/>
      <c r="R1651" s="467"/>
    </row>
    <row r="1652" spans="1:18" s="438" customFormat="1" outlineLevel="1">
      <c r="A1652" s="570"/>
      <c r="B1652" s="599"/>
      <c r="C1652" s="590"/>
      <c r="D1652" s="566"/>
      <c r="E1652" s="596"/>
      <c r="F1652" s="566"/>
      <c r="G1652" s="601"/>
      <c r="H1652" s="603"/>
      <c r="I1652" s="566"/>
      <c r="J1652" s="566"/>
      <c r="K1652" s="466"/>
      <c r="L1652" s="459"/>
      <c r="M1652" s="460"/>
      <c r="N1652" s="459"/>
      <c r="O1652" s="261"/>
      <c r="P1652" s="566"/>
      <c r="Q1652" s="566"/>
      <c r="R1652" s="467"/>
    </row>
    <row r="1653" spans="1:18" s="438" customFormat="1" outlineLevel="1">
      <c r="A1653" s="568"/>
      <c r="B1653" s="572"/>
      <c r="C1653" s="574"/>
      <c r="D1653" s="578"/>
      <c r="E1653" s="580"/>
      <c r="F1653" s="578"/>
      <c r="G1653" s="581"/>
      <c r="H1653" s="577"/>
      <c r="I1653" s="577"/>
      <c r="J1653" s="577"/>
      <c r="K1653" s="472"/>
      <c r="L1653" s="459"/>
      <c r="M1653" s="460"/>
      <c r="N1653" s="476"/>
      <c r="O1653" s="477"/>
      <c r="P1653" s="577"/>
      <c r="Q1653" s="594"/>
      <c r="R1653" s="467"/>
    </row>
    <row r="1654" spans="1:18" s="438" customFormat="1" outlineLevel="1">
      <c r="A1654" s="569"/>
      <c r="B1654" s="598"/>
      <c r="C1654" s="589"/>
      <c r="D1654" s="565"/>
      <c r="E1654" s="596"/>
      <c r="F1654" s="565"/>
      <c r="G1654" s="600"/>
      <c r="H1654" s="602"/>
      <c r="I1654" s="565"/>
      <c r="J1654" s="565"/>
      <c r="K1654" s="466"/>
      <c r="L1654" s="459"/>
      <c r="M1654" s="460"/>
      <c r="N1654" s="459"/>
      <c r="O1654" s="261"/>
      <c r="P1654" s="565"/>
      <c r="Q1654" s="565"/>
      <c r="R1654" s="467"/>
    </row>
    <row r="1655" spans="1:18" s="438" customFormat="1" outlineLevel="1">
      <c r="A1655" s="569"/>
      <c r="B1655" s="598"/>
      <c r="C1655" s="589"/>
      <c r="D1655" s="565"/>
      <c r="E1655" s="596"/>
      <c r="F1655" s="565"/>
      <c r="G1655" s="600"/>
      <c r="H1655" s="602"/>
      <c r="I1655" s="565"/>
      <c r="J1655" s="565"/>
      <c r="K1655" s="466"/>
      <c r="L1655" s="459"/>
      <c r="M1655" s="460"/>
      <c r="N1655" s="459"/>
      <c r="O1655" s="261"/>
      <c r="P1655" s="565"/>
      <c r="Q1655" s="565"/>
      <c r="R1655" s="467"/>
    </row>
    <row r="1656" spans="1:18" s="438" customFormat="1" outlineLevel="1">
      <c r="A1656" s="569"/>
      <c r="B1656" s="598"/>
      <c r="C1656" s="589"/>
      <c r="D1656" s="565"/>
      <c r="E1656" s="596"/>
      <c r="F1656" s="565"/>
      <c r="G1656" s="600"/>
      <c r="H1656" s="602"/>
      <c r="I1656" s="565"/>
      <c r="J1656" s="565"/>
      <c r="K1656" s="466"/>
      <c r="L1656" s="459"/>
      <c r="M1656" s="460"/>
      <c r="N1656" s="459"/>
      <c r="O1656" s="261"/>
      <c r="P1656" s="565"/>
      <c r="Q1656" s="565"/>
      <c r="R1656" s="467"/>
    </row>
    <row r="1657" spans="1:18" s="438" customFormat="1" outlineLevel="1">
      <c r="A1657" s="569"/>
      <c r="B1657" s="598"/>
      <c r="C1657" s="589"/>
      <c r="D1657" s="565"/>
      <c r="E1657" s="596"/>
      <c r="F1657" s="565"/>
      <c r="G1657" s="600"/>
      <c r="H1657" s="602"/>
      <c r="I1657" s="565"/>
      <c r="J1657" s="565"/>
      <c r="K1657" s="466"/>
      <c r="L1657" s="459"/>
      <c r="M1657" s="460"/>
      <c r="N1657" s="459"/>
      <c r="O1657" s="261"/>
      <c r="P1657" s="565"/>
      <c r="Q1657" s="565"/>
      <c r="R1657" s="467"/>
    </row>
    <row r="1658" spans="1:18" s="438" customFormat="1" outlineLevel="1">
      <c r="A1658" s="569"/>
      <c r="B1658" s="598"/>
      <c r="C1658" s="589"/>
      <c r="D1658" s="565"/>
      <c r="E1658" s="596"/>
      <c r="F1658" s="565"/>
      <c r="G1658" s="600"/>
      <c r="H1658" s="602"/>
      <c r="I1658" s="565"/>
      <c r="J1658" s="565"/>
      <c r="K1658" s="466"/>
      <c r="L1658" s="459"/>
      <c r="M1658" s="460"/>
      <c r="N1658" s="459"/>
      <c r="O1658" s="261"/>
      <c r="P1658" s="565"/>
      <c r="Q1658" s="565"/>
      <c r="R1658" s="467"/>
    </row>
    <row r="1659" spans="1:18" s="438" customFormat="1" outlineLevel="1">
      <c r="A1659" s="569"/>
      <c r="B1659" s="598"/>
      <c r="C1659" s="589"/>
      <c r="D1659" s="565"/>
      <c r="E1659" s="596"/>
      <c r="F1659" s="565"/>
      <c r="G1659" s="600"/>
      <c r="H1659" s="602"/>
      <c r="I1659" s="565"/>
      <c r="J1659" s="565"/>
      <c r="K1659" s="466"/>
      <c r="L1659" s="459"/>
      <c r="M1659" s="460"/>
      <c r="N1659" s="459"/>
      <c r="O1659" s="261"/>
      <c r="P1659" s="565"/>
      <c r="Q1659" s="565"/>
      <c r="R1659" s="467"/>
    </row>
    <row r="1660" spans="1:18" s="438" customFormat="1" outlineLevel="1">
      <c r="A1660" s="569"/>
      <c r="B1660" s="598"/>
      <c r="C1660" s="589"/>
      <c r="D1660" s="565"/>
      <c r="E1660" s="596"/>
      <c r="F1660" s="565"/>
      <c r="G1660" s="600"/>
      <c r="H1660" s="602"/>
      <c r="I1660" s="565"/>
      <c r="J1660" s="565"/>
      <c r="K1660" s="466"/>
      <c r="L1660" s="459"/>
      <c r="M1660" s="460"/>
      <c r="N1660" s="459"/>
      <c r="O1660" s="261"/>
      <c r="P1660" s="565"/>
      <c r="Q1660" s="565"/>
      <c r="R1660" s="467"/>
    </row>
    <row r="1661" spans="1:18" s="438" customFormat="1" outlineLevel="1">
      <c r="A1661" s="569"/>
      <c r="B1661" s="598"/>
      <c r="C1661" s="589"/>
      <c r="D1661" s="565"/>
      <c r="E1661" s="596"/>
      <c r="F1661" s="565"/>
      <c r="G1661" s="600"/>
      <c r="H1661" s="602"/>
      <c r="I1661" s="565"/>
      <c r="J1661" s="565"/>
      <c r="K1661" s="466"/>
      <c r="L1661" s="459"/>
      <c r="M1661" s="460"/>
      <c r="N1661" s="459"/>
      <c r="O1661" s="261"/>
      <c r="P1661" s="565"/>
      <c r="Q1661" s="565"/>
      <c r="R1661" s="467"/>
    </row>
    <row r="1662" spans="1:18" s="438" customFormat="1" outlineLevel="1">
      <c r="A1662" s="569"/>
      <c r="B1662" s="598"/>
      <c r="C1662" s="589"/>
      <c r="D1662" s="565"/>
      <c r="E1662" s="596"/>
      <c r="F1662" s="565"/>
      <c r="G1662" s="600"/>
      <c r="H1662" s="602"/>
      <c r="I1662" s="565"/>
      <c r="J1662" s="565"/>
      <c r="K1662" s="466"/>
      <c r="L1662" s="459"/>
      <c r="M1662" s="460"/>
      <c r="N1662" s="459"/>
      <c r="O1662" s="261"/>
      <c r="P1662" s="565"/>
      <c r="Q1662" s="565"/>
      <c r="R1662" s="467"/>
    </row>
    <row r="1663" spans="1:18" s="438" customFormat="1" outlineLevel="1">
      <c r="A1663" s="569"/>
      <c r="B1663" s="598"/>
      <c r="C1663" s="589"/>
      <c r="D1663" s="565"/>
      <c r="E1663" s="596"/>
      <c r="F1663" s="565"/>
      <c r="G1663" s="600"/>
      <c r="H1663" s="602"/>
      <c r="I1663" s="565"/>
      <c r="J1663" s="565"/>
      <c r="K1663" s="466"/>
      <c r="L1663" s="459"/>
      <c r="M1663" s="460"/>
      <c r="N1663" s="459"/>
      <c r="O1663" s="261"/>
      <c r="P1663" s="565"/>
      <c r="Q1663" s="565"/>
      <c r="R1663" s="467"/>
    </row>
    <row r="1664" spans="1:18" s="438" customFormat="1" outlineLevel="1">
      <c r="A1664" s="569"/>
      <c r="B1664" s="598"/>
      <c r="C1664" s="589"/>
      <c r="D1664" s="565"/>
      <c r="E1664" s="596"/>
      <c r="F1664" s="565"/>
      <c r="G1664" s="600"/>
      <c r="H1664" s="602"/>
      <c r="I1664" s="565"/>
      <c r="J1664" s="565"/>
      <c r="K1664" s="466"/>
      <c r="L1664" s="459"/>
      <c r="M1664" s="460"/>
      <c r="N1664" s="459"/>
      <c r="O1664" s="261"/>
      <c r="P1664" s="565"/>
      <c r="Q1664" s="565"/>
      <c r="R1664" s="467"/>
    </row>
    <row r="1665" spans="1:18" s="438" customFormat="1" outlineLevel="1">
      <c r="A1665" s="569"/>
      <c r="B1665" s="598"/>
      <c r="C1665" s="589"/>
      <c r="D1665" s="565"/>
      <c r="E1665" s="596"/>
      <c r="F1665" s="565"/>
      <c r="G1665" s="600"/>
      <c r="H1665" s="602"/>
      <c r="I1665" s="565"/>
      <c r="J1665" s="565"/>
      <c r="K1665" s="466"/>
      <c r="L1665" s="459"/>
      <c r="M1665" s="460"/>
      <c r="N1665" s="459"/>
      <c r="O1665" s="261"/>
      <c r="P1665" s="565"/>
      <c r="Q1665" s="565"/>
      <c r="R1665" s="467"/>
    </row>
    <row r="1666" spans="1:18" s="438" customFormat="1" outlineLevel="1">
      <c r="A1666" s="569"/>
      <c r="B1666" s="598"/>
      <c r="C1666" s="589"/>
      <c r="D1666" s="565"/>
      <c r="E1666" s="596"/>
      <c r="F1666" s="565"/>
      <c r="G1666" s="600"/>
      <c r="H1666" s="602"/>
      <c r="I1666" s="565"/>
      <c r="J1666" s="565"/>
      <c r="K1666" s="466"/>
      <c r="L1666" s="459"/>
      <c r="M1666" s="460"/>
      <c r="N1666" s="459"/>
      <c r="O1666" s="261"/>
      <c r="P1666" s="565"/>
      <c r="Q1666" s="565"/>
      <c r="R1666" s="467"/>
    </row>
    <row r="1667" spans="1:18" s="438" customFormat="1" outlineLevel="1">
      <c r="A1667" s="569"/>
      <c r="B1667" s="598"/>
      <c r="C1667" s="589"/>
      <c r="D1667" s="565"/>
      <c r="E1667" s="596"/>
      <c r="F1667" s="565"/>
      <c r="G1667" s="600"/>
      <c r="H1667" s="602"/>
      <c r="I1667" s="565"/>
      <c r="J1667" s="565"/>
      <c r="K1667" s="466"/>
      <c r="L1667" s="459"/>
      <c r="M1667" s="460"/>
      <c r="N1667" s="459"/>
      <c r="O1667" s="261"/>
      <c r="P1667" s="565"/>
      <c r="Q1667" s="565"/>
      <c r="R1667" s="467"/>
    </row>
    <row r="1668" spans="1:18" s="438" customFormat="1" outlineLevel="1">
      <c r="A1668" s="570"/>
      <c r="B1668" s="599"/>
      <c r="C1668" s="590"/>
      <c r="D1668" s="566"/>
      <c r="E1668" s="596"/>
      <c r="F1668" s="566"/>
      <c r="G1668" s="601"/>
      <c r="H1668" s="603"/>
      <c r="I1668" s="566"/>
      <c r="J1668" s="566"/>
      <c r="K1668" s="466"/>
      <c r="L1668" s="459"/>
      <c r="M1668" s="460"/>
      <c r="N1668" s="459"/>
      <c r="O1668" s="261"/>
      <c r="P1668" s="566"/>
      <c r="Q1668" s="566"/>
      <c r="R1668" s="467"/>
    </row>
    <row r="1669" spans="1:18" s="438" customFormat="1" outlineLevel="1">
      <c r="A1669" s="568"/>
      <c r="B1669" s="587"/>
      <c r="C1669" s="595"/>
      <c r="D1669" s="565"/>
      <c r="E1669" s="596"/>
      <c r="F1669" s="565"/>
      <c r="G1669" s="597"/>
      <c r="H1669" s="594"/>
      <c r="I1669" s="594"/>
      <c r="J1669" s="594"/>
      <c r="K1669" s="458"/>
      <c r="L1669" s="459"/>
      <c r="M1669" s="460"/>
      <c r="N1669" s="459"/>
      <c r="O1669" s="261"/>
      <c r="P1669" s="594"/>
      <c r="Q1669" s="594"/>
      <c r="R1669" s="467"/>
    </row>
    <row r="1670" spans="1:18" s="438" customFormat="1" outlineLevel="1">
      <c r="A1670" s="569"/>
      <c r="B1670" s="587"/>
      <c r="C1670" s="589"/>
      <c r="D1670" s="565"/>
      <c r="E1670" s="596"/>
      <c r="F1670" s="565"/>
      <c r="G1670" s="592"/>
      <c r="H1670" s="565"/>
      <c r="I1670" s="565"/>
      <c r="J1670" s="565"/>
      <c r="K1670" s="466"/>
      <c r="L1670" s="459"/>
      <c r="M1670" s="460"/>
      <c r="N1670" s="459"/>
      <c r="O1670" s="261"/>
      <c r="P1670" s="565"/>
      <c r="Q1670" s="565"/>
      <c r="R1670" s="467"/>
    </row>
    <row r="1671" spans="1:18" s="438" customFormat="1" outlineLevel="1">
      <c r="A1671" s="569"/>
      <c r="B1671" s="587"/>
      <c r="C1671" s="589"/>
      <c r="D1671" s="565"/>
      <c r="E1671" s="596"/>
      <c r="F1671" s="565"/>
      <c r="G1671" s="592"/>
      <c r="H1671" s="565"/>
      <c r="I1671" s="565"/>
      <c r="J1671" s="565"/>
      <c r="K1671" s="466"/>
      <c r="L1671" s="459"/>
      <c r="M1671" s="460"/>
      <c r="N1671" s="459"/>
      <c r="O1671" s="261"/>
      <c r="P1671" s="565"/>
      <c r="Q1671" s="565"/>
      <c r="R1671" s="467"/>
    </row>
    <row r="1672" spans="1:18" s="438" customFormat="1" outlineLevel="1">
      <c r="A1672" s="569"/>
      <c r="B1672" s="587"/>
      <c r="C1672" s="589"/>
      <c r="D1672" s="565"/>
      <c r="E1672" s="596"/>
      <c r="F1672" s="565"/>
      <c r="G1672" s="592"/>
      <c r="H1672" s="565"/>
      <c r="I1672" s="565"/>
      <c r="J1672" s="565"/>
      <c r="K1672" s="466"/>
      <c r="L1672" s="459"/>
      <c r="M1672" s="460"/>
      <c r="N1672" s="459"/>
      <c r="O1672" s="261"/>
      <c r="P1672" s="565"/>
      <c r="Q1672" s="565"/>
      <c r="R1672" s="467"/>
    </row>
    <row r="1673" spans="1:18" s="438" customFormat="1" outlineLevel="1">
      <c r="A1673" s="569"/>
      <c r="B1673" s="587"/>
      <c r="C1673" s="589"/>
      <c r="D1673" s="565"/>
      <c r="E1673" s="596"/>
      <c r="F1673" s="565"/>
      <c r="G1673" s="592"/>
      <c r="H1673" s="565"/>
      <c r="I1673" s="565"/>
      <c r="J1673" s="565"/>
      <c r="K1673" s="466"/>
      <c r="L1673" s="459"/>
      <c r="M1673" s="460"/>
      <c r="N1673" s="459"/>
      <c r="O1673" s="261"/>
      <c r="P1673" s="565"/>
      <c r="Q1673" s="565"/>
      <c r="R1673" s="467"/>
    </row>
    <row r="1674" spans="1:18" s="438" customFormat="1" outlineLevel="1">
      <c r="A1674" s="569"/>
      <c r="B1674" s="587"/>
      <c r="C1674" s="589"/>
      <c r="D1674" s="565"/>
      <c r="E1674" s="596"/>
      <c r="F1674" s="565"/>
      <c r="G1674" s="592"/>
      <c r="H1674" s="565"/>
      <c r="I1674" s="565"/>
      <c r="J1674" s="565"/>
      <c r="K1674" s="466"/>
      <c r="L1674" s="459"/>
      <c r="M1674" s="460"/>
      <c r="N1674" s="459"/>
      <c r="O1674" s="261"/>
      <c r="P1674" s="565"/>
      <c r="Q1674" s="565"/>
      <c r="R1674" s="467"/>
    </row>
    <row r="1675" spans="1:18" s="438" customFormat="1" outlineLevel="1">
      <c r="A1675" s="569"/>
      <c r="B1675" s="587"/>
      <c r="C1675" s="589"/>
      <c r="D1675" s="565"/>
      <c r="E1675" s="596"/>
      <c r="F1675" s="565"/>
      <c r="G1675" s="592"/>
      <c r="H1675" s="565"/>
      <c r="I1675" s="565"/>
      <c r="J1675" s="565"/>
      <c r="K1675" s="466"/>
      <c r="L1675" s="459"/>
      <c r="M1675" s="460"/>
      <c r="N1675" s="459"/>
      <c r="O1675" s="261"/>
      <c r="P1675" s="565"/>
      <c r="Q1675" s="565"/>
      <c r="R1675" s="467"/>
    </row>
    <row r="1676" spans="1:18" s="438" customFormat="1" outlineLevel="1">
      <c r="A1676" s="569"/>
      <c r="B1676" s="587"/>
      <c r="C1676" s="589"/>
      <c r="D1676" s="565"/>
      <c r="E1676" s="596"/>
      <c r="F1676" s="565"/>
      <c r="G1676" s="592"/>
      <c r="H1676" s="565"/>
      <c r="I1676" s="565"/>
      <c r="J1676" s="565"/>
      <c r="K1676" s="466"/>
      <c r="L1676" s="459"/>
      <c r="M1676" s="460"/>
      <c r="N1676" s="459"/>
      <c r="O1676" s="261"/>
      <c r="P1676" s="565"/>
      <c r="Q1676" s="565"/>
      <c r="R1676" s="467"/>
    </row>
    <row r="1677" spans="1:18" s="438" customFormat="1" outlineLevel="1">
      <c r="A1677" s="569"/>
      <c r="B1677" s="587"/>
      <c r="C1677" s="589"/>
      <c r="D1677" s="565"/>
      <c r="E1677" s="596"/>
      <c r="F1677" s="565"/>
      <c r="G1677" s="592"/>
      <c r="H1677" s="565"/>
      <c r="I1677" s="565"/>
      <c r="J1677" s="565"/>
      <c r="K1677" s="466"/>
      <c r="L1677" s="459"/>
      <c r="M1677" s="460"/>
      <c r="N1677" s="459"/>
      <c r="O1677" s="261"/>
      <c r="P1677" s="565"/>
      <c r="Q1677" s="565"/>
      <c r="R1677" s="467"/>
    </row>
    <row r="1678" spans="1:18" s="438" customFormat="1" outlineLevel="1">
      <c r="A1678" s="569"/>
      <c r="B1678" s="587"/>
      <c r="C1678" s="589"/>
      <c r="D1678" s="565"/>
      <c r="E1678" s="596"/>
      <c r="F1678" s="565"/>
      <c r="G1678" s="592"/>
      <c r="H1678" s="565"/>
      <c r="I1678" s="565"/>
      <c r="J1678" s="565"/>
      <c r="K1678" s="466"/>
      <c r="L1678" s="459"/>
      <c r="M1678" s="460"/>
      <c r="N1678" s="459"/>
      <c r="O1678" s="261"/>
      <c r="P1678" s="565"/>
      <c r="Q1678" s="565"/>
      <c r="R1678" s="467"/>
    </row>
    <row r="1679" spans="1:18" s="438" customFormat="1" outlineLevel="1">
      <c r="A1679" s="569"/>
      <c r="B1679" s="587"/>
      <c r="C1679" s="589"/>
      <c r="D1679" s="565"/>
      <c r="E1679" s="596"/>
      <c r="F1679" s="565"/>
      <c r="G1679" s="592"/>
      <c r="H1679" s="565"/>
      <c r="I1679" s="565"/>
      <c r="J1679" s="565"/>
      <c r="K1679" s="466"/>
      <c r="L1679" s="459"/>
      <c r="M1679" s="460"/>
      <c r="N1679" s="459"/>
      <c r="O1679" s="261"/>
      <c r="P1679" s="565"/>
      <c r="Q1679" s="565"/>
      <c r="R1679" s="467"/>
    </row>
    <row r="1680" spans="1:18" s="438" customFormat="1" outlineLevel="1">
      <c r="A1680" s="569"/>
      <c r="B1680" s="587"/>
      <c r="C1680" s="589"/>
      <c r="D1680" s="565"/>
      <c r="E1680" s="596"/>
      <c r="F1680" s="565"/>
      <c r="G1680" s="592"/>
      <c r="H1680" s="565"/>
      <c r="I1680" s="565"/>
      <c r="J1680" s="565"/>
      <c r="K1680" s="466"/>
      <c r="L1680" s="459"/>
      <c r="M1680" s="460"/>
      <c r="N1680" s="459"/>
      <c r="O1680" s="261"/>
      <c r="P1680" s="565"/>
      <c r="Q1680" s="565"/>
      <c r="R1680" s="467"/>
    </row>
    <row r="1681" spans="1:18" s="438" customFormat="1" outlineLevel="1">
      <c r="A1681" s="569"/>
      <c r="B1681" s="587"/>
      <c r="C1681" s="589"/>
      <c r="D1681" s="565"/>
      <c r="E1681" s="596"/>
      <c r="F1681" s="565"/>
      <c r="G1681" s="592"/>
      <c r="H1681" s="565"/>
      <c r="I1681" s="565"/>
      <c r="J1681" s="565"/>
      <c r="K1681" s="466"/>
      <c r="L1681" s="459"/>
      <c r="M1681" s="460"/>
      <c r="N1681" s="459"/>
      <c r="O1681" s="261"/>
      <c r="P1681" s="565"/>
      <c r="Q1681" s="565"/>
      <c r="R1681" s="467"/>
    </row>
    <row r="1682" spans="1:18" s="438" customFormat="1" outlineLevel="1">
      <c r="A1682" s="569"/>
      <c r="B1682" s="587"/>
      <c r="C1682" s="589"/>
      <c r="D1682" s="565"/>
      <c r="E1682" s="596"/>
      <c r="F1682" s="565"/>
      <c r="G1682" s="592"/>
      <c r="H1682" s="565"/>
      <c r="I1682" s="565"/>
      <c r="J1682" s="565"/>
      <c r="K1682" s="466"/>
      <c r="L1682" s="459"/>
      <c r="M1682" s="460"/>
      <c r="N1682" s="459"/>
      <c r="O1682" s="261"/>
      <c r="P1682" s="565"/>
      <c r="Q1682" s="565"/>
      <c r="R1682" s="467"/>
    </row>
    <row r="1683" spans="1:18" s="438" customFormat="1" outlineLevel="1">
      <c r="A1683" s="569"/>
      <c r="B1683" s="587"/>
      <c r="C1683" s="589"/>
      <c r="D1683" s="565"/>
      <c r="E1683" s="596"/>
      <c r="F1683" s="565"/>
      <c r="G1683" s="592"/>
      <c r="H1683" s="565"/>
      <c r="I1683" s="565"/>
      <c r="J1683" s="565"/>
      <c r="K1683" s="466"/>
      <c r="L1683" s="459"/>
      <c r="M1683" s="460"/>
      <c r="N1683" s="459"/>
      <c r="O1683" s="261"/>
      <c r="P1683" s="565"/>
      <c r="Q1683" s="565"/>
      <c r="R1683" s="467"/>
    </row>
    <row r="1684" spans="1:18" s="438" customFormat="1" outlineLevel="1">
      <c r="A1684" s="570"/>
      <c r="B1684" s="588"/>
      <c r="C1684" s="590"/>
      <c r="D1684" s="566"/>
      <c r="E1684" s="596"/>
      <c r="F1684" s="566"/>
      <c r="G1684" s="593"/>
      <c r="H1684" s="566"/>
      <c r="I1684" s="566"/>
      <c r="J1684" s="566"/>
      <c r="K1684" s="466"/>
      <c r="L1684" s="459"/>
      <c r="M1684" s="460"/>
      <c r="N1684" s="459"/>
      <c r="O1684" s="261"/>
      <c r="P1684" s="566"/>
      <c r="Q1684" s="566"/>
      <c r="R1684" s="467"/>
    </row>
    <row r="1685" spans="1:18" s="438" customFormat="1" outlineLevel="1">
      <c r="A1685" s="568"/>
      <c r="B1685" s="587"/>
      <c r="C1685" s="595"/>
      <c r="D1685" s="565"/>
      <c r="E1685" s="596"/>
      <c r="F1685" s="565"/>
      <c r="G1685" s="597"/>
      <c r="H1685" s="594"/>
      <c r="I1685" s="594"/>
      <c r="J1685" s="594"/>
      <c r="K1685" s="458"/>
      <c r="L1685" s="459"/>
      <c r="M1685" s="460"/>
      <c r="N1685" s="459"/>
      <c r="O1685" s="261"/>
      <c r="P1685" s="594"/>
      <c r="Q1685" s="594"/>
      <c r="R1685" s="467"/>
    </row>
    <row r="1686" spans="1:18" s="438" customFormat="1" outlineLevel="1">
      <c r="A1686" s="569"/>
      <c r="B1686" s="587"/>
      <c r="C1686" s="589"/>
      <c r="D1686" s="565"/>
      <c r="E1686" s="596"/>
      <c r="F1686" s="565"/>
      <c r="G1686" s="592"/>
      <c r="H1686" s="565"/>
      <c r="I1686" s="565"/>
      <c r="J1686" s="565"/>
      <c r="K1686" s="466"/>
      <c r="L1686" s="459"/>
      <c r="M1686" s="460"/>
      <c r="N1686" s="459"/>
      <c r="O1686" s="261"/>
      <c r="P1686" s="565"/>
      <c r="Q1686" s="565"/>
      <c r="R1686" s="467"/>
    </row>
    <row r="1687" spans="1:18" s="438" customFormat="1" outlineLevel="1">
      <c r="A1687" s="569"/>
      <c r="B1687" s="587"/>
      <c r="C1687" s="589"/>
      <c r="D1687" s="565"/>
      <c r="E1687" s="596"/>
      <c r="F1687" s="565"/>
      <c r="G1687" s="592"/>
      <c r="H1687" s="565"/>
      <c r="I1687" s="565"/>
      <c r="J1687" s="565"/>
      <c r="K1687" s="466"/>
      <c r="L1687" s="459"/>
      <c r="M1687" s="460"/>
      <c r="N1687" s="459"/>
      <c r="O1687" s="261"/>
      <c r="P1687" s="565"/>
      <c r="Q1687" s="565"/>
      <c r="R1687" s="467"/>
    </row>
    <row r="1688" spans="1:18" s="438" customFormat="1" outlineLevel="1">
      <c r="A1688" s="569"/>
      <c r="B1688" s="587"/>
      <c r="C1688" s="589"/>
      <c r="D1688" s="565"/>
      <c r="E1688" s="596"/>
      <c r="F1688" s="565"/>
      <c r="G1688" s="592"/>
      <c r="H1688" s="565"/>
      <c r="I1688" s="565"/>
      <c r="J1688" s="565"/>
      <c r="K1688" s="466"/>
      <c r="L1688" s="459"/>
      <c r="M1688" s="460"/>
      <c r="N1688" s="459"/>
      <c r="O1688" s="261"/>
      <c r="P1688" s="565"/>
      <c r="Q1688" s="565"/>
      <c r="R1688" s="467"/>
    </row>
    <row r="1689" spans="1:18" s="438" customFormat="1" outlineLevel="1">
      <c r="A1689" s="569"/>
      <c r="B1689" s="587"/>
      <c r="C1689" s="589"/>
      <c r="D1689" s="565"/>
      <c r="E1689" s="596"/>
      <c r="F1689" s="565"/>
      <c r="G1689" s="592"/>
      <c r="H1689" s="565"/>
      <c r="I1689" s="565"/>
      <c r="J1689" s="565"/>
      <c r="K1689" s="466"/>
      <c r="L1689" s="459"/>
      <c r="M1689" s="460"/>
      <c r="N1689" s="459"/>
      <c r="O1689" s="261"/>
      <c r="P1689" s="565"/>
      <c r="Q1689" s="565"/>
      <c r="R1689" s="467"/>
    </row>
    <row r="1690" spans="1:18" s="438" customFormat="1" outlineLevel="1">
      <c r="A1690" s="569"/>
      <c r="B1690" s="587"/>
      <c r="C1690" s="589"/>
      <c r="D1690" s="565"/>
      <c r="E1690" s="596"/>
      <c r="F1690" s="565"/>
      <c r="G1690" s="592"/>
      <c r="H1690" s="565"/>
      <c r="I1690" s="565"/>
      <c r="J1690" s="565"/>
      <c r="K1690" s="466"/>
      <c r="L1690" s="459"/>
      <c r="M1690" s="460"/>
      <c r="N1690" s="459"/>
      <c r="O1690" s="261"/>
      <c r="P1690" s="565"/>
      <c r="Q1690" s="565"/>
      <c r="R1690" s="467"/>
    </row>
    <row r="1691" spans="1:18" s="438" customFormat="1" outlineLevel="1">
      <c r="A1691" s="569"/>
      <c r="B1691" s="587"/>
      <c r="C1691" s="589"/>
      <c r="D1691" s="565"/>
      <c r="E1691" s="596"/>
      <c r="F1691" s="565"/>
      <c r="G1691" s="592"/>
      <c r="H1691" s="565"/>
      <c r="I1691" s="565"/>
      <c r="J1691" s="565"/>
      <c r="K1691" s="466"/>
      <c r="L1691" s="459"/>
      <c r="M1691" s="460"/>
      <c r="N1691" s="459"/>
      <c r="O1691" s="261"/>
      <c r="P1691" s="565"/>
      <c r="Q1691" s="565"/>
      <c r="R1691" s="467"/>
    </row>
    <row r="1692" spans="1:18" s="438" customFormat="1" outlineLevel="1">
      <c r="A1692" s="569"/>
      <c r="B1692" s="587"/>
      <c r="C1692" s="589"/>
      <c r="D1692" s="565"/>
      <c r="E1692" s="596"/>
      <c r="F1692" s="565"/>
      <c r="G1692" s="592"/>
      <c r="H1692" s="565"/>
      <c r="I1692" s="565"/>
      <c r="J1692" s="565"/>
      <c r="K1692" s="466"/>
      <c r="L1692" s="459"/>
      <c r="M1692" s="460"/>
      <c r="N1692" s="459"/>
      <c r="O1692" s="261"/>
      <c r="P1692" s="565"/>
      <c r="Q1692" s="565"/>
      <c r="R1692" s="467"/>
    </row>
    <row r="1693" spans="1:18" s="438" customFormat="1" outlineLevel="1">
      <c r="A1693" s="569"/>
      <c r="B1693" s="587"/>
      <c r="C1693" s="589"/>
      <c r="D1693" s="565"/>
      <c r="E1693" s="596"/>
      <c r="F1693" s="565"/>
      <c r="G1693" s="592"/>
      <c r="H1693" s="565"/>
      <c r="I1693" s="565"/>
      <c r="J1693" s="565"/>
      <c r="K1693" s="466"/>
      <c r="L1693" s="459"/>
      <c r="M1693" s="460"/>
      <c r="N1693" s="459"/>
      <c r="O1693" s="261"/>
      <c r="P1693" s="565"/>
      <c r="Q1693" s="565"/>
      <c r="R1693" s="467"/>
    </row>
    <row r="1694" spans="1:18" s="438" customFormat="1" outlineLevel="1">
      <c r="A1694" s="569"/>
      <c r="B1694" s="587"/>
      <c r="C1694" s="589"/>
      <c r="D1694" s="565"/>
      <c r="E1694" s="596"/>
      <c r="F1694" s="565"/>
      <c r="G1694" s="592"/>
      <c r="H1694" s="565"/>
      <c r="I1694" s="565"/>
      <c r="J1694" s="565"/>
      <c r="K1694" s="466"/>
      <c r="L1694" s="459"/>
      <c r="M1694" s="460"/>
      <c r="N1694" s="459"/>
      <c r="O1694" s="261"/>
      <c r="P1694" s="565"/>
      <c r="Q1694" s="565"/>
      <c r="R1694" s="467"/>
    </row>
    <row r="1695" spans="1:18" s="438" customFormat="1" outlineLevel="1">
      <c r="A1695" s="569"/>
      <c r="B1695" s="587"/>
      <c r="C1695" s="589"/>
      <c r="D1695" s="565"/>
      <c r="E1695" s="596"/>
      <c r="F1695" s="565"/>
      <c r="G1695" s="592"/>
      <c r="H1695" s="565"/>
      <c r="I1695" s="565"/>
      <c r="J1695" s="565"/>
      <c r="K1695" s="466"/>
      <c r="L1695" s="459"/>
      <c r="M1695" s="460"/>
      <c r="N1695" s="459"/>
      <c r="O1695" s="261"/>
      <c r="P1695" s="565"/>
      <c r="Q1695" s="565"/>
      <c r="R1695" s="467"/>
    </row>
    <row r="1696" spans="1:18" s="438" customFormat="1" outlineLevel="1">
      <c r="A1696" s="569"/>
      <c r="B1696" s="587"/>
      <c r="C1696" s="589"/>
      <c r="D1696" s="565"/>
      <c r="E1696" s="596"/>
      <c r="F1696" s="565"/>
      <c r="G1696" s="592"/>
      <c r="H1696" s="565"/>
      <c r="I1696" s="565"/>
      <c r="J1696" s="565"/>
      <c r="K1696" s="466"/>
      <c r="L1696" s="459"/>
      <c r="M1696" s="460"/>
      <c r="N1696" s="459"/>
      <c r="O1696" s="261"/>
      <c r="P1696" s="565"/>
      <c r="Q1696" s="565"/>
      <c r="R1696" s="467"/>
    </row>
    <row r="1697" spans="1:18" s="438" customFormat="1" outlineLevel="1">
      <c r="A1697" s="569"/>
      <c r="B1697" s="587"/>
      <c r="C1697" s="589"/>
      <c r="D1697" s="565"/>
      <c r="E1697" s="596"/>
      <c r="F1697" s="565"/>
      <c r="G1697" s="592"/>
      <c r="H1697" s="565"/>
      <c r="I1697" s="565"/>
      <c r="J1697" s="565"/>
      <c r="K1697" s="466"/>
      <c r="L1697" s="459"/>
      <c r="M1697" s="460"/>
      <c r="N1697" s="459"/>
      <c r="O1697" s="261"/>
      <c r="P1697" s="565"/>
      <c r="Q1697" s="565"/>
      <c r="R1697" s="467"/>
    </row>
    <row r="1698" spans="1:18" s="438" customFormat="1" outlineLevel="1">
      <c r="A1698" s="569"/>
      <c r="B1698" s="587"/>
      <c r="C1698" s="589"/>
      <c r="D1698" s="565"/>
      <c r="E1698" s="596"/>
      <c r="F1698" s="565"/>
      <c r="G1698" s="592"/>
      <c r="H1698" s="565"/>
      <c r="I1698" s="565"/>
      <c r="J1698" s="565"/>
      <c r="K1698" s="466"/>
      <c r="L1698" s="459"/>
      <c r="M1698" s="460"/>
      <c r="N1698" s="459"/>
      <c r="O1698" s="261"/>
      <c r="P1698" s="565"/>
      <c r="Q1698" s="565"/>
      <c r="R1698" s="467"/>
    </row>
    <row r="1699" spans="1:18" s="438" customFormat="1" outlineLevel="1">
      <c r="A1699" s="569"/>
      <c r="B1699" s="587"/>
      <c r="C1699" s="589"/>
      <c r="D1699" s="565"/>
      <c r="E1699" s="596"/>
      <c r="F1699" s="565"/>
      <c r="G1699" s="592"/>
      <c r="H1699" s="565"/>
      <c r="I1699" s="565"/>
      <c r="J1699" s="565"/>
      <c r="K1699" s="466"/>
      <c r="L1699" s="459"/>
      <c r="M1699" s="460"/>
      <c r="N1699" s="459"/>
      <c r="O1699" s="261"/>
      <c r="P1699" s="565"/>
      <c r="Q1699" s="565"/>
      <c r="R1699" s="467"/>
    </row>
    <row r="1700" spans="1:18" s="438" customFormat="1" outlineLevel="1">
      <c r="A1700" s="570"/>
      <c r="B1700" s="588"/>
      <c r="C1700" s="590"/>
      <c r="D1700" s="566"/>
      <c r="E1700" s="596"/>
      <c r="F1700" s="566"/>
      <c r="G1700" s="593"/>
      <c r="H1700" s="566"/>
      <c r="I1700" s="566"/>
      <c r="J1700" s="566"/>
      <c r="K1700" s="466"/>
      <c r="L1700" s="459"/>
      <c r="M1700" s="460"/>
      <c r="N1700" s="459"/>
      <c r="O1700" s="261"/>
      <c r="P1700" s="566"/>
      <c r="Q1700" s="566"/>
      <c r="R1700" s="467"/>
    </row>
    <row r="1701" spans="1:18" s="438" customFormat="1" outlineLevel="1">
      <c r="A1701" s="568"/>
      <c r="B1701" s="587"/>
      <c r="C1701" s="595"/>
      <c r="D1701" s="565"/>
      <c r="E1701" s="596"/>
      <c r="F1701" s="565"/>
      <c r="G1701" s="597"/>
      <c r="H1701" s="594"/>
      <c r="I1701" s="594"/>
      <c r="J1701" s="594"/>
      <c r="K1701" s="458"/>
      <c r="L1701" s="459"/>
      <c r="M1701" s="460"/>
      <c r="N1701" s="459"/>
      <c r="O1701" s="261"/>
      <c r="P1701" s="594"/>
      <c r="Q1701" s="594"/>
      <c r="R1701" s="467"/>
    </row>
    <row r="1702" spans="1:18" s="438" customFormat="1" outlineLevel="1">
      <c r="A1702" s="569"/>
      <c r="B1702" s="587"/>
      <c r="C1702" s="589"/>
      <c r="D1702" s="565"/>
      <c r="E1702" s="596"/>
      <c r="F1702" s="565"/>
      <c r="G1702" s="592"/>
      <c r="H1702" s="565"/>
      <c r="I1702" s="565"/>
      <c r="J1702" s="565"/>
      <c r="K1702" s="466"/>
      <c r="L1702" s="459"/>
      <c r="M1702" s="460"/>
      <c r="N1702" s="459"/>
      <c r="O1702" s="261"/>
      <c r="P1702" s="565"/>
      <c r="Q1702" s="565"/>
      <c r="R1702" s="467"/>
    </row>
    <row r="1703" spans="1:18" s="438" customFormat="1" outlineLevel="1">
      <c r="A1703" s="569"/>
      <c r="B1703" s="587"/>
      <c r="C1703" s="589"/>
      <c r="D1703" s="565"/>
      <c r="E1703" s="596"/>
      <c r="F1703" s="565"/>
      <c r="G1703" s="592"/>
      <c r="H1703" s="565"/>
      <c r="I1703" s="565"/>
      <c r="J1703" s="565"/>
      <c r="K1703" s="466"/>
      <c r="L1703" s="459"/>
      <c r="M1703" s="460"/>
      <c r="N1703" s="459"/>
      <c r="O1703" s="261"/>
      <c r="P1703" s="565"/>
      <c r="Q1703" s="565"/>
      <c r="R1703" s="467"/>
    </row>
    <row r="1704" spans="1:18" s="438" customFormat="1" outlineLevel="1">
      <c r="A1704" s="569"/>
      <c r="B1704" s="587"/>
      <c r="C1704" s="589"/>
      <c r="D1704" s="565"/>
      <c r="E1704" s="596"/>
      <c r="F1704" s="565"/>
      <c r="G1704" s="592"/>
      <c r="H1704" s="565"/>
      <c r="I1704" s="565"/>
      <c r="J1704" s="565"/>
      <c r="K1704" s="466"/>
      <c r="L1704" s="459"/>
      <c r="M1704" s="460"/>
      <c r="N1704" s="459"/>
      <c r="O1704" s="261"/>
      <c r="P1704" s="565"/>
      <c r="Q1704" s="565"/>
      <c r="R1704" s="467"/>
    </row>
    <row r="1705" spans="1:18" s="438" customFormat="1" outlineLevel="1">
      <c r="A1705" s="569"/>
      <c r="B1705" s="587"/>
      <c r="C1705" s="589"/>
      <c r="D1705" s="565"/>
      <c r="E1705" s="596"/>
      <c r="F1705" s="565"/>
      <c r="G1705" s="592"/>
      <c r="H1705" s="565"/>
      <c r="I1705" s="565"/>
      <c r="J1705" s="565"/>
      <c r="K1705" s="466"/>
      <c r="L1705" s="459"/>
      <c r="M1705" s="460"/>
      <c r="N1705" s="459"/>
      <c r="O1705" s="261"/>
      <c r="P1705" s="565"/>
      <c r="Q1705" s="565"/>
      <c r="R1705" s="467"/>
    </row>
    <row r="1706" spans="1:18" s="438" customFormat="1" outlineLevel="1">
      <c r="A1706" s="569"/>
      <c r="B1706" s="587"/>
      <c r="C1706" s="589"/>
      <c r="D1706" s="565"/>
      <c r="E1706" s="596"/>
      <c r="F1706" s="565"/>
      <c r="G1706" s="592"/>
      <c r="H1706" s="565"/>
      <c r="I1706" s="565"/>
      <c r="J1706" s="565"/>
      <c r="K1706" s="466"/>
      <c r="L1706" s="459"/>
      <c r="M1706" s="460"/>
      <c r="N1706" s="459"/>
      <c r="O1706" s="261"/>
      <c r="P1706" s="565"/>
      <c r="Q1706" s="565"/>
      <c r="R1706" s="467"/>
    </row>
    <row r="1707" spans="1:18" s="438" customFormat="1" outlineLevel="1">
      <c r="A1707" s="569"/>
      <c r="B1707" s="587"/>
      <c r="C1707" s="589"/>
      <c r="D1707" s="565"/>
      <c r="E1707" s="596"/>
      <c r="F1707" s="565"/>
      <c r="G1707" s="592"/>
      <c r="H1707" s="565"/>
      <c r="I1707" s="565"/>
      <c r="J1707" s="565"/>
      <c r="K1707" s="466"/>
      <c r="L1707" s="459"/>
      <c r="M1707" s="460"/>
      <c r="N1707" s="459"/>
      <c r="O1707" s="261"/>
      <c r="P1707" s="565"/>
      <c r="Q1707" s="565"/>
      <c r="R1707" s="467"/>
    </row>
    <row r="1708" spans="1:18" s="438" customFormat="1" outlineLevel="1">
      <c r="A1708" s="569"/>
      <c r="B1708" s="587"/>
      <c r="C1708" s="589"/>
      <c r="D1708" s="565"/>
      <c r="E1708" s="596"/>
      <c r="F1708" s="565"/>
      <c r="G1708" s="592"/>
      <c r="H1708" s="565"/>
      <c r="I1708" s="565"/>
      <c r="J1708" s="565"/>
      <c r="K1708" s="466"/>
      <c r="L1708" s="459"/>
      <c r="M1708" s="460"/>
      <c r="N1708" s="459"/>
      <c r="O1708" s="261"/>
      <c r="P1708" s="565"/>
      <c r="Q1708" s="565"/>
      <c r="R1708" s="467"/>
    </row>
    <row r="1709" spans="1:18" s="438" customFormat="1" outlineLevel="1">
      <c r="A1709" s="569"/>
      <c r="B1709" s="587"/>
      <c r="C1709" s="589"/>
      <c r="D1709" s="565"/>
      <c r="E1709" s="596"/>
      <c r="F1709" s="565"/>
      <c r="G1709" s="592"/>
      <c r="H1709" s="565"/>
      <c r="I1709" s="565"/>
      <c r="J1709" s="565"/>
      <c r="K1709" s="466"/>
      <c r="L1709" s="459"/>
      <c r="M1709" s="460"/>
      <c r="N1709" s="459"/>
      <c r="O1709" s="261"/>
      <c r="P1709" s="565"/>
      <c r="Q1709" s="565"/>
      <c r="R1709" s="467"/>
    </row>
    <row r="1710" spans="1:18" s="438" customFormat="1" outlineLevel="1">
      <c r="A1710" s="569"/>
      <c r="B1710" s="587"/>
      <c r="C1710" s="589"/>
      <c r="D1710" s="565"/>
      <c r="E1710" s="596"/>
      <c r="F1710" s="565"/>
      <c r="G1710" s="592"/>
      <c r="H1710" s="565"/>
      <c r="I1710" s="565"/>
      <c r="J1710" s="565"/>
      <c r="K1710" s="466"/>
      <c r="L1710" s="459"/>
      <c r="M1710" s="460"/>
      <c r="N1710" s="459"/>
      <c r="O1710" s="261"/>
      <c r="P1710" s="565"/>
      <c r="Q1710" s="565"/>
      <c r="R1710" s="467"/>
    </row>
    <row r="1711" spans="1:18" s="438" customFormat="1" outlineLevel="1">
      <c r="A1711" s="569"/>
      <c r="B1711" s="587"/>
      <c r="C1711" s="589"/>
      <c r="D1711" s="565"/>
      <c r="E1711" s="596"/>
      <c r="F1711" s="565"/>
      <c r="G1711" s="592"/>
      <c r="H1711" s="565"/>
      <c r="I1711" s="565"/>
      <c r="J1711" s="565"/>
      <c r="K1711" s="466"/>
      <c r="L1711" s="459"/>
      <c r="M1711" s="460"/>
      <c r="N1711" s="459"/>
      <c r="O1711" s="261"/>
      <c r="P1711" s="565"/>
      <c r="Q1711" s="565"/>
      <c r="R1711" s="467"/>
    </row>
    <row r="1712" spans="1:18" s="438" customFormat="1" outlineLevel="1">
      <c r="A1712" s="569"/>
      <c r="B1712" s="587"/>
      <c r="C1712" s="589"/>
      <c r="D1712" s="565"/>
      <c r="E1712" s="596"/>
      <c r="F1712" s="565"/>
      <c r="G1712" s="592"/>
      <c r="H1712" s="565"/>
      <c r="I1712" s="565"/>
      <c r="J1712" s="565"/>
      <c r="K1712" s="466"/>
      <c r="L1712" s="459"/>
      <c r="M1712" s="460"/>
      <c r="N1712" s="459"/>
      <c r="O1712" s="261"/>
      <c r="P1712" s="565"/>
      <c r="Q1712" s="565"/>
      <c r="R1712" s="467"/>
    </row>
    <row r="1713" spans="1:18" s="438" customFormat="1" outlineLevel="1">
      <c r="A1713" s="569"/>
      <c r="B1713" s="587"/>
      <c r="C1713" s="589"/>
      <c r="D1713" s="565"/>
      <c r="E1713" s="596"/>
      <c r="F1713" s="565"/>
      <c r="G1713" s="592"/>
      <c r="H1713" s="565"/>
      <c r="I1713" s="565"/>
      <c r="J1713" s="565"/>
      <c r="K1713" s="466"/>
      <c r="L1713" s="459"/>
      <c r="M1713" s="460"/>
      <c r="N1713" s="459"/>
      <c r="O1713" s="261"/>
      <c r="P1713" s="565"/>
      <c r="Q1713" s="565"/>
      <c r="R1713" s="467"/>
    </row>
    <row r="1714" spans="1:18" s="438" customFormat="1" outlineLevel="1">
      <c r="A1714" s="569"/>
      <c r="B1714" s="587"/>
      <c r="C1714" s="589"/>
      <c r="D1714" s="565"/>
      <c r="E1714" s="596"/>
      <c r="F1714" s="565"/>
      <c r="G1714" s="592"/>
      <c r="H1714" s="565"/>
      <c r="I1714" s="565"/>
      <c r="J1714" s="565"/>
      <c r="K1714" s="466"/>
      <c r="L1714" s="459"/>
      <c r="M1714" s="460"/>
      <c r="N1714" s="459"/>
      <c r="O1714" s="261"/>
      <c r="P1714" s="565"/>
      <c r="Q1714" s="565"/>
      <c r="R1714" s="467"/>
    </row>
    <row r="1715" spans="1:18" s="438" customFormat="1" outlineLevel="1">
      <c r="A1715" s="569"/>
      <c r="B1715" s="587"/>
      <c r="C1715" s="589"/>
      <c r="D1715" s="565"/>
      <c r="E1715" s="596"/>
      <c r="F1715" s="565"/>
      <c r="G1715" s="592"/>
      <c r="H1715" s="565"/>
      <c r="I1715" s="565"/>
      <c r="J1715" s="565"/>
      <c r="K1715" s="466"/>
      <c r="L1715" s="459"/>
      <c r="M1715" s="460"/>
      <c r="N1715" s="459"/>
      <c r="O1715" s="261"/>
      <c r="P1715" s="565"/>
      <c r="Q1715" s="565"/>
      <c r="R1715" s="467"/>
    </row>
    <row r="1716" spans="1:18" s="438" customFormat="1" outlineLevel="1">
      <c r="A1716" s="570"/>
      <c r="B1716" s="588"/>
      <c r="C1716" s="590"/>
      <c r="D1716" s="566"/>
      <c r="E1716" s="596"/>
      <c r="F1716" s="566"/>
      <c r="G1716" s="593"/>
      <c r="H1716" s="566"/>
      <c r="I1716" s="566"/>
      <c r="J1716" s="566"/>
      <c r="K1716" s="466"/>
      <c r="L1716" s="459"/>
      <c r="M1716" s="460"/>
      <c r="N1716" s="459"/>
      <c r="O1716" s="261"/>
      <c r="P1716" s="566"/>
      <c r="Q1716" s="566"/>
      <c r="R1716" s="467"/>
    </row>
    <row r="1717" spans="1:18" s="438" customFormat="1" outlineLevel="1">
      <c r="A1717" s="568"/>
      <c r="B1717" s="587"/>
      <c r="C1717" s="595"/>
      <c r="D1717" s="565"/>
      <c r="E1717" s="596"/>
      <c r="F1717" s="565"/>
      <c r="G1717" s="597"/>
      <c r="H1717" s="594"/>
      <c r="I1717" s="594"/>
      <c r="J1717" s="594"/>
      <c r="K1717" s="458"/>
      <c r="L1717" s="459"/>
      <c r="M1717" s="460"/>
      <c r="N1717" s="459"/>
      <c r="O1717" s="261"/>
      <c r="P1717" s="594"/>
      <c r="Q1717" s="594"/>
      <c r="R1717" s="467"/>
    </row>
    <row r="1718" spans="1:18" s="438" customFormat="1" outlineLevel="1">
      <c r="A1718" s="569"/>
      <c r="B1718" s="587"/>
      <c r="C1718" s="589"/>
      <c r="D1718" s="565"/>
      <c r="E1718" s="596"/>
      <c r="F1718" s="565"/>
      <c r="G1718" s="592"/>
      <c r="H1718" s="565"/>
      <c r="I1718" s="565"/>
      <c r="J1718" s="565"/>
      <c r="K1718" s="466"/>
      <c r="L1718" s="459"/>
      <c r="M1718" s="460"/>
      <c r="N1718" s="459"/>
      <c r="O1718" s="261"/>
      <c r="P1718" s="565"/>
      <c r="Q1718" s="565"/>
      <c r="R1718" s="467"/>
    </row>
    <row r="1719" spans="1:18" s="438" customFormat="1" outlineLevel="1">
      <c r="A1719" s="569"/>
      <c r="B1719" s="587"/>
      <c r="C1719" s="589"/>
      <c r="D1719" s="565"/>
      <c r="E1719" s="596"/>
      <c r="F1719" s="565"/>
      <c r="G1719" s="592"/>
      <c r="H1719" s="565"/>
      <c r="I1719" s="565"/>
      <c r="J1719" s="565"/>
      <c r="K1719" s="466"/>
      <c r="L1719" s="459"/>
      <c r="M1719" s="460"/>
      <c r="N1719" s="459"/>
      <c r="O1719" s="261"/>
      <c r="P1719" s="565"/>
      <c r="Q1719" s="565"/>
      <c r="R1719" s="467"/>
    </row>
    <row r="1720" spans="1:18" s="438" customFormat="1" outlineLevel="1">
      <c r="A1720" s="569"/>
      <c r="B1720" s="587"/>
      <c r="C1720" s="589"/>
      <c r="D1720" s="565"/>
      <c r="E1720" s="596"/>
      <c r="F1720" s="565"/>
      <c r="G1720" s="592"/>
      <c r="H1720" s="565"/>
      <c r="I1720" s="565"/>
      <c r="J1720" s="565"/>
      <c r="K1720" s="466"/>
      <c r="L1720" s="459"/>
      <c r="M1720" s="460"/>
      <c r="N1720" s="459"/>
      <c r="O1720" s="261"/>
      <c r="P1720" s="565"/>
      <c r="Q1720" s="565"/>
      <c r="R1720" s="467"/>
    </row>
    <row r="1721" spans="1:18" s="438" customFormat="1" outlineLevel="1">
      <c r="A1721" s="569"/>
      <c r="B1721" s="587"/>
      <c r="C1721" s="589"/>
      <c r="D1721" s="565"/>
      <c r="E1721" s="596"/>
      <c r="F1721" s="565"/>
      <c r="G1721" s="592"/>
      <c r="H1721" s="565"/>
      <c r="I1721" s="565"/>
      <c r="J1721" s="565"/>
      <c r="K1721" s="466"/>
      <c r="L1721" s="459"/>
      <c r="M1721" s="460"/>
      <c r="N1721" s="459"/>
      <c r="O1721" s="261"/>
      <c r="P1721" s="565"/>
      <c r="Q1721" s="565"/>
      <c r="R1721" s="467"/>
    </row>
    <row r="1722" spans="1:18" s="438" customFormat="1" outlineLevel="1">
      <c r="A1722" s="569"/>
      <c r="B1722" s="587"/>
      <c r="C1722" s="589"/>
      <c r="D1722" s="565"/>
      <c r="E1722" s="596"/>
      <c r="F1722" s="565"/>
      <c r="G1722" s="592"/>
      <c r="H1722" s="565"/>
      <c r="I1722" s="565"/>
      <c r="J1722" s="565"/>
      <c r="K1722" s="466"/>
      <c r="L1722" s="459"/>
      <c r="M1722" s="460"/>
      <c r="N1722" s="459"/>
      <c r="O1722" s="261"/>
      <c r="P1722" s="565"/>
      <c r="Q1722" s="565"/>
      <c r="R1722" s="467"/>
    </row>
    <row r="1723" spans="1:18" s="438" customFormat="1" outlineLevel="1">
      <c r="A1723" s="569"/>
      <c r="B1723" s="587"/>
      <c r="C1723" s="589"/>
      <c r="D1723" s="565"/>
      <c r="E1723" s="596"/>
      <c r="F1723" s="565"/>
      <c r="G1723" s="592"/>
      <c r="H1723" s="565"/>
      <c r="I1723" s="565"/>
      <c r="J1723" s="565"/>
      <c r="K1723" s="466"/>
      <c r="L1723" s="459"/>
      <c r="M1723" s="460"/>
      <c r="N1723" s="459"/>
      <c r="O1723" s="261"/>
      <c r="P1723" s="565"/>
      <c r="Q1723" s="565"/>
      <c r="R1723" s="467"/>
    </row>
    <row r="1724" spans="1:18" s="438" customFormat="1" outlineLevel="1">
      <c r="A1724" s="569"/>
      <c r="B1724" s="587"/>
      <c r="C1724" s="589"/>
      <c r="D1724" s="565"/>
      <c r="E1724" s="596"/>
      <c r="F1724" s="565"/>
      <c r="G1724" s="592"/>
      <c r="H1724" s="565"/>
      <c r="I1724" s="565"/>
      <c r="J1724" s="565"/>
      <c r="K1724" s="466"/>
      <c r="L1724" s="459"/>
      <c r="M1724" s="460"/>
      <c r="N1724" s="459"/>
      <c r="O1724" s="261"/>
      <c r="P1724" s="565"/>
      <c r="Q1724" s="565"/>
      <c r="R1724" s="467"/>
    </row>
    <row r="1725" spans="1:18" s="438" customFormat="1" outlineLevel="1">
      <c r="A1725" s="569"/>
      <c r="B1725" s="587"/>
      <c r="C1725" s="589"/>
      <c r="D1725" s="565"/>
      <c r="E1725" s="596"/>
      <c r="F1725" s="565"/>
      <c r="G1725" s="592"/>
      <c r="H1725" s="565"/>
      <c r="I1725" s="565"/>
      <c r="J1725" s="565"/>
      <c r="K1725" s="466"/>
      <c r="L1725" s="459"/>
      <c r="M1725" s="460"/>
      <c r="N1725" s="459"/>
      <c r="O1725" s="261"/>
      <c r="P1725" s="565"/>
      <c r="Q1725" s="565"/>
      <c r="R1725" s="467"/>
    </row>
    <row r="1726" spans="1:18" s="438" customFormat="1" outlineLevel="1">
      <c r="A1726" s="569"/>
      <c r="B1726" s="587"/>
      <c r="C1726" s="589"/>
      <c r="D1726" s="565"/>
      <c r="E1726" s="596"/>
      <c r="F1726" s="565"/>
      <c r="G1726" s="592"/>
      <c r="H1726" s="565"/>
      <c r="I1726" s="565"/>
      <c r="J1726" s="565"/>
      <c r="K1726" s="466"/>
      <c r="L1726" s="459"/>
      <c r="M1726" s="460"/>
      <c r="N1726" s="459"/>
      <c r="O1726" s="261"/>
      <c r="P1726" s="565"/>
      <c r="Q1726" s="565"/>
      <c r="R1726" s="467"/>
    </row>
    <row r="1727" spans="1:18" s="438" customFormat="1" outlineLevel="1">
      <c r="A1727" s="569"/>
      <c r="B1727" s="587"/>
      <c r="C1727" s="589"/>
      <c r="D1727" s="565"/>
      <c r="E1727" s="596"/>
      <c r="F1727" s="565"/>
      <c r="G1727" s="592"/>
      <c r="H1727" s="565"/>
      <c r="I1727" s="565"/>
      <c r="J1727" s="565"/>
      <c r="K1727" s="466"/>
      <c r="L1727" s="459"/>
      <c r="M1727" s="460"/>
      <c r="N1727" s="459"/>
      <c r="O1727" s="261"/>
      <c r="P1727" s="565"/>
      <c r="Q1727" s="565"/>
      <c r="R1727" s="467"/>
    </row>
    <row r="1728" spans="1:18" s="438" customFormat="1" outlineLevel="1">
      <c r="A1728" s="569"/>
      <c r="B1728" s="587"/>
      <c r="C1728" s="589"/>
      <c r="D1728" s="565"/>
      <c r="E1728" s="596"/>
      <c r="F1728" s="565"/>
      <c r="G1728" s="592"/>
      <c r="H1728" s="565"/>
      <c r="I1728" s="565"/>
      <c r="J1728" s="565"/>
      <c r="K1728" s="466"/>
      <c r="L1728" s="459"/>
      <c r="M1728" s="460"/>
      <c r="N1728" s="459"/>
      <c r="O1728" s="261"/>
      <c r="P1728" s="565"/>
      <c r="Q1728" s="565"/>
      <c r="R1728" s="467"/>
    </row>
    <row r="1729" spans="1:18" s="438" customFormat="1" outlineLevel="1">
      <c r="A1729" s="569"/>
      <c r="B1729" s="587"/>
      <c r="C1729" s="589"/>
      <c r="D1729" s="565"/>
      <c r="E1729" s="596"/>
      <c r="F1729" s="565"/>
      <c r="G1729" s="592"/>
      <c r="H1729" s="565"/>
      <c r="I1729" s="565"/>
      <c r="J1729" s="565"/>
      <c r="K1729" s="466"/>
      <c r="L1729" s="459"/>
      <c r="M1729" s="460"/>
      <c r="N1729" s="459"/>
      <c r="O1729" s="261"/>
      <c r="P1729" s="565"/>
      <c r="Q1729" s="565"/>
      <c r="R1729" s="467"/>
    </row>
    <row r="1730" spans="1:18" s="438" customFormat="1" outlineLevel="1">
      <c r="A1730" s="569"/>
      <c r="B1730" s="587"/>
      <c r="C1730" s="589"/>
      <c r="D1730" s="565"/>
      <c r="E1730" s="596"/>
      <c r="F1730" s="565"/>
      <c r="G1730" s="592"/>
      <c r="H1730" s="565"/>
      <c r="I1730" s="565"/>
      <c r="J1730" s="565"/>
      <c r="K1730" s="466"/>
      <c r="L1730" s="459"/>
      <c r="M1730" s="460"/>
      <c r="N1730" s="459"/>
      <c r="O1730" s="261"/>
      <c r="P1730" s="565"/>
      <c r="Q1730" s="565"/>
      <c r="R1730" s="467"/>
    </row>
    <row r="1731" spans="1:18" s="438" customFormat="1" outlineLevel="1">
      <c r="A1731" s="569"/>
      <c r="B1731" s="587"/>
      <c r="C1731" s="589"/>
      <c r="D1731" s="565"/>
      <c r="E1731" s="596"/>
      <c r="F1731" s="565"/>
      <c r="G1731" s="592"/>
      <c r="H1731" s="565"/>
      <c r="I1731" s="565"/>
      <c r="J1731" s="565"/>
      <c r="K1731" s="466"/>
      <c r="L1731" s="459"/>
      <c r="M1731" s="460"/>
      <c r="N1731" s="459"/>
      <c r="O1731" s="261"/>
      <c r="P1731" s="565"/>
      <c r="Q1731" s="565"/>
      <c r="R1731" s="467"/>
    </row>
    <row r="1732" spans="1:18" s="438" customFormat="1" outlineLevel="1">
      <c r="A1732" s="570"/>
      <c r="B1732" s="588"/>
      <c r="C1732" s="590"/>
      <c r="D1732" s="566"/>
      <c r="E1732" s="596"/>
      <c r="F1732" s="566"/>
      <c r="G1732" s="593"/>
      <c r="H1732" s="566"/>
      <c r="I1732" s="566"/>
      <c r="J1732" s="566"/>
      <c r="K1732" s="466"/>
      <c r="L1732" s="459"/>
      <c r="M1732" s="460"/>
      <c r="N1732" s="459"/>
      <c r="O1732" s="261"/>
      <c r="P1732" s="566"/>
      <c r="Q1732" s="566"/>
      <c r="R1732" s="467"/>
    </row>
    <row r="1733" spans="1:18" s="438" customFormat="1" outlineLevel="1">
      <c r="A1733" s="568"/>
      <c r="B1733" s="587"/>
      <c r="C1733" s="595"/>
      <c r="D1733" s="565"/>
      <c r="E1733" s="596"/>
      <c r="F1733" s="565"/>
      <c r="G1733" s="597"/>
      <c r="H1733" s="594"/>
      <c r="I1733" s="594"/>
      <c r="J1733" s="594"/>
      <c r="K1733" s="458"/>
      <c r="L1733" s="459"/>
      <c r="M1733" s="460"/>
      <c r="N1733" s="459"/>
      <c r="O1733" s="261"/>
      <c r="P1733" s="594"/>
      <c r="Q1733" s="594"/>
      <c r="R1733" s="467"/>
    </row>
    <row r="1734" spans="1:18" s="438" customFormat="1" outlineLevel="1">
      <c r="A1734" s="569"/>
      <c r="B1734" s="587"/>
      <c r="C1734" s="589"/>
      <c r="D1734" s="565"/>
      <c r="E1734" s="596"/>
      <c r="F1734" s="565"/>
      <c r="G1734" s="592"/>
      <c r="H1734" s="565"/>
      <c r="I1734" s="565"/>
      <c r="J1734" s="565"/>
      <c r="K1734" s="466"/>
      <c r="L1734" s="459"/>
      <c r="M1734" s="460"/>
      <c r="N1734" s="459"/>
      <c r="O1734" s="261"/>
      <c r="P1734" s="565"/>
      <c r="Q1734" s="565"/>
      <c r="R1734" s="467"/>
    </row>
    <row r="1735" spans="1:18" s="438" customFormat="1" outlineLevel="1">
      <c r="A1735" s="569"/>
      <c r="B1735" s="587"/>
      <c r="C1735" s="589"/>
      <c r="D1735" s="565"/>
      <c r="E1735" s="596"/>
      <c r="F1735" s="565"/>
      <c r="G1735" s="592"/>
      <c r="H1735" s="565"/>
      <c r="I1735" s="565"/>
      <c r="J1735" s="565"/>
      <c r="K1735" s="466"/>
      <c r="L1735" s="459"/>
      <c r="M1735" s="460"/>
      <c r="N1735" s="459"/>
      <c r="O1735" s="261"/>
      <c r="P1735" s="565"/>
      <c r="Q1735" s="565"/>
      <c r="R1735" s="467"/>
    </row>
    <row r="1736" spans="1:18" s="438" customFormat="1" outlineLevel="1">
      <c r="A1736" s="569"/>
      <c r="B1736" s="587"/>
      <c r="C1736" s="589"/>
      <c r="D1736" s="565"/>
      <c r="E1736" s="596"/>
      <c r="F1736" s="565"/>
      <c r="G1736" s="592"/>
      <c r="H1736" s="565"/>
      <c r="I1736" s="565"/>
      <c r="J1736" s="565"/>
      <c r="K1736" s="466"/>
      <c r="L1736" s="459"/>
      <c r="M1736" s="460"/>
      <c r="N1736" s="459"/>
      <c r="O1736" s="261"/>
      <c r="P1736" s="565"/>
      <c r="Q1736" s="565"/>
      <c r="R1736" s="467"/>
    </row>
    <row r="1737" spans="1:18" s="438" customFormat="1" outlineLevel="1">
      <c r="A1737" s="569"/>
      <c r="B1737" s="587"/>
      <c r="C1737" s="589"/>
      <c r="D1737" s="565"/>
      <c r="E1737" s="596"/>
      <c r="F1737" s="565"/>
      <c r="G1737" s="592"/>
      <c r="H1737" s="565"/>
      <c r="I1737" s="565"/>
      <c r="J1737" s="565"/>
      <c r="K1737" s="466"/>
      <c r="L1737" s="459"/>
      <c r="M1737" s="460"/>
      <c r="N1737" s="459"/>
      <c r="O1737" s="261"/>
      <c r="P1737" s="565"/>
      <c r="Q1737" s="565"/>
      <c r="R1737" s="467"/>
    </row>
    <row r="1738" spans="1:18" s="438" customFormat="1" outlineLevel="1">
      <c r="A1738" s="569"/>
      <c r="B1738" s="587"/>
      <c r="C1738" s="589"/>
      <c r="D1738" s="565"/>
      <c r="E1738" s="596"/>
      <c r="F1738" s="565"/>
      <c r="G1738" s="592"/>
      <c r="H1738" s="565"/>
      <c r="I1738" s="565"/>
      <c r="J1738" s="565"/>
      <c r="K1738" s="466"/>
      <c r="L1738" s="459"/>
      <c r="M1738" s="460"/>
      <c r="N1738" s="459"/>
      <c r="O1738" s="261"/>
      <c r="P1738" s="565"/>
      <c r="Q1738" s="565"/>
      <c r="R1738" s="467"/>
    </row>
    <row r="1739" spans="1:18" s="438" customFormat="1" outlineLevel="1">
      <c r="A1739" s="569"/>
      <c r="B1739" s="587"/>
      <c r="C1739" s="589"/>
      <c r="D1739" s="565"/>
      <c r="E1739" s="596"/>
      <c r="F1739" s="565"/>
      <c r="G1739" s="592"/>
      <c r="H1739" s="565"/>
      <c r="I1739" s="565"/>
      <c r="J1739" s="565"/>
      <c r="K1739" s="466"/>
      <c r="L1739" s="459"/>
      <c r="M1739" s="460"/>
      <c r="N1739" s="459"/>
      <c r="O1739" s="261"/>
      <c r="P1739" s="565"/>
      <c r="Q1739" s="565"/>
      <c r="R1739" s="467"/>
    </row>
    <row r="1740" spans="1:18" s="438" customFormat="1" outlineLevel="1">
      <c r="A1740" s="569"/>
      <c r="B1740" s="587"/>
      <c r="C1740" s="589"/>
      <c r="D1740" s="565"/>
      <c r="E1740" s="596"/>
      <c r="F1740" s="565"/>
      <c r="G1740" s="592"/>
      <c r="H1740" s="565"/>
      <c r="I1740" s="565"/>
      <c r="J1740" s="565"/>
      <c r="K1740" s="466"/>
      <c r="L1740" s="459"/>
      <c r="M1740" s="460"/>
      <c r="N1740" s="459"/>
      <c r="O1740" s="261"/>
      <c r="P1740" s="565"/>
      <c r="Q1740" s="565"/>
      <c r="R1740" s="467"/>
    </row>
    <row r="1741" spans="1:18" s="438" customFormat="1" outlineLevel="1">
      <c r="A1741" s="569"/>
      <c r="B1741" s="587"/>
      <c r="C1741" s="589"/>
      <c r="D1741" s="565"/>
      <c r="E1741" s="596"/>
      <c r="F1741" s="565"/>
      <c r="G1741" s="592"/>
      <c r="H1741" s="565"/>
      <c r="I1741" s="565"/>
      <c r="J1741" s="565"/>
      <c r="K1741" s="466"/>
      <c r="L1741" s="459"/>
      <c r="M1741" s="460"/>
      <c r="N1741" s="459"/>
      <c r="O1741" s="261"/>
      <c r="P1741" s="565"/>
      <c r="Q1741" s="565"/>
      <c r="R1741" s="467"/>
    </row>
    <row r="1742" spans="1:18" s="438" customFormat="1" outlineLevel="1">
      <c r="A1742" s="569"/>
      <c r="B1742" s="587"/>
      <c r="C1742" s="589"/>
      <c r="D1742" s="565"/>
      <c r="E1742" s="596"/>
      <c r="F1742" s="565"/>
      <c r="G1742" s="592"/>
      <c r="H1742" s="565"/>
      <c r="I1742" s="565"/>
      <c r="J1742" s="565"/>
      <c r="K1742" s="466"/>
      <c r="L1742" s="459"/>
      <c r="M1742" s="460"/>
      <c r="N1742" s="459"/>
      <c r="O1742" s="261"/>
      <c r="P1742" s="565"/>
      <c r="Q1742" s="565"/>
      <c r="R1742" s="467"/>
    </row>
    <row r="1743" spans="1:18" s="438" customFormat="1" outlineLevel="1">
      <c r="A1743" s="569"/>
      <c r="B1743" s="587"/>
      <c r="C1743" s="589"/>
      <c r="D1743" s="565"/>
      <c r="E1743" s="596"/>
      <c r="F1743" s="565"/>
      <c r="G1743" s="592"/>
      <c r="H1743" s="565"/>
      <c r="I1743" s="565"/>
      <c r="J1743" s="565"/>
      <c r="K1743" s="466"/>
      <c r="L1743" s="459"/>
      <c r="M1743" s="460"/>
      <c r="N1743" s="459"/>
      <c r="O1743" s="261"/>
      <c r="P1743" s="565"/>
      <c r="Q1743" s="565"/>
      <c r="R1743" s="467"/>
    </row>
    <row r="1744" spans="1:18" s="438" customFormat="1" outlineLevel="1">
      <c r="A1744" s="569"/>
      <c r="B1744" s="587"/>
      <c r="C1744" s="589"/>
      <c r="D1744" s="565"/>
      <c r="E1744" s="596"/>
      <c r="F1744" s="565"/>
      <c r="G1744" s="592"/>
      <c r="H1744" s="565"/>
      <c r="I1744" s="565"/>
      <c r="J1744" s="565"/>
      <c r="K1744" s="466"/>
      <c r="L1744" s="459"/>
      <c r="M1744" s="460"/>
      <c r="N1744" s="459"/>
      <c r="O1744" s="261"/>
      <c r="P1744" s="565"/>
      <c r="Q1744" s="565"/>
      <c r="R1744" s="467"/>
    </row>
    <row r="1745" spans="1:18" s="438" customFormat="1" outlineLevel="1">
      <c r="A1745" s="569"/>
      <c r="B1745" s="587"/>
      <c r="C1745" s="589"/>
      <c r="D1745" s="565"/>
      <c r="E1745" s="596"/>
      <c r="F1745" s="565"/>
      <c r="G1745" s="592"/>
      <c r="H1745" s="565"/>
      <c r="I1745" s="565"/>
      <c r="J1745" s="565"/>
      <c r="K1745" s="466"/>
      <c r="L1745" s="459"/>
      <c r="M1745" s="460"/>
      <c r="N1745" s="459"/>
      <c r="O1745" s="261"/>
      <c r="P1745" s="565"/>
      <c r="Q1745" s="565"/>
      <c r="R1745" s="467"/>
    </row>
    <row r="1746" spans="1:18" s="438" customFormat="1" outlineLevel="1">
      <c r="A1746" s="569"/>
      <c r="B1746" s="587"/>
      <c r="C1746" s="589"/>
      <c r="D1746" s="565"/>
      <c r="E1746" s="596"/>
      <c r="F1746" s="565"/>
      <c r="G1746" s="592"/>
      <c r="H1746" s="565"/>
      <c r="I1746" s="565"/>
      <c r="J1746" s="565"/>
      <c r="K1746" s="466"/>
      <c r="L1746" s="459"/>
      <c r="M1746" s="460"/>
      <c r="N1746" s="459"/>
      <c r="O1746" s="261"/>
      <c r="P1746" s="565"/>
      <c r="Q1746" s="565"/>
      <c r="R1746" s="467"/>
    </row>
    <row r="1747" spans="1:18" s="438" customFormat="1" outlineLevel="1">
      <c r="A1747" s="569"/>
      <c r="B1747" s="587"/>
      <c r="C1747" s="589"/>
      <c r="D1747" s="565"/>
      <c r="E1747" s="596"/>
      <c r="F1747" s="565"/>
      <c r="G1747" s="592"/>
      <c r="H1747" s="565"/>
      <c r="I1747" s="565"/>
      <c r="J1747" s="565"/>
      <c r="K1747" s="466"/>
      <c r="L1747" s="459"/>
      <c r="M1747" s="460"/>
      <c r="N1747" s="459"/>
      <c r="O1747" s="261"/>
      <c r="P1747" s="565"/>
      <c r="Q1747" s="565"/>
      <c r="R1747" s="467"/>
    </row>
    <row r="1748" spans="1:18" s="438" customFormat="1" outlineLevel="1">
      <c r="A1748" s="570"/>
      <c r="B1748" s="588"/>
      <c r="C1748" s="590"/>
      <c r="D1748" s="566"/>
      <c r="E1748" s="596"/>
      <c r="F1748" s="566"/>
      <c r="G1748" s="593"/>
      <c r="H1748" s="566"/>
      <c r="I1748" s="566"/>
      <c r="J1748" s="566"/>
      <c r="K1748" s="466"/>
      <c r="L1748" s="459"/>
      <c r="M1748" s="460"/>
      <c r="N1748" s="459"/>
      <c r="O1748" s="261"/>
      <c r="P1748" s="566"/>
      <c r="Q1748" s="566"/>
      <c r="R1748" s="467"/>
    </row>
    <row r="1749" spans="1:18" s="438" customFormat="1" outlineLevel="1">
      <c r="A1749" s="568"/>
      <c r="B1749" s="587"/>
      <c r="C1749" s="595"/>
      <c r="D1749" s="565"/>
      <c r="E1749" s="596"/>
      <c r="F1749" s="565"/>
      <c r="G1749" s="597"/>
      <c r="H1749" s="594"/>
      <c r="I1749" s="594"/>
      <c r="J1749" s="594"/>
      <c r="K1749" s="458"/>
      <c r="L1749" s="459"/>
      <c r="M1749" s="460"/>
      <c r="N1749" s="459"/>
      <c r="O1749" s="261"/>
      <c r="P1749" s="594"/>
      <c r="Q1749" s="594"/>
      <c r="R1749" s="467"/>
    </row>
    <row r="1750" spans="1:18" s="438" customFormat="1" outlineLevel="1">
      <c r="A1750" s="569"/>
      <c r="B1750" s="587"/>
      <c r="C1750" s="589"/>
      <c r="D1750" s="565"/>
      <c r="E1750" s="596"/>
      <c r="F1750" s="565"/>
      <c r="G1750" s="592"/>
      <c r="H1750" s="565"/>
      <c r="I1750" s="565"/>
      <c r="J1750" s="565"/>
      <c r="K1750" s="466"/>
      <c r="L1750" s="459"/>
      <c r="M1750" s="460"/>
      <c r="N1750" s="459"/>
      <c r="O1750" s="261"/>
      <c r="P1750" s="565"/>
      <c r="Q1750" s="565"/>
      <c r="R1750" s="467"/>
    </row>
    <row r="1751" spans="1:18" s="438" customFormat="1" outlineLevel="1">
      <c r="A1751" s="569"/>
      <c r="B1751" s="587"/>
      <c r="C1751" s="589"/>
      <c r="D1751" s="565"/>
      <c r="E1751" s="596"/>
      <c r="F1751" s="565"/>
      <c r="G1751" s="592"/>
      <c r="H1751" s="565"/>
      <c r="I1751" s="565"/>
      <c r="J1751" s="565"/>
      <c r="K1751" s="466"/>
      <c r="L1751" s="459"/>
      <c r="M1751" s="460"/>
      <c r="N1751" s="459"/>
      <c r="O1751" s="261"/>
      <c r="P1751" s="565"/>
      <c r="Q1751" s="565"/>
      <c r="R1751" s="467"/>
    </row>
    <row r="1752" spans="1:18" s="438" customFormat="1" outlineLevel="1">
      <c r="A1752" s="569"/>
      <c r="B1752" s="587"/>
      <c r="C1752" s="589"/>
      <c r="D1752" s="565"/>
      <c r="E1752" s="596"/>
      <c r="F1752" s="565"/>
      <c r="G1752" s="592"/>
      <c r="H1752" s="565"/>
      <c r="I1752" s="565"/>
      <c r="J1752" s="565"/>
      <c r="K1752" s="466"/>
      <c r="L1752" s="459"/>
      <c r="M1752" s="460"/>
      <c r="N1752" s="459"/>
      <c r="O1752" s="261"/>
      <c r="P1752" s="565"/>
      <c r="Q1752" s="565"/>
      <c r="R1752" s="467"/>
    </row>
    <row r="1753" spans="1:18" s="438" customFormat="1" outlineLevel="1">
      <c r="A1753" s="569"/>
      <c r="B1753" s="587"/>
      <c r="C1753" s="589"/>
      <c r="D1753" s="565"/>
      <c r="E1753" s="596"/>
      <c r="F1753" s="565"/>
      <c r="G1753" s="592"/>
      <c r="H1753" s="565"/>
      <c r="I1753" s="565"/>
      <c r="J1753" s="565"/>
      <c r="K1753" s="466"/>
      <c r="L1753" s="459"/>
      <c r="M1753" s="460"/>
      <c r="N1753" s="459"/>
      <c r="O1753" s="261"/>
      <c r="P1753" s="565"/>
      <c r="Q1753" s="565"/>
      <c r="R1753" s="467"/>
    </row>
    <row r="1754" spans="1:18" s="438" customFormat="1" outlineLevel="1">
      <c r="A1754" s="569"/>
      <c r="B1754" s="587"/>
      <c r="C1754" s="589"/>
      <c r="D1754" s="565"/>
      <c r="E1754" s="596"/>
      <c r="F1754" s="565"/>
      <c r="G1754" s="592"/>
      <c r="H1754" s="565"/>
      <c r="I1754" s="565"/>
      <c r="J1754" s="565"/>
      <c r="K1754" s="466"/>
      <c r="L1754" s="459"/>
      <c r="M1754" s="460"/>
      <c r="N1754" s="459"/>
      <c r="O1754" s="261"/>
      <c r="P1754" s="565"/>
      <c r="Q1754" s="565"/>
      <c r="R1754" s="467"/>
    </row>
    <row r="1755" spans="1:18" s="438" customFormat="1" outlineLevel="1">
      <c r="A1755" s="569"/>
      <c r="B1755" s="587"/>
      <c r="C1755" s="589"/>
      <c r="D1755" s="565"/>
      <c r="E1755" s="596"/>
      <c r="F1755" s="565"/>
      <c r="G1755" s="592"/>
      <c r="H1755" s="565"/>
      <c r="I1755" s="565"/>
      <c r="J1755" s="565"/>
      <c r="K1755" s="466"/>
      <c r="L1755" s="459"/>
      <c r="M1755" s="460"/>
      <c r="N1755" s="459"/>
      <c r="O1755" s="261"/>
      <c r="P1755" s="565"/>
      <c r="Q1755" s="565"/>
      <c r="R1755" s="467"/>
    </row>
    <row r="1756" spans="1:18" s="438" customFormat="1" outlineLevel="1">
      <c r="A1756" s="569"/>
      <c r="B1756" s="587"/>
      <c r="C1756" s="589"/>
      <c r="D1756" s="565"/>
      <c r="E1756" s="596"/>
      <c r="F1756" s="565"/>
      <c r="G1756" s="592"/>
      <c r="H1756" s="565"/>
      <c r="I1756" s="565"/>
      <c r="J1756" s="565"/>
      <c r="K1756" s="466"/>
      <c r="L1756" s="459"/>
      <c r="M1756" s="460"/>
      <c r="N1756" s="459"/>
      <c r="O1756" s="261"/>
      <c r="P1756" s="565"/>
      <c r="Q1756" s="565"/>
      <c r="R1756" s="467"/>
    </row>
    <row r="1757" spans="1:18" s="438" customFormat="1" outlineLevel="1">
      <c r="A1757" s="569"/>
      <c r="B1757" s="587"/>
      <c r="C1757" s="589"/>
      <c r="D1757" s="565"/>
      <c r="E1757" s="596"/>
      <c r="F1757" s="565"/>
      <c r="G1757" s="592"/>
      <c r="H1757" s="565"/>
      <c r="I1757" s="565"/>
      <c r="J1757" s="565"/>
      <c r="K1757" s="466"/>
      <c r="L1757" s="459"/>
      <c r="M1757" s="460"/>
      <c r="N1757" s="459"/>
      <c r="O1757" s="261"/>
      <c r="P1757" s="565"/>
      <c r="Q1757" s="565"/>
      <c r="R1757" s="467"/>
    </row>
    <row r="1758" spans="1:18" s="438" customFormat="1" outlineLevel="1">
      <c r="A1758" s="569"/>
      <c r="B1758" s="587"/>
      <c r="C1758" s="589"/>
      <c r="D1758" s="565"/>
      <c r="E1758" s="596"/>
      <c r="F1758" s="565"/>
      <c r="G1758" s="592"/>
      <c r="H1758" s="565"/>
      <c r="I1758" s="565"/>
      <c r="J1758" s="565"/>
      <c r="K1758" s="466"/>
      <c r="L1758" s="459"/>
      <c r="M1758" s="460"/>
      <c r="N1758" s="459"/>
      <c r="O1758" s="261"/>
      <c r="P1758" s="565"/>
      <c r="Q1758" s="565"/>
      <c r="R1758" s="467"/>
    </row>
    <row r="1759" spans="1:18" s="438" customFormat="1" outlineLevel="1">
      <c r="A1759" s="569"/>
      <c r="B1759" s="587"/>
      <c r="C1759" s="589"/>
      <c r="D1759" s="565"/>
      <c r="E1759" s="596"/>
      <c r="F1759" s="565"/>
      <c r="G1759" s="592"/>
      <c r="H1759" s="565"/>
      <c r="I1759" s="565"/>
      <c r="J1759" s="565"/>
      <c r="K1759" s="466"/>
      <c r="L1759" s="459"/>
      <c r="M1759" s="460"/>
      <c r="N1759" s="459"/>
      <c r="O1759" s="261"/>
      <c r="P1759" s="565"/>
      <c r="Q1759" s="565"/>
      <c r="R1759" s="467"/>
    </row>
    <row r="1760" spans="1:18" s="438" customFormat="1" outlineLevel="1">
      <c r="A1760" s="569"/>
      <c r="B1760" s="587"/>
      <c r="C1760" s="589"/>
      <c r="D1760" s="565"/>
      <c r="E1760" s="596"/>
      <c r="F1760" s="565"/>
      <c r="G1760" s="592"/>
      <c r="H1760" s="565"/>
      <c r="I1760" s="565"/>
      <c r="J1760" s="565"/>
      <c r="K1760" s="466"/>
      <c r="L1760" s="459"/>
      <c r="M1760" s="460"/>
      <c r="N1760" s="459"/>
      <c r="O1760" s="261"/>
      <c r="P1760" s="565"/>
      <c r="Q1760" s="565"/>
      <c r="R1760" s="467"/>
    </row>
    <row r="1761" spans="1:18" s="438" customFormat="1" outlineLevel="1">
      <c r="A1761" s="569"/>
      <c r="B1761" s="587"/>
      <c r="C1761" s="589"/>
      <c r="D1761" s="565"/>
      <c r="E1761" s="596"/>
      <c r="F1761" s="565"/>
      <c r="G1761" s="592"/>
      <c r="H1761" s="565"/>
      <c r="I1761" s="565"/>
      <c r="J1761" s="565"/>
      <c r="K1761" s="466"/>
      <c r="L1761" s="459"/>
      <c r="M1761" s="460"/>
      <c r="N1761" s="459"/>
      <c r="O1761" s="261"/>
      <c r="P1761" s="565"/>
      <c r="Q1761" s="565"/>
      <c r="R1761" s="467"/>
    </row>
    <row r="1762" spans="1:18" s="438" customFormat="1" outlineLevel="1">
      <c r="A1762" s="569"/>
      <c r="B1762" s="587"/>
      <c r="C1762" s="589"/>
      <c r="D1762" s="565"/>
      <c r="E1762" s="596"/>
      <c r="F1762" s="565"/>
      <c r="G1762" s="592"/>
      <c r="H1762" s="565"/>
      <c r="I1762" s="565"/>
      <c r="J1762" s="565"/>
      <c r="K1762" s="466"/>
      <c r="L1762" s="459"/>
      <c r="M1762" s="460"/>
      <c r="N1762" s="459"/>
      <c r="O1762" s="261"/>
      <c r="P1762" s="565"/>
      <c r="Q1762" s="565"/>
      <c r="R1762" s="467"/>
    </row>
    <row r="1763" spans="1:18" s="438" customFormat="1" outlineLevel="1">
      <c r="A1763" s="569"/>
      <c r="B1763" s="587"/>
      <c r="C1763" s="589"/>
      <c r="D1763" s="565"/>
      <c r="E1763" s="596"/>
      <c r="F1763" s="565"/>
      <c r="G1763" s="592"/>
      <c r="H1763" s="565"/>
      <c r="I1763" s="565"/>
      <c r="J1763" s="565"/>
      <c r="K1763" s="466"/>
      <c r="L1763" s="459"/>
      <c r="M1763" s="460"/>
      <c r="N1763" s="459"/>
      <c r="O1763" s="261"/>
      <c r="P1763" s="565"/>
      <c r="Q1763" s="565"/>
      <c r="R1763" s="467"/>
    </row>
    <row r="1764" spans="1:18" s="438" customFormat="1" outlineLevel="1">
      <c r="A1764" s="570"/>
      <c r="B1764" s="588"/>
      <c r="C1764" s="590"/>
      <c r="D1764" s="566"/>
      <c r="E1764" s="596"/>
      <c r="F1764" s="566"/>
      <c r="G1764" s="593"/>
      <c r="H1764" s="566"/>
      <c r="I1764" s="566"/>
      <c r="J1764" s="566"/>
      <c r="K1764" s="466"/>
      <c r="L1764" s="459"/>
      <c r="M1764" s="460"/>
      <c r="N1764" s="459"/>
      <c r="O1764" s="261"/>
      <c r="P1764" s="566"/>
      <c r="Q1764" s="566"/>
      <c r="R1764" s="467"/>
    </row>
    <row r="1765" spans="1:18" s="438" customFormat="1" outlineLevel="1">
      <c r="A1765" s="568"/>
      <c r="B1765" s="587"/>
      <c r="C1765" s="595"/>
      <c r="D1765" s="565"/>
      <c r="E1765" s="596"/>
      <c r="F1765" s="565"/>
      <c r="G1765" s="597"/>
      <c r="H1765" s="594"/>
      <c r="I1765" s="594"/>
      <c r="J1765" s="594"/>
      <c r="K1765" s="458"/>
      <c r="L1765" s="459"/>
      <c r="M1765" s="460"/>
      <c r="N1765" s="459"/>
      <c r="O1765" s="261"/>
      <c r="P1765" s="594"/>
      <c r="Q1765" s="594"/>
      <c r="R1765" s="467"/>
    </row>
    <row r="1766" spans="1:18" s="438" customFormat="1" outlineLevel="1">
      <c r="A1766" s="569"/>
      <c r="B1766" s="587"/>
      <c r="C1766" s="589"/>
      <c r="D1766" s="565"/>
      <c r="E1766" s="596"/>
      <c r="F1766" s="565"/>
      <c r="G1766" s="592"/>
      <c r="H1766" s="565"/>
      <c r="I1766" s="565"/>
      <c r="J1766" s="565"/>
      <c r="K1766" s="466"/>
      <c r="L1766" s="459"/>
      <c r="M1766" s="460"/>
      <c r="N1766" s="459"/>
      <c r="O1766" s="261"/>
      <c r="P1766" s="565"/>
      <c r="Q1766" s="565"/>
      <c r="R1766" s="467"/>
    </row>
    <row r="1767" spans="1:18" s="438" customFormat="1" outlineLevel="1">
      <c r="A1767" s="569"/>
      <c r="B1767" s="587"/>
      <c r="C1767" s="589"/>
      <c r="D1767" s="565"/>
      <c r="E1767" s="596"/>
      <c r="F1767" s="565"/>
      <c r="G1767" s="592"/>
      <c r="H1767" s="565"/>
      <c r="I1767" s="565"/>
      <c r="J1767" s="565"/>
      <c r="K1767" s="466"/>
      <c r="L1767" s="459"/>
      <c r="M1767" s="460"/>
      <c r="N1767" s="459"/>
      <c r="O1767" s="261"/>
      <c r="P1767" s="565"/>
      <c r="Q1767" s="565"/>
      <c r="R1767" s="467"/>
    </row>
    <row r="1768" spans="1:18" s="438" customFormat="1" outlineLevel="1">
      <c r="A1768" s="569"/>
      <c r="B1768" s="587"/>
      <c r="C1768" s="589"/>
      <c r="D1768" s="565"/>
      <c r="E1768" s="596"/>
      <c r="F1768" s="565"/>
      <c r="G1768" s="592"/>
      <c r="H1768" s="565"/>
      <c r="I1768" s="565"/>
      <c r="J1768" s="565"/>
      <c r="K1768" s="466"/>
      <c r="L1768" s="459"/>
      <c r="M1768" s="460"/>
      <c r="N1768" s="459"/>
      <c r="O1768" s="261"/>
      <c r="P1768" s="565"/>
      <c r="Q1768" s="565"/>
      <c r="R1768" s="467"/>
    </row>
    <row r="1769" spans="1:18" s="438" customFormat="1" outlineLevel="1">
      <c r="A1769" s="569"/>
      <c r="B1769" s="587"/>
      <c r="C1769" s="589"/>
      <c r="D1769" s="565"/>
      <c r="E1769" s="596"/>
      <c r="F1769" s="565"/>
      <c r="G1769" s="592"/>
      <c r="H1769" s="565"/>
      <c r="I1769" s="565"/>
      <c r="J1769" s="565"/>
      <c r="K1769" s="466"/>
      <c r="L1769" s="459"/>
      <c r="M1769" s="460"/>
      <c r="N1769" s="459"/>
      <c r="O1769" s="261"/>
      <c r="P1769" s="565"/>
      <c r="Q1769" s="565"/>
      <c r="R1769" s="467"/>
    </row>
    <row r="1770" spans="1:18" s="438" customFormat="1" outlineLevel="1">
      <c r="A1770" s="569"/>
      <c r="B1770" s="587"/>
      <c r="C1770" s="589"/>
      <c r="D1770" s="565"/>
      <c r="E1770" s="596"/>
      <c r="F1770" s="565"/>
      <c r="G1770" s="592"/>
      <c r="H1770" s="565"/>
      <c r="I1770" s="565"/>
      <c r="J1770" s="565"/>
      <c r="K1770" s="466"/>
      <c r="L1770" s="459"/>
      <c r="M1770" s="460"/>
      <c r="N1770" s="459"/>
      <c r="O1770" s="261"/>
      <c r="P1770" s="565"/>
      <c r="Q1770" s="565"/>
      <c r="R1770" s="467"/>
    </row>
    <row r="1771" spans="1:18" s="438" customFormat="1" outlineLevel="1">
      <c r="A1771" s="569"/>
      <c r="B1771" s="587"/>
      <c r="C1771" s="589"/>
      <c r="D1771" s="565"/>
      <c r="E1771" s="596"/>
      <c r="F1771" s="565"/>
      <c r="G1771" s="592"/>
      <c r="H1771" s="565"/>
      <c r="I1771" s="565"/>
      <c r="J1771" s="565"/>
      <c r="K1771" s="466"/>
      <c r="L1771" s="459"/>
      <c r="M1771" s="460"/>
      <c r="N1771" s="459"/>
      <c r="O1771" s="261"/>
      <c r="P1771" s="565"/>
      <c r="Q1771" s="565"/>
      <c r="R1771" s="467"/>
    </row>
    <row r="1772" spans="1:18" s="438" customFormat="1" outlineLevel="1">
      <c r="A1772" s="569"/>
      <c r="B1772" s="587"/>
      <c r="C1772" s="589"/>
      <c r="D1772" s="565"/>
      <c r="E1772" s="596"/>
      <c r="F1772" s="565"/>
      <c r="G1772" s="592"/>
      <c r="H1772" s="565"/>
      <c r="I1772" s="565"/>
      <c r="J1772" s="565"/>
      <c r="K1772" s="466"/>
      <c r="L1772" s="459"/>
      <c r="M1772" s="460"/>
      <c r="N1772" s="459"/>
      <c r="O1772" s="261"/>
      <c r="P1772" s="565"/>
      <c r="Q1772" s="565"/>
      <c r="R1772" s="467"/>
    </row>
    <row r="1773" spans="1:18" s="438" customFormat="1" outlineLevel="1">
      <c r="A1773" s="569"/>
      <c r="B1773" s="587"/>
      <c r="C1773" s="589"/>
      <c r="D1773" s="565"/>
      <c r="E1773" s="596"/>
      <c r="F1773" s="565"/>
      <c r="G1773" s="592"/>
      <c r="H1773" s="565"/>
      <c r="I1773" s="565"/>
      <c r="J1773" s="565"/>
      <c r="K1773" s="466"/>
      <c r="L1773" s="459"/>
      <c r="M1773" s="460"/>
      <c r="N1773" s="459"/>
      <c r="O1773" s="261"/>
      <c r="P1773" s="565"/>
      <c r="Q1773" s="565"/>
      <c r="R1773" s="467"/>
    </row>
    <row r="1774" spans="1:18" s="438" customFormat="1" outlineLevel="1">
      <c r="A1774" s="569"/>
      <c r="B1774" s="587"/>
      <c r="C1774" s="589"/>
      <c r="D1774" s="565"/>
      <c r="E1774" s="596"/>
      <c r="F1774" s="565"/>
      <c r="G1774" s="592"/>
      <c r="H1774" s="565"/>
      <c r="I1774" s="565"/>
      <c r="J1774" s="565"/>
      <c r="K1774" s="466"/>
      <c r="L1774" s="459"/>
      <c r="M1774" s="460"/>
      <c r="N1774" s="459"/>
      <c r="O1774" s="261"/>
      <c r="P1774" s="565"/>
      <c r="Q1774" s="565"/>
      <c r="R1774" s="467"/>
    </row>
    <row r="1775" spans="1:18" s="438" customFormat="1" outlineLevel="1">
      <c r="A1775" s="569"/>
      <c r="B1775" s="587"/>
      <c r="C1775" s="589"/>
      <c r="D1775" s="565"/>
      <c r="E1775" s="596"/>
      <c r="F1775" s="565"/>
      <c r="G1775" s="592"/>
      <c r="H1775" s="565"/>
      <c r="I1775" s="565"/>
      <c r="J1775" s="565"/>
      <c r="K1775" s="466"/>
      <c r="L1775" s="459"/>
      <c r="M1775" s="460"/>
      <c r="N1775" s="459"/>
      <c r="O1775" s="261"/>
      <c r="P1775" s="565"/>
      <c r="Q1775" s="565"/>
      <c r="R1775" s="467"/>
    </row>
    <row r="1776" spans="1:18" s="438" customFormat="1" outlineLevel="1">
      <c r="A1776" s="569"/>
      <c r="B1776" s="587"/>
      <c r="C1776" s="589"/>
      <c r="D1776" s="565"/>
      <c r="E1776" s="596"/>
      <c r="F1776" s="565"/>
      <c r="G1776" s="592"/>
      <c r="H1776" s="565"/>
      <c r="I1776" s="565"/>
      <c r="J1776" s="565"/>
      <c r="K1776" s="466"/>
      <c r="L1776" s="459"/>
      <c r="M1776" s="460"/>
      <c r="N1776" s="459"/>
      <c r="O1776" s="261"/>
      <c r="P1776" s="565"/>
      <c r="Q1776" s="565"/>
      <c r="R1776" s="467"/>
    </row>
    <row r="1777" spans="1:18" s="438" customFormat="1" outlineLevel="1">
      <c r="A1777" s="569"/>
      <c r="B1777" s="587"/>
      <c r="C1777" s="589"/>
      <c r="D1777" s="565"/>
      <c r="E1777" s="596"/>
      <c r="F1777" s="565"/>
      <c r="G1777" s="592"/>
      <c r="H1777" s="565"/>
      <c r="I1777" s="565"/>
      <c r="J1777" s="565"/>
      <c r="K1777" s="466"/>
      <c r="L1777" s="459"/>
      <c r="M1777" s="460"/>
      <c r="N1777" s="459"/>
      <c r="O1777" s="261"/>
      <c r="P1777" s="565"/>
      <c r="Q1777" s="565"/>
      <c r="R1777" s="467"/>
    </row>
    <row r="1778" spans="1:18" s="438" customFormat="1" outlineLevel="1">
      <c r="A1778" s="569"/>
      <c r="B1778" s="587"/>
      <c r="C1778" s="589"/>
      <c r="D1778" s="565"/>
      <c r="E1778" s="596"/>
      <c r="F1778" s="565"/>
      <c r="G1778" s="592"/>
      <c r="H1778" s="565"/>
      <c r="I1778" s="565"/>
      <c r="J1778" s="565"/>
      <c r="K1778" s="466"/>
      <c r="L1778" s="459"/>
      <c r="M1778" s="460"/>
      <c r="N1778" s="459"/>
      <c r="O1778" s="261"/>
      <c r="P1778" s="565"/>
      <c r="Q1778" s="565"/>
      <c r="R1778" s="467"/>
    </row>
    <row r="1779" spans="1:18" s="438" customFormat="1" outlineLevel="1">
      <c r="A1779" s="569"/>
      <c r="B1779" s="587"/>
      <c r="C1779" s="589"/>
      <c r="D1779" s="565"/>
      <c r="E1779" s="596"/>
      <c r="F1779" s="565"/>
      <c r="G1779" s="592"/>
      <c r="H1779" s="565"/>
      <c r="I1779" s="565"/>
      <c r="J1779" s="565"/>
      <c r="K1779" s="466"/>
      <c r="L1779" s="459"/>
      <c r="M1779" s="460"/>
      <c r="N1779" s="459"/>
      <c r="O1779" s="261"/>
      <c r="P1779" s="565"/>
      <c r="Q1779" s="565"/>
      <c r="R1779" s="467"/>
    </row>
    <row r="1780" spans="1:18" s="438" customFormat="1" outlineLevel="1">
      <c r="A1780" s="570"/>
      <c r="B1780" s="588"/>
      <c r="C1780" s="590"/>
      <c r="D1780" s="566"/>
      <c r="E1780" s="596"/>
      <c r="F1780" s="566"/>
      <c r="G1780" s="593"/>
      <c r="H1780" s="566"/>
      <c r="I1780" s="566"/>
      <c r="J1780" s="566"/>
      <c r="K1780" s="466"/>
      <c r="L1780" s="459"/>
      <c r="M1780" s="460"/>
      <c r="N1780" s="459"/>
      <c r="O1780" s="261"/>
      <c r="P1780" s="566"/>
      <c r="Q1780" s="566"/>
      <c r="R1780" s="467"/>
    </row>
    <row r="1781" spans="1:18" s="438" customFormat="1" outlineLevel="1">
      <c r="A1781" s="568"/>
      <c r="B1781" s="587"/>
      <c r="C1781" s="595"/>
      <c r="D1781" s="565"/>
      <c r="E1781" s="596"/>
      <c r="F1781" s="565"/>
      <c r="G1781" s="597"/>
      <c r="H1781" s="594"/>
      <c r="I1781" s="594"/>
      <c r="J1781" s="594"/>
      <c r="K1781" s="458"/>
      <c r="L1781" s="459"/>
      <c r="M1781" s="460"/>
      <c r="N1781" s="459"/>
      <c r="O1781" s="261"/>
      <c r="P1781" s="594"/>
      <c r="Q1781" s="594"/>
      <c r="R1781" s="467"/>
    </row>
    <row r="1782" spans="1:18" s="438" customFormat="1" outlineLevel="1">
      <c r="A1782" s="569"/>
      <c r="B1782" s="587"/>
      <c r="C1782" s="589"/>
      <c r="D1782" s="565"/>
      <c r="E1782" s="596"/>
      <c r="F1782" s="565"/>
      <c r="G1782" s="592"/>
      <c r="H1782" s="565"/>
      <c r="I1782" s="565"/>
      <c r="J1782" s="565"/>
      <c r="K1782" s="466"/>
      <c r="L1782" s="459"/>
      <c r="M1782" s="460"/>
      <c r="N1782" s="459"/>
      <c r="O1782" s="261"/>
      <c r="P1782" s="565"/>
      <c r="Q1782" s="565"/>
      <c r="R1782" s="467"/>
    </row>
    <row r="1783" spans="1:18" s="438" customFormat="1" outlineLevel="1">
      <c r="A1783" s="569"/>
      <c r="B1783" s="587"/>
      <c r="C1783" s="589"/>
      <c r="D1783" s="565"/>
      <c r="E1783" s="596"/>
      <c r="F1783" s="565"/>
      <c r="G1783" s="592"/>
      <c r="H1783" s="565"/>
      <c r="I1783" s="565"/>
      <c r="J1783" s="565"/>
      <c r="K1783" s="466"/>
      <c r="L1783" s="459"/>
      <c r="M1783" s="460"/>
      <c r="N1783" s="459"/>
      <c r="O1783" s="261"/>
      <c r="P1783" s="565"/>
      <c r="Q1783" s="565"/>
      <c r="R1783" s="467"/>
    </row>
    <row r="1784" spans="1:18" s="438" customFormat="1" outlineLevel="1">
      <c r="A1784" s="569"/>
      <c r="B1784" s="587"/>
      <c r="C1784" s="589"/>
      <c r="D1784" s="565"/>
      <c r="E1784" s="596"/>
      <c r="F1784" s="565"/>
      <c r="G1784" s="592"/>
      <c r="H1784" s="565"/>
      <c r="I1784" s="565"/>
      <c r="J1784" s="565"/>
      <c r="K1784" s="466"/>
      <c r="L1784" s="459"/>
      <c r="M1784" s="460"/>
      <c r="N1784" s="459"/>
      <c r="O1784" s="261"/>
      <c r="P1784" s="565"/>
      <c r="Q1784" s="565"/>
      <c r="R1784" s="467"/>
    </row>
    <row r="1785" spans="1:18" s="438" customFormat="1" outlineLevel="1">
      <c r="A1785" s="569"/>
      <c r="B1785" s="587"/>
      <c r="C1785" s="589"/>
      <c r="D1785" s="565"/>
      <c r="E1785" s="596"/>
      <c r="F1785" s="565"/>
      <c r="G1785" s="592"/>
      <c r="H1785" s="565"/>
      <c r="I1785" s="565"/>
      <c r="J1785" s="565"/>
      <c r="K1785" s="466"/>
      <c r="L1785" s="459"/>
      <c r="M1785" s="460"/>
      <c r="N1785" s="459"/>
      <c r="O1785" s="261"/>
      <c r="P1785" s="565"/>
      <c r="Q1785" s="565"/>
      <c r="R1785" s="467"/>
    </row>
    <row r="1786" spans="1:18" s="438" customFormat="1" outlineLevel="1">
      <c r="A1786" s="569"/>
      <c r="B1786" s="587"/>
      <c r="C1786" s="589"/>
      <c r="D1786" s="565"/>
      <c r="E1786" s="596"/>
      <c r="F1786" s="565"/>
      <c r="G1786" s="592"/>
      <c r="H1786" s="565"/>
      <c r="I1786" s="565"/>
      <c r="J1786" s="565"/>
      <c r="K1786" s="466"/>
      <c r="L1786" s="459"/>
      <c r="M1786" s="460"/>
      <c r="N1786" s="459"/>
      <c r="O1786" s="261"/>
      <c r="P1786" s="565"/>
      <c r="Q1786" s="565"/>
      <c r="R1786" s="467"/>
    </row>
    <row r="1787" spans="1:18" s="438" customFormat="1" outlineLevel="1">
      <c r="A1787" s="569"/>
      <c r="B1787" s="587"/>
      <c r="C1787" s="589"/>
      <c r="D1787" s="565"/>
      <c r="E1787" s="596"/>
      <c r="F1787" s="565"/>
      <c r="G1787" s="592"/>
      <c r="H1787" s="565"/>
      <c r="I1787" s="565"/>
      <c r="J1787" s="565"/>
      <c r="K1787" s="466"/>
      <c r="L1787" s="459"/>
      <c r="M1787" s="460"/>
      <c r="N1787" s="459"/>
      <c r="O1787" s="261"/>
      <c r="P1787" s="565"/>
      <c r="Q1787" s="565"/>
      <c r="R1787" s="467"/>
    </row>
    <row r="1788" spans="1:18" s="438" customFormat="1" outlineLevel="1">
      <c r="A1788" s="569"/>
      <c r="B1788" s="587"/>
      <c r="C1788" s="589"/>
      <c r="D1788" s="565"/>
      <c r="E1788" s="596"/>
      <c r="F1788" s="565"/>
      <c r="G1788" s="592"/>
      <c r="H1788" s="565"/>
      <c r="I1788" s="565"/>
      <c r="J1788" s="565"/>
      <c r="K1788" s="466"/>
      <c r="L1788" s="459"/>
      <c r="M1788" s="460"/>
      <c r="N1788" s="459"/>
      <c r="O1788" s="261"/>
      <c r="P1788" s="565"/>
      <c r="Q1788" s="565"/>
      <c r="R1788" s="467"/>
    </row>
    <row r="1789" spans="1:18" s="438" customFormat="1" outlineLevel="1">
      <c r="A1789" s="569"/>
      <c r="B1789" s="587"/>
      <c r="C1789" s="589"/>
      <c r="D1789" s="565"/>
      <c r="E1789" s="596"/>
      <c r="F1789" s="565"/>
      <c r="G1789" s="592"/>
      <c r="H1789" s="565"/>
      <c r="I1789" s="565"/>
      <c r="J1789" s="565"/>
      <c r="K1789" s="466"/>
      <c r="L1789" s="459"/>
      <c r="M1789" s="460"/>
      <c r="N1789" s="459"/>
      <c r="O1789" s="261"/>
      <c r="P1789" s="565"/>
      <c r="Q1789" s="565"/>
      <c r="R1789" s="467"/>
    </row>
    <row r="1790" spans="1:18" s="438" customFormat="1" outlineLevel="1">
      <c r="A1790" s="569"/>
      <c r="B1790" s="587"/>
      <c r="C1790" s="589"/>
      <c r="D1790" s="565"/>
      <c r="E1790" s="596"/>
      <c r="F1790" s="565"/>
      <c r="G1790" s="592"/>
      <c r="H1790" s="565"/>
      <c r="I1790" s="565"/>
      <c r="J1790" s="565"/>
      <c r="K1790" s="466"/>
      <c r="L1790" s="459"/>
      <c r="M1790" s="460"/>
      <c r="N1790" s="459"/>
      <c r="O1790" s="261"/>
      <c r="P1790" s="565"/>
      <c r="Q1790" s="565"/>
      <c r="R1790" s="467"/>
    </row>
    <row r="1791" spans="1:18" s="438" customFormat="1" outlineLevel="1">
      <c r="A1791" s="569"/>
      <c r="B1791" s="587"/>
      <c r="C1791" s="589"/>
      <c r="D1791" s="565"/>
      <c r="E1791" s="596"/>
      <c r="F1791" s="565"/>
      <c r="G1791" s="592"/>
      <c r="H1791" s="565"/>
      <c r="I1791" s="565"/>
      <c r="J1791" s="565"/>
      <c r="K1791" s="466"/>
      <c r="L1791" s="459"/>
      <c r="M1791" s="460"/>
      <c r="N1791" s="459"/>
      <c r="O1791" s="261"/>
      <c r="P1791" s="565"/>
      <c r="Q1791" s="565"/>
      <c r="R1791" s="467"/>
    </row>
    <row r="1792" spans="1:18" s="438" customFormat="1" outlineLevel="1">
      <c r="A1792" s="569"/>
      <c r="B1792" s="587"/>
      <c r="C1792" s="589"/>
      <c r="D1792" s="565"/>
      <c r="E1792" s="596"/>
      <c r="F1792" s="565"/>
      <c r="G1792" s="592"/>
      <c r="H1792" s="565"/>
      <c r="I1792" s="565"/>
      <c r="J1792" s="565"/>
      <c r="K1792" s="466"/>
      <c r="L1792" s="459"/>
      <c r="M1792" s="460"/>
      <c r="N1792" s="459"/>
      <c r="O1792" s="261"/>
      <c r="P1792" s="565"/>
      <c r="Q1792" s="565"/>
      <c r="R1792" s="467"/>
    </row>
    <row r="1793" spans="1:18" s="438" customFormat="1" outlineLevel="1">
      <c r="A1793" s="569"/>
      <c r="B1793" s="587"/>
      <c r="C1793" s="589"/>
      <c r="D1793" s="565"/>
      <c r="E1793" s="596"/>
      <c r="F1793" s="565"/>
      <c r="G1793" s="592"/>
      <c r="H1793" s="565"/>
      <c r="I1793" s="565"/>
      <c r="J1793" s="565"/>
      <c r="K1793" s="466"/>
      <c r="L1793" s="459"/>
      <c r="M1793" s="460"/>
      <c r="N1793" s="459"/>
      <c r="O1793" s="261"/>
      <c r="P1793" s="565"/>
      <c r="Q1793" s="565"/>
      <c r="R1793" s="467"/>
    </row>
    <row r="1794" spans="1:18" s="438" customFormat="1" outlineLevel="1">
      <c r="A1794" s="569"/>
      <c r="B1794" s="587"/>
      <c r="C1794" s="589"/>
      <c r="D1794" s="565"/>
      <c r="E1794" s="596"/>
      <c r="F1794" s="565"/>
      <c r="G1794" s="592"/>
      <c r="H1794" s="565"/>
      <c r="I1794" s="565"/>
      <c r="J1794" s="565"/>
      <c r="K1794" s="466"/>
      <c r="L1794" s="459"/>
      <c r="M1794" s="460"/>
      <c r="N1794" s="459"/>
      <c r="O1794" s="261"/>
      <c r="P1794" s="565"/>
      <c r="Q1794" s="565"/>
      <c r="R1794" s="467"/>
    </row>
    <row r="1795" spans="1:18" s="438" customFormat="1" outlineLevel="1">
      <c r="A1795" s="569"/>
      <c r="B1795" s="587"/>
      <c r="C1795" s="589"/>
      <c r="D1795" s="565"/>
      <c r="E1795" s="596"/>
      <c r="F1795" s="565"/>
      <c r="G1795" s="592"/>
      <c r="H1795" s="565"/>
      <c r="I1795" s="565"/>
      <c r="J1795" s="565"/>
      <c r="K1795" s="466"/>
      <c r="L1795" s="459"/>
      <c r="M1795" s="460"/>
      <c r="N1795" s="459"/>
      <c r="O1795" s="261"/>
      <c r="P1795" s="565"/>
      <c r="Q1795" s="565"/>
      <c r="R1795" s="467"/>
    </row>
    <row r="1796" spans="1:18" s="438" customFormat="1" outlineLevel="1">
      <c r="A1796" s="570"/>
      <c r="B1796" s="588"/>
      <c r="C1796" s="590"/>
      <c r="D1796" s="566"/>
      <c r="E1796" s="596"/>
      <c r="F1796" s="566"/>
      <c r="G1796" s="593"/>
      <c r="H1796" s="566"/>
      <c r="I1796" s="566"/>
      <c r="J1796" s="566"/>
      <c r="K1796" s="466"/>
      <c r="L1796" s="459"/>
      <c r="M1796" s="460"/>
      <c r="N1796" s="459"/>
      <c r="O1796" s="261"/>
      <c r="P1796" s="566"/>
      <c r="Q1796" s="566"/>
      <c r="R1796" s="467"/>
    </row>
    <row r="1797" spans="1:18" s="438" customFormat="1" outlineLevel="1">
      <c r="A1797" s="568"/>
      <c r="B1797" s="587"/>
      <c r="C1797" s="595"/>
      <c r="D1797" s="565"/>
      <c r="E1797" s="596"/>
      <c r="F1797" s="565"/>
      <c r="G1797" s="597"/>
      <c r="H1797" s="594"/>
      <c r="I1797" s="594"/>
      <c r="J1797" s="594"/>
      <c r="K1797" s="458"/>
      <c r="L1797" s="459"/>
      <c r="M1797" s="460"/>
      <c r="N1797" s="459"/>
      <c r="O1797" s="261"/>
      <c r="P1797" s="594"/>
      <c r="Q1797" s="594"/>
      <c r="R1797" s="467"/>
    </row>
    <row r="1798" spans="1:18" s="438" customFormat="1" outlineLevel="1">
      <c r="A1798" s="569"/>
      <c r="B1798" s="587"/>
      <c r="C1798" s="589"/>
      <c r="D1798" s="565"/>
      <c r="E1798" s="596"/>
      <c r="F1798" s="565"/>
      <c r="G1798" s="592"/>
      <c r="H1798" s="565"/>
      <c r="I1798" s="565"/>
      <c r="J1798" s="565"/>
      <c r="K1798" s="466"/>
      <c r="L1798" s="459"/>
      <c r="M1798" s="460"/>
      <c r="N1798" s="459"/>
      <c r="O1798" s="261"/>
      <c r="P1798" s="565"/>
      <c r="Q1798" s="565"/>
      <c r="R1798" s="467"/>
    </row>
    <row r="1799" spans="1:18" s="438" customFormat="1" outlineLevel="1">
      <c r="A1799" s="569"/>
      <c r="B1799" s="587"/>
      <c r="C1799" s="589"/>
      <c r="D1799" s="565"/>
      <c r="E1799" s="596"/>
      <c r="F1799" s="565"/>
      <c r="G1799" s="592"/>
      <c r="H1799" s="565"/>
      <c r="I1799" s="565"/>
      <c r="J1799" s="565"/>
      <c r="K1799" s="466"/>
      <c r="L1799" s="459"/>
      <c r="M1799" s="460"/>
      <c r="N1799" s="459"/>
      <c r="O1799" s="261"/>
      <c r="P1799" s="565"/>
      <c r="Q1799" s="565"/>
      <c r="R1799" s="467"/>
    </row>
    <row r="1800" spans="1:18" s="438" customFormat="1" outlineLevel="1">
      <c r="A1800" s="569"/>
      <c r="B1800" s="587"/>
      <c r="C1800" s="589"/>
      <c r="D1800" s="565"/>
      <c r="E1800" s="596"/>
      <c r="F1800" s="565"/>
      <c r="G1800" s="592"/>
      <c r="H1800" s="565"/>
      <c r="I1800" s="565"/>
      <c r="J1800" s="565"/>
      <c r="K1800" s="466"/>
      <c r="L1800" s="459"/>
      <c r="M1800" s="460"/>
      <c r="N1800" s="459"/>
      <c r="O1800" s="261"/>
      <c r="P1800" s="565"/>
      <c r="Q1800" s="565"/>
      <c r="R1800" s="467"/>
    </row>
    <row r="1801" spans="1:18" s="438" customFormat="1" outlineLevel="1">
      <c r="A1801" s="569"/>
      <c r="B1801" s="587"/>
      <c r="C1801" s="589"/>
      <c r="D1801" s="565"/>
      <c r="E1801" s="596"/>
      <c r="F1801" s="565"/>
      <c r="G1801" s="592"/>
      <c r="H1801" s="565"/>
      <c r="I1801" s="565"/>
      <c r="J1801" s="565"/>
      <c r="K1801" s="466"/>
      <c r="L1801" s="459"/>
      <c r="M1801" s="460"/>
      <c r="N1801" s="459"/>
      <c r="O1801" s="261"/>
      <c r="P1801" s="565"/>
      <c r="Q1801" s="565"/>
      <c r="R1801" s="467"/>
    </row>
    <row r="1802" spans="1:18" s="438" customFormat="1" outlineLevel="1">
      <c r="A1802" s="569"/>
      <c r="B1802" s="587"/>
      <c r="C1802" s="589"/>
      <c r="D1802" s="565"/>
      <c r="E1802" s="596"/>
      <c r="F1802" s="565"/>
      <c r="G1802" s="592"/>
      <c r="H1802" s="565"/>
      <c r="I1802" s="565"/>
      <c r="J1802" s="565"/>
      <c r="K1802" s="466"/>
      <c r="L1802" s="459"/>
      <c r="M1802" s="460"/>
      <c r="N1802" s="459"/>
      <c r="O1802" s="261"/>
      <c r="P1802" s="565"/>
      <c r="Q1802" s="565"/>
      <c r="R1802" s="467"/>
    </row>
    <row r="1803" spans="1:18" s="438" customFormat="1" outlineLevel="1">
      <c r="A1803" s="569"/>
      <c r="B1803" s="587"/>
      <c r="C1803" s="589"/>
      <c r="D1803" s="565"/>
      <c r="E1803" s="596"/>
      <c r="F1803" s="565"/>
      <c r="G1803" s="592"/>
      <c r="H1803" s="565"/>
      <c r="I1803" s="565"/>
      <c r="J1803" s="565"/>
      <c r="K1803" s="466"/>
      <c r="L1803" s="459"/>
      <c r="M1803" s="460"/>
      <c r="N1803" s="459"/>
      <c r="O1803" s="261"/>
      <c r="P1803" s="565"/>
      <c r="Q1803" s="565"/>
      <c r="R1803" s="467"/>
    </row>
    <row r="1804" spans="1:18" s="438" customFormat="1" outlineLevel="1">
      <c r="A1804" s="569"/>
      <c r="B1804" s="587"/>
      <c r="C1804" s="589"/>
      <c r="D1804" s="565"/>
      <c r="E1804" s="596"/>
      <c r="F1804" s="565"/>
      <c r="G1804" s="592"/>
      <c r="H1804" s="565"/>
      <c r="I1804" s="565"/>
      <c r="J1804" s="565"/>
      <c r="K1804" s="466"/>
      <c r="L1804" s="459"/>
      <c r="M1804" s="460"/>
      <c r="N1804" s="459"/>
      <c r="O1804" s="261"/>
      <c r="P1804" s="565"/>
      <c r="Q1804" s="565"/>
      <c r="R1804" s="467"/>
    </row>
    <row r="1805" spans="1:18" s="438" customFormat="1" outlineLevel="1">
      <c r="A1805" s="569"/>
      <c r="B1805" s="587"/>
      <c r="C1805" s="589"/>
      <c r="D1805" s="565"/>
      <c r="E1805" s="596"/>
      <c r="F1805" s="565"/>
      <c r="G1805" s="592"/>
      <c r="H1805" s="565"/>
      <c r="I1805" s="565"/>
      <c r="J1805" s="565"/>
      <c r="K1805" s="466"/>
      <c r="L1805" s="459"/>
      <c r="M1805" s="460"/>
      <c r="N1805" s="459"/>
      <c r="O1805" s="261"/>
      <c r="P1805" s="565"/>
      <c r="Q1805" s="565"/>
      <c r="R1805" s="467"/>
    </row>
    <row r="1806" spans="1:18" s="438" customFormat="1" outlineLevel="1">
      <c r="A1806" s="569"/>
      <c r="B1806" s="587"/>
      <c r="C1806" s="589"/>
      <c r="D1806" s="565"/>
      <c r="E1806" s="596"/>
      <c r="F1806" s="565"/>
      <c r="G1806" s="592"/>
      <c r="H1806" s="565"/>
      <c r="I1806" s="565"/>
      <c r="J1806" s="565"/>
      <c r="K1806" s="466"/>
      <c r="L1806" s="459"/>
      <c r="M1806" s="460"/>
      <c r="N1806" s="459"/>
      <c r="O1806" s="261"/>
      <c r="P1806" s="565"/>
      <c r="Q1806" s="565"/>
      <c r="R1806" s="467"/>
    </row>
    <row r="1807" spans="1:18" s="438" customFormat="1" outlineLevel="1">
      <c r="A1807" s="569"/>
      <c r="B1807" s="587"/>
      <c r="C1807" s="589"/>
      <c r="D1807" s="565"/>
      <c r="E1807" s="596"/>
      <c r="F1807" s="565"/>
      <c r="G1807" s="592"/>
      <c r="H1807" s="565"/>
      <c r="I1807" s="565"/>
      <c r="J1807" s="565"/>
      <c r="K1807" s="466"/>
      <c r="L1807" s="459"/>
      <c r="M1807" s="460"/>
      <c r="N1807" s="459"/>
      <c r="O1807" s="261"/>
      <c r="P1807" s="565"/>
      <c r="Q1807" s="565"/>
      <c r="R1807" s="467"/>
    </row>
    <row r="1808" spans="1:18" s="438" customFormat="1" outlineLevel="1">
      <c r="A1808" s="569"/>
      <c r="B1808" s="587"/>
      <c r="C1808" s="589"/>
      <c r="D1808" s="565"/>
      <c r="E1808" s="596"/>
      <c r="F1808" s="565"/>
      <c r="G1808" s="592"/>
      <c r="H1808" s="565"/>
      <c r="I1808" s="565"/>
      <c r="J1808" s="565"/>
      <c r="K1808" s="466"/>
      <c r="L1808" s="459"/>
      <c r="M1808" s="460"/>
      <c r="N1808" s="459"/>
      <c r="O1808" s="261"/>
      <c r="P1808" s="565"/>
      <c r="Q1808" s="565"/>
      <c r="R1808" s="467"/>
    </row>
    <row r="1809" spans="1:18" s="438" customFormat="1" outlineLevel="1">
      <c r="A1809" s="569"/>
      <c r="B1809" s="587"/>
      <c r="C1809" s="589"/>
      <c r="D1809" s="565"/>
      <c r="E1809" s="596"/>
      <c r="F1809" s="565"/>
      <c r="G1809" s="592"/>
      <c r="H1809" s="565"/>
      <c r="I1809" s="565"/>
      <c r="J1809" s="565"/>
      <c r="K1809" s="466"/>
      <c r="L1809" s="459"/>
      <c r="M1809" s="460"/>
      <c r="N1809" s="459"/>
      <c r="O1809" s="261"/>
      <c r="P1809" s="565"/>
      <c r="Q1809" s="565"/>
      <c r="R1809" s="467"/>
    </row>
    <row r="1810" spans="1:18" s="438" customFormat="1" outlineLevel="1">
      <c r="A1810" s="569"/>
      <c r="B1810" s="587"/>
      <c r="C1810" s="589"/>
      <c r="D1810" s="565"/>
      <c r="E1810" s="596"/>
      <c r="F1810" s="565"/>
      <c r="G1810" s="592"/>
      <c r="H1810" s="565"/>
      <c r="I1810" s="565"/>
      <c r="J1810" s="565"/>
      <c r="K1810" s="466"/>
      <c r="L1810" s="459"/>
      <c r="M1810" s="460"/>
      <c r="N1810" s="459"/>
      <c r="O1810" s="261"/>
      <c r="P1810" s="565"/>
      <c r="Q1810" s="565"/>
      <c r="R1810" s="467"/>
    </row>
    <row r="1811" spans="1:18" s="438" customFormat="1" outlineLevel="1">
      <c r="A1811" s="569"/>
      <c r="B1811" s="587"/>
      <c r="C1811" s="589"/>
      <c r="D1811" s="565"/>
      <c r="E1811" s="596"/>
      <c r="F1811" s="565"/>
      <c r="G1811" s="592"/>
      <c r="H1811" s="565"/>
      <c r="I1811" s="565"/>
      <c r="J1811" s="565"/>
      <c r="K1811" s="466"/>
      <c r="L1811" s="459"/>
      <c r="M1811" s="460"/>
      <c r="N1811" s="459"/>
      <c r="O1811" s="261"/>
      <c r="P1811" s="565"/>
      <c r="Q1811" s="565"/>
      <c r="R1811" s="467"/>
    </row>
    <row r="1812" spans="1:18" s="438" customFormat="1" outlineLevel="1">
      <c r="A1812" s="570"/>
      <c r="B1812" s="588"/>
      <c r="C1812" s="590"/>
      <c r="D1812" s="566"/>
      <c r="E1812" s="596"/>
      <c r="F1812" s="566"/>
      <c r="G1812" s="593"/>
      <c r="H1812" s="566"/>
      <c r="I1812" s="566"/>
      <c r="J1812" s="566"/>
      <c r="K1812" s="466"/>
      <c r="L1812" s="459"/>
      <c r="M1812" s="460"/>
      <c r="N1812" s="459"/>
      <c r="O1812" s="261"/>
      <c r="P1812" s="566"/>
      <c r="Q1812" s="566"/>
      <c r="R1812" s="467"/>
    </row>
    <row r="1813" spans="1:18" s="438" customFormat="1" outlineLevel="1">
      <c r="A1813" s="568"/>
      <c r="B1813" s="587"/>
      <c r="C1813" s="595"/>
      <c r="D1813" s="565"/>
      <c r="E1813" s="596"/>
      <c r="F1813" s="565"/>
      <c r="G1813" s="597"/>
      <c r="H1813" s="594"/>
      <c r="I1813" s="594"/>
      <c r="J1813" s="594"/>
      <c r="K1813" s="458"/>
      <c r="L1813" s="459"/>
      <c r="M1813" s="460"/>
      <c r="N1813" s="459"/>
      <c r="O1813" s="261"/>
      <c r="P1813" s="594"/>
      <c r="Q1813" s="594"/>
      <c r="R1813" s="467"/>
    </row>
    <row r="1814" spans="1:18" s="438" customFormat="1" outlineLevel="1">
      <c r="A1814" s="569"/>
      <c r="B1814" s="587"/>
      <c r="C1814" s="589"/>
      <c r="D1814" s="565"/>
      <c r="E1814" s="596"/>
      <c r="F1814" s="565"/>
      <c r="G1814" s="592"/>
      <c r="H1814" s="565"/>
      <c r="I1814" s="565"/>
      <c r="J1814" s="565"/>
      <c r="K1814" s="466"/>
      <c r="L1814" s="459"/>
      <c r="M1814" s="460"/>
      <c r="N1814" s="459"/>
      <c r="O1814" s="261"/>
      <c r="P1814" s="565"/>
      <c r="Q1814" s="565"/>
      <c r="R1814" s="467"/>
    </row>
    <row r="1815" spans="1:18" s="438" customFormat="1" outlineLevel="1">
      <c r="A1815" s="569"/>
      <c r="B1815" s="587"/>
      <c r="C1815" s="589"/>
      <c r="D1815" s="565"/>
      <c r="E1815" s="596"/>
      <c r="F1815" s="565"/>
      <c r="G1815" s="592"/>
      <c r="H1815" s="565"/>
      <c r="I1815" s="565"/>
      <c r="J1815" s="565"/>
      <c r="K1815" s="466"/>
      <c r="L1815" s="459"/>
      <c r="M1815" s="460"/>
      <c r="N1815" s="459"/>
      <c r="O1815" s="261"/>
      <c r="P1815" s="565"/>
      <c r="Q1815" s="565"/>
      <c r="R1815" s="467"/>
    </row>
    <row r="1816" spans="1:18" s="438" customFormat="1" outlineLevel="1">
      <c r="A1816" s="569"/>
      <c r="B1816" s="587"/>
      <c r="C1816" s="589"/>
      <c r="D1816" s="565"/>
      <c r="E1816" s="596"/>
      <c r="F1816" s="565"/>
      <c r="G1816" s="592"/>
      <c r="H1816" s="565"/>
      <c r="I1816" s="565"/>
      <c r="J1816" s="565"/>
      <c r="K1816" s="466"/>
      <c r="L1816" s="459"/>
      <c r="M1816" s="460"/>
      <c r="N1816" s="459"/>
      <c r="O1816" s="261"/>
      <c r="P1816" s="565"/>
      <c r="Q1816" s="565"/>
      <c r="R1816" s="467"/>
    </row>
    <row r="1817" spans="1:18" s="438" customFormat="1" outlineLevel="1">
      <c r="A1817" s="569"/>
      <c r="B1817" s="587"/>
      <c r="C1817" s="589"/>
      <c r="D1817" s="565"/>
      <c r="E1817" s="596"/>
      <c r="F1817" s="565"/>
      <c r="G1817" s="592"/>
      <c r="H1817" s="565"/>
      <c r="I1817" s="565"/>
      <c r="J1817" s="565"/>
      <c r="K1817" s="466"/>
      <c r="L1817" s="459"/>
      <c r="M1817" s="460"/>
      <c r="N1817" s="459"/>
      <c r="O1817" s="261"/>
      <c r="P1817" s="565"/>
      <c r="Q1817" s="565"/>
      <c r="R1817" s="467"/>
    </row>
    <row r="1818" spans="1:18" s="438" customFormat="1" outlineLevel="1">
      <c r="A1818" s="569"/>
      <c r="B1818" s="587"/>
      <c r="C1818" s="589"/>
      <c r="D1818" s="565"/>
      <c r="E1818" s="596"/>
      <c r="F1818" s="565"/>
      <c r="G1818" s="592"/>
      <c r="H1818" s="565"/>
      <c r="I1818" s="565"/>
      <c r="J1818" s="565"/>
      <c r="K1818" s="466"/>
      <c r="L1818" s="459"/>
      <c r="M1818" s="460"/>
      <c r="N1818" s="459"/>
      <c r="O1818" s="261"/>
      <c r="P1818" s="565"/>
      <c r="Q1818" s="565"/>
      <c r="R1818" s="467"/>
    </row>
    <row r="1819" spans="1:18" s="438" customFormat="1" outlineLevel="1">
      <c r="A1819" s="569"/>
      <c r="B1819" s="587"/>
      <c r="C1819" s="589"/>
      <c r="D1819" s="565"/>
      <c r="E1819" s="596"/>
      <c r="F1819" s="565"/>
      <c r="G1819" s="592"/>
      <c r="H1819" s="565"/>
      <c r="I1819" s="565"/>
      <c r="J1819" s="565"/>
      <c r="K1819" s="466"/>
      <c r="L1819" s="459"/>
      <c r="M1819" s="460"/>
      <c r="N1819" s="459"/>
      <c r="O1819" s="261"/>
      <c r="P1819" s="565"/>
      <c r="Q1819" s="565"/>
      <c r="R1819" s="467"/>
    </row>
    <row r="1820" spans="1:18" s="438" customFormat="1" outlineLevel="1">
      <c r="A1820" s="569"/>
      <c r="B1820" s="587"/>
      <c r="C1820" s="589"/>
      <c r="D1820" s="565"/>
      <c r="E1820" s="596"/>
      <c r="F1820" s="565"/>
      <c r="G1820" s="592"/>
      <c r="H1820" s="565"/>
      <c r="I1820" s="565"/>
      <c r="J1820" s="565"/>
      <c r="K1820" s="466"/>
      <c r="L1820" s="459"/>
      <c r="M1820" s="460"/>
      <c r="N1820" s="459"/>
      <c r="O1820" s="261"/>
      <c r="P1820" s="565"/>
      <c r="Q1820" s="565"/>
      <c r="R1820" s="467"/>
    </row>
    <row r="1821" spans="1:18" s="438" customFormat="1" outlineLevel="1">
      <c r="A1821" s="569"/>
      <c r="B1821" s="587"/>
      <c r="C1821" s="589"/>
      <c r="D1821" s="565"/>
      <c r="E1821" s="596"/>
      <c r="F1821" s="565"/>
      <c r="G1821" s="592"/>
      <c r="H1821" s="565"/>
      <c r="I1821" s="565"/>
      <c r="J1821" s="565"/>
      <c r="K1821" s="466"/>
      <c r="L1821" s="459"/>
      <c r="M1821" s="460"/>
      <c r="N1821" s="459"/>
      <c r="O1821" s="261"/>
      <c r="P1821" s="565"/>
      <c r="Q1821" s="565"/>
      <c r="R1821" s="467"/>
    </row>
    <row r="1822" spans="1:18" s="438" customFormat="1" outlineLevel="1">
      <c r="A1822" s="569"/>
      <c r="B1822" s="587"/>
      <c r="C1822" s="589"/>
      <c r="D1822" s="565"/>
      <c r="E1822" s="596"/>
      <c r="F1822" s="565"/>
      <c r="G1822" s="592"/>
      <c r="H1822" s="565"/>
      <c r="I1822" s="565"/>
      <c r="J1822" s="565"/>
      <c r="K1822" s="466"/>
      <c r="L1822" s="459"/>
      <c r="M1822" s="460"/>
      <c r="N1822" s="459"/>
      <c r="O1822" s="261"/>
      <c r="P1822" s="565"/>
      <c r="Q1822" s="565"/>
      <c r="R1822" s="467"/>
    </row>
    <row r="1823" spans="1:18" s="438" customFormat="1" outlineLevel="1">
      <c r="A1823" s="569"/>
      <c r="B1823" s="587"/>
      <c r="C1823" s="589"/>
      <c r="D1823" s="565"/>
      <c r="E1823" s="596"/>
      <c r="F1823" s="565"/>
      <c r="G1823" s="592"/>
      <c r="H1823" s="565"/>
      <c r="I1823" s="565"/>
      <c r="J1823" s="565"/>
      <c r="K1823" s="466"/>
      <c r="L1823" s="459"/>
      <c r="M1823" s="460"/>
      <c r="N1823" s="459"/>
      <c r="O1823" s="261"/>
      <c r="P1823" s="565"/>
      <c r="Q1823" s="565"/>
      <c r="R1823" s="467"/>
    </row>
    <row r="1824" spans="1:18" s="438" customFormat="1" outlineLevel="1">
      <c r="A1824" s="569"/>
      <c r="B1824" s="587"/>
      <c r="C1824" s="589"/>
      <c r="D1824" s="565"/>
      <c r="E1824" s="596"/>
      <c r="F1824" s="565"/>
      <c r="G1824" s="592"/>
      <c r="H1824" s="565"/>
      <c r="I1824" s="565"/>
      <c r="J1824" s="565"/>
      <c r="K1824" s="466"/>
      <c r="L1824" s="459"/>
      <c r="M1824" s="460"/>
      <c r="N1824" s="459"/>
      <c r="O1824" s="261"/>
      <c r="P1824" s="565"/>
      <c r="Q1824" s="565"/>
      <c r="R1824" s="467"/>
    </row>
    <row r="1825" spans="1:18" s="438" customFormat="1" outlineLevel="1">
      <c r="A1825" s="569"/>
      <c r="B1825" s="587"/>
      <c r="C1825" s="589"/>
      <c r="D1825" s="565"/>
      <c r="E1825" s="596"/>
      <c r="F1825" s="565"/>
      <c r="G1825" s="592"/>
      <c r="H1825" s="565"/>
      <c r="I1825" s="565"/>
      <c r="J1825" s="565"/>
      <c r="K1825" s="466"/>
      <c r="L1825" s="459"/>
      <c r="M1825" s="460"/>
      <c r="N1825" s="459"/>
      <c r="O1825" s="261"/>
      <c r="P1825" s="565"/>
      <c r="Q1825" s="565"/>
      <c r="R1825" s="467"/>
    </row>
    <row r="1826" spans="1:18" s="438" customFormat="1" outlineLevel="1">
      <c r="A1826" s="569"/>
      <c r="B1826" s="587"/>
      <c r="C1826" s="589"/>
      <c r="D1826" s="565"/>
      <c r="E1826" s="596"/>
      <c r="F1826" s="565"/>
      <c r="G1826" s="592"/>
      <c r="H1826" s="565"/>
      <c r="I1826" s="565"/>
      <c r="J1826" s="565"/>
      <c r="K1826" s="466"/>
      <c r="L1826" s="459"/>
      <c r="M1826" s="460"/>
      <c r="N1826" s="459"/>
      <c r="O1826" s="261"/>
      <c r="P1826" s="565"/>
      <c r="Q1826" s="565"/>
      <c r="R1826" s="467"/>
    </row>
    <row r="1827" spans="1:18" s="438" customFormat="1" outlineLevel="1">
      <c r="A1827" s="569"/>
      <c r="B1827" s="587"/>
      <c r="C1827" s="589"/>
      <c r="D1827" s="565"/>
      <c r="E1827" s="596"/>
      <c r="F1827" s="565"/>
      <c r="G1827" s="592"/>
      <c r="H1827" s="565"/>
      <c r="I1827" s="565"/>
      <c r="J1827" s="565"/>
      <c r="K1827" s="466"/>
      <c r="L1827" s="459"/>
      <c r="M1827" s="460"/>
      <c r="N1827" s="459"/>
      <c r="O1827" s="261"/>
      <c r="P1827" s="565"/>
      <c r="Q1827" s="565"/>
      <c r="R1827" s="467"/>
    </row>
    <row r="1828" spans="1:18" s="438" customFormat="1" outlineLevel="1">
      <c r="A1828" s="570"/>
      <c r="B1828" s="588"/>
      <c r="C1828" s="590"/>
      <c r="D1828" s="566"/>
      <c r="E1828" s="596"/>
      <c r="F1828" s="566"/>
      <c r="G1828" s="593"/>
      <c r="H1828" s="566"/>
      <c r="I1828" s="566"/>
      <c r="J1828" s="566"/>
      <c r="K1828" s="466"/>
      <c r="L1828" s="459"/>
      <c r="M1828" s="460"/>
      <c r="N1828" s="459"/>
      <c r="O1828" s="261"/>
      <c r="P1828" s="566"/>
      <c r="Q1828" s="566"/>
      <c r="R1828" s="467"/>
    </row>
    <row r="1829" spans="1:18" s="438" customFormat="1" outlineLevel="1">
      <c r="A1829" s="568"/>
      <c r="B1829" s="587"/>
      <c r="C1829" s="595"/>
      <c r="D1829" s="565"/>
      <c r="E1829" s="596"/>
      <c r="F1829" s="565"/>
      <c r="G1829" s="597"/>
      <c r="H1829" s="594"/>
      <c r="I1829" s="594"/>
      <c r="J1829" s="594"/>
      <c r="K1829" s="458"/>
      <c r="L1829" s="459"/>
      <c r="M1829" s="460"/>
      <c r="N1829" s="459"/>
      <c r="O1829" s="261"/>
      <c r="P1829" s="594"/>
      <c r="Q1829" s="594"/>
      <c r="R1829" s="467"/>
    </row>
    <row r="1830" spans="1:18" s="438" customFormat="1" outlineLevel="1">
      <c r="A1830" s="569"/>
      <c r="B1830" s="587"/>
      <c r="C1830" s="589"/>
      <c r="D1830" s="565"/>
      <c r="E1830" s="596"/>
      <c r="F1830" s="565"/>
      <c r="G1830" s="592"/>
      <c r="H1830" s="565"/>
      <c r="I1830" s="565"/>
      <c r="J1830" s="565"/>
      <c r="K1830" s="466"/>
      <c r="L1830" s="459"/>
      <c r="M1830" s="460"/>
      <c r="N1830" s="459"/>
      <c r="O1830" s="261"/>
      <c r="P1830" s="565"/>
      <c r="Q1830" s="565"/>
      <c r="R1830" s="467"/>
    </row>
    <row r="1831" spans="1:18" s="438" customFormat="1" outlineLevel="1">
      <c r="A1831" s="569"/>
      <c r="B1831" s="587"/>
      <c r="C1831" s="589"/>
      <c r="D1831" s="565"/>
      <c r="E1831" s="596"/>
      <c r="F1831" s="565"/>
      <c r="G1831" s="592"/>
      <c r="H1831" s="565"/>
      <c r="I1831" s="565"/>
      <c r="J1831" s="565"/>
      <c r="K1831" s="466"/>
      <c r="L1831" s="459"/>
      <c r="M1831" s="460"/>
      <c r="N1831" s="459"/>
      <c r="O1831" s="261"/>
      <c r="P1831" s="565"/>
      <c r="Q1831" s="565"/>
      <c r="R1831" s="467"/>
    </row>
    <row r="1832" spans="1:18" s="438" customFormat="1" outlineLevel="1">
      <c r="A1832" s="569"/>
      <c r="B1832" s="587"/>
      <c r="C1832" s="589"/>
      <c r="D1832" s="565"/>
      <c r="E1832" s="596"/>
      <c r="F1832" s="565"/>
      <c r="G1832" s="592"/>
      <c r="H1832" s="565"/>
      <c r="I1832" s="565"/>
      <c r="J1832" s="565"/>
      <c r="K1832" s="466"/>
      <c r="L1832" s="459"/>
      <c r="M1832" s="460"/>
      <c r="N1832" s="459"/>
      <c r="O1832" s="261"/>
      <c r="P1832" s="565"/>
      <c r="Q1832" s="565"/>
      <c r="R1832" s="467"/>
    </row>
    <row r="1833" spans="1:18" s="438" customFormat="1" outlineLevel="1">
      <c r="A1833" s="569"/>
      <c r="B1833" s="587"/>
      <c r="C1833" s="589"/>
      <c r="D1833" s="565"/>
      <c r="E1833" s="596"/>
      <c r="F1833" s="565"/>
      <c r="G1833" s="592"/>
      <c r="H1833" s="565"/>
      <c r="I1833" s="565"/>
      <c r="J1833" s="565"/>
      <c r="K1833" s="466"/>
      <c r="L1833" s="459"/>
      <c r="M1833" s="460"/>
      <c r="N1833" s="459"/>
      <c r="O1833" s="261"/>
      <c r="P1833" s="565"/>
      <c r="Q1833" s="565"/>
      <c r="R1833" s="467"/>
    </row>
    <row r="1834" spans="1:18" s="438" customFormat="1" outlineLevel="1">
      <c r="A1834" s="569"/>
      <c r="B1834" s="587"/>
      <c r="C1834" s="589"/>
      <c r="D1834" s="565"/>
      <c r="E1834" s="596"/>
      <c r="F1834" s="565"/>
      <c r="G1834" s="592"/>
      <c r="H1834" s="565"/>
      <c r="I1834" s="565"/>
      <c r="J1834" s="565"/>
      <c r="K1834" s="466"/>
      <c r="L1834" s="459"/>
      <c r="M1834" s="460"/>
      <c r="N1834" s="459"/>
      <c r="O1834" s="261"/>
      <c r="P1834" s="565"/>
      <c r="Q1834" s="565"/>
      <c r="R1834" s="467"/>
    </row>
    <row r="1835" spans="1:18" s="438" customFormat="1" outlineLevel="1">
      <c r="A1835" s="569"/>
      <c r="B1835" s="587"/>
      <c r="C1835" s="589"/>
      <c r="D1835" s="565"/>
      <c r="E1835" s="596"/>
      <c r="F1835" s="565"/>
      <c r="G1835" s="592"/>
      <c r="H1835" s="565"/>
      <c r="I1835" s="565"/>
      <c r="J1835" s="565"/>
      <c r="K1835" s="466"/>
      <c r="L1835" s="459"/>
      <c r="M1835" s="460"/>
      <c r="N1835" s="459"/>
      <c r="O1835" s="261"/>
      <c r="P1835" s="565"/>
      <c r="Q1835" s="565"/>
      <c r="R1835" s="467"/>
    </row>
    <row r="1836" spans="1:18" s="438" customFormat="1" outlineLevel="1">
      <c r="A1836" s="569"/>
      <c r="B1836" s="587"/>
      <c r="C1836" s="589"/>
      <c r="D1836" s="565"/>
      <c r="E1836" s="596"/>
      <c r="F1836" s="565"/>
      <c r="G1836" s="592"/>
      <c r="H1836" s="565"/>
      <c r="I1836" s="565"/>
      <c r="J1836" s="565"/>
      <c r="K1836" s="466"/>
      <c r="L1836" s="459"/>
      <c r="M1836" s="460"/>
      <c r="N1836" s="459"/>
      <c r="O1836" s="261"/>
      <c r="P1836" s="565"/>
      <c r="Q1836" s="565"/>
      <c r="R1836" s="467"/>
    </row>
    <row r="1837" spans="1:18" s="438" customFormat="1" outlineLevel="1">
      <c r="A1837" s="569"/>
      <c r="B1837" s="587"/>
      <c r="C1837" s="589"/>
      <c r="D1837" s="565"/>
      <c r="E1837" s="596"/>
      <c r="F1837" s="565"/>
      <c r="G1837" s="592"/>
      <c r="H1837" s="565"/>
      <c r="I1837" s="565"/>
      <c r="J1837" s="565"/>
      <c r="K1837" s="466"/>
      <c r="L1837" s="459"/>
      <c r="M1837" s="460"/>
      <c r="N1837" s="459"/>
      <c r="O1837" s="261"/>
      <c r="P1837" s="565"/>
      <c r="Q1837" s="565"/>
      <c r="R1837" s="467"/>
    </row>
    <row r="1838" spans="1:18" s="438" customFormat="1" outlineLevel="1">
      <c r="A1838" s="569"/>
      <c r="B1838" s="587"/>
      <c r="C1838" s="589"/>
      <c r="D1838" s="565"/>
      <c r="E1838" s="596"/>
      <c r="F1838" s="565"/>
      <c r="G1838" s="592"/>
      <c r="H1838" s="565"/>
      <c r="I1838" s="565"/>
      <c r="J1838" s="565"/>
      <c r="K1838" s="466"/>
      <c r="L1838" s="459"/>
      <c r="M1838" s="460"/>
      <c r="N1838" s="459"/>
      <c r="O1838" s="261"/>
      <c r="P1838" s="565"/>
      <c r="Q1838" s="565"/>
      <c r="R1838" s="467"/>
    </row>
    <row r="1839" spans="1:18" s="438" customFormat="1" outlineLevel="1">
      <c r="A1839" s="569"/>
      <c r="B1839" s="587"/>
      <c r="C1839" s="589"/>
      <c r="D1839" s="565"/>
      <c r="E1839" s="596"/>
      <c r="F1839" s="565"/>
      <c r="G1839" s="592"/>
      <c r="H1839" s="565"/>
      <c r="I1839" s="565"/>
      <c r="J1839" s="565"/>
      <c r="K1839" s="466"/>
      <c r="L1839" s="459"/>
      <c r="M1839" s="460"/>
      <c r="N1839" s="459"/>
      <c r="O1839" s="261"/>
      <c r="P1839" s="565"/>
      <c r="Q1839" s="565"/>
      <c r="R1839" s="467"/>
    </row>
    <row r="1840" spans="1:18" s="438" customFormat="1" outlineLevel="1">
      <c r="A1840" s="569"/>
      <c r="B1840" s="587"/>
      <c r="C1840" s="589"/>
      <c r="D1840" s="565"/>
      <c r="E1840" s="596"/>
      <c r="F1840" s="565"/>
      <c r="G1840" s="592"/>
      <c r="H1840" s="565"/>
      <c r="I1840" s="565"/>
      <c r="J1840" s="565"/>
      <c r="K1840" s="466"/>
      <c r="L1840" s="459"/>
      <c r="M1840" s="460"/>
      <c r="N1840" s="459"/>
      <c r="O1840" s="261"/>
      <c r="P1840" s="565"/>
      <c r="Q1840" s="565"/>
      <c r="R1840" s="467"/>
    </row>
    <row r="1841" spans="1:18" s="438" customFormat="1" outlineLevel="1">
      <c r="A1841" s="569"/>
      <c r="B1841" s="587"/>
      <c r="C1841" s="589"/>
      <c r="D1841" s="565"/>
      <c r="E1841" s="596"/>
      <c r="F1841" s="565"/>
      <c r="G1841" s="592"/>
      <c r="H1841" s="565"/>
      <c r="I1841" s="565"/>
      <c r="J1841" s="565"/>
      <c r="K1841" s="466"/>
      <c r="L1841" s="459"/>
      <c r="M1841" s="460"/>
      <c r="N1841" s="459"/>
      <c r="O1841" s="261"/>
      <c r="P1841" s="565"/>
      <c r="Q1841" s="565"/>
      <c r="R1841" s="467"/>
    </row>
    <row r="1842" spans="1:18" s="438" customFormat="1" outlineLevel="1">
      <c r="A1842" s="569"/>
      <c r="B1842" s="587"/>
      <c r="C1842" s="589"/>
      <c r="D1842" s="565"/>
      <c r="E1842" s="596"/>
      <c r="F1842" s="565"/>
      <c r="G1842" s="592"/>
      <c r="H1842" s="565"/>
      <c r="I1842" s="565"/>
      <c r="J1842" s="565"/>
      <c r="K1842" s="466"/>
      <c r="L1842" s="459"/>
      <c r="M1842" s="460"/>
      <c r="N1842" s="459"/>
      <c r="O1842" s="261"/>
      <c r="P1842" s="565"/>
      <c r="Q1842" s="565"/>
      <c r="R1842" s="467"/>
    </row>
    <row r="1843" spans="1:18" s="438" customFormat="1" outlineLevel="1">
      <c r="A1843" s="569"/>
      <c r="B1843" s="587"/>
      <c r="C1843" s="589"/>
      <c r="D1843" s="565"/>
      <c r="E1843" s="596"/>
      <c r="F1843" s="565"/>
      <c r="G1843" s="592"/>
      <c r="H1843" s="565"/>
      <c r="I1843" s="565"/>
      <c r="J1843" s="565"/>
      <c r="K1843" s="466"/>
      <c r="L1843" s="459"/>
      <c r="M1843" s="460"/>
      <c r="N1843" s="459"/>
      <c r="O1843" s="261"/>
      <c r="P1843" s="565"/>
      <c r="Q1843" s="565"/>
      <c r="R1843" s="467"/>
    </row>
    <row r="1844" spans="1:18" s="438" customFormat="1" outlineLevel="1">
      <c r="A1844" s="570"/>
      <c r="B1844" s="588"/>
      <c r="C1844" s="590"/>
      <c r="D1844" s="566"/>
      <c r="E1844" s="596"/>
      <c r="F1844" s="566"/>
      <c r="G1844" s="593"/>
      <c r="H1844" s="566"/>
      <c r="I1844" s="566"/>
      <c r="J1844" s="566"/>
      <c r="K1844" s="466"/>
      <c r="L1844" s="459"/>
      <c r="M1844" s="460"/>
      <c r="N1844" s="459"/>
      <c r="O1844" s="261"/>
      <c r="P1844" s="566"/>
      <c r="Q1844" s="566"/>
      <c r="R1844" s="467"/>
    </row>
    <row r="1845" spans="1:18" s="438" customFormat="1" outlineLevel="1">
      <c r="A1845" s="568"/>
      <c r="B1845" s="587"/>
      <c r="C1845" s="595"/>
      <c r="D1845" s="565"/>
      <c r="E1845" s="596"/>
      <c r="F1845" s="565"/>
      <c r="G1845" s="597"/>
      <c r="H1845" s="594"/>
      <c r="I1845" s="594"/>
      <c r="J1845" s="594"/>
      <c r="K1845" s="458"/>
      <c r="L1845" s="459"/>
      <c r="M1845" s="460"/>
      <c r="N1845" s="459"/>
      <c r="O1845" s="261"/>
      <c r="P1845" s="594"/>
      <c r="Q1845" s="594"/>
      <c r="R1845" s="467"/>
    </row>
    <row r="1846" spans="1:18" s="438" customFormat="1" outlineLevel="1">
      <c r="A1846" s="569"/>
      <c r="B1846" s="587"/>
      <c r="C1846" s="589"/>
      <c r="D1846" s="565"/>
      <c r="E1846" s="596"/>
      <c r="F1846" s="565"/>
      <c r="G1846" s="592"/>
      <c r="H1846" s="565"/>
      <c r="I1846" s="565"/>
      <c r="J1846" s="565"/>
      <c r="K1846" s="466"/>
      <c r="L1846" s="459"/>
      <c r="M1846" s="460"/>
      <c r="N1846" s="459"/>
      <c r="O1846" s="261"/>
      <c r="P1846" s="565"/>
      <c r="Q1846" s="565"/>
      <c r="R1846" s="467"/>
    </row>
    <row r="1847" spans="1:18" s="438" customFormat="1" outlineLevel="1">
      <c r="A1847" s="569"/>
      <c r="B1847" s="587"/>
      <c r="C1847" s="589"/>
      <c r="D1847" s="565"/>
      <c r="E1847" s="596"/>
      <c r="F1847" s="565"/>
      <c r="G1847" s="592"/>
      <c r="H1847" s="565"/>
      <c r="I1847" s="565"/>
      <c r="J1847" s="565"/>
      <c r="K1847" s="466"/>
      <c r="L1847" s="459"/>
      <c r="M1847" s="460"/>
      <c r="N1847" s="459"/>
      <c r="O1847" s="261"/>
      <c r="P1847" s="565"/>
      <c r="Q1847" s="565"/>
      <c r="R1847" s="467"/>
    </row>
    <row r="1848" spans="1:18" s="438" customFormat="1" outlineLevel="1">
      <c r="A1848" s="569"/>
      <c r="B1848" s="587"/>
      <c r="C1848" s="589"/>
      <c r="D1848" s="565"/>
      <c r="E1848" s="596"/>
      <c r="F1848" s="565"/>
      <c r="G1848" s="592"/>
      <c r="H1848" s="565"/>
      <c r="I1848" s="565"/>
      <c r="J1848" s="565"/>
      <c r="K1848" s="466"/>
      <c r="L1848" s="459"/>
      <c r="M1848" s="460"/>
      <c r="N1848" s="459"/>
      <c r="O1848" s="261"/>
      <c r="P1848" s="565"/>
      <c r="Q1848" s="565"/>
      <c r="R1848" s="467"/>
    </row>
    <row r="1849" spans="1:18" s="438" customFormat="1" outlineLevel="1">
      <c r="A1849" s="569"/>
      <c r="B1849" s="587"/>
      <c r="C1849" s="589"/>
      <c r="D1849" s="565"/>
      <c r="E1849" s="596"/>
      <c r="F1849" s="565"/>
      <c r="G1849" s="592"/>
      <c r="H1849" s="565"/>
      <c r="I1849" s="565"/>
      <c r="J1849" s="565"/>
      <c r="K1849" s="466"/>
      <c r="L1849" s="459"/>
      <c r="M1849" s="460"/>
      <c r="N1849" s="459"/>
      <c r="O1849" s="261"/>
      <c r="P1849" s="565"/>
      <c r="Q1849" s="565"/>
      <c r="R1849" s="467"/>
    </row>
    <row r="1850" spans="1:18" s="438" customFormat="1" outlineLevel="1">
      <c r="A1850" s="569"/>
      <c r="B1850" s="587"/>
      <c r="C1850" s="589"/>
      <c r="D1850" s="565"/>
      <c r="E1850" s="596"/>
      <c r="F1850" s="565"/>
      <c r="G1850" s="592"/>
      <c r="H1850" s="565"/>
      <c r="I1850" s="565"/>
      <c r="J1850" s="565"/>
      <c r="K1850" s="466"/>
      <c r="L1850" s="459"/>
      <c r="M1850" s="460"/>
      <c r="N1850" s="459"/>
      <c r="O1850" s="261"/>
      <c r="P1850" s="565"/>
      <c r="Q1850" s="565"/>
      <c r="R1850" s="467"/>
    </row>
    <row r="1851" spans="1:18" s="438" customFormat="1" outlineLevel="1">
      <c r="A1851" s="569"/>
      <c r="B1851" s="587"/>
      <c r="C1851" s="589"/>
      <c r="D1851" s="565"/>
      <c r="E1851" s="596"/>
      <c r="F1851" s="565"/>
      <c r="G1851" s="592"/>
      <c r="H1851" s="565"/>
      <c r="I1851" s="565"/>
      <c r="J1851" s="565"/>
      <c r="K1851" s="466"/>
      <c r="L1851" s="459"/>
      <c r="M1851" s="460"/>
      <c r="N1851" s="459"/>
      <c r="O1851" s="261"/>
      <c r="P1851" s="565"/>
      <c r="Q1851" s="565"/>
      <c r="R1851" s="467"/>
    </row>
    <row r="1852" spans="1:18" s="438" customFormat="1" outlineLevel="1">
      <c r="A1852" s="569"/>
      <c r="B1852" s="587"/>
      <c r="C1852" s="589"/>
      <c r="D1852" s="565"/>
      <c r="E1852" s="596"/>
      <c r="F1852" s="565"/>
      <c r="G1852" s="592"/>
      <c r="H1852" s="565"/>
      <c r="I1852" s="565"/>
      <c r="J1852" s="565"/>
      <c r="K1852" s="466"/>
      <c r="L1852" s="459"/>
      <c r="M1852" s="460"/>
      <c r="N1852" s="459"/>
      <c r="O1852" s="261"/>
      <c r="P1852" s="565"/>
      <c r="Q1852" s="565"/>
      <c r="R1852" s="467"/>
    </row>
    <row r="1853" spans="1:18" s="438" customFormat="1" outlineLevel="1">
      <c r="A1853" s="569"/>
      <c r="B1853" s="587"/>
      <c r="C1853" s="589"/>
      <c r="D1853" s="565"/>
      <c r="E1853" s="596"/>
      <c r="F1853" s="565"/>
      <c r="G1853" s="592"/>
      <c r="H1853" s="565"/>
      <c r="I1853" s="565"/>
      <c r="J1853" s="565"/>
      <c r="K1853" s="466"/>
      <c r="L1853" s="459"/>
      <c r="M1853" s="460"/>
      <c r="N1853" s="459"/>
      <c r="O1853" s="261"/>
      <c r="P1853" s="565"/>
      <c r="Q1853" s="565"/>
      <c r="R1853" s="467"/>
    </row>
    <row r="1854" spans="1:18" s="438" customFormat="1" outlineLevel="1">
      <c r="A1854" s="569"/>
      <c r="B1854" s="587"/>
      <c r="C1854" s="589"/>
      <c r="D1854" s="565"/>
      <c r="E1854" s="596"/>
      <c r="F1854" s="565"/>
      <c r="G1854" s="592"/>
      <c r="H1854" s="565"/>
      <c r="I1854" s="565"/>
      <c r="J1854" s="565"/>
      <c r="K1854" s="466"/>
      <c r="L1854" s="459"/>
      <c r="M1854" s="460"/>
      <c r="N1854" s="459"/>
      <c r="O1854" s="261"/>
      <c r="P1854" s="565"/>
      <c r="Q1854" s="565"/>
      <c r="R1854" s="467"/>
    </row>
    <row r="1855" spans="1:18" s="438" customFormat="1" outlineLevel="1">
      <c r="A1855" s="569"/>
      <c r="B1855" s="587"/>
      <c r="C1855" s="589"/>
      <c r="D1855" s="565"/>
      <c r="E1855" s="596"/>
      <c r="F1855" s="565"/>
      <c r="G1855" s="592"/>
      <c r="H1855" s="565"/>
      <c r="I1855" s="565"/>
      <c r="J1855" s="565"/>
      <c r="K1855" s="466"/>
      <c r="L1855" s="459"/>
      <c r="M1855" s="460"/>
      <c r="N1855" s="459"/>
      <c r="O1855" s="261"/>
      <c r="P1855" s="565"/>
      <c r="Q1855" s="565"/>
      <c r="R1855" s="467"/>
    </row>
    <row r="1856" spans="1:18" s="438" customFormat="1" outlineLevel="1">
      <c r="A1856" s="569"/>
      <c r="B1856" s="587"/>
      <c r="C1856" s="589"/>
      <c r="D1856" s="565"/>
      <c r="E1856" s="596"/>
      <c r="F1856" s="565"/>
      <c r="G1856" s="592"/>
      <c r="H1856" s="565"/>
      <c r="I1856" s="565"/>
      <c r="J1856" s="565"/>
      <c r="K1856" s="466"/>
      <c r="L1856" s="459"/>
      <c r="M1856" s="460"/>
      <c r="N1856" s="459"/>
      <c r="O1856" s="261"/>
      <c r="P1856" s="565"/>
      <c r="Q1856" s="565"/>
      <c r="R1856" s="467"/>
    </row>
    <row r="1857" spans="1:18" s="438" customFormat="1" outlineLevel="1">
      <c r="A1857" s="569"/>
      <c r="B1857" s="587"/>
      <c r="C1857" s="589"/>
      <c r="D1857" s="565"/>
      <c r="E1857" s="596"/>
      <c r="F1857" s="565"/>
      <c r="G1857" s="592"/>
      <c r="H1857" s="565"/>
      <c r="I1857" s="565"/>
      <c r="J1857" s="565"/>
      <c r="K1857" s="466"/>
      <c r="L1857" s="459"/>
      <c r="M1857" s="460"/>
      <c r="N1857" s="459"/>
      <c r="O1857" s="261"/>
      <c r="P1857" s="565"/>
      <c r="Q1857" s="565"/>
      <c r="R1857" s="467"/>
    </row>
    <row r="1858" spans="1:18" s="438" customFormat="1" outlineLevel="1">
      <c r="A1858" s="569"/>
      <c r="B1858" s="587"/>
      <c r="C1858" s="589"/>
      <c r="D1858" s="565"/>
      <c r="E1858" s="596"/>
      <c r="F1858" s="565"/>
      <c r="G1858" s="592"/>
      <c r="H1858" s="565"/>
      <c r="I1858" s="565"/>
      <c r="J1858" s="565"/>
      <c r="K1858" s="466"/>
      <c r="L1858" s="459"/>
      <c r="M1858" s="460"/>
      <c r="N1858" s="459"/>
      <c r="O1858" s="261"/>
      <c r="P1858" s="565"/>
      <c r="Q1858" s="565"/>
      <c r="R1858" s="467"/>
    </row>
    <row r="1859" spans="1:18" s="438" customFormat="1" outlineLevel="1">
      <c r="A1859" s="569"/>
      <c r="B1859" s="587"/>
      <c r="C1859" s="589"/>
      <c r="D1859" s="565"/>
      <c r="E1859" s="596"/>
      <c r="F1859" s="565"/>
      <c r="G1859" s="592"/>
      <c r="H1859" s="565"/>
      <c r="I1859" s="565"/>
      <c r="J1859" s="565"/>
      <c r="K1859" s="466"/>
      <c r="L1859" s="459"/>
      <c r="M1859" s="460"/>
      <c r="N1859" s="459"/>
      <c r="O1859" s="261"/>
      <c r="P1859" s="565"/>
      <c r="Q1859" s="565"/>
      <c r="R1859" s="467"/>
    </row>
    <row r="1860" spans="1:18" s="438" customFormat="1" outlineLevel="1">
      <c r="A1860" s="570"/>
      <c r="B1860" s="588"/>
      <c r="C1860" s="590"/>
      <c r="D1860" s="566"/>
      <c r="E1860" s="596"/>
      <c r="F1860" s="566"/>
      <c r="G1860" s="593"/>
      <c r="H1860" s="566"/>
      <c r="I1860" s="566"/>
      <c r="J1860" s="566"/>
      <c r="K1860" s="466"/>
      <c r="L1860" s="459"/>
      <c r="M1860" s="460"/>
      <c r="N1860" s="459"/>
      <c r="O1860" s="261"/>
      <c r="P1860" s="566"/>
      <c r="Q1860" s="566"/>
      <c r="R1860" s="467"/>
    </row>
    <row r="1861" spans="1:18" s="438" customFormat="1" outlineLevel="1">
      <c r="A1861" s="568"/>
      <c r="B1861" s="587"/>
      <c r="C1861" s="595"/>
      <c r="D1861" s="565"/>
      <c r="E1861" s="596"/>
      <c r="F1861" s="565"/>
      <c r="G1861" s="597"/>
      <c r="H1861" s="594"/>
      <c r="I1861" s="594"/>
      <c r="J1861" s="594"/>
      <c r="K1861" s="458"/>
      <c r="L1861" s="459"/>
      <c r="M1861" s="460"/>
      <c r="N1861" s="459"/>
      <c r="O1861" s="261"/>
      <c r="P1861" s="594"/>
      <c r="Q1861" s="594"/>
      <c r="R1861" s="467"/>
    </row>
    <row r="1862" spans="1:18" s="438" customFormat="1" outlineLevel="1">
      <c r="A1862" s="569"/>
      <c r="B1862" s="587"/>
      <c r="C1862" s="589"/>
      <c r="D1862" s="565"/>
      <c r="E1862" s="596"/>
      <c r="F1862" s="565"/>
      <c r="G1862" s="592"/>
      <c r="H1862" s="565"/>
      <c r="I1862" s="565"/>
      <c r="J1862" s="565"/>
      <c r="K1862" s="466"/>
      <c r="L1862" s="459"/>
      <c r="M1862" s="460"/>
      <c r="N1862" s="459"/>
      <c r="O1862" s="261"/>
      <c r="P1862" s="565"/>
      <c r="Q1862" s="565"/>
      <c r="R1862" s="467"/>
    </row>
    <row r="1863" spans="1:18" s="438" customFormat="1" outlineLevel="1">
      <c r="A1863" s="569"/>
      <c r="B1863" s="587"/>
      <c r="C1863" s="589"/>
      <c r="D1863" s="565"/>
      <c r="E1863" s="596"/>
      <c r="F1863" s="565"/>
      <c r="G1863" s="592"/>
      <c r="H1863" s="565"/>
      <c r="I1863" s="565"/>
      <c r="J1863" s="565"/>
      <c r="K1863" s="466"/>
      <c r="L1863" s="459"/>
      <c r="M1863" s="460"/>
      <c r="N1863" s="459"/>
      <c r="O1863" s="261"/>
      <c r="P1863" s="565"/>
      <c r="Q1863" s="565"/>
      <c r="R1863" s="467"/>
    </row>
    <row r="1864" spans="1:18" s="438" customFormat="1" outlineLevel="1">
      <c r="A1864" s="569"/>
      <c r="B1864" s="587"/>
      <c r="C1864" s="589"/>
      <c r="D1864" s="565"/>
      <c r="E1864" s="596"/>
      <c r="F1864" s="565"/>
      <c r="G1864" s="592"/>
      <c r="H1864" s="565"/>
      <c r="I1864" s="565"/>
      <c r="J1864" s="565"/>
      <c r="K1864" s="466"/>
      <c r="L1864" s="459"/>
      <c r="M1864" s="460"/>
      <c r="N1864" s="459"/>
      <c r="O1864" s="261"/>
      <c r="P1864" s="565"/>
      <c r="Q1864" s="565"/>
      <c r="R1864" s="467"/>
    </row>
    <row r="1865" spans="1:18" s="438" customFormat="1" outlineLevel="1">
      <c r="A1865" s="569"/>
      <c r="B1865" s="587"/>
      <c r="C1865" s="589"/>
      <c r="D1865" s="565"/>
      <c r="E1865" s="596"/>
      <c r="F1865" s="565"/>
      <c r="G1865" s="592"/>
      <c r="H1865" s="565"/>
      <c r="I1865" s="565"/>
      <c r="J1865" s="565"/>
      <c r="K1865" s="466"/>
      <c r="L1865" s="459"/>
      <c r="M1865" s="460"/>
      <c r="N1865" s="459"/>
      <c r="O1865" s="261"/>
      <c r="P1865" s="565"/>
      <c r="Q1865" s="565"/>
      <c r="R1865" s="467"/>
    </row>
    <row r="1866" spans="1:18" s="438" customFormat="1" outlineLevel="1">
      <c r="A1866" s="569"/>
      <c r="B1866" s="587"/>
      <c r="C1866" s="589"/>
      <c r="D1866" s="565"/>
      <c r="E1866" s="596"/>
      <c r="F1866" s="565"/>
      <c r="G1866" s="592"/>
      <c r="H1866" s="565"/>
      <c r="I1866" s="565"/>
      <c r="J1866" s="565"/>
      <c r="K1866" s="466"/>
      <c r="L1866" s="459"/>
      <c r="M1866" s="460"/>
      <c r="N1866" s="459"/>
      <c r="O1866" s="261"/>
      <c r="P1866" s="565"/>
      <c r="Q1866" s="565"/>
      <c r="R1866" s="467"/>
    </row>
    <row r="1867" spans="1:18" s="438" customFormat="1" outlineLevel="1">
      <c r="A1867" s="569"/>
      <c r="B1867" s="587"/>
      <c r="C1867" s="589"/>
      <c r="D1867" s="565"/>
      <c r="E1867" s="596"/>
      <c r="F1867" s="565"/>
      <c r="G1867" s="592"/>
      <c r="H1867" s="565"/>
      <c r="I1867" s="565"/>
      <c r="J1867" s="565"/>
      <c r="K1867" s="466"/>
      <c r="L1867" s="459"/>
      <c r="M1867" s="460"/>
      <c r="N1867" s="459"/>
      <c r="O1867" s="261"/>
      <c r="P1867" s="565"/>
      <c r="Q1867" s="565"/>
      <c r="R1867" s="467"/>
    </row>
    <row r="1868" spans="1:18" s="438" customFormat="1" outlineLevel="1">
      <c r="A1868" s="569"/>
      <c r="B1868" s="587"/>
      <c r="C1868" s="589"/>
      <c r="D1868" s="565"/>
      <c r="E1868" s="596"/>
      <c r="F1868" s="565"/>
      <c r="G1868" s="592"/>
      <c r="H1868" s="565"/>
      <c r="I1868" s="565"/>
      <c r="J1868" s="565"/>
      <c r="K1868" s="466"/>
      <c r="L1868" s="459"/>
      <c r="M1868" s="460"/>
      <c r="N1868" s="459"/>
      <c r="O1868" s="261"/>
      <c r="P1868" s="565"/>
      <c r="Q1868" s="565"/>
      <c r="R1868" s="467"/>
    </row>
    <row r="1869" spans="1:18" s="438" customFormat="1" outlineLevel="1">
      <c r="A1869" s="569"/>
      <c r="B1869" s="587"/>
      <c r="C1869" s="589"/>
      <c r="D1869" s="565"/>
      <c r="E1869" s="596"/>
      <c r="F1869" s="565"/>
      <c r="G1869" s="592"/>
      <c r="H1869" s="565"/>
      <c r="I1869" s="565"/>
      <c r="J1869" s="565"/>
      <c r="K1869" s="466"/>
      <c r="L1869" s="459"/>
      <c r="M1869" s="460"/>
      <c r="N1869" s="459"/>
      <c r="O1869" s="261"/>
      <c r="P1869" s="565"/>
      <c r="Q1869" s="565"/>
      <c r="R1869" s="467"/>
    </row>
    <row r="1870" spans="1:18" s="438" customFormat="1" outlineLevel="1">
      <c r="A1870" s="569"/>
      <c r="B1870" s="587"/>
      <c r="C1870" s="589"/>
      <c r="D1870" s="565"/>
      <c r="E1870" s="596"/>
      <c r="F1870" s="565"/>
      <c r="G1870" s="592"/>
      <c r="H1870" s="565"/>
      <c r="I1870" s="565"/>
      <c r="J1870" s="565"/>
      <c r="K1870" s="466"/>
      <c r="L1870" s="459"/>
      <c r="M1870" s="460"/>
      <c r="N1870" s="459"/>
      <c r="O1870" s="261"/>
      <c r="P1870" s="565"/>
      <c r="Q1870" s="565"/>
      <c r="R1870" s="467"/>
    </row>
    <row r="1871" spans="1:18" s="438" customFormat="1" outlineLevel="1">
      <c r="A1871" s="569"/>
      <c r="B1871" s="587"/>
      <c r="C1871" s="589"/>
      <c r="D1871" s="565"/>
      <c r="E1871" s="596"/>
      <c r="F1871" s="565"/>
      <c r="G1871" s="592"/>
      <c r="H1871" s="565"/>
      <c r="I1871" s="565"/>
      <c r="J1871" s="565"/>
      <c r="K1871" s="466"/>
      <c r="L1871" s="459"/>
      <c r="M1871" s="460"/>
      <c r="N1871" s="459"/>
      <c r="O1871" s="261"/>
      <c r="P1871" s="565"/>
      <c r="Q1871" s="565"/>
      <c r="R1871" s="467"/>
    </row>
    <row r="1872" spans="1:18" s="438" customFormat="1" outlineLevel="1">
      <c r="A1872" s="569"/>
      <c r="B1872" s="587"/>
      <c r="C1872" s="589"/>
      <c r="D1872" s="565"/>
      <c r="E1872" s="596"/>
      <c r="F1872" s="565"/>
      <c r="G1872" s="592"/>
      <c r="H1872" s="565"/>
      <c r="I1872" s="565"/>
      <c r="J1872" s="565"/>
      <c r="K1872" s="466"/>
      <c r="L1872" s="459"/>
      <c r="M1872" s="460"/>
      <c r="N1872" s="459"/>
      <c r="O1872" s="261"/>
      <c r="P1872" s="565"/>
      <c r="Q1872" s="565"/>
      <c r="R1872" s="467"/>
    </row>
    <row r="1873" spans="1:18" s="438" customFormat="1" outlineLevel="1">
      <c r="A1873" s="569"/>
      <c r="B1873" s="587"/>
      <c r="C1873" s="589"/>
      <c r="D1873" s="565"/>
      <c r="E1873" s="596"/>
      <c r="F1873" s="565"/>
      <c r="G1873" s="592"/>
      <c r="H1873" s="565"/>
      <c r="I1873" s="565"/>
      <c r="J1873" s="565"/>
      <c r="K1873" s="466"/>
      <c r="L1873" s="459"/>
      <c r="M1873" s="460"/>
      <c r="N1873" s="459"/>
      <c r="O1873" s="261"/>
      <c r="P1873" s="565"/>
      <c r="Q1873" s="565"/>
      <c r="R1873" s="467"/>
    </row>
    <row r="1874" spans="1:18" s="438" customFormat="1" outlineLevel="1">
      <c r="A1874" s="569"/>
      <c r="B1874" s="587"/>
      <c r="C1874" s="589"/>
      <c r="D1874" s="565"/>
      <c r="E1874" s="596"/>
      <c r="F1874" s="565"/>
      <c r="G1874" s="592"/>
      <c r="H1874" s="565"/>
      <c r="I1874" s="565"/>
      <c r="J1874" s="565"/>
      <c r="K1874" s="466"/>
      <c r="L1874" s="459"/>
      <c r="M1874" s="460"/>
      <c r="N1874" s="459"/>
      <c r="O1874" s="261"/>
      <c r="P1874" s="565"/>
      <c r="Q1874" s="565"/>
      <c r="R1874" s="467"/>
    </row>
    <row r="1875" spans="1:18" s="438" customFormat="1" outlineLevel="1">
      <c r="A1875" s="569"/>
      <c r="B1875" s="587"/>
      <c r="C1875" s="589"/>
      <c r="D1875" s="565"/>
      <c r="E1875" s="596"/>
      <c r="F1875" s="565"/>
      <c r="G1875" s="592"/>
      <c r="H1875" s="565"/>
      <c r="I1875" s="565"/>
      <c r="J1875" s="565"/>
      <c r="K1875" s="466"/>
      <c r="L1875" s="459"/>
      <c r="M1875" s="460"/>
      <c r="N1875" s="459"/>
      <c r="O1875" s="261"/>
      <c r="P1875" s="565"/>
      <c r="Q1875" s="565"/>
      <c r="R1875" s="467"/>
    </row>
    <row r="1876" spans="1:18" s="438" customFormat="1" outlineLevel="1">
      <c r="A1876" s="570"/>
      <c r="B1876" s="588"/>
      <c r="C1876" s="590"/>
      <c r="D1876" s="566"/>
      <c r="E1876" s="596"/>
      <c r="F1876" s="566"/>
      <c r="G1876" s="593"/>
      <c r="H1876" s="566"/>
      <c r="I1876" s="566"/>
      <c r="J1876" s="566"/>
      <c r="K1876" s="466"/>
      <c r="L1876" s="459"/>
      <c r="M1876" s="460"/>
      <c r="N1876" s="459"/>
      <c r="O1876" s="261"/>
      <c r="P1876" s="566"/>
      <c r="Q1876" s="566"/>
      <c r="R1876" s="467"/>
    </row>
    <row r="1877" spans="1:18" s="438" customFormat="1" outlineLevel="1">
      <c r="A1877" s="568"/>
      <c r="B1877" s="587"/>
      <c r="C1877" s="595"/>
      <c r="D1877" s="565"/>
      <c r="E1877" s="596"/>
      <c r="F1877" s="565"/>
      <c r="G1877" s="597"/>
      <c r="H1877" s="594"/>
      <c r="I1877" s="594"/>
      <c r="J1877" s="594"/>
      <c r="K1877" s="458"/>
      <c r="L1877" s="459"/>
      <c r="M1877" s="460"/>
      <c r="N1877" s="459"/>
      <c r="O1877" s="261"/>
      <c r="P1877" s="594"/>
      <c r="Q1877" s="594"/>
      <c r="R1877" s="467"/>
    </row>
    <row r="1878" spans="1:18" s="438" customFormat="1" outlineLevel="1">
      <c r="A1878" s="569"/>
      <c r="B1878" s="587"/>
      <c r="C1878" s="589"/>
      <c r="D1878" s="565"/>
      <c r="E1878" s="596"/>
      <c r="F1878" s="565"/>
      <c r="G1878" s="592"/>
      <c r="H1878" s="565"/>
      <c r="I1878" s="565"/>
      <c r="J1878" s="565"/>
      <c r="K1878" s="466"/>
      <c r="L1878" s="459"/>
      <c r="M1878" s="460"/>
      <c r="N1878" s="459"/>
      <c r="O1878" s="261"/>
      <c r="P1878" s="565"/>
      <c r="Q1878" s="565"/>
      <c r="R1878" s="467"/>
    </row>
    <row r="1879" spans="1:18" s="438" customFormat="1" outlineLevel="1">
      <c r="A1879" s="569"/>
      <c r="B1879" s="587"/>
      <c r="C1879" s="589"/>
      <c r="D1879" s="565"/>
      <c r="E1879" s="596"/>
      <c r="F1879" s="565"/>
      <c r="G1879" s="592"/>
      <c r="H1879" s="565"/>
      <c r="I1879" s="565"/>
      <c r="J1879" s="565"/>
      <c r="K1879" s="466"/>
      <c r="L1879" s="459"/>
      <c r="M1879" s="460"/>
      <c r="N1879" s="459"/>
      <c r="O1879" s="261"/>
      <c r="P1879" s="565"/>
      <c r="Q1879" s="565"/>
      <c r="R1879" s="467"/>
    </row>
    <row r="1880" spans="1:18" s="438" customFormat="1" outlineLevel="1">
      <c r="A1880" s="569"/>
      <c r="B1880" s="587"/>
      <c r="C1880" s="589"/>
      <c r="D1880" s="565"/>
      <c r="E1880" s="596"/>
      <c r="F1880" s="565"/>
      <c r="G1880" s="592"/>
      <c r="H1880" s="565"/>
      <c r="I1880" s="565"/>
      <c r="J1880" s="565"/>
      <c r="K1880" s="466"/>
      <c r="L1880" s="459"/>
      <c r="M1880" s="460"/>
      <c r="N1880" s="459"/>
      <c r="O1880" s="261"/>
      <c r="P1880" s="565"/>
      <c r="Q1880" s="565"/>
      <c r="R1880" s="467"/>
    </row>
    <row r="1881" spans="1:18" s="438" customFormat="1" outlineLevel="1">
      <c r="A1881" s="569"/>
      <c r="B1881" s="587"/>
      <c r="C1881" s="589"/>
      <c r="D1881" s="565"/>
      <c r="E1881" s="596"/>
      <c r="F1881" s="565"/>
      <c r="G1881" s="592"/>
      <c r="H1881" s="565"/>
      <c r="I1881" s="565"/>
      <c r="J1881" s="565"/>
      <c r="K1881" s="466"/>
      <c r="L1881" s="459"/>
      <c r="M1881" s="460"/>
      <c r="N1881" s="459"/>
      <c r="O1881" s="261"/>
      <c r="P1881" s="565"/>
      <c r="Q1881" s="565"/>
      <c r="R1881" s="467"/>
    </row>
    <row r="1882" spans="1:18" s="438" customFormat="1" outlineLevel="1">
      <c r="A1882" s="569"/>
      <c r="B1882" s="587"/>
      <c r="C1882" s="589"/>
      <c r="D1882" s="565"/>
      <c r="E1882" s="596"/>
      <c r="F1882" s="565"/>
      <c r="G1882" s="592"/>
      <c r="H1882" s="565"/>
      <c r="I1882" s="565"/>
      <c r="J1882" s="565"/>
      <c r="K1882" s="466"/>
      <c r="L1882" s="459"/>
      <c r="M1882" s="460"/>
      <c r="N1882" s="459"/>
      <c r="O1882" s="261"/>
      <c r="P1882" s="565"/>
      <c r="Q1882" s="565"/>
      <c r="R1882" s="467"/>
    </row>
    <row r="1883" spans="1:18" s="438" customFormat="1" outlineLevel="1">
      <c r="A1883" s="569"/>
      <c r="B1883" s="587"/>
      <c r="C1883" s="589"/>
      <c r="D1883" s="565"/>
      <c r="E1883" s="596"/>
      <c r="F1883" s="565"/>
      <c r="G1883" s="592"/>
      <c r="H1883" s="565"/>
      <c r="I1883" s="565"/>
      <c r="J1883" s="565"/>
      <c r="K1883" s="466"/>
      <c r="L1883" s="459"/>
      <c r="M1883" s="460"/>
      <c r="N1883" s="459"/>
      <c r="O1883" s="261"/>
      <c r="P1883" s="565"/>
      <c r="Q1883" s="565"/>
      <c r="R1883" s="467"/>
    </row>
    <row r="1884" spans="1:18" s="438" customFormat="1" outlineLevel="1">
      <c r="A1884" s="569"/>
      <c r="B1884" s="587"/>
      <c r="C1884" s="589"/>
      <c r="D1884" s="565"/>
      <c r="E1884" s="596"/>
      <c r="F1884" s="565"/>
      <c r="G1884" s="592"/>
      <c r="H1884" s="565"/>
      <c r="I1884" s="565"/>
      <c r="J1884" s="565"/>
      <c r="K1884" s="466"/>
      <c r="L1884" s="459"/>
      <c r="M1884" s="460"/>
      <c r="N1884" s="459"/>
      <c r="O1884" s="261"/>
      <c r="P1884" s="565"/>
      <c r="Q1884" s="565"/>
      <c r="R1884" s="467"/>
    </row>
    <row r="1885" spans="1:18" s="438" customFormat="1" outlineLevel="1">
      <c r="A1885" s="569"/>
      <c r="B1885" s="587"/>
      <c r="C1885" s="589"/>
      <c r="D1885" s="565"/>
      <c r="E1885" s="596"/>
      <c r="F1885" s="565"/>
      <c r="G1885" s="592"/>
      <c r="H1885" s="565"/>
      <c r="I1885" s="565"/>
      <c r="J1885" s="565"/>
      <c r="K1885" s="466"/>
      <c r="L1885" s="459"/>
      <c r="M1885" s="460"/>
      <c r="N1885" s="459"/>
      <c r="O1885" s="261"/>
      <c r="P1885" s="565"/>
      <c r="Q1885" s="565"/>
      <c r="R1885" s="467"/>
    </row>
    <row r="1886" spans="1:18" s="438" customFormat="1" outlineLevel="1">
      <c r="A1886" s="569"/>
      <c r="B1886" s="587"/>
      <c r="C1886" s="589"/>
      <c r="D1886" s="565"/>
      <c r="E1886" s="596"/>
      <c r="F1886" s="565"/>
      <c r="G1886" s="592"/>
      <c r="H1886" s="565"/>
      <c r="I1886" s="565"/>
      <c r="J1886" s="565"/>
      <c r="K1886" s="466"/>
      <c r="L1886" s="459"/>
      <c r="M1886" s="460"/>
      <c r="N1886" s="459"/>
      <c r="O1886" s="261"/>
      <c r="P1886" s="565"/>
      <c r="Q1886" s="565"/>
      <c r="R1886" s="467"/>
    </row>
    <row r="1887" spans="1:18" s="438" customFormat="1" outlineLevel="1">
      <c r="A1887" s="569"/>
      <c r="B1887" s="587"/>
      <c r="C1887" s="589"/>
      <c r="D1887" s="565"/>
      <c r="E1887" s="596"/>
      <c r="F1887" s="565"/>
      <c r="G1887" s="592"/>
      <c r="H1887" s="565"/>
      <c r="I1887" s="565"/>
      <c r="J1887" s="565"/>
      <c r="K1887" s="466"/>
      <c r="L1887" s="459"/>
      <c r="M1887" s="460"/>
      <c r="N1887" s="459"/>
      <c r="O1887" s="261"/>
      <c r="P1887" s="565"/>
      <c r="Q1887" s="565"/>
      <c r="R1887" s="467"/>
    </row>
    <row r="1888" spans="1:18" s="438" customFormat="1" outlineLevel="1">
      <c r="A1888" s="569"/>
      <c r="B1888" s="587"/>
      <c r="C1888" s="589"/>
      <c r="D1888" s="565"/>
      <c r="E1888" s="596"/>
      <c r="F1888" s="565"/>
      <c r="G1888" s="592"/>
      <c r="H1888" s="565"/>
      <c r="I1888" s="565"/>
      <c r="J1888" s="565"/>
      <c r="K1888" s="466"/>
      <c r="L1888" s="459"/>
      <c r="M1888" s="460"/>
      <c r="N1888" s="459"/>
      <c r="O1888" s="261"/>
      <c r="P1888" s="565"/>
      <c r="Q1888" s="565"/>
      <c r="R1888" s="467"/>
    </row>
    <row r="1889" spans="1:18" s="438" customFormat="1" outlineLevel="1">
      <c r="A1889" s="569"/>
      <c r="B1889" s="587"/>
      <c r="C1889" s="589"/>
      <c r="D1889" s="565"/>
      <c r="E1889" s="596"/>
      <c r="F1889" s="565"/>
      <c r="G1889" s="592"/>
      <c r="H1889" s="565"/>
      <c r="I1889" s="565"/>
      <c r="J1889" s="565"/>
      <c r="K1889" s="466"/>
      <c r="L1889" s="459"/>
      <c r="M1889" s="460"/>
      <c r="N1889" s="459"/>
      <c r="O1889" s="261"/>
      <c r="P1889" s="565"/>
      <c r="Q1889" s="565"/>
      <c r="R1889" s="467"/>
    </row>
    <row r="1890" spans="1:18" s="438" customFormat="1" outlineLevel="1">
      <c r="A1890" s="569"/>
      <c r="B1890" s="587"/>
      <c r="C1890" s="589"/>
      <c r="D1890" s="565"/>
      <c r="E1890" s="596"/>
      <c r="F1890" s="565"/>
      <c r="G1890" s="592"/>
      <c r="H1890" s="565"/>
      <c r="I1890" s="565"/>
      <c r="J1890" s="565"/>
      <c r="K1890" s="466"/>
      <c r="L1890" s="459"/>
      <c r="M1890" s="460"/>
      <c r="N1890" s="459"/>
      <c r="O1890" s="261"/>
      <c r="P1890" s="565"/>
      <c r="Q1890" s="565"/>
      <c r="R1890" s="467"/>
    </row>
    <row r="1891" spans="1:18" s="438" customFormat="1" outlineLevel="1">
      <c r="A1891" s="569"/>
      <c r="B1891" s="587"/>
      <c r="C1891" s="589"/>
      <c r="D1891" s="565"/>
      <c r="E1891" s="596"/>
      <c r="F1891" s="565"/>
      <c r="G1891" s="592"/>
      <c r="H1891" s="565"/>
      <c r="I1891" s="565"/>
      <c r="J1891" s="565"/>
      <c r="K1891" s="466"/>
      <c r="L1891" s="459"/>
      <c r="M1891" s="460"/>
      <c r="N1891" s="459"/>
      <c r="O1891" s="261"/>
      <c r="P1891" s="565"/>
      <c r="Q1891" s="565"/>
      <c r="R1891" s="467"/>
    </row>
    <row r="1892" spans="1:18" s="438" customFormat="1" outlineLevel="1">
      <c r="A1892" s="570"/>
      <c r="B1892" s="588"/>
      <c r="C1892" s="590"/>
      <c r="D1892" s="566"/>
      <c r="E1892" s="596"/>
      <c r="F1892" s="566"/>
      <c r="G1892" s="593"/>
      <c r="H1892" s="566"/>
      <c r="I1892" s="566"/>
      <c r="J1892" s="566"/>
      <c r="K1892" s="466"/>
      <c r="L1892" s="459"/>
      <c r="M1892" s="460"/>
      <c r="N1892" s="459"/>
      <c r="O1892" s="261"/>
      <c r="P1892" s="566"/>
      <c r="Q1892" s="566"/>
      <c r="R1892" s="467"/>
    </row>
    <row r="1893" spans="1:18" s="438" customFormat="1" outlineLevel="1">
      <c r="A1893" s="568"/>
      <c r="B1893" s="587"/>
      <c r="C1893" s="595"/>
      <c r="D1893" s="565"/>
      <c r="E1893" s="596"/>
      <c r="F1893" s="565"/>
      <c r="G1893" s="597"/>
      <c r="H1893" s="594"/>
      <c r="I1893" s="594"/>
      <c r="J1893" s="594"/>
      <c r="K1893" s="458"/>
      <c r="L1893" s="459"/>
      <c r="M1893" s="460"/>
      <c r="N1893" s="459"/>
      <c r="O1893" s="261"/>
      <c r="P1893" s="594"/>
      <c r="Q1893" s="594"/>
      <c r="R1893" s="467"/>
    </row>
    <row r="1894" spans="1:18" s="438" customFormat="1" outlineLevel="1">
      <c r="A1894" s="569"/>
      <c r="B1894" s="587"/>
      <c r="C1894" s="589"/>
      <c r="D1894" s="565"/>
      <c r="E1894" s="596"/>
      <c r="F1894" s="565"/>
      <c r="G1894" s="592"/>
      <c r="H1894" s="565"/>
      <c r="I1894" s="565"/>
      <c r="J1894" s="565"/>
      <c r="K1894" s="466"/>
      <c r="L1894" s="459"/>
      <c r="M1894" s="460"/>
      <c r="N1894" s="459"/>
      <c r="O1894" s="261"/>
      <c r="P1894" s="565"/>
      <c r="Q1894" s="565"/>
      <c r="R1894" s="467"/>
    </row>
    <row r="1895" spans="1:18" s="438" customFormat="1" outlineLevel="1">
      <c r="A1895" s="569"/>
      <c r="B1895" s="587"/>
      <c r="C1895" s="589"/>
      <c r="D1895" s="565"/>
      <c r="E1895" s="596"/>
      <c r="F1895" s="565"/>
      <c r="G1895" s="592"/>
      <c r="H1895" s="565"/>
      <c r="I1895" s="565"/>
      <c r="J1895" s="565"/>
      <c r="K1895" s="466"/>
      <c r="L1895" s="459"/>
      <c r="M1895" s="460"/>
      <c r="N1895" s="459"/>
      <c r="O1895" s="261"/>
      <c r="P1895" s="565"/>
      <c r="Q1895" s="565"/>
      <c r="R1895" s="467"/>
    </row>
    <row r="1896" spans="1:18" s="438" customFormat="1" outlineLevel="1">
      <c r="A1896" s="569"/>
      <c r="B1896" s="587"/>
      <c r="C1896" s="589"/>
      <c r="D1896" s="565"/>
      <c r="E1896" s="596"/>
      <c r="F1896" s="565"/>
      <c r="G1896" s="592"/>
      <c r="H1896" s="565"/>
      <c r="I1896" s="565"/>
      <c r="J1896" s="565"/>
      <c r="K1896" s="466"/>
      <c r="L1896" s="459"/>
      <c r="M1896" s="460"/>
      <c r="N1896" s="459"/>
      <c r="O1896" s="261"/>
      <c r="P1896" s="565"/>
      <c r="Q1896" s="565"/>
      <c r="R1896" s="467"/>
    </row>
    <row r="1897" spans="1:18" s="438" customFormat="1" outlineLevel="1">
      <c r="A1897" s="569"/>
      <c r="B1897" s="587"/>
      <c r="C1897" s="589"/>
      <c r="D1897" s="565"/>
      <c r="E1897" s="596"/>
      <c r="F1897" s="565"/>
      <c r="G1897" s="592"/>
      <c r="H1897" s="565"/>
      <c r="I1897" s="565"/>
      <c r="J1897" s="565"/>
      <c r="K1897" s="466"/>
      <c r="L1897" s="459"/>
      <c r="M1897" s="460"/>
      <c r="N1897" s="459"/>
      <c r="O1897" s="261"/>
      <c r="P1897" s="565"/>
      <c r="Q1897" s="565"/>
      <c r="R1897" s="467"/>
    </row>
    <row r="1898" spans="1:18" s="438" customFormat="1" outlineLevel="1">
      <c r="A1898" s="569"/>
      <c r="B1898" s="587"/>
      <c r="C1898" s="589"/>
      <c r="D1898" s="565"/>
      <c r="E1898" s="596"/>
      <c r="F1898" s="565"/>
      <c r="G1898" s="592"/>
      <c r="H1898" s="565"/>
      <c r="I1898" s="565"/>
      <c r="J1898" s="565"/>
      <c r="K1898" s="466"/>
      <c r="L1898" s="459"/>
      <c r="M1898" s="460"/>
      <c r="N1898" s="459"/>
      <c r="O1898" s="261"/>
      <c r="P1898" s="565"/>
      <c r="Q1898" s="565"/>
      <c r="R1898" s="467"/>
    </row>
    <row r="1899" spans="1:18" s="438" customFormat="1" outlineLevel="1">
      <c r="A1899" s="569"/>
      <c r="B1899" s="587"/>
      <c r="C1899" s="589"/>
      <c r="D1899" s="565"/>
      <c r="E1899" s="596"/>
      <c r="F1899" s="565"/>
      <c r="G1899" s="592"/>
      <c r="H1899" s="565"/>
      <c r="I1899" s="565"/>
      <c r="J1899" s="565"/>
      <c r="K1899" s="466"/>
      <c r="L1899" s="459"/>
      <c r="M1899" s="460"/>
      <c r="N1899" s="459"/>
      <c r="O1899" s="261"/>
      <c r="P1899" s="565"/>
      <c r="Q1899" s="565"/>
      <c r="R1899" s="467"/>
    </row>
    <row r="1900" spans="1:18" s="438" customFormat="1" outlineLevel="1">
      <c r="A1900" s="569"/>
      <c r="B1900" s="587"/>
      <c r="C1900" s="589"/>
      <c r="D1900" s="565"/>
      <c r="E1900" s="596"/>
      <c r="F1900" s="565"/>
      <c r="G1900" s="592"/>
      <c r="H1900" s="565"/>
      <c r="I1900" s="565"/>
      <c r="J1900" s="565"/>
      <c r="K1900" s="466"/>
      <c r="L1900" s="459"/>
      <c r="M1900" s="460"/>
      <c r="N1900" s="459"/>
      <c r="O1900" s="261"/>
      <c r="P1900" s="565"/>
      <c r="Q1900" s="565"/>
      <c r="R1900" s="467"/>
    </row>
    <row r="1901" spans="1:18" s="438" customFormat="1" outlineLevel="1">
      <c r="A1901" s="569"/>
      <c r="B1901" s="587"/>
      <c r="C1901" s="589"/>
      <c r="D1901" s="565"/>
      <c r="E1901" s="596"/>
      <c r="F1901" s="565"/>
      <c r="G1901" s="592"/>
      <c r="H1901" s="565"/>
      <c r="I1901" s="565"/>
      <c r="J1901" s="565"/>
      <c r="K1901" s="466"/>
      <c r="L1901" s="459"/>
      <c r="M1901" s="460"/>
      <c r="N1901" s="459"/>
      <c r="O1901" s="261"/>
      <c r="P1901" s="565"/>
      <c r="Q1901" s="565"/>
      <c r="R1901" s="467"/>
    </row>
    <row r="1902" spans="1:18" s="438" customFormat="1" outlineLevel="1">
      <c r="A1902" s="569"/>
      <c r="B1902" s="587"/>
      <c r="C1902" s="589"/>
      <c r="D1902" s="565"/>
      <c r="E1902" s="596"/>
      <c r="F1902" s="565"/>
      <c r="G1902" s="592"/>
      <c r="H1902" s="565"/>
      <c r="I1902" s="565"/>
      <c r="J1902" s="565"/>
      <c r="K1902" s="466"/>
      <c r="L1902" s="459"/>
      <c r="M1902" s="460"/>
      <c r="N1902" s="459"/>
      <c r="O1902" s="261"/>
      <c r="P1902" s="565"/>
      <c r="Q1902" s="565"/>
      <c r="R1902" s="467"/>
    </row>
    <row r="1903" spans="1:18" s="438" customFormat="1" outlineLevel="1">
      <c r="A1903" s="569"/>
      <c r="B1903" s="587"/>
      <c r="C1903" s="589"/>
      <c r="D1903" s="565"/>
      <c r="E1903" s="596"/>
      <c r="F1903" s="565"/>
      <c r="G1903" s="592"/>
      <c r="H1903" s="565"/>
      <c r="I1903" s="565"/>
      <c r="J1903" s="565"/>
      <c r="K1903" s="466"/>
      <c r="L1903" s="459"/>
      <c r="M1903" s="460"/>
      <c r="N1903" s="459"/>
      <c r="O1903" s="261"/>
      <c r="P1903" s="565"/>
      <c r="Q1903" s="565"/>
      <c r="R1903" s="467"/>
    </row>
    <row r="1904" spans="1:18" s="438" customFormat="1" outlineLevel="1">
      <c r="A1904" s="569"/>
      <c r="B1904" s="587"/>
      <c r="C1904" s="589"/>
      <c r="D1904" s="565"/>
      <c r="E1904" s="596"/>
      <c r="F1904" s="565"/>
      <c r="G1904" s="592"/>
      <c r="H1904" s="565"/>
      <c r="I1904" s="565"/>
      <c r="J1904" s="565"/>
      <c r="K1904" s="466"/>
      <c r="L1904" s="459"/>
      <c r="M1904" s="460"/>
      <c r="N1904" s="459"/>
      <c r="O1904" s="261"/>
      <c r="P1904" s="565"/>
      <c r="Q1904" s="565"/>
      <c r="R1904" s="467"/>
    </row>
    <row r="1905" spans="1:18" s="438" customFormat="1" outlineLevel="1">
      <c r="A1905" s="569"/>
      <c r="B1905" s="587"/>
      <c r="C1905" s="589"/>
      <c r="D1905" s="565"/>
      <c r="E1905" s="596"/>
      <c r="F1905" s="565"/>
      <c r="G1905" s="592"/>
      <c r="H1905" s="565"/>
      <c r="I1905" s="565"/>
      <c r="J1905" s="565"/>
      <c r="K1905" s="466"/>
      <c r="L1905" s="459"/>
      <c r="M1905" s="460"/>
      <c r="N1905" s="459"/>
      <c r="O1905" s="261"/>
      <c r="P1905" s="565"/>
      <c r="Q1905" s="565"/>
      <c r="R1905" s="467"/>
    </row>
    <row r="1906" spans="1:18" s="438" customFormat="1" outlineLevel="1">
      <c r="A1906" s="569"/>
      <c r="B1906" s="587"/>
      <c r="C1906" s="589"/>
      <c r="D1906" s="565"/>
      <c r="E1906" s="596"/>
      <c r="F1906" s="565"/>
      <c r="G1906" s="592"/>
      <c r="H1906" s="565"/>
      <c r="I1906" s="565"/>
      <c r="J1906" s="565"/>
      <c r="K1906" s="466"/>
      <c r="L1906" s="459"/>
      <c r="M1906" s="460"/>
      <c r="N1906" s="459"/>
      <c r="O1906" s="261"/>
      <c r="P1906" s="565"/>
      <c r="Q1906" s="565"/>
      <c r="R1906" s="467"/>
    </row>
    <row r="1907" spans="1:18" s="438" customFormat="1" outlineLevel="1">
      <c r="A1907" s="569"/>
      <c r="B1907" s="587"/>
      <c r="C1907" s="589"/>
      <c r="D1907" s="565"/>
      <c r="E1907" s="596"/>
      <c r="F1907" s="565"/>
      <c r="G1907" s="592"/>
      <c r="H1907" s="565"/>
      <c r="I1907" s="565"/>
      <c r="J1907" s="565"/>
      <c r="K1907" s="466"/>
      <c r="L1907" s="459"/>
      <c r="M1907" s="460"/>
      <c r="N1907" s="459"/>
      <c r="O1907" s="261"/>
      <c r="P1907" s="565"/>
      <c r="Q1907" s="565"/>
      <c r="R1907" s="467"/>
    </row>
    <row r="1908" spans="1:18" s="438" customFormat="1" outlineLevel="1">
      <c r="A1908" s="570"/>
      <c r="B1908" s="588"/>
      <c r="C1908" s="590"/>
      <c r="D1908" s="566"/>
      <c r="E1908" s="596"/>
      <c r="F1908" s="566"/>
      <c r="G1908" s="593"/>
      <c r="H1908" s="566"/>
      <c r="I1908" s="566"/>
      <c r="J1908" s="566"/>
      <c r="K1908" s="466"/>
      <c r="L1908" s="459"/>
      <c r="M1908" s="460"/>
      <c r="N1908" s="459"/>
      <c r="O1908" s="261"/>
      <c r="P1908" s="566"/>
      <c r="Q1908" s="566"/>
      <c r="R1908" s="467"/>
    </row>
    <row r="1909" spans="1:18" s="438" customFormat="1" outlineLevel="1">
      <c r="A1909" s="568"/>
      <c r="B1909" s="587"/>
      <c r="C1909" s="595"/>
      <c r="D1909" s="565"/>
      <c r="E1909" s="596"/>
      <c r="F1909" s="565"/>
      <c r="G1909" s="597"/>
      <c r="H1909" s="594"/>
      <c r="I1909" s="594"/>
      <c r="J1909" s="594"/>
      <c r="K1909" s="458"/>
      <c r="L1909" s="459"/>
      <c r="M1909" s="460"/>
      <c r="N1909" s="459"/>
      <c r="O1909" s="261"/>
      <c r="P1909" s="594"/>
      <c r="Q1909" s="594"/>
      <c r="R1909" s="467"/>
    </row>
    <row r="1910" spans="1:18" s="438" customFormat="1" outlineLevel="1">
      <c r="A1910" s="569"/>
      <c r="B1910" s="587"/>
      <c r="C1910" s="589"/>
      <c r="D1910" s="565"/>
      <c r="E1910" s="596"/>
      <c r="F1910" s="565"/>
      <c r="G1910" s="592"/>
      <c r="H1910" s="565"/>
      <c r="I1910" s="565"/>
      <c r="J1910" s="565"/>
      <c r="K1910" s="466"/>
      <c r="L1910" s="459"/>
      <c r="M1910" s="460"/>
      <c r="N1910" s="459"/>
      <c r="O1910" s="261"/>
      <c r="P1910" s="565"/>
      <c r="Q1910" s="565"/>
      <c r="R1910" s="467"/>
    </row>
    <row r="1911" spans="1:18" s="438" customFormat="1" outlineLevel="1">
      <c r="A1911" s="569"/>
      <c r="B1911" s="587"/>
      <c r="C1911" s="589"/>
      <c r="D1911" s="565"/>
      <c r="E1911" s="596"/>
      <c r="F1911" s="565"/>
      <c r="G1911" s="592"/>
      <c r="H1911" s="565"/>
      <c r="I1911" s="565"/>
      <c r="J1911" s="565"/>
      <c r="K1911" s="466"/>
      <c r="L1911" s="459"/>
      <c r="M1911" s="460"/>
      <c r="N1911" s="459"/>
      <c r="O1911" s="261"/>
      <c r="P1911" s="565"/>
      <c r="Q1911" s="565"/>
      <c r="R1911" s="467"/>
    </row>
    <row r="1912" spans="1:18" s="438" customFormat="1" outlineLevel="1">
      <c r="A1912" s="569"/>
      <c r="B1912" s="587"/>
      <c r="C1912" s="589"/>
      <c r="D1912" s="565"/>
      <c r="E1912" s="596"/>
      <c r="F1912" s="565"/>
      <c r="G1912" s="592"/>
      <c r="H1912" s="565"/>
      <c r="I1912" s="565"/>
      <c r="J1912" s="565"/>
      <c r="K1912" s="466"/>
      <c r="L1912" s="459"/>
      <c r="M1912" s="460"/>
      <c r="N1912" s="459"/>
      <c r="O1912" s="261"/>
      <c r="P1912" s="565"/>
      <c r="Q1912" s="565"/>
      <c r="R1912" s="467"/>
    </row>
    <row r="1913" spans="1:18" s="438" customFormat="1" outlineLevel="1">
      <c r="A1913" s="569"/>
      <c r="B1913" s="587"/>
      <c r="C1913" s="589"/>
      <c r="D1913" s="565"/>
      <c r="E1913" s="596"/>
      <c r="F1913" s="565"/>
      <c r="G1913" s="592"/>
      <c r="H1913" s="565"/>
      <c r="I1913" s="565"/>
      <c r="J1913" s="565"/>
      <c r="K1913" s="466"/>
      <c r="L1913" s="459"/>
      <c r="M1913" s="460"/>
      <c r="N1913" s="459"/>
      <c r="O1913" s="261"/>
      <c r="P1913" s="565"/>
      <c r="Q1913" s="565"/>
      <c r="R1913" s="467"/>
    </row>
    <row r="1914" spans="1:18" s="438" customFormat="1" outlineLevel="1">
      <c r="A1914" s="569"/>
      <c r="B1914" s="587"/>
      <c r="C1914" s="589"/>
      <c r="D1914" s="565"/>
      <c r="E1914" s="596"/>
      <c r="F1914" s="565"/>
      <c r="G1914" s="592"/>
      <c r="H1914" s="565"/>
      <c r="I1914" s="565"/>
      <c r="J1914" s="565"/>
      <c r="K1914" s="466"/>
      <c r="L1914" s="459"/>
      <c r="M1914" s="460"/>
      <c r="N1914" s="459"/>
      <c r="O1914" s="261"/>
      <c r="P1914" s="565"/>
      <c r="Q1914" s="565"/>
      <c r="R1914" s="467"/>
    </row>
    <row r="1915" spans="1:18" s="438" customFormat="1" outlineLevel="1">
      <c r="A1915" s="569"/>
      <c r="B1915" s="587"/>
      <c r="C1915" s="589"/>
      <c r="D1915" s="565"/>
      <c r="E1915" s="596"/>
      <c r="F1915" s="565"/>
      <c r="G1915" s="592"/>
      <c r="H1915" s="565"/>
      <c r="I1915" s="565"/>
      <c r="J1915" s="565"/>
      <c r="K1915" s="466"/>
      <c r="L1915" s="459"/>
      <c r="M1915" s="460"/>
      <c r="N1915" s="459"/>
      <c r="O1915" s="261"/>
      <c r="P1915" s="565"/>
      <c r="Q1915" s="565"/>
      <c r="R1915" s="467"/>
    </row>
    <row r="1916" spans="1:18" s="438" customFormat="1" outlineLevel="1">
      <c r="A1916" s="569"/>
      <c r="B1916" s="587"/>
      <c r="C1916" s="589"/>
      <c r="D1916" s="565"/>
      <c r="E1916" s="596"/>
      <c r="F1916" s="565"/>
      <c r="G1916" s="592"/>
      <c r="H1916" s="565"/>
      <c r="I1916" s="565"/>
      <c r="J1916" s="565"/>
      <c r="K1916" s="466"/>
      <c r="L1916" s="459"/>
      <c r="M1916" s="460"/>
      <c r="N1916" s="459"/>
      <c r="O1916" s="261"/>
      <c r="P1916" s="565"/>
      <c r="Q1916" s="565"/>
      <c r="R1916" s="467"/>
    </row>
    <row r="1917" spans="1:18" s="438" customFormat="1" outlineLevel="1">
      <c r="A1917" s="569"/>
      <c r="B1917" s="587"/>
      <c r="C1917" s="589"/>
      <c r="D1917" s="565"/>
      <c r="E1917" s="596"/>
      <c r="F1917" s="565"/>
      <c r="G1917" s="592"/>
      <c r="H1917" s="565"/>
      <c r="I1917" s="565"/>
      <c r="J1917" s="565"/>
      <c r="K1917" s="466"/>
      <c r="L1917" s="459"/>
      <c r="M1917" s="460"/>
      <c r="N1917" s="459"/>
      <c r="O1917" s="261"/>
      <c r="P1917" s="565"/>
      <c r="Q1917" s="565"/>
      <c r="R1917" s="467"/>
    </row>
    <row r="1918" spans="1:18" s="438" customFormat="1" outlineLevel="1">
      <c r="A1918" s="569"/>
      <c r="B1918" s="587"/>
      <c r="C1918" s="589"/>
      <c r="D1918" s="565"/>
      <c r="E1918" s="596"/>
      <c r="F1918" s="565"/>
      <c r="G1918" s="592"/>
      <c r="H1918" s="565"/>
      <c r="I1918" s="565"/>
      <c r="J1918" s="565"/>
      <c r="K1918" s="466"/>
      <c r="L1918" s="459"/>
      <c r="M1918" s="460"/>
      <c r="N1918" s="459"/>
      <c r="O1918" s="261"/>
      <c r="P1918" s="565"/>
      <c r="Q1918" s="565"/>
      <c r="R1918" s="467"/>
    </row>
    <row r="1919" spans="1:18" s="438" customFormat="1" outlineLevel="1">
      <c r="A1919" s="569"/>
      <c r="B1919" s="587"/>
      <c r="C1919" s="589"/>
      <c r="D1919" s="565"/>
      <c r="E1919" s="596"/>
      <c r="F1919" s="565"/>
      <c r="G1919" s="592"/>
      <c r="H1919" s="565"/>
      <c r="I1919" s="565"/>
      <c r="J1919" s="565"/>
      <c r="K1919" s="466"/>
      <c r="L1919" s="459"/>
      <c r="M1919" s="460"/>
      <c r="N1919" s="459"/>
      <c r="O1919" s="261"/>
      <c r="P1919" s="565"/>
      <c r="Q1919" s="565"/>
      <c r="R1919" s="467"/>
    </row>
    <row r="1920" spans="1:18" s="438" customFormat="1" outlineLevel="1">
      <c r="A1920" s="569"/>
      <c r="B1920" s="587"/>
      <c r="C1920" s="589"/>
      <c r="D1920" s="565"/>
      <c r="E1920" s="596"/>
      <c r="F1920" s="565"/>
      <c r="G1920" s="592"/>
      <c r="H1920" s="565"/>
      <c r="I1920" s="565"/>
      <c r="J1920" s="565"/>
      <c r="K1920" s="466"/>
      <c r="L1920" s="459"/>
      <c r="M1920" s="460"/>
      <c r="N1920" s="459"/>
      <c r="O1920" s="261"/>
      <c r="P1920" s="565"/>
      <c r="Q1920" s="565"/>
      <c r="R1920" s="467"/>
    </row>
    <row r="1921" spans="1:18" s="438" customFormat="1" outlineLevel="1">
      <c r="A1921" s="569"/>
      <c r="B1921" s="587"/>
      <c r="C1921" s="589"/>
      <c r="D1921" s="565"/>
      <c r="E1921" s="596"/>
      <c r="F1921" s="565"/>
      <c r="G1921" s="592"/>
      <c r="H1921" s="565"/>
      <c r="I1921" s="565"/>
      <c r="J1921" s="565"/>
      <c r="K1921" s="466"/>
      <c r="L1921" s="459"/>
      <c r="M1921" s="460"/>
      <c r="N1921" s="459"/>
      <c r="O1921" s="261"/>
      <c r="P1921" s="565"/>
      <c r="Q1921" s="565"/>
      <c r="R1921" s="467"/>
    </row>
    <row r="1922" spans="1:18" s="438" customFormat="1" outlineLevel="1">
      <c r="A1922" s="569"/>
      <c r="B1922" s="587"/>
      <c r="C1922" s="589"/>
      <c r="D1922" s="565"/>
      <c r="E1922" s="596"/>
      <c r="F1922" s="565"/>
      <c r="G1922" s="592"/>
      <c r="H1922" s="565"/>
      <c r="I1922" s="565"/>
      <c r="J1922" s="565"/>
      <c r="K1922" s="466"/>
      <c r="L1922" s="459"/>
      <c r="M1922" s="460"/>
      <c r="N1922" s="459"/>
      <c r="O1922" s="261"/>
      <c r="P1922" s="565"/>
      <c r="Q1922" s="565"/>
      <c r="R1922" s="467"/>
    </row>
    <row r="1923" spans="1:18" s="438" customFormat="1" outlineLevel="1">
      <c r="A1923" s="569"/>
      <c r="B1923" s="587"/>
      <c r="C1923" s="589"/>
      <c r="D1923" s="565"/>
      <c r="E1923" s="596"/>
      <c r="F1923" s="565"/>
      <c r="G1923" s="592"/>
      <c r="H1923" s="565"/>
      <c r="I1923" s="565"/>
      <c r="J1923" s="565"/>
      <c r="K1923" s="466"/>
      <c r="L1923" s="459"/>
      <c r="M1923" s="460"/>
      <c r="N1923" s="459"/>
      <c r="O1923" s="261"/>
      <c r="P1923" s="565"/>
      <c r="Q1923" s="565"/>
      <c r="R1923" s="467"/>
    </row>
    <row r="1924" spans="1:18" s="438" customFormat="1" outlineLevel="1">
      <c r="A1924" s="570"/>
      <c r="B1924" s="588"/>
      <c r="C1924" s="590"/>
      <c r="D1924" s="566"/>
      <c r="E1924" s="596"/>
      <c r="F1924" s="566"/>
      <c r="G1924" s="593"/>
      <c r="H1924" s="566"/>
      <c r="I1924" s="566"/>
      <c r="J1924" s="566"/>
      <c r="K1924" s="466"/>
      <c r="L1924" s="459"/>
      <c r="M1924" s="460"/>
      <c r="N1924" s="459"/>
      <c r="O1924" s="261"/>
      <c r="P1924" s="566"/>
      <c r="Q1924" s="566"/>
      <c r="R1924" s="467"/>
    </row>
    <row r="1925" spans="1:18" s="438" customFormat="1" outlineLevel="1">
      <c r="A1925" s="568"/>
      <c r="B1925" s="587"/>
      <c r="C1925" s="595"/>
      <c r="D1925" s="565"/>
      <c r="E1925" s="596"/>
      <c r="F1925" s="565"/>
      <c r="G1925" s="597"/>
      <c r="H1925" s="594"/>
      <c r="I1925" s="594"/>
      <c r="J1925" s="594"/>
      <c r="K1925" s="458"/>
      <c r="L1925" s="459"/>
      <c r="M1925" s="460"/>
      <c r="N1925" s="459"/>
      <c r="O1925" s="261"/>
      <c r="P1925" s="594"/>
      <c r="Q1925" s="594"/>
      <c r="R1925" s="467"/>
    </row>
    <row r="1926" spans="1:18" s="438" customFormat="1" outlineLevel="1">
      <c r="A1926" s="569"/>
      <c r="B1926" s="587"/>
      <c r="C1926" s="589"/>
      <c r="D1926" s="565"/>
      <c r="E1926" s="596"/>
      <c r="F1926" s="565"/>
      <c r="G1926" s="592"/>
      <c r="H1926" s="565"/>
      <c r="I1926" s="565"/>
      <c r="J1926" s="565"/>
      <c r="K1926" s="466"/>
      <c r="L1926" s="459"/>
      <c r="M1926" s="460"/>
      <c r="N1926" s="459"/>
      <c r="O1926" s="261"/>
      <c r="P1926" s="565"/>
      <c r="Q1926" s="565"/>
      <c r="R1926" s="467"/>
    </row>
    <row r="1927" spans="1:18" s="438" customFormat="1" outlineLevel="1">
      <c r="A1927" s="569"/>
      <c r="B1927" s="587"/>
      <c r="C1927" s="589"/>
      <c r="D1927" s="565"/>
      <c r="E1927" s="596"/>
      <c r="F1927" s="565"/>
      <c r="G1927" s="592"/>
      <c r="H1927" s="565"/>
      <c r="I1927" s="565"/>
      <c r="J1927" s="565"/>
      <c r="K1927" s="466"/>
      <c r="L1927" s="459"/>
      <c r="M1927" s="460"/>
      <c r="N1927" s="459"/>
      <c r="O1927" s="261"/>
      <c r="P1927" s="565"/>
      <c r="Q1927" s="565"/>
      <c r="R1927" s="467"/>
    </row>
    <row r="1928" spans="1:18" s="438" customFormat="1" outlineLevel="1">
      <c r="A1928" s="569"/>
      <c r="B1928" s="587"/>
      <c r="C1928" s="589"/>
      <c r="D1928" s="565"/>
      <c r="E1928" s="596"/>
      <c r="F1928" s="565"/>
      <c r="G1928" s="592"/>
      <c r="H1928" s="565"/>
      <c r="I1928" s="565"/>
      <c r="J1928" s="565"/>
      <c r="K1928" s="466"/>
      <c r="L1928" s="459"/>
      <c r="M1928" s="460"/>
      <c r="N1928" s="459"/>
      <c r="O1928" s="261"/>
      <c r="P1928" s="565"/>
      <c r="Q1928" s="565"/>
      <c r="R1928" s="467"/>
    </row>
    <row r="1929" spans="1:18" s="438" customFormat="1" outlineLevel="1">
      <c r="A1929" s="569"/>
      <c r="B1929" s="587"/>
      <c r="C1929" s="589"/>
      <c r="D1929" s="565"/>
      <c r="E1929" s="596"/>
      <c r="F1929" s="565"/>
      <c r="G1929" s="592"/>
      <c r="H1929" s="565"/>
      <c r="I1929" s="565"/>
      <c r="J1929" s="565"/>
      <c r="K1929" s="466"/>
      <c r="L1929" s="459"/>
      <c r="M1929" s="460"/>
      <c r="N1929" s="459"/>
      <c r="O1929" s="261"/>
      <c r="P1929" s="565"/>
      <c r="Q1929" s="565"/>
      <c r="R1929" s="467"/>
    </row>
    <row r="1930" spans="1:18" s="438" customFormat="1" outlineLevel="1">
      <c r="A1930" s="569"/>
      <c r="B1930" s="587"/>
      <c r="C1930" s="589"/>
      <c r="D1930" s="565"/>
      <c r="E1930" s="596"/>
      <c r="F1930" s="565"/>
      <c r="G1930" s="592"/>
      <c r="H1930" s="565"/>
      <c r="I1930" s="565"/>
      <c r="J1930" s="565"/>
      <c r="K1930" s="466"/>
      <c r="L1930" s="459"/>
      <c r="M1930" s="460"/>
      <c r="N1930" s="459"/>
      <c r="O1930" s="261"/>
      <c r="P1930" s="565"/>
      <c r="Q1930" s="565"/>
      <c r="R1930" s="467"/>
    </row>
    <row r="1931" spans="1:18" s="438" customFormat="1" outlineLevel="1">
      <c r="A1931" s="569"/>
      <c r="B1931" s="587"/>
      <c r="C1931" s="589"/>
      <c r="D1931" s="565"/>
      <c r="E1931" s="596"/>
      <c r="F1931" s="565"/>
      <c r="G1931" s="592"/>
      <c r="H1931" s="565"/>
      <c r="I1931" s="565"/>
      <c r="J1931" s="565"/>
      <c r="K1931" s="466"/>
      <c r="L1931" s="459"/>
      <c r="M1931" s="460"/>
      <c r="N1931" s="459"/>
      <c r="O1931" s="261"/>
      <c r="P1931" s="565"/>
      <c r="Q1931" s="565"/>
      <c r="R1931" s="467"/>
    </row>
    <row r="1932" spans="1:18" s="438" customFormat="1" outlineLevel="1">
      <c r="A1932" s="569"/>
      <c r="B1932" s="587"/>
      <c r="C1932" s="589"/>
      <c r="D1932" s="565"/>
      <c r="E1932" s="596"/>
      <c r="F1932" s="565"/>
      <c r="G1932" s="592"/>
      <c r="H1932" s="565"/>
      <c r="I1932" s="565"/>
      <c r="J1932" s="565"/>
      <c r="K1932" s="466"/>
      <c r="L1932" s="459"/>
      <c r="M1932" s="460"/>
      <c r="N1932" s="459"/>
      <c r="O1932" s="261"/>
      <c r="P1932" s="565"/>
      <c r="Q1932" s="565"/>
      <c r="R1932" s="467"/>
    </row>
    <row r="1933" spans="1:18" s="438" customFormat="1" outlineLevel="1">
      <c r="A1933" s="569"/>
      <c r="B1933" s="587"/>
      <c r="C1933" s="589"/>
      <c r="D1933" s="565"/>
      <c r="E1933" s="596"/>
      <c r="F1933" s="565"/>
      <c r="G1933" s="592"/>
      <c r="H1933" s="565"/>
      <c r="I1933" s="565"/>
      <c r="J1933" s="565"/>
      <c r="K1933" s="466"/>
      <c r="L1933" s="459"/>
      <c r="M1933" s="460"/>
      <c r="N1933" s="459"/>
      <c r="O1933" s="261"/>
      <c r="P1933" s="565"/>
      <c r="Q1933" s="565"/>
      <c r="R1933" s="467"/>
    </row>
    <row r="1934" spans="1:18" s="438" customFormat="1" outlineLevel="1">
      <c r="A1934" s="569"/>
      <c r="B1934" s="587"/>
      <c r="C1934" s="589"/>
      <c r="D1934" s="565"/>
      <c r="E1934" s="596"/>
      <c r="F1934" s="565"/>
      <c r="G1934" s="592"/>
      <c r="H1934" s="565"/>
      <c r="I1934" s="565"/>
      <c r="J1934" s="565"/>
      <c r="K1934" s="466"/>
      <c r="L1934" s="459"/>
      <c r="M1934" s="460"/>
      <c r="N1934" s="459"/>
      <c r="O1934" s="261"/>
      <c r="P1934" s="565"/>
      <c r="Q1934" s="565"/>
      <c r="R1934" s="467"/>
    </row>
    <row r="1935" spans="1:18" s="438" customFormat="1" outlineLevel="1">
      <c r="A1935" s="569"/>
      <c r="B1935" s="587"/>
      <c r="C1935" s="589"/>
      <c r="D1935" s="565"/>
      <c r="E1935" s="596"/>
      <c r="F1935" s="565"/>
      <c r="G1935" s="592"/>
      <c r="H1935" s="565"/>
      <c r="I1935" s="565"/>
      <c r="J1935" s="565"/>
      <c r="K1935" s="466"/>
      <c r="L1935" s="459"/>
      <c r="M1935" s="460"/>
      <c r="N1935" s="459"/>
      <c r="O1935" s="261"/>
      <c r="P1935" s="565"/>
      <c r="Q1935" s="565"/>
      <c r="R1935" s="467"/>
    </row>
    <row r="1936" spans="1:18" s="438" customFormat="1" outlineLevel="1">
      <c r="A1936" s="569"/>
      <c r="B1936" s="587"/>
      <c r="C1936" s="589"/>
      <c r="D1936" s="565"/>
      <c r="E1936" s="596"/>
      <c r="F1936" s="565"/>
      <c r="G1936" s="592"/>
      <c r="H1936" s="565"/>
      <c r="I1936" s="565"/>
      <c r="J1936" s="565"/>
      <c r="K1936" s="466"/>
      <c r="L1936" s="459"/>
      <c r="M1936" s="460"/>
      <c r="N1936" s="459"/>
      <c r="O1936" s="261"/>
      <c r="P1936" s="565"/>
      <c r="Q1936" s="565"/>
      <c r="R1936" s="467"/>
    </row>
    <row r="1937" spans="1:18" s="438" customFormat="1" outlineLevel="1">
      <c r="A1937" s="569"/>
      <c r="B1937" s="587"/>
      <c r="C1937" s="589"/>
      <c r="D1937" s="565"/>
      <c r="E1937" s="596"/>
      <c r="F1937" s="565"/>
      <c r="G1937" s="592"/>
      <c r="H1937" s="565"/>
      <c r="I1937" s="565"/>
      <c r="J1937" s="565"/>
      <c r="K1937" s="466"/>
      <c r="L1937" s="459"/>
      <c r="M1937" s="460"/>
      <c r="N1937" s="459"/>
      <c r="O1937" s="261"/>
      <c r="P1937" s="565"/>
      <c r="Q1937" s="565"/>
      <c r="R1937" s="467"/>
    </row>
    <row r="1938" spans="1:18" s="438" customFormat="1" outlineLevel="1">
      <c r="A1938" s="569"/>
      <c r="B1938" s="587"/>
      <c r="C1938" s="589"/>
      <c r="D1938" s="565"/>
      <c r="E1938" s="596"/>
      <c r="F1938" s="565"/>
      <c r="G1938" s="592"/>
      <c r="H1938" s="565"/>
      <c r="I1938" s="565"/>
      <c r="J1938" s="565"/>
      <c r="K1938" s="466"/>
      <c r="L1938" s="459"/>
      <c r="M1938" s="460"/>
      <c r="N1938" s="459"/>
      <c r="O1938" s="261"/>
      <c r="P1938" s="565"/>
      <c r="Q1938" s="565"/>
      <c r="R1938" s="467"/>
    </row>
    <row r="1939" spans="1:18" s="438" customFormat="1" outlineLevel="1">
      <c r="A1939" s="569"/>
      <c r="B1939" s="587"/>
      <c r="C1939" s="589"/>
      <c r="D1939" s="565"/>
      <c r="E1939" s="596"/>
      <c r="F1939" s="565"/>
      <c r="G1939" s="592"/>
      <c r="H1939" s="565"/>
      <c r="I1939" s="565"/>
      <c r="J1939" s="565"/>
      <c r="K1939" s="466"/>
      <c r="L1939" s="459"/>
      <c r="M1939" s="460"/>
      <c r="N1939" s="459"/>
      <c r="O1939" s="261"/>
      <c r="P1939" s="565"/>
      <c r="Q1939" s="565"/>
      <c r="R1939" s="467"/>
    </row>
    <row r="1940" spans="1:18" s="438" customFormat="1" outlineLevel="1">
      <c r="A1940" s="570"/>
      <c r="B1940" s="588"/>
      <c r="C1940" s="590"/>
      <c r="D1940" s="566"/>
      <c r="E1940" s="596"/>
      <c r="F1940" s="566"/>
      <c r="G1940" s="593"/>
      <c r="H1940" s="566"/>
      <c r="I1940" s="566"/>
      <c r="J1940" s="566"/>
      <c r="K1940" s="466"/>
      <c r="L1940" s="459"/>
      <c r="M1940" s="460"/>
      <c r="N1940" s="459"/>
      <c r="O1940" s="261"/>
      <c r="P1940" s="566"/>
      <c r="Q1940" s="566"/>
      <c r="R1940" s="467"/>
    </row>
    <row r="1941" spans="1:18" s="438" customFormat="1" outlineLevel="1">
      <c r="A1941" s="568"/>
      <c r="B1941" s="587"/>
      <c r="C1941" s="595"/>
      <c r="D1941" s="565"/>
      <c r="E1941" s="596"/>
      <c r="F1941" s="565"/>
      <c r="G1941" s="597"/>
      <c r="H1941" s="594"/>
      <c r="I1941" s="594"/>
      <c r="J1941" s="594"/>
      <c r="K1941" s="458"/>
      <c r="L1941" s="459"/>
      <c r="M1941" s="460"/>
      <c r="N1941" s="459"/>
      <c r="O1941" s="261"/>
      <c r="P1941" s="594"/>
      <c r="Q1941" s="594"/>
      <c r="R1941" s="467"/>
    </row>
    <row r="1942" spans="1:18" s="438" customFormat="1" outlineLevel="1">
      <c r="A1942" s="569"/>
      <c r="B1942" s="587"/>
      <c r="C1942" s="589"/>
      <c r="D1942" s="565"/>
      <c r="E1942" s="596"/>
      <c r="F1942" s="565"/>
      <c r="G1942" s="592"/>
      <c r="H1942" s="565"/>
      <c r="I1942" s="565"/>
      <c r="J1942" s="565"/>
      <c r="K1942" s="466"/>
      <c r="L1942" s="459"/>
      <c r="M1942" s="460"/>
      <c r="N1942" s="459"/>
      <c r="O1942" s="261"/>
      <c r="P1942" s="565"/>
      <c r="Q1942" s="565"/>
      <c r="R1942" s="467"/>
    </row>
    <row r="1943" spans="1:18" s="438" customFormat="1" outlineLevel="1">
      <c r="A1943" s="569"/>
      <c r="B1943" s="587"/>
      <c r="C1943" s="589"/>
      <c r="D1943" s="565"/>
      <c r="E1943" s="596"/>
      <c r="F1943" s="565"/>
      <c r="G1943" s="592"/>
      <c r="H1943" s="565"/>
      <c r="I1943" s="565"/>
      <c r="J1943" s="565"/>
      <c r="K1943" s="466"/>
      <c r="L1943" s="459"/>
      <c r="M1943" s="460"/>
      <c r="N1943" s="459"/>
      <c r="O1943" s="261"/>
      <c r="P1943" s="565"/>
      <c r="Q1943" s="565"/>
      <c r="R1943" s="467"/>
    </row>
    <row r="1944" spans="1:18" s="438" customFormat="1" outlineLevel="1">
      <c r="A1944" s="569"/>
      <c r="B1944" s="587"/>
      <c r="C1944" s="589"/>
      <c r="D1944" s="565"/>
      <c r="E1944" s="596"/>
      <c r="F1944" s="565"/>
      <c r="G1944" s="592"/>
      <c r="H1944" s="565"/>
      <c r="I1944" s="565"/>
      <c r="J1944" s="565"/>
      <c r="K1944" s="466"/>
      <c r="L1944" s="459"/>
      <c r="M1944" s="460"/>
      <c r="N1944" s="459"/>
      <c r="O1944" s="261"/>
      <c r="P1944" s="565"/>
      <c r="Q1944" s="565"/>
      <c r="R1944" s="467"/>
    </row>
    <row r="1945" spans="1:18" s="438" customFormat="1" outlineLevel="1">
      <c r="A1945" s="569"/>
      <c r="B1945" s="587"/>
      <c r="C1945" s="589"/>
      <c r="D1945" s="565"/>
      <c r="E1945" s="596"/>
      <c r="F1945" s="565"/>
      <c r="G1945" s="592"/>
      <c r="H1945" s="565"/>
      <c r="I1945" s="565"/>
      <c r="J1945" s="565"/>
      <c r="K1945" s="466"/>
      <c r="L1945" s="459"/>
      <c r="M1945" s="460"/>
      <c r="N1945" s="459"/>
      <c r="O1945" s="261"/>
      <c r="P1945" s="565"/>
      <c r="Q1945" s="565"/>
      <c r="R1945" s="467"/>
    </row>
    <row r="1946" spans="1:18" s="438" customFormat="1" outlineLevel="1">
      <c r="A1946" s="569"/>
      <c r="B1946" s="587"/>
      <c r="C1946" s="589"/>
      <c r="D1946" s="565"/>
      <c r="E1946" s="596"/>
      <c r="F1946" s="565"/>
      <c r="G1946" s="592"/>
      <c r="H1946" s="565"/>
      <c r="I1946" s="565"/>
      <c r="J1946" s="565"/>
      <c r="K1946" s="466"/>
      <c r="L1946" s="459"/>
      <c r="M1946" s="460"/>
      <c r="N1946" s="459"/>
      <c r="O1946" s="261"/>
      <c r="P1946" s="565"/>
      <c r="Q1946" s="565"/>
      <c r="R1946" s="467"/>
    </row>
    <row r="1947" spans="1:18" s="438" customFormat="1" outlineLevel="1">
      <c r="A1947" s="569"/>
      <c r="B1947" s="587"/>
      <c r="C1947" s="589"/>
      <c r="D1947" s="565"/>
      <c r="E1947" s="596"/>
      <c r="F1947" s="565"/>
      <c r="G1947" s="592"/>
      <c r="H1947" s="565"/>
      <c r="I1947" s="565"/>
      <c r="J1947" s="565"/>
      <c r="K1947" s="466"/>
      <c r="L1947" s="459"/>
      <c r="M1947" s="460"/>
      <c r="N1947" s="459"/>
      <c r="O1947" s="261"/>
      <c r="P1947" s="565"/>
      <c r="Q1947" s="565"/>
      <c r="R1947" s="467"/>
    </row>
    <row r="1948" spans="1:18" s="438" customFormat="1" outlineLevel="1">
      <c r="A1948" s="569"/>
      <c r="B1948" s="587"/>
      <c r="C1948" s="589"/>
      <c r="D1948" s="565"/>
      <c r="E1948" s="596"/>
      <c r="F1948" s="565"/>
      <c r="G1948" s="592"/>
      <c r="H1948" s="565"/>
      <c r="I1948" s="565"/>
      <c r="J1948" s="565"/>
      <c r="K1948" s="466"/>
      <c r="L1948" s="459"/>
      <c r="M1948" s="460"/>
      <c r="N1948" s="459"/>
      <c r="O1948" s="261"/>
      <c r="P1948" s="565"/>
      <c r="Q1948" s="565"/>
      <c r="R1948" s="467"/>
    </row>
    <row r="1949" spans="1:18" s="438" customFormat="1" outlineLevel="1">
      <c r="A1949" s="569"/>
      <c r="B1949" s="587"/>
      <c r="C1949" s="589"/>
      <c r="D1949" s="565"/>
      <c r="E1949" s="596"/>
      <c r="F1949" s="565"/>
      <c r="G1949" s="592"/>
      <c r="H1949" s="565"/>
      <c r="I1949" s="565"/>
      <c r="J1949" s="565"/>
      <c r="K1949" s="466"/>
      <c r="L1949" s="459"/>
      <c r="M1949" s="460"/>
      <c r="N1949" s="459"/>
      <c r="O1949" s="261"/>
      <c r="P1949" s="565"/>
      <c r="Q1949" s="565"/>
      <c r="R1949" s="467"/>
    </row>
    <row r="1950" spans="1:18" s="438" customFormat="1" outlineLevel="1">
      <c r="A1950" s="569"/>
      <c r="B1950" s="587"/>
      <c r="C1950" s="589"/>
      <c r="D1950" s="565"/>
      <c r="E1950" s="596"/>
      <c r="F1950" s="565"/>
      <c r="G1950" s="592"/>
      <c r="H1950" s="565"/>
      <c r="I1950" s="565"/>
      <c r="J1950" s="565"/>
      <c r="K1950" s="466"/>
      <c r="L1950" s="459"/>
      <c r="M1950" s="460"/>
      <c r="N1950" s="459"/>
      <c r="O1950" s="261"/>
      <c r="P1950" s="565"/>
      <c r="Q1950" s="565"/>
      <c r="R1950" s="467"/>
    </row>
    <row r="1951" spans="1:18" s="438" customFormat="1" outlineLevel="1">
      <c r="A1951" s="569"/>
      <c r="B1951" s="587"/>
      <c r="C1951" s="589"/>
      <c r="D1951" s="565"/>
      <c r="E1951" s="596"/>
      <c r="F1951" s="565"/>
      <c r="G1951" s="592"/>
      <c r="H1951" s="565"/>
      <c r="I1951" s="565"/>
      <c r="J1951" s="565"/>
      <c r="K1951" s="466"/>
      <c r="L1951" s="459"/>
      <c r="M1951" s="460"/>
      <c r="N1951" s="459"/>
      <c r="O1951" s="261"/>
      <c r="P1951" s="565"/>
      <c r="Q1951" s="565"/>
      <c r="R1951" s="467"/>
    </row>
    <row r="1952" spans="1:18" s="438" customFormat="1" outlineLevel="1">
      <c r="A1952" s="569"/>
      <c r="B1952" s="587"/>
      <c r="C1952" s="589"/>
      <c r="D1952" s="565"/>
      <c r="E1952" s="596"/>
      <c r="F1952" s="565"/>
      <c r="G1952" s="592"/>
      <c r="H1952" s="565"/>
      <c r="I1952" s="565"/>
      <c r="J1952" s="565"/>
      <c r="K1952" s="466"/>
      <c r="L1952" s="459"/>
      <c r="M1952" s="460"/>
      <c r="N1952" s="459"/>
      <c r="O1952" s="261"/>
      <c r="P1952" s="565"/>
      <c r="Q1952" s="565"/>
      <c r="R1952" s="467"/>
    </row>
    <row r="1953" spans="1:18" s="438" customFormat="1" outlineLevel="1">
      <c r="A1953" s="569"/>
      <c r="B1953" s="587"/>
      <c r="C1953" s="589"/>
      <c r="D1953" s="565"/>
      <c r="E1953" s="596"/>
      <c r="F1953" s="565"/>
      <c r="G1953" s="592"/>
      <c r="H1953" s="565"/>
      <c r="I1953" s="565"/>
      <c r="J1953" s="565"/>
      <c r="K1953" s="466"/>
      <c r="L1953" s="459"/>
      <c r="M1953" s="460"/>
      <c r="N1953" s="459"/>
      <c r="O1953" s="261"/>
      <c r="P1953" s="565"/>
      <c r="Q1953" s="565"/>
      <c r="R1953" s="467"/>
    </row>
    <row r="1954" spans="1:18" s="438" customFormat="1" outlineLevel="1">
      <c r="A1954" s="569"/>
      <c r="B1954" s="587"/>
      <c r="C1954" s="589"/>
      <c r="D1954" s="565"/>
      <c r="E1954" s="596"/>
      <c r="F1954" s="565"/>
      <c r="G1954" s="592"/>
      <c r="H1954" s="565"/>
      <c r="I1954" s="565"/>
      <c r="J1954" s="565"/>
      <c r="K1954" s="466"/>
      <c r="L1954" s="459"/>
      <c r="M1954" s="460"/>
      <c r="N1954" s="459"/>
      <c r="O1954" s="261"/>
      <c r="P1954" s="565"/>
      <c r="Q1954" s="565"/>
      <c r="R1954" s="467"/>
    </row>
    <row r="1955" spans="1:18" s="438" customFormat="1" outlineLevel="1">
      <c r="A1955" s="569"/>
      <c r="B1955" s="587"/>
      <c r="C1955" s="589"/>
      <c r="D1955" s="565"/>
      <c r="E1955" s="596"/>
      <c r="F1955" s="565"/>
      <c r="G1955" s="592"/>
      <c r="H1955" s="565"/>
      <c r="I1955" s="565"/>
      <c r="J1955" s="565"/>
      <c r="K1955" s="466"/>
      <c r="L1955" s="459"/>
      <c r="M1955" s="460"/>
      <c r="N1955" s="459"/>
      <c r="O1955" s="261"/>
      <c r="P1955" s="565"/>
      <c r="Q1955" s="565"/>
      <c r="R1955" s="467"/>
    </row>
    <row r="1956" spans="1:18" s="438" customFormat="1" outlineLevel="1">
      <c r="A1956" s="570"/>
      <c r="B1956" s="588"/>
      <c r="C1956" s="590"/>
      <c r="D1956" s="566"/>
      <c r="E1956" s="596"/>
      <c r="F1956" s="566"/>
      <c r="G1956" s="593"/>
      <c r="H1956" s="566"/>
      <c r="I1956" s="566"/>
      <c r="J1956" s="566"/>
      <c r="K1956" s="466"/>
      <c r="L1956" s="459"/>
      <c r="M1956" s="460"/>
      <c r="N1956" s="459"/>
      <c r="O1956" s="261"/>
      <c r="P1956" s="566"/>
      <c r="Q1956" s="566"/>
      <c r="R1956" s="467"/>
    </row>
    <row r="1957" spans="1:18" s="438" customFormat="1" outlineLevel="1">
      <c r="A1957" s="568"/>
      <c r="B1957" s="587"/>
      <c r="C1957" s="595"/>
      <c r="D1957" s="565"/>
      <c r="E1957" s="596"/>
      <c r="F1957" s="565"/>
      <c r="G1957" s="597"/>
      <c r="H1957" s="594"/>
      <c r="I1957" s="594"/>
      <c r="J1957" s="594"/>
      <c r="K1957" s="458"/>
      <c r="L1957" s="459"/>
      <c r="M1957" s="460"/>
      <c r="N1957" s="459"/>
      <c r="O1957" s="261"/>
      <c r="P1957" s="594"/>
      <c r="Q1957" s="594"/>
      <c r="R1957" s="467"/>
    </row>
    <row r="1958" spans="1:18" s="438" customFormat="1" outlineLevel="1">
      <c r="A1958" s="569"/>
      <c r="B1958" s="587"/>
      <c r="C1958" s="589"/>
      <c r="D1958" s="565"/>
      <c r="E1958" s="596"/>
      <c r="F1958" s="565"/>
      <c r="G1958" s="592"/>
      <c r="H1958" s="565"/>
      <c r="I1958" s="565"/>
      <c r="J1958" s="565"/>
      <c r="K1958" s="466"/>
      <c r="L1958" s="459"/>
      <c r="M1958" s="460"/>
      <c r="N1958" s="459"/>
      <c r="O1958" s="261"/>
      <c r="P1958" s="565"/>
      <c r="Q1958" s="565"/>
      <c r="R1958" s="467"/>
    </row>
    <row r="1959" spans="1:18" s="438" customFormat="1" outlineLevel="1">
      <c r="A1959" s="569"/>
      <c r="B1959" s="587"/>
      <c r="C1959" s="589"/>
      <c r="D1959" s="565"/>
      <c r="E1959" s="596"/>
      <c r="F1959" s="565"/>
      <c r="G1959" s="592"/>
      <c r="H1959" s="565"/>
      <c r="I1959" s="565"/>
      <c r="J1959" s="565"/>
      <c r="K1959" s="466"/>
      <c r="L1959" s="459"/>
      <c r="M1959" s="460"/>
      <c r="N1959" s="459"/>
      <c r="O1959" s="261"/>
      <c r="P1959" s="565"/>
      <c r="Q1959" s="565"/>
      <c r="R1959" s="467"/>
    </row>
    <row r="1960" spans="1:18" s="438" customFormat="1" outlineLevel="1">
      <c r="A1960" s="569"/>
      <c r="B1960" s="587"/>
      <c r="C1960" s="589"/>
      <c r="D1960" s="565"/>
      <c r="E1960" s="596"/>
      <c r="F1960" s="565"/>
      <c r="G1960" s="592"/>
      <c r="H1960" s="565"/>
      <c r="I1960" s="565"/>
      <c r="J1960" s="565"/>
      <c r="K1960" s="466"/>
      <c r="L1960" s="459"/>
      <c r="M1960" s="460"/>
      <c r="N1960" s="459"/>
      <c r="O1960" s="261"/>
      <c r="P1960" s="565"/>
      <c r="Q1960" s="565"/>
      <c r="R1960" s="467"/>
    </row>
    <row r="1961" spans="1:18" s="438" customFormat="1" outlineLevel="1">
      <c r="A1961" s="569"/>
      <c r="B1961" s="587"/>
      <c r="C1961" s="589"/>
      <c r="D1961" s="565"/>
      <c r="E1961" s="596"/>
      <c r="F1961" s="565"/>
      <c r="G1961" s="592"/>
      <c r="H1961" s="565"/>
      <c r="I1961" s="565"/>
      <c r="J1961" s="565"/>
      <c r="K1961" s="466"/>
      <c r="L1961" s="459"/>
      <c r="M1961" s="460"/>
      <c r="N1961" s="459"/>
      <c r="O1961" s="261"/>
      <c r="P1961" s="565"/>
      <c r="Q1961" s="565"/>
      <c r="R1961" s="467"/>
    </row>
    <row r="1962" spans="1:18" s="438" customFormat="1" outlineLevel="1">
      <c r="A1962" s="569"/>
      <c r="B1962" s="587"/>
      <c r="C1962" s="589"/>
      <c r="D1962" s="565"/>
      <c r="E1962" s="596"/>
      <c r="F1962" s="565"/>
      <c r="G1962" s="592"/>
      <c r="H1962" s="565"/>
      <c r="I1962" s="565"/>
      <c r="J1962" s="565"/>
      <c r="K1962" s="466"/>
      <c r="L1962" s="459"/>
      <c r="M1962" s="460"/>
      <c r="N1962" s="459"/>
      <c r="O1962" s="261"/>
      <c r="P1962" s="565"/>
      <c r="Q1962" s="565"/>
      <c r="R1962" s="467"/>
    </row>
    <row r="1963" spans="1:18" s="438" customFormat="1" outlineLevel="1">
      <c r="A1963" s="569"/>
      <c r="B1963" s="587"/>
      <c r="C1963" s="589"/>
      <c r="D1963" s="565"/>
      <c r="E1963" s="596"/>
      <c r="F1963" s="565"/>
      <c r="G1963" s="592"/>
      <c r="H1963" s="565"/>
      <c r="I1963" s="565"/>
      <c r="J1963" s="565"/>
      <c r="K1963" s="466"/>
      <c r="L1963" s="459"/>
      <c r="M1963" s="460"/>
      <c r="N1963" s="459"/>
      <c r="O1963" s="261"/>
      <c r="P1963" s="565"/>
      <c r="Q1963" s="565"/>
      <c r="R1963" s="467"/>
    </row>
    <row r="1964" spans="1:18" s="438" customFormat="1" outlineLevel="1">
      <c r="A1964" s="569"/>
      <c r="B1964" s="587"/>
      <c r="C1964" s="589"/>
      <c r="D1964" s="565"/>
      <c r="E1964" s="596"/>
      <c r="F1964" s="565"/>
      <c r="G1964" s="592"/>
      <c r="H1964" s="565"/>
      <c r="I1964" s="565"/>
      <c r="J1964" s="565"/>
      <c r="K1964" s="466"/>
      <c r="L1964" s="459"/>
      <c r="M1964" s="460"/>
      <c r="N1964" s="459"/>
      <c r="O1964" s="261"/>
      <c r="P1964" s="565"/>
      <c r="Q1964" s="565"/>
      <c r="R1964" s="467"/>
    </row>
    <row r="1965" spans="1:18" s="438" customFormat="1" outlineLevel="1">
      <c r="A1965" s="569"/>
      <c r="B1965" s="587"/>
      <c r="C1965" s="589"/>
      <c r="D1965" s="565"/>
      <c r="E1965" s="596"/>
      <c r="F1965" s="565"/>
      <c r="G1965" s="592"/>
      <c r="H1965" s="565"/>
      <c r="I1965" s="565"/>
      <c r="J1965" s="565"/>
      <c r="K1965" s="466"/>
      <c r="L1965" s="459"/>
      <c r="M1965" s="460"/>
      <c r="N1965" s="459"/>
      <c r="O1965" s="261"/>
      <c r="P1965" s="565"/>
      <c r="Q1965" s="565"/>
      <c r="R1965" s="467"/>
    </row>
    <row r="1966" spans="1:18" s="438" customFormat="1" outlineLevel="1">
      <c r="A1966" s="569"/>
      <c r="B1966" s="587"/>
      <c r="C1966" s="589"/>
      <c r="D1966" s="565"/>
      <c r="E1966" s="596"/>
      <c r="F1966" s="565"/>
      <c r="G1966" s="592"/>
      <c r="H1966" s="565"/>
      <c r="I1966" s="565"/>
      <c r="J1966" s="565"/>
      <c r="K1966" s="466"/>
      <c r="L1966" s="459"/>
      <c r="M1966" s="460"/>
      <c r="N1966" s="459"/>
      <c r="O1966" s="261"/>
      <c r="P1966" s="565"/>
      <c r="Q1966" s="565"/>
      <c r="R1966" s="467"/>
    </row>
    <row r="1967" spans="1:18" s="438" customFormat="1" outlineLevel="1">
      <c r="A1967" s="569"/>
      <c r="B1967" s="587"/>
      <c r="C1967" s="589"/>
      <c r="D1967" s="565"/>
      <c r="E1967" s="596"/>
      <c r="F1967" s="565"/>
      <c r="G1967" s="592"/>
      <c r="H1967" s="565"/>
      <c r="I1967" s="565"/>
      <c r="J1967" s="565"/>
      <c r="K1967" s="466"/>
      <c r="L1967" s="459"/>
      <c r="M1967" s="460"/>
      <c r="N1967" s="459"/>
      <c r="O1967" s="261"/>
      <c r="P1967" s="565"/>
      <c r="Q1967" s="565"/>
      <c r="R1967" s="467"/>
    </row>
    <row r="1968" spans="1:18" s="438" customFormat="1" outlineLevel="1">
      <c r="A1968" s="569"/>
      <c r="B1968" s="587"/>
      <c r="C1968" s="589"/>
      <c r="D1968" s="565"/>
      <c r="E1968" s="596"/>
      <c r="F1968" s="565"/>
      <c r="G1968" s="592"/>
      <c r="H1968" s="565"/>
      <c r="I1968" s="565"/>
      <c r="J1968" s="565"/>
      <c r="K1968" s="466"/>
      <c r="L1968" s="459"/>
      <c r="M1968" s="460"/>
      <c r="N1968" s="459"/>
      <c r="O1968" s="261"/>
      <c r="P1968" s="565"/>
      <c r="Q1968" s="565"/>
      <c r="R1968" s="467"/>
    </row>
    <row r="1969" spans="1:18" s="438" customFormat="1" outlineLevel="1">
      <c r="A1969" s="569"/>
      <c r="B1969" s="587"/>
      <c r="C1969" s="589"/>
      <c r="D1969" s="565"/>
      <c r="E1969" s="596"/>
      <c r="F1969" s="565"/>
      <c r="G1969" s="592"/>
      <c r="H1969" s="565"/>
      <c r="I1969" s="565"/>
      <c r="J1969" s="565"/>
      <c r="K1969" s="466"/>
      <c r="L1969" s="459"/>
      <c r="M1969" s="460"/>
      <c r="N1969" s="459"/>
      <c r="O1969" s="261"/>
      <c r="P1969" s="565"/>
      <c r="Q1969" s="565"/>
      <c r="R1969" s="467"/>
    </row>
    <row r="1970" spans="1:18" s="438" customFormat="1" outlineLevel="1">
      <c r="A1970" s="569"/>
      <c r="B1970" s="587"/>
      <c r="C1970" s="589"/>
      <c r="D1970" s="565"/>
      <c r="E1970" s="596"/>
      <c r="F1970" s="565"/>
      <c r="G1970" s="592"/>
      <c r="H1970" s="565"/>
      <c r="I1970" s="565"/>
      <c r="J1970" s="565"/>
      <c r="K1970" s="466"/>
      <c r="L1970" s="459"/>
      <c r="M1970" s="460"/>
      <c r="N1970" s="459"/>
      <c r="O1970" s="261"/>
      <c r="P1970" s="565"/>
      <c r="Q1970" s="565"/>
      <c r="R1970" s="467"/>
    </row>
    <row r="1971" spans="1:18" s="438" customFormat="1" outlineLevel="1">
      <c r="A1971" s="569"/>
      <c r="B1971" s="587"/>
      <c r="C1971" s="589"/>
      <c r="D1971" s="565"/>
      <c r="E1971" s="596"/>
      <c r="F1971" s="565"/>
      <c r="G1971" s="592"/>
      <c r="H1971" s="565"/>
      <c r="I1971" s="565"/>
      <c r="J1971" s="565"/>
      <c r="K1971" s="466"/>
      <c r="L1971" s="459"/>
      <c r="M1971" s="460"/>
      <c r="N1971" s="459"/>
      <c r="O1971" s="261"/>
      <c r="P1971" s="565"/>
      <c r="Q1971" s="565"/>
      <c r="R1971" s="467"/>
    </row>
    <row r="1972" spans="1:18" s="438" customFormat="1" outlineLevel="1">
      <c r="A1972" s="570"/>
      <c r="B1972" s="588"/>
      <c r="C1972" s="590"/>
      <c r="D1972" s="566"/>
      <c r="E1972" s="596"/>
      <c r="F1972" s="566"/>
      <c r="G1972" s="593"/>
      <c r="H1972" s="566"/>
      <c r="I1972" s="566"/>
      <c r="J1972" s="566"/>
      <c r="K1972" s="466"/>
      <c r="L1972" s="459"/>
      <c r="M1972" s="460"/>
      <c r="N1972" s="459"/>
      <c r="O1972" s="261"/>
      <c r="P1972" s="566"/>
      <c r="Q1972" s="566"/>
      <c r="R1972" s="467"/>
    </row>
    <row r="1973" spans="1:18" s="438" customFormat="1" outlineLevel="1">
      <c r="A1973" s="568"/>
      <c r="B1973" s="587"/>
      <c r="C1973" s="595"/>
      <c r="D1973" s="565"/>
      <c r="E1973" s="596"/>
      <c r="F1973" s="565"/>
      <c r="G1973" s="597"/>
      <c r="H1973" s="594"/>
      <c r="I1973" s="594"/>
      <c r="J1973" s="594"/>
      <c r="K1973" s="458"/>
      <c r="L1973" s="459"/>
      <c r="M1973" s="460"/>
      <c r="N1973" s="459"/>
      <c r="O1973" s="261"/>
      <c r="P1973" s="594"/>
      <c r="Q1973" s="594"/>
      <c r="R1973" s="467"/>
    </row>
    <row r="1974" spans="1:18" s="438" customFormat="1" outlineLevel="1">
      <c r="A1974" s="569"/>
      <c r="B1974" s="587"/>
      <c r="C1974" s="589"/>
      <c r="D1974" s="565"/>
      <c r="E1974" s="596"/>
      <c r="F1974" s="565"/>
      <c r="G1974" s="592"/>
      <c r="H1974" s="565"/>
      <c r="I1974" s="565"/>
      <c r="J1974" s="565"/>
      <c r="K1974" s="466"/>
      <c r="L1974" s="459"/>
      <c r="M1974" s="460"/>
      <c r="N1974" s="459"/>
      <c r="O1974" s="261"/>
      <c r="P1974" s="565"/>
      <c r="Q1974" s="565"/>
      <c r="R1974" s="467"/>
    </row>
    <row r="1975" spans="1:18" s="438" customFormat="1" outlineLevel="1">
      <c r="A1975" s="569"/>
      <c r="B1975" s="587"/>
      <c r="C1975" s="589"/>
      <c r="D1975" s="565"/>
      <c r="E1975" s="596"/>
      <c r="F1975" s="565"/>
      <c r="G1975" s="592"/>
      <c r="H1975" s="565"/>
      <c r="I1975" s="565"/>
      <c r="J1975" s="565"/>
      <c r="K1975" s="466"/>
      <c r="L1975" s="459"/>
      <c r="M1975" s="460"/>
      <c r="N1975" s="459"/>
      <c r="O1975" s="261"/>
      <c r="P1975" s="565"/>
      <c r="Q1975" s="565"/>
      <c r="R1975" s="467"/>
    </row>
    <row r="1976" spans="1:18" s="438" customFormat="1" outlineLevel="1">
      <c r="A1976" s="569"/>
      <c r="B1976" s="587"/>
      <c r="C1976" s="589"/>
      <c r="D1976" s="565"/>
      <c r="E1976" s="596"/>
      <c r="F1976" s="565"/>
      <c r="G1976" s="592"/>
      <c r="H1976" s="565"/>
      <c r="I1976" s="565"/>
      <c r="J1976" s="565"/>
      <c r="K1976" s="466"/>
      <c r="L1976" s="459"/>
      <c r="M1976" s="460"/>
      <c r="N1976" s="459"/>
      <c r="O1976" s="261"/>
      <c r="P1976" s="565"/>
      <c r="Q1976" s="565"/>
      <c r="R1976" s="467"/>
    </row>
    <row r="1977" spans="1:18" s="438" customFormat="1" outlineLevel="1">
      <c r="A1977" s="569"/>
      <c r="B1977" s="587"/>
      <c r="C1977" s="589"/>
      <c r="D1977" s="565"/>
      <c r="E1977" s="596"/>
      <c r="F1977" s="565"/>
      <c r="G1977" s="592"/>
      <c r="H1977" s="565"/>
      <c r="I1977" s="565"/>
      <c r="J1977" s="565"/>
      <c r="K1977" s="466"/>
      <c r="L1977" s="459"/>
      <c r="M1977" s="460"/>
      <c r="N1977" s="459"/>
      <c r="O1977" s="261"/>
      <c r="P1977" s="565"/>
      <c r="Q1977" s="565"/>
      <c r="R1977" s="467"/>
    </row>
    <row r="1978" spans="1:18" s="438" customFormat="1" outlineLevel="1">
      <c r="A1978" s="569"/>
      <c r="B1978" s="587"/>
      <c r="C1978" s="589"/>
      <c r="D1978" s="565"/>
      <c r="E1978" s="596"/>
      <c r="F1978" s="565"/>
      <c r="G1978" s="592"/>
      <c r="H1978" s="565"/>
      <c r="I1978" s="565"/>
      <c r="J1978" s="565"/>
      <c r="K1978" s="466"/>
      <c r="L1978" s="459"/>
      <c r="M1978" s="460"/>
      <c r="N1978" s="459"/>
      <c r="O1978" s="261"/>
      <c r="P1978" s="565"/>
      <c r="Q1978" s="565"/>
      <c r="R1978" s="467"/>
    </row>
    <row r="1979" spans="1:18" s="438" customFormat="1" outlineLevel="1">
      <c r="A1979" s="569"/>
      <c r="B1979" s="587"/>
      <c r="C1979" s="589"/>
      <c r="D1979" s="565"/>
      <c r="E1979" s="596"/>
      <c r="F1979" s="565"/>
      <c r="G1979" s="592"/>
      <c r="H1979" s="565"/>
      <c r="I1979" s="565"/>
      <c r="J1979" s="565"/>
      <c r="K1979" s="466"/>
      <c r="L1979" s="459"/>
      <c r="M1979" s="460"/>
      <c r="N1979" s="459"/>
      <c r="O1979" s="261"/>
      <c r="P1979" s="565"/>
      <c r="Q1979" s="565"/>
      <c r="R1979" s="467"/>
    </row>
    <row r="1980" spans="1:18" s="438" customFormat="1" outlineLevel="1">
      <c r="A1980" s="569"/>
      <c r="B1980" s="587"/>
      <c r="C1980" s="589"/>
      <c r="D1980" s="565"/>
      <c r="E1980" s="596"/>
      <c r="F1980" s="565"/>
      <c r="G1980" s="592"/>
      <c r="H1980" s="565"/>
      <c r="I1980" s="565"/>
      <c r="J1980" s="565"/>
      <c r="K1980" s="466"/>
      <c r="L1980" s="459"/>
      <c r="M1980" s="460"/>
      <c r="N1980" s="459"/>
      <c r="O1980" s="261"/>
      <c r="P1980" s="565"/>
      <c r="Q1980" s="565"/>
      <c r="R1980" s="467"/>
    </row>
    <row r="1981" spans="1:18" s="438" customFormat="1" outlineLevel="1">
      <c r="A1981" s="569"/>
      <c r="B1981" s="587"/>
      <c r="C1981" s="589"/>
      <c r="D1981" s="565"/>
      <c r="E1981" s="596"/>
      <c r="F1981" s="565"/>
      <c r="G1981" s="592"/>
      <c r="H1981" s="565"/>
      <c r="I1981" s="565"/>
      <c r="J1981" s="565"/>
      <c r="K1981" s="466"/>
      <c r="L1981" s="459"/>
      <c r="M1981" s="460"/>
      <c r="N1981" s="459"/>
      <c r="O1981" s="261"/>
      <c r="P1981" s="565"/>
      <c r="Q1981" s="565"/>
      <c r="R1981" s="467"/>
    </row>
    <row r="1982" spans="1:18" s="438" customFormat="1" outlineLevel="1">
      <c r="A1982" s="569"/>
      <c r="B1982" s="587"/>
      <c r="C1982" s="589"/>
      <c r="D1982" s="565"/>
      <c r="E1982" s="596"/>
      <c r="F1982" s="565"/>
      <c r="G1982" s="592"/>
      <c r="H1982" s="565"/>
      <c r="I1982" s="565"/>
      <c r="J1982" s="565"/>
      <c r="K1982" s="466"/>
      <c r="L1982" s="459"/>
      <c r="M1982" s="460"/>
      <c r="N1982" s="459"/>
      <c r="O1982" s="261"/>
      <c r="P1982" s="565"/>
      <c r="Q1982" s="565"/>
      <c r="R1982" s="467"/>
    </row>
    <row r="1983" spans="1:18" s="438" customFormat="1" outlineLevel="1">
      <c r="A1983" s="569"/>
      <c r="B1983" s="587"/>
      <c r="C1983" s="589"/>
      <c r="D1983" s="565"/>
      <c r="E1983" s="596"/>
      <c r="F1983" s="565"/>
      <c r="G1983" s="592"/>
      <c r="H1983" s="565"/>
      <c r="I1983" s="565"/>
      <c r="J1983" s="565"/>
      <c r="K1983" s="466"/>
      <c r="L1983" s="459"/>
      <c r="M1983" s="460"/>
      <c r="N1983" s="459"/>
      <c r="O1983" s="261"/>
      <c r="P1983" s="565"/>
      <c r="Q1983" s="565"/>
      <c r="R1983" s="467"/>
    </row>
    <row r="1984" spans="1:18" s="438" customFormat="1" outlineLevel="1">
      <c r="A1984" s="569"/>
      <c r="B1984" s="587"/>
      <c r="C1984" s="589"/>
      <c r="D1984" s="565"/>
      <c r="E1984" s="596"/>
      <c r="F1984" s="565"/>
      <c r="G1984" s="592"/>
      <c r="H1984" s="565"/>
      <c r="I1984" s="565"/>
      <c r="J1984" s="565"/>
      <c r="K1984" s="466"/>
      <c r="L1984" s="459"/>
      <c r="M1984" s="460"/>
      <c r="N1984" s="459"/>
      <c r="O1984" s="261"/>
      <c r="P1984" s="565"/>
      <c r="Q1984" s="565"/>
      <c r="R1984" s="467"/>
    </row>
    <row r="1985" spans="1:18" s="438" customFormat="1" outlineLevel="1">
      <c r="A1985" s="569"/>
      <c r="B1985" s="587"/>
      <c r="C1985" s="589"/>
      <c r="D1985" s="565"/>
      <c r="E1985" s="596"/>
      <c r="F1985" s="565"/>
      <c r="G1985" s="592"/>
      <c r="H1985" s="565"/>
      <c r="I1985" s="565"/>
      <c r="J1985" s="565"/>
      <c r="K1985" s="466"/>
      <c r="L1985" s="459"/>
      <c r="M1985" s="460"/>
      <c r="N1985" s="459"/>
      <c r="O1985" s="261"/>
      <c r="P1985" s="565"/>
      <c r="Q1985" s="565"/>
      <c r="R1985" s="467"/>
    </row>
    <row r="1986" spans="1:18" s="438" customFormat="1" outlineLevel="1">
      <c r="A1986" s="569"/>
      <c r="B1986" s="587"/>
      <c r="C1986" s="589"/>
      <c r="D1986" s="565"/>
      <c r="E1986" s="596"/>
      <c r="F1986" s="565"/>
      <c r="G1986" s="592"/>
      <c r="H1986" s="565"/>
      <c r="I1986" s="565"/>
      <c r="J1986" s="565"/>
      <c r="K1986" s="466"/>
      <c r="L1986" s="459"/>
      <c r="M1986" s="460"/>
      <c r="N1986" s="459"/>
      <c r="O1986" s="261"/>
      <c r="P1986" s="565"/>
      <c r="Q1986" s="565"/>
      <c r="R1986" s="467"/>
    </row>
    <row r="1987" spans="1:18" s="438" customFormat="1" outlineLevel="1">
      <c r="A1987" s="569"/>
      <c r="B1987" s="587"/>
      <c r="C1987" s="589"/>
      <c r="D1987" s="565"/>
      <c r="E1987" s="596"/>
      <c r="F1987" s="565"/>
      <c r="G1987" s="592"/>
      <c r="H1987" s="565"/>
      <c r="I1987" s="565"/>
      <c r="J1987" s="565"/>
      <c r="K1987" s="466"/>
      <c r="L1987" s="459"/>
      <c r="M1987" s="460"/>
      <c r="N1987" s="459"/>
      <c r="O1987" s="261"/>
      <c r="P1987" s="565"/>
      <c r="Q1987" s="565"/>
      <c r="R1987" s="467"/>
    </row>
    <row r="1988" spans="1:18" s="438" customFormat="1" outlineLevel="1">
      <c r="A1988" s="570"/>
      <c r="B1988" s="588"/>
      <c r="C1988" s="590"/>
      <c r="D1988" s="566"/>
      <c r="E1988" s="596"/>
      <c r="F1988" s="566"/>
      <c r="G1988" s="593"/>
      <c r="H1988" s="566"/>
      <c r="I1988" s="566"/>
      <c r="J1988" s="566"/>
      <c r="K1988" s="466"/>
      <c r="L1988" s="459"/>
      <c r="M1988" s="460"/>
      <c r="N1988" s="459"/>
      <c r="O1988" s="261"/>
      <c r="P1988" s="566"/>
      <c r="Q1988" s="566"/>
      <c r="R1988" s="467"/>
    </row>
    <row r="1989" spans="1:18" s="438" customFormat="1" outlineLevel="1">
      <c r="A1989" s="568"/>
      <c r="B1989" s="587"/>
      <c r="C1989" s="595"/>
      <c r="D1989" s="565"/>
      <c r="E1989" s="596"/>
      <c r="F1989" s="565"/>
      <c r="G1989" s="597"/>
      <c r="H1989" s="594"/>
      <c r="I1989" s="594"/>
      <c r="J1989" s="594"/>
      <c r="K1989" s="458"/>
      <c r="L1989" s="459"/>
      <c r="M1989" s="460"/>
      <c r="N1989" s="459"/>
      <c r="O1989" s="261"/>
      <c r="P1989" s="594"/>
      <c r="Q1989" s="594"/>
      <c r="R1989" s="467"/>
    </row>
    <row r="1990" spans="1:18" s="438" customFormat="1" outlineLevel="1">
      <c r="A1990" s="569"/>
      <c r="B1990" s="587"/>
      <c r="C1990" s="589"/>
      <c r="D1990" s="565"/>
      <c r="E1990" s="596"/>
      <c r="F1990" s="565"/>
      <c r="G1990" s="592"/>
      <c r="H1990" s="565"/>
      <c r="I1990" s="565"/>
      <c r="J1990" s="565"/>
      <c r="K1990" s="466"/>
      <c r="L1990" s="459"/>
      <c r="M1990" s="460"/>
      <c r="N1990" s="459"/>
      <c r="O1990" s="261"/>
      <c r="P1990" s="565"/>
      <c r="Q1990" s="565"/>
      <c r="R1990" s="467"/>
    </row>
    <row r="1991" spans="1:18" s="438" customFormat="1" outlineLevel="1">
      <c r="A1991" s="569"/>
      <c r="B1991" s="587"/>
      <c r="C1991" s="589"/>
      <c r="D1991" s="565"/>
      <c r="E1991" s="596"/>
      <c r="F1991" s="565"/>
      <c r="G1991" s="592"/>
      <c r="H1991" s="565"/>
      <c r="I1991" s="565"/>
      <c r="J1991" s="565"/>
      <c r="K1991" s="466"/>
      <c r="L1991" s="459"/>
      <c r="M1991" s="460"/>
      <c r="N1991" s="459"/>
      <c r="O1991" s="261"/>
      <c r="P1991" s="565"/>
      <c r="Q1991" s="565"/>
      <c r="R1991" s="467"/>
    </row>
    <row r="1992" spans="1:18" s="438" customFormat="1" outlineLevel="1">
      <c r="A1992" s="569"/>
      <c r="B1992" s="587"/>
      <c r="C1992" s="589"/>
      <c r="D1992" s="565"/>
      <c r="E1992" s="596"/>
      <c r="F1992" s="565"/>
      <c r="G1992" s="592"/>
      <c r="H1992" s="565"/>
      <c r="I1992" s="565"/>
      <c r="J1992" s="565"/>
      <c r="K1992" s="466"/>
      <c r="L1992" s="459"/>
      <c r="M1992" s="460"/>
      <c r="N1992" s="459"/>
      <c r="O1992" s="261"/>
      <c r="P1992" s="565"/>
      <c r="Q1992" s="565"/>
      <c r="R1992" s="467"/>
    </row>
    <row r="1993" spans="1:18" s="438" customFormat="1" outlineLevel="1">
      <c r="A1993" s="569"/>
      <c r="B1993" s="587"/>
      <c r="C1993" s="589"/>
      <c r="D1993" s="565"/>
      <c r="E1993" s="596"/>
      <c r="F1993" s="565"/>
      <c r="G1993" s="592"/>
      <c r="H1993" s="565"/>
      <c r="I1993" s="565"/>
      <c r="J1993" s="565"/>
      <c r="K1993" s="466"/>
      <c r="L1993" s="459"/>
      <c r="M1993" s="460"/>
      <c r="N1993" s="459"/>
      <c r="O1993" s="261"/>
      <c r="P1993" s="565"/>
      <c r="Q1993" s="565"/>
      <c r="R1993" s="467"/>
    </row>
    <row r="1994" spans="1:18" s="438" customFormat="1" outlineLevel="1">
      <c r="A1994" s="569"/>
      <c r="B1994" s="587"/>
      <c r="C1994" s="589"/>
      <c r="D1994" s="565"/>
      <c r="E1994" s="596"/>
      <c r="F1994" s="565"/>
      <c r="G1994" s="592"/>
      <c r="H1994" s="565"/>
      <c r="I1994" s="565"/>
      <c r="J1994" s="565"/>
      <c r="K1994" s="466"/>
      <c r="L1994" s="459"/>
      <c r="M1994" s="460"/>
      <c r="N1994" s="459"/>
      <c r="O1994" s="261"/>
      <c r="P1994" s="565"/>
      <c r="Q1994" s="565"/>
      <c r="R1994" s="467"/>
    </row>
    <row r="1995" spans="1:18" s="438" customFormat="1" outlineLevel="1">
      <c r="A1995" s="569"/>
      <c r="B1995" s="587"/>
      <c r="C1995" s="589"/>
      <c r="D1995" s="565"/>
      <c r="E1995" s="596"/>
      <c r="F1995" s="565"/>
      <c r="G1995" s="592"/>
      <c r="H1995" s="565"/>
      <c r="I1995" s="565"/>
      <c r="J1995" s="565"/>
      <c r="K1995" s="466"/>
      <c r="L1995" s="459"/>
      <c r="M1995" s="460"/>
      <c r="N1995" s="459"/>
      <c r="O1995" s="261"/>
      <c r="P1995" s="565"/>
      <c r="Q1995" s="565"/>
      <c r="R1995" s="467"/>
    </row>
    <row r="1996" spans="1:18" s="438" customFormat="1" outlineLevel="1">
      <c r="A1996" s="569"/>
      <c r="B1996" s="587"/>
      <c r="C1996" s="589"/>
      <c r="D1996" s="565"/>
      <c r="E1996" s="596"/>
      <c r="F1996" s="565"/>
      <c r="G1996" s="592"/>
      <c r="H1996" s="565"/>
      <c r="I1996" s="565"/>
      <c r="J1996" s="565"/>
      <c r="K1996" s="466"/>
      <c r="L1996" s="459"/>
      <c r="M1996" s="460"/>
      <c r="N1996" s="459"/>
      <c r="O1996" s="261"/>
      <c r="P1996" s="565"/>
      <c r="Q1996" s="565"/>
      <c r="R1996" s="467"/>
    </row>
    <row r="1997" spans="1:18" s="438" customFormat="1" outlineLevel="1">
      <c r="A1997" s="569"/>
      <c r="B1997" s="587"/>
      <c r="C1997" s="589"/>
      <c r="D1997" s="565"/>
      <c r="E1997" s="596"/>
      <c r="F1997" s="565"/>
      <c r="G1997" s="592"/>
      <c r="H1997" s="565"/>
      <c r="I1997" s="565"/>
      <c r="J1997" s="565"/>
      <c r="K1997" s="466"/>
      <c r="L1997" s="459"/>
      <c r="M1997" s="460"/>
      <c r="N1997" s="459"/>
      <c r="O1997" s="261"/>
      <c r="P1997" s="565"/>
      <c r="Q1997" s="565"/>
      <c r="R1997" s="467"/>
    </row>
    <row r="1998" spans="1:18" s="438" customFormat="1" outlineLevel="1">
      <c r="A1998" s="569"/>
      <c r="B1998" s="587"/>
      <c r="C1998" s="589"/>
      <c r="D1998" s="565"/>
      <c r="E1998" s="596"/>
      <c r="F1998" s="565"/>
      <c r="G1998" s="592"/>
      <c r="H1998" s="565"/>
      <c r="I1998" s="565"/>
      <c r="J1998" s="565"/>
      <c r="K1998" s="466"/>
      <c r="L1998" s="459"/>
      <c r="M1998" s="460"/>
      <c r="N1998" s="459"/>
      <c r="O1998" s="261"/>
      <c r="P1998" s="565"/>
      <c r="Q1998" s="565"/>
      <c r="R1998" s="467"/>
    </row>
    <row r="1999" spans="1:18" s="438" customFormat="1" outlineLevel="1">
      <c r="A1999" s="569"/>
      <c r="B1999" s="587"/>
      <c r="C1999" s="589"/>
      <c r="D1999" s="565"/>
      <c r="E1999" s="596"/>
      <c r="F1999" s="565"/>
      <c r="G1999" s="592"/>
      <c r="H1999" s="565"/>
      <c r="I1999" s="565"/>
      <c r="J1999" s="565"/>
      <c r="K1999" s="466"/>
      <c r="L1999" s="459"/>
      <c r="M1999" s="460"/>
      <c r="N1999" s="459"/>
      <c r="O1999" s="261"/>
      <c r="P1999" s="565"/>
      <c r="Q1999" s="565"/>
      <c r="R1999" s="467"/>
    </row>
    <row r="2000" spans="1:18" s="438" customFormat="1" outlineLevel="1">
      <c r="A2000" s="569"/>
      <c r="B2000" s="587"/>
      <c r="C2000" s="589"/>
      <c r="D2000" s="565"/>
      <c r="E2000" s="596"/>
      <c r="F2000" s="565"/>
      <c r="G2000" s="592"/>
      <c r="H2000" s="565"/>
      <c r="I2000" s="565"/>
      <c r="J2000" s="565"/>
      <c r="K2000" s="466"/>
      <c r="L2000" s="459"/>
      <c r="M2000" s="460"/>
      <c r="N2000" s="459"/>
      <c r="O2000" s="261"/>
      <c r="P2000" s="565"/>
      <c r="Q2000" s="565"/>
      <c r="R2000" s="467"/>
    </row>
    <row r="2001" spans="1:18" s="438" customFormat="1" outlineLevel="1">
      <c r="A2001" s="569"/>
      <c r="B2001" s="587"/>
      <c r="C2001" s="589"/>
      <c r="D2001" s="565"/>
      <c r="E2001" s="596"/>
      <c r="F2001" s="565"/>
      <c r="G2001" s="592"/>
      <c r="H2001" s="565"/>
      <c r="I2001" s="565"/>
      <c r="J2001" s="565"/>
      <c r="K2001" s="466"/>
      <c r="L2001" s="459"/>
      <c r="M2001" s="460"/>
      <c r="N2001" s="459"/>
      <c r="O2001" s="261"/>
      <c r="P2001" s="565"/>
      <c r="Q2001" s="565"/>
      <c r="R2001" s="467"/>
    </row>
    <row r="2002" spans="1:18" s="438" customFormat="1" outlineLevel="1">
      <c r="A2002" s="569"/>
      <c r="B2002" s="587"/>
      <c r="C2002" s="589"/>
      <c r="D2002" s="565"/>
      <c r="E2002" s="596"/>
      <c r="F2002" s="565"/>
      <c r="G2002" s="592"/>
      <c r="H2002" s="565"/>
      <c r="I2002" s="565"/>
      <c r="J2002" s="565"/>
      <c r="K2002" s="466"/>
      <c r="L2002" s="459"/>
      <c r="M2002" s="460"/>
      <c r="N2002" s="459"/>
      <c r="O2002" s="261"/>
      <c r="P2002" s="565"/>
      <c r="Q2002" s="565"/>
      <c r="R2002" s="467"/>
    </row>
    <row r="2003" spans="1:18" s="438" customFormat="1" outlineLevel="1">
      <c r="A2003" s="569"/>
      <c r="B2003" s="587"/>
      <c r="C2003" s="589"/>
      <c r="D2003" s="565"/>
      <c r="E2003" s="596"/>
      <c r="F2003" s="565"/>
      <c r="G2003" s="592"/>
      <c r="H2003" s="565"/>
      <c r="I2003" s="565"/>
      <c r="J2003" s="565"/>
      <c r="K2003" s="466"/>
      <c r="L2003" s="459"/>
      <c r="M2003" s="460"/>
      <c r="N2003" s="459"/>
      <c r="O2003" s="261"/>
      <c r="P2003" s="565"/>
      <c r="Q2003" s="565"/>
      <c r="R2003" s="467"/>
    </row>
    <row r="2004" spans="1:18" s="438" customFormat="1" outlineLevel="1">
      <c r="A2004" s="570"/>
      <c r="B2004" s="588"/>
      <c r="C2004" s="590"/>
      <c r="D2004" s="566"/>
      <c r="E2004" s="596"/>
      <c r="F2004" s="566"/>
      <c r="G2004" s="593"/>
      <c r="H2004" s="566"/>
      <c r="I2004" s="566"/>
      <c r="J2004" s="566"/>
      <c r="K2004" s="466"/>
      <c r="L2004" s="459"/>
      <c r="M2004" s="460"/>
      <c r="N2004" s="459"/>
      <c r="O2004" s="261"/>
      <c r="P2004" s="566"/>
      <c r="Q2004" s="566"/>
      <c r="R2004" s="467"/>
    </row>
    <row r="2005" spans="1:18" s="438" customFormat="1" outlineLevel="1">
      <c r="A2005" s="568"/>
      <c r="B2005" s="587"/>
      <c r="C2005" s="595"/>
      <c r="D2005" s="565"/>
      <c r="E2005" s="596"/>
      <c r="F2005" s="565"/>
      <c r="G2005" s="597"/>
      <c r="H2005" s="594"/>
      <c r="I2005" s="594"/>
      <c r="J2005" s="594"/>
      <c r="K2005" s="458"/>
      <c r="L2005" s="459"/>
      <c r="M2005" s="460"/>
      <c r="N2005" s="459"/>
      <c r="O2005" s="261"/>
      <c r="P2005" s="594"/>
      <c r="Q2005" s="594"/>
      <c r="R2005" s="467"/>
    </row>
    <row r="2006" spans="1:18" s="438" customFormat="1" outlineLevel="1">
      <c r="A2006" s="569"/>
      <c r="B2006" s="587"/>
      <c r="C2006" s="589"/>
      <c r="D2006" s="565"/>
      <c r="E2006" s="596"/>
      <c r="F2006" s="565"/>
      <c r="G2006" s="592"/>
      <c r="H2006" s="565"/>
      <c r="I2006" s="565"/>
      <c r="J2006" s="565"/>
      <c r="K2006" s="466"/>
      <c r="L2006" s="459"/>
      <c r="M2006" s="460"/>
      <c r="N2006" s="459"/>
      <c r="O2006" s="261"/>
      <c r="P2006" s="565"/>
      <c r="Q2006" s="565"/>
      <c r="R2006" s="467"/>
    </row>
    <row r="2007" spans="1:18" s="438" customFormat="1" outlineLevel="1">
      <c r="A2007" s="569"/>
      <c r="B2007" s="587"/>
      <c r="C2007" s="589"/>
      <c r="D2007" s="565"/>
      <c r="E2007" s="596"/>
      <c r="F2007" s="565"/>
      <c r="G2007" s="592"/>
      <c r="H2007" s="565"/>
      <c r="I2007" s="565"/>
      <c r="J2007" s="565"/>
      <c r="K2007" s="466"/>
      <c r="L2007" s="459"/>
      <c r="M2007" s="460"/>
      <c r="N2007" s="459"/>
      <c r="O2007" s="261"/>
      <c r="P2007" s="565"/>
      <c r="Q2007" s="565"/>
      <c r="R2007" s="467"/>
    </row>
    <row r="2008" spans="1:18" s="438" customFormat="1" outlineLevel="1">
      <c r="A2008" s="569"/>
      <c r="B2008" s="587"/>
      <c r="C2008" s="589"/>
      <c r="D2008" s="565"/>
      <c r="E2008" s="596"/>
      <c r="F2008" s="565"/>
      <c r="G2008" s="592"/>
      <c r="H2008" s="565"/>
      <c r="I2008" s="565"/>
      <c r="J2008" s="565"/>
      <c r="K2008" s="466"/>
      <c r="L2008" s="459"/>
      <c r="M2008" s="460"/>
      <c r="N2008" s="459"/>
      <c r="O2008" s="261"/>
      <c r="P2008" s="565"/>
      <c r="Q2008" s="565"/>
      <c r="R2008" s="467"/>
    </row>
    <row r="2009" spans="1:18" s="438" customFormat="1" outlineLevel="1">
      <c r="A2009" s="569"/>
      <c r="B2009" s="587"/>
      <c r="C2009" s="589"/>
      <c r="D2009" s="565"/>
      <c r="E2009" s="596"/>
      <c r="F2009" s="565"/>
      <c r="G2009" s="592"/>
      <c r="H2009" s="565"/>
      <c r="I2009" s="565"/>
      <c r="J2009" s="565"/>
      <c r="K2009" s="466"/>
      <c r="L2009" s="459"/>
      <c r="M2009" s="460"/>
      <c r="N2009" s="459"/>
      <c r="O2009" s="261"/>
      <c r="P2009" s="565"/>
      <c r="Q2009" s="565"/>
      <c r="R2009" s="467"/>
    </row>
    <row r="2010" spans="1:18" s="438" customFormat="1" outlineLevel="1">
      <c r="A2010" s="569"/>
      <c r="B2010" s="587"/>
      <c r="C2010" s="589"/>
      <c r="D2010" s="565"/>
      <c r="E2010" s="596"/>
      <c r="F2010" s="565"/>
      <c r="G2010" s="592"/>
      <c r="H2010" s="565"/>
      <c r="I2010" s="565"/>
      <c r="J2010" s="565"/>
      <c r="K2010" s="466"/>
      <c r="L2010" s="459"/>
      <c r="M2010" s="460"/>
      <c r="N2010" s="459"/>
      <c r="O2010" s="261"/>
      <c r="P2010" s="565"/>
      <c r="Q2010" s="565"/>
      <c r="R2010" s="467"/>
    </row>
    <row r="2011" spans="1:18" s="438" customFormat="1" outlineLevel="1">
      <c r="A2011" s="569"/>
      <c r="B2011" s="587"/>
      <c r="C2011" s="589"/>
      <c r="D2011" s="565"/>
      <c r="E2011" s="596"/>
      <c r="F2011" s="565"/>
      <c r="G2011" s="592"/>
      <c r="H2011" s="565"/>
      <c r="I2011" s="565"/>
      <c r="J2011" s="565"/>
      <c r="K2011" s="466"/>
      <c r="L2011" s="459"/>
      <c r="M2011" s="460"/>
      <c r="N2011" s="459"/>
      <c r="O2011" s="261"/>
      <c r="P2011" s="565"/>
      <c r="Q2011" s="565"/>
      <c r="R2011" s="467"/>
    </row>
    <row r="2012" spans="1:18" s="438" customFormat="1" outlineLevel="1">
      <c r="A2012" s="569"/>
      <c r="B2012" s="587"/>
      <c r="C2012" s="589"/>
      <c r="D2012" s="565"/>
      <c r="E2012" s="596"/>
      <c r="F2012" s="565"/>
      <c r="G2012" s="592"/>
      <c r="H2012" s="565"/>
      <c r="I2012" s="565"/>
      <c r="J2012" s="565"/>
      <c r="K2012" s="466"/>
      <c r="L2012" s="459"/>
      <c r="M2012" s="460"/>
      <c r="N2012" s="459"/>
      <c r="O2012" s="261"/>
      <c r="P2012" s="565"/>
      <c r="Q2012" s="565"/>
      <c r="R2012" s="467"/>
    </row>
    <row r="2013" spans="1:18" s="438" customFormat="1" outlineLevel="1">
      <c r="A2013" s="569"/>
      <c r="B2013" s="587"/>
      <c r="C2013" s="589"/>
      <c r="D2013" s="565"/>
      <c r="E2013" s="596"/>
      <c r="F2013" s="565"/>
      <c r="G2013" s="592"/>
      <c r="H2013" s="565"/>
      <c r="I2013" s="565"/>
      <c r="J2013" s="565"/>
      <c r="K2013" s="466"/>
      <c r="L2013" s="459"/>
      <c r="M2013" s="460"/>
      <c r="N2013" s="459"/>
      <c r="O2013" s="261"/>
      <c r="P2013" s="565"/>
      <c r="Q2013" s="565"/>
      <c r="R2013" s="467"/>
    </row>
    <row r="2014" spans="1:18" s="438" customFormat="1" outlineLevel="1">
      <c r="A2014" s="569"/>
      <c r="B2014" s="587"/>
      <c r="C2014" s="589"/>
      <c r="D2014" s="565"/>
      <c r="E2014" s="596"/>
      <c r="F2014" s="565"/>
      <c r="G2014" s="592"/>
      <c r="H2014" s="565"/>
      <c r="I2014" s="565"/>
      <c r="J2014" s="565"/>
      <c r="K2014" s="466"/>
      <c r="L2014" s="459"/>
      <c r="M2014" s="460"/>
      <c r="N2014" s="459"/>
      <c r="O2014" s="261"/>
      <c r="P2014" s="565"/>
      <c r="Q2014" s="565"/>
      <c r="R2014" s="467"/>
    </row>
    <row r="2015" spans="1:18" s="438" customFormat="1" outlineLevel="1">
      <c r="A2015" s="569"/>
      <c r="B2015" s="587"/>
      <c r="C2015" s="589"/>
      <c r="D2015" s="565"/>
      <c r="E2015" s="596"/>
      <c r="F2015" s="565"/>
      <c r="G2015" s="592"/>
      <c r="H2015" s="565"/>
      <c r="I2015" s="565"/>
      <c r="J2015" s="565"/>
      <c r="K2015" s="466"/>
      <c r="L2015" s="459"/>
      <c r="M2015" s="460"/>
      <c r="N2015" s="459"/>
      <c r="O2015" s="261"/>
      <c r="P2015" s="565"/>
      <c r="Q2015" s="565"/>
      <c r="R2015" s="467"/>
    </row>
    <row r="2016" spans="1:18" s="438" customFormat="1" outlineLevel="1">
      <c r="A2016" s="569"/>
      <c r="B2016" s="587"/>
      <c r="C2016" s="589"/>
      <c r="D2016" s="565"/>
      <c r="E2016" s="596"/>
      <c r="F2016" s="565"/>
      <c r="G2016" s="592"/>
      <c r="H2016" s="565"/>
      <c r="I2016" s="565"/>
      <c r="J2016" s="565"/>
      <c r="K2016" s="466"/>
      <c r="L2016" s="459"/>
      <c r="M2016" s="460"/>
      <c r="N2016" s="459"/>
      <c r="O2016" s="261"/>
      <c r="P2016" s="565"/>
      <c r="Q2016" s="565"/>
      <c r="R2016" s="467"/>
    </row>
    <row r="2017" spans="1:18" s="438" customFormat="1" outlineLevel="1">
      <c r="A2017" s="569"/>
      <c r="B2017" s="587"/>
      <c r="C2017" s="589"/>
      <c r="D2017" s="565"/>
      <c r="E2017" s="596"/>
      <c r="F2017" s="565"/>
      <c r="G2017" s="592"/>
      <c r="H2017" s="565"/>
      <c r="I2017" s="565"/>
      <c r="J2017" s="565"/>
      <c r="K2017" s="466"/>
      <c r="L2017" s="459"/>
      <c r="M2017" s="460"/>
      <c r="N2017" s="459"/>
      <c r="O2017" s="261"/>
      <c r="P2017" s="565"/>
      <c r="Q2017" s="565"/>
      <c r="R2017" s="467"/>
    </row>
    <row r="2018" spans="1:18" s="438" customFormat="1" outlineLevel="1">
      <c r="A2018" s="569"/>
      <c r="B2018" s="587"/>
      <c r="C2018" s="589"/>
      <c r="D2018" s="565"/>
      <c r="E2018" s="596"/>
      <c r="F2018" s="565"/>
      <c r="G2018" s="592"/>
      <c r="H2018" s="565"/>
      <c r="I2018" s="565"/>
      <c r="J2018" s="565"/>
      <c r="K2018" s="466"/>
      <c r="L2018" s="459"/>
      <c r="M2018" s="460"/>
      <c r="N2018" s="459"/>
      <c r="O2018" s="261"/>
      <c r="P2018" s="565"/>
      <c r="Q2018" s="565"/>
      <c r="R2018" s="467"/>
    </row>
    <row r="2019" spans="1:18" s="438" customFormat="1" outlineLevel="1">
      <c r="A2019" s="569"/>
      <c r="B2019" s="587"/>
      <c r="C2019" s="589"/>
      <c r="D2019" s="565"/>
      <c r="E2019" s="596"/>
      <c r="F2019" s="565"/>
      <c r="G2019" s="592"/>
      <c r="H2019" s="565"/>
      <c r="I2019" s="565"/>
      <c r="J2019" s="565"/>
      <c r="K2019" s="466"/>
      <c r="L2019" s="459"/>
      <c r="M2019" s="460"/>
      <c r="N2019" s="459"/>
      <c r="O2019" s="261"/>
      <c r="P2019" s="565"/>
      <c r="Q2019" s="565"/>
      <c r="R2019" s="467"/>
    </row>
    <row r="2020" spans="1:18" s="438" customFormat="1" outlineLevel="1">
      <c r="A2020" s="570"/>
      <c r="B2020" s="588"/>
      <c r="C2020" s="590"/>
      <c r="D2020" s="566"/>
      <c r="E2020" s="596"/>
      <c r="F2020" s="566"/>
      <c r="G2020" s="593"/>
      <c r="H2020" s="566"/>
      <c r="I2020" s="566"/>
      <c r="J2020" s="566"/>
      <c r="K2020" s="466"/>
      <c r="L2020" s="459"/>
      <c r="M2020" s="460"/>
      <c r="N2020" s="459"/>
      <c r="O2020" s="261"/>
      <c r="P2020" s="566"/>
      <c r="Q2020" s="566"/>
      <c r="R2020" s="467"/>
    </row>
    <row r="2021" spans="1:18" s="438" customFormat="1" outlineLevel="1">
      <c r="A2021" s="568"/>
      <c r="B2021" s="587"/>
      <c r="C2021" s="595"/>
      <c r="D2021" s="565"/>
      <c r="E2021" s="596"/>
      <c r="F2021" s="565"/>
      <c r="G2021" s="597"/>
      <c r="H2021" s="594"/>
      <c r="I2021" s="594"/>
      <c r="J2021" s="594"/>
      <c r="K2021" s="458"/>
      <c r="L2021" s="459"/>
      <c r="M2021" s="460"/>
      <c r="N2021" s="459"/>
      <c r="O2021" s="261"/>
      <c r="P2021" s="594"/>
      <c r="Q2021" s="594"/>
      <c r="R2021" s="467"/>
    </row>
    <row r="2022" spans="1:18" s="438" customFormat="1" outlineLevel="1">
      <c r="A2022" s="569"/>
      <c r="B2022" s="587"/>
      <c r="C2022" s="589"/>
      <c r="D2022" s="565"/>
      <c r="E2022" s="596"/>
      <c r="F2022" s="565"/>
      <c r="G2022" s="592"/>
      <c r="H2022" s="565"/>
      <c r="I2022" s="565"/>
      <c r="J2022" s="565"/>
      <c r="K2022" s="466"/>
      <c r="L2022" s="459"/>
      <c r="M2022" s="460"/>
      <c r="N2022" s="459"/>
      <c r="O2022" s="261"/>
      <c r="P2022" s="565"/>
      <c r="Q2022" s="565"/>
      <c r="R2022" s="467"/>
    </row>
    <row r="2023" spans="1:18" s="438" customFormat="1" outlineLevel="1">
      <c r="A2023" s="569"/>
      <c r="B2023" s="587"/>
      <c r="C2023" s="589"/>
      <c r="D2023" s="565"/>
      <c r="E2023" s="596"/>
      <c r="F2023" s="565"/>
      <c r="G2023" s="592"/>
      <c r="H2023" s="565"/>
      <c r="I2023" s="565"/>
      <c r="J2023" s="565"/>
      <c r="K2023" s="466"/>
      <c r="L2023" s="459"/>
      <c r="M2023" s="460"/>
      <c r="N2023" s="459"/>
      <c r="O2023" s="261"/>
      <c r="P2023" s="565"/>
      <c r="Q2023" s="565"/>
      <c r="R2023" s="467"/>
    </row>
    <row r="2024" spans="1:18" s="438" customFormat="1" outlineLevel="1">
      <c r="A2024" s="569"/>
      <c r="B2024" s="587"/>
      <c r="C2024" s="589"/>
      <c r="D2024" s="565"/>
      <c r="E2024" s="596"/>
      <c r="F2024" s="565"/>
      <c r="G2024" s="592"/>
      <c r="H2024" s="565"/>
      <c r="I2024" s="565"/>
      <c r="J2024" s="565"/>
      <c r="K2024" s="466"/>
      <c r="L2024" s="459"/>
      <c r="M2024" s="460"/>
      <c r="N2024" s="459"/>
      <c r="O2024" s="261"/>
      <c r="P2024" s="565"/>
      <c r="Q2024" s="565"/>
      <c r="R2024" s="467"/>
    </row>
    <row r="2025" spans="1:18" s="438" customFormat="1" outlineLevel="1">
      <c r="A2025" s="569"/>
      <c r="B2025" s="587"/>
      <c r="C2025" s="589"/>
      <c r="D2025" s="565"/>
      <c r="E2025" s="596"/>
      <c r="F2025" s="565"/>
      <c r="G2025" s="592"/>
      <c r="H2025" s="565"/>
      <c r="I2025" s="565"/>
      <c r="J2025" s="565"/>
      <c r="K2025" s="466"/>
      <c r="L2025" s="459"/>
      <c r="M2025" s="460"/>
      <c r="N2025" s="459"/>
      <c r="O2025" s="261"/>
      <c r="P2025" s="565"/>
      <c r="Q2025" s="565"/>
      <c r="R2025" s="467"/>
    </row>
    <row r="2026" spans="1:18" s="438" customFormat="1" outlineLevel="1">
      <c r="A2026" s="569"/>
      <c r="B2026" s="587"/>
      <c r="C2026" s="589"/>
      <c r="D2026" s="565"/>
      <c r="E2026" s="596"/>
      <c r="F2026" s="565"/>
      <c r="G2026" s="592"/>
      <c r="H2026" s="565"/>
      <c r="I2026" s="565"/>
      <c r="J2026" s="565"/>
      <c r="K2026" s="466"/>
      <c r="L2026" s="459"/>
      <c r="M2026" s="460"/>
      <c r="N2026" s="459"/>
      <c r="O2026" s="261"/>
      <c r="P2026" s="565"/>
      <c r="Q2026" s="565"/>
      <c r="R2026" s="467"/>
    </row>
    <row r="2027" spans="1:18" s="438" customFormat="1" outlineLevel="1">
      <c r="A2027" s="569"/>
      <c r="B2027" s="587"/>
      <c r="C2027" s="589"/>
      <c r="D2027" s="565"/>
      <c r="E2027" s="596"/>
      <c r="F2027" s="565"/>
      <c r="G2027" s="592"/>
      <c r="H2027" s="565"/>
      <c r="I2027" s="565"/>
      <c r="J2027" s="565"/>
      <c r="K2027" s="466"/>
      <c r="L2027" s="459"/>
      <c r="M2027" s="460"/>
      <c r="N2027" s="459"/>
      <c r="O2027" s="261"/>
      <c r="P2027" s="565"/>
      <c r="Q2027" s="565"/>
      <c r="R2027" s="467"/>
    </row>
    <row r="2028" spans="1:18" s="438" customFormat="1" outlineLevel="1">
      <c r="A2028" s="569"/>
      <c r="B2028" s="587"/>
      <c r="C2028" s="589"/>
      <c r="D2028" s="565"/>
      <c r="E2028" s="596"/>
      <c r="F2028" s="565"/>
      <c r="G2028" s="592"/>
      <c r="H2028" s="565"/>
      <c r="I2028" s="565"/>
      <c r="J2028" s="565"/>
      <c r="K2028" s="466"/>
      <c r="L2028" s="459"/>
      <c r="M2028" s="460"/>
      <c r="N2028" s="459"/>
      <c r="O2028" s="261"/>
      <c r="P2028" s="565"/>
      <c r="Q2028" s="565"/>
      <c r="R2028" s="467"/>
    </row>
    <row r="2029" spans="1:18" s="438" customFormat="1" outlineLevel="1">
      <c r="A2029" s="569"/>
      <c r="B2029" s="587"/>
      <c r="C2029" s="589"/>
      <c r="D2029" s="565"/>
      <c r="E2029" s="596"/>
      <c r="F2029" s="565"/>
      <c r="G2029" s="592"/>
      <c r="H2029" s="565"/>
      <c r="I2029" s="565"/>
      <c r="J2029" s="565"/>
      <c r="K2029" s="466"/>
      <c r="L2029" s="459"/>
      <c r="M2029" s="460"/>
      <c r="N2029" s="459"/>
      <c r="O2029" s="261"/>
      <c r="P2029" s="565"/>
      <c r="Q2029" s="565"/>
      <c r="R2029" s="467"/>
    </row>
    <row r="2030" spans="1:18" s="438" customFormat="1" outlineLevel="1">
      <c r="A2030" s="569"/>
      <c r="B2030" s="587"/>
      <c r="C2030" s="589"/>
      <c r="D2030" s="565"/>
      <c r="E2030" s="596"/>
      <c r="F2030" s="565"/>
      <c r="G2030" s="592"/>
      <c r="H2030" s="565"/>
      <c r="I2030" s="565"/>
      <c r="J2030" s="565"/>
      <c r="K2030" s="466"/>
      <c r="L2030" s="459"/>
      <c r="M2030" s="460"/>
      <c r="N2030" s="459"/>
      <c r="O2030" s="261"/>
      <c r="P2030" s="565"/>
      <c r="Q2030" s="565"/>
      <c r="R2030" s="467"/>
    </row>
    <row r="2031" spans="1:18" s="438" customFormat="1" outlineLevel="1">
      <c r="A2031" s="569"/>
      <c r="B2031" s="587"/>
      <c r="C2031" s="589"/>
      <c r="D2031" s="565"/>
      <c r="E2031" s="596"/>
      <c r="F2031" s="565"/>
      <c r="G2031" s="592"/>
      <c r="H2031" s="565"/>
      <c r="I2031" s="565"/>
      <c r="J2031" s="565"/>
      <c r="K2031" s="466"/>
      <c r="L2031" s="459"/>
      <c r="M2031" s="460"/>
      <c r="N2031" s="459"/>
      <c r="O2031" s="261"/>
      <c r="P2031" s="565"/>
      <c r="Q2031" s="565"/>
      <c r="R2031" s="467"/>
    </row>
    <row r="2032" spans="1:18" s="438" customFormat="1" outlineLevel="1">
      <c r="A2032" s="569"/>
      <c r="B2032" s="587"/>
      <c r="C2032" s="589"/>
      <c r="D2032" s="565"/>
      <c r="E2032" s="596"/>
      <c r="F2032" s="565"/>
      <c r="G2032" s="592"/>
      <c r="H2032" s="565"/>
      <c r="I2032" s="565"/>
      <c r="J2032" s="565"/>
      <c r="K2032" s="466"/>
      <c r="L2032" s="459"/>
      <c r="M2032" s="460"/>
      <c r="N2032" s="459"/>
      <c r="O2032" s="261"/>
      <c r="P2032" s="565"/>
      <c r="Q2032" s="565"/>
      <c r="R2032" s="467"/>
    </row>
    <row r="2033" spans="1:18" s="438" customFormat="1" outlineLevel="1">
      <c r="A2033" s="569"/>
      <c r="B2033" s="587"/>
      <c r="C2033" s="589"/>
      <c r="D2033" s="565"/>
      <c r="E2033" s="596"/>
      <c r="F2033" s="565"/>
      <c r="G2033" s="592"/>
      <c r="H2033" s="565"/>
      <c r="I2033" s="565"/>
      <c r="J2033" s="565"/>
      <c r="K2033" s="466"/>
      <c r="L2033" s="459"/>
      <c r="M2033" s="460"/>
      <c r="N2033" s="459"/>
      <c r="O2033" s="261"/>
      <c r="P2033" s="565"/>
      <c r="Q2033" s="565"/>
      <c r="R2033" s="467"/>
    </row>
    <row r="2034" spans="1:18" s="438" customFormat="1" outlineLevel="1">
      <c r="A2034" s="569"/>
      <c r="B2034" s="587"/>
      <c r="C2034" s="589"/>
      <c r="D2034" s="565"/>
      <c r="E2034" s="596"/>
      <c r="F2034" s="565"/>
      <c r="G2034" s="592"/>
      <c r="H2034" s="565"/>
      <c r="I2034" s="565"/>
      <c r="J2034" s="565"/>
      <c r="K2034" s="466"/>
      <c r="L2034" s="459"/>
      <c r="M2034" s="460"/>
      <c r="N2034" s="459"/>
      <c r="O2034" s="261"/>
      <c r="P2034" s="565"/>
      <c r="Q2034" s="565"/>
      <c r="R2034" s="467"/>
    </row>
    <row r="2035" spans="1:18" s="438" customFormat="1" outlineLevel="1">
      <c r="A2035" s="569"/>
      <c r="B2035" s="587"/>
      <c r="C2035" s="589"/>
      <c r="D2035" s="565"/>
      <c r="E2035" s="596"/>
      <c r="F2035" s="565"/>
      <c r="G2035" s="592"/>
      <c r="H2035" s="565"/>
      <c r="I2035" s="565"/>
      <c r="J2035" s="565"/>
      <c r="K2035" s="466"/>
      <c r="L2035" s="459"/>
      <c r="M2035" s="460"/>
      <c r="N2035" s="459"/>
      <c r="O2035" s="261"/>
      <c r="P2035" s="565"/>
      <c r="Q2035" s="565"/>
      <c r="R2035" s="467"/>
    </row>
    <row r="2036" spans="1:18" s="438" customFormat="1" outlineLevel="1">
      <c r="A2036" s="570"/>
      <c r="B2036" s="588"/>
      <c r="C2036" s="590"/>
      <c r="D2036" s="566"/>
      <c r="E2036" s="596"/>
      <c r="F2036" s="566"/>
      <c r="G2036" s="593"/>
      <c r="H2036" s="566"/>
      <c r="I2036" s="566"/>
      <c r="J2036" s="566"/>
      <c r="K2036" s="466"/>
      <c r="L2036" s="459"/>
      <c r="M2036" s="460"/>
      <c r="N2036" s="459"/>
      <c r="O2036" s="261"/>
      <c r="P2036" s="566"/>
      <c r="Q2036" s="566"/>
      <c r="R2036" s="467"/>
    </row>
    <row r="2037" spans="1:18" s="438" customFormat="1" outlineLevel="1">
      <c r="A2037" s="568"/>
      <c r="B2037" s="587"/>
      <c r="C2037" s="595"/>
      <c r="D2037" s="565"/>
      <c r="E2037" s="596"/>
      <c r="F2037" s="565"/>
      <c r="G2037" s="597"/>
      <c r="H2037" s="594"/>
      <c r="I2037" s="594"/>
      <c r="J2037" s="594"/>
      <c r="K2037" s="458"/>
      <c r="L2037" s="459"/>
      <c r="M2037" s="460"/>
      <c r="N2037" s="459"/>
      <c r="O2037" s="261"/>
      <c r="P2037" s="594"/>
      <c r="Q2037" s="594"/>
      <c r="R2037" s="467"/>
    </row>
    <row r="2038" spans="1:18" s="438" customFormat="1" outlineLevel="1">
      <c r="A2038" s="569"/>
      <c r="B2038" s="587"/>
      <c r="C2038" s="589"/>
      <c r="D2038" s="565"/>
      <c r="E2038" s="596"/>
      <c r="F2038" s="565"/>
      <c r="G2038" s="592"/>
      <c r="H2038" s="565"/>
      <c r="I2038" s="565"/>
      <c r="J2038" s="565"/>
      <c r="K2038" s="466"/>
      <c r="L2038" s="459"/>
      <c r="M2038" s="460"/>
      <c r="N2038" s="459"/>
      <c r="O2038" s="261"/>
      <c r="P2038" s="565"/>
      <c r="Q2038" s="565"/>
      <c r="R2038" s="467"/>
    </row>
    <row r="2039" spans="1:18" s="438" customFormat="1" outlineLevel="1">
      <c r="A2039" s="569"/>
      <c r="B2039" s="587"/>
      <c r="C2039" s="589"/>
      <c r="D2039" s="565"/>
      <c r="E2039" s="596"/>
      <c r="F2039" s="565"/>
      <c r="G2039" s="592"/>
      <c r="H2039" s="565"/>
      <c r="I2039" s="565"/>
      <c r="J2039" s="565"/>
      <c r="K2039" s="466"/>
      <c r="L2039" s="459"/>
      <c r="M2039" s="460"/>
      <c r="N2039" s="459"/>
      <c r="O2039" s="261"/>
      <c r="P2039" s="565"/>
      <c r="Q2039" s="565"/>
      <c r="R2039" s="467"/>
    </row>
    <row r="2040" spans="1:18" s="438" customFormat="1" outlineLevel="1">
      <c r="A2040" s="569"/>
      <c r="B2040" s="587"/>
      <c r="C2040" s="589"/>
      <c r="D2040" s="565"/>
      <c r="E2040" s="596"/>
      <c r="F2040" s="565"/>
      <c r="G2040" s="592"/>
      <c r="H2040" s="565"/>
      <c r="I2040" s="565"/>
      <c r="J2040" s="565"/>
      <c r="K2040" s="466"/>
      <c r="L2040" s="459"/>
      <c r="M2040" s="460"/>
      <c r="N2040" s="459"/>
      <c r="O2040" s="261"/>
      <c r="P2040" s="565"/>
      <c r="Q2040" s="565"/>
      <c r="R2040" s="467"/>
    </row>
    <row r="2041" spans="1:18" s="438" customFormat="1" outlineLevel="1">
      <c r="A2041" s="569"/>
      <c r="B2041" s="587"/>
      <c r="C2041" s="589"/>
      <c r="D2041" s="565"/>
      <c r="E2041" s="596"/>
      <c r="F2041" s="565"/>
      <c r="G2041" s="592"/>
      <c r="H2041" s="565"/>
      <c r="I2041" s="565"/>
      <c r="J2041" s="565"/>
      <c r="K2041" s="466"/>
      <c r="L2041" s="459"/>
      <c r="M2041" s="460"/>
      <c r="N2041" s="459"/>
      <c r="O2041" s="261"/>
      <c r="P2041" s="565"/>
      <c r="Q2041" s="565"/>
      <c r="R2041" s="467"/>
    </row>
    <row r="2042" spans="1:18" s="438" customFormat="1" outlineLevel="1">
      <c r="A2042" s="569"/>
      <c r="B2042" s="587"/>
      <c r="C2042" s="589"/>
      <c r="D2042" s="565"/>
      <c r="E2042" s="596"/>
      <c r="F2042" s="565"/>
      <c r="G2042" s="592"/>
      <c r="H2042" s="565"/>
      <c r="I2042" s="565"/>
      <c r="J2042" s="565"/>
      <c r="K2042" s="466"/>
      <c r="L2042" s="459"/>
      <c r="M2042" s="460"/>
      <c r="N2042" s="459"/>
      <c r="O2042" s="261"/>
      <c r="P2042" s="565"/>
      <c r="Q2042" s="565"/>
      <c r="R2042" s="467"/>
    </row>
    <row r="2043" spans="1:18" s="438" customFormat="1" outlineLevel="1">
      <c r="A2043" s="569"/>
      <c r="B2043" s="587"/>
      <c r="C2043" s="589"/>
      <c r="D2043" s="565"/>
      <c r="E2043" s="596"/>
      <c r="F2043" s="565"/>
      <c r="G2043" s="592"/>
      <c r="H2043" s="565"/>
      <c r="I2043" s="565"/>
      <c r="J2043" s="565"/>
      <c r="K2043" s="466"/>
      <c r="L2043" s="459"/>
      <c r="M2043" s="460"/>
      <c r="N2043" s="459"/>
      <c r="O2043" s="261"/>
      <c r="P2043" s="565"/>
      <c r="Q2043" s="565"/>
      <c r="R2043" s="467"/>
    </row>
    <row r="2044" spans="1:18" s="438" customFormat="1" outlineLevel="1">
      <c r="A2044" s="569"/>
      <c r="B2044" s="587"/>
      <c r="C2044" s="589"/>
      <c r="D2044" s="565"/>
      <c r="E2044" s="596"/>
      <c r="F2044" s="565"/>
      <c r="G2044" s="592"/>
      <c r="H2044" s="565"/>
      <c r="I2044" s="565"/>
      <c r="J2044" s="565"/>
      <c r="K2044" s="466"/>
      <c r="L2044" s="459"/>
      <c r="M2044" s="460"/>
      <c r="N2044" s="459"/>
      <c r="O2044" s="261"/>
      <c r="P2044" s="565"/>
      <c r="Q2044" s="565"/>
      <c r="R2044" s="467"/>
    </row>
    <row r="2045" spans="1:18" s="438" customFormat="1" outlineLevel="1">
      <c r="A2045" s="569"/>
      <c r="B2045" s="587"/>
      <c r="C2045" s="589"/>
      <c r="D2045" s="565"/>
      <c r="E2045" s="596"/>
      <c r="F2045" s="565"/>
      <c r="G2045" s="592"/>
      <c r="H2045" s="565"/>
      <c r="I2045" s="565"/>
      <c r="J2045" s="565"/>
      <c r="K2045" s="466"/>
      <c r="L2045" s="459"/>
      <c r="M2045" s="460"/>
      <c r="N2045" s="459"/>
      <c r="O2045" s="261"/>
      <c r="P2045" s="565"/>
      <c r="Q2045" s="565"/>
      <c r="R2045" s="467"/>
    </row>
    <row r="2046" spans="1:18" s="438" customFormat="1" outlineLevel="1">
      <c r="A2046" s="569"/>
      <c r="B2046" s="587"/>
      <c r="C2046" s="589"/>
      <c r="D2046" s="565"/>
      <c r="E2046" s="596"/>
      <c r="F2046" s="565"/>
      <c r="G2046" s="592"/>
      <c r="H2046" s="565"/>
      <c r="I2046" s="565"/>
      <c r="J2046" s="565"/>
      <c r="K2046" s="466"/>
      <c r="L2046" s="459"/>
      <c r="M2046" s="460"/>
      <c r="N2046" s="459"/>
      <c r="O2046" s="261"/>
      <c r="P2046" s="565"/>
      <c r="Q2046" s="565"/>
      <c r="R2046" s="467"/>
    </row>
    <row r="2047" spans="1:18" s="438" customFormat="1" outlineLevel="1">
      <c r="A2047" s="569"/>
      <c r="B2047" s="587"/>
      <c r="C2047" s="589"/>
      <c r="D2047" s="565"/>
      <c r="E2047" s="596"/>
      <c r="F2047" s="565"/>
      <c r="G2047" s="592"/>
      <c r="H2047" s="565"/>
      <c r="I2047" s="565"/>
      <c r="J2047" s="565"/>
      <c r="K2047" s="466"/>
      <c r="L2047" s="459"/>
      <c r="M2047" s="460"/>
      <c r="N2047" s="459"/>
      <c r="O2047" s="261"/>
      <c r="P2047" s="565"/>
      <c r="Q2047" s="565"/>
      <c r="R2047" s="467"/>
    </row>
    <row r="2048" spans="1:18" s="438" customFormat="1" outlineLevel="1">
      <c r="A2048" s="569"/>
      <c r="B2048" s="587"/>
      <c r="C2048" s="589"/>
      <c r="D2048" s="565"/>
      <c r="E2048" s="596"/>
      <c r="F2048" s="565"/>
      <c r="G2048" s="592"/>
      <c r="H2048" s="565"/>
      <c r="I2048" s="565"/>
      <c r="J2048" s="565"/>
      <c r="K2048" s="466"/>
      <c r="L2048" s="459"/>
      <c r="M2048" s="460"/>
      <c r="N2048" s="459"/>
      <c r="O2048" s="261"/>
      <c r="P2048" s="565"/>
      <c r="Q2048" s="565"/>
      <c r="R2048" s="467"/>
    </row>
    <row r="2049" spans="1:18" s="438" customFormat="1" outlineLevel="1">
      <c r="A2049" s="569"/>
      <c r="B2049" s="587"/>
      <c r="C2049" s="589"/>
      <c r="D2049" s="565"/>
      <c r="E2049" s="596"/>
      <c r="F2049" s="565"/>
      <c r="G2049" s="592"/>
      <c r="H2049" s="565"/>
      <c r="I2049" s="565"/>
      <c r="J2049" s="565"/>
      <c r="K2049" s="466"/>
      <c r="L2049" s="459"/>
      <c r="M2049" s="460"/>
      <c r="N2049" s="459"/>
      <c r="O2049" s="261"/>
      <c r="P2049" s="565"/>
      <c r="Q2049" s="565"/>
      <c r="R2049" s="467"/>
    </row>
    <row r="2050" spans="1:18" s="438" customFormat="1" outlineLevel="1">
      <c r="A2050" s="569"/>
      <c r="B2050" s="587"/>
      <c r="C2050" s="589"/>
      <c r="D2050" s="565"/>
      <c r="E2050" s="596"/>
      <c r="F2050" s="565"/>
      <c r="G2050" s="592"/>
      <c r="H2050" s="565"/>
      <c r="I2050" s="565"/>
      <c r="J2050" s="565"/>
      <c r="K2050" s="466"/>
      <c r="L2050" s="459"/>
      <c r="M2050" s="460"/>
      <c r="N2050" s="459"/>
      <c r="O2050" s="261"/>
      <c r="P2050" s="565"/>
      <c r="Q2050" s="565"/>
      <c r="R2050" s="467"/>
    </row>
    <row r="2051" spans="1:18" s="438" customFormat="1" outlineLevel="1">
      <c r="A2051" s="569"/>
      <c r="B2051" s="587"/>
      <c r="C2051" s="589"/>
      <c r="D2051" s="565"/>
      <c r="E2051" s="596"/>
      <c r="F2051" s="565"/>
      <c r="G2051" s="592"/>
      <c r="H2051" s="565"/>
      <c r="I2051" s="565"/>
      <c r="J2051" s="565"/>
      <c r="K2051" s="466"/>
      <c r="L2051" s="459"/>
      <c r="M2051" s="460"/>
      <c r="N2051" s="459"/>
      <c r="O2051" s="261"/>
      <c r="P2051" s="565"/>
      <c r="Q2051" s="565"/>
      <c r="R2051" s="467"/>
    </row>
    <row r="2052" spans="1:18" s="438" customFormat="1" outlineLevel="1">
      <c r="A2052" s="570"/>
      <c r="B2052" s="588"/>
      <c r="C2052" s="590"/>
      <c r="D2052" s="566"/>
      <c r="E2052" s="596"/>
      <c r="F2052" s="566"/>
      <c r="G2052" s="593"/>
      <c r="H2052" s="566"/>
      <c r="I2052" s="566"/>
      <c r="J2052" s="566"/>
      <c r="K2052" s="466"/>
      <c r="L2052" s="459"/>
      <c r="M2052" s="460"/>
      <c r="N2052" s="459"/>
      <c r="O2052" s="261"/>
      <c r="P2052" s="566"/>
      <c r="Q2052" s="566"/>
      <c r="R2052" s="467"/>
    </row>
    <row r="2053" spans="1:18" s="438" customFormat="1" ht="13.5" thickBot="1">
      <c r="A2053" s="483"/>
      <c r="B2053" s="484"/>
      <c r="C2053" s="485" t="s">
        <v>195</v>
      </c>
      <c r="D2053" s="484"/>
      <c r="E2053" s="484"/>
      <c r="F2053" s="484"/>
      <c r="G2053" s="486"/>
      <c r="H2053" s="486"/>
      <c r="I2053" s="486"/>
      <c r="J2053" s="486"/>
      <c r="K2053" s="486"/>
      <c r="L2053" s="486"/>
      <c r="M2053" s="487"/>
      <c r="N2053" s="486"/>
      <c r="O2053" s="488"/>
      <c r="P2053" s="489"/>
      <c r="Q2053" s="489"/>
      <c r="R2053" s="490"/>
    </row>
    <row r="2054" spans="1:18" s="438" customFormat="1" ht="13.5" thickBot="1">
      <c r="A2054" s="435"/>
      <c r="B2054" s="491"/>
      <c r="C2054" s="492"/>
      <c r="D2054" s="491"/>
      <c r="E2054" s="491"/>
      <c r="F2054" s="491"/>
      <c r="G2054" s="491"/>
      <c r="H2054" s="491"/>
      <c r="I2054" s="491"/>
      <c r="J2054" s="491"/>
      <c r="K2054" s="491"/>
      <c r="L2054" s="435"/>
      <c r="M2054" s="435"/>
      <c r="N2054" s="491"/>
      <c r="O2054" s="491"/>
      <c r="P2054" s="491"/>
      <c r="Q2054" s="435"/>
    </row>
    <row r="2055" spans="1:18" s="438" customFormat="1">
      <c r="A2055" s="493"/>
      <c r="B2055" s="494"/>
      <c r="C2055" s="495"/>
      <c r="D2055" s="496"/>
      <c r="E2055" s="496"/>
      <c r="F2055" s="496"/>
      <c r="G2055" s="496"/>
      <c r="H2055" s="496"/>
      <c r="I2055" s="496"/>
      <c r="J2055" s="496"/>
      <c r="K2055" s="496"/>
      <c r="L2055" s="496"/>
      <c r="M2055" s="496"/>
      <c r="N2055" s="496"/>
      <c r="O2055" s="496"/>
      <c r="P2055" s="496"/>
      <c r="Q2055" s="496"/>
      <c r="R2055" s="497"/>
    </row>
    <row r="2056" spans="1:18" s="438" customFormat="1" ht="13.5" thickBot="1">
      <c r="A2056" s="498"/>
      <c r="B2056" s="499"/>
      <c r="C2056" s="500"/>
      <c r="D2056" s="501"/>
      <c r="E2056" s="501"/>
      <c r="F2056" s="501"/>
      <c r="G2056" s="501"/>
      <c r="H2056" s="501"/>
      <c r="I2056" s="501"/>
      <c r="J2056" s="501"/>
      <c r="K2056" s="501"/>
      <c r="L2056" s="501"/>
      <c r="M2056" s="501"/>
      <c r="N2056" s="501"/>
      <c r="O2056" s="501"/>
      <c r="P2056" s="501"/>
      <c r="Q2056" s="501"/>
      <c r="R2056" s="502"/>
    </row>
    <row r="2066" spans="19:28">
      <c r="S2066" s="503"/>
      <c r="T2066" s="503"/>
      <c r="U2066" s="503"/>
      <c r="V2066" s="503"/>
      <c r="W2066" s="503"/>
      <c r="X2066" s="503"/>
      <c r="Y2066" s="503"/>
      <c r="Z2066" s="503"/>
      <c r="AA2066" s="503"/>
      <c r="AB2066" s="503"/>
    </row>
    <row r="2067" spans="19:28">
      <c r="S2067" s="504"/>
      <c r="T2067" s="504"/>
      <c r="U2067" s="504"/>
      <c r="V2067" s="504"/>
      <c r="W2067" s="504"/>
      <c r="X2067" s="504"/>
      <c r="Y2067" s="504"/>
      <c r="Z2067" s="504"/>
      <c r="AA2067" s="504"/>
      <c r="AB2067" s="504"/>
    </row>
    <row r="2069" spans="19:28">
      <c r="S2069" s="505"/>
      <c r="T2069" s="505"/>
      <c r="U2069" s="505"/>
      <c r="V2069" s="505"/>
      <c r="W2069" s="505"/>
      <c r="X2069" s="505"/>
      <c r="Y2069" s="505"/>
      <c r="Z2069" s="505"/>
      <c r="AA2069" s="505"/>
      <c r="AB2069" s="505"/>
    </row>
    <row r="2070" spans="19:28">
      <c r="S2070" s="506"/>
      <c r="T2070" s="506"/>
      <c r="U2070" s="506"/>
      <c r="V2070" s="506"/>
      <c r="W2070" s="506"/>
      <c r="X2070" s="506"/>
      <c r="Y2070" s="506"/>
      <c r="Z2070" s="506"/>
      <c r="AA2070" s="506"/>
      <c r="AB2070" s="506"/>
    </row>
    <row r="2071" spans="19:28">
      <c r="S2071" s="506"/>
      <c r="T2071" s="506"/>
      <c r="U2071" s="506"/>
      <c r="V2071" s="506"/>
      <c r="W2071" s="506"/>
      <c r="X2071" s="506"/>
      <c r="Y2071" s="506"/>
      <c r="Z2071" s="506"/>
      <c r="AA2071" s="506"/>
      <c r="AB2071" s="506"/>
    </row>
    <row r="2072" spans="19:28">
      <c r="S2072" s="506"/>
      <c r="T2072" s="506"/>
      <c r="U2072" s="506"/>
      <c r="V2072" s="506"/>
      <c r="W2072" s="506"/>
      <c r="X2072" s="506"/>
      <c r="Y2072" s="506"/>
      <c r="Z2072" s="506"/>
      <c r="AA2072" s="506"/>
      <c r="AB2072" s="506"/>
    </row>
    <row r="2073" spans="19:28">
      <c r="S2073" s="506"/>
      <c r="T2073" s="506"/>
      <c r="U2073" s="506"/>
      <c r="V2073" s="506"/>
      <c r="W2073" s="506"/>
      <c r="X2073" s="506"/>
      <c r="Y2073" s="506"/>
      <c r="Z2073" s="506"/>
      <c r="AA2073" s="506"/>
      <c r="AB2073" s="506"/>
    </row>
    <row r="2074" spans="19:28">
      <c r="S2074" s="506"/>
      <c r="T2074" s="506"/>
      <c r="U2074" s="506"/>
      <c r="V2074" s="506"/>
      <c r="W2074" s="506"/>
      <c r="X2074" s="506"/>
      <c r="Y2074" s="506"/>
      <c r="Z2074" s="506"/>
      <c r="AA2074" s="506"/>
      <c r="AB2074" s="506"/>
    </row>
    <row r="2075" spans="19:28">
      <c r="S2075" s="506"/>
      <c r="T2075" s="506"/>
      <c r="U2075" s="506"/>
      <c r="V2075" s="506"/>
      <c r="W2075" s="506"/>
      <c r="X2075" s="506"/>
      <c r="Y2075" s="506"/>
      <c r="Z2075" s="506"/>
      <c r="AA2075" s="506"/>
      <c r="AB2075" s="506"/>
    </row>
    <row r="2076" spans="19:28">
      <c r="S2076" s="506"/>
      <c r="T2076" s="506"/>
      <c r="U2076" s="506"/>
      <c r="V2076" s="506"/>
      <c r="W2076" s="506"/>
      <c r="X2076" s="506"/>
      <c r="Y2076" s="506"/>
      <c r="Z2076" s="506"/>
      <c r="AA2076" s="506"/>
      <c r="AB2076" s="506"/>
    </row>
    <row r="2077" spans="19:28">
      <c r="S2077" s="506"/>
      <c r="T2077" s="506"/>
      <c r="U2077" s="506"/>
      <c r="V2077" s="506"/>
      <c r="W2077" s="506"/>
      <c r="X2077" s="506"/>
      <c r="Y2077" s="506"/>
      <c r="Z2077" s="506"/>
      <c r="AA2077" s="506"/>
      <c r="AB2077" s="506"/>
    </row>
    <row r="2078" spans="19:28">
      <c r="S2078" s="506"/>
      <c r="T2078" s="506"/>
      <c r="U2078" s="506"/>
      <c r="V2078" s="506"/>
      <c r="W2078" s="506"/>
      <c r="X2078" s="506"/>
      <c r="Y2078" s="506"/>
      <c r="Z2078" s="506"/>
      <c r="AA2078" s="506"/>
      <c r="AB2078" s="506"/>
    </row>
    <row r="2079" spans="19:28">
      <c r="S2079" s="506"/>
      <c r="T2079" s="506"/>
      <c r="U2079" s="506"/>
      <c r="V2079" s="506"/>
      <c r="W2079" s="506"/>
      <c r="X2079" s="506"/>
      <c r="Y2079" s="506"/>
      <c r="Z2079" s="506"/>
      <c r="AA2079" s="506"/>
      <c r="AB2079" s="506"/>
    </row>
  </sheetData>
  <autoFilter ref="A3:R2053" xr:uid="{8D7E7D2B-0D48-4075-93A0-A620F8F9A7C0}"/>
  <mergeCells count="1537">
    <mergeCell ref="H2037:H2052"/>
    <mergeCell ref="I2037:I2052"/>
    <mergeCell ref="J2037:J2052"/>
    <mergeCell ref="P2037:P2052"/>
    <mergeCell ref="Q2037:Q2052"/>
    <mergeCell ref="J2021:J2036"/>
    <mergeCell ref="P2021:P2036"/>
    <mergeCell ref="Q2021:Q2036"/>
    <mergeCell ref="A2037:A2052"/>
    <mergeCell ref="B2037:B2052"/>
    <mergeCell ref="C2037:C2052"/>
    <mergeCell ref="D2037:D2052"/>
    <mergeCell ref="E2037:E2052"/>
    <mergeCell ref="F2037:F2052"/>
    <mergeCell ref="G2037:G2052"/>
    <mergeCell ref="Q2005:Q2020"/>
    <mergeCell ref="A2021:A2036"/>
    <mergeCell ref="B2021:B2036"/>
    <mergeCell ref="C2021:C2036"/>
    <mergeCell ref="D2021:D2036"/>
    <mergeCell ref="E2021:E2036"/>
    <mergeCell ref="F2021:F2036"/>
    <mergeCell ref="G2021:G2036"/>
    <mergeCell ref="H2021:H2036"/>
    <mergeCell ref="I2021:I2036"/>
    <mergeCell ref="F2005:F2020"/>
    <mergeCell ref="G2005:G2020"/>
    <mergeCell ref="H2005:H2020"/>
    <mergeCell ref="I2005:I2020"/>
    <mergeCell ref="J2005:J2020"/>
    <mergeCell ref="P2005:P2020"/>
    <mergeCell ref="H1989:H2004"/>
    <mergeCell ref="I1989:I2004"/>
    <mergeCell ref="J1989:J2004"/>
    <mergeCell ref="P1989:P2004"/>
    <mergeCell ref="Q1989:Q2004"/>
    <mergeCell ref="A2005:A2020"/>
    <mergeCell ref="B2005:B2020"/>
    <mergeCell ref="C2005:C2020"/>
    <mergeCell ref="D2005:D2020"/>
    <mergeCell ref="E2005:E2020"/>
    <mergeCell ref="J1973:J1988"/>
    <mergeCell ref="P1973:P1988"/>
    <mergeCell ref="Q1973:Q1988"/>
    <mergeCell ref="A1989:A2004"/>
    <mergeCell ref="B1989:B2004"/>
    <mergeCell ref="C1989:C2004"/>
    <mergeCell ref="D1989:D2004"/>
    <mergeCell ref="E1989:E2004"/>
    <mergeCell ref="F1989:F2004"/>
    <mergeCell ref="G1989:G2004"/>
    <mergeCell ref="Q1957:Q1972"/>
    <mergeCell ref="A1973:A1988"/>
    <mergeCell ref="B1973:B1988"/>
    <mergeCell ref="C1973:C1988"/>
    <mergeCell ref="D1973:D1988"/>
    <mergeCell ref="E1973:E1988"/>
    <mergeCell ref="F1973:F1988"/>
    <mergeCell ref="G1973:G1988"/>
    <mergeCell ref="H1973:H1988"/>
    <mergeCell ref="I1973:I1988"/>
    <mergeCell ref="F1957:F1972"/>
    <mergeCell ref="G1957:G1972"/>
    <mergeCell ref="H1957:H1972"/>
    <mergeCell ref="I1957:I1972"/>
    <mergeCell ref="J1957:J1972"/>
    <mergeCell ref="P1957:P1972"/>
    <mergeCell ref="H1941:H1956"/>
    <mergeCell ref="I1941:I1956"/>
    <mergeCell ref="J1941:J1956"/>
    <mergeCell ref="P1941:P1956"/>
    <mergeCell ref="Q1941:Q1956"/>
    <mergeCell ref="A1957:A1972"/>
    <mergeCell ref="B1957:B1972"/>
    <mergeCell ref="C1957:C1972"/>
    <mergeCell ref="D1957:D1972"/>
    <mergeCell ref="E1957:E1972"/>
    <mergeCell ref="J1925:J1940"/>
    <mergeCell ref="P1925:P1940"/>
    <mergeCell ref="Q1925:Q1940"/>
    <mergeCell ref="A1941:A1956"/>
    <mergeCell ref="B1941:B1956"/>
    <mergeCell ref="C1941:C1956"/>
    <mergeCell ref="D1941:D1956"/>
    <mergeCell ref="E1941:E1956"/>
    <mergeCell ref="F1941:F1956"/>
    <mergeCell ref="G1941:G1956"/>
    <mergeCell ref="Q1909:Q1924"/>
    <mergeCell ref="A1925:A1940"/>
    <mergeCell ref="B1925:B1940"/>
    <mergeCell ref="C1925:C1940"/>
    <mergeCell ref="D1925:D1940"/>
    <mergeCell ref="E1925:E1940"/>
    <mergeCell ref="F1925:F1940"/>
    <mergeCell ref="G1925:G1940"/>
    <mergeCell ref="H1925:H1940"/>
    <mergeCell ref="I1925:I1940"/>
    <mergeCell ref="F1909:F1924"/>
    <mergeCell ref="G1909:G1924"/>
    <mergeCell ref="H1909:H1924"/>
    <mergeCell ref="I1909:I1924"/>
    <mergeCell ref="J1909:J1924"/>
    <mergeCell ref="P1909:P1924"/>
    <mergeCell ref="H1893:H1908"/>
    <mergeCell ref="I1893:I1908"/>
    <mergeCell ref="J1893:J1908"/>
    <mergeCell ref="P1893:P1908"/>
    <mergeCell ref="Q1893:Q1908"/>
    <mergeCell ref="A1909:A1924"/>
    <mergeCell ref="B1909:B1924"/>
    <mergeCell ref="C1909:C1924"/>
    <mergeCell ref="D1909:D1924"/>
    <mergeCell ref="E1909:E1924"/>
    <mergeCell ref="J1877:J1892"/>
    <mergeCell ref="P1877:P1892"/>
    <mergeCell ref="Q1877:Q1892"/>
    <mergeCell ref="A1893:A1908"/>
    <mergeCell ref="B1893:B1908"/>
    <mergeCell ref="C1893:C1908"/>
    <mergeCell ref="D1893:D1908"/>
    <mergeCell ref="E1893:E1908"/>
    <mergeCell ref="F1893:F1908"/>
    <mergeCell ref="G1893:G1908"/>
    <mergeCell ref="Q1861:Q1876"/>
    <mergeCell ref="A1877:A1892"/>
    <mergeCell ref="B1877:B1892"/>
    <mergeCell ref="C1877:C1892"/>
    <mergeCell ref="D1877:D1892"/>
    <mergeCell ref="E1877:E1892"/>
    <mergeCell ref="F1877:F1892"/>
    <mergeCell ref="G1877:G1892"/>
    <mergeCell ref="H1877:H1892"/>
    <mergeCell ref="I1877:I1892"/>
    <mergeCell ref="F1861:F1876"/>
    <mergeCell ref="G1861:G1876"/>
    <mergeCell ref="H1861:H1876"/>
    <mergeCell ref="I1861:I1876"/>
    <mergeCell ref="J1861:J1876"/>
    <mergeCell ref="P1861:P1876"/>
    <mergeCell ref="H1845:H1860"/>
    <mergeCell ref="I1845:I1860"/>
    <mergeCell ref="J1845:J1860"/>
    <mergeCell ref="P1845:P1860"/>
    <mergeCell ref="Q1845:Q1860"/>
    <mergeCell ref="A1861:A1876"/>
    <mergeCell ref="B1861:B1876"/>
    <mergeCell ref="C1861:C1876"/>
    <mergeCell ref="D1861:D1876"/>
    <mergeCell ref="E1861:E1876"/>
    <mergeCell ref="J1829:J1844"/>
    <mergeCell ref="P1829:P1844"/>
    <mergeCell ref="Q1829:Q1844"/>
    <mergeCell ref="A1845:A1860"/>
    <mergeCell ref="B1845:B1860"/>
    <mergeCell ref="C1845:C1860"/>
    <mergeCell ref="D1845:D1860"/>
    <mergeCell ref="E1845:E1860"/>
    <mergeCell ref="F1845:F1860"/>
    <mergeCell ref="G1845:G1860"/>
    <mergeCell ref="Q1813:Q1828"/>
    <mergeCell ref="A1829:A1844"/>
    <mergeCell ref="B1829:B1844"/>
    <mergeCell ref="C1829:C1844"/>
    <mergeCell ref="D1829:D1844"/>
    <mergeCell ref="E1829:E1844"/>
    <mergeCell ref="F1829:F1844"/>
    <mergeCell ref="G1829:G1844"/>
    <mergeCell ref="H1829:H1844"/>
    <mergeCell ref="I1829:I1844"/>
    <mergeCell ref="F1813:F1828"/>
    <mergeCell ref="G1813:G1828"/>
    <mergeCell ref="H1813:H1828"/>
    <mergeCell ref="I1813:I1828"/>
    <mergeCell ref="J1813:J1828"/>
    <mergeCell ref="P1813:P1828"/>
    <mergeCell ref="H1797:H1812"/>
    <mergeCell ref="I1797:I1812"/>
    <mergeCell ref="J1797:J1812"/>
    <mergeCell ref="P1797:P1812"/>
    <mergeCell ref="Q1797:Q1812"/>
    <mergeCell ref="A1813:A1828"/>
    <mergeCell ref="B1813:B1828"/>
    <mergeCell ref="C1813:C1828"/>
    <mergeCell ref="D1813:D1828"/>
    <mergeCell ref="E1813:E1828"/>
    <mergeCell ref="J1781:J1796"/>
    <mergeCell ref="P1781:P1796"/>
    <mergeCell ref="Q1781:Q1796"/>
    <mergeCell ref="A1797:A1812"/>
    <mergeCell ref="B1797:B1812"/>
    <mergeCell ref="C1797:C1812"/>
    <mergeCell ref="D1797:D1812"/>
    <mergeCell ref="E1797:E1812"/>
    <mergeCell ref="F1797:F1812"/>
    <mergeCell ref="G1797:G1812"/>
    <mergeCell ref="Q1765:Q1780"/>
    <mergeCell ref="A1781:A1796"/>
    <mergeCell ref="B1781:B1796"/>
    <mergeCell ref="C1781:C1796"/>
    <mergeCell ref="D1781:D1796"/>
    <mergeCell ref="E1781:E1796"/>
    <mergeCell ref="F1781:F1796"/>
    <mergeCell ref="G1781:G1796"/>
    <mergeCell ref="H1781:H1796"/>
    <mergeCell ref="I1781:I1796"/>
    <mergeCell ref="F1765:F1780"/>
    <mergeCell ref="G1765:G1780"/>
    <mergeCell ref="H1765:H1780"/>
    <mergeCell ref="I1765:I1780"/>
    <mergeCell ref="J1765:J1780"/>
    <mergeCell ref="P1765:P1780"/>
    <mergeCell ref="H1749:H1764"/>
    <mergeCell ref="I1749:I1764"/>
    <mergeCell ref="J1749:J1764"/>
    <mergeCell ref="P1749:P1764"/>
    <mergeCell ref="Q1749:Q1764"/>
    <mergeCell ref="A1765:A1780"/>
    <mergeCell ref="B1765:B1780"/>
    <mergeCell ref="C1765:C1780"/>
    <mergeCell ref="D1765:D1780"/>
    <mergeCell ref="E1765:E1780"/>
    <mergeCell ref="J1733:J1748"/>
    <mergeCell ref="P1733:P1748"/>
    <mergeCell ref="Q1733:Q1748"/>
    <mergeCell ref="A1749:A1764"/>
    <mergeCell ref="B1749:B1764"/>
    <mergeCell ref="C1749:C1764"/>
    <mergeCell ref="D1749:D1764"/>
    <mergeCell ref="E1749:E1764"/>
    <mergeCell ref="F1749:F1764"/>
    <mergeCell ref="G1749:G1764"/>
    <mergeCell ref="Q1717:Q1732"/>
    <mergeCell ref="A1733:A1748"/>
    <mergeCell ref="B1733:B1748"/>
    <mergeCell ref="C1733:C1748"/>
    <mergeCell ref="D1733:D1748"/>
    <mergeCell ref="E1733:E1748"/>
    <mergeCell ref="F1733:F1748"/>
    <mergeCell ref="G1733:G1748"/>
    <mergeCell ref="H1733:H1748"/>
    <mergeCell ref="I1733:I1748"/>
    <mergeCell ref="F1717:F1732"/>
    <mergeCell ref="G1717:G1732"/>
    <mergeCell ref="H1717:H1732"/>
    <mergeCell ref="I1717:I1732"/>
    <mergeCell ref="J1717:J1732"/>
    <mergeCell ref="P1717:P1732"/>
    <mergeCell ref="H1701:H1716"/>
    <mergeCell ref="I1701:I1716"/>
    <mergeCell ref="J1701:J1716"/>
    <mergeCell ref="P1701:P1716"/>
    <mergeCell ref="Q1701:Q1716"/>
    <mergeCell ref="A1717:A1732"/>
    <mergeCell ref="B1717:B1732"/>
    <mergeCell ref="C1717:C1732"/>
    <mergeCell ref="D1717:D1732"/>
    <mergeCell ref="E1717:E1732"/>
    <mergeCell ref="J1685:J1700"/>
    <mergeCell ref="P1685:P1700"/>
    <mergeCell ref="Q1685:Q1700"/>
    <mergeCell ref="A1701:A1716"/>
    <mergeCell ref="B1701:B1716"/>
    <mergeCell ref="C1701:C1716"/>
    <mergeCell ref="D1701:D1716"/>
    <mergeCell ref="E1701:E1716"/>
    <mergeCell ref="F1701:F1716"/>
    <mergeCell ref="G1701:G1716"/>
    <mergeCell ref="Q1669:Q1684"/>
    <mergeCell ref="A1685:A1700"/>
    <mergeCell ref="B1685:B1700"/>
    <mergeCell ref="C1685:C1700"/>
    <mergeCell ref="D1685:D1700"/>
    <mergeCell ref="E1685:E1700"/>
    <mergeCell ref="F1685:F1700"/>
    <mergeCell ref="G1685:G1700"/>
    <mergeCell ref="H1685:H1700"/>
    <mergeCell ref="I1685:I1700"/>
    <mergeCell ref="F1669:F1684"/>
    <mergeCell ref="G1669:G1684"/>
    <mergeCell ref="H1669:H1684"/>
    <mergeCell ref="I1669:I1684"/>
    <mergeCell ref="J1669:J1684"/>
    <mergeCell ref="P1669:P1684"/>
    <mergeCell ref="H1653:H1668"/>
    <mergeCell ref="I1653:I1668"/>
    <mergeCell ref="J1653:J1668"/>
    <mergeCell ref="P1653:P1668"/>
    <mergeCell ref="Q1653:Q1668"/>
    <mergeCell ref="A1669:A1684"/>
    <mergeCell ref="B1669:B1684"/>
    <mergeCell ref="C1669:C1684"/>
    <mergeCell ref="D1669:D1684"/>
    <mergeCell ref="E1669:E1684"/>
    <mergeCell ref="J1637:J1652"/>
    <mergeCell ref="P1637:P1652"/>
    <mergeCell ref="Q1637:Q1652"/>
    <mergeCell ref="A1653:A1668"/>
    <mergeCell ref="B1653:B1668"/>
    <mergeCell ref="C1653:C1668"/>
    <mergeCell ref="D1653:D1668"/>
    <mergeCell ref="E1653:E1668"/>
    <mergeCell ref="F1653:F1668"/>
    <mergeCell ref="G1653:G1668"/>
    <mergeCell ref="Q1621:Q1636"/>
    <mergeCell ref="A1637:A1652"/>
    <mergeCell ref="B1637:B1652"/>
    <mergeCell ref="C1637:C1652"/>
    <mergeCell ref="D1637:D1652"/>
    <mergeCell ref="E1637:E1652"/>
    <mergeCell ref="F1637:F1652"/>
    <mergeCell ref="G1637:G1652"/>
    <mergeCell ref="H1637:H1652"/>
    <mergeCell ref="I1637:I1652"/>
    <mergeCell ref="F1621:F1636"/>
    <mergeCell ref="G1621:G1636"/>
    <mergeCell ref="H1621:H1636"/>
    <mergeCell ref="I1621:I1636"/>
    <mergeCell ref="J1621:J1636"/>
    <mergeCell ref="P1621:P1636"/>
    <mergeCell ref="H1605:H1620"/>
    <mergeCell ref="I1605:I1620"/>
    <mergeCell ref="J1605:J1620"/>
    <mergeCell ref="P1605:P1620"/>
    <mergeCell ref="Q1605:Q1620"/>
    <mergeCell ref="A1621:A1636"/>
    <mergeCell ref="B1621:B1636"/>
    <mergeCell ref="C1621:C1636"/>
    <mergeCell ref="D1621:D1636"/>
    <mergeCell ref="E1621:E1636"/>
    <mergeCell ref="J1589:J1604"/>
    <mergeCell ref="P1589:P1604"/>
    <mergeCell ref="Q1589:Q1604"/>
    <mergeCell ref="A1605:A1620"/>
    <mergeCell ref="B1605:B1620"/>
    <mergeCell ref="C1605:C1620"/>
    <mergeCell ref="D1605:D1620"/>
    <mergeCell ref="E1605:E1620"/>
    <mergeCell ref="F1605:F1620"/>
    <mergeCell ref="G1605:G1620"/>
    <mergeCell ref="Q1573:Q1588"/>
    <mergeCell ref="A1589:A1604"/>
    <mergeCell ref="B1589:B1604"/>
    <mergeCell ref="C1589:C1604"/>
    <mergeCell ref="D1589:D1604"/>
    <mergeCell ref="E1589:E1604"/>
    <mergeCell ref="F1589:F1604"/>
    <mergeCell ref="G1589:G1604"/>
    <mergeCell ref="H1589:H1604"/>
    <mergeCell ref="I1589:I1604"/>
    <mergeCell ref="F1573:F1588"/>
    <mergeCell ref="G1573:G1588"/>
    <mergeCell ref="H1573:H1588"/>
    <mergeCell ref="I1573:I1588"/>
    <mergeCell ref="J1573:J1588"/>
    <mergeCell ref="P1573:P1588"/>
    <mergeCell ref="H1557:H1572"/>
    <mergeCell ref="I1557:I1572"/>
    <mergeCell ref="J1557:J1572"/>
    <mergeCell ref="P1557:P1572"/>
    <mergeCell ref="Q1557:Q1572"/>
    <mergeCell ref="A1573:A1588"/>
    <mergeCell ref="B1573:B1588"/>
    <mergeCell ref="C1573:C1588"/>
    <mergeCell ref="D1573:D1588"/>
    <mergeCell ref="E1573:E1588"/>
    <mergeCell ref="J1541:J1556"/>
    <mergeCell ref="P1541:P1556"/>
    <mergeCell ref="Q1541:Q1556"/>
    <mergeCell ref="A1557:A1572"/>
    <mergeCell ref="B1557:B1572"/>
    <mergeCell ref="C1557:C1572"/>
    <mergeCell ref="D1557:D1572"/>
    <mergeCell ref="E1557:E1572"/>
    <mergeCell ref="F1557:F1572"/>
    <mergeCell ref="G1557:G1572"/>
    <mergeCell ref="Q1525:Q1540"/>
    <mergeCell ref="A1541:A1556"/>
    <mergeCell ref="B1541:B1556"/>
    <mergeCell ref="C1541:C1556"/>
    <mergeCell ref="D1541:D1556"/>
    <mergeCell ref="E1541:E1556"/>
    <mergeCell ref="F1541:F1556"/>
    <mergeCell ref="G1541:G1556"/>
    <mergeCell ref="H1541:H1556"/>
    <mergeCell ref="I1541:I1556"/>
    <mergeCell ref="F1525:F1540"/>
    <mergeCell ref="G1525:G1540"/>
    <mergeCell ref="H1525:H1540"/>
    <mergeCell ref="I1525:I1540"/>
    <mergeCell ref="J1525:J1540"/>
    <mergeCell ref="P1525:P1540"/>
    <mergeCell ref="H1509:H1524"/>
    <mergeCell ref="I1509:I1524"/>
    <mergeCell ref="J1509:J1524"/>
    <mergeCell ref="P1509:P1524"/>
    <mergeCell ref="Q1509:Q1524"/>
    <mergeCell ref="A1525:A1540"/>
    <mergeCell ref="B1525:B1540"/>
    <mergeCell ref="C1525:C1540"/>
    <mergeCell ref="D1525:D1540"/>
    <mergeCell ref="E1525:E1540"/>
    <mergeCell ref="J1493:J1508"/>
    <mergeCell ref="P1493:P1508"/>
    <mergeCell ref="Q1493:Q1508"/>
    <mergeCell ref="A1509:A1524"/>
    <mergeCell ref="B1509:B1524"/>
    <mergeCell ref="C1509:C1524"/>
    <mergeCell ref="D1509:D1524"/>
    <mergeCell ref="E1509:E1524"/>
    <mergeCell ref="F1509:F1524"/>
    <mergeCell ref="G1509:G1524"/>
    <mergeCell ref="Q1477:Q1492"/>
    <mergeCell ref="A1493:A1508"/>
    <mergeCell ref="B1493:B1508"/>
    <mergeCell ref="C1493:C1508"/>
    <mergeCell ref="D1493:D1508"/>
    <mergeCell ref="E1493:E1508"/>
    <mergeCell ref="F1493:F1508"/>
    <mergeCell ref="G1493:G1508"/>
    <mergeCell ref="H1493:H1508"/>
    <mergeCell ref="I1493:I1508"/>
    <mergeCell ref="F1477:F1492"/>
    <mergeCell ref="G1477:G1492"/>
    <mergeCell ref="H1477:H1492"/>
    <mergeCell ref="I1477:I1492"/>
    <mergeCell ref="J1477:J1492"/>
    <mergeCell ref="P1477:P1492"/>
    <mergeCell ref="H1461:H1476"/>
    <mergeCell ref="I1461:I1476"/>
    <mergeCell ref="J1461:J1476"/>
    <mergeCell ref="P1461:P1476"/>
    <mergeCell ref="Q1461:Q1476"/>
    <mergeCell ref="A1477:A1492"/>
    <mergeCell ref="B1477:B1492"/>
    <mergeCell ref="C1477:C1492"/>
    <mergeCell ref="D1477:D1492"/>
    <mergeCell ref="E1477:E1492"/>
    <mergeCell ref="J1445:J1460"/>
    <mergeCell ref="P1445:P1460"/>
    <mergeCell ref="Q1445:Q1460"/>
    <mergeCell ref="A1461:A1476"/>
    <mergeCell ref="B1461:B1476"/>
    <mergeCell ref="C1461:C1476"/>
    <mergeCell ref="D1461:D1476"/>
    <mergeCell ref="E1461:E1476"/>
    <mergeCell ref="F1461:F1476"/>
    <mergeCell ref="G1461:G1476"/>
    <mergeCell ref="Q1429:Q1444"/>
    <mergeCell ref="A1445:A1460"/>
    <mergeCell ref="B1445:B1460"/>
    <mergeCell ref="C1445:C1460"/>
    <mergeCell ref="D1445:D1460"/>
    <mergeCell ref="E1445:E1460"/>
    <mergeCell ref="F1445:F1460"/>
    <mergeCell ref="G1445:G1460"/>
    <mergeCell ref="H1445:H1460"/>
    <mergeCell ref="I1445:I1460"/>
    <mergeCell ref="F1429:F1444"/>
    <mergeCell ref="G1429:G1444"/>
    <mergeCell ref="H1429:H1444"/>
    <mergeCell ref="I1429:I1444"/>
    <mergeCell ref="J1429:J1444"/>
    <mergeCell ref="P1429:P1444"/>
    <mergeCell ref="H1413:H1428"/>
    <mergeCell ref="I1413:I1428"/>
    <mergeCell ref="J1413:J1428"/>
    <mergeCell ref="P1413:P1428"/>
    <mergeCell ref="Q1413:Q1428"/>
    <mergeCell ref="A1429:A1444"/>
    <mergeCell ref="B1429:B1444"/>
    <mergeCell ref="C1429:C1444"/>
    <mergeCell ref="D1429:D1444"/>
    <mergeCell ref="E1429:E1444"/>
    <mergeCell ref="J1397:J1412"/>
    <mergeCell ref="P1397:P1412"/>
    <mergeCell ref="Q1397:Q1412"/>
    <mergeCell ref="A1413:A1428"/>
    <mergeCell ref="B1413:B1428"/>
    <mergeCell ref="C1413:C1428"/>
    <mergeCell ref="D1413:D1428"/>
    <mergeCell ref="E1413:E1428"/>
    <mergeCell ref="F1413:F1428"/>
    <mergeCell ref="G1413:G1428"/>
    <mergeCell ref="Q1381:Q1396"/>
    <mergeCell ref="A1397:A1412"/>
    <mergeCell ref="B1397:B1412"/>
    <mergeCell ref="C1397:C1412"/>
    <mergeCell ref="D1397:D1412"/>
    <mergeCell ref="E1397:E1412"/>
    <mergeCell ref="F1397:F1412"/>
    <mergeCell ref="G1397:G1412"/>
    <mergeCell ref="H1397:H1412"/>
    <mergeCell ref="I1397:I1412"/>
    <mergeCell ref="F1381:F1396"/>
    <mergeCell ref="G1381:G1396"/>
    <mergeCell ref="H1381:H1396"/>
    <mergeCell ref="I1381:I1396"/>
    <mergeCell ref="J1381:J1396"/>
    <mergeCell ref="P1381:P1396"/>
    <mergeCell ref="H1365:H1380"/>
    <mergeCell ref="I1365:I1380"/>
    <mergeCell ref="J1365:J1380"/>
    <mergeCell ref="P1365:P1380"/>
    <mergeCell ref="Q1365:Q1380"/>
    <mergeCell ref="A1381:A1396"/>
    <mergeCell ref="B1381:B1396"/>
    <mergeCell ref="C1381:C1396"/>
    <mergeCell ref="D1381:D1396"/>
    <mergeCell ref="E1381:E1396"/>
    <mergeCell ref="J1349:J1364"/>
    <mergeCell ref="P1349:P1364"/>
    <mergeCell ref="Q1349:Q1364"/>
    <mergeCell ref="A1365:A1380"/>
    <mergeCell ref="B1365:B1380"/>
    <mergeCell ref="C1365:C1380"/>
    <mergeCell ref="D1365:D1380"/>
    <mergeCell ref="E1365:E1380"/>
    <mergeCell ref="F1365:F1380"/>
    <mergeCell ref="G1365:G1380"/>
    <mergeCell ref="Q1333:Q1348"/>
    <mergeCell ref="A1349:A1364"/>
    <mergeCell ref="B1349:B1364"/>
    <mergeCell ref="C1349:C1364"/>
    <mergeCell ref="D1349:D1364"/>
    <mergeCell ref="E1349:E1364"/>
    <mergeCell ref="F1349:F1364"/>
    <mergeCell ref="G1349:G1364"/>
    <mergeCell ref="H1349:H1364"/>
    <mergeCell ref="I1349:I1364"/>
    <mergeCell ref="F1333:F1348"/>
    <mergeCell ref="G1333:G1348"/>
    <mergeCell ref="H1333:H1348"/>
    <mergeCell ref="I1333:I1348"/>
    <mergeCell ref="J1333:J1348"/>
    <mergeCell ref="P1333:P1348"/>
    <mergeCell ref="H1317:H1332"/>
    <mergeCell ref="I1317:I1332"/>
    <mergeCell ref="J1317:J1332"/>
    <mergeCell ref="P1317:P1332"/>
    <mergeCell ref="Q1317:Q1332"/>
    <mergeCell ref="A1333:A1348"/>
    <mergeCell ref="B1333:B1348"/>
    <mergeCell ref="C1333:C1348"/>
    <mergeCell ref="D1333:D1348"/>
    <mergeCell ref="E1333:E1348"/>
    <mergeCell ref="J1301:J1316"/>
    <mergeCell ref="P1301:P1316"/>
    <mergeCell ref="Q1301:Q1316"/>
    <mergeCell ref="A1317:A1332"/>
    <mergeCell ref="B1317:B1332"/>
    <mergeCell ref="C1317:C1332"/>
    <mergeCell ref="D1317:D1332"/>
    <mergeCell ref="E1317:E1332"/>
    <mergeCell ref="F1317:F1332"/>
    <mergeCell ref="G1317:G1332"/>
    <mergeCell ref="Q1285:Q1300"/>
    <mergeCell ref="A1301:A1316"/>
    <mergeCell ref="B1301:B1316"/>
    <mergeCell ref="C1301:C1316"/>
    <mergeCell ref="D1301:D1316"/>
    <mergeCell ref="E1301:E1316"/>
    <mergeCell ref="F1301:F1316"/>
    <mergeCell ref="G1301:G1316"/>
    <mergeCell ref="H1301:H1316"/>
    <mergeCell ref="I1301:I1316"/>
    <mergeCell ref="F1285:F1300"/>
    <mergeCell ref="G1285:G1300"/>
    <mergeCell ref="H1285:H1300"/>
    <mergeCell ref="I1285:I1300"/>
    <mergeCell ref="J1285:J1300"/>
    <mergeCell ref="P1285:P1300"/>
    <mergeCell ref="H1269:H1284"/>
    <mergeCell ref="I1269:I1284"/>
    <mergeCell ref="J1269:J1284"/>
    <mergeCell ref="P1269:P1284"/>
    <mergeCell ref="Q1269:Q1284"/>
    <mergeCell ref="A1285:A1300"/>
    <mergeCell ref="B1285:B1300"/>
    <mergeCell ref="C1285:C1300"/>
    <mergeCell ref="D1285:D1300"/>
    <mergeCell ref="E1285:E1300"/>
    <mergeCell ref="J1253:J1268"/>
    <mergeCell ref="P1253:P1268"/>
    <mergeCell ref="Q1253:Q1268"/>
    <mergeCell ref="A1269:A1284"/>
    <mergeCell ref="B1269:B1284"/>
    <mergeCell ref="C1269:C1284"/>
    <mergeCell ref="D1269:D1284"/>
    <mergeCell ref="E1269:E1284"/>
    <mergeCell ref="F1269:F1284"/>
    <mergeCell ref="G1269:G1284"/>
    <mergeCell ref="Q1237:Q1252"/>
    <mergeCell ref="A1253:A1268"/>
    <mergeCell ref="B1253:B1268"/>
    <mergeCell ref="C1253:C1268"/>
    <mergeCell ref="D1253:D1268"/>
    <mergeCell ref="E1253:E1268"/>
    <mergeCell ref="F1253:F1268"/>
    <mergeCell ref="G1253:G1268"/>
    <mergeCell ref="H1253:H1268"/>
    <mergeCell ref="I1253:I1268"/>
    <mergeCell ref="F1237:F1252"/>
    <mergeCell ref="G1237:G1252"/>
    <mergeCell ref="H1237:H1252"/>
    <mergeCell ref="I1237:I1252"/>
    <mergeCell ref="J1237:J1252"/>
    <mergeCell ref="P1237:P1252"/>
    <mergeCell ref="H1221:H1236"/>
    <mergeCell ref="I1221:I1236"/>
    <mergeCell ref="J1221:J1236"/>
    <mergeCell ref="P1221:P1236"/>
    <mergeCell ref="Q1221:Q1236"/>
    <mergeCell ref="A1237:A1252"/>
    <mergeCell ref="B1237:B1252"/>
    <mergeCell ref="C1237:C1252"/>
    <mergeCell ref="D1237:D1252"/>
    <mergeCell ref="E1237:E1252"/>
    <mergeCell ref="J1205:J1220"/>
    <mergeCell ref="P1205:P1220"/>
    <mergeCell ref="Q1205:Q1220"/>
    <mergeCell ref="A1221:A1236"/>
    <mergeCell ref="B1221:B1236"/>
    <mergeCell ref="C1221:C1236"/>
    <mergeCell ref="D1221:D1236"/>
    <mergeCell ref="E1221:E1236"/>
    <mergeCell ref="F1221:F1236"/>
    <mergeCell ref="G1221:G1236"/>
    <mergeCell ref="Q1189:Q1204"/>
    <mergeCell ref="A1205:A1220"/>
    <mergeCell ref="B1205:B1220"/>
    <mergeCell ref="C1205:C1220"/>
    <mergeCell ref="D1205:D1220"/>
    <mergeCell ref="E1205:E1220"/>
    <mergeCell ref="F1205:F1220"/>
    <mergeCell ref="G1205:G1220"/>
    <mergeCell ref="H1205:H1220"/>
    <mergeCell ref="I1205:I1220"/>
    <mergeCell ref="F1189:F1204"/>
    <mergeCell ref="G1189:G1204"/>
    <mergeCell ref="H1189:H1204"/>
    <mergeCell ref="I1189:I1204"/>
    <mergeCell ref="J1189:J1204"/>
    <mergeCell ref="P1189:P1204"/>
    <mergeCell ref="H1173:H1188"/>
    <mergeCell ref="I1173:I1188"/>
    <mergeCell ref="J1173:J1188"/>
    <mergeCell ref="P1173:P1188"/>
    <mergeCell ref="Q1173:Q1188"/>
    <mergeCell ref="A1189:A1204"/>
    <mergeCell ref="B1189:B1204"/>
    <mergeCell ref="C1189:C1204"/>
    <mergeCell ref="D1189:D1204"/>
    <mergeCell ref="E1189:E1204"/>
    <mergeCell ref="J1157:J1172"/>
    <mergeCell ref="P1157:P1172"/>
    <mergeCell ref="Q1157:Q1172"/>
    <mergeCell ref="A1173:A1188"/>
    <mergeCell ref="B1173:B1188"/>
    <mergeCell ref="C1173:C1188"/>
    <mergeCell ref="D1173:D1188"/>
    <mergeCell ref="E1173:E1188"/>
    <mergeCell ref="F1173:F1188"/>
    <mergeCell ref="G1173:G1188"/>
    <mergeCell ref="Q1141:Q1156"/>
    <mergeCell ref="A1157:A1172"/>
    <mergeCell ref="B1157:B1172"/>
    <mergeCell ref="C1157:C1172"/>
    <mergeCell ref="D1157:D1172"/>
    <mergeCell ref="E1157:E1172"/>
    <mergeCell ref="F1157:F1172"/>
    <mergeCell ref="G1157:G1172"/>
    <mergeCell ref="H1157:H1172"/>
    <mergeCell ref="I1157:I1172"/>
    <mergeCell ref="F1141:F1156"/>
    <mergeCell ref="G1141:G1156"/>
    <mergeCell ref="H1141:H1156"/>
    <mergeCell ref="I1141:I1156"/>
    <mergeCell ref="J1141:J1156"/>
    <mergeCell ref="P1141:P1156"/>
    <mergeCell ref="H1125:H1140"/>
    <mergeCell ref="I1125:I1140"/>
    <mergeCell ref="J1125:J1140"/>
    <mergeCell ref="P1125:P1140"/>
    <mergeCell ref="Q1125:Q1140"/>
    <mergeCell ref="A1141:A1156"/>
    <mergeCell ref="B1141:B1156"/>
    <mergeCell ref="C1141:C1156"/>
    <mergeCell ref="D1141:D1156"/>
    <mergeCell ref="E1141:E1156"/>
    <mergeCell ref="J1109:J1124"/>
    <mergeCell ref="P1109:P1124"/>
    <mergeCell ref="Q1109:Q1124"/>
    <mergeCell ref="A1125:A1140"/>
    <mergeCell ref="B1125:B1140"/>
    <mergeCell ref="C1125:C1140"/>
    <mergeCell ref="D1125:D1140"/>
    <mergeCell ref="E1125:E1140"/>
    <mergeCell ref="F1125:F1140"/>
    <mergeCell ref="G1125:G1140"/>
    <mergeCell ref="Q1093:Q1108"/>
    <mergeCell ref="A1109:A1124"/>
    <mergeCell ref="B1109:B1124"/>
    <mergeCell ref="C1109:C1124"/>
    <mergeCell ref="D1109:D1124"/>
    <mergeCell ref="E1109:E1124"/>
    <mergeCell ref="F1109:F1124"/>
    <mergeCell ref="G1109:G1124"/>
    <mergeCell ref="H1109:H1124"/>
    <mergeCell ref="I1109:I1124"/>
    <mergeCell ref="F1093:F1108"/>
    <mergeCell ref="G1093:G1108"/>
    <mergeCell ref="H1093:H1108"/>
    <mergeCell ref="I1093:I1108"/>
    <mergeCell ref="J1093:J1108"/>
    <mergeCell ref="P1093:P1108"/>
    <mergeCell ref="H1077:H1092"/>
    <mergeCell ref="I1077:I1092"/>
    <mergeCell ref="J1077:J1092"/>
    <mergeCell ref="P1077:P1092"/>
    <mergeCell ref="Q1077:Q1092"/>
    <mergeCell ref="A1093:A1108"/>
    <mergeCell ref="B1093:B1108"/>
    <mergeCell ref="C1093:C1108"/>
    <mergeCell ref="D1093:D1108"/>
    <mergeCell ref="E1093:E1108"/>
    <mergeCell ref="J1061:J1076"/>
    <mergeCell ref="P1061:P1076"/>
    <mergeCell ref="Q1061:Q1076"/>
    <mergeCell ref="A1077:A1092"/>
    <mergeCell ref="B1077:B1092"/>
    <mergeCell ref="C1077:C1092"/>
    <mergeCell ref="D1077:D1092"/>
    <mergeCell ref="E1077:E1092"/>
    <mergeCell ref="F1077:F1092"/>
    <mergeCell ref="G1077:G1092"/>
    <mergeCell ref="Q1045:Q1060"/>
    <mergeCell ref="A1061:A1076"/>
    <mergeCell ref="B1061:B1076"/>
    <mergeCell ref="C1061:C1076"/>
    <mergeCell ref="D1061:D1076"/>
    <mergeCell ref="E1061:E1076"/>
    <mergeCell ref="F1061:F1076"/>
    <mergeCell ref="G1061:G1076"/>
    <mergeCell ref="H1061:H1076"/>
    <mergeCell ref="I1061:I1076"/>
    <mergeCell ref="F1045:F1060"/>
    <mergeCell ref="G1045:G1060"/>
    <mergeCell ref="H1045:H1060"/>
    <mergeCell ref="I1045:I1060"/>
    <mergeCell ref="J1045:J1060"/>
    <mergeCell ref="P1045:P1060"/>
    <mergeCell ref="H1029:H1044"/>
    <mergeCell ref="I1029:I1044"/>
    <mergeCell ref="J1029:J1044"/>
    <mergeCell ref="P1029:P1044"/>
    <mergeCell ref="Q1029:Q1044"/>
    <mergeCell ref="A1045:A1060"/>
    <mergeCell ref="B1045:B1060"/>
    <mergeCell ref="C1045:C1060"/>
    <mergeCell ref="D1045:D1060"/>
    <mergeCell ref="E1045:E1060"/>
    <mergeCell ref="J1013:J1028"/>
    <mergeCell ref="P1013:P1028"/>
    <mergeCell ref="Q1013:Q1028"/>
    <mergeCell ref="A1029:A1044"/>
    <mergeCell ref="B1029:B1044"/>
    <mergeCell ref="C1029:C1044"/>
    <mergeCell ref="D1029:D1044"/>
    <mergeCell ref="E1029:E1044"/>
    <mergeCell ref="F1029:F1044"/>
    <mergeCell ref="G1029:G1044"/>
    <mergeCell ref="Q997:Q1012"/>
    <mergeCell ref="A1013:A1028"/>
    <mergeCell ref="B1013:B1028"/>
    <mergeCell ref="C1013:C1028"/>
    <mergeCell ref="D1013:D1028"/>
    <mergeCell ref="E1013:E1028"/>
    <mergeCell ref="F1013:F1028"/>
    <mergeCell ref="G1013:G1028"/>
    <mergeCell ref="H1013:H1028"/>
    <mergeCell ref="I1013:I1028"/>
    <mergeCell ref="F997:F1012"/>
    <mergeCell ref="G997:G1012"/>
    <mergeCell ref="H997:H1012"/>
    <mergeCell ref="I997:I1012"/>
    <mergeCell ref="J997:J1012"/>
    <mergeCell ref="P997:P1012"/>
    <mergeCell ref="H981:H996"/>
    <mergeCell ref="I981:I996"/>
    <mergeCell ref="J981:J996"/>
    <mergeCell ref="P981:P996"/>
    <mergeCell ref="Q981:Q996"/>
    <mergeCell ref="A997:A1012"/>
    <mergeCell ref="B997:B1012"/>
    <mergeCell ref="C997:C1012"/>
    <mergeCell ref="D997:D1012"/>
    <mergeCell ref="E997:E1012"/>
    <mergeCell ref="J965:J980"/>
    <mergeCell ref="P965:P980"/>
    <mergeCell ref="Q965:Q980"/>
    <mergeCell ref="A981:A996"/>
    <mergeCell ref="B981:B996"/>
    <mergeCell ref="C981:C996"/>
    <mergeCell ref="D981:D996"/>
    <mergeCell ref="E981:E996"/>
    <mergeCell ref="F981:F996"/>
    <mergeCell ref="G981:G996"/>
    <mergeCell ref="Q949:Q964"/>
    <mergeCell ref="A965:A980"/>
    <mergeCell ref="B965:B980"/>
    <mergeCell ref="C965:C980"/>
    <mergeCell ref="D965:D980"/>
    <mergeCell ref="E965:E980"/>
    <mergeCell ref="F965:F980"/>
    <mergeCell ref="G965:G980"/>
    <mergeCell ref="H965:H980"/>
    <mergeCell ref="I965:I980"/>
    <mergeCell ref="F949:F964"/>
    <mergeCell ref="G949:G964"/>
    <mergeCell ref="H949:H964"/>
    <mergeCell ref="I949:I964"/>
    <mergeCell ref="J949:J964"/>
    <mergeCell ref="P949:P964"/>
    <mergeCell ref="H933:H948"/>
    <mergeCell ref="I933:I948"/>
    <mergeCell ref="J933:J948"/>
    <mergeCell ref="P933:P948"/>
    <mergeCell ref="Q933:Q948"/>
    <mergeCell ref="A949:A964"/>
    <mergeCell ref="B949:B964"/>
    <mergeCell ref="C949:C964"/>
    <mergeCell ref="D949:D964"/>
    <mergeCell ref="E949:E964"/>
    <mergeCell ref="J917:J932"/>
    <mergeCell ref="P917:P932"/>
    <mergeCell ref="Q917:Q932"/>
    <mergeCell ref="A933:A948"/>
    <mergeCell ref="B933:B948"/>
    <mergeCell ref="C933:C948"/>
    <mergeCell ref="D933:D948"/>
    <mergeCell ref="E933:E948"/>
    <mergeCell ref="F933:F948"/>
    <mergeCell ref="G933:G948"/>
    <mergeCell ref="Q901:Q916"/>
    <mergeCell ref="A917:A932"/>
    <mergeCell ref="B917:B932"/>
    <mergeCell ref="C917:C932"/>
    <mergeCell ref="D917:D932"/>
    <mergeCell ref="E917:E932"/>
    <mergeCell ref="F917:F932"/>
    <mergeCell ref="G917:G932"/>
    <mergeCell ref="H917:H932"/>
    <mergeCell ref="I917:I932"/>
    <mergeCell ref="F901:F916"/>
    <mergeCell ref="G901:G916"/>
    <mergeCell ref="H901:H916"/>
    <mergeCell ref="I901:I916"/>
    <mergeCell ref="J901:J916"/>
    <mergeCell ref="P901:P916"/>
    <mergeCell ref="H885:H900"/>
    <mergeCell ref="I885:I900"/>
    <mergeCell ref="J885:J900"/>
    <mergeCell ref="P885:P900"/>
    <mergeCell ref="Q885:Q900"/>
    <mergeCell ref="A901:A916"/>
    <mergeCell ref="B901:B916"/>
    <mergeCell ref="C901:C916"/>
    <mergeCell ref="D901:D916"/>
    <mergeCell ref="E901:E916"/>
    <mergeCell ref="J869:J884"/>
    <mergeCell ref="P869:P884"/>
    <mergeCell ref="Q869:Q884"/>
    <mergeCell ref="A885:A900"/>
    <mergeCell ref="B885:B900"/>
    <mergeCell ref="C885:C900"/>
    <mergeCell ref="D885:D900"/>
    <mergeCell ref="E885:E900"/>
    <mergeCell ref="F885:F900"/>
    <mergeCell ref="G885:G900"/>
    <mergeCell ref="Q853:Q868"/>
    <mergeCell ref="A869:A884"/>
    <mergeCell ref="B869:B884"/>
    <mergeCell ref="C869:C884"/>
    <mergeCell ref="D869:D884"/>
    <mergeCell ref="E869:E884"/>
    <mergeCell ref="F869:F884"/>
    <mergeCell ref="G869:G884"/>
    <mergeCell ref="H869:H884"/>
    <mergeCell ref="I869:I884"/>
    <mergeCell ref="F853:F868"/>
    <mergeCell ref="G853:G868"/>
    <mergeCell ref="H853:H868"/>
    <mergeCell ref="I853:I868"/>
    <mergeCell ref="J853:J868"/>
    <mergeCell ref="P853:P868"/>
    <mergeCell ref="H837:H852"/>
    <mergeCell ref="I837:I852"/>
    <mergeCell ref="J837:J852"/>
    <mergeCell ref="P837:P852"/>
    <mergeCell ref="Q837:Q852"/>
    <mergeCell ref="A853:A868"/>
    <mergeCell ref="B853:B868"/>
    <mergeCell ref="C853:C868"/>
    <mergeCell ref="D853:D868"/>
    <mergeCell ref="E853:E868"/>
    <mergeCell ref="J821:J836"/>
    <mergeCell ref="P821:P836"/>
    <mergeCell ref="Q821:Q836"/>
    <mergeCell ref="A837:A852"/>
    <mergeCell ref="B837:B852"/>
    <mergeCell ref="C837:C852"/>
    <mergeCell ref="D837:D852"/>
    <mergeCell ref="E837:E852"/>
    <mergeCell ref="F837:F852"/>
    <mergeCell ref="G837:G852"/>
    <mergeCell ref="Q805:Q820"/>
    <mergeCell ref="A821:A836"/>
    <mergeCell ref="B821:B836"/>
    <mergeCell ref="C821:C836"/>
    <mergeCell ref="D821:D836"/>
    <mergeCell ref="E821:E836"/>
    <mergeCell ref="F821:F836"/>
    <mergeCell ref="G821:G836"/>
    <mergeCell ref="H821:H836"/>
    <mergeCell ref="I821:I836"/>
    <mergeCell ref="F805:F820"/>
    <mergeCell ref="G805:G820"/>
    <mergeCell ref="H805:H820"/>
    <mergeCell ref="I805:I820"/>
    <mergeCell ref="J805:J820"/>
    <mergeCell ref="P805:P820"/>
    <mergeCell ref="H789:H804"/>
    <mergeCell ref="I789:I804"/>
    <mergeCell ref="J789:J804"/>
    <mergeCell ref="P789:P804"/>
    <mergeCell ref="Q789:Q804"/>
    <mergeCell ref="A805:A820"/>
    <mergeCell ref="B805:B820"/>
    <mergeCell ref="C805:C820"/>
    <mergeCell ref="D805:D820"/>
    <mergeCell ref="E805:E820"/>
    <mergeCell ref="J773:J788"/>
    <mergeCell ref="P773:P788"/>
    <mergeCell ref="Q773:Q788"/>
    <mergeCell ref="A789:A804"/>
    <mergeCell ref="B789:B804"/>
    <mergeCell ref="C789:C804"/>
    <mergeCell ref="D789:D804"/>
    <mergeCell ref="E789:E804"/>
    <mergeCell ref="F789:F804"/>
    <mergeCell ref="G789:G804"/>
    <mergeCell ref="Q757:Q772"/>
    <mergeCell ref="A773:A788"/>
    <mergeCell ref="B773:B788"/>
    <mergeCell ref="C773:C788"/>
    <mergeCell ref="D773:D788"/>
    <mergeCell ref="E773:E788"/>
    <mergeCell ref="F773:F788"/>
    <mergeCell ref="G773:G788"/>
    <mergeCell ref="H773:H788"/>
    <mergeCell ref="I773:I788"/>
    <mergeCell ref="F757:F772"/>
    <mergeCell ref="G757:G772"/>
    <mergeCell ref="H757:H772"/>
    <mergeCell ref="I757:I772"/>
    <mergeCell ref="J757:J772"/>
    <mergeCell ref="P757:P772"/>
    <mergeCell ref="H741:H756"/>
    <mergeCell ref="I741:I756"/>
    <mergeCell ref="J741:J756"/>
    <mergeCell ref="P741:P756"/>
    <mergeCell ref="Q741:Q756"/>
    <mergeCell ref="A757:A772"/>
    <mergeCell ref="B757:B772"/>
    <mergeCell ref="C757:C772"/>
    <mergeCell ref="D757:D772"/>
    <mergeCell ref="E757:E772"/>
    <mergeCell ref="J725:J740"/>
    <mergeCell ref="P725:P740"/>
    <mergeCell ref="Q725:Q740"/>
    <mergeCell ref="A741:A756"/>
    <mergeCell ref="B741:B756"/>
    <mergeCell ref="C741:C756"/>
    <mergeCell ref="D741:D756"/>
    <mergeCell ref="E741:E756"/>
    <mergeCell ref="F741:F756"/>
    <mergeCell ref="G741:G756"/>
    <mergeCell ref="Q709:Q724"/>
    <mergeCell ref="A725:A740"/>
    <mergeCell ref="B725:B740"/>
    <mergeCell ref="C725:C740"/>
    <mergeCell ref="D725:D740"/>
    <mergeCell ref="E725:E740"/>
    <mergeCell ref="F725:F740"/>
    <mergeCell ref="G725:G740"/>
    <mergeCell ref="H725:H740"/>
    <mergeCell ref="I725:I740"/>
    <mergeCell ref="F709:F724"/>
    <mergeCell ref="G709:G724"/>
    <mergeCell ref="H709:H724"/>
    <mergeCell ref="I709:I724"/>
    <mergeCell ref="J709:J724"/>
    <mergeCell ref="P709:P724"/>
    <mergeCell ref="H693:H708"/>
    <mergeCell ref="I693:I708"/>
    <mergeCell ref="J693:J708"/>
    <mergeCell ref="P693:P708"/>
    <mergeCell ref="Q693:Q708"/>
    <mergeCell ref="A709:A724"/>
    <mergeCell ref="B709:B724"/>
    <mergeCell ref="C709:C724"/>
    <mergeCell ref="D709:D724"/>
    <mergeCell ref="E709:E724"/>
    <mergeCell ref="J677:J692"/>
    <mergeCell ref="P677:P692"/>
    <mergeCell ref="Q677:Q692"/>
    <mergeCell ref="A693:A708"/>
    <mergeCell ref="B693:B708"/>
    <mergeCell ref="C693:C708"/>
    <mergeCell ref="D693:D708"/>
    <mergeCell ref="E693:E708"/>
    <mergeCell ref="F693:F708"/>
    <mergeCell ref="G693:G708"/>
    <mergeCell ref="Q661:Q676"/>
    <mergeCell ref="A677:A692"/>
    <mergeCell ref="B677:B692"/>
    <mergeCell ref="C677:C692"/>
    <mergeCell ref="D677:D692"/>
    <mergeCell ref="E677:E692"/>
    <mergeCell ref="F677:F692"/>
    <mergeCell ref="G677:G692"/>
    <mergeCell ref="H677:H692"/>
    <mergeCell ref="I677:I692"/>
    <mergeCell ref="F661:F676"/>
    <mergeCell ref="G661:G676"/>
    <mergeCell ref="H661:H676"/>
    <mergeCell ref="I661:I676"/>
    <mergeCell ref="J661:J676"/>
    <mergeCell ref="P661:P676"/>
    <mergeCell ref="H645:H660"/>
    <mergeCell ref="I645:I660"/>
    <mergeCell ref="J645:J660"/>
    <mergeCell ref="P645:P660"/>
    <mergeCell ref="Q645:Q660"/>
    <mergeCell ref="A661:A676"/>
    <mergeCell ref="B661:B676"/>
    <mergeCell ref="C661:C676"/>
    <mergeCell ref="D661:D676"/>
    <mergeCell ref="E661:E676"/>
    <mergeCell ref="J629:J644"/>
    <mergeCell ref="P629:P644"/>
    <mergeCell ref="Q629:Q644"/>
    <mergeCell ref="A645:A660"/>
    <mergeCell ref="B645:B660"/>
    <mergeCell ref="C645:C660"/>
    <mergeCell ref="D645:D660"/>
    <mergeCell ref="E645:E660"/>
    <mergeCell ref="F645:F660"/>
    <mergeCell ref="G645:G660"/>
    <mergeCell ref="Q613:Q628"/>
    <mergeCell ref="A629:A644"/>
    <mergeCell ref="B629:B644"/>
    <mergeCell ref="C629:C644"/>
    <mergeCell ref="D629:D644"/>
    <mergeCell ref="E629:E644"/>
    <mergeCell ref="F629:F644"/>
    <mergeCell ref="G629:G644"/>
    <mergeCell ref="H629:H644"/>
    <mergeCell ref="I629:I644"/>
    <mergeCell ref="F613:F628"/>
    <mergeCell ref="G613:G628"/>
    <mergeCell ref="H613:H628"/>
    <mergeCell ref="I613:I628"/>
    <mergeCell ref="J613:J628"/>
    <mergeCell ref="P613:P628"/>
    <mergeCell ref="H597:H612"/>
    <mergeCell ref="I597:I612"/>
    <mergeCell ref="J597:J612"/>
    <mergeCell ref="P597:P612"/>
    <mergeCell ref="Q597:Q612"/>
    <mergeCell ref="A613:A628"/>
    <mergeCell ref="B613:B628"/>
    <mergeCell ref="C613:C628"/>
    <mergeCell ref="D613:D628"/>
    <mergeCell ref="E613:E628"/>
    <mergeCell ref="J581:J596"/>
    <mergeCell ref="P581:P596"/>
    <mergeCell ref="Q581:Q596"/>
    <mergeCell ref="A597:A612"/>
    <mergeCell ref="B597:B612"/>
    <mergeCell ref="C597:C612"/>
    <mergeCell ref="D597:D612"/>
    <mergeCell ref="E597:E612"/>
    <mergeCell ref="F597:F612"/>
    <mergeCell ref="G597:G612"/>
    <mergeCell ref="Q565:Q580"/>
    <mergeCell ref="A581:A596"/>
    <mergeCell ref="B581:B596"/>
    <mergeCell ref="C581:C596"/>
    <mergeCell ref="D581:D596"/>
    <mergeCell ref="E581:E596"/>
    <mergeCell ref="F581:F596"/>
    <mergeCell ref="G581:G596"/>
    <mergeCell ref="H581:H596"/>
    <mergeCell ref="I581:I596"/>
    <mergeCell ref="F565:F580"/>
    <mergeCell ref="G565:G580"/>
    <mergeCell ref="H565:H580"/>
    <mergeCell ref="I565:I580"/>
    <mergeCell ref="J565:J580"/>
    <mergeCell ref="P565:P580"/>
    <mergeCell ref="H549:H564"/>
    <mergeCell ref="I549:I564"/>
    <mergeCell ref="J549:J564"/>
    <mergeCell ref="P549:P564"/>
    <mergeCell ref="Q549:Q564"/>
    <mergeCell ref="A565:A580"/>
    <mergeCell ref="B565:B580"/>
    <mergeCell ref="C565:C580"/>
    <mergeCell ref="D565:D580"/>
    <mergeCell ref="E565:E580"/>
    <mergeCell ref="J533:J548"/>
    <mergeCell ref="P533:P548"/>
    <mergeCell ref="Q533:Q548"/>
    <mergeCell ref="A549:A564"/>
    <mergeCell ref="B549:B564"/>
    <mergeCell ref="C549:C564"/>
    <mergeCell ref="D549:D564"/>
    <mergeCell ref="E549:E564"/>
    <mergeCell ref="F549:F564"/>
    <mergeCell ref="G549:G564"/>
    <mergeCell ref="Q517:Q532"/>
    <mergeCell ref="A533:A548"/>
    <mergeCell ref="B533:B548"/>
    <mergeCell ref="C533:C548"/>
    <mergeCell ref="D533:D548"/>
    <mergeCell ref="E533:E548"/>
    <mergeCell ref="F533:F548"/>
    <mergeCell ref="G533:G548"/>
    <mergeCell ref="H533:H548"/>
    <mergeCell ref="I533:I548"/>
    <mergeCell ref="F517:F532"/>
    <mergeCell ref="G517:G532"/>
    <mergeCell ref="H517:H532"/>
    <mergeCell ref="I517:I532"/>
    <mergeCell ref="J517:J532"/>
    <mergeCell ref="P517:P532"/>
    <mergeCell ref="H501:H516"/>
    <mergeCell ref="I501:I516"/>
    <mergeCell ref="J501:J516"/>
    <mergeCell ref="P501:P516"/>
    <mergeCell ref="Q501:Q516"/>
    <mergeCell ref="A517:A532"/>
    <mergeCell ref="B517:B532"/>
    <mergeCell ref="C517:C532"/>
    <mergeCell ref="D517:D532"/>
    <mergeCell ref="E517:E532"/>
    <mergeCell ref="J485:J500"/>
    <mergeCell ref="P485:P500"/>
    <mergeCell ref="Q485:Q500"/>
    <mergeCell ref="A501:A516"/>
    <mergeCell ref="B501:B516"/>
    <mergeCell ref="C501:C516"/>
    <mergeCell ref="D501:D516"/>
    <mergeCell ref="E501:E516"/>
    <mergeCell ref="F501:F516"/>
    <mergeCell ref="G501:G516"/>
    <mergeCell ref="Q469:Q484"/>
    <mergeCell ref="A485:A500"/>
    <mergeCell ref="B485:B500"/>
    <mergeCell ref="C485:C500"/>
    <mergeCell ref="D485:D500"/>
    <mergeCell ref="E485:E500"/>
    <mergeCell ref="F485:F500"/>
    <mergeCell ref="G485:G500"/>
    <mergeCell ref="H485:H500"/>
    <mergeCell ref="I485:I500"/>
    <mergeCell ref="F469:F484"/>
    <mergeCell ref="G469:G484"/>
    <mergeCell ref="H469:H484"/>
    <mergeCell ref="I469:I484"/>
    <mergeCell ref="J469:J484"/>
    <mergeCell ref="P469:P484"/>
    <mergeCell ref="H453:H468"/>
    <mergeCell ref="I453:I468"/>
    <mergeCell ref="J453:J468"/>
    <mergeCell ref="P453:P468"/>
    <mergeCell ref="Q453:Q468"/>
    <mergeCell ref="A469:A484"/>
    <mergeCell ref="B469:B484"/>
    <mergeCell ref="C469:C484"/>
    <mergeCell ref="D469:D484"/>
    <mergeCell ref="E469:E484"/>
    <mergeCell ref="J437:J452"/>
    <mergeCell ref="P437:P452"/>
    <mergeCell ref="Q437:Q452"/>
    <mergeCell ref="A453:A468"/>
    <mergeCell ref="B453:B468"/>
    <mergeCell ref="C453:C468"/>
    <mergeCell ref="D453:D468"/>
    <mergeCell ref="E453:E468"/>
    <mergeCell ref="F453:F468"/>
    <mergeCell ref="G453:G468"/>
    <mergeCell ref="Q421:Q436"/>
    <mergeCell ref="A437:A452"/>
    <mergeCell ref="B437:B452"/>
    <mergeCell ref="C437:C452"/>
    <mergeCell ref="D437:D452"/>
    <mergeCell ref="E437:E452"/>
    <mergeCell ref="F437:F452"/>
    <mergeCell ref="G437:G452"/>
    <mergeCell ref="H437:H452"/>
    <mergeCell ref="I437:I452"/>
    <mergeCell ref="F421:F436"/>
    <mergeCell ref="G421:G436"/>
    <mergeCell ref="H421:H436"/>
    <mergeCell ref="I421:I436"/>
    <mergeCell ref="J421:J436"/>
    <mergeCell ref="P421:P436"/>
    <mergeCell ref="H405:H420"/>
    <mergeCell ref="I405:I420"/>
    <mergeCell ref="J405:J420"/>
    <mergeCell ref="P405:P420"/>
    <mergeCell ref="Q405:Q420"/>
    <mergeCell ref="A421:A436"/>
    <mergeCell ref="B421:B436"/>
    <mergeCell ref="C421:C436"/>
    <mergeCell ref="D421:D436"/>
    <mergeCell ref="E421:E436"/>
    <mergeCell ref="J389:J404"/>
    <mergeCell ref="P389:P404"/>
    <mergeCell ref="Q389:Q404"/>
    <mergeCell ref="A405:A420"/>
    <mergeCell ref="B405:B420"/>
    <mergeCell ref="C405:C420"/>
    <mergeCell ref="D405:D420"/>
    <mergeCell ref="E405:E420"/>
    <mergeCell ref="F405:F420"/>
    <mergeCell ref="G405:G420"/>
    <mergeCell ref="Q373:Q388"/>
    <mergeCell ref="A389:A404"/>
    <mergeCell ref="B389:B404"/>
    <mergeCell ref="C389:C404"/>
    <mergeCell ref="D389:D404"/>
    <mergeCell ref="E389:E404"/>
    <mergeCell ref="F389:F404"/>
    <mergeCell ref="G389:G404"/>
    <mergeCell ref="H389:H404"/>
    <mergeCell ref="I389:I404"/>
    <mergeCell ref="F373:F388"/>
    <mergeCell ref="G373:G388"/>
    <mergeCell ref="H373:H388"/>
    <mergeCell ref="I373:I388"/>
    <mergeCell ref="J373:J388"/>
    <mergeCell ref="P373:P388"/>
    <mergeCell ref="H357:H372"/>
    <mergeCell ref="I357:I372"/>
    <mergeCell ref="J357:J372"/>
    <mergeCell ref="P357:P372"/>
    <mergeCell ref="Q357:Q372"/>
    <mergeCell ref="A373:A388"/>
    <mergeCell ref="B373:B388"/>
    <mergeCell ref="C373:C388"/>
    <mergeCell ref="D373:D388"/>
    <mergeCell ref="E373:E388"/>
    <mergeCell ref="J341:J356"/>
    <mergeCell ref="P341:P356"/>
    <mergeCell ref="Q341:Q356"/>
    <mergeCell ref="A357:A372"/>
    <mergeCell ref="B357:B372"/>
    <mergeCell ref="C357:C372"/>
    <mergeCell ref="D357:D372"/>
    <mergeCell ref="E357:E372"/>
    <mergeCell ref="F357:F372"/>
    <mergeCell ref="G357:G372"/>
    <mergeCell ref="Q325:Q340"/>
    <mergeCell ref="A341:A356"/>
    <mergeCell ref="B341:B356"/>
    <mergeCell ref="C341:C356"/>
    <mergeCell ref="D341:D356"/>
    <mergeCell ref="E341:E356"/>
    <mergeCell ref="F341:F356"/>
    <mergeCell ref="G341:G356"/>
    <mergeCell ref="H341:H356"/>
    <mergeCell ref="I341:I356"/>
    <mergeCell ref="F325:F340"/>
    <mergeCell ref="G325:G340"/>
    <mergeCell ref="H325:H340"/>
    <mergeCell ref="I325:I340"/>
    <mergeCell ref="J325:J340"/>
    <mergeCell ref="P325:P340"/>
    <mergeCell ref="H309:H324"/>
    <mergeCell ref="I309:I324"/>
    <mergeCell ref="J309:J324"/>
    <mergeCell ref="P309:P324"/>
    <mergeCell ref="Q309:Q324"/>
    <mergeCell ref="A325:A340"/>
    <mergeCell ref="B325:B340"/>
    <mergeCell ref="C325:C340"/>
    <mergeCell ref="D325:D340"/>
    <mergeCell ref="E325:E340"/>
    <mergeCell ref="J293:J308"/>
    <mergeCell ref="P293:P308"/>
    <mergeCell ref="Q293:Q308"/>
    <mergeCell ref="A309:A324"/>
    <mergeCell ref="B309:B324"/>
    <mergeCell ref="C309:C324"/>
    <mergeCell ref="D309:D324"/>
    <mergeCell ref="E309:E324"/>
    <mergeCell ref="F309:F324"/>
    <mergeCell ref="G309:G324"/>
    <mergeCell ref="Q277:Q292"/>
    <mergeCell ref="A293:A308"/>
    <mergeCell ref="B293:B308"/>
    <mergeCell ref="C293:C308"/>
    <mergeCell ref="D293:D308"/>
    <mergeCell ref="E293:E308"/>
    <mergeCell ref="F293:F308"/>
    <mergeCell ref="G293:G308"/>
    <mergeCell ref="H293:H308"/>
    <mergeCell ref="I293:I308"/>
    <mergeCell ref="F277:F292"/>
    <mergeCell ref="G277:G292"/>
    <mergeCell ref="H277:H292"/>
    <mergeCell ref="I277:I292"/>
    <mergeCell ref="J277:J292"/>
    <mergeCell ref="P277:P292"/>
    <mergeCell ref="H261:H276"/>
    <mergeCell ref="I261:I276"/>
    <mergeCell ref="J261:J276"/>
    <mergeCell ref="P261:P276"/>
    <mergeCell ref="Q261:Q276"/>
    <mergeCell ref="A277:A292"/>
    <mergeCell ref="B277:B292"/>
    <mergeCell ref="C277:C292"/>
    <mergeCell ref="D277:D292"/>
    <mergeCell ref="E277:E292"/>
    <mergeCell ref="J245:J260"/>
    <mergeCell ref="P245:P260"/>
    <mergeCell ref="Q245:Q260"/>
    <mergeCell ref="A261:A276"/>
    <mergeCell ref="B261:B276"/>
    <mergeCell ref="C261:C276"/>
    <mergeCell ref="D261:D276"/>
    <mergeCell ref="E261:E276"/>
    <mergeCell ref="F261:F276"/>
    <mergeCell ref="G261:G276"/>
    <mergeCell ref="Q229:Q244"/>
    <mergeCell ref="A245:A260"/>
    <mergeCell ref="B245:B260"/>
    <mergeCell ref="C245:C260"/>
    <mergeCell ref="D245:D260"/>
    <mergeCell ref="E245:E260"/>
    <mergeCell ref="F245:F260"/>
    <mergeCell ref="G245:G260"/>
    <mergeCell ref="H245:H260"/>
    <mergeCell ref="I245:I260"/>
    <mergeCell ref="F229:F244"/>
    <mergeCell ref="G229:G244"/>
    <mergeCell ref="H229:H244"/>
    <mergeCell ref="I229:I244"/>
    <mergeCell ref="J229:J244"/>
    <mergeCell ref="P229:P244"/>
    <mergeCell ref="H213:H228"/>
    <mergeCell ref="I213:I228"/>
    <mergeCell ref="J213:J228"/>
    <mergeCell ref="P213:P228"/>
    <mergeCell ref="Q213:Q228"/>
    <mergeCell ref="A229:A244"/>
    <mergeCell ref="B229:B244"/>
    <mergeCell ref="C229:C244"/>
    <mergeCell ref="D229:D244"/>
    <mergeCell ref="E229:E244"/>
    <mergeCell ref="J197:J212"/>
    <mergeCell ref="P197:P212"/>
    <mergeCell ref="Q197:Q212"/>
    <mergeCell ref="A213:A228"/>
    <mergeCell ref="B213:B228"/>
    <mergeCell ref="C213:C228"/>
    <mergeCell ref="D213:D228"/>
    <mergeCell ref="E213:E228"/>
    <mergeCell ref="F213:F228"/>
    <mergeCell ref="G213:G228"/>
    <mergeCell ref="Q181:Q196"/>
    <mergeCell ref="A197:A212"/>
    <mergeCell ref="B197:B212"/>
    <mergeCell ref="C197:C212"/>
    <mergeCell ref="D197:D212"/>
    <mergeCell ref="E197:E212"/>
    <mergeCell ref="F197:F212"/>
    <mergeCell ref="G197:G212"/>
    <mergeCell ref="H197:H212"/>
    <mergeCell ref="I197:I212"/>
    <mergeCell ref="F181:F196"/>
    <mergeCell ref="G181:G196"/>
    <mergeCell ref="H181:H196"/>
    <mergeCell ref="I181:I196"/>
    <mergeCell ref="J181:J196"/>
    <mergeCell ref="P181:P196"/>
    <mergeCell ref="H165:H180"/>
    <mergeCell ref="I165:I180"/>
    <mergeCell ref="J165:J180"/>
    <mergeCell ref="P165:P180"/>
    <mergeCell ref="Q165:Q180"/>
    <mergeCell ref="A181:A196"/>
    <mergeCell ref="B181:B196"/>
    <mergeCell ref="C181:C196"/>
    <mergeCell ref="D181:D196"/>
    <mergeCell ref="E181:E196"/>
    <mergeCell ref="J149:J164"/>
    <mergeCell ref="P149:P164"/>
    <mergeCell ref="Q149:Q164"/>
    <mergeCell ref="A165:A180"/>
    <mergeCell ref="B165:B180"/>
    <mergeCell ref="C165:C180"/>
    <mergeCell ref="D165:D180"/>
    <mergeCell ref="E165:E180"/>
    <mergeCell ref="F165:F180"/>
    <mergeCell ref="G165:G180"/>
    <mergeCell ref="Q133:Q148"/>
    <mergeCell ref="A149:A164"/>
    <mergeCell ref="B149:B164"/>
    <mergeCell ref="C149:C164"/>
    <mergeCell ref="D149:D164"/>
    <mergeCell ref="E149:E164"/>
    <mergeCell ref="F149:F164"/>
    <mergeCell ref="G149:G164"/>
    <mergeCell ref="H149:H164"/>
    <mergeCell ref="I149:I164"/>
    <mergeCell ref="F133:F148"/>
    <mergeCell ref="G133:G148"/>
    <mergeCell ref="H133:H148"/>
    <mergeCell ref="I133:I148"/>
    <mergeCell ref="J133:J148"/>
    <mergeCell ref="P133:P148"/>
    <mergeCell ref="H117:H132"/>
    <mergeCell ref="I117:I132"/>
    <mergeCell ref="J117:J132"/>
    <mergeCell ref="P117:P132"/>
    <mergeCell ref="Q117:Q132"/>
    <mergeCell ref="A133:A148"/>
    <mergeCell ref="B133:B148"/>
    <mergeCell ref="C133:C148"/>
    <mergeCell ref="D133:D148"/>
    <mergeCell ref="E133:E148"/>
    <mergeCell ref="J101:J116"/>
    <mergeCell ref="P101:P116"/>
    <mergeCell ref="Q101:Q116"/>
    <mergeCell ref="A117:A132"/>
    <mergeCell ref="B117:B132"/>
    <mergeCell ref="C117:C132"/>
    <mergeCell ref="D117:D132"/>
    <mergeCell ref="E117:E132"/>
    <mergeCell ref="F117:F132"/>
    <mergeCell ref="G117:G132"/>
    <mergeCell ref="Q85:Q100"/>
    <mergeCell ref="A101:A116"/>
    <mergeCell ref="B101:B116"/>
    <mergeCell ref="C101:C116"/>
    <mergeCell ref="D101:D116"/>
    <mergeCell ref="E101:E116"/>
    <mergeCell ref="F101:F116"/>
    <mergeCell ref="G101:G116"/>
    <mergeCell ref="H101:H116"/>
    <mergeCell ref="I101:I116"/>
    <mergeCell ref="F85:F100"/>
    <mergeCell ref="G85:G100"/>
    <mergeCell ref="H85:H100"/>
    <mergeCell ref="I85:I100"/>
    <mergeCell ref="J85:J100"/>
    <mergeCell ref="P85:P100"/>
    <mergeCell ref="H69:H84"/>
    <mergeCell ref="I69:I84"/>
    <mergeCell ref="J69:J84"/>
    <mergeCell ref="P69:P84"/>
    <mergeCell ref="Q69:Q84"/>
    <mergeCell ref="A85:A100"/>
    <mergeCell ref="B85:B100"/>
    <mergeCell ref="C85:C100"/>
    <mergeCell ref="D85:D100"/>
    <mergeCell ref="E85:E100"/>
    <mergeCell ref="J53:J68"/>
    <mergeCell ref="P53:P68"/>
    <mergeCell ref="Q53:Q68"/>
    <mergeCell ref="A69:A84"/>
    <mergeCell ref="B69:B84"/>
    <mergeCell ref="C69:C84"/>
    <mergeCell ref="D69:D84"/>
    <mergeCell ref="E69:E84"/>
    <mergeCell ref="F69:F84"/>
    <mergeCell ref="G69:G84"/>
    <mergeCell ref="Q37:Q52"/>
    <mergeCell ref="A53:A68"/>
    <mergeCell ref="B53:B68"/>
    <mergeCell ref="C53:C68"/>
    <mergeCell ref="D53:D68"/>
    <mergeCell ref="E53:E68"/>
    <mergeCell ref="F53:F68"/>
    <mergeCell ref="G53:G68"/>
    <mergeCell ref="H53:H68"/>
    <mergeCell ref="I53:I68"/>
    <mergeCell ref="F37:F52"/>
    <mergeCell ref="G37:G52"/>
    <mergeCell ref="H37:H52"/>
    <mergeCell ref="I37:I52"/>
    <mergeCell ref="J37:J52"/>
    <mergeCell ref="P37:P52"/>
    <mergeCell ref="H21:H36"/>
    <mergeCell ref="I21:I36"/>
    <mergeCell ref="J21:J36"/>
    <mergeCell ref="P21:P36"/>
    <mergeCell ref="Q21:Q36"/>
    <mergeCell ref="A37:A52"/>
    <mergeCell ref="B37:B52"/>
    <mergeCell ref="C37:C52"/>
    <mergeCell ref="D37:D52"/>
    <mergeCell ref="E37:E52"/>
    <mergeCell ref="J5:J20"/>
    <mergeCell ref="P5:P20"/>
    <mergeCell ref="Q5:Q20"/>
    <mergeCell ref="A21:A36"/>
    <mergeCell ref="B21:B36"/>
    <mergeCell ref="C21:C36"/>
    <mergeCell ref="D21:D36"/>
    <mergeCell ref="E21:E36"/>
    <mergeCell ref="F21:F36"/>
    <mergeCell ref="G21:G36"/>
    <mergeCell ref="A4:R4"/>
    <mergeCell ref="A5:A20"/>
    <mergeCell ref="B5:B20"/>
    <mergeCell ref="C5:C20"/>
    <mergeCell ref="D5:D20"/>
    <mergeCell ref="E5:E20"/>
    <mergeCell ref="F5:F20"/>
    <mergeCell ref="G5:G20"/>
    <mergeCell ref="H5:H20"/>
    <mergeCell ref="I5:I20"/>
  </mergeCell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autoPageBreaks="0" fitToPage="1"/>
  </sheetPr>
  <dimension ref="A1:AL99"/>
  <sheetViews>
    <sheetView showGridLines="0" zoomScaleNormal="100" zoomScaleSheetLayoutView="57" workbookViewId="0">
      <pane xSplit="4" ySplit="3" topLeftCell="I4" activePane="bottomRight" state="frozen"/>
      <selection pane="bottomRight" activeCell="Q4" sqref="Q4:Q24"/>
      <selection pane="bottomLeft" activeCell="A4" sqref="A4"/>
      <selection pane="topRight" activeCell="E1" sqref="E1"/>
    </sheetView>
  </sheetViews>
  <sheetFormatPr defaultColWidth="9.140625" defaultRowHeight="12.75"/>
  <cols>
    <col min="1" max="1" width="12.5703125" style="1" bestFit="1" customWidth="1"/>
    <col min="2" max="2" width="9.5703125" style="1" bestFit="1" customWidth="1"/>
    <col min="3" max="3" width="10.5703125" style="3" bestFit="1" customWidth="1"/>
    <col min="4" max="4" width="14.42578125" style="1" customWidth="1"/>
    <col min="5" max="6" width="15.28515625" style="1" customWidth="1"/>
    <col min="7" max="7" width="17" style="1" bestFit="1" customWidth="1"/>
    <col min="8" max="9" width="41.5703125" style="1" customWidth="1"/>
    <col min="10" max="15" width="10.7109375" style="1" customWidth="1"/>
    <col min="16" max="17" width="15.7109375" style="1" customWidth="1"/>
    <col min="18" max="18" width="38" style="1" bestFit="1" customWidth="1"/>
    <col min="19" max="19" width="46.28515625" style="1" bestFit="1" customWidth="1"/>
    <col min="20" max="20" width="21.42578125" style="1" bestFit="1" customWidth="1"/>
    <col min="21" max="21" width="12.5703125" style="1" customWidth="1"/>
    <col min="22" max="22" width="12.140625" style="1" bestFit="1" customWidth="1"/>
    <col min="23" max="23" width="17.7109375" style="1" customWidth="1"/>
    <col min="24" max="24" width="16.5703125" style="1" bestFit="1" customWidth="1"/>
    <col min="25" max="25" width="16.5703125" style="1" customWidth="1"/>
    <col min="26" max="26" width="16.85546875" style="1" bestFit="1" customWidth="1"/>
    <col min="27" max="27" width="9.85546875" style="1" bestFit="1" customWidth="1"/>
    <col min="28" max="28" width="8.7109375" style="49" customWidth="1"/>
    <col min="29" max="38" width="9.140625" style="49"/>
    <col min="39" max="16384" width="9.140625" style="46"/>
  </cols>
  <sheetData>
    <row r="1" spans="1:38" s="61" customFormat="1" ht="21" customHeight="1" thickBot="1">
      <c r="C1" s="130"/>
      <c r="D1" s="120" t="s">
        <v>392</v>
      </c>
      <c r="Z1" s="131"/>
      <c r="AB1" s="101"/>
      <c r="AC1" s="49"/>
      <c r="AD1" s="49"/>
      <c r="AE1" s="49"/>
      <c r="AF1" s="49"/>
      <c r="AG1" s="49"/>
      <c r="AH1" s="49"/>
      <c r="AI1" s="49"/>
      <c r="AJ1" s="49"/>
      <c r="AK1" s="49"/>
      <c r="AL1" s="49"/>
    </row>
    <row r="2" spans="1:38" ht="25.5" customHeight="1" thickBot="1">
      <c r="C2" s="1"/>
      <c r="D2" s="206" t="s">
        <v>393</v>
      </c>
      <c r="E2" s="201" t="s">
        <v>63</v>
      </c>
      <c r="F2" s="202"/>
    </row>
    <row r="3" spans="1:38" s="55" customFormat="1" ht="30" customHeight="1" thickBot="1">
      <c r="A3" s="329" t="s">
        <v>64</v>
      </c>
      <c r="B3" s="330" t="s">
        <v>65</v>
      </c>
      <c r="C3" s="330" t="s">
        <v>66</v>
      </c>
      <c r="D3" s="331" t="s">
        <v>360</v>
      </c>
      <c r="E3" s="317" t="s">
        <v>68</v>
      </c>
      <c r="F3" s="318" t="s">
        <v>69</v>
      </c>
      <c r="G3" s="331" t="s">
        <v>361</v>
      </c>
      <c r="H3" s="331" t="s">
        <v>394</v>
      </c>
      <c r="I3" s="331" t="s">
        <v>71</v>
      </c>
      <c r="J3" s="330" t="s">
        <v>395</v>
      </c>
      <c r="K3" s="330" t="s">
        <v>396</v>
      </c>
      <c r="L3" s="330" t="s">
        <v>397</v>
      </c>
      <c r="M3" s="330" t="s">
        <v>398</v>
      </c>
      <c r="N3" s="330" t="s">
        <v>399</v>
      </c>
      <c r="O3" s="330" t="s">
        <v>400</v>
      </c>
      <c r="P3" s="330" t="s">
        <v>401</v>
      </c>
      <c r="Q3" s="330" t="s">
        <v>402</v>
      </c>
      <c r="R3" s="330" t="s">
        <v>403</v>
      </c>
      <c r="S3" s="330" t="s">
        <v>404</v>
      </c>
      <c r="T3" s="330" t="s">
        <v>405</v>
      </c>
      <c r="U3" s="330" t="s">
        <v>75</v>
      </c>
      <c r="V3" s="330" t="s">
        <v>406</v>
      </c>
      <c r="W3" s="330" t="s">
        <v>407</v>
      </c>
      <c r="X3" s="330" t="s">
        <v>408</v>
      </c>
      <c r="Y3" s="330" t="s">
        <v>409</v>
      </c>
      <c r="Z3" s="330" t="s">
        <v>78</v>
      </c>
      <c r="AA3" s="333" t="s">
        <v>79</v>
      </c>
      <c r="AB3" s="419" t="s">
        <v>82</v>
      </c>
      <c r="AC3" s="319"/>
      <c r="AD3" s="319"/>
      <c r="AE3" s="319"/>
      <c r="AF3" s="319"/>
      <c r="AG3" s="319"/>
      <c r="AH3" s="319"/>
      <c r="AI3" s="319"/>
      <c r="AJ3" s="319"/>
      <c r="AK3" s="319"/>
      <c r="AL3" s="319"/>
    </row>
    <row r="4" spans="1:38">
      <c r="A4" s="248"/>
      <c r="B4" s="89" t="s">
        <v>15</v>
      </c>
      <c r="C4" s="89">
        <v>1</v>
      </c>
      <c r="D4" s="89"/>
      <c r="E4" s="89"/>
      <c r="F4" s="89"/>
      <c r="G4" s="89"/>
      <c r="H4" s="89"/>
      <c r="I4" s="89"/>
      <c r="J4" s="89"/>
      <c r="K4" s="89"/>
      <c r="L4" s="89"/>
      <c r="M4" s="193"/>
      <c r="N4" s="89"/>
      <c r="O4" s="89"/>
      <c r="P4" s="346">
        <f>J4+2*K4+L4*16+M4*64+N4*128</f>
        <v>0</v>
      </c>
      <c r="Q4" s="89"/>
      <c r="R4" s="347"/>
      <c r="S4" s="347"/>
      <c r="T4" s="348"/>
      <c r="U4" s="347"/>
      <c r="V4" s="347"/>
      <c r="W4" s="347"/>
      <c r="X4" s="89"/>
      <c r="Y4" s="89"/>
      <c r="Z4" s="89"/>
      <c r="AA4" s="174"/>
      <c r="AB4" s="108"/>
      <c r="AC4" s="25"/>
      <c r="AD4" s="195"/>
      <c r="AE4" s="46" t="s">
        <v>93</v>
      </c>
      <c r="AF4" s="25"/>
      <c r="AG4" s="25"/>
      <c r="AH4" s="25"/>
    </row>
    <row r="5" spans="1:38">
      <c r="A5" s="249"/>
      <c r="B5" s="43" t="s">
        <v>15</v>
      </c>
      <c r="C5" s="43">
        <v>2</v>
      </c>
      <c r="D5" s="43"/>
      <c r="E5" s="43"/>
      <c r="F5" s="43"/>
      <c r="G5" s="43"/>
      <c r="H5" s="43"/>
      <c r="I5" s="43"/>
      <c r="J5" s="43"/>
      <c r="K5" s="43"/>
      <c r="L5" s="43"/>
      <c r="M5" s="43"/>
      <c r="N5" s="43"/>
      <c r="O5" s="43"/>
      <c r="P5" s="170">
        <f t="shared" ref="P5:P23" si="0">J5+2*K5+L5*16+M5*64+N5*128</f>
        <v>0</v>
      </c>
      <c r="Q5" s="43"/>
      <c r="R5" s="42"/>
      <c r="S5" s="42"/>
      <c r="T5" s="42"/>
      <c r="U5" s="42"/>
      <c r="V5" s="42"/>
      <c r="W5" s="42"/>
      <c r="X5" s="43"/>
      <c r="Y5" s="43"/>
      <c r="Z5" s="43"/>
      <c r="AA5" s="175"/>
      <c r="AB5" s="48"/>
      <c r="AC5" s="25"/>
      <c r="AD5" s="196"/>
      <c r="AE5" s="46" t="s">
        <v>100</v>
      </c>
      <c r="AF5" s="25"/>
      <c r="AG5" s="25"/>
      <c r="AH5" s="25"/>
    </row>
    <row r="6" spans="1:38">
      <c r="A6" s="249"/>
      <c r="B6" s="43" t="s">
        <v>15</v>
      </c>
      <c r="C6" s="43">
        <v>3</v>
      </c>
      <c r="D6" s="43"/>
      <c r="E6" s="43"/>
      <c r="F6" s="43"/>
      <c r="G6" s="43"/>
      <c r="H6" s="43"/>
      <c r="I6" s="43"/>
      <c r="J6" s="43"/>
      <c r="K6" s="43"/>
      <c r="L6" s="43"/>
      <c r="M6" s="43"/>
      <c r="N6" s="43"/>
      <c r="O6" s="43"/>
      <c r="P6" s="170">
        <f t="shared" si="0"/>
        <v>0</v>
      </c>
      <c r="Q6" s="43"/>
      <c r="R6" s="43"/>
      <c r="S6" s="43"/>
      <c r="T6" s="43"/>
      <c r="U6" s="43"/>
      <c r="V6" s="43"/>
      <c r="W6" s="43"/>
      <c r="X6" s="43"/>
      <c r="Y6" s="43"/>
      <c r="Z6" s="43"/>
      <c r="AA6" s="175"/>
      <c r="AB6" s="48"/>
      <c r="AC6" s="25"/>
      <c r="AD6" s="197"/>
      <c r="AE6" s="46" t="s">
        <v>107</v>
      </c>
      <c r="AF6" s="25"/>
      <c r="AG6" s="25"/>
      <c r="AH6" s="25"/>
    </row>
    <row r="7" spans="1:38">
      <c r="A7" s="249"/>
      <c r="B7" s="43" t="s">
        <v>15</v>
      </c>
      <c r="C7" s="43">
        <v>4</v>
      </c>
      <c r="D7" s="43"/>
      <c r="E7" s="43"/>
      <c r="F7" s="43"/>
      <c r="G7" s="43"/>
      <c r="H7" s="43"/>
      <c r="I7" s="43"/>
      <c r="J7" s="43"/>
      <c r="K7" s="43"/>
      <c r="L7" s="43"/>
      <c r="M7" s="43"/>
      <c r="N7" s="43"/>
      <c r="O7" s="43"/>
      <c r="P7" s="170">
        <f t="shared" si="0"/>
        <v>0</v>
      </c>
      <c r="Q7" s="43"/>
      <c r="R7" s="43"/>
      <c r="S7" s="43"/>
      <c r="T7" s="43"/>
      <c r="U7" s="43"/>
      <c r="V7" s="43"/>
      <c r="W7" s="43"/>
      <c r="X7" s="43"/>
      <c r="Y7" s="43"/>
      <c r="Z7" s="43"/>
      <c r="AA7" s="175"/>
      <c r="AB7" s="48"/>
      <c r="AC7" s="25"/>
      <c r="AD7" s="25"/>
      <c r="AE7" s="25"/>
      <c r="AF7" s="25"/>
      <c r="AG7" s="25"/>
      <c r="AH7" s="25"/>
    </row>
    <row r="8" spans="1:38">
      <c r="A8" s="249"/>
      <c r="B8" s="43" t="s">
        <v>15</v>
      </c>
      <c r="C8" s="43">
        <v>5</v>
      </c>
      <c r="D8" s="42"/>
      <c r="E8" s="42"/>
      <c r="F8" s="42"/>
      <c r="G8" s="42"/>
      <c r="H8" s="42"/>
      <c r="I8" s="42"/>
      <c r="J8" s="42"/>
      <c r="K8" s="42"/>
      <c r="L8" s="42"/>
      <c r="M8" s="42"/>
      <c r="N8" s="42"/>
      <c r="O8" s="42"/>
      <c r="P8" s="170">
        <f t="shared" si="0"/>
        <v>0</v>
      </c>
      <c r="Q8" s="43"/>
      <c r="R8" s="42"/>
      <c r="S8" s="42"/>
      <c r="T8" s="42"/>
      <c r="U8" s="42"/>
      <c r="V8" s="42"/>
      <c r="W8" s="42"/>
      <c r="X8" s="43"/>
      <c r="Y8" s="43"/>
      <c r="Z8" s="43"/>
      <c r="AA8" s="175"/>
      <c r="AB8" s="48"/>
      <c r="AC8" s="25"/>
      <c r="AD8" s="320"/>
      <c r="AE8" s="46" t="s">
        <v>121</v>
      </c>
      <c r="AF8" s="25"/>
      <c r="AG8" s="25"/>
      <c r="AH8" s="25"/>
    </row>
    <row r="9" spans="1:38">
      <c r="A9" s="249"/>
      <c r="B9" s="43" t="s">
        <v>15</v>
      </c>
      <c r="C9" s="43">
        <v>6</v>
      </c>
      <c r="D9" s="42"/>
      <c r="E9" s="42"/>
      <c r="F9" s="42"/>
      <c r="G9" s="42"/>
      <c r="H9" s="42"/>
      <c r="I9" s="42"/>
      <c r="J9" s="42"/>
      <c r="K9" s="42"/>
      <c r="L9" s="42"/>
      <c r="M9" s="42"/>
      <c r="N9" s="42"/>
      <c r="O9" s="42"/>
      <c r="P9" s="170">
        <f t="shared" si="0"/>
        <v>0</v>
      </c>
      <c r="Q9" s="43"/>
      <c r="R9" s="42"/>
      <c r="S9" s="42"/>
      <c r="T9" s="42"/>
      <c r="U9" s="42"/>
      <c r="V9" s="42"/>
      <c r="W9" s="42"/>
      <c r="X9" s="43"/>
      <c r="Y9" s="43"/>
      <c r="Z9" s="43"/>
      <c r="AA9" s="175"/>
      <c r="AB9" s="48"/>
      <c r="AC9" s="25"/>
      <c r="AD9" s="321"/>
      <c r="AE9" s="46" t="s">
        <v>129</v>
      </c>
      <c r="AF9" s="25"/>
      <c r="AG9" s="25"/>
      <c r="AH9" s="25"/>
    </row>
    <row r="10" spans="1:38">
      <c r="A10" s="249"/>
      <c r="B10" s="43" t="s">
        <v>15</v>
      </c>
      <c r="C10" s="43">
        <v>7</v>
      </c>
      <c r="D10" s="42"/>
      <c r="E10" s="42"/>
      <c r="F10" s="42"/>
      <c r="G10" s="42"/>
      <c r="H10" s="42"/>
      <c r="I10" s="42"/>
      <c r="J10" s="42"/>
      <c r="K10" s="42"/>
      <c r="L10" s="42"/>
      <c r="M10" s="42"/>
      <c r="N10" s="42"/>
      <c r="O10" s="42"/>
      <c r="P10" s="170">
        <f t="shared" si="0"/>
        <v>0</v>
      </c>
      <c r="Q10" s="43"/>
      <c r="R10" s="42"/>
      <c r="S10" s="42"/>
      <c r="T10" s="42"/>
      <c r="U10" s="42"/>
      <c r="V10" s="42"/>
      <c r="W10" s="42"/>
      <c r="X10" s="43"/>
      <c r="Y10" s="43"/>
      <c r="Z10" s="43"/>
      <c r="AA10" s="175"/>
      <c r="AB10" s="48"/>
      <c r="AC10" s="25"/>
      <c r="AD10" s="25"/>
      <c r="AE10" s="25"/>
      <c r="AF10" s="25"/>
      <c r="AG10" s="25"/>
      <c r="AH10" s="25"/>
    </row>
    <row r="11" spans="1:38">
      <c r="A11" s="249"/>
      <c r="B11" s="43" t="s">
        <v>15</v>
      </c>
      <c r="C11" s="43">
        <v>8</v>
      </c>
      <c r="D11" s="42"/>
      <c r="E11" s="42"/>
      <c r="F11" s="42"/>
      <c r="G11" s="42"/>
      <c r="H11" s="42"/>
      <c r="I11" s="42"/>
      <c r="J11" s="42"/>
      <c r="K11" s="42"/>
      <c r="L11" s="42"/>
      <c r="M11" s="42"/>
      <c r="N11" s="42"/>
      <c r="O11" s="42"/>
      <c r="P11" s="170">
        <f t="shared" si="0"/>
        <v>0</v>
      </c>
      <c r="Q11" s="43"/>
      <c r="R11" s="42"/>
      <c r="S11" s="42"/>
      <c r="T11" s="42"/>
      <c r="U11" s="42"/>
      <c r="V11" s="42"/>
      <c r="W11" s="42"/>
      <c r="X11" s="43"/>
      <c r="Y11" s="43"/>
      <c r="Z11" s="43"/>
      <c r="AA11" s="175"/>
      <c r="AB11" s="48"/>
      <c r="AC11" s="25"/>
      <c r="AD11" s="25"/>
      <c r="AE11" s="25"/>
      <c r="AF11" s="25"/>
      <c r="AG11" s="25"/>
      <c r="AH11" s="25"/>
    </row>
    <row r="12" spans="1:38">
      <c r="A12" s="249"/>
      <c r="B12" s="43" t="s">
        <v>15</v>
      </c>
      <c r="C12" s="43">
        <v>9</v>
      </c>
      <c r="D12" s="42"/>
      <c r="E12" s="42"/>
      <c r="F12" s="42"/>
      <c r="G12" s="42"/>
      <c r="H12" s="42"/>
      <c r="I12" s="42"/>
      <c r="J12" s="42"/>
      <c r="K12" s="42"/>
      <c r="L12" s="42"/>
      <c r="M12" s="42"/>
      <c r="N12" s="42"/>
      <c r="O12" s="42"/>
      <c r="P12" s="170">
        <f t="shared" si="0"/>
        <v>0</v>
      </c>
      <c r="Q12" s="43"/>
      <c r="R12" s="42"/>
      <c r="S12" s="42"/>
      <c r="T12" s="42"/>
      <c r="U12" s="42"/>
      <c r="V12" s="42"/>
      <c r="W12" s="42"/>
      <c r="X12" s="43"/>
      <c r="Y12" s="43"/>
      <c r="Z12" s="43"/>
      <c r="AA12" s="175"/>
      <c r="AB12" s="48"/>
    </row>
    <row r="13" spans="1:38">
      <c r="A13" s="249"/>
      <c r="B13" s="43" t="s">
        <v>15</v>
      </c>
      <c r="C13" s="43">
        <v>10</v>
      </c>
      <c r="D13" s="42"/>
      <c r="E13" s="42"/>
      <c r="F13" s="42"/>
      <c r="G13" s="42"/>
      <c r="H13" s="42"/>
      <c r="I13" s="42"/>
      <c r="J13" s="42"/>
      <c r="K13" s="42"/>
      <c r="L13" s="42"/>
      <c r="M13" s="42"/>
      <c r="N13" s="42"/>
      <c r="O13" s="42"/>
      <c r="P13" s="170">
        <f t="shared" si="0"/>
        <v>0</v>
      </c>
      <c r="Q13" s="43"/>
      <c r="R13" s="42"/>
      <c r="S13" s="42"/>
      <c r="T13" s="42"/>
      <c r="U13" s="42"/>
      <c r="V13" s="42"/>
      <c r="W13" s="42"/>
      <c r="X13" s="43"/>
      <c r="Y13" s="43"/>
      <c r="Z13" s="43"/>
      <c r="AA13" s="175"/>
      <c r="AB13" s="48"/>
    </row>
    <row r="14" spans="1:38">
      <c r="A14" s="249"/>
      <c r="B14" s="43" t="s">
        <v>15</v>
      </c>
      <c r="C14" s="43">
        <v>11</v>
      </c>
      <c r="D14" s="42"/>
      <c r="E14" s="42"/>
      <c r="F14" s="42"/>
      <c r="G14" s="42"/>
      <c r="H14" s="42"/>
      <c r="I14" s="42"/>
      <c r="J14" s="42"/>
      <c r="K14" s="42"/>
      <c r="L14" s="42"/>
      <c r="M14" s="42"/>
      <c r="N14" s="42"/>
      <c r="O14" s="42"/>
      <c r="P14" s="170">
        <f t="shared" si="0"/>
        <v>0</v>
      </c>
      <c r="Q14" s="43"/>
      <c r="R14" s="42"/>
      <c r="S14" s="42"/>
      <c r="T14" s="42"/>
      <c r="U14" s="42"/>
      <c r="V14" s="42"/>
      <c r="W14" s="42"/>
      <c r="X14" s="43"/>
      <c r="Y14" s="43"/>
      <c r="Z14" s="43"/>
      <c r="AA14" s="175"/>
      <c r="AB14" s="48"/>
    </row>
    <row r="15" spans="1:38">
      <c r="A15" s="249"/>
      <c r="B15" s="43" t="s">
        <v>15</v>
      </c>
      <c r="C15" s="43">
        <v>12</v>
      </c>
      <c r="D15" s="42"/>
      <c r="E15" s="42"/>
      <c r="F15" s="42"/>
      <c r="G15" s="42"/>
      <c r="H15" s="42"/>
      <c r="I15" s="42"/>
      <c r="J15" s="42"/>
      <c r="K15" s="42"/>
      <c r="L15" s="42"/>
      <c r="M15" s="42"/>
      <c r="N15" s="42"/>
      <c r="O15" s="42"/>
      <c r="P15" s="170">
        <f t="shared" si="0"/>
        <v>0</v>
      </c>
      <c r="Q15" s="43"/>
      <c r="R15" s="42"/>
      <c r="S15" s="42"/>
      <c r="T15" s="42"/>
      <c r="U15" s="42"/>
      <c r="V15" s="42"/>
      <c r="W15" s="42"/>
      <c r="X15" s="43"/>
      <c r="Y15" s="43"/>
      <c r="Z15" s="43"/>
      <c r="AA15" s="175"/>
      <c r="AB15" s="48"/>
    </row>
    <row r="16" spans="1:38">
      <c r="A16" s="249"/>
      <c r="B16" s="43" t="s">
        <v>15</v>
      </c>
      <c r="C16" s="43">
        <v>13</v>
      </c>
      <c r="D16" s="42"/>
      <c r="E16" s="42"/>
      <c r="F16" s="42"/>
      <c r="G16" s="42"/>
      <c r="H16" s="42"/>
      <c r="I16" s="42"/>
      <c r="J16" s="42"/>
      <c r="K16" s="42"/>
      <c r="L16" s="42"/>
      <c r="M16" s="42"/>
      <c r="N16" s="42"/>
      <c r="O16" s="42"/>
      <c r="P16" s="170">
        <f t="shared" si="0"/>
        <v>0</v>
      </c>
      <c r="Q16" s="43"/>
      <c r="R16" s="42"/>
      <c r="S16" s="42"/>
      <c r="T16" s="42"/>
      <c r="U16" s="42"/>
      <c r="V16" s="42"/>
      <c r="W16" s="42"/>
      <c r="X16" s="43"/>
      <c r="Y16" s="43"/>
      <c r="Z16" s="43"/>
      <c r="AA16" s="175"/>
      <c r="AB16" s="48"/>
    </row>
    <row r="17" spans="1:38">
      <c r="A17" s="249"/>
      <c r="B17" s="43" t="s">
        <v>15</v>
      </c>
      <c r="C17" s="43">
        <v>14</v>
      </c>
      <c r="D17" s="42"/>
      <c r="E17" s="42"/>
      <c r="F17" s="42"/>
      <c r="G17" s="42"/>
      <c r="H17" s="42"/>
      <c r="I17" s="42"/>
      <c r="J17" s="42"/>
      <c r="K17" s="42"/>
      <c r="L17" s="42"/>
      <c r="M17" s="42"/>
      <c r="N17" s="42"/>
      <c r="O17" s="42"/>
      <c r="P17" s="170">
        <f t="shared" si="0"/>
        <v>0</v>
      </c>
      <c r="Q17" s="43"/>
      <c r="R17" s="42"/>
      <c r="S17" s="42"/>
      <c r="T17" s="42"/>
      <c r="U17" s="42"/>
      <c r="V17" s="42"/>
      <c r="W17" s="42"/>
      <c r="X17" s="43"/>
      <c r="Y17" s="43"/>
      <c r="Z17" s="43"/>
      <c r="AA17" s="175"/>
      <c r="AB17" s="48"/>
    </row>
    <row r="18" spans="1:38">
      <c r="A18" s="249"/>
      <c r="B18" s="43" t="s">
        <v>15</v>
      </c>
      <c r="C18" s="43">
        <v>15</v>
      </c>
      <c r="D18" s="42"/>
      <c r="E18" s="42"/>
      <c r="F18" s="42"/>
      <c r="G18" s="42"/>
      <c r="H18" s="42"/>
      <c r="I18" s="42"/>
      <c r="J18" s="42"/>
      <c r="K18" s="42"/>
      <c r="L18" s="42"/>
      <c r="M18" s="42"/>
      <c r="N18" s="42"/>
      <c r="O18" s="42"/>
      <c r="P18" s="170">
        <f t="shared" si="0"/>
        <v>0</v>
      </c>
      <c r="Q18" s="43"/>
      <c r="R18" s="42"/>
      <c r="S18" s="42"/>
      <c r="T18" s="42"/>
      <c r="U18" s="42"/>
      <c r="V18" s="42"/>
      <c r="W18" s="42"/>
      <c r="X18" s="43"/>
      <c r="Y18" s="43"/>
      <c r="Z18" s="43"/>
      <c r="AA18" s="175"/>
      <c r="AB18" s="48"/>
    </row>
    <row r="19" spans="1:38">
      <c r="A19" s="249"/>
      <c r="B19" s="43" t="s">
        <v>15</v>
      </c>
      <c r="C19" s="43">
        <v>16</v>
      </c>
      <c r="D19" s="42"/>
      <c r="E19" s="42"/>
      <c r="F19" s="42"/>
      <c r="G19" s="42"/>
      <c r="H19" s="42"/>
      <c r="I19" s="42"/>
      <c r="J19" s="42"/>
      <c r="K19" s="42"/>
      <c r="L19" s="42"/>
      <c r="M19" s="42"/>
      <c r="N19" s="42"/>
      <c r="O19" s="42"/>
      <c r="P19" s="170">
        <f t="shared" si="0"/>
        <v>0</v>
      </c>
      <c r="Q19" s="43"/>
      <c r="R19" s="42"/>
      <c r="S19" s="42"/>
      <c r="T19" s="42"/>
      <c r="U19" s="42"/>
      <c r="V19" s="42"/>
      <c r="W19" s="42"/>
      <c r="X19" s="43"/>
      <c r="Y19" s="43"/>
      <c r="Z19" s="43"/>
      <c r="AA19" s="175"/>
      <c r="AB19" s="48"/>
    </row>
    <row r="20" spans="1:38">
      <c r="A20" s="249"/>
      <c r="B20" s="43" t="s">
        <v>15</v>
      </c>
      <c r="C20" s="43">
        <v>17</v>
      </c>
      <c r="D20" s="42"/>
      <c r="E20" s="42"/>
      <c r="F20" s="42"/>
      <c r="G20" s="42"/>
      <c r="H20" s="42"/>
      <c r="I20" s="42"/>
      <c r="J20" s="42"/>
      <c r="K20" s="42"/>
      <c r="L20" s="42"/>
      <c r="M20" s="42"/>
      <c r="N20" s="42"/>
      <c r="O20" s="42"/>
      <c r="P20" s="170">
        <f t="shared" si="0"/>
        <v>0</v>
      </c>
      <c r="Q20" s="43"/>
      <c r="R20" s="42"/>
      <c r="S20" s="42"/>
      <c r="T20" s="42"/>
      <c r="U20" s="42"/>
      <c r="V20" s="42"/>
      <c r="W20" s="42"/>
      <c r="X20" s="43"/>
      <c r="Y20" s="43"/>
      <c r="Z20" s="43"/>
      <c r="AA20" s="175"/>
      <c r="AB20" s="48"/>
    </row>
    <row r="21" spans="1:38">
      <c r="A21" s="249"/>
      <c r="B21" s="43" t="s">
        <v>15</v>
      </c>
      <c r="C21" s="43">
        <v>18</v>
      </c>
      <c r="D21" s="42"/>
      <c r="E21" s="42"/>
      <c r="F21" s="42"/>
      <c r="G21" s="42"/>
      <c r="H21" s="42"/>
      <c r="I21" s="42"/>
      <c r="J21" s="42"/>
      <c r="K21" s="42"/>
      <c r="L21" s="42"/>
      <c r="M21" s="42"/>
      <c r="N21" s="42"/>
      <c r="O21" s="42"/>
      <c r="P21" s="170">
        <f t="shared" si="0"/>
        <v>0</v>
      </c>
      <c r="Q21" s="43"/>
      <c r="R21" s="42"/>
      <c r="S21" s="42"/>
      <c r="T21" s="42"/>
      <c r="U21" s="42"/>
      <c r="V21" s="42"/>
      <c r="W21" s="42"/>
      <c r="X21" s="43"/>
      <c r="Y21" s="43"/>
      <c r="Z21" s="43"/>
      <c r="AA21" s="175"/>
      <c r="AB21" s="48"/>
    </row>
    <row r="22" spans="1:38">
      <c r="A22" s="249"/>
      <c r="B22" s="43" t="s">
        <v>15</v>
      </c>
      <c r="C22" s="43">
        <v>19</v>
      </c>
      <c r="D22" s="42"/>
      <c r="E22" s="42"/>
      <c r="F22" s="42"/>
      <c r="G22" s="42"/>
      <c r="H22" s="42"/>
      <c r="I22" s="42"/>
      <c r="J22" s="42"/>
      <c r="K22" s="42"/>
      <c r="L22" s="42"/>
      <c r="M22" s="42"/>
      <c r="N22" s="42"/>
      <c r="O22" s="42"/>
      <c r="P22" s="170">
        <f t="shared" si="0"/>
        <v>0</v>
      </c>
      <c r="Q22" s="43"/>
      <c r="R22" s="42"/>
      <c r="S22" s="42"/>
      <c r="T22" s="42"/>
      <c r="U22" s="42"/>
      <c r="V22" s="42"/>
      <c r="W22" s="42"/>
      <c r="X22" s="43"/>
      <c r="Y22" s="43"/>
      <c r="Z22" s="43"/>
      <c r="AA22" s="175"/>
      <c r="AB22" s="48"/>
    </row>
    <row r="23" spans="1:38">
      <c r="A23" s="249"/>
      <c r="B23" s="43" t="s">
        <v>15</v>
      </c>
      <c r="C23" s="43">
        <v>20</v>
      </c>
      <c r="D23" s="42"/>
      <c r="E23" s="42"/>
      <c r="F23" s="42"/>
      <c r="G23" s="42"/>
      <c r="H23" s="42"/>
      <c r="I23" s="42"/>
      <c r="J23" s="42"/>
      <c r="K23" s="42"/>
      <c r="L23" s="42"/>
      <c r="M23" s="42"/>
      <c r="N23" s="42"/>
      <c r="O23" s="42"/>
      <c r="P23" s="170">
        <f t="shared" si="0"/>
        <v>0</v>
      </c>
      <c r="Q23" s="43"/>
      <c r="R23" s="42"/>
      <c r="S23" s="42"/>
      <c r="T23" s="42"/>
      <c r="U23" s="42"/>
      <c r="V23" s="42"/>
      <c r="W23" s="42"/>
      <c r="X23" s="43"/>
      <c r="Y23" s="43"/>
      <c r="Z23" s="43"/>
      <c r="AA23" s="175"/>
      <c r="AB23" s="48"/>
    </row>
    <row r="24" spans="1:38" ht="13.5" thickBot="1">
      <c r="A24" s="247"/>
      <c r="B24" s="70"/>
      <c r="C24" s="71" t="s">
        <v>195</v>
      </c>
      <c r="D24" s="74"/>
      <c r="E24" s="74"/>
      <c r="F24" s="74"/>
      <c r="G24" s="74"/>
      <c r="H24" s="74"/>
      <c r="I24" s="74"/>
      <c r="J24" s="74"/>
      <c r="K24" s="74"/>
      <c r="L24" s="74"/>
      <c r="M24" s="74"/>
      <c r="N24" s="74"/>
      <c r="O24" s="74"/>
      <c r="P24" s="349"/>
      <c r="Q24" s="70"/>
      <c r="R24" s="74"/>
      <c r="S24" s="74"/>
      <c r="T24" s="74"/>
      <c r="U24" s="74"/>
      <c r="V24" s="74"/>
      <c r="W24" s="74"/>
      <c r="X24" s="70"/>
      <c r="Y24" s="70"/>
      <c r="Z24" s="70"/>
      <c r="AA24" s="176"/>
      <c r="AB24" s="121"/>
    </row>
    <row r="25" spans="1:38" ht="13.5" thickBot="1">
      <c r="Q25" s="514"/>
    </row>
    <row r="26" spans="1:38" s="25" customFormat="1" ht="11.25">
      <c r="A26" s="345"/>
      <c r="B26" s="250"/>
      <c r="C26" s="251"/>
      <c r="D26" s="173"/>
      <c r="E26" s="173"/>
      <c r="F26" s="173"/>
      <c r="G26" s="173"/>
      <c r="H26" s="40" t="s">
        <v>196</v>
      </c>
      <c r="I26" s="40"/>
      <c r="J26" s="191" t="s">
        <v>196</v>
      </c>
      <c r="K26" s="40" t="s">
        <v>196</v>
      </c>
      <c r="L26" s="40" t="s">
        <v>196</v>
      </c>
      <c r="M26" s="191" t="s">
        <v>196</v>
      </c>
      <c r="N26" s="40" t="s">
        <v>196</v>
      </c>
      <c r="O26" s="191"/>
      <c r="P26" s="15"/>
      <c r="Q26" s="40" t="s">
        <v>196</v>
      </c>
      <c r="R26" s="190"/>
      <c r="S26" s="15"/>
      <c r="T26" s="40" t="s">
        <v>196</v>
      </c>
      <c r="U26" s="192"/>
      <c r="V26" s="15"/>
      <c r="W26" s="190"/>
      <c r="X26" s="21" t="s">
        <v>410</v>
      </c>
      <c r="Y26" s="186"/>
      <c r="Z26" s="190"/>
      <c r="AA26" s="15"/>
      <c r="AB26" s="16"/>
      <c r="AC26" s="397"/>
      <c r="AD26" s="397"/>
      <c r="AE26" s="397"/>
      <c r="AF26" s="397"/>
      <c r="AG26" s="397"/>
      <c r="AH26" s="397"/>
      <c r="AI26" s="397"/>
      <c r="AJ26" s="397"/>
      <c r="AK26" s="397"/>
      <c r="AL26" s="397"/>
    </row>
    <row r="27" spans="1:38" s="29" customFormat="1" ht="9">
      <c r="A27" s="253"/>
      <c r="B27" s="360"/>
      <c r="C27" s="151"/>
      <c r="D27" s="31"/>
      <c r="E27" s="31"/>
      <c r="F27" s="31"/>
      <c r="G27" s="31"/>
      <c r="H27" s="36" t="s">
        <v>411</v>
      </c>
      <c r="I27" s="36"/>
      <c r="J27" s="370">
        <v>0</v>
      </c>
      <c r="K27" s="31">
        <v>0</v>
      </c>
      <c r="L27" s="31">
        <v>0</v>
      </c>
      <c r="M27" s="370">
        <v>0</v>
      </c>
      <c r="N27" s="31">
        <v>0</v>
      </c>
      <c r="O27" s="370"/>
      <c r="P27" s="31"/>
      <c r="Q27" s="27" t="s">
        <v>412</v>
      </c>
      <c r="R27" s="370"/>
      <c r="S27" s="31"/>
      <c r="T27" s="371">
        <v>0</v>
      </c>
      <c r="U27" s="360"/>
      <c r="V27" s="31"/>
      <c r="W27" s="370"/>
      <c r="X27" s="27" t="s">
        <v>413</v>
      </c>
      <c r="Z27" s="370"/>
      <c r="AA27" s="31"/>
      <c r="AB27" s="32"/>
      <c r="AC27" s="14"/>
      <c r="AD27" s="14"/>
      <c r="AE27" s="14"/>
      <c r="AF27" s="14"/>
      <c r="AG27" s="14"/>
      <c r="AH27" s="14"/>
      <c r="AI27" s="14"/>
      <c r="AJ27" s="14"/>
      <c r="AK27" s="14"/>
      <c r="AL27" s="14"/>
    </row>
    <row r="28" spans="1:38" s="29" customFormat="1" ht="9">
      <c r="A28" s="253"/>
      <c r="B28" s="360"/>
      <c r="C28" s="151"/>
      <c r="D28" s="31"/>
      <c r="E28" s="31"/>
      <c r="F28" s="31"/>
      <c r="G28" s="31"/>
      <c r="H28" s="36" t="s">
        <v>414</v>
      </c>
      <c r="I28" s="36"/>
      <c r="J28" s="370">
        <v>1</v>
      </c>
      <c r="K28" s="31">
        <v>1</v>
      </c>
      <c r="L28" s="31">
        <v>1</v>
      </c>
      <c r="M28" s="370">
        <v>1</v>
      </c>
      <c r="N28" s="31">
        <v>1</v>
      </c>
      <c r="O28" s="370"/>
      <c r="P28" s="31"/>
      <c r="Q28" s="31" t="s">
        <v>415</v>
      </c>
      <c r="R28" s="370"/>
      <c r="S28" s="31"/>
      <c r="T28" s="372">
        <v>1</v>
      </c>
      <c r="U28" s="360"/>
      <c r="V28" s="31"/>
      <c r="W28" s="370"/>
      <c r="X28" s="27" t="s">
        <v>416</v>
      </c>
      <c r="Z28" s="370"/>
      <c r="AA28" s="31"/>
      <c r="AB28" s="32"/>
      <c r="AC28" s="14"/>
      <c r="AD28" s="14"/>
      <c r="AE28" s="14"/>
      <c r="AF28" s="14"/>
      <c r="AG28" s="14"/>
      <c r="AH28" s="14"/>
      <c r="AI28" s="14"/>
      <c r="AJ28" s="14"/>
      <c r="AK28" s="14"/>
      <c r="AL28" s="14"/>
    </row>
    <row r="29" spans="1:38" s="29" customFormat="1" ht="9">
      <c r="A29" s="253"/>
      <c r="B29" s="360"/>
      <c r="C29" s="151"/>
      <c r="D29" s="31"/>
      <c r="E29" s="31"/>
      <c r="F29" s="31"/>
      <c r="G29" s="31"/>
      <c r="H29" s="36" t="s">
        <v>417</v>
      </c>
      <c r="I29" s="36"/>
      <c r="J29" s="370"/>
      <c r="K29" s="31"/>
      <c r="L29" s="31"/>
      <c r="M29" s="370"/>
      <c r="N29" s="31"/>
      <c r="O29" s="370"/>
      <c r="P29" s="31"/>
      <c r="Q29" s="31"/>
      <c r="R29" s="370"/>
      <c r="S29" s="31"/>
      <c r="T29" s="373">
        <v>2</v>
      </c>
      <c r="U29" s="360"/>
      <c r="V29" s="31"/>
      <c r="W29" s="370"/>
      <c r="X29" s="27" t="s">
        <v>418</v>
      </c>
      <c r="Z29" s="370"/>
      <c r="AA29" s="31"/>
      <c r="AB29" s="32"/>
      <c r="AC29" s="14"/>
      <c r="AD29" s="14"/>
      <c r="AE29" s="14"/>
      <c r="AF29" s="14"/>
      <c r="AG29" s="14"/>
      <c r="AH29" s="14"/>
      <c r="AI29" s="14"/>
      <c r="AJ29" s="14"/>
      <c r="AK29" s="14"/>
      <c r="AL29" s="14"/>
    </row>
    <row r="30" spans="1:38" s="29" customFormat="1" ht="9">
      <c r="A30" s="253"/>
      <c r="B30" s="360"/>
      <c r="C30" s="151"/>
      <c r="D30" s="31"/>
      <c r="E30" s="31"/>
      <c r="F30" s="31"/>
      <c r="G30" s="31"/>
      <c r="H30" s="36" t="s">
        <v>419</v>
      </c>
      <c r="I30" s="36"/>
      <c r="J30" s="370"/>
      <c r="K30" s="31"/>
      <c r="L30" s="31"/>
      <c r="M30" s="370"/>
      <c r="N30" s="31"/>
      <c r="O30" s="370"/>
      <c r="P30" s="31"/>
      <c r="Q30" s="31"/>
      <c r="R30" s="370"/>
      <c r="S30" s="31"/>
      <c r="T30" s="374">
        <v>3</v>
      </c>
      <c r="U30" s="360"/>
      <c r="V30" s="31"/>
      <c r="W30" s="370"/>
      <c r="X30" s="27" t="s">
        <v>420</v>
      </c>
      <c r="Z30" s="370"/>
      <c r="AA30" s="31"/>
      <c r="AB30" s="32"/>
      <c r="AC30" s="14"/>
      <c r="AD30" s="14"/>
      <c r="AE30" s="14"/>
      <c r="AF30" s="14"/>
      <c r="AG30" s="14"/>
      <c r="AH30" s="14"/>
      <c r="AI30" s="14"/>
      <c r="AJ30" s="14"/>
      <c r="AK30" s="14"/>
      <c r="AL30" s="14"/>
    </row>
    <row r="31" spans="1:38" s="29" customFormat="1" ht="9">
      <c r="A31" s="253"/>
      <c r="B31" s="360"/>
      <c r="C31" s="151"/>
      <c r="D31" s="31"/>
      <c r="E31" s="31"/>
      <c r="F31" s="31"/>
      <c r="G31" s="31"/>
      <c r="H31" s="36"/>
      <c r="I31" s="36"/>
      <c r="J31" s="370"/>
      <c r="K31" s="31"/>
      <c r="L31" s="31"/>
      <c r="M31" s="370"/>
      <c r="N31" s="31"/>
      <c r="O31" s="370"/>
      <c r="P31" s="31"/>
      <c r="Q31" s="31"/>
      <c r="R31" s="370"/>
      <c r="S31" s="31"/>
      <c r="T31" s="375">
        <v>4</v>
      </c>
      <c r="U31" s="360"/>
      <c r="V31" s="31"/>
      <c r="W31" s="370"/>
      <c r="X31" s="27" t="s">
        <v>421</v>
      </c>
      <c r="Z31" s="370"/>
      <c r="AA31" s="31"/>
      <c r="AB31" s="32"/>
      <c r="AC31" s="14"/>
      <c r="AD31" s="14"/>
      <c r="AE31" s="14"/>
      <c r="AF31" s="14"/>
      <c r="AG31" s="14"/>
      <c r="AH31" s="14"/>
      <c r="AI31" s="14"/>
      <c r="AJ31" s="14"/>
      <c r="AK31" s="14"/>
      <c r="AL31" s="14"/>
    </row>
    <row r="32" spans="1:38" s="29" customFormat="1" ht="9">
      <c r="A32" s="253"/>
      <c r="B32" s="360"/>
      <c r="C32" s="151"/>
      <c r="D32" s="31"/>
      <c r="E32" s="31"/>
      <c r="F32" s="31"/>
      <c r="G32" s="31"/>
      <c r="H32" s="36"/>
      <c r="I32" s="36"/>
      <c r="J32" s="370"/>
      <c r="K32" s="31"/>
      <c r="L32" s="31"/>
      <c r="M32" s="370"/>
      <c r="N32" s="31"/>
      <c r="O32" s="370"/>
      <c r="P32" s="31"/>
      <c r="Q32" s="31"/>
      <c r="R32" s="370"/>
      <c r="S32" s="31"/>
      <c r="T32" s="376">
        <v>5</v>
      </c>
      <c r="U32" s="360"/>
      <c r="V32" s="31"/>
      <c r="W32" s="370"/>
      <c r="X32" s="27" t="s">
        <v>422</v>
      </c>
      <c r="Z32" s="370"/>
      <c r="AA32" s="31"/>
      <c r="AB32" s="32"/>
      <c r="AC32" s="14"/>
      <c r="AD32" s="14"/>
      <c r="AE32" s="14"/>
      <c r="AF32" s="14"/>
      <c r="AG32" s="14"/>
      <c r="AH32" s="14"/>
      <c r="AI32" s="14"/>
      <c r="AJ32" s="14"/>
      <c r="AK32" s="14"/>
      <c r="AL32" s="14"/>
    </row>
    <row r="33" spans="1:38" s="29" customFormat="1" ht="9">
      <c r="A33" s="253"/>
      <c r="B33" s="360"/>
      <c r="C33" s="151"/>
      <c r="D33" s="31"/>
      <c r="E33" s="31"/>
      <c r="F33" s="31"/>
      <c r="G33" s="31"/>
      <c r="H33" s="36"/>
      <c r="I33" s="36"/>
      <c r="J33" s="370"/>
      <c r="K33" s="31"/>
      <c r="L33" s="31"/>
      <c r="M33" s="370"/>
      <c r="N33" s="31"/>
      <c r="O33" s="370"/>
      <c r="P33" s="31"/>
      <c r="Q33" s="31"/>
      <c r="R33" s="370"/>
      <c r="S33" s="31"/>
      <c r="T33" s="377">
        <v>6</v>
      </c>
      <c r="U33" s="360"/>
      <c r="V33" s="31"/>
      <c r="W33" s="370"/>
      <c r="X33" s="27" t="s">
        <v>423</v>
      </c>
      <c r="Z33" s="370"/>
      <c r="AA33" s="31"/>
      <c r="AB33" s="32"/>
      <c r="AC33" s="14"/>
      <c r="AD33" s="14"/>
      <c r="AE33" s="14"/>
      <c r="AF33" s="14"/>
      <c r="AG33" s="14"/>
      <c r="AH33" s="14"/>
      <c r="AI33" s="14"/>
      <c r="AJ33" s="14"/>
      <c r="AK33" s="14"/>
      <c r="AL33" s="14"/>
    </row>
    <row r="34" spans="1:38" s="29" customFormat="1" ht="9">
      <c r="A34" s="253"/>
      <c r="B34" s="360"/>
      <c r="C34" s="27"/>
      <c r="D34" s="27"/>
      <c r="E34" s="27"/>
      <c r="F34" s="27"/>
      <c r="G34" s="27"/>
      <c r="H34" s="27"/>
      <c r="I34" s="27"/>
      <c r="J34" s="370"/>
      <c r="K34" s="31"/>
      <c r="L34" s="31"/>
      <c r="M34" s="370"/>
      <c r="N34" s="31"/>
      <c r="O34" s="370"/>
      <c r="P34" s="31"/>
      <c r="Q34" s="31"/>
      <c r="R34" s="370"/>
      <c r="S34" s="31"/>
      <c r="T34" s="378">
        <v>7</v>
      </c>
      <c r="U34" s="360"/>
      <c r="V34" s="31"/>
      <c r="W34" s="370"/>
      <c r="X34" s="27" t="s">
        <v>424</v>
      </c>
      <c r="Z34" s="370"/>
      <c r="AA34" s="31"/>
      <c r="AB34" s="32"/>
      <c r="AC34" s="14"/>
      <c r="AD34" s="14"/>
      <c r="AE34" s="14"/>
      <c r="AF34" s="14"/>
      <c r="AG34" s="14"/>
      <c r="AH34" s="14"/>
      <c r="AI34" s="14"/>
      <c r="AJ34" s="14"/>
      <c r="AK34" s="14"/>
      <c r="AL34" s="14"/>
    </row>
    <row r="35" spans="1:38" s="29" customFormat="1" ht="9">
      <c r="A35" s="253"/>
      <c r="B35" s="360"/>
      <c r="C35" s="31"/>
      <c r="D35" s="31"/>
      <c r="E35" s="31"/>
      <c r="F35" s="31"/>
      <c r="G35" s="31"/>
      <c r="H35" s="31"/>
      <c r="I35" s="31"/>
      <c r="J35" s="370"/>
      <c r="K35" s="31"/>
      <c r="L35" s="31"/>
      <c r="M35" s="370"/>
      <c r="N35" s="31"/>
      <c r="O35" s="370"/>
      <c r="P35" s="31"/>
      <c r="Q35" s="31"/>
      <c r="R35" s="370"/>
      <c r="S35" s="31"/>
      <c r="T35" s="379">
        <v>8</v>
      </c>
      <c r="U35" s="360"/>
      <c r="V35" s="31"/>
      <c r="W35" s="370"/>
      <c r="X35" s="27"/>
      <c r="Z35" s="370"/>
      <c r="AA35" s="31"/>
      <c r="AB35" s="32"/>
      <c r="AC35" s="14"/>
      <c r="AD35" s="14"/>
      <c r="AE35" s="14"/>
      <c r="AF35" s="14"/>
      <c r="AG35" s="14"/>
      <c r="AH35" s="14"/>
      <c r="AI35" s="14"/>
      <c r="AJ35" s="14"/>
      <c r="AK35" s="14"/>
      <c r="AL35" s="14"/>
    </row>
    <row r="36" spans="1:38" s="29" customFormat="1" ht="9">
      <c r="A36" s="253"/>
      <c r="B36" s="360"/>
      <c r="C36" s="31"/>
      <c r="D36" s="31"/>
      <c r="E36" s="31"/>
      <c r="F36" s="31"/>
      <c r="G36" s="31"/>
      <c r="H36" s="31"/>
      <c r="I36" s="31"/>
      <c r="J36" s="370"/>
      <c r="K36" s="31"/>
      <c r="L36" s="31"/>
      <c r="M36" s="370"/>
      <c r="N36" s="31"/>
      <c r="O36" s="370"/>
      <c r="P36" s="31"/>
      <c r="Q36" s="31"/>
      <c r="R36" s="370"/>
      <c r="S36" s="31"/>
      <c r="T36" s="380">
        <v>9</v>
      </c>
      <c r="U36" s="370"/>
      <c r="V36" s="31"/>
      <c r="W36" s="370"/>
      <c r="X36" s="31"/>
      <c r="Y36" s="370"/>
      <c r="Z36" s="370"/>
      <c r="AA36" s="31"/>
      <c r="AB36" s="32"/>
      <c r="AC36" s="14"/>
      <c r="AD36" s="14"/>
      <c r="AE36" s="14"/>
      <c r="AF36" s="14"/>
      <c r="AG36" s="14"/>
      <c r="AH36" s="14"/>
      <c r="AI36" s="14"/>
      <c r="AJ36" s="14"/>
      <c r="AK36" s="14"/>
      <c r="AL36" s="14"/>
    </row>
    <row r="37" spans="1:38" s="29" customFormat="1" ht="9">
      <c r="A37" s="253"/>
      <c r="B37" s="360"/>
      <c r="C37" s="31"/>
      <c r="D37" s="31"/>
      <c r="E37" s="31"/>
      <c r="F37" s="31"/>
      <c r="G37" s="31"/>
      <c r="H37" s="31"/>
      <c r="I37" s="31"/>
      <c r="J37" s="370"/>
      <c r="K37" s="31"/>
      <c r="L37" s="31"/>
      <c r="M37" s="370"/>
      <c r="N37" s="31"/>
      <c r="O37" s="370"/>
      <c r="P37" s="31"/>
      <c r="Q37" s="31"/>
      <c r="R37" s="370"/>
      <c r="S37" s="31"/>
      <c r="T37" s="381">
        <v>10</v>
      </c>
      <c r="U37" s="370"/>
      <c r="V37" s="31"/>
      <c r="W37" s="370"/>
      <c r="X37" s="31"/>
      <c r="Y37" s="370"/>
      <c r="Z37" s="370"/>
      <c r="AA37" s="31"/>
      <c r="AB37" s="32"/>
      <c r="AC37" s="14"/>
      <c r="AD37" s="14"/>
      <c r="AE37" s="14"/>
      <c r="AF37" s="14"/>
      <c r="AG37" s="14"/>
      <c r="AH37" s="14"/>
      <c r="AI37" s="14"/>
      <c r="AJ37" s="14"/>
      <c r="AK37" s="14"/>
      <c r="AL37" s="14"/>
    </row>
    <row r="38" spans="1:38" s="29" customFormat="1" ht="9">
      <c r="A38" s="253"/>
      <c r="B38" s="360"/>
      <c r="C38" s="31"/>
      <c r="D38" s="31"/>
      <c r="E38" s="31"/>
      <c r="F38" s="31"/>
      <c r="G38" s="31"/>
      <c r="H38" s="31"/>
      <c r="I38" s="31"/>
      <c r="J38" s="370"/>
      <c r="K38" s="31"/>
      <c r="L38" s="31"/>
      <c r="M38" s="370"/>
      <c r="N38" s="31"/>
      <c r="O38" s="370"/>
      <c r="P38" s="31"/>
      <c r="Q38" s="31"/>
      <c r="R38" s="370"/>
      <c r="S38" s="31"/>
      <c r="T38" s="382">
        <v>11</v>
      </c>
      <c r="U38" s="370"/>
      <c r="V38" s="31"/>
      <c r="W38" s="370"/>
      <c r="X38" s="31"/>
      <c r="Y38" s="370"/>
      <c r="Z38" s="370"/>
      <c r="AA38" s="31"/>
      <c r="AB38" s="32"/>
      <c r="AC38" s="14"/>
      <c r="AD38" s="14"/>
      <c r="AE38" s="14"/>
      <c r="AF38" s="14"/>
      <c r="AG38" s="14"/>
      <c r="AH38" s="14"/>
      <c r="AI38" s="14"/>
      <c r="AJ38" s="14"/>
      <c r="AK38" s="14"/>
      <c r="AL38" s="14"/>
    </row>
    <row r="39" spans="1:38" s="29" customFormat="1" ht="9">
      <c r="A39" s="253"/>
      <c r="B39" s="360"/>
      <c r="C39" s="31"/>
      <c r="D39" s="31"/>
      <c r="E39" s="31"/>
      <c r="F39" s="31"/>
      <c r="G39" s="31"/>
      <c r="H39" s="31"/>
      <c r="I39" s="31"/>
      <c r="J39" s="370"/>
      <c r="K39" s="31"/>
      <c r="L39" s="31"/>
      <c r="M39" s="370"/>
      <c r="N39" s="31"/>
      <c r="O39" s="370"/>
      <c r="P39" s="31"/>
      <c r="Q39" s="31"/>
      <c r="R39" s="370"/>
      <c r="S39" s="31"/>
      <c r="T39" s="383">
        <v>12</v>
      </c>
      <c r="U39" s="370"/>
      <c r="V39" s="31"/>
      <c r="W39" s="370"/>
      <c r="X39" s="31"/>
      <c r="Y39" s="370"/>
      <c r="Z39" s="370"/>
      <c r="AA39" s="31"/>
      <c r="AB39" s="32"/>
      <c r="AC39" s="14"/>
      <c r="AD39" s="14"/>
      <c r="AE39" s="14"/>
      <c r="AF39" s="14"/>
      <c r="AG39" s="14"/>
      <c r="AH39" s="14"/>
      <c r="AI39" s="14"/>
      <c r="AJ39" s="14"/>
      <c r="AK39" s="14"/>
      <c r="AL39" s="14"/>
    </row>
    <row r="40" spans="1:38" s="29" customFormat="1" ht="9">
      <c r="A40" s="253"/>
      <c r="B40" s="360"/>
      <c r="C40" s="31"/>
      <c r="D40" s="31"/>
      <c r="E40" s="31"/>
      <c r="F40" s="31"/>
      <c r="G40" s="31"/>
      <c r="H40" s="31"/>
      <c r="I40" s="31"/>
      <c r="J40" s="370"/>
      <c r="K40" s="31"/>
      <c r="L40" s="31"/>
      <c r="M40" s="370"/>
      <c r="N40" s="31"/>
      <c r="O40" s="370"/>
      <c r="P40" s="31"/>
      <c r="Q40" s="31"/>
      <c r="R40" s="370"/>
      <c r="S40" s="31"/>
      <c r="T40" s="384">
        <v>13</v>
      </c>
      <c r="U40" s="370"/>
      <c r="V40" s="31"/>
      <c r="W40" s="370"/>
      <c r="X40" s="31"/>
      <c r="Y40" s="370"/>
      <c r="Z40" s="370"/>
      <c r="AA40" s="31"/>
      <c r="AB40" s="32"/>
      <c r="AC40" s="14"/>
      <c r="AD40" s="14"/>
      <c r="AE40" s="14"/>
      <c r="AF40" s="14"/>
      <c r="AG40" s="14"/>
      <c r="AH40" s="14"/>
      <c r="AI40" s="14"/>
      <c r="AJ40" s="14"/>
      <c r="AK40" s="14"/>
      <c r="AL40" s="14"/>
    </row>
    <row r="41" spans="1:38" s="29" customFormat="1" ht="9">
      <c r="A41" s="253"/>
      <c r="B41" s="360"/>
      <c r="C41" s="31"/>
      <c r="D41" s="31"/>
      <c r="E41" s="31"/>
      <c r="F41" s="31"/>
      <c r="G41" s="31"/>
      <c r="H41" s="31"/>
      <c r="I41" s="31"/>
      <c r="J41" s="370"/>
      <c r="K41" s="31"/>
      <c r="L41" s="31"/>
      <c r="M41" s="370"/>
      <c r="N41" s="31"/>
      <c r="O41" s="370"/>
      <c r="P41" s="31"/>
      <c r="Q41" s="31"/>
      <c r="R41" s="370"/>
      <c r="S41" s="31"/>
      <c r="T41" s="385">
        <v>14</v>
      </c>
      <c r="U41" s="370"/>
      <c r="V41" s="31"/>
      <c r="W41" s="370"/>
      <c r="X41" s="31"/>
      <c r="Y41" s="370"/>
      <c r="Z41" s="370"/>
      <c r="AA41" s="31"/>
      <c r="AB41" s="32"/>
      <c r="AC41" s="14"/>
      <c r="AD41" s="14"/>
      <c r="AE41" s="14"/>
      <c r="AF41" s="14"/>
      <c r="AG41" s="14"/>
      <c r="AH41" s="14"/>
      <c r="AI41" s="14"/>
      <c r="AJ41" s="14"/>
      <c r="AK41" s="14"/>
      <c r="AL41" s="14"/>
    </row>
    <row r="42" spans="1:38" s="29" customFormat="1" ht="9">
      <c r="A42" s="253"/>
      <c r="B42" s="360"/>
      <c r="C42" s="31"/>
      <c r="D42" s="31"/>
      <c r="E42" s="31"/>
      <c r="F42" s="31"/>
      <c r="G42" s="31"/>
      <c r="H42" s="31"/>
      <c r="I42" s="31"/>
      <c r="J42" s="370"/>
      <c r="K42" s="31"/>
      <c r="L42" s="31"/>
      <c r="M42" s="370"/>
      <c r="N42" s="31"/>
      <c r="O42" s="370"/>
      <c r="P42" s="31"/>
      <c r="Q42" s="31"/>
      <c r="R42" s="370"/>
      <c r="S42" s="31"/>
      <c r="T42" s="386">
        <v>15</v>
      </c>
      <c r="U42" s="370"/>
      <c r="V42" s="31"/>
      <c r="W42" s="370"/>
      <c r="X42" s="31"/>
      <c r="Y42" s="370"/>
      <c r="Z42" s="370"/>
      <c r="AA42" s="31"/>
      <c r="AB42" s="32"/>
      <c r="AC42" s="14"/>
      <c r="AD42" s="14"/>
      <c r="AE42" s="14"/>
      <c r="AF42" s="14"/>
      <c r="AG42" s="14"/>
      <c r="AH42" s="14"/>
      <c r="AI42" s="14"/>
      <c r="AJ42" s="14"/>
      <c r="AK42" s="14"/>
      <c r="AL42" s="14"/>
    </row>
    <row r="43" spans="1:38" s="29" customFormat="1" ht="9">
      <c r="A43" s="253"/>
      <c r="B43" s="360"/>
      <c r="C43" s="31"/>
      <c r="D43" s="31"/>
      <c r="E43" s="31"/>
      <c r="F43" s="31"/>
      <c r="G43" s="31"/>
      <c r="H43" s="31"/>
      <c r="I43" s="31"/>
      <c r="J43" s="370"/>
      <c r="K43" s="31"/>
      <c r="L43" s="31"/>
      <c r="M43" s="370"/>
      <c r="N43" s="31"/>
      <c r="O43" s="370"/>
      <c r="P43" s="31"/>
      <c r="Q43" s="31"/>
      <c r="R43" s="370"/>
      <c r="S43" s="31"/>
      <c r="T43" s="387">
        <v>16</v>
      </c>
      <c r="U43" s="370"/>
      <c r="V43" s="31"/>
      <c r="W43" s="370"/>
      <c r="X43" s="31"/>
      <c r="Y43" s="370"/>
      <c r="Z43" s="370"/>
      <c r="AA43" s="31"/>
      <c r="AB43" s="32"/>
      <c r="AC43" s="14"/>
      <c r="AD43" s="14"/>
      <c r="AE43" s="14"/>
      <c r="AF43" s="14"/>
      <c r="AG43" s="14"/>
      <c r="AH43" s="14"/>
      <c r="AI43" s="14"/>
      <c r="AJ43" s="14"/>
      <c r="AK43" s="14"/>
      <c r="AL43" s="14"/>
    </row>
    <row r="44" spans="1:38" s="29" customFormat="1" ht="9">
      <c r="A44" s="253"/>
      <c r="B44" s="360"/>
      <c r="C44" s="31"/>
      <c r="D44" s="31"/>
      <c r="E44" s="31"/>
      <c r="F44" s="31"/>
      <c r="G44" s="31"/>
      <c r="H44" s="31"/>
      <c r="I44" s="31"/>
      <c r="J44" s="370"/>
      <c r="K44" s="31"/>
      <c r="L44" s="31"/>
      <c r="M44" s="370"/>
      <c r="N44" s="31"/>
      <c r="O44" s="370"/>
      <c r="P44" s="31"/>
      <c r="Q44" s="31"/>
      <c r="R44" s="370"/>
      <c r="S44" s="31"/>
      <c r="T44" s="388">
        <v>17</v>
      </c>
      <c r="U44" s="370"/>
      <c r="V44" s="31"/>
      <c r="W44" s="370"/>
      <c r="X44" s="31"/>
      <c r="Y44" s="370"/>
      <c r="Z44" s="370"/>
      <c r="AA44" s="31"/>
      <c r="AB44" s="32"/>
      <c r="AC44" s="14"/>
      <c r="AD44" s="14"/>
      <c r="AE44" s="14"/>
      <c r="AF44" s="14"/>
      <c r="AG44" s="14"/>
      <c r="AH44" s="14"/>
      <c r="AI44" s="14"/>
      <c r="AJ44" s="14"/>
      <c r="AK44" s="14"/>
      <c r="AL44" s="14"/>
    </row>
    <row r="45" spans="1:38" s="29" customFormat="1" ht="9">
      <c r="A45" s="253"/>
      <c r="B45" s="360"/>
      <c r="C45" s="31"/>
      <c r="D45" s="31"/>
      <c r="E45" s="31"/>
      <c r="F45" s="31"/>
      <c r="G45" s="31"/>
      <c r="H45" s="31"/>
      <c r="I45" s="31"/>
      <c r="J45" s="370"/>
      <c r="K45" s="31"/>
      <c r="L45" s="31"/>
      <c r="M45" s="370"/>
      <c r="N45" s="31"/>
      <c r="O45" s="370"/>
      <c r="P45" s="31"/>
      <c r="Q45" s="31"/>
      <c r="R45" s="370"/>
      <c r="S45" s="31"/>
      <c r="T45" s="389">
        <v>18</v>
      </c>
      <c r="U45" s="370"/>
      <c r="V45" s="31"/>
      <c r="W45" s="370"/>
      <c r="X45" s="31"/>
      <c r="Y45" s="370"/>
      <c r="Z45" s="370"/>
      <c r="AA45" s="31"/>
      <c r="AB45" s="32"/>
      <c r="AC45" s="14"/>
      <c r="AD45" s="14"/>
      <c r="AE45" s="14"/>
      <c r="AF45" s="14"/>
      <c r="AG45" s="14"/>
      <c r="AH45" s="14"/>
      <c r="AI45" s="14"/>
      <c r="AJ45" s="14"/>
      <c r="AK45" s="14"/>
      <c r="AL45" s="14"/>
    </row>
    <row r="46" spans="1:38" s="29" customFormat="1" ht="9">
      <c r="A46" s="253"/>
      <c r="B46" s="360"/>
      <c r="C46" s="31"/>
      <c r="D46" s="31"/>
      <c r="E46" s="31"/>
      <c r="F46" s="31"/>
      <c r="G46" s="31"/>
      <c r="H46" s="31"/>
      <c r="I46" s="31"/>
      <c r="J46" s="370"/>
      <c r="K46" s="31"/>
      <c r="L46" s="31"/>
      <c r="M46" s="370"/>
      <c r="N46" s="31"/>
      <c r="O46" s="370"/>
      <c r="P46" s="31"/>
      <c r="Q46" s="31"/>
      <c r="R46" s="370"/>
      <c r="S46" s="31"/>
      <c r="T46" s="390">
        <v>19</v>
      </c>
      <c r="U46" s="370"/>
      <c r="V46" s="31"/>
      <c r="W46" s="370"/>
      <c r="X46" s="31"/>
      <c r="Y46" s="370"/>
      <c r="Z46" s="370"/>
      <c r="AA46" s="31"/>
      <c r="AB46" s="32"/>
      <c r="AC46" s="14"/>
      <c r="AD46" s="14"/>
      <c r="AE46" s="14"/>
      <c r="AF46" s="14"/>
      <c r="AG46" s="14"/>
      <c r="AH46" s="14"/>
      <c r="AI46" s="14"/>
      <c r="AJ46" s="14"/>
      <c r="AK46" s="14"/>
      <c r="AL46" s="14"/>
    </row>
    <row r="47" spans="1:38" s="29" customFormat="1" ht="9">
      <c r="A47" s="253"/>
      <c r="B47" s="360"/>
      <c r="C47" s="31"/>
      <c r="D47" s="31"/>
      <c r="E47" s="31"/>
      <c r="F47" s="31"/>
      <c r="G47" s="31"/>
      <c r="H47" s="31"/>
      <c r="I47" s="31"/>
      <c r="J47" s="370"/>
      <c r="K47" s="31"/>
      <c r="L47" s="31"/>
      <c r="M47" s="370"/>
      <c r="N47" s="31"/>
      <c r="O47" s="370"/>
      <c r="P47" s="31"/>
      <c r="Q47" s="31"/>
      <c r="R47" s="370"/>
      <c r="S47" s="31"/>
      <c r="T47" s="391">
        <v>20</v>
      </c>
      <c r="U47" s="370"/>
      <c r="V47" s="31"/>
      <c r="W47" s="370"/>
      <c r="X47" s="31"/>
      <c r="Y47" s="370"/>
      <c r="Z47" s="370"/>
      <c r="AA47" s="31"/>
      <c r="AB47" s="32"/>
      <c r="AC47" s="14"/>
      <c r="AD47" s="14"/>
      <c r="AE47" s="14"/>
      <c r="AF47" s="14"/>
      <c r="AG47" s="14"/>
      <c r="AH47" s="14"/>
      <c r="AI47" s="14"/>
      <c r="AJ47" s="14"/>
      <c r="AK47" s="14"/>
      <c r="AL47" s="14"/>
    </row>
    <row r="48" spans="1:38" s="29" customFormat="1" ht="9">
      <c r="A48" s="253"/>
      <c r="B48" s="360"/>
      <c r="C48" s="31"/>
      <c r="D48" s="31"/>
      <c r="E48" s="31"/>
      <c r="F48" s="31"/>
      <c r="G48" s="31"/>
      <c r="H48" s="31"/>
      <c r="I48" s="31"/>
      <c r="J48" s="370"/>
      <c r="K48" s="31"/>
      <c r="L48" s="31"/>
      <c r="M48" s="370"/>
      <c r="N48" s="31"/>
      <c r="O48" s="370"/>
      <c r="P48" s="31"/>
      <c r="Q48" s="31"/>
      <c r="R48" s="370"/>
      <c r="S48" s="31"/>
      <c r="T48" s="392">
        <v>21</v>
      </c>
      <c r="U48" s="370"/>
      <c r="V48" s="31"/>
      <c r="W48" s="370"/>
      <c r="X48" s="31"/>
      <c r="Y48" s="370"/>
      <c r="Z48" s="370"/>
      <c r="AA48" s="31"/>
      <c r="AB48" s="32"/>
      <c r="AC48" s="14"/>
      <c r="AD48" s="14"/>
      <c r="AE48" s="14"/>
      <c r="AF48" s="14"/>
      <c r="AG48" s="14"/>
      <c r="AH48" s="14"/>
      <c r="AI48" s="14"/>
      <c r="AJ48" s="14"/>
      <c r="AK48" s="14"/>
      <c r="AL48" s="14"/>
    </row>
    <row r="49" spans="1:38" s="29" customFormat="1" ht="9.75" thickBot="1">
      <c r="A49" s="393"/>
      <c r="B49" s="394"/>
      <c r="C49" s="33"/>
      <c r="D49" s="33"/>
      <c r="E49" s="33"/>
      <c r="F49" s="33"/>
      <c r="G49" s="33"/>
      <c r="H49" s="33"/>
      <c r="I49" s="33"/>
      <c r="J49" s="395"/>
      <c r="K49" s="33"/>
      <c r="L49" s="33"/>
      <c r="M49" s="395"/>
      <c r="N49" s="33"/>
      <c r="O49" s="395"/>
      <c r="P49" s="33"/>
      <c r="Q49" s="33"/>
      <c r="R49" s="395"/>
      <c r="S49" s="33"/>
      <c r="T49" s="396">
        <v>22</v>
      </c>
      <c r="U49" s="395"/>
      <c r="V49" s="33"/>
      <c r="W49" s="395"/>
      <c r="X49" s="33"/>
      <c r="Y49" s="395"/>
      <c r="Z49" s="395"/>
      <c r="AA49" s="33"/>
      <c r="AB49" s="35"/>
      <c r="AC49" s="14"/>
      <c r="AD49" s="14"/>
      <c r="AE49" s="14"/>
      <c r="AF49" s="14"/>
      <c r="AG49" s="14"/>
      <c r="AH49" s="14"/>
      <c r="AI49" s="14"/>
      <c r="AJ49" s="14"/>
      <c r="AK49" s="14"/>
      <c r="AL49" s="14"/>
    </row>
    <row r="86" spans="29:38">
      <c r="AC86" s="101"/>
      <c r="AD86" s="101"/>
      <c r="AE86" s="101"/>
      <c r="AF86" s="101"/>
      <c r="AG86" s="101"/>
      <c r="AH86" s="101"/>
      <c r="AI86" s="101"/>
      <c r="AJ86" s="101"/>
      <c r="AK86" s="101"/>
      <c r="AL86" s="101"/>
    </row>
    <row r="87" spans="29:38">
      <c r="AC87" s="55"/>
      <c r="AD87" s="55"/>
      <c r="AE87" s="55"/>
      <c r="AF87" s="55"/>
      <c r="AG87" s="55"/>
      <c r="AH87" s="55"/>
      <c r="AI87" s="55"/>
      <c r="AJ87" s="55"/>
      <c r="AK87" s="55"/>
      <c r="AL87" s="55"/>
    </row>
    <row r="89" spans="29:38">
      <c r="AC89" s="41"/>
      <c r="AD89" s="41"/>
      <c r="AE89" s="41"/>
      <c r="AF89" s="41"/>
      <c r="AG89" s="41"/>
      <c r="AH89" s="41"/>
      <c r="AI89" s="41"/>
      <c r="AJ89" s="41"/>
      <c r="AK89" s="41"/>
      <c r="AL89" s="41"/>
    </row>
    <row r="90" spans="29:38">
      <c r="AC90" s="14"/>
      <c r="AD90" s="14"/>
      <c r="AE90" s="14"/>
      <c r="AF90" s="14"/>
      <c r="AG90" s="14"/>
      <c r="AH90" s="14"/>
      <c r="AI90" s="14"/>
      <c r="AJ90" s="14"/>
      <c r="AK90" s="14"/>
      <c r="AL90" s="14"/>
    </row>
    <row r="91" spans="29:38">
      <c r="AC91" s="14"/>
      <c r="AD91" s="14"/>
      <c r="AE91" s="14"/>
      <c r="AF91" s="14"/>
      <c r="AG91" s="14"/>
      <c r="AH91" s="14"/>
      <c r="AI91" s="14"/>
      <c r="AJ91" s="14"/>
      <c r="AK91" s="14"/>
      <c r="AL91" s="14"/>
    </row>
    <row r="92" spans="29:38">
      <c r="AC92" s="14"/>
      <c r="AD92" s="14"/>
      <c r="AE92" s="14"/>
      <c r="AF92" s="14"/>
      <c r="AG92" s="14"/>
      <c r="AH92" s="14"/>
      <c r="AI92" s="14"/>
      <c r="AJ92" s="14"/>
      <c r="AK92" s="14"/>
      <c r="AL92" s="14"/>
    </row>
    <row r="93" spans="29:38">
      <c r="AC93" s="14"/>
      <c r="AD93" s="14"/>
      <c r="AE93" s="14"/>
      <c r="AF93" s="14"/>
      <c r="AG93" s="14"/>
      <c r="AH93" s="14"/>
      <c r="AI93" s="14"/>
      <c r="AJ93" s="14"/>
      <c r="AK93" s="14"/>
      <c r="AL93" s="14"/>
    </row>
    <row r="94" spans="29:38">
      <c r="AC94" s="14"/>
      <c r="AD94" s="14"/>
      <c r="AE94" s="14"/>
      <c r="AF94" s="14"/>
      <c r="AG94" s="14"/>
      <c r="AH94" s="14"/>
      <c r="AI94" s="14"/>
      <c r="AJ94" s="14"/>
      <c r="AK94" s="14"/>
      <c r="AL94" s="14"/>
    </row>
    <row r="95" spans="29:38">
      <c r="AC95" s="14"/>
      <c r="AD95" s="14"/>
      <c r="AE95" s="14"/>
      <c r="AF95" s="14"/>
      <c r="AG95" s="14"/>
      <c r="AH95" s="14"/>
      <c r="AI95" s="14"/>
      <c r="AJ95" s="14"/>
      <c r="AK95" s="14"/>
      <c r="AL95" s="14"/>
    </row>
    <row r="96" spans="29:38">
      <c r="AC96" s="14"/>
      <c r="AD96" s="14"/>
      <c r="AE96" s="14"/>
      <c r="AF96" s="14"/>
      <c r="AG96" s="14"/>
      <c r="AH96" s="14"/>
      <c r="AI96" s="14"/>
      <c r="AJ96" s="14"/>
      <c r="AK96" s="14"/>
      <c r="AL96" s="14"/>
    </row>
    <row r="97" spans="29:38">
      <c r="AC97" s="14"/>
      <c r="AD97" s="14"/>
      <c r="AE97" s="14"/>
      <c r="AF97" s="14"/>
      <c r="AG97" s="14"/>
      <c r="AH97" s="14"/>
      <c r="AI97" s="14"/>
      <c r="AJ97" s="14"/>
      <c r="AK97" s="14"/>
      <c r="AL97" s="14"/>
    </row>
    <row r="98" spans="29:38">
      <c r="AC98" s="14"/>
      <c r="AD98" s="14"/>
      <c r="AE98" s="14"/>
      <c r="AF98" s="14"/>
      <c r="AG98" s="14"/>
      <c r="AH98" s="14"/>
      <c r="AI98" s="14"/>
      <c r="AJ98" s="14"/>
      <c r="AK98" s="14"/>
      <c r="AL98" s="14"/>
    </row>
    <row r="99" spans="29:38">
      <c r="AC99" s="14"/>
      <c r="AD99" s="14"/>
      <c r="AE99" s="14"/>
      <c r="AF99" s="14"/>
      <c r="AG99" s="14"/>
      <c r="AH99" s="14"/>
      <c r="AI99" s="14"/>
      <c r="AJ99" s="14"/>
      <c r="AK99" s="14"/>
      <c r="AL99" s="14"/>
    </row>
  </sheetData>
  <autoFilter ref="A3:AB3" xr:uid="{AF3E83C3-8953-4E3B-9C47-CFE4111BB92C}"/>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&amp;D&amp;L&amp;10Machine Number: 
Machine Name: 
CU Number: 
VU Number: </oddHeader>
    <oddFooter>&amp;LBased on template : &amp;CVisualisationommands_CUxxxx_A4&amp;RPage &amp;P/&amp;N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fitToPage="1"/>
  </sheetPr>
  <dimension ref="A1:AG100"/>
  <sheetViews>
    <sheetView showGridLines="0" zoomScaleNormal="100" zoomScaleSheetLayoutView="57" workbookViewId="0">
      <pane xSplit="4" ySplit="3" topLeftCell="E4" activePane="bottomRight" state="frozen"/>
      <selection pane="bottomRight" activeCell="H7" sqref="H7"/>
      <selection pane="bottomLeft" activeCell="A4" sqref="A4"/>
      <selection pane="topRight" activeCell="E1" sqref="E1"/>
    </sheetView>
  </sheetViews>
  <sheetFormatPr defaultColWidth="9.140625" defaultRowHeight="12.75"/>
  <cols>
    <col min="1" max="1" width="12.5703125" style="1" bestFit="1" customWidth="1"/>
    <col min="2" max="2" width="9.5703125" style="1" bestFit="1" customWidth="1"/>
    <col min="3" max="3" width="10.7109375" style="3" customWidth="1"/>
    <col min="4" max="4" width="17.5703125" style="1" customWidth="1"/>
    <col min="5" max="6" width="15.28515625" style="1" customWidth="1"/>
    <col min="7" max="7" width="17" style="1" bestFit="1" customWidth="1"/>
    <col min="8" max="9" width="26.140625" style="1" bestFit="1" customWidth="1"/>
    <col min="10" max="10" width="37.7109375" style="1" customWidth="1"/>
    <col min="11" max="11" width="28.28515625" style="1" customWidth="1"/>
    <col min="12" max="19" width="30.7109375" style="1" customWidth="1"/>
    <col min="20" max="20" width="16.85546875" style="1" bestFit="1" customWidth="1"/>
    <col min="21" max="21" width="9.85546875" style="1" bestFit="1" customWidth="1"/>
    <col min="22" max="22" width="19.5703125" style="1" customWidth="1"/>
    <col min="23" max="23" width="16" style="49" customWidth="1"/>
    <col min="24" max="33" width="9.140625" style="49"/>
    <col min="34" max="16384" width="9.140625" style="46"/>
  </cols>
  <sheetData>
    <row r="1" spans="1:33" s="61" customFormat="1" ht="21" customHeight="1" thickBot="1">
      <c r="C1" s="130"/>
      <c r="D1" s="120" t="s">
        <v>425</v>
      </c>
      <c r="L1" s="1"/>
      <c r="M1" s="1"/>
      <c r="N1" s="1"/>
      <c r="O1" s="1"/>
      <c r="P1" s="1"/>
      <c r="Q1" s="1"/>
      <c r="R1" s="1"/>
      <c r="S1" s="1"/>
      <c r="T1" s="131"/>
      <c r="W1" s="101"/>
      <c r="X1" s="49"/>
      <c r="Y1" s="49"/>
      <c r="Z1" s="49"/>
      <c r="AA1" s="49"/>
      <c r="AB1" s="49"/>
      <c r="AC1" s="49"/>
      <c r="AD1" s="49"/>
      <c r="AE1" s="49"/>
      <c r="AF1" s="49"/>
      <c r="AG1" s="49"/>
    </row>
    <row r="2" spans="1:33" ht="25.5" customHeight="1" thickBot="1">
      <c r="C2" s="1"/>
      <c r="D2" s="206" t="s">
        <v>359</v>
      </c>
      <c r="E2" s="171" t="s">
        <v>63</v>
      </c>
      <c r="F2" s="172"/>
    </row>
    <row r="3" spans="1:33" s="55" customFormat="1" ht="30" customHeight="1" thickBot="1">
      <c r="A3" s="329" t="s">
        <v>64</v>
      </c>
      <c r="B3" s="330" t="s">
        <v>65</v>
      </c>
      <c r="C3" s="330" t="s">
        <v>66</v>
      </c>
      <c r="D3" s="331" t="s">
        <v>360</v>
      </c>
      <c r="E3" s="317" t="s">
        <v>68</v>
      </c>
      <c r="F3" s="318" t="s">
        <v>69</v>
      </c>
      <c r="G3" s="331" t="s">
        <v>361</v>
      </c>
      <c r="H3" s="330" t="s">
        <v>426</v>
      </c>
      <c r="I3" s="330" t="s">
        <v>427</v>
      </c>
      <c r="J3" s="330" t="s">
        <v>428</v>
      </c>
      <c r="K3" s="330" t="s">
        <v>429</v>
      </c>
      <c r="L3" s="330" t="s">
        <v>430</v>
      </c>
      <c r="M3" s="330" t="s">
        <v>431</v>
      </c>
      <c r="N3" s="330" t="s">
        <v>432</v>
      </c>
      <c r="O3" s="330" t="s">
        <v>433</v>
      </c>
      <c r="P3" s="330" t="s">
        <v>434</v>
      </c>
      <c r="Q3" s="330" t="s">
        <v>435</v>
      </c>
      <c r="R3" s="330" t="s">
        <v>436</v>
      </c>
      <c r="S3" s="330" t="s">
        <v>437</v>
      </c>
      <c r="T3" s="330" t="s">
        <v>78</v>
      </c>
      <c r="U3" s="332" t="s">
        <v>79</v>
      </c>
      <c r="V3" s="333" t="s">
        <v>438</v>
      </c>
      <c r="W3" s="419" t="s">
        <v>82</v>
      </c>
      <c r="X3" s="319"/>
      <c r="Y3" s="319"/>
      <c r="Z3" s="319"/>
      <c r="AA3" s="319"/>
      <c r="AB3" s="319"/>
      <c r="AC3" s="319"/>
      <c r="AD3" s="319"/>
      <c r="AE3" s="319"/>
      <c r="AF3" s="319"/>
      <c r="AG3" s="319"/>
    </row>
    <row r="4" spans="1:33">
      <c r="A4" s="248"/>
      <c r="B4" s="89" t="s">
        <v>15</v>
      </c>
      <c r="C4" s="89">
        <v>1</v>
      </c>
      <c r="D4" s="89"/>
      <c r="E4" s="89"/>
      <c r="F4" s="89"/>
      <c r="G4" s="89"/>
      <c r="H4" s="42"/>
      <c r="I4" s="42"/>
      <c r="J4" s="89"/>
      <c r="K4" s="89"/>
      <c r="L4" s="43"/>
      <c r="M4" s="43"/>
      <c r="N4" s="43"/>
      <c r="O4" s="43"/>
      <c r="P4" s="43"/>
      <c r="Q4" s="43"/>
      <c r="R4" s="43"/>
      <c r="S4" s="43"/>
      <c r="T4" s="89"/>
      <c r="U4" s="90"/>
      <c r="V4" s="174"/>
      <c r="W4" s="108"/>
      <c r="X4" s="25"/>
      <c r="Y4" s="195"/>
      <c r="Z4" s="46" t="s">
        <v>93</v>
      </c>
      <c r="AA4" s="25"/>
      <c r="AB4" s="25"/>
      <c r="AC4" s="25"/>
      <c r="AD4" s="25"/>
    </row>
    <row r="5" spans="1:33">
      <c r="A5" s="249"/>
      <c r="B5" s="43" t="s">
        <v>15</v>
      </c>
      <c r="C5" s="43">
        <v>2</v>
      </c>
      <c r="D5" s="43"/>
      <c r="E5" s="43"/>
      <c r="F5" s="43"/>
      <c r="G5" s="43"/>
      <c r="H5" s="42"/>
      <c r="I5" s="42"/>
      <c r="J5" s="43"/>
      <c r="K5" s="43"/>
      <c r="L5" s="43"/>
      <c r="M5" s="43"/>
      <c r="N5" s="43"/>
      <c r="O5" s="43"/>
      <c r="P5" s="43"/>
      <c r="Q5" s="43"/>
      <c r="R5" s="43"/>
      <c r="S5" s="43"/>
      <c r="T5" s="43"/>
      <c r="U5" s="45"/>
      <c r="V5" s="175"/>
      <c r="W5" s="48"/>
      <c r="X5" s="25"/>
      <c r="Y5" s="196"/>
      <c r="Z5" s="46" t="s">
        <v>100</v>
      </c>
      <c r="AA5" s="25"/>
      <c r="AB5" s="25"/>
      <c r="AC5" s="25"/>
      <c r="AD5" s="25"/>
    </row>
    <row r="6" spans="1:33">
      <c r="A6" s="249"/>
      <c r="B6" s="43" t="s">
        <v>15</v>
      </c>
      <c r="C6" s="43">
        <v>3</v>
      </c>
      <c r="D6" s="43"/>
      <c r="E6" s="43"/>
      <c r="F6" s="43"/>
      <c r="G6" s="43"/>
      <c r="H6" s="43"/>
      <c r="I6" s="43"/>
      <c r="J6" s="43"/>
      <c r="K6" s="43"/>
      <c r="L6" s="43"/>
      <c r="M6" s="43"/>
      <c r="N6" s="43"/>
      <c r="O6" s="43"/>
      <c r="P6" s="43"/>
      <c r="Q6" s="43"/>
      <c r="R6" s="43"/>
      <c r="S6" s="43"/>
      <c r="T6" s="43"/>
      <c r="U6" s="45"/>
      <c r="V6" s="175"/>
      <c r="W6" s="48"/>
      <c r="X6" s="25"/>
      <c r="Y6" s="197"/>
      <c r="Z6" s="46" t="s">
        <v>107</v>
      </c>
      <c r="AA6" s="25"/>
      <c r="AB6" s="25"/>
      <c r="AC6" s="25"/>
      <c r="AD6" s="25"/>
    </row>
    <row r="7" spans="1:33">
      <c r="A7" s="249"/>
      <c r="B7" s="43" t="s">
        <v>15</v>
      </c>
      <c r="C7" s="43">
        <v>4</v>
      </c>
      <c r="D7" s="43"/>
      <c r="E7" s="43"/>
      <c r="F7" s="43"/>
      <c r="G7" s="43"/>
      <c r="H7" s="43"/>
      <c r="I7" s="43"/>
      <c r="J7" s="43"/>
      <c r="K7" s="43"/>
      <c r="L7" s="43"/>
      <c r="M7" s="43"/>
      <c r="N7" s="43"/>
      <c r="O7" s="43"/>
      <c r="P7" s="43"/>
      <c r="Q7" s="43"/>
      <c r="R7" s="43"/>
      <c r="S7" s="43"/>
      <c r="T7" s="43"/>
      <c r="U7" s="45"/>
      <c r="V7" s="175"/>
      <c r="W7" s="48"/>
      <c r="X7" s="25"/>
      <c r="Y7" s="25"/>
      <c r="Z7" s="25"/>
      <c r="AA7" s="25"/>
      <c r="AB7" s="25"/>
      <c r="AC7" s="25"/>
      <c r="AD7" s="25"/>
    </row>
    <row r="8" spans="1:33">
      <c r="A8" s="249"/>
      <c r="B8" s="43" t="s">
        <v>15</v>
      </c>
      <c r="C8" s="43">
        <v>5</v>
      </c>
      <c r="D8" s="42"/>
      <c r="E8" s="42"/>
      <c r="F8" s="42"/>
      <c r="G8" s="42"/>
      <c r="H8" s="42"/>
      <c r="I8" s="42"/>
      <c r="J8" s="43"/>
      <c r="K8" s="43"/>
      <c r="L8" s="43"/>
      <c r="M8" s="43"/>
      <c r="N8" s="43"/>
      <c r="O8" s="43"/>
      <c r="P8" s="43"/>
      <c r="Q8" s="43"/>
      <c r="R8" s="43"/>
      <c r="S8" s="43"/>
      <c r="T8" s="43"/>
      <c r="U8" s="45"/>
      <c r="V8" s="175"/>
      <c r="W8" s="48"/>
      <c r="X8" s="25"/>
      <c r="Y8" s="320"/>
      <c r="Z8" s="46" t="s">
        <v>121</v>
      </c>
      <c r="AA8" s="25"/>
      <c r="AB8" s="25"/>
      <c r="AC8" s="25"/>
      <c r="AD8" s="25"/>
    </row>
    <row r="9" spans="1:33">
      <c r="A9" s="249"/>
      <c r="B9" s="43" t="s">
        <v>15</v>
      </c>
      <c r="C9" s="43">
        <v>6</v>
      </c>
      <c r="D9" s="42"/>
      <c r="E9" s="42"/>
      <c r="F9" s="42"/>
      <c r="G9" s="42"/>
      <c r="H9" s="42"/>
      <c r="I9" s="42"/>
      <c r="J9" s="43"/>
      <c r="K9" s="43"/>
      <c r="L9" s="43"/>
      <c r="M9" s="43"/>
      <c r="N9" s="43"/>
      <c r="O9" s="43"/>
      <c r="P9" s="43"/>
      <c r="Q9" s="43"/>
      <c r="R9" s="43"/>
      <c r="S9" s="43"/>
      <c r="T9" s="43"/>
      <c r="U9" s="45"/>
      <c r="V9" s="175"/>
      <c r="W9" s="48"/>
      <c r="X9" s="25"/>
      <c r="Y9" s="321"/>
      <c r="Z9" s="46" t="s">
        <v>129</v>
      </c>
      <c r="AA9" s="25"/>
      <c r="AB9" s="25"/>
      <c r="AC9" s="25"/>
      <c r="AD9" s="25"/>
    </row>
    <row r="10" spans="1:33">
      <c r="A10" s="249"/>
      <c r="B10" s="43" t="s">
        <v>15</v>
      </c>
      <c r="C10" s="43">
        <v>7</v>
      </c>
      <c r="D10" s="42"/>
      <c r="E10" s="42"/>
      <c r="F10" s="42"/>
      <c r="G10" s="42"/>
      <c r="H10" s="42"/>
      <c r="I10" s="42"/>
      <c r="J10" s="43"/>
      <c r="K10" s="43"/>
      <c r="L10" s="43"/>
      <c r="M10" s="43"/>
      <c r="N10" s="43"/>
      <c r="O10" s="43"/>
      <c r="P10" s="43"/>
      <c r="Q10" s="43"/>
      <c r="R10" s="43"/>
      <c r="S10" s="43"/>
      <c r="T10" s="43"/>
      <c r="U10" s="45"/>
      <c r="V10" s="175"/>
      <c r="W10" s="48"/>
      <c r="X10" s="25"/>
      <c r="Y10" s="25"/>
      <c r="Z10" s="25"/>
      <c r="AA10" s="25"/>
      <c r="AB10" s="25"/>
      <c r="AC10" s="25"/>
      <c r="AD10" s="25"/>
    </row>
    <row r="11" spans="1:33">
      <c r="A11" s="249"/>
      <c r="B11" s="43" t="s">
        <v>15</v>
      </c>
      <c r="C11" s="43">
        <v>8</v>
      </c>
      <c r="D11" s="42"/>
      <c r="E11" s="42"/>
      <c r="F11" s="42"/>
      <c r="G11" s="42"/>
      <c r="H11" s="42"/>
      <c r="I11" s="42"/>
      <c r="J11" s="43"/>
      <c r="K11" s="43"/>
      <c r="L11" s="43"/>
      <c r="M11" s="43"/>
      <c r="N11" s="43"/>
      <c r="O11" s="43"/>
      <c r="P11" s="43"/>
      <c r="Q11" s="43"/>
      <c r="R11" s="43"/>
      <c r="S11" s="43"/>
      <c r="T11" s="43"/>
      <c r="U11" s="45"/>
      <c r="V11" s="175"/>
      <c r="W11" s="48"/>
      <c r="X11" s="25"/>
      <c r="Y11" s="25"/>
      <c r="Z11" s="25"/>
      <c r="AA11" s="25"/>
      <c r="AB11" s="25"/>
      <c r="AC11" s="25"/>
      <c r="AD11" s="25"/>
    </row>
    <row r="12" spans="1:33">
      <c r="A12" s="249"/>
      <c r="B12" s="43" t="s">
        <v>15</v>
      </c>
      <c r="C12" s="43">
        <v>9</v>
      </c>
      <c r="D12" s="42"/>
      <c r="E12" s="42"/>
      <c r="F12" s="42"/>
      <c r="G12" s="42"/>
      <c r="H12" s="42"/>
      <c r="I12" s="42"/>
      <c r="J12" s="43"/>
      <c r="K12" s="43"/>
      <c r="L12" s="43"/>
      <c r="M12" s="43"/>
      <c r="N12" s="43"/>
      <c r="O12" s="43"/>
      <c r="P12" s="43"/>
      <c r="Q12" s="43"/>
      <c r="R12" s="43"/>
      <c r="S12" s="43"/>
      <c r="T12" s="43"/>
      <c r="U12" s="45"/>
      <c r="V12" s="175"/>
      <c r="W12" s="48"/>
    </row>
    <row r="13" spans="1:33">
      <c r="A13" s="249"/>
      <c r="B13" s="43" t="s">
        <v>15</v>
      </c>
      <c r="C13" s="43">
        <v>10</v>
      </c>
      <c r="D13" s="42"/>
      <c r="E13" s="42"/>
      <c r="F13" s="42"/>
      <c r="G13" s="42"/>
      <c r="H13" s="42"/>
      <c r="I13" s="42"/>
      <c r="J13" s="43"/>
      <c r="K13" s="43"/>
      <c r="L13" s="43"/>
      <c r="M13" s="43"/>
      <c r="N13" s="43"/>
      <c r="O13" s="43"/>
      <c r="P13" s="43"/>
      <c r="Q13" s="43"/>
      <c r="R13" s="43"/>
      <c r="S13" s="43"/>
      <c r="T13" s="43"/>
      <c r="U13" s="45"/>
      <c r="V13" s="175"/>
      <c r="W13" s="48"/>
    </row>
    <row r="14" spans="1:33">
      <c r="A14" s="249"/>
      <c r="B14" s="43" t="s">
        <v>15</v>
      </c>
      <c r="C14" s="43">
        <v>11</v>
      </c>
      <c r="D14" s="42"/>
      <c r="E14" s="42"/>
      <c r="F14" s="42"/>
      <c r="G14" s="42"/>
      <c r="H14" s="42"/>
      <c r="I14" s="42"/>
      <c r="J14" s="43"/>
      <c r="K14" s="43"/>
      <c r="L14" s="43"/>
      <c r="M14" s="43"/>
      <c r="N14" s="43"/>
      <c r="O14" s="43"/>
      <c r="P14" s="43"/>
      <c r="Q14" s="43"/>
      <c r="R14" s="43"/>
      <c r="S14" s="43"/>
      <c r="T14" s="43"/>
      <c r="U14" s="45"/>
      <c r="V14" s="175"/>
      <c r="W14" s="48"/>
    </row>
    <row r="15" spans="1:33">
      <c r="A15" s="249"/>
      <c r="B15" s="43" t="s">
        <v>15</v>
      </c>
      <c r="C15" s="43">
        <v>12</v>
      </c>
      <c r="D15" s="42"/>
      <c r="E15" s="42"/>
      <c r="F15" s="42"/>
      <c r="G15" s="42"/>
      <c r="H15" s="42"/>
      <c r="I15" s="42"/>
      <c r="J15" s="43"/>
      <c r="K15" s="43"/>
      <c r="L15" s="43"/>
      <c r="M15" s="43"/>
      <c r="N15" s="43"/>
      <c r="O15" s="43"/>
      <c r="P15" s="43"/>
      <c r="Q15" s="43"/>
      <c r="R15" s="43"/>
      <c r="S15" s="43"/>
      <c r="T15" s="43"/>
      <c r="U15" s="45"/>
      <c r="V15" s="175"/>
      <c r="W15" s="48"/>
    </row>
    <row r="16" spans="1:33">
      <c r="A16" s="249"/>
      <c r="B16" s="43" t="s">
        <v>15</v>
      </c>
      <c r="C16" s="43">
        <v>13</v>
      </c>
      <c r="D16" s="42"/>
      <c r="E16" s="42"/>
      <c r="F16" s="42"/>
      <c r="G16" s="42"/>
      <c r="H16" s="42"/>
      <c r="I16" s="42"/>
      <c r="J16" s="43"/>
      <c r="K16" s="43"/>
      <c r="L16" s="43"/>
      <c r="M16" s="43"/>
      <c r="N16" s="43"/>
      <c r="O16" s="43"/>
      <c r="P16" s="43"/>
      <c r="Q16" s="43"/>
      <c r="R16" s="43"/>
      <c r="S16" s="43"/>
      <c r="T16" s="43"/>
      <c r="U16" s="45"/>
      <c r="V16" s="175"/>
      <c r="W16" s="48"/>
    </row>
    <row r="17" spans="1:33">
      <c r="A17" s="249"/>
      <c r="B17" s="43" t="s">
        <v>15</v>
      </c>
      <c r="C17" s="43">
        <v>14</v>
      </c>
      <c r="D17" s="42"/>
      <c r="E17" s="42"/>
      <c r="F17" s="42"/>
      <c r="G17" s="42"/>
      <c r="H17" s="42"/>
      <c r="I17" s="42"/>
      <c r="J17" s="43"/>
      <c r="K17" s="43"/>
      <c r="L17" s="43"/>
      <c r="M17" s="43"/>
      <c r="N17" s="43"/>
      <c r="O17" s="43"/>
      <c r="P17" s="43"/>
      <c r="Q17" s="43"/>
      <c r="R17" s="43"/>
      <c r="S17" s="43"/>
      <c r="T17" s="43"/>
      <c r="U17" s="45"/>
      <c r="V17" s="175"/>
      <c r="W17" s="48"/>
    </row>
    <row r="18" spans="1:33">
      <c r="A18" s="249"/>
      <c r="B18" s="43" t="s">
        <v>15</v>
      </c>
      <c r="C18" s="43">
        <v>15</v>
      </c>
      <c r="D18" s="42"/>
      <c r="E18" s="42"/>
      <c r="F18" s="42"/>
      <c r="G18" s="42"/>
      <c r="H18" s="42"/>
      <c r="I18" s="42"/>
      <c r="J18" s="43"/>
      <c r="K18" s="43"/>
      <c r="L18" s="43"/>
      <c r="M18" s="43"/>
      <c r="N18" s="43"/>
      <c r="O18" s="43"/>
      <c r="P18" s="43"/>
      <c r="Q18" s="43"/>
      <c r="R18" s="43"/>
      <c r="S18" s="43"/>
      <c r="T18" s="43"/>
      <c r="U18" s="45"/>
      <c r="V18" s="175"/>
      <c r="W18" s="48"/>
    </row>
    <row r="19" spans="1:33">
      <c r="A19" s="249"/>
      <c r="B19" s="43" t="s">
        <v>15</v>
      </c>
      <c r="C19" s="43">
        <v>16</v>
      </c>
      <c r="D19" s="42"/>
      <c r="E19" s="42"/>
      <c r="F19" s="42"/>
      <c r="G19" s="42"/>
      <c r="H19" s="42"/>
      <c r="I19" s="42"/>
      <c r="J19" s="43"/>
      <c r="K19" s="43"/>
      <c r="L19" s="43"/>
      <c r="M19" s="43"/>
      <c r="N19" s="43"/>
      <c r="O19" s="43"/>
      <c r="P19" s="43"/>
      <c r="Q19" s="43"/>
      <c r="R19" s="43"/>
      <c r="S19" s="43"/>
      <c r="T19" s="43"/>
      <c r="U19" s="45"/>
      <c r="V19" s="175"/>
      <c r="W19" s="48"/>
    </row>
    <row r="20" spans="1:33">
      <c r="A20" s="249"/>
      <c r="B20" s="43" t="s">
        <v>15</v>
      </c>
      <c r="C20" s="43">
        <v>17</v>
      </c>
      <c r="D20" s="42"/>
      <c r="E20" s="42"/>
      <c r="F20" s="42"/>
      <c r="G20" s="42"/>
      <c r="H20" s="42"/>
      <c r="I20" s="42"/>
      <c r="J20" s="43"/>
      <c r="K20" s="43"/>
      <c r="L20" s="43"/>
      <c r="M20" s="43"/>
      <c r="N20" s="43"/>
      <c r="O20" s="43"/>
      <c r="P20" s="43"/>
      <c r="Q20" s="43"/>
      <c r="R20" s="43"/>
      <c r="S20" s="43"/>
      <c r="T20" s="43"/>
      <c r="U20" s="45"/>
      <c r="V20" s="175"/>
      <c r="W20" s="48"/>
    </row>
    <row r="21" spans="1:33">
      <c r="A21" s="249"/>
      <c r="B21" s="43" t="s">
        <v>15</v>
      </c>
      <c r="C21" s="43">
        <v>18</v>
      </c>
      <c r="D21" s="42"/>
      <c r="E21" s="42"/>
      <c r="F21" s="42"/>
      <c r="G21" s="42"/>
      <c r="H21" s="42"/>
      <c r="I21" s="42"/>
      <c r="J21" s="43"/>
      <c r="K21" s="43"/>
      <c r="L21" s="43"/>
      <c r="M21" s="43"/>
      <c r="N21" s="43"/>
      <c r="O21" s="43"/>
      <c r="P21" s="43"/>
      <c r="Q21" s="43"/>
      <c r="R21" s="43"/>
      <c r="S21" s="43"/>
      <c r="T21" s="43"/>
      <c r="U21" s="45"/>
      <c r="V21" s="175"/>
      <c r="W21" s="48"/>
    </row>
    <row r="22" spans="1:33">
      <c r="A22" s="249"/>
      <c r="B22" s="43" t="s">
        <v>15</v>
      </c>
      <c r="C22" s="43">
        <v>19</v>
      </c>
      <c r="D22" s="42"/>
      <c r="E22" s="42"/>
      <c r="F22" s="42"/>
      <c r="G22" s="42"/>
      <c r="H22" s="42"/>
      <c r="I22" s="42"/>
      <c r="J22" s="43"/>
      <c r="K22" s="43"/>
      <c r="L22" s="43"/>
      <c r="M22" s="43"/>
      <c r="N22" s="43"/>
      <c r="O22" s="43"/>
      <c r="P22" s="43"/>
      <c r="Q22" s="43"/>
      <c r="R22" s="43"/>
      <c r="S22" s="43"/>
      <c r="T22" s="43"/>
      <c r="U22" s="45"/>
      <c r="V22" s="175"/>
      <c r="W22" s="48"/>
    </row>
    <row r="23" spans="1:33">
      <c r="A23" s="249"/>
      <c r="B23" s="43" t="s">
        <v>15</v>
      </c>
      <c r="C23" s="43">
        <v>20</v>
      </c>
      <c r="D23" s="42"/>
      <c r="E23" s="42"/>
      <c r="F23" s="42"/>
      <c r="G23" s="42"/>
      <c r="H23" s="42"/>
      <c r="I23" s="42"/>
      <c r="J23" s="43"/>
      <c r="K23" s="43"/>
      <c r="L23" s="43"/>
      <c r="M23" s="43"/>
      <c r="N23" s="43"/>
      <c r="O23" s="43"/>
      <c r="P23" s="43"/>
      <c r="Q23" s="43"/>
      <c r="R23" s="43"/>
      <c r="S23" s="43"/>
      <c r="T23" s="43"/>
      <c r="U23" s="45"/>
      <c r="V23" s="175"/>
      <c r="W23" s="48"/>
    </row>
    <row r="24" spans="1:33" ht="13.5" thickBot="1">
      <c r="A24" s="247"/>
      <c r="B24" s="70"/>
      <c r="C24" s="71" t="s">
        <v>195</v>
      </c>
      <c r="D24" s="74"/>
      <c r="E24" s="74"/>
      <c r="F24" s="74"/>
      <c r="G24" s="74"/>
      <c r="H24" s="74"/>
      <c r="I24" s="74"/>
      <c r="J24" s="70"/>
      <c r="K24" s="70"/>
      <c r="L24" s="70"/>
      <c r="M24" s="70"/>
      <c r="N24" s="70"/>
      <c r="O24" s="70"/>
      <c r="P24" s="70"/>
      <c r="Q24" s="70"/>
      <c r="R24" s="70"/>
      <c r="S24" s="70"/>
      <c r="T24" s="70"/>
      <c r="U24" s="72"/>
      <c r="V24" s="176"/>
      <c r="W24" s="121"/>
    </row>
    <row r="25" spans="1:33" ht="13.5" thickBot="1"/>
    <row r="26" spans="1:33" s="17" customFormat="1">
      <c r="A26" s="252"/>
      <c r="B26" s="192"/>
      <c r="C26" s="152"/>
      <c r="D26" s="15"/>
      <c r="E26" s="15"/>
      <c r="F26" s="15"/>
      <c r="G26" s="15"/>
      <c r="H26" s="15"/>
      <c r="I26" s="15"/>
      <c r="J26" s="21" t="s">
        <v>196</v>
      </c>
      <c r="K26" s="21"/>
      <c r="L26" s="21" t="s">
        <v>196</v>
      </c>
      <c r="M26" s="21" t="s">
        <v>196</v>
      </c>
      <c r="N26" s="21" t="s">
        <v>196</v>
      </c>
      <c r="O26" s="21" t="s">
        <v>196</v>
      </c>
      <c r="P26" s="21" t="s">
        <v>196</v>
      </c>
      <c r="Q26" s="21" t="s">
        <v>196</v>
      </c>
      <c r="R26" s="21" t="s">
        <v>196</v>
      </c>
      <c r="S26" s="21" t="s">
        <v>196</v>
      </c>
      <c r="T26" s="15"/>
      <c r="U26" s="15"/>
      <c r="V26" s="40" t="s">
        <v>196</v>
      </c>
      <c r="W26" s="16"/>
      <c r="X26" s="49"/>
      <c r="Y26" s="49"/>
      <c r="Z26" s="49"/>
      <c r="AA26" s="49"/>
      <c r="AB26" s="49"/>
      <c r="AC26" s="49"/>
      <c r="AD26" s="49"/>
      <c r="AE26" s="49"/>
      <c r="AF26" s="49"/>
      <c r="AG26" s="49"/>
    </row>
    <row r="27" spans="1:33" s="29" customFormat="1" ht="9">
      <c r="A27" s="253"/>
      <c r="B27" s="360"/>
      <c r="C27" s="151"/>
      <c r="D27" s="31"/>
      <c r="E27" s="31"/>
      <c r="F27" s="31"/>
      <c r="G27" s="31"/>
      <c r="H27" s="31"/>
      <c r="I27" s="31"/>
      <c r="J27" s="27" t="s">
        <v>83</v>
      </c>
      <c r="K27" s="27"/>
      <c r="L27" s="27" t="s">
        <v>83</v>
      </c>
      <c r="M27" s="27" t="s">
        <v>83</v>
      </c>
      <c r="N27" s="27" t="s">
        <v>83</v>
      </c>
      <c r="O27" s="27" t="s">
        <v>83</v>
      </c>
      <c r="P27" s="27" t="s">
        <v>83</v>
      </c>
      <c r="Q27" s="27" t="s">
        <v>83</v>
      </c>
      <c r="R27" s="27" t="s">
        <v>83</v>
      </c>
      <c r="S27" s="27" t="s">
        <v>83</v>
      </c>
      <c r="T27" s="31"/>
      <c r="U27" s="31"/>
      <c r="V27" s="36" t="s">
        <v>199</v>
      </c>
      <c r="W27" s="32"/>
      <c r="X27" s="14"/>
      <c r="Y27" s="14"/>
      <c r="Z27" s="14"/>
      <c r="AA27" s="14"/>
      <c r="AB27" s="14"/>
      <c r="AC27" s="14"/>
      <c r="AD27" s="14"/>
      <c r="AE27" s="14"/>
      <c r="AF27" s="14"/>
      <c r="AG27" s="14"/>
    </row>
    <row r="28" spans="1:33" s="29" customFormat="1" ht="9">
      <c r="A28" s="253"/>
      <c r="B28" s="360"/>
      <c r="C28" s="151"/>
      <c r="D28" s="31"/>
      <c r="E28" s="31"/>
      <c r="F28" s="31"/>
      <c r="G28" s="31"/>
      <c r="H28" s="31"/>
      <c r="I28" s="31"/>
      <c r="J28" s="27" t="s">
        <v>94</v>
      </c>
      <c r="K28" s="27"/>
      <c r="L28" s="27" t="s">
        <v>94</v>
      </c>
      <c r="M28" s="27" t="s">
        <v>94</v>
      </c>
      <c r="N28" s="27" t="s">
        <v>94</v>
      </c>
      <c r="O28" s="27" t="s">
        <v>94</v>
      </c>
      <c r="P28" s="27" t="s">
        <v>94</v>
      </c>
      <c r="Q28" s="27" t="s">
        <v>94</v>
      </c>
      <c r="R28" s="27" t="s">
        <v>94</v>
      </c>
      <c r="S28" s="27" t="s">
        <v>94</v>
      </c>
      <c r="T28" s="31"/>
      <c r="U28" s="31"/>
      <c r="V28" s="36" t="s">
        <v>204</v>
      </c>
      <c r="W28" s="32"/>
      <c r="X28" s="14"/>
      <c r="Y28" s="14"/>
      <c r="Z28" s="14"/>
      <c r="AA28" s="14"/>
      <c r="AB28" s="14"/>
      <c r="AC28" s="14"/>
      <c r="AD28" s="14"/>
      <c r="AE28" s="14"/>
      <c r="AF28" s="14"/>
      <c r="AG28" s="14"/>
    </row>
    <row r="29" spans="1:33" s="29" customFormat="1" ht="9">
      <c r="A29" s="253"/>
      <c r="B29" s="360"/>
      <c r="C29" s="151"/>
      <c r="D29" s="31"/>
      <c r="E29" s="31"/>
      <c r="F29" s="31"/>
      <c r="G29" s="31"/>
      <c r="H29" s="31"/>
      <c r="I29" s="31"/>
      <c r="J29" s="27" t="s">
        <v>105</v>
      </c>
      <c r="K29" s="27"/>
      <c r="L29" s="27" t="s">
        <v>105</v>
      </c>
      <c r="M29" s="27" t="s">
        <v>105</v>
      </c>
      <c r="N29" s="27" t="s">
        <v>105</v>
      </c>
      <c r="O29" s="27" t="s">
        <v>105</v>
      </c>
      <c r="P29" s="27" t="s">
        <v>105</v>
      </c>
      <c r="Q29" s="27" t="s">
        <v>105</v>
      </c>
      <c r="R29" s="27" t="s">
        <v>105</v>
      </c>
      <c r="S29" s="27" t="s">
        <v>105</v>
      </c>
      <c r="T29" s="31"/>
      <c r="U29" s="31"/>
      <c r="V29" s="36" t="s">
        <v>88</v>
      </c>
      <c r="W29" s="32"/>
      <c r="X29" s="14"/>
      <c r="Y29" s="14"/>
      <c r="Z29" s="14"/>
      <c r="AA29" s="14"/>
      <c r="AB29" s="14"/>
      <c r="AC29" s="14"/>
      <c r="AD29" s="14"/>
      <c r="AE29" s="14"/>
      <c r="AF29" s="14"/>
      <c r="AG29" s="14"/>
    </row>
    <row r="30" spans="1:33" s="29" customFormat="1" ht="9">
      <c r="A30" s="253"/>
      <c r="B30" s="360"/>
      <c r="C30" s="151"/>
      <c r="D30" s="31"/>
      <c r="E30" s="31"/>
      <c r="F30" s="31"/>
      <c r="G30" s="31"/>
      <c r="H30" s="31"/>
      <c r="I30" s="31"/>
      <c r="J30" s="27" t="s">
        <v>112</v>
      </c>
      <c r="K30" s="27"/>
      <c r="L30" s="27" t="s">
        <v>112</v>
      </c>
      <c r="M30" s="27" t="s">
        <v>112</v>
      </c>
      <c r="N30" s="27" t="s">
        <v>112</v>
      </c>
      <c r="O30" s="27" t="s">
        <v>112</v>
      </c>
      <c r="P30" s="27" t="s">
        <v>112</v>
      </c>
      <c r="Q30" s="27" t="s">
        <v>112</v>
      </c>
      <c r="R30" s="27" t="s">
        <v>112</v>
      </c>
      <c r="S30" s="27" t="s">
        <v>112</v>
      </c>
      <c r="T30" s="31"/>
      <c r="U30" s="31"/>
      <c r="V30" s="31"/>
      <c r="W30" s="32"/>
      <c r="X30" s="14"/>
      <c r="Y30" s="14"/>
      <c r="Z30" s="14"/>
      <c r="AA30" s="14"/>
      <c r="AB30" s="14"/>
      <c r="AC30" s="14"/>
      <c r="AD30" s="14"/>
      <c r="AE30" s="14"/>
      <c r="AF30" s="14"/>
      <c r="AG30" s="14"/>
    </row>
    <row r="31" spans="1:33" s="29" customFormat="1" ht="9">
      <c r="A31" s="253"/>
      <c r="B31" s="360"/>
      <c r="C31" s="151"/>
      <c r="D31" s="31"/>
      <c r="E31" s="31"/>
      <c r="F31" s="31"/>
      <c r="G31" s="31"/>
      <c r="H31" s="31"/>
      <c r="I31" s="31"/>
      <c r="J31" s="27" t="s">
        <v>439</v>
      </c>
      <c r="K31" s="27"/>
      <c r="L31" s="27" t="s">
        <v>439</v>
      </c>
      <c r="M31" s="27" t="s">
        <v>439</v>
      </c>
      <c r="N31" s="27" t="s">
        <v>439</v>
      </c>
      <c r="O31" s="27" t="s">
        <v>439</v>
      </c>
      <c r="P31" s="27" t="s">
        <v>439</v>
      </c>
      <c r="Q31" s="27" t="s">
        <v>439</v>
      </c>
      <c r="R31" s="27" t="s">
        <v>439</v>
      </c>
      <c r="S31" s="27" t="s">
        <v>439</v>
      </c>
      <c r="T31" s="31"/>
      <c r="U31" s="31"/>
      <c r="V31" s="31"/>
      <c r="W31" s="32"/>
      <c r="X31" s="14"/>
      <c r="Y31" s="14"/>
      <c r="Z31" s="14"/>
      <c r="AA31" s="14"/>
      <c r="AB31" s="14"/>
      <c r="AC31" s="14"/>
      <c r="AD31" s="14"/>
      <c r="AE31" s="14"/>
      <c r="AF31" s="14"/>
      <c r="AG31" s="14"/>
    </row>
    <row r="32" spans="1:33" s="29" customFormat="1" ht="9">
      <c r="A32" s="253"/>
      <c r="B32" s="360"/>
      <c r="C32" s="151"/>
      <c r="D32" s="31"/>
      <c r="E32" s="31"/>
      <c r="F32" s="31"/>
      <c r="G32" s="31"/>
      <c r="H32" s="31"/>
      <c r="I32" s="31"/>
      <c r="J32" s="27" t="s">
        <v>440</v>
      </c>
      <c r="K32" s="27"/>
      <c r="L32" s="27" t="s">
        <v>440</v>
      </c>
      <c r="M32" s="27" t="s">
        <v>440</v>
      </c>
      <c r="N32" s="27" t="s">
        <v>440</v>
      </c>
      <c r="O32" s="27" t="s">
        <v>440</v>
      </c>
      <c r="P32" s="27" t="s">
        <v>440</v>
      </c>
      <c r="Q32" s="27" t="s">
        <v>440</v>
      </c>
      <c r="R32" s="27" t="s">
        <v>440</v>
      </c>
      <c r="S32" s="27" t="s">
        <v>440</v>
      </c>
      <c r="T32" s="31"/>
      <c r="U32" s="31"/>
      <c r="V32" s="31"/>
      <c r="W32" s="32"/>
      <c r="X32" s="14"/>
      <c r="Y32" s="14"/>
      <c r="Z32" s="14"/>
      <c r="AA32" s="14"/>
      <c r="AB32" s="14"/>
      <c r="AC32" s="14"/>
      <c r="AD32" s="14"/>
      <c r="AE32" s="14"/>
      <c r="AF32" s="14"/>
      <c r="AG32" s="14"/>
    </row>
    <row r="33" spans="1:33" s="29" customFormat="1" ht="9">
      <c r="A33" s="253"/>
      <c r="B33" s="360"/>
      <c r="C33" s="151"/>
      <c r="D33" s="31"/>
      <c r="E33" s="31"/>
      <c r="F33" s="31"/>
      <c r="G33" s="31"/>
      <c r="H33" s="31"/>
      <c r="I33" s="31"/>
      <c r="J33" s="27" t="s">
        <v>441</v>
      </c>
      <c r="K33" s="27"/>
      <c r="L33" s="27"/>
      <c r="M33" s="27"/>
      <c r="N33" s="27"/>
      <c r="O33" s="27"/>
      <c r="P33" s="27"/>
      <c r="Q33" s="27"/>
      <c r="R33" s="27"/>
      <c r="S33" s="27"/>
      <c r="T33" s="31"/>
      <c r="U33" s="31"/>
      <c r="V33" s="31"/>
      <c r="W33" s="32"/>
      <c r="X33" s="14"/>
      <c r="Y33" s="14"/>
      <c r="Z33" s="14"/>
      <c r="AA33" s="14"/>
      <c r="AB33" s="14"/>
      <c r="AC33" s="14"/>
      <c r="AD33" s="14"/>
      <c r="AE33" s="14"/>
      <c r="AF33" s="14"/>
      <c r="AG33" s="14"/>
    </row>
    <row r="34" spans="1:33" s="29" customFormat="1" ht="9">
      <c r="A34" s="253"/>
      <c r="B34" s="360"/>
      <c r="C34" s="151"/>
      <c r="D34" s="31"/>
      <c r="E34" s="31"/>
      <c r="F34" s="31"/>
      <c r="G34" s="31"/>
      <c r="H34" s="31"/>
      <c r="I34" s="31"/>
      <c r="J34" s="27" t="s">
        <v>442</v>
      </c>
      <c r="K34" s="27"/>
      <c r="L34" s="27"/>
      <c r="M34" s="27"/>
      <c r="N34" s="27"/>
      <c r="O34" s="27"/>
      <c r="P34" s="27"/>
      <c r="Q34" s="27"/>
      <c r="R34" s="27"/>
      <c r="S34" s="27"/>
      <c r="T34" s="31"/>
      <c r="U34" s="31"/>
      <c r="V34" s="31"/>
      <c r="W34" s="32"/>
      <c r="X34" s="14"/>
      <c r="Y34" s="14"/>
      <c r="Z34" s="14"/>
      <c r="AA34" s="14"/>
      <c r="AB34" s="14"/>
      <c r="AC34" s="14"/>
      <c r="AD34" s="14"/>
      <c r="AE34" s="14"/>
      <c r="AF34" s="14"/>
      <c r="AG34" s="14"/>
    </row>
    <row r="35" spans="1:33" s="29" customFormat="1" ht="9.75" thickBot="1">
      <c r="A35" s="393"/>
      <c r="B35" s="394"/>
      <c r="C35" s="399"/>
      <c r="D35" s="33"/>
      <c r="E35" s="33"/>
      <c r="F35" s="33"/>
      <c r="G35" s="33"/>
      <c r="H35" s="33"/>
      <c r="I35" s="33"/>
      <c r="J35" s="34"/>
      <c r="K35" s="34"/>
      <c r="L35" s="34"/>
      <c r="M35" s="34"/>
      <c r="N35" s="34"/>
      <c r="O35" s="34"/>
      <c r="P35" s="34"/>
      <c r="Q35" s="34"/>
      <c r="R35" s="34"/>
      <c r="S35" s="34"/>
      <c r="T35" s="33"/>
      <c r="U35" s="33"/>
      <c r="V35" s="33"/>
      <c r="W35" s="35"/>
      <c r="X35" s="14"/>
      <c r="Y35" s="14"/>
      <c r="Z35" s="14"/>
      <c r="AA35" s="14"/>
      <c r="AB35" s="14"/>
      <c r="AC35" s="14"/>
      <c r="AD35" s="14"/>
      <c r="AE35" s="14"/>
      <c r="AF35" s="14"/>
      <c r="AG35" s="14"/>
    </row>
    <row r="87" spans="24:33">
      <c r="X87" s="101"/>
      <c r="Y87" s="101"/>
      <c r="Z87" s="101"/>
      <c r="AA87" s="101"/>
      <c r="AB87" s="101"/>
      <c r="AC87" s="101"/>
      <c r="AD87" s="101"/>
      <c r="AE87" s="101"/>
      <c r="AF87" s="101"/>
      <c r="AG87" s="101"/>
    </row>
    <row r="88" spans="24:33">
      <c r="X88" s="55"/>
      <c r="Y88" s="55"/>
      <c r="Z88" s="55"/>
      <c r="AA88" s="55"/>
      <c r="AB88" s="55"/>
      <c r="AC88" s="55"/>
      <c r="AD88" s="55"/>
      <c r="AE88" s="55"/>
      <c r="AF88" s="55"/>
      <c r="AG88" s="55"/>
    </row>
    <row r="90" spans="24:33">
      <c r="X90" s="41"/>
      <c r="Y90" s="41"/>
      <c r="Z90" s="41"/>
      <c r="AA90" s="41"/>
      <c r="AB90" s="41"/>
      <c r="AC90" s="41"/>
      <c r="AD90" s="41"/>
      <c r="AE90" s="41"/>
      <c r="AF90" s="41"/>
      <c r="AG90" s="41"/>
    </row>
    <row r="91" spans="24:33">
      <c r="X91" s="14"/>
      <c r="Y91" s="14"/>
      <c r="Z91" s="14"/>
      <c r="AA91" s="14"/>
      <c r="AB91" s="14"/>
      <c r="AC91" s="14"/>
      <c r="AD91" s="14"/>
      <c r="AE91" s="14"/>
      <c r="AF91" s="14"/>
      <c r="AG91" s="14"/>
    </row>
    <row r="92" spans="24:33">
      <c r="X92" s="14"/>
      <c r="Y92" s="14"/>
      <c r="Z92" s="14"/>
      <c r="AA92" s="14"/>
      <c r="AB92" s="14"/>
      <c r="AC92" s="14"/>
      <c r="AD92" s="14"/>
      <c r="AE92" s="14"/>
      <c r="AF92" s="14"/>
      <c r="AG92" s="14"/>
    </row>
    <row r="93" spans="24:33">
      <c r="X93" s="14"/>
      <c r="Y93" s="14"/>
      <c r="Z93" s="14"/>
      <c r="AA93" s="14"/>
      <c r="AB93" s="14"/>
      <c r="AC93" s="14"/>
      <c r="AD93" s="14"/>
      <c r="AE93" s="14"/>
      <c r="AF93" s="14"/>
      <c r="AG93" s="14"/>
    </row>
    <row r="94" spans="24:33">
      <c r="X94" s="14"/>
      <c r="Y94" s="14"/>
      <c r="Z94" s="14"/>
      <c r="AA94" s="14"/>
      <c r="AB94" s="14"/>
      <c r="AC94" s="14"/>
      <c r="AD94" s="14"/>
      <c r="AE94" s="14"/>
      <c r="AF94" s="14"/>
      <c r="AG94" s="14"/>
    </row>
    <row r="95" spans="24:33">
      <c r="X95" s="14"/>
      <c r="Y95" s="14"/>
      <c r="Z95" s="14"/>
      <c r="AA95" s="14"/>
      <c r="AB95" s="14"/>
      <c r="AC95" s="14"/>
      <c r="AD95" s="14"/>
      <c r="AE95" s="14"/>
      <c r="AF95" s="14"/>
      <c r="AG95" s="14"/>
    </row>
    <row r="96" spans="24:33">
      <c r="X96" s="14"/>
      <c r="Y96" s="14"/>
      <c r="Z96" s="14"/>
      <c r="AA96" s="14"/>
      <c r="AB96" s="14"/>
      <c r="AC96" s="14"/>
      <c r="AD96" s="14"/>
      <c r="AE96" s="14"/>
      <c r="AF96" s="14"/>
      <c r="AG96" s="14"/>
    </row>
    <row r="97" spans="24:33">
      <c r="X97" s="14"/>
      <c r="Y97" s="14"/>
      <c r="Z97" s="14"/>
      <c r="AA97" s="14"/>
      <c r="AB97" s="14"/>
      <c r="AC97" s="14"/>
      <c r="AD97" s="14"/>
      <c r="AE97" s="14"/>
      <c r="AF97" s="14"/>
      <c r="AG97" s="14"/>
    </row>
    <row r="98" spans="24:33">
      <c r="X98" s="14"/>
      <c r="Y98" s="14"/>
      <c r="Z98" s="14"/>
      <c r="AA98" s="14"/>
      <c r="AB98" s="14"/>
      <c r="AC98" s="14"/>
      <c r="AD98" s="14"/>
      <c r="AE98" s="14"/>
      <c r="AF98" s="14"/>
      <c r="AG98" s="14"/>
    </row>
    <row r="99" spans="24:33">
      <c r="X99" s="14"/>
      <c r="Y99" s="14"/>
      <c r="Z99" s="14"/>
      <c r="AA99" s="14"/>
      <c r="AB99" s="14"/>
      <c r="AC99" s="14"/>
      <c r="AD99" s="14"/>
      <c r="AE99" s="14"/>
      <c r="AF99" s="14"/>
      <c r="AG99" s="14"/>
    </row>
    <row r="100" spans="24:33">
      <c r="X100" s="14"/>
      <c r="Y100" s="14"/>
      <c r="Z100" s="14"/>
      <c r="AA100" s="14"/>
      <c r="AB100" s="14"/>
      <c r="AC100" s="14"/>
      <c r="AD100" s="14"/>
      <c r="AE100" s="14"/>
      <c r="AF100" s="14"/>
      <c r="AG100" s="14"/>
    </row>
  </sheetData>
  <autoFilter ref="A3:W3" xr:uid="{E64D31FB-62BF-4226-B861-3631A1D7EC77}"/>
  <phoneticPr fontId="0"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fitToPage="1"/>
  </sheetPr>
  <dimension ref="A1:AH100"/>
  <sheetViews>
    <sheetView showGridLines="0" zoomScaleNormal="100" zoomScaleSheetLayoutView="57" workbookViewId="0">
      <pane xSplit="4" ySplit="3" topLeftCell="E4" activePane="bottomRight" state="frozen"/>
      <selection pane="bottomRight" activeCell="D4" sqref="D4"/>
      <selection pane="bottomLeft" activeCell="A4" sqref="A4"/>
      <selection pane="topRight" activeCell="E1" sqref="E1"/>
    </sheetView>
  </sheetViews>
  <sheetFormatPr defaultColWidth="9.140625" defaultRowHeight="12.75"/>
  <cols>
    <col min="1" max="1" width="12.5703125" style="1" bestFit="1" customWidth="1"/>
    <col min="2" max="2" width="9.5703125" style="1" bestFit="1" customWidth="1"/>
    <col min="3" max="3" width="10.140625" style="1" bestFit="1" customWidth="1"/>
    <col min="4" max="4" width="20" style="1" customWidth="1"/>
    <col min="5" max="6" width="15.28515625" style="1" customWidth="1"/>
    <col min="7" max="7" width="42.7109375" style="1" bestFit="1" customWidth="1"/>
    <col min="8" max="9" width="31.85546875" style="1" bestFit="1" customWidth="1"/>
    <col min="10" max="10" width="36.85546875" style="1" bestFit="1" customWidth="1"/>
    <col min="11" max="11" width="36.85546875" style="1" customWidth="1"/>
    <col min="12" max="12" width="35.7109375" style="1" customWidth="1"/>
    <col min="13" max="20" width="30.7109375" style="1" customWidth="1"/>
    <col min="21" max="21" width="16.7109375" style="1" bestFit="1" customWidth="1"/>
    <col min="22" max="22" width="28.5703125" style="1" customWidth="1"/>
    <col min="23" max="23" width="19.5703125" style="1" customWidth="1"/>
    <col min="24" max="24" width="11.5703125" style="49" customWidth="1"/>
    <col min="25" max="34" width="9.140625" style="49"/>
    <col min="35" max="16384" width="9.140625" style="46"/>
  </cols>
  <sheetData>
    <row r="1" spans="1:34" ht="24" customHeight="1" thickBot="1">
      <c r="D1" s="118" t="s">
        <v>443</v>
      </c>
      <c r="U1" s="2"/>
      <c r="W1" s="61"/>
    </row>
    <row r="2" spans="1:34" ht="23.25" customHeight="1" thickBot="1">
      <c r="D2" s="206" t="s">
        <v>359</v>
      </c>
      <c r="E2" s="171" t="s">
        <v>63</v>
      </c>
      <c r="F2" s="172"/>
    </row>
    <row r="3" spans="1:34" s="55" customFormat="1" ht="30" customHeight="1" thickBot="1">
      <c r="A3" s="329" t="s">
        <v>64</v>
      </c>
      <c r="B3" s="330" t="s">
        <v>65</v>
      </c>
      <c r="C3" s="330" t="s">
        <v>444</v>
      </c>
      <c r="D3" s="331" t="s">
        <v>360</v>
      </c>
      <c r="E3" s="317" t="s">
        <v>68</v>
      </c>
      <c r="F3" s="318" t="s">
        <v>69</v>
      </c>
      <c r="G3" s="331" t="s">
        <v>361</v>
      </c>
      <c r="H3" s="330" t="s">
        <v>426</v>
      </c>
      <c r="I3" s="330" t="s">
        <v>427</v>
      </c>
      <c r="J3" s="330" t="s">
        <v>428</v>
      </c>
      <c r="K3" s="330" t="s">
        <v>445</v>
      </c>
      <c r="L3" s="330" t="s">
        <v>429</v>
      </c>
      <c r="M3" s="330" t="s">
        <v>430</v>
      </c>
      <c r="N3" s="330" t="s">
        <v>431</v>
      </c>
      <c r="O3" s="330" t="s">
        <v>432</v>
      </c>
      <c r="P3" s="330" t="s">
        <v>433</v>
      </c>
      <c r="Q3" s="330" t="s">
        <v>434</v>
      </c>
      <c r="R3" s="330" t="s">
        <v>435</v>
      </c>
      <c r="S3" s="330" t="s">
        <v>436</v>
      </c>
      <c r="T3" s="330" t="s">
        <v>437</v>
      </c>
      <c r="U3" s="330" t="s">
        <v>78</v>
      </c>
      <c r="V3" s="332" t="s">
        <v>79</v>
      </c>
      <c r="W3" s="333" t="s">
        <v>438</v>
      </c>
      <c r="X3" s="419" t="s">
        <v>82</v>
      </c>
      <c r="Y3" s="319"/>
      <c r="Z3" s="319"/>
      <c r="AA3" s="319"/>
      <c r="AB3" s="319"/>
      <c r="AC3" s="319"/>
      <c r="AD3" s="319"/>
      <c r="AE3" s="319"/>
      <c r="AF3" s="319"/>
      <c r="AG3" s="319"/>
      <c r="AH3" s="319"/>
    </row>
    <row r="4" spans="1:34">
      <c r="A4" s="249"/>
      <c r="B4" s="43" t="s">
        <v>15</v>
      </c>
      <c r="C4" s="78">
        <v>1</v>
      </c>
      <c r="D4" s="44"/>
      <c r="E4" s="43"/>
      <c r="F4" s="43"/>
      <c r="G4" s="43"/>
      <c r="H4" s="43"/>
      <c r="I4" s="43"/>
      <c r="J4" s="43"/>
      <c r="K4" s="194"/>
      <c r="L4" s="78"/>
      <c r="M4" s="43"/>
      <c r="N4" s="43"/>
      <c r="O4" s="43"/>
      <c r="P4" s="43"/>
      <c r="Q4" s="43"/>
      <c r="R4" s="43"/>
      <c r="S4" s="43"/>
      <c r="T4" s="43"/>
      <c r="U4" s="78"/>
      <c r="V4" s="82"/>
      <c r="W4" s="174"/>
      <c r="X4" s="108"/>
      <c r="Y4" s="25"/>
      <c r="Z4" s="195"/>
      <c r="AA4" s="46" t="s">
        <v>93</v>
      </c>
      <c r="AB4" s="25"/>
      <c r="AC4" s="25"/>
      <c r="AD4" s="25"/>
      <c r="AE4" s="25"/>
    </row>
    <row r="5" spans="1:34">
      <c r="A5" s="249"/>
      <c r="B5" s="43" t="s">
        <v>15</v>
      </c>
      <c r="C5" s="43">
        <v>2</v>
      </c>
      <c r="D5" s="44"/>
      <c r="E5" s="43"/>
      <c r="F5" s="43"/>
      <c r="G5" s="43"/>
      <c r="H5" s="43"/>
      <c r="I5" s="43"/>
      <c r="J5" s="43"/>
      <c r="K5" s="194"/>
      <c r="L5" s="43"/>
      <c r="M5" s="43"/>
      <c r="N5" s="43"/>
      <c r="O5" s="43"/>
      <c r="P5" s="43"/>
      <c r="Q5" s="43"/>
      <c r="R5" s="43"/>
      <c r="S5" s="43"/>
      <c r="T5" s="43"/>
      <c r="U5" s="43"/>
      <c r="V5" s="93"/>
      <c r="W5" s="175"/>
      <c r="X5" s="48"/>
      <c r="Y5" s="25"/>
      <c r="Z5" s="196"/>
      <c r="AA5" s="46" t="s">
        <v>100</v>
      </c>
      <c r="AB5" s="25"/>
      <c r="AC5" s="25"/>
      <c r="AD5" s="25"/>
      <c r="AE5" s="25"/>
    </row>
    <row r="6" spans="1:34">
      <c r="A6" s="249"/>
      <c r="B6" s="43" t="s">
        <v>15</v>
      </c>
      <c r="C6" s="78">
        <v>3</v>
      </c>
      <c r="D6" s="44"/>
      <c r="E6" s="43"/>
      <c r="F6" s="43"/>
      <c r="G6" s="43"/>
      <c r="H6" s="43"/>
      <c r="I6" s="43"/>
      <c r="J6" s="43"/>
      <c r="K6" s="194"/>
      <c r="L6" s="43"/>
      <c r="M6" s="43"/>
      <c r="N6" s="43"/>
      <c r="O6" s="43"/>
      <c r="P6" s="43"/>
      <c r="Q6" s="43"/>
      <c r="R6" s="43"/>
      <c r="S6" s="43"/>
      <c r="T6" s="43"/>
      <c r="U6" s="43"/>
      <c r="V6" s="93"/>
      <c r="W6" s="175"/>
      <c r="X6" s="48"/>
      <c r="Y6" s="25"/>
      <c r="Z6" s="197"/>
      <c r="AA6" s="46" t="s">
        <v>107</v>
      </c>
      <c r="AB6" s="25"/>
      <c r="AC6" s="25"/>
      <c r="AD6" s="25"/>
      <c r="AE6" s="25"/>
    </row>
    <row r="7" spans="1:34">
      <c r="A7" s="249"/>
      <c r="B7" s="43" t="s">
        <v>15</v>
      </c>
      <c r="C7" s="43">
        <v>4</v>
      </c>
      <c r="D7" s="44"/>
      <c r="E7" s="43"/>
      <c r="F7" s="43"/>
      <c r="G7" s="43"/>
      <c r="H7" s="43"/>
      <c r="I7" s="43"/>
      <c r="J7" s="43"/>
      <c r="K7" s="194"/>
      <c r="L7" s="43"/>
      <c r="M7" s="43"/>
      <c r="N7" s="43"/>
      <c r="O7" s="43"/>
      <c r="P7" s="43"/>
      <c r="Q7" s="43"/>
      <c r="R7" s="43"/>
      <c r="S7" s="43"/>
      <c r="T7" s="43"/>
      <c r="U7" s="43"/>
      <c r="V7" s="45"/>
      <c r="W7" s="175"/>
      <c r="X7" s="48"/>
      <c r="Y7" s="25"/>
      <c r="Z7" s="25"/>
      <c r="AA7" s="25"/>
      <c r="AB7" s="25"/>
      <c r="AC7" s="25"/>
      <c r="AD7" s="25"/>
      <c r="AE7" s="25"/>
    </row>
    <row r="8" spans="1:34">
      <c r="A8" s="249"/>
      <c r="B8" s="43" t="s">
        <v>15</v>
      </c>
      <c r="C8" s="78">
        <v>5</v>
      </c>
      <c r="D8" s="44"/>
      <c r="E8" s="43"/>
      <c r="F8" s="43"/>
      <c r="G8" s="43"/>
      <c r="H8" s="43"/>
      <c r="I8" s="43"/>
      <c r="J8" s="43"/>
      <c r="K8" s="194"/>
      <c r="L8" s="43"/>
      <c r="M8" s="43"/>
      <c r="N8" s="43"/>
      <c r="O8" s="43"/>
      <c r="P8" s="43"/>
      <c r="Q8" s="43"/>
      <c r="R8" s="43"/>
      <c r="S8" s="43"/>
      <c r="T8" s="43"/>
      <c r="U8" s="43"/>
      <c r="V8" s="93"/>
      <c r="W8" s="175"/>
      <c r="X8" s="48"/>
      <c r="Y8" s="25"/>
      <c r="Z8" s="320"/>
      <c r="AA8" s="46" t="s">
        <v>121</v>
      </c>
      <c r="AB8" s="25"/>
      <c r="AC8" s="25"/>
      <c r="AD8" s="25"/>
      <c r="AE8" s="25"/>
    </row>
    <row r="9" spans="1:34" s="94" customFormat="1">
      <c r="A9" s="249"/>
      <c r="B9" s="43" t="s">
        <v>15</v>
      </c>
      <c r="C9" s="43">
        <v>6</v>
      </c>
      <c r="D9" s="95"/>
      <c r="E9" s="47"/>
      <c r="F9" s="47"/>
      <c r="G9" s="47"/>
      <c r="H9" s="51"/>
      <c r="I9" s="51"/>
      <c r="J9" s="47"/>
      <c r="K9" s="194"/>
      <c r="L9" s="47"/>
      <c r="M9" s="43"/>
      <c r="N9" s="43"/>
      <c r="O9" s="43"/>
      <c r="P9" s="43"/>
      <c r="Q9" s="43"/>
      <c r="R9" s="43"/>
      <c r="S9" s="43"/>
      <c r="T9" s="43"/>
      <c r="U9" s="47"/>
      <c r="V9" s="93"/>
      <c r="W9" s="175"/>
      <c r="X9" s="48"/>
      <c r="Y9" s="25"/>
      <c r="Z9" s="321"/>
      <c r="AA9" s="46" t="s">
        <v>129</v>
      </c>
      <c r="AB9" s="25"/>
      <c r="AC9" s="25"/>
      <c r="AD9" s="25"/>
      <c r="AE9" s="25"/>
      <c r="AF9" s="49"/>
      <c r="AG9" s="49"/>
      <c r="AH9" s="49"/>
    </row>
    <row r="10" spans="1:34" s="94" customFormat="1">
      <c r="A10" s="249"/>
      <c r="B10" s="43" t="s">
        <v>15</v>
      </c>
      <c r="C10" s="78">
        <v>7</v>
      </c>
      <c r="D10" s="95"/>
      <c r="E10" s="47"/>
      <c r="F10" s="47"/>
      <c r="G10" s="47"/>
      <c r="H10" s="51"/>
      <c r="I10" s="51"/>
      <c r="J10" s="47"/>
      <c r="K10" s="194"/>
      <c r="L10" s="47"/>
      <c r="M10" s="43"/>
      <c r="N10" s="43"/>
      <c r="O10" s="43"/>
      <c r="P10" s="43"/>
      <c r="Q10" s="43"/>
      <c r="R10" s="43"/>
      <c r="S10" s="43"/>
      <c r="T10" s="43"/>
      <c r="U10" s="47"/>
      <c r="V10" s="93"/>
      <c r="W10" s="175"/>
      <c r="X10" s="48"/>
      <c r="Y10" s="25"/>
      <c r="Z10" s="25"/>
      <c r="AA10" s="25"/>
      <c r="AB10" s="25"/>
      <c r="AC10" s="25"/>
      <c r="AD10" s="25"/>
      <c r="AE10" s="25"/>
      <c r="AF10" s="49"/>
      <c r="AG10" s="49"/>
      <c r="AH10" s="49"/>
    </row>
    <row r="11" spans="1:34" s="94" customFormat="1">
      <c r="A11" s="249"/>
      <c r="B11" s="43" t="s">
        <v>15</v>
      </c>
      <c r="C11" s="43">
        <v>8</v>
      </c>
      <c r="D11" s="95"/>
      <c r="E11" s="47"/>
      <c r="F11" s="47"/>
      <c r="G11" s="47"/>
      <c r="H11" s="47"/>
      <c r="I11" s="47"/>
      <c r="J11" s="47"/>
      <c r="K11" s="194"/>
      <c r="L11" s="47"/>
      <c r="M11" s="43"/>
      <c r="N11" s="43"/>
      <c r="O11" s="43"/>
      <c r="P11" s="43"/>
      <c r="Q11" s="43"/>
      <c r="R11" s="43"/>
      <c r="S11" s="43"/>
      <c r="T11" s="43"/>
      <c r="U11" s="47"/>
      <c r="V11" s="93"/>
      <c r="W11" s="175"/>
      <c r="X11" s="48"/>
      <c r="Y11" s="25"/>
      <c r="Z11" s="25"/>
      <c r="AA11" s="25"/>
      <c r="AB11" s="25"/>
      <c r="AC11" s="25"/>
      <c r="AD11" s="25"/>
      <c r="AE11" s="25"/>
      <c r="AF11" s="49"/>
      <c r="AG11" s="49"/>
      <c r="AH11" s="49"/>
    </row>
    <row r="12" spans="1:34" s="94" customFormat="1">
      <c r="A12" s="249"/>
      <c r="B12" s="43" t="s">
        <v>15</v>
      </c>
      <c r="C12" s="78">
        <v>9</v>
      </c>
      <c r="D12" s="47"/>
      <c r="E12" s="47"/>
      <c r="F12" s="47"/>
      <c r="G12" s="47"/>
      <c r="H12" s="47"/>
      <c r="I12" s="47"/>
      <c r="J12" s="47"/>
      <c r="K12" s="194"/>
      <c r="L12" s="47"/>
      <c r="M12" s="43"/>
      <c r="N12" s="43"/>
      <c r="O12" s="43"/>
      <c r="P12" s="43"/>
      <c r="Q12" s="43"/>
      <c r="R12" s="43"/>
      <c r="S12" s="43"/>
      <c r="T12" s="43"/>
      <c r="U12" s="47"/>
      <c r="V12" s="93"/>
      <c r="W12" s="175"/>
      <c r="X12" s="48"/>
      <c r="Y12" s="25"/>
      <c r="Z12" s="25"/>
      <c r="AA12" s="25"/>
      <c r="AB12" s="25"/>
      <c r="AC12" s="25"/>
      <c r="AD12" s="25"/>
      <c r="AE12" s="25"/>
      <c r="AF12" s="49"/>
      <c r="AG12" s="49"/>
      <c r="AH12" s="49"/>
    </row>
    <row r="13" spans="1:34" s="94" customFormat="1">
      <c r="A13" s="249"/>
      <c r="B13" s="43" t="s">
        <v>15</v>
      </c>
      <c r="C13" s="43">
        <v>10</v>
      </c>
      <c r="D13" s="95"/>
      <c r="E13" s="47"/>
      <c r="F13" s="47"/>
      <c r="G13" s="47"/>
      <c r="H13" s="47"/>
      <c r="I13" s="47"/>
      <c r="J13" s="47"/>
      <c r="K13" s="194"/>
      <c r="L13" s="47"/>
      <c r="M13" s="43"/>
      <c r="N13" s="43"/>
      <c r="O13" s="43"/>
      <c r="P13" s="43"/>
      <c r="Q13" s="43"/>
      <c r="R13" s="43"/>
      <c r="S13" s="43"/>
      <c r="T13" s="43"/>
      <c r="U13" s="47"/>
      <c r="V13" s="93"/>
      <c r="W13" s="175"/>
      <c r="X13" s="48"/>
      <c r="Y13" s="25"/>
      <c r="Z13" s="25"/>
      <c r="AA13" s="25"/>
      <c r="AB13" s="25"/>
      <c r="AC13" s="25"/>
      <c r="AD13" s="25"/>
      <c r="AE13" s="25"/>
      <c r="AF13" s="49"/>
      <c r="AG13" s="49"/>
      <c r="AH13" s="49"/>
    </row>
    <row r="14" spans="1:34" s="94" customFormat="1">
      <c r="A14" s="249"/>
      <c r="B14" s="43" t="s">
        <v>15</v>
      </c>
      <c r="C14" s="78">
        <v>11</v>
      </c>
      <c r="D14" s="95"/>
      <c r="E14" s="47"/>
      <c r="F14" s="47"/>
      <c r="G14" s="47"/>
      <c r="H14" s="47"/>
      <c r="I14" s="47"/>
      <c r="J14" s="47"/>
      <c r="K14" s="194"/>
      <c r="L14" s="47"/>
      <c r="M14" s="43"/>
      <c r="N14" s="43"/>
      <c r="O14" s="43"/>
      <c r="P14" s="43"/>
      <c r="Q14" s="43"/>
      <c r="R14" s="43"/>
      <c r="S14" s="43"/>
      <c r="T14" s="43"/>
      <c r="U14" s="47"/>
      <c r="V14" s="93"/>
      <c r="W14" s="175"/>
      <c r="X14" s="48"/>
      <c r="Y14" s="25"/>
      <c r="Z14" s="25"/>
      <c r="AA14" s="25"/>
      <c r="AB14" s="25"/>
      <c r="AC14" s="25"/>
      <c r="AD14" s="25"/>
      <c r="AE14" s="25"/>
      <c r="AF14" s="49"/>
      <c r="AG14" s="49"/>
      <c r="AH14" s="49"/>
    </row>
    <row r="15" spans="1:34" s="94" customFormat="1">
      <c r="A15" s="249"/>
      <c r="B15" s="43" t="s">
        <v>15</v>
      </c>
      <c r="C15" s="43">
        <v>12</v>
      </c>
      <c r="D15" s="47"/>
      <c r="E15" s="47"/>
      <c r="F15" s="47"/>
      <c r="G15" s="47"/>
      <c r="H15" s="47"/>
      <c r="I15" s="47"/>
      <c r="J15" s="47"/>
      <c r="K15" s="194"/>
      <c r="L15" s="47"/>
      <c r="M15" s="43"/>
      <c r="N15" s="43"/>
      <c r="O15" s="43"/>
      <c r="P15" s="43"/>
      <c r="Q15" s="43"/>
      <c r="R15" s="43"/>
      <c r="S15" s="43"/>
      <c r="T15" s="43"/>
      <c r="U15" s="47"/>
      <c r="V15" s="93"/>
      <c r="W15" s="175"/>
      <c r="X15" s="48"/>
      <c r="Y15" s="25"/>
      <c r="Z15" s="25"/>
      <c r="AA15" s="25"/>
      <c r="AB15" s="25"/>
      <c r="AC15" s="25"/>
      <c r="AD15" s="25"/>
      <c r="AE15" s="25"/>
      <c r="AF15" s="49"/>
      <c r="AG15" s="49"/>
      <c r="AH15" s="49"/>
    </row>
    <row r="16" spans="1:34" s="94" customFormat="1">
      <c r="A16" s="249"/>
      <c r="B16" s="43" t="s">
        <v>15</v>
      </c>
      <c r="C16" s="78">
        <v>13</v>
      </c>
      <c r="D16" s="95"/>
      <c r="E16" s="47"/>
      <c r="F16" s="47"/>
      <c r="G16" s="47"/>
      <c r="H16" s="47"/>
      <c r="I16" s="47"/>
      <c r="J16" s="47"/>
      <c r="K16" s="194"/>
      <c r="L16" s="47"/>
      <c r="M16" s="43"/>
      <c r="N16" s="43"/>
      <c r="O16" s="43"/>
      <c r="P16" s="43"/>
      <c r="Q16" s="43"/>
      <c r="R16" s="43"/>
      <c r="S16" s="43"/>
      <c r="T16" s="43"/>
      <c r="U16" s="47"/>
      <c r="V16" s="93"/>
      <c r="W16" s="175"/>
      <c r="X16" s="48"/>
      <c r="Y16" s="25"/>
      <c r="Z16" s="25"/>
      <c r="AA16" s="25"/>
      <c r="AB16" s="25"/>
      <c r="AC16" s="25"/>
      <c r="AD16" s="25"/>
      <c r="AE16" s="25"/>
      <c r="AF16" s="49"/>
      <c r="AG16" s="49"/>
      <c r="AH16" s="49"/>
    </row>
    <row r="17" spans="1:34" s="94" customFormat="1">
      <c r="A17" s="249"/>
      <c r="B17" s="43" t="s">
        <v>15</v>
      </c>
      <c r="C17" s="43">
        <v>14</v>
      </c>
      <c r="D17" s="95"/>
      <c r="E17" s="47"/>
      <c r="F17" s="47"/>
      <c r="G17" s="47"/>
      <c r="H17" s="51"/>
      <c r="I17" s="51"/>
      <c r="J17" s="47"/>
      <c r="K17" s="194"/>
      <c r="L17" s="47"/>
      <c r="M17" s="43"/>
      <c r="N17" s="43"/>
      <c r="O17" s="43"/>
      <c r="P17" s="43"/>
      <c r="Q17" s="43"/>
      <c r="R17" s="43"/>
      <c r="S17" s="43"/>
      <c r="T17" s="43"/>
      <c r="U17" s="47"/>
      <c r="V17" s="93"/>
      <c r="W17" s="175"/>
      <c r="X17" s="48"/>
      <c r="Y17" s="49"/>
      <c r="Z17" s="49"/>
      <c r="AA17" s="49"/>
      <c r="AB17" s="49"/>
      <c r="AC17" s="49"/>
      <c r="AD17" s="49"/>
      <c r="AE17" s="49"/>
      <c r="AF17" s="49"/>
      <c r="AG17" s="49"/>
      <c r="AH17" s="49"/>
    </row>
    <row r="18" spans="1:34" s="94" customFormat="1">
      <c r="A18" s="249"/>
      <c r="B18" s="43" t="s">
        <v>15</v>
      </c>
      <c r="C18" s="78">
        <v>15</v>
      </c>
      <c r="D18" s="47"/>
      <c r="E18" s="47"/>
      <c r="F18" s="47"/>
      <c r="G18" s="47"/>
      <c r="H18" s="47"/>
      <c r="I18" s="47"/>
      <c r="J18" s="47"/>
      <c r="K18" s="194"/>
      <c r="L18" s="47"/>
      <c r="M18" s="43"/>
      <c r="N18" s="43"/>
      <c r="O18" s="43"/>
      <c r="P18" s="43"/>
      <c r="Q18" s="43"/>
      <c r="R18" s="43"/>
      <c r="S18" s="43"/>
      <c r="T18" s="43"/>
      <c r="U18" s="47"/>
      <c r="V18" s="93"/>
      <c r="W18" s="175"/>
      <c r="X18" s="48"/>
      <c r="Y18" s="49"/>
      <c r="Z18" s="49"/>
      <c r="AA18" s="49"/>
      <c r="AB18" s="49"/>
      <c r="AC18" s="49"/>
      <c r="AD18" s="49"/>
      <c r="AE18" s="49"/>
      <c r="AF18" s="49"/>
      <c r="AG18" s="49"/>
      <c r="AH18" s="49"/>
    </row>
    <row r="19" spans="1:34" s="94" customFormat="1">
      <c r="A19" s="249"/>
      <c r="B19" s="43" t="s">
        <v>15</v>
      </c>
      <c r="C19" s="43">
        <v>16</v>
      </c>
      <c r="D19" s="47"/>
      <c r="E19" s="47"/>
      <c r="F19" s="47"/>
      <c r="G19" s="47"/>
      <c r="H19" s="47"/>
      <c r="I19" s="47"/>
      <c r="J19" s="47"/>
      <c r="K19" s="194"/>
      <c r="L19" s="47"/>
      <c r="M19" s="43"/>
      <c r="N19" s="43"/>
      <c r="O19" s="43"/>
      <c r="P19" s="43"/>
      <c r="Q19" s="43"/>
      <c r="R19" s="43"/>
      <c r="S19" s="43"/>
      <c r="T19" s="43"/>
      <c r="U19" s="47"/>
      <c r="V19" s="93"/>
      <c r="W19" s="175"/>
      <c r="X19" s="48"/>
      <c r="Y19" s="49"/>
      <c r="Z19" s="49"/>
      <c r="AA19" s="49"/>
      <c r="AB19" s="49"/>
      <c r="AC19" s="49"/>
      <c r="AD19" s="49"/>
      <c r="AE19" s="49"/>
      <c r="AF19" s="49"/>
      <c r="AG19" s="49"/>
      <c r="AH19" s="49"/>
    </row>
    <row r="20" spans="1:34">
      <c r="A20" s="249"/>
      <c r="B20" s="43" t="s">
        <v>15</v>
      </c>
      <c r="C20" s="78">
        <v>17</v>
      </c>
      <c r="D20" s="43"/>
      <c r="E20" s="43"/>
      <c r="F20" s="43"/>
      <c r="G20" s="43"/>
      <c r="H20" s="43"/>
      <c r="I20" s="43"/>
      <c r="J20" s="43"/>
      <c r="K20" s="194"/>
      <c r="L20" s="43"/>
      <c r="M20" s="43"/>
      <c r="N20" s="43"/>
      <c r="O20" s="43"/>
      <c r="P20" s="43"/>
      <c r="Q20" s="43"/>
      <c r="R20" s="43"/>
      <c r="S20" s="43"/>
      <c r="T20" s="43"/>
      <c r="U20" s="43"/>
      <c r="V20" s="45"/>
      <c r="W20" s="175"/>
      <c r="X20" s="48"/>
    </row>
    <row r="21" spans="1:34">
      <c r="A21" s="249"/>
      <c r="B21" s="43" t="s">
        <v>15</v>
      </c>
      <c r="C21" s="43">
        <v>18</v>
      </c>
      <c r="D21" s="43"/>
      <c r="E21" s="43"/>
      <c r="F21" s="43"/>
      <c r="G21" s="43"/>
      <c r="H21" s="43"/>
      <c r="I21" s="43"/>
      <c r="J21" s="43"/>
      <c r="K21" s="194"/>
      <c r="L21" s="43"/>
      <c r="M21" s="43"/>
      <c r="N21" s="43"/>
      <c r="O21" s="43"/>
      <c r="P21" s="43"/>
      <c r="Q21" s="43"/>
      <c r="R21" s="43"/>
      <c r="S21" s="43"/>
      <c r="T21" s="43"/>
      <c r="U21" s="43"/>
      <c r="V21" s="45"/>
      <c r="W21" s="175"/>
      <c r="X21" s="48"/>
    </row>
    <row r="22" spans="1:34">
      <c r="A22" s="249"/>
      <c r="B22" s="43" t="s">
        <v>15</v>
      </c>
      <c r="C22" s="78">
        <v>19</v>
      </c>
      <c r="D22" s="122"/>
      <c r="E22" s="122"/>
      <c r="F22" s="122"/>
      <c r="G22" s="122"/>
      <c r="H22" s="122"/>
      <c r="I22" s="122"/>
      <c r="J22" s="122"/>
      <c r="K22" s="194"/>
      <c r="L22" s="122"/>
      <c r="M22" s="43"/>
      <c r="N22" s="43"/>
      <c r="O22" s="43"/>
      <c r="P22" s="43"/>
      <c r="Q22" s="43"/>
      <c r="R22" s="43"/>
      <c r="S22" s="43"/>
      <c r="T22" s="43"/>
      <c r="U22" s="122"/>
      <c r="V22" s="124"/>
      <c r="W22" s="175"/>
      <c r="X22" s="123"/>
    </row>
    <row r="23" spans="1:34">
      <c r="A23" s="249"/>
      <c r="B23" s="43" t="s">
        <v>15</v>
      </c>
      <c r="C23" s="43">
        <v>20</v>
      </c>
      <c r="D23" s="122"/>
      <c r="E23" s="122"/>
      <c r="F23" s="122"/>
      <c r="G23" s="122"/>
      <c r="H23" s="122"/>
      <c r="I23" s="122"/>
      <c r="J23" s="122"/>
      <c r="K23" s="194"/>
      <c r="L23" s="122"/>
      <c r="M23" s="43"/>
      <c r="N23" s="43"/>
      <c r="O23" s="43"/>
      <c r="P23" s="43"/>
      <c r="Q23" s="43"/>
      <c r="R23" s="43"/>
      <c r="S23" s="43"/>
      <c r="T23" s="43"/>
      <c r="U23" s="122"/>
      <c r="V23" s="124"/>
      <c r="W23" s="175"/>
      <c r="X23" s="123"/>
    </row>
    <row r="24" spans="1:34" ht="13.5" thickBot="1">
      <c r="A24" s="247"/>
      <c r="B24" s="70"/>
      <c r="C24" s="71" t="s">
        <v>195</v>
      </c>
      <c r="D24" s="74"/>
      <c r="E24" s="74"/>
      <c r="F24" s="74"/>
      <c r="G24" s="74"/>
      <c r="H24" s="74"/>
      <c r="I24" s="74"/>
      <c r="J24" s="70"/>
      <c r="K24" s="70"/>
      <c r="L24" s="70"/>
      <c r="M24" s="70"/>
      <c r="N24" s="70"/>
      <c r="O24" s="70"/>
      <c r="P24" s="70"/>
      <c r="Q24" s="70"/>
      <c r="R24" s="70"/>
      <c r="S24" s="70"/>
      <c r="T24" s="70"/>
      <c r="U24" s="70"/>
      <c r="V24" s="72"/>
      <c r="W24" s="176"/>
      <c r="X24" s="121"/>
    </row>
    <row r="25" spans="1:34" ht="13.5" thickBot="1"/>
    <row r="26" spans="1:34" s="17" customFormat="1">
      <c r="A26" s="351"/>
      <c r="B26" s="37"/>
      <c r="C26" s="20"/>
      <c r="D26" s="20"/>
      <c r="E26" s="20"/>
      <c r="F26" s="20"/>
      <c r="G26" s="20"/>
      <c r="H26" s="20"/>
      <c r="I26" s="20"/>
      <c r="J26" s="21" t="s">
        <v>196</v>
      </c>
      <c r="K26" s="21" t="s">
        <v>196</v>
      </c>
      <c r="L26" s="21"/>
      <c r="M26" s="21" t="s">
        <v>196</v>
      </c>
      <c r="N26" s="21" t="s">
        <v>196</v>
      </c>
      <c r="O26" s="21" t="s">
        <v>196</v>
      </c>
      <c r="P26" s="21" t="s">
        <v>196</v>
      </c>
      <c r="Q26" s="21" t="s">
        <v>196</v>
      </c>
      <c r="R26" s="21" t="s">
        <v>196</v>
      </c>
      <c r="S26" s="21" t="s">
        <v>196</v>
      </c>
      <c r="T26" s="21" t="s">
        <v>196</v>
      </c>
      <c r="U26" s="20"/>
      <c r="V26" s="20"/>
      <c r="W26" s="21" t="s">
        <v>196</v>
      </c>
      <c r="X26" s="352"/>
      <c r="Y26" s="49"/>
      <c r="Z26" s="49"/>
      <c r="AA26" s="49"/>
      <c r="AB26" s="49"/>
      <c r="AC26" s="49"/>
      <c r="AD26" s="49"/>
      <c r="AE26" s="49"/>
      <c r="AF26" s="49"/>
      <c r="AG26" s="49"/>
      <c r="AH26" s="49"/>
    </row>
    <row r="27" spans="1:34" s="29" customFormat="1" ht="9">
      <c r="A27" s="257"/>
      <c r="B27" s="38"/>
      <c r="C27" s="26"/>
      <c r="D27" s="26"/>
      <c r="E27" s="26"/>
      <c r="F27" s="26"/>
      <c r="G27" s="26"/>
      <c r="H27" s="26"/>
      <c r="I27" s="26"/>
      <c r="J27" s="27" t="s">
        <v>446</v>
      </c>
      <c r="K27" s="27" t="s">
        <v>447</v>
      </c>
      <c r="L27" s="27"/>
      <c r="M27" s="27" t="s">
        <v>446</v>
      </c>
      <c r="N27" s="27" t="s">
        <v>446</v>
      </c>
      <c r="O27" s="27" t="s">
        <v>446</v>
      </c>
      <c r="P27" s="27" t="s">
        <v>446</v>
      </c>
      <c r="Q27" s="27" t="s">
        <v>446</v>
      </c>
      <c r="R27" s="27" t="s">
        <v>446</v>
      </c>
      <c r="S27" s="27" t="s">
        <v>446</v>
      </c>
      <c r="T27" s="27" t="s">
        <v>446</v>
      </c>
      <c r="U27" s="26"/>
      <c r="V27" s="26"/>
      <c r="W27" s="36" t="s">
        <v>199</v>
      </c>
      <c r="X27" s="28"/>
      <c r="Y27" s="14"/>
      <c r="Z27" s="14"/>
      <c r="AA27" s="14"/>
      <c r="AB27" s="14"/>
      <c r="AC27" s="14"/>
      <c r="AD27" s="14"/>
      <c r="AE27" s="14"/>
      <c r="AF27" s="14"/>
      <c r="AG27" s="14"/>
      <c r="AH27" s="14"/>
    </row>
    <row r="28" spans="1:34" s="29" customFormat="1" ht="9">
      <c r="A28" s="257"/>
      <c r="B28" s="38"/>
      <c r="C28" s="26"/>
      <c r="D28" s="26"/>
      <c r="E28" s="26"/>
      <c r="F28" s="26"/>
      <c r="G28" s="26"/>
      <c r="H28" s="26"/>
      <c r="I28" s="26"/>
      <c r="J28" s="27" t="s">
        <v>448</v>
      </c>
      <c r="K28" s="27" t="s">
        <v>449</v>
      </c>
      <c r="L28" s="27"/>
      <c r="M28" s="27" t="s">
        <v>448</v>
      </c>
      <c r="N28" s="27" t="s">
        <v>448</v>
      </c>
      <c r="O28" s="27" t="s">
        <v>448</v>
      </c>
      <c r="P28" s="27" t="s">
        <v>448</v>
      </c>
      <c r="Q28" s="27" t="s">
        <v>448</v>
      </c>
      <c r="R28" s="27" t="s">
        <v>448</v>
      </c>
      <c r="S28" s="27" t="s">
        <v>448</v>
      </c>
      <c r="T28" s="27" t="s">
        <v>448</v>
      </c>
      <c r="U28" s="26"/>
      <c r="V28" s="26"/>
      <c r="W28" s="36" t="s">
        <v>204</v>
      </c>
      <c r="X28" s="28"/>
      <c r="Y28" s="14"/>
      <c r="Z28" s="14"/>
      <c r="AA28" s="14"/>
      <c r="AB28" s="14"/>
      <c r="AC28" s="14"/>
      <c r="AD28" s="14"/>
      <c r="AE28" s="14"/>
      <c r="AF28" s="14"/>
      <c r="AG28" s="14"/>
      <c r="AH28" s="14"/>
    </row>
    <row r="29" spans="1:34" s="29" customFormat="1" ht="9">
      <c r="A29" s="257"/>
      <c r="B29" s="38"/>
      <c r="C29" s="26"/>
      <c r="D29" s="26"/>
      <c r="E29" s="26"/>
      <c r="F29" s="26"/>
      <c r="G29" s="26"/>
      <c r="H29" s="26"/>
      <c r="I29" s="26"/>
      <c r="J29" s="27" t="s">
        <v>105</v>
      </c>
      <c r="K29" s="27" t="s">
        <v>450</v>
      </c>
      <c r="L29" s="27"/>
      <c r="M29" s="27" t="s">
        <v>105</v>
      </c>
      <c r="N29" s="27" t="s">
        <v>105</v>
      </c>
      <c r="O29" s="27" t="s">
        <v>105</v>
      </c>
      <c r="P29" s="27" t="s">
        <v>105</v>
      </c>
      <c r="Q29" s="27" t="s">
        <v>105</v>
      </c>
      <c r="R29" s="27" t="s">
        <v>105</v>
      </c>
      <c r="S29" s="27" t="s">
        <v>105</v>
      </c>
      <c r="T29" s="27" t="s">
        <v>105</v>
      </c>
      <c r="U29" s="26"/>
      <c r="V29" s="26"/>
      <c r="W29" s="36" t="s">
        <v>88</v>
      </c>
      <c r="X29" s="28"/>
      <c r="Y29" s="14"/>
      <c r="Z29" s="14"/>
      <c r="AA29" s="14"/>
      <c r="AB29" s="14"/>
      <c r="AC29" s="14"/>
      <c r="AD29" s="14"/>
      <c r="AE29" s="14"/>
      <c r="AF29" s="14"/>
      <c r="AG29" s="14"/>
      <c r="AH29" s="14"/>
    </row>
    <row r="30" spans="1:34" s="29" customFormat="1" ht="9">
      <c r="A30" s="257"/>
      <c r="B30" s="38"/>
      <c r="C30" s="26"/>
      <c r="D30" s="26"/>
      <c r="E30" s="26"/>
      <c r="F30" s="26"/>
      <c r="G30" s="26"/>
      <c r="H30" s="26"/>
      <c r="I30" s="26"/>
      <c r="J30" s="27" t="s">
        <v>112</v>
      </c>
      <c r="K30" s="27" t="s">
        <v>451</v>
      </c>
      <c r="L30" s="27"/>
      <c r="M30" s="27" t="s">
        <v>112</v>
      </c>
      <c r="N30" s="27" t="s">
        <v>112</v>
      </c>
      <c r="O30" s="27" t="s">
        <v>112</v>
      </c>
      <c r="P30" s="27" t="s">
        <v>112</v>
      </c>
      <c r="Q30" s="27" t="s">
        <v>112</v>
      </c>
      <c r="R30" s="27" t="s">
        <v>112</v>
      </c>
      <c r="S30" s="27" t="s">
        <v>112</v>
      </c>
      <c r="T30" s="27" t="s">
        <v>112</v>
      </c>
      <c r="U30" s="26"/>
      <c r="V30" s="26"/>
      <c r="W30" s="31"/>
      <c r="X30" s="28"/>
      <c r="Y30" s="14"/>
      <c r="Z30" s="14"/>
      <c r="AA30" s="14"/>
      <c r="AB30" s="14"/>
      <c r="AC30" s="14"/>
      <c r="AD30" s="14"/>
      <c r="AE30" s="14"/>
      <c r="AF30" s="14"/>
      <c r="AG30" s="14"/>
      <c r="AH30" s="14"/>
    </row>
    <row r="31" spans="1:34" s="29" customFormat="1" ht="9">
      <c r="A31" s="257"/>
      <c r="B31" s="38"/>
      <c r="C31" s="26"/>
      <c r="D31" s="26"/>
      <c r="E31" s="26"/>
      <c r="F31" s="26"/>
      <c r="G31" s="26"/>
      <c r="H31" s="26"/>
      <c r="I31" s="26"/>
      <c r="J31" s="27" t="s">
        <v>439</v>
      </c>
      <c r="K31" s="27"/>
      <c r="L31" s="27"/>
      <c r="M31" s="27" t="s">
        <v>439</v>
      </c>
      <c r="N31" s="27" t="s">
        <v>439</v>
      </c>
      <c r="O31" s="27" t="s">
        <v>439</v>
      </c>
      <c r="P31" s="27" t="s">
        <v>439</v>
      </c>
      <c r="Q31" s="27" t="s">
        <v>439</v>
      </c>
      <c r="R31" s="27" t="s">
        <v>439</v>
      </c>
      <c r="S31" s="27" t="s">
        <v>439</v>
      </c>
      <c r="T31" s="27" t="s">
        <v>439</v>
      </c>
      <c r="U31" s="26"/>
      <c r="V31" s="26"/>
      <c r="W31" s="31"/>
      <c r="X31" s="28"/>
      <c r="Y31" s="14"/>
      <c r="Z31" s="14"/>
      <c r="AA31" s="14"/>
      <c r="AB31" s="14"/>
      <c r="AC31" s="14"/>
      <c r="AD31" s="14"/>
      <c r="AE31" s="14"/>
      <c r="AF31" s="14"/>
      <c r="AG31" s="14"/>
      <c r="AH31" s="14"/>
    </row>
    <row r="32" spans="1:34" s="29" customFormat="1" ht="9">
      <c r="A32" s="257"/>
      <c r="B32" s="38"/>
      <c r="C32" s="26"/>
      <c r="D32" s="26"/>
      <c r="E32" s="26"/>
      <c r="F32" s="26"/>
      <c r="G32" s="26"/>
      <c r="H32" s="26"/>
      <c r="I32" s="26"/>
      <c r="J32" s="27" t="s">
        <v>440</v>
      </c>
      <c r="K32" s="27"/>
      <c r="L32" s="27"/>
      <c r="M32" s="27" t="s">
        <v>440</v>
      </c>
      <c r="N32" s="27" t="s">
        <v>440</v>
      </c>
      <c r="O32" s="27" t="s">
        <v>440</v>
      </c>
      <c r="P32" s="27" t="s">
        <v>440</v>
      </c>
      <c r="Q32" s="27" t="s">
        <v>440</v>
      </c>
      <c r="R32" s="27" t="s">
        <v>440</v>
      </c>
      <c r="S32" s="27" t="s">
        <v>440</v>
      </c>
      <c r="T32" s="27" t="s">
        <v>440</v>
      </c>
      <c r="U32" s="26"/>
      <c r="V32" s="26"/>
      <c r="W32" s="31"/>
      <c r="X32" s="28"/>
      <c r="Y32" s="14"/>
      <c r="Z32" s="14"/>
      <c r="AA32" s="14"/>
      <c r="AB32" s="14"/>
      <c r="AC32" s="14"/>
      <c r="AD32" s="14"/>
      <c r="AE32" s="14"/>
      <c r="AF32" s="14"/>
      <c r="AG32" s="14"/>
      <c r="AH32" s="14"/>
    </row>
    <row r="33" spans="1:34" s="29" customFormat="1" ht="9">
      <c r="A33" s="257"/>
      <c r="B33" s="38"/>
      <c r="C33" s="26"/>
      <c r="D33" s="26"/>
      <c r="E33" s="26"/>
      <c r="F33" s="26"/>
      <c r="G33" s="26"/>
      <c r="H33" s="26"/>
      <c r="I33" s="26"/>
      <c r="J33" s="27" t="s">
        <v>452</v>
      </c>
      <c r="K33" s="27"/>
      <c r="L33" s="27"/>
      <c r="M33" s="27" t="s">
        <v>452</v>
      </c>
      <c r="N33" s="27" t="s">
        <v>452</v>
      </c>
      <c r="O33" s="27" t="s">
        <v>452</v>
      </c>
      <c r="P33" s="27" t="s">
        <v>452</v>
      </c>
      <c r="Q33" s="27" t="s">
        <v>452</v>
      </c>
      <c r="R33" s="27" t="s">
        <v>452</v>
      </c>
      <c r="S33" s="27" t="s">
        <v>452</v>
      </c>
      <c r="T33" s="27" t="s">
        <v>452</v>
      </c>
      <c r="U33" s="26"/>
      <c r="V33" s="26"/>
      <c r="W33" s="31"/>
      <c r="X33" s="28"/>
      <c r="Y33" s="14"/>
      <c r="Z33" s="14"/>
      <c r="AA33" s="14"/>
      <c r="AB33" s="14"/>
      <c r="AC33" s="14"/>
      <c r="AD33" s="14"/>
      <c r="AE33" s="14"/>
      <c r="AF33" s="14"/>
      <c r="AG33" s="14"/>
      <c r="AH33" s="14"/>
    </row>
    <row r="34" spans="1:34" s="29" customFormat="1" ht="9">
      <c r="A34" s="257"/>
      <c r="B34" s="38"/>
      <c r="C34" s="26"/>
      <c r="D34" s="26"/>
      <c r="E34" s="26"/>
      <c r="F34" s="26"/>
      <c r="G34" s="26"/>
      <c r="H34" s="26"/>
      <c r="I34" s="26"/>
      <c r="J34" s="27"/>
      <c r="K34" s="27"/>
      <c r="L34" s="27"/>
      <c r="M34" s="27"/>
      <c r="N34" s="27"/>
      <c r="O34" s="27"/>
      <c r="P34" s="27"/>
      <c r="Q34" s="27"/>
      <c r="R34" s="27"/>
      <c r="S34" s="27"/>
      <c r="T34" s="27"/>
      <c r="U34" s="26"/>
      <c r="V34" s="26"/>
      <c r="W34" s="31"/>
      <c r="X34" s="28"/>
      <c r="Y34" s="14"/>
      <c r="Z34" s="14"/>
      <c r="AA34" s="14"/>
      <c r="AB34" s="14"/>
      <c r="AC34" s="14"/>
      <c r="AD34" s="14"/>
      <c r="AE34" s="14"/>
      <c r="AF34" s="14"/>
      <c r="AG34" s="14"/>
      <c r="AH34" s="14"/>
    </row>
    <row r="35" spans="1:34" s="29" customFormat="1" ht="9.75" thickBot="1">
      <c r="A35" s="260"/>
      <c r="B35" s="39"/>
      <c r="C35" s="13"/>
      <c r="D35" s="13"/>
      <c r="E35" s="13"/>
      <c r="F35" s="13"/>
      <c r="G35" s="13"/>
      <c r="H35" s="13"/>
      <c r="I35" s="13"/>
      <c r="J35" s="34"/>
      <c r="K35" s="34"/>
      <c r="L35" s="34"/>
      <c r="M35" s="34"/>
      <c r="N35" s="34"/>
      <c r="O35" s="34"/>
      <c r="P35" s="34"/>
      <c r="Q35" s="34"/>
      <c r="R35" s="34"/>
      <c r="S35" s="34"/>
      <c r="T35" s="34"/>
      <c r="U35" s="13"/>
      <c r="V35" s="13"/>
      <c r="W35" s="33"/>
      <c r="X35" s="353"/>
      <c r="Y35" s="14"/>
      <c r="Z35" s="14"/>
      <c r="AA35" s="14"/>
      <c r="AB35" s="14"/>
      <c r="AC35" s="14"/>
      <c r="AD35" s="14"/>
      <c r="AE35" s="14"/>
      <c r="AF35" s="14"/>
      <c r="AG35" s="14"/>
      <c r="AH35" s="14"/>
    </row>
    <row r="36" spans="1:34" s="29" customFormat="1">
      <c r="A36" s="30"/>
      <c r="B36" s="30"/>
      <c r="C36" s="30"/>
      <c r="D36" s="30"/>
      <c r="E36" s="30"/>
      <c r="F36" s="30"/>
      <c r="G36" s="30"/>
      <c r="H36" s="30"/>
      <c r="I36" s="30"/>
      <c r="M36" s="1"/>
      <c r="N36" s="1"/>
      <c r="O36" s="1"/>
      <c r="P36" s="1"/>
      <c r="Q36" s="1"/>
      <c r="R36" s="1"/>
      <c r="S36" s="1"/>
      <c r="T36" s="1"/>
      <c r="U36" s="30"/>
      <c r="V36" s="30"/>
      <c r="W36" s="1"/>
      <c r="X36" s="49"/>
      <c r="Y36" s="49"/>
      <c r="Z36" s="49"/>
      <c r="AA36" s="49"/>
      <c r="AB36" s="49"/>
      <c r="AC36" s="49"/>
      <c r="AD36" s="49"/>
      <c r="AE36" s="49"/>
      <c r="AF36" s="49"/>
      <c r="AG36" s="49"/>
      <c r="AH36" s="49"/>
    </row>
    <row r="37" spans="1:34" s="29" customFormat="1">
      <c r="A37" s="30"/>
      <c r="B37" s="30"/>
      <c r="C37" s="30"/>
      <c r="D37" s="30"/>
      <c r="E37" s="30"/>
      <c r="F37" s="30"/>
      <c r="G37" s="30"/>
      <c r="H37" s="30"/>
      <c r="I37" s="30"/>
      <c r="M37" s="1"/>
      <c r="N37" s="1"/>
      <c r="O37" s="1"/>
      <c r="P37" s="1"/>
      <c r="Q37" s="1"/>
      <c r="R37" s="1"/>
      <c r="S37" s="1"/>
      <c r="T37" s="1"/>
      <c r="U37" s="30"/>
      <c r="V37" s="30"/>
      <c r="W37" s="1"/>
      <c r="X37" s="49"/>
      <c r="Y37" s="49"/>
      <c r="Z37" s="49"/>
      <c r="AA37" s="49"/>
      <c r="AB37" s="49"/>
      <c r="AC37" s="49"/>
      <c r="AD37" s="49"/>
      <c r="AE37" s="49"/>
      <c r="AF37" s="49"/>
      <c r="AG37" s="49"/>
      <c r="AH37" s="49"/>
    </row>
    <row r="87" spans="25:34">
      <c r="Y87" s="101"/>
      <c r="Z87" s="101"/>
      <c r="AA87" s="101"/>
      <c r="AB87" s="101"/>
      <c r="AC87" s="101"/>
      <c r="AD87" s="101"/>
      <c r="AE87" s="101"/>
      <c r="AF87" s="101"/>
      <c r="AG87" s="101"/>
      <c r="AH87" s="101"/>
    </row>
    <row r="88" spans="25:34">
      <c r="Y88" s="55"/>
      <c r="Z88" s="55"/>
      <c r="AA88" s="55"/>
      <c r="AB88" s="55"/>
      <c r="AC88" s="55"/>
      <c r="AD88" s="55"/>
      <c r="AE88" s="55"/>
      <c r="AF88" s="55"/>
      <c r="AG88" s="55"/>
      <c r="AH88" s="55"/>
    </row>
    <row r="90" spans="25:34">
      <c r="Y90" s="41"/>
      <c r="Z90" s="41"/>
      <c r="AA90" s="41"/>
      <c r="AB90" s="41"/>
      <c r="AC90" s="41"/>
      <c r="AD90" s="41"/>
      <c r="AE90" s="41"/>
      <c r="AF90" s="41"/>
      <c r="AG90" s="41"/>
      <c r="AH90" s="41"/>
    </row>
    <row r="91" spans="25:34">
      <c r="Y91" s="14"/>
      <c r="Z91" s="14"/>
      <c r="AA91" s="14"/>
      <c r="AB91" s="14"/>
      <c r="AC91" s="14"/>
      <c r="AD91" s="14"/>
      <c r="AE91" s="14"/>
      <c r="AF91" s="14"/>
      <c r="AG91" s="14"/>
      <c r="AH91" s="14"/>
    </row>
    <row r="92" spans="25:34">
      <c r="Y92" s="14"/>
      <c r="Z92" s="14"/>
      <c r="AA92" s="14"/>
      <c r="AB92" s="14"/>
      <c r="AC92" s="14"/>
      <c r="AD92" s="14"/>
      <c r="AE92" s="14"/>
      <c r="AF92" s="14"/>
      <c r="AG92" s="14"/>
      <c r="AH92" s="14"/>
    </row>
    <row r="93" spans="25:34">
      <c r="Y93" s="14"/>
      <c r="Z93" s="14"/>
      <c r="AA93" s="14"/>
      <c r="AB93" s="14"/>
      <c r="AC93" s="14"/>
      <c r="AD93" s="14"/>
      <c r="AE93" s="14"/>
      <c r="AF93" s="14"/>
      <c r="AG93" s="14"/>
      <c r="AH93" s="14"/>
    </row>
    <row r="94" spans="25:34">
      <c r="Y94" s="14"/>
      <c r="Z94" s="14"/>
      <c r="AA94" s="14"/>
      <c r="AB94" s="14"/>
      <c r="AC94" s="14"/>
      <c r="AD94" s="14"/>
      <c r="AE94" s="14"/>
      <c r="AF94" s="14"/>
      <c r="AG94" s="14"/>
      <c r="AH94" s="14"/>
    </row>
    <row r="95" spans="25:34">
      <c r="Y95" s="14"/>
      <c r="Z95" s="14"/>
      <c r="AA95" s="14"/>
      <c r="AB95" s="14"/>
      <c r="AC95" s="14"/>
      <c r="AD95" s="14"/>
      <c r="AE95" s="14"/>
      <c r="AF95" s="14"/>
      <c r="AG95" s="14"/>
      <c r="AH95" s="14"/>
    </row>
    <row r="96" spans="25:34">
      <c r="Y96" s="14"/>
      <c r="Z96" s="14"/>
      <c r="AA96" s="14"/>
      <c r="AB96" s="14"/>
      <c r="AC96" s="14"/>
      <c r="AD96" s="14"/>
      <c r="AE96" s="14"/>
      <c r="AF96" s="14"/>
      <c r="AG96" s="14"/>
      <c r="AH96" s="14"/>
    </row>
    <row r="97" spans="25:34">
      <c r="Y97" s="14"/>
      <c r="Z97" s="14"/>
      <c r="AA97" s="14"/>
      <c r="AB97" s="14"/>
      <c r="AC97" s="14"/>
      <c r="AD97" s="14"/>
      <c r="AE97" s="14"/>
      <c r="AF97" s="14"/>
      <c r="AG97" s="14"/>
      <c r="AH97" s="14"/>
    </row>
    <row r="98" spans="25:34">
      <c r="Y98" s="14"/>
      <c r="Z98" s="14"/>
      <c r="AA98" s="14"/>
      <c r="AB98" s="14"/>
      <c r="AC98" s="14"/>
      <c r="AD98" s="14"/>
      <c r="AE98" s="14"/>
      <c r="AF98" s="14"/>
      <c r="AG98" s="14"/>
      <c r="AH98" s="14"/>
    </row>
    <row r="99" spans="25:34">
      <c r="Y99" s="14"/>
      <c r="Z99" s="14"/>
      <c r="AA99" s="14"/>
      <c r="AB99" s="14"/>
      <c r="AC99" s="14"/>
      <c r="AD99" s="14"/>
      <c r="AE99" s="14"/>
      <c r="AF99" s="14"/>
      <c r="AG99" s="14"/>
      <c r="AH99" s="14"/>
    </row>
    <row r="100" spans="25:34">
      <c r="Y100" s="14"/>
      <c r="Z100" s="14"/>
      <c r="AA100" s="14"/>
      <c r="AB100" s="14"/>
      <c r="AC100" s="14"/>
      <c r="AD100" s="14"/>
      <c r="AE100" s="14"/>
      <c r="AF100" s="14"/>
      <c r="AG100" s="14"/>
      <c r="AH100" s="14"/>
    </row>
  </sheetData>
  <autoFilter ref="A3:X3" xr:uid="{BEC5CC2E-5E80-439F-88FA-625CD3A8E6EE}"/>
  <phoneticPr fontId="0" type="noConversion"/>
  <conditionalFormatting sqref="H24">
    <cfRule type="cellIs" dxfId="19" priority="10" operator="greaterThan">
      <formula>"len &gt;24"</formula>
    </cfRule>
  </conditionalFormatting>
  <conditionalFormatting sqref="H24">
    <cfRule type="expression" dxfId="18" priority="7">
      <formula>"LEN&gt;24"</formula>
    </cfRule>
    <cfRule type="expression" dxfId="17" priority="8">
      <formula>"len &gt; 24"</formula>
    </cfRule>
    <cfRule type="cellIs" dxfId="16" priority="9" operator="greaterThan">
      <formula>"len &gt; 24"</formula>
    </cfRule>
  </conditionalFormatting>
  <conditionalFormatting sqref="H24">
    <cfRule type="expression" dxfId="15" priority="6">
      <formula>"LEN &gt;24"</formula>
    </cfRule>
  </conditionalFormatting>
  <conditionalFormatting sqref="I24">
    <cfRule type="cellIs" dxfId="14" priority="5" operator="greaterThan">
      <formula>"len &gt;24"</formula>
    </cfRule>
  </conditionalFormatting>
  <conditionalFormatting sqref="I24">
    <cfRule type="expression" dxfId="13" priority="2">
      <formula>"LEN&gt;24"</formula>
    </cfRule>
    <cfRule type="expression" dxfId="12" priority="3">
      <formula>"len &gt; 24"</formula>
    </cfRule>
    <cfRule type="cellIs" dxfId="11" priority="4" operator="greaterThan">
      <formula>"len &gt; 24"</formula>
    </cfRule>
  </conditionalFormatting>
  <conditionalFormatting sqref="I24">
    <cfRule type="expression" dxfId="10" priority="1">
      <formula>"LEN &gt;24"</formula>
    </cfRule>
  </conditionalFormatting>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fitToPage="1"/>
  </sheetPr>
  <dimension ref="A1:BG100"/>
  <sheetViews>
    <sheetView showGridLines="0" zoomScaleNormal="100" zoomScaleSheetLayoutView="57" workbookViewId="0">
      <pane xSplit="4" ySplit="3" topLeftCell="AK4" activePane="bottomRight" state="frozen"/>
      <selection pane="bottomRight" activeCell="AP16" sqref="AP16"/>
      <selection pane="bottomLeft" activeCell="A4" sqref="A4"/>
      <selection pane="topRight" activeCell="E1" sqref="E1"/>
    </sheetView>
  </sheetViews>
  <sheetFormatPr defaultColWidth="9.140625" defaultRowHeight="12.75" outlineLevelCol="1"/>
  <cols>
    <col min="1" max="1" width="12.5703125" style="1" bestFit="1" customWidth="1"/>
    <col min="2" max="2" width="9.5703125" style="1" bestFit="1" customWidth="1"/>
    <col min="3" max="3" width="10.5703125" style="3" bestFit="1" customWidth="1"/>
    <col min="4" max="4" width="40.5703125" style="1" customWidth="1"/>
    <col min="5" max="6" width="15.28515625" style="1" customWidth="1"/>
    <col min="7" max="7" width="23.7109375" style="1" bestFit="1" customWidth="1"/>
    <col min="8" max="9" width="25.5703125" style="1" bestFit="1" customWidth="1"/>
    <col min="10" max="10" width="35.85546875" style="1" bestFit="1" customWidth="1"/>
    <col min="11" max="12" width="10.7109375" style="1" customWidth="1"/>
    <col min="13" max="13" width="31.85546875" style="1" bestFit="1" customWidth="1"/>
    <col min="14" max="15" width="12.5703125" style="1" customWidth="1"/>
    <col min="16" max="16" width="35.85546875" style="1" customWidth="1"/>
    <col min="17" max="24" width="35.7109375" style="1" customWidth="1"/>
    <col min="25" max="25" width="15.42578125" style="1" customWidth="1"/>
    <col min="26" max="26" width="16" style="1" customWidth="1"/>
    <col min="27" max="27" width="15.42578125" style="1" customWidth="1"/>
    <col min="28" max="28" width="16" style="1" customWidth="1"/>
    <col min="29" max="29" width="29.7109375" style="1" customWidth="1"/>
    <col min="30" max="30" width="18" style="1" bestFit="1" customWidth="1"/>
    <col min="31" max="31" width="16.28515625" style="1" bestFit="1" customWidth="1"/>
    <col min="32" max="32" width="15" style="1" bestFit="1" customWidth="1"/>
    <col min="33" max="33" width="15.7109375" style="1" bestFit="1" customWidth="1"/>
    <col min="34" max="34" width="15" style="1" bestFit="1" customWidth="1"/>
    <col min="35" max="35" width="15.7109375" style="1" bestFit="1" customWidth="1"/>
    <col min="36" max="36" width="19.7109375" style="1" bestFit="1" customWidth="1"/>
    <col min="37" max="37" width="16.7109375" style="1" customWidth="1"/>
    <col min="38" max="38" width="20" style="1" customWidth="1" outlineLevel="1"/>
    <col min="39" max="39" width="20.140625" style="1" customWidth="1" outlineLevel="1"/>
    <col min="40" max="40" width="17.140625" style="1" customWidth="1" outlineLevel="1"/>
    <col min="41" max="41" width="12.42578125" style="1" customWidth="1" outlineLevel="1"/>
    <col min="42" max="42" width="18.7109375" style="1" customWidth="1" outlineLevel="1"/>
    <col min="43" max="43" width="25" style="1" customWidth="1" outlineLevel="1"/>
    <col min="44" max="44" width="19.28515625" style="1" customWidth="1" outlineLevel="1"/>
    <col min="45" max="45" width="54.85546875" style="1" bestFit="1" customWidth="1"/>
    <col min="46" max="46" width="22.28515625" style="1" bestFit="1" customWidth="1"/>
    <col min="47" max="47" width="19.5703125" style="1" customWidth="1"/>
    <col min="48" max="48" width="12.42578125" style="1" customWidth="1"/>
    <col min="49" max="49" width="9" style="49" customWidth="1"/>
    <col min="50" max="59" width="9.140625" style="49"/>
    <col min="60" max="16384" width="9.140625" style="46"/>
  </cols>
  <sheetData>
    <row r="1" spans="1:59" ht="23.25" customHeight="1" thickBot="1">
      <c r="D1" s="119" t="s">
        <v>453</v>
      </c>
      <c r="H1" s="2"/>
      <c r="I1" s="2"/>
      <c r="AP1" s="2"/>
      <c r="AU1" s="61"/>
    </row>
    <row r="2" spans="1:59" ht="39" thickBot="1">
      <c r="D2" s="206" t="s">
        <v>454</v>
      </c>
      <c r="E2" s="171" t="s">
        <v>63</v>
      </c>
      <c r="F2" s="172"/>
      <c r="AC2" s="433" t="s">
        <v>455</v>
      </c>
      <c r="AD2" s="610" t="s">
        <v>456</v>
      </c>
      <c r="AE2" s="611"/>
      <c r="AF2" s="611"/>
      <c r="AG2" s="611"/>
      <c r="AH2" s="611"/>
      <c r="AI2" s="611"/>
      <c r="AJ2" s="611"/>
      <c r="AK2" s="612"/>
    </row>
    <row r="3" spans="1:59" s="55" customFormat="1" ht="30" customHeight="1" thickBot="1">
      <c r="A3" s="329" t="s">
        <v>64</v>
      </c>
      <c r="B3" s="330" t="s">
        <v>65</v>
      </c>
      <c r="C3" s="334" t="s">
        <v>66</v>
      </c>
      <c r="D3" s="331" t="s">
        <v>360</v>
      </c>
      <c r="E3" s="317" t="s">
        <v>68</v>
      </c>
      <c r="F3" s="318" t="s">
        <v>69</v>
      </c>
      <c r="G3" s="331" t="s">
        <v>361</v>
      </c>
      <c r="H3" s="330" t="s">
        <v>426</v>
      </c>
      <c r="I3" s="330" t="s">
        <v>427</v>
      </c>
      <c r="J3" s="330" t="s">
        <v>428</v>
      </c>
      <c r="K3" s="331" t="s">
        <v>457</v>
      </c>
      <c r="L3" s="331" t="s">
        <v>458</v>
      </c>
      <c r="M3" s="330" t="s">
        <v>459</v>
      </c>
      <c r="N3" s="331" t="s">
        <v>460</v>
      </c>
      <c r="O3" s="331" t="s">
        <v>461</v>
      </c>
      <c r="P3" s="330" t="s">
        <v>429</v>
      </c>
      <c r="Q3" s="335" t="s">
        <v>430</v>
      </c>
      <c r="R3" s="335" t="s">
        <v>431</v>
      </c>
      <c r="S3" s="335" t="s">
        <v>432</v>
      </c>
      <c r="T3" s="335" t="s">
        <v>433</v>
      </c>
      <c r="U3" s="335" t="s">
        <v>434</v>
      </c>
      <c r="V3" s="335" t="s">
        <v>435</v>
      </c>
      <c r="W3" s="335" t="s">
        <v>436</v>
      </c>
      <c r="X3" s="335" t="s">
        <v>437</v>
      </c>
      <c r="Y3" s="331" t="s">
        <v>462</v>
      </c>
      <c r="Z3" s="331" t="s">
        <v>463</v>
      </c>
      <c r="AA3" s="331" t="s">
        <v>464</v>
      </c>
      <c r="AB3" s="331" t="s">
        <v>465</v>
      </c>
      <c r="AC3" s="336" t="s">
        <v>466</v>
      </c>
      <c r="AD3" s="331" t="s">
        <v>467</v>
      </c>
      <c r="AE3" s="331" t="s">
        <v>468</v>
      </c>
      <c r="AF3" s="331" t="s">
        <v>469</v>
      </c>
      <c r="AG3" s="331" t="s">
        <v>470</v>
      </c>
      <c r="AH3" s="331" t="s">
        <v>471</v>
      </c>
      <c r="AI3" s="331" t="s">
        <v>472</v>
      </c>
      <c r="AJ3" s="336" t="s">
        <v>473</v>
      </c>
      <c r="AK3" s="336" t="s">
        <v>474</v>
      </c>
      <c r="AL3" s="337" t="s">
        <v>475</v>
      </c>
      <c r="AM3" s="337" t="s">
        <v>476</v>
      </c>
      <c r="AN3" s="337" t="s">
        <v>477</v>
      </c>
      <c r="AO3" s="337" t="s">
        <v>478</v>
      </c>
      <c r="AP3" s="337" t="s">
        <v>479</v>
      </c>
      <c r="AQ3" s="507" t="s">
        <v>480</v>
      </c>
      <c r="AR3" s="507" t="s">
        <v>481</v>
      </c>
      <c r="AS3" s="336" t="s">
        <v>78</v>
      </c>
      <c r="AT3" s="333" t="s">
        <v>79</v>
      </c>
      <c r="AU3" s="330" t="s">
        <v>438</v>
      </c>
      <c r="AV3" s="333" t="s">
        <v>369</v>
      </c>
      <c r="AW3" s="419" t="s">
        <v>82</v>
      </c>
      <c r="AX3" s="319"/>
      <c r="AY3" s="319"/>
      <c r="AZ3" s="319"/>
      <c r="BA3" s="319"/>
      <c r="BB3" s="319"/>
      <c r="BC3" s="319"/>
      <c r="BD3" s="319"/>
      <c r="BE3" s="319"/>
      <c r="BF3" s="319"/>
      <c r="BG3" s="319"/>
    </row>
    <row r="4" spans="1:59">
      <c r="A4" s="249"/>
      <c r="B4" s="43" t="s">
        <v>15</v>
      </c>
      <c r="C4" s="67">
        <v>1</v>
      </c>
      <c r="D4" s="43"/>
      <c r="E4" s="43"/>
      <c r="F4" s="43"/>
      <c r="G4" s="43"/>
      <c r="H4" s="43"/>
      <c r="I4" s="43"/>
      <c r="J4" s="43"/>
      <c r="K4" s="43"/>
      <c r="L4" s="43"/>
      <c r="M4" s="43"/>
      <c r="N4" s="43"/>
      <c r="O4" s="43"/>
      <c r="P4" s="43"/>
      <c r="Q4" s="43"/>
      <c r="R4" s="43"/>
      <c r="S4" s="43"/>
      <c r="T4" s="43"/>
      <c r="U4" s="43"/>
      <c r="V4" s="43"/>
      <c r="W4" s="43"/>
      <c r="X4" s="43"/>
      <c r="Y4" s="84"/>
      <c r="Z4" s="84"/>
      <c r="AA4" s="84"/>
      <c r="AB4" s="84"/>
      <c r="AC4" s="84"/>
      <c r="AD4" s="84"/>
      <c r="AE4" s="68"/>
      <c r="AF4" s="84"/>
      <c r="AG4" s="84"/>
      <c r="AH4" s="84"/>
      <c r="AI4" s="84"/>
      <c r="AJ4" s="84"/>
      <c r="AK4" s="43"/>
      <c r="AL4" s="78"/>
      <c r="AM4" s="78"/>
      <c r="AN4" s="78"/>
      <c r="AO4" s="78"/>
      <c r="AP4" s="78"/>
      <c r="AQ4" s="78" t="str">
        <f>IFERROR((LEFT(E4,3) &amp; (RIGHT(E4, LEN(E4)-3) + 4)), "")</f>
        <v/>
      </c>
      <c r="AR4" s="78" t="str">
        <f>IFERROR((LEFT(E4,3) &amp; (RIGHT(E4, LEN(E4)-3) + 16)), "")</f>
        <v/>
      </c>
      <c r="AS4" s="43"/>
      <c r="AT4" s="177"/>
      <c r="AU4" s="89"/>
      <c r="AV4" s="177"/>
      <c r="AW4" s="108"/>
      <c r="AX4" s="25"/>
      <c r="AY4" s="195"/>
      <c r="AZ4" s="46" t="s">
        <v>93</v>
      </c>
      <c r="BA4" s="25"/>
      <c r="BB4" s="25"/>
      <c r="BC4" s="25"/>
    </row>
    <row r="5" spans="1:59">
      <c r="A5" s="249"/>
      <c r="B5" s="43" t="s">
        <v>15</v>
      </c>
      <c r="C5" s="67">
        <v>2</v>
      </c>
      <c r="D5" s="43"/>
      <c r="E5" s="43"/>
      <c r="F5" s="43"/>
      <c r="G5" s="43"/>
      <c r="H5" s="43"/>
      <c r="I5" s="43"/>
      <c r="J5" s="43"/>
      <c r="K5" s="43"/>
      <c r="L5" s="43"/>
      <c r="M5" s="43"/>
      <c r="N5" s="43"/>
      <c r="O5" s="43"/>
      <c r="P5" s="43"/>
      <c r="Q5" s="43"/>
      <c r="R5" s="43"/>
      <c r="S5" s="43"/>
      <c r="T5" s="43"/>
      <c r="U5" s="43"/>
      <c r="V5" s="43"/>
      <c r="W5" s="43"/>
      <c r="X5" s="43"/>
      <c r="Y5" s="68"/>
      <c r="Z5" s="68"/>
      <c r="AA5" s="68"/>
      <c r="AB5" s="68"/>
      <c r="AC5" s="68"/>
      <c r="AD5" s="68"/>
      <c r="AE5" s="68"/>
      <c r="AF5" s="68"/>
      <c r="AG5" s="68"/>
      <c r="AH5" s="68"/>
      <c r="AI5" s="68"/>
      <c r="AJ5" s="68"/>
      <c r="AK5" s="43"/>
      <c r="AL5" s="43"/>
      <c r="AM5" s="43"/>
      <c r="AN5" s="43"/>
      <c r="AO5" s="43"/>
      <c r="AP5" s="43"/>
      <c r="AQ5" s="78" t="str">
        <f>IFERROR((LEFT(E5,3) &amp; (RIGHT(E5, LEN(E5)-3) + 4)), "")</f>
        <v/>
      </c>
      <c r="AR5" s="78" t="str">
        <f>IFERROR((LEFT(E5,3) &amp; (RIGHT(E5, LEN(E5)-3) + 16)), "")</f>
        <v/>
      </c>
      <c r="AS5" s="43"/>
      <c r="AT5" s="175"/>
      <c r="AU5" s="43"/>
      <c r="AV5" s="175"/>
      <c r="AW5" s="48"/>
      <c r="AX5" s="25"/>
      <c r="AY5" s="196"/>
      <c r="AZ5" s="46" t="s">
        <v>100</v>
      </c>
      <c r="BA5" s="25"/>
      <c r="BB5" s="25"/>
      <c r="BC5" s="25"/>
    </row>
    <row r="6" spans="1:59">
      <c r="A6" s="249"/>
      <c r="B6" s="43" t="s">
        <v>15</v>
      </c>
      <c r="C6" s="67">
        <v>3</v>
      </c>
      <c r="D6" s="43"/>
      <c r="E6" s="43"/>
      <c r="F6" s="43"/>
      <c r="G6" s="43"/>
      <c r="H6" s="43"/>
      <c r="I6" s="43"/>
      <c r="J6" s="43"/>
      <c r="K6" s="43"/>
      <c r="L6" s="43"/>
      <c r="M6" s="43"/>
      <c r="N6" s="43"/>
      <c r="O6" s="43"/>
      <c r="P6" s="43"/>
      <c r="Q6" s="43"/>
      <c r="R6" s="43"/>
      <c r="S6" s="43"/>
      <c r="T6" s="43"/>
      <c r="U6" s="43"/>
      <c r="V6" s="43"/>
      <c r="W6" s="43"/>
      <c r="X6" s="43"/>
      <c r="Y6" s="68"/>
      <c r="Z6" s="68"/>
      <c r="AA6" s="68"/>
      <c r="AB6" s="68"/>
      <c r="AC6" s="68"/>
      <c r="AD6" s="68"/>
      <c r="AE6" s="68"/>
      <c r="AF6" s="68"/>
      <c r="AG6" s="68"/>
      <c r="AH6" s="68"/>
      <c r="AI6" s="68"/>
      <c r="AJ6" s="68"/>
      <c r="AK6" s="43"/>
      <c r="AL6" s="43"/>
      <c r="AM6" s="43"/>
      <c r="AN6" s="43"/>
      <c r="AO6" s="43"/>
      <c r="AP6" s="43"/>
      <c r="AQ6" s="78" t="str">
        <f t="shared" ref="AQ6:AQ23" si="0">IFERROR((LEFT(E6,3) &amp; (RIGHT(E6, LEN(E6)-3) + 4)), "")</f>
        <v/>
      </c>
      <c r="AR6" s="78" t="str">
        <f t="shared" ref="AR6:AR23" si="1">IFERROR((LEFT(E6,3) &amp; (RIGHT(E6, LEN(E6)-3) + 16)), "")</f>
        <v/>
      </c>
      <c r="AS6" s="43"/>
      <c r="AT6" s="175"/>
      <c r="AU6" s="43"/>
      <c r="AV6" s="175"/>
      <c r="AW6" s="48"/>
      <c r="AX6" s="25"/>
      <c r="AY6" s="197"/>
      <c r="AZ6" s="46" t="s">
        <v>107</v>
      </c>
      <c r="BA6" s="25"/>
      <c r="BB6" s="25"/>
      <c r="BC6" s="25"/>
    </row>
    <row r="7" spans="1:59">
      <c r="A7" s="249"/>
      <c r="B7" s="43" t="s">
        <v>15</v>
      </c>
      <c r="C7" s="67">
        <v>4</v>
      </c>
      <c r="D7" s="43"/>
      <c r="E7" s="43"/>
      <c r="F7" s="43"/>
      <c r="G7" s="43"/>
      <c r="H7" s="43"/>
      <c r="I7" s="43"/>
      <c r="J7" s="43"/>
      <c r="K7" s="43"/>
      <c r="L7" s="43"/>
      <c r="M7" s="43"/>
      <c r="N7" s="43"/>
      <c r="O7" s="43"/>
      <c r="P7" s="43"/>
      <c r="Q7" s="43"/>
      <c r="R7" s="43"/>
      <c r="S7" s="43"/>
      <c r="T7" s="43"/>
      <c r="U7" s="43"/>
      <c r="V7" s="43"/>
      <c r="W7" s="43"/>
      <c r="X7" s="43"/>
      <c r="Y7" s="68"/>
      <c r="Z7" s="68"/>
      <c r="AA7" s="68"/>
      <c r="AB7" s="68"/>
      <c r="AC7" s="68"/>
      <c r="AD7" s="68"/>
      <c r="AE7" s="68"/>
      <c r="AF7" s="68"/>
      <c r="AG7" s="68"/>
      <c r="AH7" s="68"/>
      <c r="AI7" s="68"/>
      <c r="AJ7" s="68"/>
      <c r="AK7" s="43"/>
      <c r="AL7" s="43"/>
      <c r="AM7" s="43"/>
      <c r="AN7" s="43"/>
      <c r="AO7" s="43"/>
      <c r="AP7" s="43"/>
      <c r="AQ7" s="78" t="str">
        <f t="shared" si="0"/>
        <v/>
      </c>
      <c r="AR7" s="78" t="str">
        <f t="shared" si="1"/>
        <v/>
      </c>
      <c r="AS7" s="43"/>
      <c r="AT7" s="175"/>
      <c r="AU7" s="43"/>
      <c r="AV7" s="175"/>
      <c r="AW7" s="48"/>
      <c r="AX7" s="25"/>
      <c r="AY7" s="200"/>
      <c r="AZ7" s="46" t="s">
        <v>482</v>
      </c>
      <c r="BB7" s="25"/>
      <c r="BC7" s="25"/>
    </row>
    <row r="8" spans="1:59">
      <c r="A8" s="249"/>
      <c r="B8" s="43" t="s">
        <v>15</v>
      </c>
      <c r="C8" s="67">
        <v>5</v>
      </c>
      <c r="D8" s="43"/>
      <c r="E8" s="43"/>
      <c r="F8" s="43"/>
      <c r="G8" s="43"/>
      <c r="H8" s="43"/>
      <c r="I8" s="43"/>
      <c r="J8" s="43"/>
      <c r="K8" s="43"/>
      <c r="L8" s="43"/>
      <c r="M8" s="43"/>
      <c r="N8" s="43"/>
      <c r="O8" s="43"/>
      <c r="P8" s="43"/>
      <c r="Q8" s="43"/>
      <c r="R8" s="43"/>
      <c r="S8" s="43"/>
      <c r="T8" s="43"/>
      <c r="U8" s="43"/>
      <c r="V8" s="43"/>
      <c r="W8" s="43"/>
      <c r="X8" s="43"/>
      <c r="Y8" s="68"/>
      <c r="Z8" s="68"/>
      <c r="AA8" s="68"/>
      <c r="AB8" s="68"/>
      <c r="AC8" s="68"/>
      <c r="AD8" s="68"/>
      <c r="AE8" s="68"/>
      <c r="AF8" s="68"/>
      <c r="AG8" s="68"/>
      <c r="AH8" s="68"/>
      <c r="AI8" s="68"/>
      <c r="AJ8" s="68"/>
      <c r="AK8" s="43"/>
      <c r="AL8" s="43"/>
      <c r="AM8" s="43"/>
      <c r="AN8" s="43"/>
      <c r="AO8" s="43"/>
      <c r="AP8" s="43"/>
      <c r="AQ8" s="78" t="str">
        <f t="shared" si="0"/>
        <v/>
      </c>
      <c r="AR8" s="78" t="str">
        <f t="shared" si="1"/>
        <v/>
      </c>
      <c r="AS8" s="43"/>
      <c r="AT8" s="175"/>
      <c r="AU8" s="43"/>
      <c r="AV8" s="175"/>
      <c r="AW8" s="48"/>
      <c r="AX8" s="25"/>
      <c r="AY8" s="25"/>
      <c r="AZ8" s="25"/>
      <c r="BA8" s="25"/>
      <c r="BB8" s="25"/>
      <c r="BC8" s="25"/>
    </row>
    <row r="9" spans="1:59">
      <c r="A9" s="249"/>
      <c r="B9" s="43" t="s">
        <v>15</v>
      </c>
      <c r="C9" s="67">
        <v>6</v>
      </c>
      <c r="D9" s="43"/>
      <c r="E9" s="43"/>
      <c r="F9" s="43"/>
      <c r="G9" s="43"/>
      <c r="H9" s="43"/>
      <c r="I9" s="43"/>
      <c r="J9" s="43"/>
      <c r="K9" s="43"/>
      <c r="L9" s="43"/>
      <c r="M9" s="43"/>
      <c r="N9" s="43"/>
      <c r="O9" s="43"/>
      <c r="P9" s="43"/>
      <c r="Q9" s="43"/>
      <c r="R9" s="43"/>
      <c r="S9" s="43"/>
      <c r="T9" s="43"/>
      <c r="U9" s="43"/>
      <c r="V9" s="43"/>
      <c r="W9" s="43"/>
      <c r="X9" s="43"/>
      <c r="Y9" s="68"/>
      <c r="Z9" s="68"/>
      <c r="AA9" s="68"/>
      <c r="AB9" s="68"/>
      <c r="AC9" s="68"/>
      <c r="AD9" s="68"/>
      <c r="AE9" s="68"/>
      <c r="AF9" s="68"/>
      <c r="AG9" s="68"/>
      <c r="AH9" s="68"/>
      <c r="AI9" s="68"/>
      <c r="AJ9" s="68"/>
      <c r="AK9" s="43"/>
      <c r="AL9" s="43"/>
      <c r="AM9" s="43"/>
      <c r="AN9" s="43"/>
      <c r="AO9" s="43"/>
      <c r="AP9" s="43"/>
      <c r="AQ9" s="78" t="str">
        <f t="shared" si="0"/>
        <v/>
      </c>
      <c r="AR9" s="78" t="str">
        <f t="shared" si="1"/>
        <v/>
      </c>
      <c r="AS9" s="43"/>
      <c r="AT9" s="175"/>
      <c r="AU9" s="43"/>
      <c r="AV9" s="175"/>
      <c r="AW9" s="48"/>
      <c r="AX9" s="25"/>
      <c r="AY9" s="320"/>
      <c r="AZ9" s="46" t="s">
        <v>121</v>
      </c>
      <c r="BA9" s="25"/>
      <c r="BB9" s="25"/>
      <c r="BC9" s="25"/>
    </row>
    <row r="10" spans="1:59" ht="12.75" customHeight="1">
      <c r="A10" s="249"/>
      <c r="B10" s="43" t="s">
        <v>15</v>
      </c>
      <c r="C10" s="67">
        <v>7</v>
      </c>
      <c r="D10" s="43"/>
      <c r="E10" s="43"/>
      <c r="F10" s="43"/>
      <c r="G10" s="43"/>
      <c r="H10" s="43"/>
      <c r="I10" s="43"/>
      <c r="J10" s="43"/>
      <c r="K10" s="43"/>
      <c r="L10" s="43"/>
      <c r="M10" s="43"/>
      <c r="N10" s="43"/>
      <c r="O10" s="43"/>
      <c r="P10" s="43"/>
      <c r="Q10" s="43"/>
      <c r="R10" s="43"/>
      <c r="S10" s="43"/>
      <c r="T10" s="43"/>
      <c r="U10" s="43"/>
      <c r="V10" s="43"/>
      <c r="W10" s="43"/>
      <c r="X10" s="43"/>
      <c r="Y10" s="68"/>
      <c r="Z10" s="68"/>
      <c r="AA10" s="68"/>
      <c r="AB10" s="68"/>
      <c r="AC10" s="68"/>
      <c r="AD10" s="68"/>
      <c r="AE10" s="68"/>
      <c r="AF10" s="68"/>
      <c r="AG10" s="68"/>
      <c r="AH10" s="68"/>
      <c r="AI10" s="68"/>
      <c r="AJ10" s="68"/>
      <c r="AK10" s="43"/>
      <c r="AL10" s="43"/>
      <c r="AM10" s="43"/>
      <c r="AN10" s="43"/>
      <c r="AO10" s="43"/>
      <c r="AP10" s="43"/>
      <c r="AQ10" s="78" t="str">
        <f t="shared" si="0"/>
        <v/>
      </c>
      <c r="AR10" s="78" t="str">
        <f t="shared" si="1"/>
        <v/>
      </c>
      <c r="AS10" s="68"/>
      <c r="AT10" s="175"/>
      <c r="AU10" s="43"/>
      <c r="AV10" s="175"/>
      <c r="AW10" s="48"/>
      <c r="AX10" s="25"/>
      <c r="AY10" s="321"/>
      <c r="AZ10" s="46" t="s">
        <v>129</v>
      </c>
      <c r="BA10" s="25"/>
      <c r="BB10" s="25"/>
      <c r="BC10" s="25"/>
    </row>
    <row r="11" spans="1:59">
      <c r="A11" s="249"/>
      <c r="B11" s="43" t="s">
        <v>15</v>
      </c>
      <c r="C11" s="67">
        <v>8</v>
      </c>
      <c r="D11" s="43"/>
      <c r="E11" s="43"/>
      <c r="F11" s="43"/>
      <c r="G11" s="43"/>
      <c r="H11" s="43"/>
      <c r="I11" s="43"/>
      <c r="J11" s="43"/>
      <c r="K11" s="43"/>
      <c r="L11" s="43"/>
      <c r="M11" s="43"/>
      <c r="N11" s="43"/>
      <c r="O11" s="43"/>
      <c r="P11" s="43"/>
      <c r="Q11" s="43"/>
      <c r="R11" s="43"/>
      <c r="S11" s="43"/>
      <c r="T11" s="43"/>
      <c r="U11" s="43"/>
      <c r="V11" s="43"/>
      <c r="W11" s="43"/>
      <c r="X11" s="43"/>
      <c r="Y11" s="68"/>
      <c r="Z11" s="68"/>
      <c r="AA11" s="68"/>
      <c r="AB11" s="68"/>
      <c r="AC11" s="68"/>
      <c r="AD11" s="68"/>
      <c r="AE11" s="68"/>
      <c r="AF11" s="68"/>
      <c r="AG11" s="68"/>
      <c r="AH11" s="68"/>
      <c r="AI11" s="68"/>
      <c r="AJ11" s="68"/>
      <c r="AK11" s="43"/>
      <c r="AL11" s="43"/>
      <c r="AM11" s="43"/>
      <c r="AN11" s="43"/>
      <c r="AO11" s="43"/>
      <c r="AP11" s="43"/>
      <c r="AQ11" s="78" t="str">
        <f t="shared" si="0"/>
        <v/>
      </c>
      <c r="AR11" s="78" t="str">
        <f t="shared" si="1"/>
        <v/>
      </c>
      <c r="AS11" s="43"/>
      <c r="AT11" s="175"/>
      <c r="AU11" s="43"/>
      <c r="AV11" s="175"/>
      <c r="AW11" s="48"/>
      <c r="AX11" s="25"/>
      <c r="AY11" s="25"/>
      <c r="AZ11" s="25"/>
      <c r="BA11" s="25"/>
      <c r="BB11" s="25"/>
      <c r="BC11" s="25"/>
    </row>
    <row r="12" spans="1:59">
      <c r="A12" s="249"/>
      <c r="B12" s="43" t="s">
        <v>15</v>
      </c>
      <c r="C12" s="67">
        <v>9</v>
      </c>
      <c r="D12" s="43"/>
      <c r="E12" s="43"/>
      <c r="F12" s="43"/>
      <c r="G12" s="43"/>
      <c r="H12" s="43"/>
      <c r="I12" s="43"/>
      <c r="J12" s="43"/>
      <c r="K12" s="43"/>
      <c r="L12" s="43"/>
      <c r="M12" s="43"/>
      <c r="N12" s="43"/>
      <c r="O12" s="43"/>
      <c r="P12" s="43"/>
      <c r="Q12" s="43"/>
      <c r="R12" s="43"/>
      <c r="S12" s="43"/>
      <c r="T12" s="43"/>
      <c r="U12" s="43"/>
      <c r="V12" s="43"/>
      <c r="W12" s="43"/>
      <c r="X12" s="43"/>
      <c r="Y12" s="68"/>
      <c r="Z12" s="68"/>
      <c r="AA12" s="68"/>
      <c r="AB12" s="68"/>
      <c r="AC12" s="68"/>
      <c r="AD12" s="68"/>
      <c r="AE12" s="68"/>
      <c r="AF12" s="68"/>
      <c r="AG12" s="68"/>
      <c r="AH12" s="68"/>
      <c r="AI12" s="68"/>
      <c r="AJ12" s="68"/>
      <c r="AK12" s="43"/>
      <c r="AL12" s="43"/>
      <c r="AM12" s="43"/>
      <c r="AN12" s="43"/>
      <c r="AO12" s="43"/>
      <c r="AP12" s="43"/>
      <c r="AQ12" s="78" t="str">
        <f t="shared" si="0"/>
        <v/>
      </c>
      <c r="AR12" s="78" t="str">
        <f t="shared" si="1"/>
        <v/>
      </c>
      <c r="AS12" s="43"/>
      <c r="AT12" s="175"/>
      <c r="AU12" s="43"/>
      <c r="AV12" s="175"/>
      <c r="AW12" s="48"/>
      <c r="AX12" s="25"/>
      <c r="AY12" s="25"/>
      <c r="AZ12" s="25"/>
      <c r="BA12" s="25"/>
      <c r="BB12" s="25"/>
      <c r="BC12" s="25"/>
    </row>
    <row r="13" spans="1:59">
      <c r="A13" s="249"/>
      <c r="B13" s="43" t="s">
        <v>15</v>
      </c>
      <c r="C13" s="67">
        <v>10</v>
      </c>
      <c r="D13" s="43"/>
      <c r="E13" s="43"/>
      <c r="F13" s="43"/>
      <c r="G13" s="43"/>
      <c r="H13" s="43"/>
      <c r="I13" s="43"/>
      <c r="J13" s="43"/>
      <c r="K13" s="43"/>
      <c r="L13" s="43"/>
      <c r="M13" s="43"/>
      <c r="N13" s="43"/>
      <c r="O13" s="43"/>
      <c r="P13" s="43"/>
      <c r="Q13" s="43"/>
      <c r="R13" s="43"/>
      <c r="S13" s="43"/>
      <c r="T13" s="43"/>
      <c r="U13" s="43"/>
      <c r="V13" s="43"/>
      <c r="W13" s="43"/>
      <c r="X13" s="43"/>
      <c r="Y13" s="68"/>
      <c r="Z13" s="68"/>
      <c r="AA13" s="68"/>
      <c r="AB13" s="68"/>
      <c r="AC13" s="68"/>
      <c r="AD13" s="68"/>
      <c r="AE13" s="68"/>
      <c r="AF13" s="68"/>
      <c r="AG13" s="68"/>
      <c r="AH13" s="68"/>
      <c r="AI13" s="68"/>
      <c r="AJ13" s="68"/>
      <c r="AK13" s="43"/>
      <c r="AL13" s="43"/>
      <c r="AM13" s="43"/>
      <c r="AN13" s="43"/>
      <c r="AO13" s="43"/>
      <c r="AP13" s="43"/>
      <c r="AQ13" s="78" t="str">
        <f t="shared" si="0"/>
        <v/>
      </c>
      <c r="AR13" s="78" t="str">
        <f t="shared" si="1"/>
        <v/>
      </c>
      <c r="AS13" s="43"/>
      <c r="AT13" s="175"/>
      <c r="AU13" s="43"/>
      <c r="AV13" s="175"/>
      <c r="AW13" s="48"/>
      <c r="AX13" s="25"/>
      <c r="AY13" s="25"/>
      <c r="AZ13" s="25"/>
      <c r="BA13" s="25"/>
      <c r="BB13" s="25"/>
      <c r="BC13" s="25"/>
    </row>
    <row r="14" spans="1:59">
      <c r="A14" s="249"/>
      <c r="B14" s="43" t="s">
        <v>15</v>
      </c>
      <c r="C14" s="67">
        <v>11</v>
      </c>
      <c r="D14" s="43"/>
      <c r="E14" s="43"/>
      <c r="F14" s="43"/>
      <c r="G14" s="43"/>
      <c r="H14" s="43"/>
      <c r="I14" s="43"/>
      <c r="J14" s="43"/>
      <c r="K14" s="43"/>
      <c r="L14" s="43"/>
      <c r="M14" s="43"/>
      <c r="N14" s="43"/>
      <c r="O14" s="43"/>
      <c r="P14" s="43"/>
      <c r="Q14" s="43"/>
      <c r="R14" s="43"/>
      <c r="S14" s="43"/>
      <c r="T14" s="43"/>
      <c r="U14" s="43"/>
      <c r="V14" s="43"/>
      <c r="W14" s="43"/>
      <c r="X14" s="43"/>
      <c r="Y14" s="68"/>
      <c r="Z14" s="68"/>
      <c r="AA14" s="68"/>
      <c r="AB14" s="68"/>
      <c r="AC14" s="68"/>
      <c r="AD14" s="68"/>
      <c r="AE14" s="68"/>
      <c r="AF14" s="68"/>
      <c r="AG14" s="68"/>
      <c r="AH14" s="68"/>
      <c r="AI14" s="68"/>
      <c r="AJ14" s="68"/>
      <c r="AK14" s="43"/>
      <c r="AL14" s="43"/>
      <c r="AM14" s="43"/>
      <c r="AN14" s="43"/>
      <c r="AO14" s="43"/>
      <c r="AP14" s="43"/>
      <c r="AQ14" s="78" t="str">
        <f t="shared" si="0"/>
        <v/>
      </c>
      <c r="AR14" s="78" t="str">
        <f t="shared" si="1"/>
        <v/>
      </c>
      <c r="AS14" s="43"/>
      <c r="AT14" s="175"/>
      <c r="AU14" s="43"/>
      <c r="AV14" s="175"/>
      <c r="AW14" s="48"/>
      <c r="AX14" s="25"/>
      <c r="AY14" s="25"/>
      <c r="AZ14" s="25"/>
      <c r="BA14" s="25"/>
      <c r="BB14" s="25"/>
      <c r="BC14" s="25"/>
    </row>
    <row r="15" spans="1:59">
      <c r="A15" s="249"/>
      <c r="B15" s="43" t="s">
        <v>15</v>
      </c>
      <c r="C15" s="67">
        <v>12</v>
      </c>
      <c r="D15" s="43"/>
      <c r="E15" s="43"/>
      <c r="F15" s="43"/>
      <c r="G15" s="43"/>
      <c r="H15" s="43"/>
      <c r="I15" s="43"/>
      <c r="J15" s="43"/>
      <c r="K15" s="43"/>
      <c r="L15" s="43"/>
      <c r="M15" s="43"/>
      <c r="N15" s="43"/>
      <c r="O15" s="43"/>
      <c r="P15" s="43"/>
      <c r="Q15" s="43"/>
      <c r="R15" s="43"/>
      <c r="S15" s="43"/>
      <c r="T15" s="43"/>
      <c r="U15" s="43"/>
      <c r="V15" s="43"/>
      <c r="W15" s="43"/>
      <c r="X15" s="43"/>
      <c r="Y15" s="68"/>
      <c r="Z15" s="68"/>
      <c r="AA15" s="68"/>
      <c r="AB15" s="68"/>
      <c r="AC15" s="68"/>
      <c r="AD15" s="68"/>
      <c r="AE15" s="68"/>
      <c r="AF15" s="68"/>
      <c r="AG15" s="68"/>
      <c r="AH15" s="68"/>
      <c r="AI15" s="68"/>
      <c r="AJ15" s="68"/>
      <c r="AK15" s="43"/>
      <c r="AL15" s="43"/>
      <c r="AM15" s="43"/>
      <c r="AN15" s="43"/>
      <c r="AO15" s="43"/>
      <c r="AP15" s="43"/>
      <c r="AQ15" s="78" t="str">
        <f t="shared" si="0"/>
        <v/>
      </c>
      <c r="AR15" s="78" t="str">
        <f t="shared" si="1"/>
        <v/>
      </c>
      <c r="AS15" s="43"/>
      <c r="AT15" s="175"/>
      <c r="AU15" s="43"/>
      <c r="AV15" s="175"/>
      <c r="AW15" s="48"/>
      <c r="AX15" s="25"/>
      <c r="AY15" s="25"/>
      <c r="AZ15" s="25"/>
      <c r="BA15" s="25"/>
      <c r="BB15" s="25"/>
      <c r="BC15" s="25"/>
    </row>
    <row r="16" spans="1:59">
      <c r="A16" s="249"/>
      <c r="B16" s="43" t="s">
        <v>15</v>
      </c>
      <c r="C16" s="67">
        <v>13</v>
      </c>
      <c r="D16" s="43"/>
      <c r="E16" s="43"/>
      <c r="F16" s="43"/>
      <c r="G16" s="43"/>
      <c r="H16" s="43"/>
      <c r="I16" s="43"/>
      <c r="J16" s="43"/>
      <c r="K16" s="43"/>
      <c r="L16" s="43"/>
      <c r="M16" s="43"/>
      <c r="N16" s="43"/>
      <c r="O16" s="43"/>
      <c r="P16" s="43"/>
      <c r="Q16" s="43"/>
      <c r="R16" s="43"/>
      <c r="S16" s="43"/>
      <c r="T16" s="43"/>
      <c r="U16" s="43"/>
      <c r="V16" s="43"/>
      <c r="W16" s="43"/>
      <c r="X16" s="43"/>
      <c r="Y16" s="68"/>
      <c r="Z16" s="68"/>
      <c r="AA16" s="68"/>
      <c r="AB16" s="68"/>
      <c r="AC16" s="68"/>
      <c r="AD16" s="68"/>
      <c r="AE16" s="68"/>
      <c r="AF16" s="68"/>
      <c r="AG16" s="68"/>
      <c r="AH16" s="68"/>
      <c r="AI16" s="68"/>
      <c r="AJ16" s="68"/>
      <c r="AK16" s="43"/>
      <c r="AL16" s="43"/>
      <c r="AM16" s="43"/>
      <c r="AN16" s="43"/>
      <c r="AO16" s="43"/>
      <c r="AQ16" s="78" t="str">
        <f t="shared" si="0"/>
        <v/>
      </c>
      <c r="AR16" s="78" t="str">
        <f t="shared" si="1"/>
        <v/>
      </c>
      <c r="AS16" s="43"/>
      <c r="AT16" s="175"/>
      <c r="AU16" s="43"/>
      <c r="AV16" s="175"/>
      <c r="AW16" s="48"/>
    </row>
    <row r="17" spans="1:59">
      <c r="A17" s="249"/>
      <c r="B17" s="43" t="s">
        <v>15</v>
      </c>
      <c r="C17" s="67">
        <v>14</v>
      </c>
      <c r="D17" s="43"/>
      <c r="E17" s="43"/>
      <c r="F17" s="43"/>
      <c r="G17" s="43"/>
      <c r="H17" s="43"/>
      <c r="I17" s="43"/>
      <c r="J17" s="43"/>
      <c r="K17" s="43"/>
      <c r="L17" s="43"/>
      <c r="M17" s="43"/>
      <c r="N17" s="43"/>
      <c r="O17" s="43"/>
      <c r="P17" s="43"/>
      <c r="Q17" s="43"/>
      <c r="R17" s="43"/>
      <c r="S17" s="43"/>
      <c r="T17" s="43"/>
      <c r="U17" s="43"/>
      <c r="V17" s="43"/>
      <c r="W17" s="43"/>
      <c r="X17" s="43"/>
      <c r="Y17" s="68"/>
      <c r="Z17" s="68"/>
      <c r="AA17" s="68"/>
      <c r="AB17" s="68"/>
      <c r="AC17" s="68"/>
      <c r="AD17" s="68"/>
      <c r="AE17" s="68"/>
      <c r="AF17" s="68"/>
      <c r="AG17" s="68"/>
      <c r="AH17" s="68"/>
      <c r="AI17" s="68"/>
      <c r="AJ17" s="68"/>
      <c r="AK17" s="43"/>
      <c r="AL17" s="43"/>
      <c r="AM17" s="43"/>
      <c r="AN17" s="43"/>
      <c r="AO17" s="43"/>
      <c r="AP17" s="43"/>
      <c r="AQ17" s="78" t="str">
        <f t="shared" si="0"/>
        <v/>
      </c>
      <c r="AR17" s="78" t="str">
        <f t="shared" si="1"/>
        <v/>
      </c>
      <c r="AS17" s="43"/>
      <c r="AT17" s="175"/>
      <c r="AU17" s="43"/>
      <c r="AV17" s="175"/>
      <c r="AW17" s="48"/>
    </row>
    <row r="18" spans="1:59" s="61" customFormat="1">
      <c r="A18" s="249"/>
      <c r="B18" s="43" t="s">
        <v>15</v>
      </c>
      <c r="C18" s="67">
        <v>15</v>
      </c>
      <c r="D18" s="42"/>
      <c r="E18" s="43"/>
      <c r="F18" s="43"/>
      <c r="G18" s="42"/>
      <c r="H18" s="42"/>
      <c r="I18" s="42"/>
      <c r="J18" s="43"/>
      <c r="K18" s="43"/>
      <c r="L18" s="43"/>
      <c r="M18" s="43"/>
      <c r="N18" s="43"/>
      <c r="O18" s="43"/>
      <c r="P18" s="43"/>
      <c r="Q18" s="43"/>
      <c r="R18" s="43"/>
      <c r="S18" s="43"/>
      <c r="T18" s="43"/>
      <c r="U18" s="43"/>
      <c r="V18" s="43"/>
      <c r="W18" s="43"/>
      <c r="X18" s="43"/>
      <c r="Y18" s="68"/>
      <c r="Z18" s="68"/>
      <c r="AA18" s="68"/>
      <c r="AB18" s="68"/>
      <c r="AC18" s="68"/>
      <c r="AD18" s="68"/>
      <c r="AE18" s="68"/>
      <c r="AF18" s="68"/>
      <c r="AG18" s="68"/>
      <c r="AH18" s="68"/>
      <c r="AI18" s="68"/>
      <c r="AJ18" s="68"/>
      <c r="AK18" s="43"/>
      <c r="AL18" s="43"/>
      <c r="AM18" s="43"/>
      <c r="AN18" s="43"/>
      <c r="AO18" s="43"/>
      <c r="AP18" s="43"/>
      <c r="AQ18" s="78" t="str">
        <f t="shared" si="0"/>
        <v/>
      </c>
      <c r="AR18" s="78" t="str">
        <f t="shared" si="1"/>
        <v/>
      </c>
      <c r="AS18" s="43"/>
      <c r="AT18" s="175"/>
      <c r="AU18" s="43"/>
      <c r="AV18" s="175"/>
      <c r="AW18" s="48"/>
      <c r="AX18" s="49"/>
      <c r="AY18" s="49"/>
      <c r="AZ18" s="49"/>
      <c r="BA18" s="49"/>
      <c r="BB18" s="49"/>
      <c r="BC18" s="49"/>
      <c r="BD18" s="49"/>
      <c r="BE18" s="49"/>
      <c r="BF18" s="49"/>
      <c r="BG18" s="49"/>
    </row>
    <row r="19" spans="1:59">
      <c r="A19" s="249"/>
      <c r="B19" s="43" t="s">
        <v>15</v>
      </c>
      <c r="C19" s="67">
        <v>16</v>
      </c>
      <c r="D19" s="42"/>
      <c r="E19" s="43"/>
      <c r="F19" s="43"/>
      <c r="G19" s="42"/>
      <c r="H19" s="42"/>
      <c r="I19" s="42"/>
      <c r="J19" s="43"/>
      <c r="K19" s="43"/>
      <c r="L19" s="43"/>
      <c r="M19" s="43"/>
      <c r="N19" s="43"/>
      <c r="O19" s="43"/>
      <c r="P19" s="43"/>
      <c r="Q19" s="43"/>
      <c r="R19" s="43"/>
      <c r="S19" s="43"/>
      <c r="T19" s="43"/>
      <c r="U19" s="43"/>
      <c r="V19" s="43"/>
      <c r="W19" s="43"/>
      <c r="X19" s="43"/>
      <c r="Y19" s="68"/>
      <c r="Z19" s="68"/>
      <c r="AA19" s="68"/>
      <c r="AB19" s="68"/>
      <c r="AC19" s="68"/>
      <c r="AD19" s="68"/>
      <c r="AE19" s="68"/>
      <c r="AF19" s="68"/>
      <c r="AG19" s="68"/>
      <c r="AH19" s="68"/>
      <c r="AI19" s="68"/>
      <c r="AJ19" s="68"/>
      <c r="AK19" s="43"/>
      <c r="AL19" s="43"/>
      <c r="AM19" s="43"/>
      <c r="AN19" s="43"/>
      <c r="AO19" s="43"/>
      <c r="AP19" s="43"/>
      <c r="AQ19" s="78" t="str">
        <f t="shared" si="0"/>
        <v/>
      </c>
      <c r="AR19" s="78" t="str">
        <f t="shared" si="1"/>
        <v/>
      </c>
      <c r="AS19" s="43"/>
      <c r="AT19" s="175"/>
      <c r="AU19" s="43"/>
      <c r="AV19" s="175"/>
      <c r="AW19" s="48"/>
    </row>
    <row r="20" spans="1:59">
      <c r="A20" s="249"/>
      <c r="B20" s="43" t="s">
        <v>15</v>
      </c>
      <c r="C20" s="67">
        <v>17</v>
      </c>
      <c r="D20" s="42"/>
      <c r="E20" s="43"/>
      <c r="F20" s="43"/>
      <c r="G20" s="42"/>
      <c r="H20" s="42"/>
      <c r="I20" s="42"/>
      <c r="J20" s="43"/>
      <c r="K20" s="43"/>
      <c r="L20" s="43"/>
      <c r="M20" s="43"/>
      <c r="N20" s="43"/>
      <c r="O20" s="43"/>
      <c r="P20" s="43"/>
      <c r="Q20" s="43"/>
      <c r="R20" s="43"/>
      <c r="S20" s="43"/>
      <c r="T20" s="43"/>
      <c r="U20" s="43"/>
      <c r="V20" s="43"/>
      <c r="W20" s="43"/>
      <c r="X20" s="43"/>
      <c r="Y20" s="68"/>
      <c r="Z20" s="68"/>
      <c r="AA20" s="68"/>
      <c r="AB20" s="68"/>
      <c r="AC20" s="68"/>
      <c r="AD20" s="68"/>
      <c r="AE20" s="68"/>
      <c r="AF20" s="68"/>
      <c r="AG20" s="68"/>
      <c r="AH20" s="68"/>
      <c r="AI20" s="68"/>
      <c r="AJ20" s="68"/>
      <c r="AK20" s="43"/>
      <c r="AL20" s="43"/>
      <c r="AM20" s="43"/>
      <c r="AN20" s="43"/>
      <c r="AO20" s="43"/>
      <c r="AP20" s="43"/>
      <c r="AQ20" s="78" t="str">
        <f t="shared" si="0"/>
        <v/>
      </c>
      <c r="AR20" s="78" t="str">
        <f t="shared" si="1"/>
        <v/>
      </c>
      <c r="AS20" s="43"/>
      <c r="AT20" s="175"/>
      <c r="AU20" s="43"/>
      <c r="AV20" s="175"/>
      <c r="AW20" s="48"/>
    </row>
    <row r="21" spans="1:59">
      <c r="A21" s="249"/>
      <c r="B21" s="43" t="s">
        <v>15</v>
      </c>
      <c r="C21" s="67">
        <v>18</v>
      </c>
      <c r="D21" s="42"/>
      <c r="E21" s="43"/>
      <c r="F21" s="43"/>
      <c r="G21" s="42"/>
      <c r="H21" s="42"/>
      <c r="I21" s="42"/>
      <c r="J21" s="43"/>
      <c r="K21" s="43"/>
      <c r="L21" s="43"/>
      <c r="M21" s="43"/>
      <c r="N21" s="43"/>
      <c r="O21" s="43"/>
      <c r="P21" s="43"/>
      <c r="Q21" s="43"/>
      <c r="R21" s="43"/>
      <c r="S21" s="43"/>
      <c r="T21" s="43"/>
      <c r="U21" s="43"/>
      <c r="V21" s="43"/>
      <c r="W21" s="43"/>
      <c r="X21" s="43"/>
      <c r="Y21" s="68"/>
      <c r="Z21" s="68"/>
      <c r="AA21" s="68"/>
      <c r="AB21" s="68"/>
      <c r="AC21" s="68"/>
      <c r="AD21" s="68"/>
      <c r="AE21" s="68"/>
      <c r="AF21" s="68"/>
      <c r="AG21" s="68"/>
      <c r="AH21" s="68"/>
      <c r="AI21" s="68"/>
      <c r="AJ21" s="68"/>
      <c r="AK21" s="43"/>
      <c r="AL21" s="43"/>
      <c r="AM21" s="43"/>
      <c r="AN21" s="43"/>
      <c r="AO21" s="43"/>
      <c r="AP21" s="43"/>
      <c r="AQ21" s="78" t="str">
        <f t="shared" si="0"/>
        <v/>
      </c>
      <c r="AR21" s="78" t="str">
        <f t="shared" si="1"/>
        <v/>
      </c>
      <c r="AS21" s="43"/>
      <c r="AT21" s="175"/>
      <c r="AU21" s="43"/>
      <c r="AV21" s="175"/>
      <c r="AW21" s="48"/>
    </row>
    <row r="22" spans="1:59">
      <c r="A22" s="249"/>
      <c r="B22" s="43" t="s">
        <v>15</v>
      </c>
      <c r="C22" s="67">
        <v>19</v>
      </c>
      <c r="D22" s="42"/>
      <c r="E22" s="43"/>
      <c r="F22" s="43"/>
      <c r="G22" s="42"/>
      <c r="H22" s="42"/>
      <c r="I22" s="42"/>
      <c r="J22" s="43"/>
      <c r="K22" s="43"/>
      <c r="L22" s="43"/>
      <c r="M22" s="43"/>
      <c r="N22" s="43"/>
      <c r="O22" s="43"/>
      <c r="P22" s="43"/>
      <c r="Q22" s="43"/>
      <c r="R22" s="43"/>
      <c r="S22" s="43"/>
      <c r="T22" s="43"/>
      <c r="U22" s="43"/>
      <c r="V22" s="43"/>
      <c r="W22" s="43"/>
      <c r="X22" s="43"/>
      <c r="Y22" s="68"/>
      <c r="Z22" s="68"/>
      <c r="AA22" s="68"/>
      <c r="AB22" s="68"/>
      <c r="AC22" s="68"/>
      <c r="AD22" s="68"/>
      <c r="AE22" s="68"/>
      <c r="AF22" s="68"/>
      <c r="AG22" s="68"/>
      <c r="AH22" s="68"/>
      <c r="AI22" s="68"/>
      <c r="AJ22" s="68"/>
      <c r="AK22" s="43"/>
      <c r="AL22" s="43"/>
      <c r="AM22" s="43"/>
      <c r="AN22" s="43"/>
      <c r="AO22" s="43"/>
      <c r="AP22" s="43"/>
      <c r="AQ22" s="78" t="str">
        <f t="shared" si="0"/>
        <v/>
      </c>
      <c r="AR22" s="78" t="str">
        <f t="shared" si="1"/>
        <v/>
      </c>
      <c r="AS22" s="43"/>
      <c r="AT22" s="175"/>
      <c r="AU22" s="43"/>
      <c r="AV22" s="175"/>
      <c r="AW22" s="48"/>
    </row>
    <row r="23" spans="1:59">
      <c r="A23" s="249"/>
      <c r="B23" s="43" t="s">
        <v>15</v>
      </c>
      <c r="C23" s="67">
        <v>20</v>
      </c>
      <c r="D23" s="42"/>
      <c r="E23" s="43"/>
      <c r="F23" s="43"/>
      <c r="G23" s="42"/>
      <c r="H23" s="42"/>
      <c r="I23" s="42"/>
      <c r="J23" s="43"/>
      <c r="K23" s="43"/>
      <c r="L23" s="43"/>
      <c r="M23" s="43"/>
      <c r="N23" s="43"/>
      <c r="O23" s="43"/>
      <c r="P23" s="43"/>
      <c r="Q23" s="43"/>
      <c r="R23" s="43"/>
      <c r="S23" s="43"/>
      <c r="T23" s="43"/>
      <c r="U23" s="43"/>
      <c r="V23" s="43"/>
      <c r="W23" s="43"/>
      <c r="X23" s="43"/>
      <c r="Y23" s="68"/>
      <c r="Z23" s="68"/>
      <c r="AA23" s="68"/>
      <c r="AB23" s="68"/>
      <c r="AC23" s="68"/>
      <c r="AD23" s="68"/>
      <c r="AE23" s="68"/>
      <c r="AF23" s="68"/>
      <c r="AG23" s="68"/>
      <c r="AH23" s="68"/>
      <c r="AI23" s="68"/>
      <c r="AJ23" s="68"/>
      <c r="AK23" s="43"/>
      <c r="AL23" s="43"/>
      <c r="AM23" s="43"/>
      <c r="AN23" s="43"/>
      <c r="AO23" s="43"/>
      <c r="AP23" s="43"/>
      <c r="AQ23" s="78" t="str">
        <f t="shared" si="0"/>
        <v/>
      </c>
      <c r="AR23" s="78" t="str">
        <f t="shared" si="1"/>
        <v/>
      </c>
      <c r="AS23" s="43"/>
      <c r="AT23" s="175"/>
      <c r="AU23" s="43"/>
      <c r="AV23" s="175"/>
      <c r="AW23" s="48"/>
    </row>
    <row r="24" spans="1:59" ht="13.5" thickBot="1">
      <c r="A24" s="247"/>
      <c r="B24" s="70"/>
      <c r="C24" s="69" t="s">
        <v>195</v>
      </c>
      <c r="D24" s="74"/>
      <c r="E24" s="70"/>
      <c r="F24" s="70"/>
      <c r="G24" s="74"/>
      <c r="H24" s="74"/>
      <c r="I24" s="74"/>
      <c r="J24" s="70"/>
      <c r="K24" s="70"/>
      <c r="L24" s="70"/>
      <c r="M24" s="70"/>
      <c r="N24" s="70"/>
      <c r="O24" s="70"/>
      <c r="P24" s="70"/>
      <c r="Q24" s="70"/>
      <c r="R24" s="70"/>
      <c r="S24" s="70"/>
      <c r="T24" s="70"/>
      <c r="U24" s="70"/>
      <c r="V24" s="70"/>
      <c r="W24" s="70"/>
      <c r="X24" s="70"/>
      <c r="Y24" s="83"/>
      <c r="Z24" s="83"/>
      <c r="AA24" s="83"/>
      <c r="AB24" s="83"/>
      <c r="AC24" s="83"/>
      <c r="AD24" s="83"/>
      <c r="AE24" s="83"/>
      <c r="AF24" s="83"/>
      <c r="AG24" s="83"/>
      <c r="AH24" s="83"/>
      <c r="AI24" s="83"/>
      <c r="AJ24" s="83"/>
      <c r="AK24" s="70"/>
      <c r="AL24" s="70"/>
      <c r="AM24" s="70"/>
      <c r="AN24" s="70"/>
      <c r="AO24" s="70"/>
      <c r="AP24" s="70"/>
      <c r="AQ24" s="70"/>
      <c r="AR24" s="70"/>
      <c r="AS24" s="70"/>
      <c r="AT24" s="176"/>
      <c r="AU24" s="70"/>
      <c r="AV24" s="176"/>
      <c r="AW24" s="121"/>
    </row>
    <row r="25" spans="1:59" ht="13.5" thickBot="1"/>
    <row r="26" spans="1:59" s="17" customFormat="1" ht="11.25">
      <c r="A26" s="252"/>
      <c r="B26" s="15"/>
      <c r="C26" s="152"/>
      <c r="D26" s="15"/>
      <c r="E26" s="15"/>
      <c r="F26" s="15"/>
      <c r="G26" s="15"/>
      <c r="H26" s="15"/>
      <c r="I26" s="15"/>
      <c r="J26" s="21" t="s">
        <v>196</v>
      </c>
      <c r="K26" s="21" t="s">
        <v>196</v>
      </c>
      <c r="L26" s="21" t="s">
        <v>196</v>
      </c>
      <c r="M26" s="21" t="s">
        <v>196</v>
      </c>
      <c r="N26" s="21" t="s">
        <v>196</v>
      </c>
      <c r="O26" s="21" t="s">
        <v>196</v>
      </c>
      <c r="P26" s="21"/>
      <c r="Q26" s="21" t="s">
        <v>196</v>
      </c>
      <c r="R26" s="21" t="s">
        <v>196</v>
      </c>
      <c r="S26" s="21" t="s">
        <v>196</v>
      </c>
      <c r="T26" s="21" t="s">
        <v>196</v>
      </c>
      <c r="U26" s="21" t="s">
        <v>196</v>
      </c>
      <c r="V26" s="21" t="s">
        <v>196</v>
      </c>
      <c r="W26" s="21" t="s">
        <v>196</v>
      </c>
      <c r="X26" s="21" t="s">
        <v>196</v>
      </c>
      <c r="Y26" s="21"/>
      <c r="Z26" s="21"/>
      <c r="AA26" s="21"/>
      <c r="AB26" s="21"/>
      <c r="AC26" s="21" t="s">
        <v>196</v>
      </c>
      <c r="AD26" s="21" t="s">
        <v>196</v>
      </c>
      <c r="AE26" s="21" t="s">
        <v>196</v>
      </c>
      <c r="AF26" s="21"/>
      <c r="AG26" s="21"/>
      <c r="AH26" s="21"/>
      <c r="AI26" s="21"/>
      <c r="AJ26" s="21"/>
      <c r="AK26" s="21" t="s">
        <v>196</v>
      </c>
      <c r="AL26" s="21"/>
      <c r="AM26" s="21"/>
      <c r="AN26" s="21" t="s">
        <v>196</v>
      </c>
      <c r="AO26" s="21" t="s">
        <v>196</v>
      </c>
      <c r="AP26" s="40"/>
      <c r="AQ26" s="21" t="s">
        <v>196</v>
      </c>
      <c r="AR26" s="21" t="s">
        <v>196</v>
      </c>
      <c r="AS26" s="15"/>
      <c r="AT26" s="192"/>
      <c r="AU26" s="21" t="s">
        <v>196</v>
      </c>
      <c r="AV26" s="192"/>
      <c r="AW26" s="16"/>
      <c r="AX26" s="397"/>
      <c r="AY26" s="397"/>
      <c r="AZ26" s="397"/>
      <c r="BA26" s="397"/>
      <c r="BB26" s="397"/>
      <c r="BC26" s="397"/>
      <c r="BD26" s="397"/>
      <c r="BE26" s="397"/>
      <c r="BF26" s="397"/>
      <c r="BG26" s="397"/>
    </row>
    <row r="27" spans="1:59" s="406" customFormat="1" ht="9">
      <c r="A27" s="400"/>
      <c r="B27" s="401"/>
      <c r="C27" s="402"/>
      <c r="D27" s="401"/>
      <c r="E27" s="401"/>
      <c r="F27" s="401"/>
      <c r="G27" s="401"/>
      <c r="H27" s="401"/>
      <c r="I27" s="401"/>
      <c r="J27" s="27" t="s">
        <v>83</v>
      </c>
      <c r="K27" s="27" t="s">
        <v>483</v>
      </c>
      <c r="L27" s="27" t="s">
        <v>483</v>
      </c>
      <c r="M27" s="27" t="s">
        <v>484</v>
      </c>
      <c r="N27" s="148" t="s">
        <v>485</v>
      </c>
      <c r="O27" s="148" t="s">
        <v>485</v>
      </c>
      <c r="P27" s="27"/>
      <c r="Q27" s="27" t="s">
        <v>83</v>
      </c>
      <c r="R27" s="27" t="s">
        <v>83</v>
      </c>
      <c r="S27" s="27" t="s">
        <v>83</v>
      </c>
      <c r="T27" s="27" t="s">
        <v>83</v>
      </c>
      <c r="U27" s="27" t="s">
        <v>83</v>
      </c>
      <c r="V27" s="27" t="s">
        <v>83</v>
      </c>
      <c r="W27" s="27" t="s">
        <v>83</v>
      </c>
      <c r="X27" s="27" t="s">
        <v>83</v>
      </c>
      <c r="Y27" s="27"/>
      <c r="Z27" s="27"/>
      <c r="AA27" s="27"/>
      <c r="AB27" s="27"/>
      <c r="AC27" s="27" t="s">
        <v>486</v>
      </c>
      <c r="AD27" s="27" t="s">
        <v>198</v>
      </c>
      <c r="AE27" s="27" t="s">
        <v>198</v>
      </c>
      <c r="AF27" s="27"/>
      <c r="AG27" s="27"/>
      <c r="AH27" s="27"/>
      <c r="AI27" s="27"/>
      <c r="AJ27" s="27"/>
      <c r="AK27" s="27" t="s">
        <v>487</v>
      </c>
      <c r="AL27" s="27"/>
      <c r="AM27" s="27"/>
      <c r="AN27" s="27" t="s">
        <v>488</v>
      </c>
      <c r="AO27" s="27" t="s">
        <v>198</v>
      </c>
      <c r="AP27" s="36"/>
      <c r="AQ27" s="403" t="s">
        <v>489</v>
      </c>
      <c r="AR27" s="403" t="s">
        <v>489</v>
      </c>
      <c r="AS27" s="401"/>
      <c r="AT27" s="404"/>
      <c r="AU27" s="36" t="s">
        <v>199</v>
      </c>
      <c r="AV27" s="404"/>
      <c r="AW27" s="405"/>
      <c r="AX27" s="14"/>
      <c r="AY27" s="14"/>
      <c r="AZ27" s="14"/>
      <c r="BA27" s="14"/>
      <c r="BB27" s="14"/>
      <c r="BC27" s="14"/>
      <c r="BD27" s="14"/>
      <c r="BE27" s="14"/>
      <c r="BF27" s="14"/>
      <c r="BG27" s="14"/>
    </row>
    <row r="28" spans="1:59" s="406" customFormat="1" ht="9">
      <c r="A28" s="400"/>
      <c r="B28" s="401"/>
      <c r="C28" s="402"/>
      <c r="D28" s="401"/>
      <c r="E28" s="401"/>
      <c r="F28" s="401"/>
      <c r="G28" s="401"/>
      <c r="H28" s="401"/>
      <c r="I28" s="401"/>
      <c r="J28" s="27" t="s">
        <v>94</v>
      </c>
      <c r="K28" s="27" t="s">
        <v>490</v>
      </c>
      <c r="L28" s="27" t="s">
        <v>490</v>
      </c>
      <c r="M28" s="27" t="s">
        <v>491</v>
      </c>
      <c r="N28" s="148" t="s">
        <v>492</v>
      </c>
      <c r="O28" s="148" t="s">
        <v>492</v>
      </c>
      <c r="P28" s="27"/>
      <c r="Q28" s="27" t="s">
        <v>94</v>
      </c>
      <c r="R28" s="27" t="s">
        <v>94</v>
      </c>
      <c r="S28" s="27" t="s">
        <v>94</v>
      </c>
      <c r="T28" s="27" t="s">
        <v>94</v>
      </c>
      <c r="U28" s="27" t="s">
        <v>94</v>
      </c>
      <c r="V28" s="27" t="s">
        <v>94</v>
      </c>
      <c r="W28" s="27" t="s">
        <v>94</v>
      </c>
      <c r="X28" s="27" t="s">
        <v>94</v>
      </c>
      <c r="Y28" s="27"/>
      <c r="Z28" s="27"/>
      <c r="AA28" s="27"/>
      <c r="AB28" s="27"/>
      <c r="AC28" s="27" t="s">
        <v>493</v>
      </c>
      <c r="AD28" s="27" t="s">
        <v>88</v>
      </c>
      <c r="AE28" s="27" t="s">
        <v>88</v>
      </c>
      <c r="AF28" s="27"/>
      <c r="AG28" s="27"/>
      <c r="AH28" s="27"/>
      <c r="AI28" s="27"/>
      <c r="AJ28" s="27"/>
      <c r="AK28" s="27" t="s">
        <v>494</v>
      </c>
      <c r="AL28" s="27"/>
      <c r="AM28" s="27"/>
      <c r="AN28" s="27" t="s">
        <v>495</v>
      </c>
      <c r="AO28" s="27" t="s">
        <v>88</v>
      </c>
      <c r="AP28" s="36"/>
      <c r="AQ28" s="403" t="s">
        <v>496</v>
      </c>
      <c r="AR28" s="403" t="s">
        <v>496</v>
      </c>
      <c r="AS28" s="401"/>
      <c r="AT28" s="404"/>
      <c r="AU28" s="36" t="s">
        <v>204</v>
      </c>
      <c r="AV28" s="404"/>
      <c r="AW28" s="405"/>
      <c r="AX28" s="14"/>
      <c r="AY28" s="14"/>
      <c r="AZ28" s="14"/>
      <c r="BA28" s="14"/>
      <c r="BB28" s="14"/>
      <c r="BC28" s="14"/>
      <c r="BD28" s="14"/>
      <c r="BE28" s="14"/>
      <c r="BF28" s="14"/>
      <c r="BG28" s="14"/>
    </row>
    <row r="29" spans="1:59" s="406" customFormat="1" ht="9">
      <c r="A29" s="400"/>
      <c r="B29" s="401"/>
      <c r="C29" s="402"/>
      <c r="D29" s="401"/>
      <c r="E29" s="401"/>
      <c r="F29" s="401"/>
      <c r="G29" s="401"/>
      <c r="H29" s="401"/>
      <c r="I29" s="401"/>
      <c r="J29" s="27" t="s">
        <v>105</v>
      </c>
      <c r="K29" s="27" t="s">
        <v>497</v>
      </c>
      <c r="L29" s="27" t="s">
        <v>497</v>
      </c>
      <c r="M29" s="29" t="s">
        <v>498</v>
      </c>
      <c r="N29" s="148" t="s">
        <v>499</v>
      </c>
      <c r="O29" s="148" t="s">
        <v>499</v>
      </c>
      <c r="P29" s="27"/>
      <c r="Q29" s="27" t="s">
        <v>105</v>
      </c>
      <c r="R29" s="27" t="s">
        <v>105</v>
      </c>
      <c r="S29" s="27" t="s">
        <v>105</v>
      </c>
      <c r="T29" s="27" t="s">
        <v>105</v>
      </c>
      <c r="U29" s="27" t="s">
        <v>105</v>
      </c>
      <c r="V29" s="27" t="s">
        <v>105</v>
      </c>
      <c r="W29" s="27" t="s">
        <v>105</v>
      </c>
      <c r="X29" s="27" t="s">
        <v>105</v>
      </c>
      <c r="Y29" s="27"/>
      <c r="Z29" s="27"/>
      <c r="AA29" s="27"/>
      <c r="AB29" s="27"/>
      <c r="AC29" s="27" t="s">
        <v>500</v>
      </c>
      <c r="AD29" s="27"/>
      <c r="AE29" s="27"/>
      <c r="AF29" s="27"/>
      <c r="AG29" s="27"/>
      <c r="AH29" s="27"/>
      <c r="AI29" s="27"/>
      <c r="AJ29" s="27"/>
      <c r="AK29" s="27" t="s">
        <v>501</v>
      </c>
      <c r="AL29" s="27"/>
      <c r="AM29" s="27"/>
      <c r="AN29" s="27" t="s">
        <v>502</v>
      </c>
      <c r="AO29" s="27"/>
      <c r="AP29" s="36"/>
      <c r="AQ29" s="403" t="s">
        <v>503</v>
      </c>
      <c r="AR29" s="403" t="s">
        <v>503</v>
      </c>
      <c r="AS29" s="401"/>
      <c r="AT29" s="404"/>
      <c r="AU29" s="36" t="s">
        <v>88</v>
      </c>
      <c r="AV29" s="404"/>
      <c r="AW29" s="405"/>
      <c r="AX29" s="14"/>
      <c r="AY29" s="14"/>
      <c r="AZ29" s="14"/>
      <c r="BA29" s="14"/>
      <c r="BB29" s="14"/>
      <c r="BC29" s="14"/>
      <c r="BD29" s="14"/>
      <c r="BE29" s="14"/>
      <c r="BF29" s="14"/>
      <c r="BG29" s="14"/>
    </row>
    <row r="30" spans="1:59" s="406" customFormat="1" ht="9">
      <c r="A30" s="400"/>
      <c r="B30" s="401"/>
      <c r="C30" s="402"/>
      <c r="D30" s="401"/>
      <c r="E30" s="401"/>
      <c r="F30" s="401"/>
      <c r="G30" s="401"/>
      <c r="H30" s="401"/>
      <c r="I30" s="401"/>
      <c r="J30" s="27" t="s">
        <v>112</v>
      </c>
      <c r="K30" s="27" t="s">
        <v>504</v>
      </c>
      <c r="L30" s="27" t="s">
        <v>504</v>
      </c>
      <c r="M30" s="27" t="s">
        <v>505</v>
      </c>
      <c r="N30" s="149" t="s">
        <v>506</v>
      </c>
      <c r="O30" s="149" t="s">
        <v>506</v>
      </c>
      <c r="P30" s="27"/>
      <c r="Q30" s="27" t="s">
        <v>112</v>
      </c>
      <c r="R30" s="27" t="s">
        <v>112</v>
      </c>
      <c r="S30" s="27" t="s">
        <v>112</v>
      </c>
      <c r="T30" s="27" t="s">
        <v>112</v>
      </c>
      <c r="U30" s="27" t="s">
        <v>112</v>
      </c>
      <c r="V30" s="27" t="s">
        <v>112</v>
      </c>
      <c r="W30" s="27" t="s">
        <v>112</v>
      </c>
      <c r="X30" s="27" t="s">
        <v>112</v>
      </c>
      <c r="Y30" s="27"/>
      <c r="Z30" s="27"/>
      <c r="AA30" s="27"/>
      <c r="AB30" s="27"/>
      <c r="AC30" s="27" t="s">
        <v>507</v>
      </c>
      <c r="AD30" s="27"/>
      <c r="AE30" s="27"/>
      <c r="AF30" s="27"/>
      <c r="AG30" s="27"/>
      <c r="AH30" s="27"/>
      <c r="AI30" s="27"/>
      <c r="AJ30" s="27"/>
      <c r="AK30" s="27"/>
      <c r="AL30" s="27"/>
      <c r="AM30" s="27"/>
      <c r="AN30" s="27" t="s">
        <v>508</v>
      </c>
      <c r="AO30" s="27"/>
      <c r="AP30" s="36"/>
      <c r="AQ30" s="403"/>
      <c r="AR30" s="403"/>
      <c r="AS30" s="401"/>
      <c r="AT30" s="404"/>
      <c r="AU30" s="31"/>
      <c r="AV30" s="404"/>
      <c r="AW30" s="405"/>
      <c r="AX30" s="14"/>
      <c r="AY30" s="14"/>
      <c r="AZ30" s="14"/>
      <c r="BA30" s="14"/>
      <c r="BB30" s="14"/>
      <c r="BC30" s="14"/>
      <c r="BD30" s="14"/>
      <c r="BE30" s="14"/>
      <c r="BF30" s="14"/>
      <c r="BG30" s="14"/>
    </row>
    <row r="31" spans="1:59" s="29" customFormat="1" ht="9">
      <c r="A31" s="253"/>
      <c r="B31" s="31"/>
      <c r="C31" s="151"/>
      <c r="D31" s="31"/>
      <c r="E31" s="31"/>
      <c r="F31" s="31"/>
      <c r="G31" s="31"/>
      <c r="H31" s="31"/>
      <c r="I31" s="31"/>
      <c r="J31" s="27" t="s">
        <v>439</v>
      </c>
      <c r="K31" s="27" t="s">
        <v>509</v>
      </c>
      <c r="L31" s="27" t="s">
        <v>509</v>
      </c>
      <c r="M31" s="27" t="s">
        <v>510</v>
      </c>
      <c r="N31" s="149" t="s">
        <v>511</v>
      </c>
      <c r="O31" s="149" t="s">
        <v>511</v>
      </c>
      <c r="P31" s="27"/>
      <c r="Q31" s="27" t="s">
        <v>439</v>
      </c>
      <c r="R31" s="27" t="s">
        <v>439</v>
      </c>
      <c r="S31" s="27" t="s">
        <v>439</v>
      </c>
      <c r="T31" s="27" t="s">
        <v>439</v>
      </c>
      <c r="U31" s="27" t="s">
        <v>439</v>
      </c>
      <c r="V31" s="27" t="s">
        <v>439</v>
      </c>
      <c r="W31" s="27" t="s">
        <v>439</v>
      </c>
      <c r="X31" s="27" t="s">
        <v>439</v>
      </c>
      <c r="Y31" s="27"/>
      <c r="Z31" s="27"/>
      <c r="AA31" s="27"/>
      <c r="AB31" s="27"/>
      <c r="AC31" s="27"/>
      <c r="AD31" s="27"/>
      <c r="AE31" s="27"/>
      <c r="AF31" s="27"/>
      <c r="AG31" s="27"/>
      <c r="AH31" s="27"/>
      <c r="AI31" s="27"/>
      <c r="AJ31" s="27"/>
      <c r="AK31" s="27"/>
      <c r="AL31" s="27"/>
      <c r="AM31" s="27"/>
      <c r="AN31" s="36" t="s">
        <v>512</v>
      </c>
      <c r="AO31" s="36"/>
      <c r="AP31" s="36"/>
      <c r="AQ31" s="27"/>
      <c r="AR31" s="27"/>
      <c r="AS31" s="31"/>
      <c r="AT31" s="360"/>
      <c r="AU31" s="31"/>
      <c r="AV31" s="360"/>
      <c r="AW31" s="32"/>
      <c r="AX31" s="14"/>
      <c r="AY31" s="14"/>
      <c r="AZ31" s="14"/>
      <c r="BA31" s="14"/>
      <c r="BB31" s="14"/>
      <c r="BC31" s="14"/>
      <c r="BD31" s="14"/>
      <c r="BE31" s="14"/>
      <c r="BF31" s="14"/>
      <c r="BG31" s="14"/>
    </row>
    <row r="32" spans="1:59" s="29" customFormat="1" ht="9">
      <c r="A32" s="253"/>
      <c r="B32" s="31"/>
      <c r="C32" s="151"/>
      <c r="D32" s="31"/>
      <c r="E32" s="31"/>
      <c r="F32" s="31"/>
      <c r="G32" s="31"/>
      <c r="H32" s="31"/>
      <c r="I32" s="31"/>
      <c r="J32" s="27" t="s">
        <v>440</v>
      </c>
      <c r="K32" s="27" t="s">
        <v>513</v>
      </c>
      <c r="L32" s="27" t="s">
        <v>513</v>
      </c>
      <c r="M32" s="29" t="s">
        <v>514</v>
      </c>
      <c r="N32" s="148" t="s">
        <v>515</v>
      </c>
      <c r="O32" s="148" t="s">
        <v>515</v>
      </c>
      <c r="P32" s="27"/>
      <c r="Q32" s="27" t="s">
        <v>440</v>
      </c>
      <c r="R32" s="27" t="s">
        <v>440</v>
      </c>
      <c r="S32" s="27" t="s">
        <v>440</v>
      </c>
      <c r="T32" s="27" t="s">
        <v>440</v>
      </c>
      <c r="U32" s="27" t="s">
        <v>440</v>
      </c>
      <c r="V32" s="27" t="s">
        <v>440</v>
      </c>
      <c r="W32" s="27" t="s">
        <v>440</v>
      </c>
      <c r="X32" s="27" t="s">
        <v>440</v>
      </c>
      <c r="Y32" s="27"/>
      <c r="Z32" s="27"/>
      <c r="AA32" s="27"/>
      <c r="AB32" s="27"/>
      <c r="AC32" s="27"/>
      <c r="AD32" s="27"/>
      <c r="AE32" s="27"/>
      <c r="AF32" s="27"/>
      <c r="AG32" s="27"/>
      <c r="AH32" s="27"/>
      <c r="AI32" s="27"/>
      <c r="AJ32" s="27"/>
      <c r="AK32" s="27"/>
      <c r="AL32" s="27"/>
      <c r="AM32" s="27"/>
      <c r="AN32" s="36" t="s">
        <v>516</v>
      </c>
      <c r="AO32" s="36"/>
      <c r="AP32" s="36"/>
      <c r="AQ32" s="27"/>
      <c r="AR32" s="27"/>
      <c r="AS32" s="31"/>
      <c r="AT32" s="360"/>
      <c r="AU32" s="31"/>
      <c r="AV32" s="360"/>
      <c r="AW32" s="32"/>
      <c r="AX32" s="14"/>
      <c r="AY32" s="14"/>
      <c r="AZ32" s="14"/>
      <c r="BA32" s="14"/>
      <c r="BB32" s="14"/>
      <c r="BC32" s="14"/>
      <c r="BD32" s="14"/>
      <c r="BE32" s="14"/>
      <c r="BF32" s="14"/>
      <c r="BG32" s="14"/>
    </row>
    <row r="33" spans="1:59" s="29" customFormat="1" ht="9">
      <c r="A33" s="253"/>
      <c r="B33" s="31"/>
      <c r="C33" s="151"/>
      <c r="D33" s="31"/>
      <c r="E33" s="31"/>
      <c r="F33" s="31"/>
      <c r="G33" s="31"/>
      <c r="H33" s="31"/>
      <c r="I33" s="31"/>
      <c r="J33" s="27" t="s">
        <v>441</v>
      </c>
      <c r="K33" s="27" t="s">
        <v>517</v>
      </c>
      <c r="L33" s="27" t="s">
        <v>517</v>
      </c>
      <c r="M33" s="27" t="s">
        <v>518</v>
      </c>
      <c r="N33" s="149" t="s">
        <v>519</v>
      </c>
      <c r="O33" s="149" t="s">
        <v>519</v>
      </c>
      <c r="P33" s="27"/>
      <c r="Q33" s="27" t="s">
        <v>484</v>
      </c>
      <c r="R33" s="27" t="s">
        <v>484</v>
      </c>
      <c r="S33" s="27" t="s">
        <v>484</v>
      </c>
      <c r="T33" s="27" t="s">
        <v>484</v>
      </c>
      <c r="U33" s="27" t="s">
        <v>484</v>
      </c>
      <c r="V33" s="27" t="s">
        <v>484</v>
      </c>
      <c r="W33" s="27" t="s">
        <v>484</v>
      </c>
      <c r="X33" s="27" t="s">
        <v>484</v>
      </c>
      <c r="Y33" s="27"/>
      <c r="Z33" s="27"/>
      <c r="AA33" s="27"/>
      <c r="AB33" s="27"/>
      <c r="AC33" s="27"/>
      <c r="AD33" s="27"/>
      <c r="AE33" s="27"/>
      <c r="AF33" s="27"/>
      <c r="AG33" s="27"/>
      <c r="AH33" s="27"/>
      <c r="AI33" s="27"/>
      <c r="AJ33" s="27"/>
      <c r="AK33" s="27"/>
      <c r="AL33" s="27"/>
      <c r="AM33" s="27"/>
      <c r="AN33" s="36" t="s">
        <v>520</v>
      </c>
      <c r="AO33" s="36"/>
      <c r="AP33" s="36"/>
      <c r="AQ33" s="27"/>
      <c r="AR33" s="27"/>
      <c r="AS33" s="31"/>
      <c r="AT33" s="360"/>
      <c r="AU33" s="31"/>
      <c r="AV33" s="360"/>
      <c r="AW33" s="32"/>
      <c r="AX33" s="14"/>
      <c r="AY33" s="14"/>
      <c r="AZ33" s="14"/>
      <c r="BA33" s="14"/>
      <c r="BB33" s="14"/>
      <c r="BC33" s="14"/>
      <c r="BD33" s="14"/>
      <c r="BE33" s="14"/>
      <c r="BF33" s="14"/>
      <c r="BG33" s="14"/>
    </row>
    <row r="34" spans="1:59" s="29" customFormat="1" ht="9">
      <c r="A34" s="253"/>
      <c r="B34" s="31"/>
      <c r="C34" s="151"/>
      <c r="D34" s="31"/>
      <c r="E34" s="31"/>
      <c r="F34" s="31"/>
      <c r="G34" s="31"/>
      <c r="H34" s="31"/>
      <c r="I34" s="31"/>
      <c r="J34" s="27" t="s">
        <v>442</v>
      </c>
      <c r="K34" s="27" t="s">
        <v>521</v>
      </c>
      <c r="L34" s="27" t="s">
        <v>521</v>
      </c>
      <c r="M34" s="27"/>
      <c r="N34" s="148" t="s">
        <v>522</v>
      </c>
      <c r="O34" s="148" t="s">
        <v>522</v>
      </c>
      <c r="P34" s="27"/>
      <c r="Q34" s="27" t="s">
        <v>491</v>
      </c>
      <c r="R34" s="27" t="s">
        <v>491</v>
      </c>
      <c r="S34" s="27" t="s">
        <v>491</v>
      </c>
      <c r="T34" s="27" t="s">
        <v>491</v>
      </c>
      <c r="U34" s="27" t="s">
        <v>491</v>
      </c>
      <c r="V34" s="27" t="s">
        <v>491</v>
      </c>
      <c r="W34" s="27" t="s">
        <v>491</v>
      </c>
      <c r="X34" s="27" t="s">
        <v>491</v>
      </c>
      <c r="Y34" s="27"/>
      <c r="Z34" s="27"/>
      <c r="AA34" s="27"/>
      <c r="AB34" s="27"/>
      <c r="AC34" s="27"/>
      <c r="AD34" s="27"/>
      <c r="AE34" s="27"/>
      <c r="AF34" s="27"/>
      <c r="AG34" s="27"/>
      <c r="AH34" s="27"/>
      <c r="AI34" s="27"/>
      <c r="AJ34" s="27"/>
      <c r="AK34" s="27"/>
      <c r="AL34" s="27"/>
      <c r="AM34" s="27"/>
      <c r="AN34" s="27"/>
      <c r="AO34" s="36"/>
      <c r="AP34" s="36"/>
      <c r="AQ34" s="27"/>
      <c r="AR34" s="27"/>
      <c r="AS34" s="31"/>
      <c r="AT34" s="360"/>
      <c r="AU34" s="31"/>
      <c r="AV34" s="360"/>
      <c r="AW34" s="32"/>
      <c r="AX34" s="14"/>
      <c r="AY34" s="14"/>
      <c r="AZ34" s="14"/>
      <c r="BA34" s="14"/>
      <c r="BB34" s="14"/>
      <c r="BC34" s="14"/>
      <c r="BD34" s="14"/>
      <c r="BE34" s="14"/>
      <c r="BF34" s="14"/>
      <c r="BG34" s="14"/>
    </row>
    <row r="35" spans="1:59" s="29" customFormat="1" ht="9">
      <c r="A35" s="253"/>
      <c r="B35" s="31"/>
      <c r="C35" s="151"/>
      <c r="D35" s="31"/>
      <c r="E35" s="31"/>
      <c r="F35" s="31"/>
      <c r="G35" s="31"/>
      <c r="H35" s="31"/>
      <c r="I35" s="31"/>
      <c r="J35" s="27"/>
      <c r="K35" s="27" t="s">
        <v>523</v>
      </c>
      <c r="L35" s="27" t="s">
        <v>523</v>
      </c>
      <c r="M35" s="50"/>
      <c r="N35" s="148" t="s">
        <v>524</v>
      </c>
      <c r="O35" s="148" t="s">
        <v>524</v>
      </c>
      <c r="P35" s="27"/>
      <c r="Q35" s="27" t="s">
        <v>498</v>
      </c>
      <c r="R35" s="27" t="s">
        <v>498</v>
      </c>
      <c r="S35" s="27" t="s">
        <v>498</v>
      </c>
      <c r="T35" s="27" t="s">
        <v>498</v>
      </c>
      <c r="U35" s="27" t="s">
        <v>498</v>
      </c>
      <c r="V35" s="27" t="s">
        <v>498</v>
      </c>
      <c r="W35" s="27" t="s">
        <v>498</v>
      </c>
      <c r="X35" s="27" t="s">
        <v>498</v>
      </c>
      <c r="Y35" s="27"/>
      <c r="Z35" s="27"/>
      <c r="AA35" s="27"/>
      <c r="AB35" s="27"/>
      <c r="AC35" s="27"/>
      <c r="AD35" s="27"/>
      <c r="AE35" s="27"/>
      <c r="AF35" s="27"/>
      <c r="AG35" s="27"/>
      <c r="AH35" s="27"/>
      <c r="AI35" s="27"/>
      <c r="AJ35" s="27"/>
      <c r="AK35" s="27"/>
      <c r="AL35" s="27"/>
      <c r="AM35" s="27"/>
      <c r="AN35" s="27"/>
      <c r="AO35" s="27"/>
      <c r="AP35" s="36"/>
      <c r="AQ35" s="36"/>
      <c r="AR35" s="36"/>
      <c r="AS35" s="31"/>
      <c r="AT35" s="360"/>
      <c r="AU35" s="31"/>
      <c r="AV35" s="360"/>
      <c r="AW35" s="32"/>
      <c r="AX35" s="14"/>
      <c r="AY35" s="14"/>
      <c r="AZ35" s="14"/>
      <c r="BA35" s="14"/>
      <c r="BB35" s="14"/>
      <c r="BC35" s="14"/>
      <c r="BD35" s="14"/>
      <c r="BE35" s="14"/>
      <c r="BF35" s="14"/>
      <c r="BG35" s="14"/>
    </row>
    <row r="36" spans="1:59" s="29" customFormat="1" ht="9">
      <c r="A36" s="253"/>
      <c r="B36" s="31"/>
      <c r="C36" s="151"/>
      <c r="D36" s="31"/>
      <c r="E36" s="31"/>
      <c r="F36" s="31"/>
      <c r="G36" s="31"/>
      <c r="H36" s="31"/>
      <c r="I36" s="31"/>
      <c r="J36" s="27"/>
      <c r="K36" s="27" t="s">
        <v>525</v>
      </c>
      <c r="L36" s="27" t="s">
        <v>525</v>
      </c>
      <c r="M36" s="50"/>
      <c r="N36" s="149" t="s">
        <v>526</v>
      </c>
      <c r="O36" s="149" t="s">
        <v>526</v>
      </c>
      <c r="P36" s="27"/>
      <c r="Q36" s="27" t="s">
        <v>505</v>
      </c>
      <c r="R36" s="27" t="s">
        <v>505</v>
      </c>
      <c r="S36" s="27" t="s">
        <v>505</v>
      </c>
      <c r="T36" s="27" t="s">
        <v>505</v>
      </c>
      <c r="U36" s="27" t="s">
        <v>505</v>
      </c>
      <c r="V36" s="27" t="s">
        <v>505</v>
      </c>
      <c r="W36" s="27" t="s">
        <v>505</v>
      </c>
      <c r="X36" s="27" t="s">
        <v>505</v>
      </c>
      <c r="Y36" s="27"/>
      <c r="Z36" s="27"/>
      <c r="AA36" s="27"/>
      <c r="AB36" s="27"/>
      <c r="AC36" s="27"/>
      <c r="AD36" s="27"/>
      <c r="AE36" s="27"/>
      <c r="AF36" s="27"/>
      <c r="AG36" s="27"/>
      <c r="AH36" s="27"/>
      <c r="AI36" s="27"/>
      <c r="AJ36" s="27"/>
      <c r="AK36" s="27"/>
      <c r="AL36" s="27"/>
      <c r="AM36" s="27"/>
      <c r="AN36" s="27"/>
      <c r="AO36" s="27"/>
      <c r="AP36" s="36"/>
      <c r="AQ36" s="36"/>
      <c r="AR36" s="36"/>
      <c r="AS36" s="31"/>
      <c r="AT36" s="360"/>
      <c r="AU36" s="31"/>
      <c r="AV36" s="360"/>
      <c r="AW36" s="32"/>
      <c r="AX36" s="14"/>
      <c r="AY36" s="14"/>
      <c r="AZ36" s="14"/>
      <c r="BA36" s="14"/>
      <c r="BB36" s="14"/>
      <c r="BC36" s="14"/>
      <c r="BD36" s="14"/>
      <c r="BE36" s="14"/>
      <c r="BF36" s="14"/>
      <c r="BG36" s="14"/>
    </row>
    <row r="37" spans="1:59" s="29" customFormat="1" ht="9">
      <c r="A37" s="253"/>
      <c r="B37" s="31"/>
      <c r="C37" s="151"/>
      <c r="D37" s="31"/>
      <c r="E37" s="31"/>
      <c r="F37" s="31"/>
      <c r="G37" s="31"/>
      <c r="H37" s="31"/>
      <c r="I37" s="31"/>
      <c r="J37" s="27"/>
      <c r="K37" s="27" t="s">
        <v>527</v>
      </c>
      <c r="L37" s="27" t="s">
        <v>527</v>
      </c>
      <c r="M37" s="27"/>
      <c r="N37" s="149" t="s">
        <v>528</v>
      </c>
      <c r="O37" s="149" t="s">
        <v>528</v>
      </c>
      <c r="P37" s="27"/>
      <c r="Q37" s="27" t="s">
        <v>529</v>
      </c>
      <c r="R37" s="27" t="s">
        <v>529</v>
      </c>
      <c r="S37" s="27" t="s">
        <v>529</v>
      </c>
      <c r="T37" s="27" t="s">
        <v>529</v>
      </c>
      <c r="U37" s="27" t="s">
        <v>529</v>
      </c>
      <c r="V37" s="27" t="s">
        <v>529</v>
      </c>
      <c r="W37" s="27" t="s">
        <v>529</v>
      </c>
      <c r="X37" s="27" t="s">
        <v>529</v>
      </c>
      <c r="Y37" s="27"/>
      <c r="Z37" s="27"/>
      <c r="AA37" s="27"/>
      <c r="AB37" s="27"/>
      <c r="AC37" s="27"/>
      <c r="AD37" s="27"/>
      <c r="AE37" s="27"/>
      <c r="AF37" s="27"/>
      <c r="AG37" s="27"/>
      <c r="AH37" s="27"/>
      <c r="AI37" s="27"/>
      <c r="AJ37" s="27"/>
      <c r="AK37" s="27"/>
      <c r="AL37" s="27"/>
      <c r="AM37" s="27"/>
      <c r="AN37" s="27"/>
      <c r="AO37" s="27"/>
      <c r="AP37" s="36"/>
      <c r="AQ37" s="36"/>
      <c r="AR37" s="36"/>
      <c r="AS37" s="31"/>
      <c r="AT37" s="360"/>
      <c r="AU37" s="31"/>
      <c r="AV37" s="360"/>
      <c r="AW37" s="32"/>
      <c r="AX37" s="14"/>
      <c r="AY37" s="14"/>
      <c r="AZ37" s="14"/>
      <c r="BA37" s="14"/>
      <c r="BB37" s="14"/>
      <c r="BC37" s="14"/>
      <c r="BD37" s="14"/>
      <c r="BE37" s="14"/>
      <c r="BF37" s="14"/>
      <c r="BG37" s="14"/>
    </row>
    <row r="38" spans="1:59" s="29" customFormat="1" ht="9">
      <c r="A38" s="253"/>
      <c r="B38" s="31"/>
      <c r="C38" s="151"/>
      <c r="D38" s="31"/>
      <c r="E38" s="31"/>
      <c r="F38" s="31"/>
      <c r="G38" s="31"/>
      <c r="H38" s="31"/>
      <c r="I38" s="31"/>
      <c r="J38" s="27"/>
      <c r="K38" s="27" t="s">
        <v>530</v>
      </c>
      <c r="L38" s="27" t="s">
        <v>530</v>
      </c>
      <c r="M38" s="27"/>
      <c r="N38" s="148" t="s">
        <v>531</v>
      </c>
      <c r="O38" s="148" t="s">
        <v>531</v>
      </c>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36"/>
      <c r="AQ38" s="36"/>
      <c r="AR38" s="36"/>
      <c r="AS38" s="31"/>
      <c r="AT38" s="360"/>
      <c r="AU38" s="31"/>
      <c r="AV38" s="360"/>
      <c r="AW38" s="32"/>
      <c r="AX38" s="14"/>
      <c r="AY38" s="14"/>
      <c r="AZ38" s="14"/>
      <c r="BA38" s="14"/>
      <c r="BB38" s="14"/>
      <c r="BC38" s="14"/>
      <c r="BD38" s="14"/>
      <c r="BE38" s="14"/>
      <c r="BF38" s="14"/>
      <c r="BG38" s="14"/>
    </row>
    <row r="39" spans="1:59" s="29" customFormat="1" ht="9">
      <c r="A39" s="253"/>
      <c r="B39" s="31"/>
      <c r="C39" s="151"/>
      <c r="D39" s="31"/>
      <c r="E39" s="31"/>
      <c r="F39" s="31"/>
      <c r="G39" s="31"/>
      <c r="H39" s="31"/>
      <c r="I39" s="31"/>
      <c r="J39" s="27"/>
      <c r="K39" s="27"/>
      <c r="L39" s="27"/>
      <c r="M39" s="27"/>
      <c r="N39" s="149" t="s">
        <v>532</v>
      </c>
      <c r="O39" s="149" t="s">
        <v>532</v>
      </c>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36"/>
      <c r="AQ39" s="36"/>
      <c r="AR39" s="36"/>
      <c r="AS39" s="31"/>
      <c r="AT39" s="360"/>
      <c r="AU39" s="31"/>
      <c r="AV39" s="360"/>
      <c r="AW39" s="32"/>
      <c r="AX39" s="14"/>
      <c r="AY39" s="14"/>
      <c r="AZ39" s="14"/>
      <c r="BA39" s="14"/>
      <c r="BB39" s="14"/>
      <c r="BC39" s="14"/>
      <c r="BD39" s="14"/>
      <c r="BE39" s="14"/>
      <c r="BF39" s="14"/>
      <c r="BG39" s="14"/>
    </row>
    <row r="40" spans="1:59" s="29" customFormat="1" ht="9">
      <c r="A40" s="253"/>
      <c r="B40" s="31"/>
      <c r="C40" s="151"/>
      <c r="D40" s="31"/>
      <c r="E40" s="31"/>
      <c r="F40" s="31"/>
      <c r="G40" s="31"/>
      <c r="H40" s="31"/>
      <c r="I40" s="31"/>
      <c r="J40" s="27"/>
      <c r="K40" s="31"/>
      <c r="L40" s="31"/>
      <c r="M40" s="27"/>
      <c r="N40" s="148" t="s">
        <v>533</v>
      </c>
      <c r="O40" s="148" t="s">
        <v>533</v>
      </c>
      <c r="P40" s="27"/>
      <c r="Q40" s="27"/>
      <c r="R40" s="27"/>
      <c r="S40" s="27"/>
      <c r="T40" s="27"/>
      <c r="U40" s="27"/>
      <c r="V40" s="27"/>
      <c r="W40" s="27"/>
      <c r="X40" s="27"/>
      <c r="Y40" s="31"/>
      <c r="Z40" s="31"/>
      <c r="AA40" s="31"/>
      <c r="AB40" s="31"/>
      <c r="AC40" s="31"/>
      <c r="AD40" s="31"/>
      <c r="AE40" s="31"/>
      <c r="AF40" s="31"/>
      <c r="AG40" s="31"/>
      <c r="AH40" s="31"/>
      <c r="AI40" s="31"/>
      <c r="AJ40" s="31"/>
      <c r="AK40" s="31"/>
      <c r="AL40" s="31"/>
      <c r="AM40" s="31"/>
      <c r="AN40" s="31"/>
      <c r="AO40" s="31"/>
      <c r="AP40" s="36"/>
      <c r="AQ40" s="36"/>
      <c r="AR40" s="36"/>
      <c r="AS40" s="31"/>
      <c r="AT40" s="360"/>
      <c r="AU40" s="31"/>
      <c r="AV40" s="360"/>
      <c r="AW40" s="32"/>
      <c r="AX40" s="14"/>
      <c r="AY40" s="14"/>
      <c r="AZ40" s="14"/>
      <c r="BA40" s="14"/>
      <c r="BB40" s="14"/>
      <c r="BC40" s="14"/>
      <c r="BD40" s="14"/>
      <c r="BE40" s="14"/>
      <c r="BF40" s="14"/>
      <c r="BG40" s="14"/>
    </row>
    <row r="41" spans="1:59" s="29" customFormat="1" ht="9">
      <c r="A41" s="253"/>
      <c r="B41" s="31"/>
      <c r="C41" s="151"/>
      <c r="D41" s="31"/>
      <c r="E41" s="31"/>
      <c r="F41" s="31"/>
      <c r="G41" s="31"/>
      <c r="H41" s="31"/>
      <c r="I41" s="31"/>
      <c r="J41" s="31"/>
      <c r="K41" s="31"/>
      <c r="L41" s="31"/>
      <c r="M41" s="31"/>
      <c r="N41" s="148" t="s">
        <v>534</v>
      </c>
      <c r="O41" s="148" t="s">
        <v>534</v>
      </c>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27"/>
      <c r="AQ41" s="27"/>
      <c r="AR41" s="27"/>
      <c r="AS41" s="31"/>
      <c r="AT41" s="360"/>
      <c r="AU41" s="31"/>
      <c r="AV41" s="360"/>
      <c r="AW41" s="32"/>
      <c r="AX41" s="14"/>
      <c r="AY41" s="14"/>
      <c r="AZ41" s="14"/>
      <c r="BA41" s="14"/>
      <c r="BB41" s="14"/>
      <c r="BC41" s="14"/>
      <c r="BD41" s="14"/>
      <c r="BE41" s="14"/>
      <c r="BF41" s="14"/>
      <c r="BG41" s="14"/>
    </row>
    <row r="42" spans="1:59" s="29" customFormat="1" ht="9">
      <c r="A42" s="253"/>
      <c r="B42" s="31"/>
      <c r="C42" s="151"/>
      <c r="D42" s="31"/>
      <c r="E42" s="31"/>
      <c r="F42" s="31"/>
      <c r="G42" s="31"/>
      <c r="H42" s="31"/>
      <c r="I42" s="31"/>
      <c r="J42" s="31"/>
      <c r="K42" s="31"/>
      <c r="L42" s="31"/>
      <c r="M42" s="31"/>
      <c r="N42" s="148" t="s">
        <v>535</v>
      </c>
      <c r="O42" s="148" t="s">
        <v>535</v>
      </c>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27"/>
      <c r="AQ42" s="407"/>
      <c r="AR42" s="407"/>
      <c r="AS42" s="31"/>
      <c r="AT42" s="360"/>
      <c r="AU42" s="31"/>
      <c r="AV42" s="360"/>
      <c r="AW42" s="32"/>
      <c r="AX42" s="14"/>
      <c r="AY42" s="14"/>
      <c r="AZ42" s="14"/>
      <c r="BA42" s="14"/>
      <c r="BB42" s="14"/>
      <c r="BC42" s="14"/>
      <c r="BD42" s="14"/>
      <c r="BE42" s="14"/>
      <c r="BF42" s="14"/>
      <c r="BG42" s="14"/>
    </row>
    <row r="43" spans="1:59" s="29" customFormat="1" ht="9">
      <c r="A43" s="253"/>
      <c r="B43" s="31"/>
      <c r="C43" s="151"/>
      <c r="D43" s="31"/>
      <c r="E43" s="31"/>
      <c r="F43" s="31"/>
      <c r="G43" s="31"/>
      <c r="H43" s="31"/>
      <c r="I43" s="31"/>
      <c r="J43" s="31"/>
      <c r="K43" s="31"/>
      <c r="L43" s="31"/>
      <c r="M43" s="31"/>
      <c r="N43" s="148" t="s">
        <v>536</v>
      </c>
      <c r="O43" s="148" t="s">
        <v>536</v>
      </c>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27"/>
      <c r="AQ43" s="408"/>
      <c r="AR43" s="408"/>
      <c r="AS43" s="31"/>
      <c r="AT43" s="360"/>
      <c r="AU43" s="31"/>
      <c r="AV43" s="360"/>
      <c r="AW43" s="32"/>
      <c r="AX43" s="14"/>
      <c r="AY43" s="14"/>
      <c r="AZ43" s="14"/>
      <c r="BA43" s="14"/>
      <c r="BB43" s="14"/>
      <c r="BC43" s="14"/>
      <c r="BD43" s="14"/>
      <c r="BE43" s="14"/>
      <c r="BF43" s="14"/>
      <c r="BG43" s="14"/>
    </row>
    <row r="44" spans="1:59" s="29" customFormat="1" ht="9">
      <c r="A44" s="253"/>
      <c r="B44" s="31"/>
      <c r="C44" s="151"/>
      <c r="D44" s="31"/>
      <c r="E44" s="31"/>
      <c r="F44" s="31"/>
      <c r="G44" s="31"/>
      <c r="H44" s="31"/>
      <c r="I44" s="31"/>
      <c r="J44" s="31"/>
      <c r="K44" s="31"/>
      <c r="L44" s="31"/>
      <c r="M44" s="31"/>
      <c r="N44" s="148" t="s">
        <v>537</v>
      </c>
      <c r="O44" s="148" t="s">
        <v>537</v>
      </c>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27"/>
      <c r="AQ44" s="408"/>
      <c r="AR44" s="408"/>
      <c r="AS44" s="31"/>
      <c r="AT44" s="360"/>
      <c r="AU44" s="31"/>
      <c r="AV44" s="360"/>
      <c r="AW44" s="32"/>
      <c r="AX44" s="14"/>
      <c r="AY44" s="14"/>
      <c r="AZ44" s="14"/>
      <c r="BA44" s="14"/>
      <c r="BB44" s="14"/>
      <c r="BC44" s="14"/>
      <c r="BD44" s="14"/>
      <c r="BE44" s="14"/>
      <c r="BF44" s="14"/>
      <c r="BG44" s="14"/>
    </row>
    <row r="45" spans="1:59" s="29" customFormat="1" ht="9">
      <c r="A45" s="253"/>
      <c r="B45" s="31"/>
      <c r="C45" s="151"/>
      <c r="D45" s="31"/>
      <c r="E45" s="31"/>
      <c r="F45" s="31"/>
      <c r="G45" s="31"/>
      <c r="H45" s="31"/>
      <c r="I45" s="31"/>
      <c r="J45" s="31"/>
      <c r="K45" s="31"/>
      <c r="L45" s="31"/>
      <c r="M45" s="31"/>
      <c r="N45" s="148" t="s">
        <v>538</v>
      </c>
      <c r="O45" s="148" t="s">
        <v>538</v>
      </c>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27"/>
      <c r="AQ45" s="31"/>
      <c r="AR45" s="31"/>
      <c r="AS45" s="31"/>
      <c r="AT45" s="360"/>
      <c r="AU45" s="31"/>
      <c r="AV45" s="360"/>
      <c r="AW45" s="32"/>
      <c r="AX45" s="14"/>
      <c r="AY45" s="14"/>
      <c r="AZ45" s="14"/>
      <c r="BA45" s="14"/>
      <c r="BB45" s="14"/>
      <c r="BC45" s="14"/>
      <c r="BD45" s="14"/>
      <c r="BE45" s="14"/>
      <c r="BF45" s="14"/>
      <c r="BG45" s="14"/>
    </row>
    <row r="46" spans="1:59" s="29" customFormat="1" ht="9">
      <c r="A46" s="253"/>
      <c r="B46" s="31"/>
      <c r="C46" s="151"/>
      <c r="D46" s="31"/>
      <c r="E46" s="31"/>
      <c r="F46" s="31"/>
      <c r="G46" s="31"/>
      <c r="H46" s="31"/>
      <c r="I46" s="31"/>
      <c r="J46" s="31"/>
      <c r="K46" s="31"/>
      <c r="L46" s="31"/>
      <c r="M46" s="31"/>
      <c r="N46" s="150" t="s">
        <v>539</v>
      </c>
      <c r="O46" s="150" t="s">
        <v>539</v>
      </c>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27"/>
      <c r="AQ46" s="27"/>
      <c r="AR46" s="27"/>
      <c r="AS46" s="31"/>
      <c r="AT46" s="360"/>
      <c r="AU46" s="31"/>
      <c r="AV46" s="360"/>
      <c r="AW46" s="32"/>
      <c r="AX46" s="14"/>
      <c r="AY46" s="14"/>
      <c r="AZ46" s="14"/>
      <c r="BA46" s="14"/>
      <c r="BB46" s="14"/>
      <c r="BC46" s="14"/>
      <c r="BD46" s="14"/>
      <c r="BE46" s="14"/>
      <c r="BF46" s="14"/>
      <c r="BG46" s="14"/>
    </row>
    <row r="47" spans="1:59" s="29" customFormat="1" ht="9">
      <c r="A47" s="253"/>
      <c r="B47" s="31"/>
      <c r="C47" s="151"/>
      <c r="D47" s="31"/>
      <c r="E47" s="31"/>
      <c r="F47" s="31"/>
      <c r="G47" s="31"/>
      <c r="H47" s="31"/>
      <c r="I47" s="31"/>
      <c r="J47" s="31"/>
      <c r="K47" s="31"/>
      <c r="L47" s="31"/>
      <c r="M47" s="31"/>
      <c r="N47" s="149" t="s">
        <v>540</v>
      </c>
      <c r="O47" s="149" t="s">
        <v>540</v>
      </c>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27"/>
      <c r="AQ47" s="27"/>
      <c r="AR47" s="27"/>
      <c r="AS47" s="31"/>
      <c r="AT47" s="360"/>
      <c r="AU47" s="31"/>
      <c r="AV47" s="360"/>
      <c r="AW47" s="32"/>
      <c r="AX47" s="14"/>
      <c r="AY47" s="14"/>
      <c r="AZ47" s="14"/>
      <c r="BA47" s="14"/>
      <c r="BB47" s="14"/>
      <c r="BC47" s="14"/>
      <c r="BD47" s="14"/>
      <c r="BE47" s="14"/>
      <c r="BF47" s="14"/>
      <c r="BG47" s="14"/>
    </row>
    <row r="48" spans="1:59" s="29" customFormat="1" ht="9">
      <c r="A48" s="253"/>
      <c r="B48" s="31"/>
      <c r="C48" s="151"/>
      <c r="D48" s="31"/>
      <c r="E48" s="31"/>
      <c r="F48" s="31"/>
      <c r="G48" s="31"/>
      <c r="H48" s="31"/>
      <c r="I48" s="31"/>
      <c r="J48" s="31"/>
      <c r="K48" s="31"/>
      <c r="L48" s="31"/>
      <c r="M48" s="31"/>
      <c r="N48" s="149" t="s">
        <v>541</v>
      </c>
      <c r="O48" s="149" t="s">
        <v>541</v>
      </c>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27"/>
      <c r="AQ48" s="27"/>
      <c r="AR48" s="27"/>
      <c r="AS48" s="31"/>
      <c r="AT48" s="360"/>
      <c r="AU48" s="31"/>
      <c r="AV48" s="360"/>
      <c r="AW48" s="32"/>
      <c r="AX48" s="14"/>
      <c r="AY48" s="14"/>
      <c r="AZ48" s="14"/>
      <c r="BA48" s="14"/>
      <c r="BB48" s="14"/>
      <c r="BC48" s="14"/>
      <c r="BD48" s="14"/>
      <c r="BE48" s="14"/>
      <c r="BF48" s="14"/>
      <c r="BG48" s="14"/>
    </row>
    <row r="49" spans="1:59" s="29" customFormat="1" ht="9">
      <c r="A49" s="253"/>
      <c r="B49" s="31"/>
      <c r="C49" s="151"/>
      <c r="D49" s="31"/>
      <c r="E49" s="31"/>
      <c r="F49" s="31"/>
      <c r="G49" s="31"/>
      <c r="H49" s="31"/>
      <c r="I49" s="31"/>
      <c r="J49" s="31"/>
      <c r="K49" s="31"/>
      <c r="L49" s="31"/>
      <c r="M49" s="31"/>
      <c r="N49" s="148" t="s">
        <v>542</v>
      </c>
      <c r="O49" s="148" t="s">
        <v>542</v>
      </c>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27"/>
      <c r="AQ49" s="27"/>
      <c r="AR49" s="27"/>
      <c r="AS49" s="31"/>
      <c r="AT49" s="360"/>
      <c r="AU49" s="31"/>
      <c r="AV49" s="360"/>
      <c r="AW49" s="32"/>
      <c r="AX49" s="14"/>
      <c r="AY49" s="14"/>
      <c r="AZ49" s="14"/>
      <c r="BA49" s="14"/>
      <c r="BB49" s="14"/>
      <c r="BC49" s="14"/>
      <c r="BD49" s="14"/>
      <c r="BE49" s="14"/>
      <c r="BF49" s="14"/>
      <c r="BG49" s="14"/>
    </row>
    <row r="50" spans="1:59" s="29" customFormat="1" ht="9">
      <c r="A50" s="253"/>
      <c r="B50" s="31"/>
      <c r="C50" s="151"/>
      <c r="D50" s="31"/>
      <c r="E50" s="31"/>
      <c r="F50" s="31"/>
      <c r="G50" s="31"/>
      <c r="H50" s="31"/>
      <c r="I50" s="31"/>
      <c r="J50" s="31"/>
      <c r="K50" s="31"/>
      <c r="L50" s="31"/>
      <c r="M50" s="31"/>
      <c r="N50" s="148" t="s">
        <v>543</v>
      </c>
      <c r="O50" s="148" t="s">
        <v>543</v>
      </c>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27"/>
      <c r="AQ50" s="27"/>
      <c r="AR50" s="27"/>
      <c r="AS50" s="31"/>
      <c r="AT50" s="360"/>
      <c r="AU50" s="31"/>
      <c r="AV50" s="360"/>
      <c r="AW50" s="32"/>
      <c r="AX50" s="14"/>
      <c r="AY50" s="14"/>
      <c r="AZ50" s="14"/>
      <c r="BA50" s="14"/>
      <c r="BB50" s="14"/>
      <c r="BC50" s="14"/>
      <c r="BD50" s="14"/>
      <c r="BE50" s="14"/>
      <c r="BF50" s="14"/>
      <c r="BG50" s="14"/>
    </row>
    <row r="51" spans="1:59" s="29" customFormat="1" ht="9">
      <c r="A51" s="253"/>
      <c r="B51" s="31"/>
      <c r="C51" s="151"/>
      <c r="D51" s="31"/>
      <c r="E51" s="31"/>
      <c r="F51" s="31"/>
      <c r="G51" s="31"/>
      <c r="H51" s="31"/>
      <c r="I51" s="31"/>
      <c r="J51" s="31"/>
      <c r="K51" s="31"/>
      <c r="L51" s="31"/>
      <c r="M51" s="31"/>
      <c r="N51" s="150" t="s">
        <v>544</v>
      </c>
      <c r="O51" s="150" t="s">
        <v>544</v>
      </c>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27"/>
      <c r="AQ51" s="27"/>
      <c r="AR51" s="27"/>
      <c r="AS51" s="31"/>
      <c r="AT51" s="360"/>
      <c r="AU51" s="31"/>
      <c r="AV51" s="360"/>
      <c r="AW51" s="32"/>
      <c r="AX51" s="14"/>
      <c r="AY51" s="14"/>
      <c r="AZ51" s="14"/>
      <c r="BA51" s="14"/>
      <c r="BB51" s="14"/>
      <c r="BC51" s="14"/>
      <c r="BD51" s="14"/>
      <c r="BE51" s="14"/>
      <c r="BF51" s="14"/>
      <c r="BG51" s="14"/>
    </row>
    <row r="52" spans="1:59" s="29" customFormat="1" ht="9">
      <c r="A52" s="253"/>
      <c r="B52" s="31"/>
      <c r="C52" s="151"/>
      <c r="D52" s="31"/>
      <c r="E52" s="31"/>
      <c r="F52" s="31"/>
      <c r="G52" s="31"/>
      <c r="H52" s="31"/>
      <c r="I52" s="31"/>
      <c r="J52" s="31"/>
      <c r="K52" s="31"/>
      <c r="L52" s="31"/>
      <c r="M52" s="31"/>
      <c r="N52" s="149" t="s">
        <v>545</v>
      </c>
      <c r="O52" s="149" t="s">
        <v>545</v>
      </c>
      <c r="P52" s="31"/>
      <c r="Q52" s="31"/>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27"/>
      <c r="AQ52" s="27"/>
      <c r="AR52" s="27"/>
      <c r="AS52" s="31"/>
      <c r="AT52" s="360"/>
      <c r="AU52" s="31"/>
      <c r="AV52" s="360"/>
      <c r="AW52" s="32"/>
      <c r="AX52" s="14"/>
      <c r="AY52" s="14"/>
      <c r="AZ52" s="14"/>
      <c r="BA52" s="14"/>
      <c r="BB52" s="14"/>
      <c r="BC52" s="14"/>
      <c r="BD52" s="14"/>
      <c r="BE52" s="14"/>
      <c r="BF52" s="14"/>
      <c r="BG52" s="14"/>
    </row>
    <row r="53" spans="1:59" s="29" customFormat="1" ht="9">
      <c r="A53" s="253"/>
      <c r="B53" s="31"/>
      <c r="C53" s="151"/>
      <c r="D53" s="31"/>
      <c r="E53" s="31"/>
      <c r="F53" s="31"/>
      <c r="G53" s="31"/>
      <c r="H53" s="31"/>
      <c r="I53" s="31"/>
      <c r="J53" s="31"/>
      <c r="K53" s="31"/>
      <c r="L53" s="31"/>
      <c r="M53" s="31"/>
      <c r="N53" s="149" t="s">
        <v>546</v>
      </c>
      <c r="O53" s="149" t="s">
        <v>546</v>
      </c>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27"/>
      <c r="AQ53" s="27"/>
      <c r="AR53" s="27"/>
      <c r="AS53" s="31"/>
      <c r="AT53" s="360"/>
      <c r="AU53" s="31"/>
      <c r="AV53" s="360"/>
      <c r="AW53" s="32"/>
      <c r="AX53" s="14"/>
      <c r="AY53" s="14"/>
      <c r="AZ53" s="14"/>
      <c r="BA53" s="14"/>
      <c r="BB53" s="14"/>
      <c r="BC53" s="14"/>
      <c r="BD53" s="14"/>
      <c r="BE53" s="14"/>
      <c r="BF53" s="14"/>
      <c r="BG53" s="14"/>
    </row>
    <row r="54" spans="1:59" s="29" customFormat="1" ht="9">
      <c r="A54" s="253"/>
      <c r="B54" s="31"/>
      <c r="C54" s="151"/>
      <c r="D54" s="31"/>
      <c r="E54" s="31"/>
      <c r="F54" s="31"/>
      <c r="G54" s="31"/>
      <c r="H54" s="31"/>
      <c r="I54" s="31"/>
      <c r="J54" s="31"/>
      <c r="K54" s="31"/>
      <c r="L54" s="31"/>
      <c r="M54" s="31"/>
      <c r="N54" s="148" t="s">
        <v>547</v>
      </c>
      <c r="O54" s="148" t="s">
        <v>547</v>
      </c>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27"/>
      <c r="AQ54" s="27"/>
      <c r="AR54" s="27"/>
      <c r="AS54" s="31"/>
      <c r="AT54" s="360"/>
      <c r="AU54" s="31"/>
      <c r="AV54" s="360"/>
      <c r="AW54" s="32"/>
      <c r="AX54" s="14"/>
      <c r="AY54" s="14"/>
      <c r="AZ54" s="14"/>
      <c r="BA54" s="14"/>
      <c r="BB54" s="14"/>
      <c r="BC54" s="14"/>
      <c r="BD54" s="14"/>
      <c r="BE54" s="14"/>
      <c r="BF54" s="14"/>
      <c r="BG54" s="14"/>
    </row>
    <row r="55" spans="1:59" s="29" customFormat="1" ht="9">
      <c r="A55" s="253"/>
      <c r="B55" s="31"/>
      <c r="C55" s="151"/>
      <c r="D55" s="31"/>
      <c r="E55" s="31"/>
      <c r="F55" s="31"/>
      <c r="G55" s="31"/>
      <c r="H55" s="31"/>
      <c r="I55" s="31"/>
      <c r="J55" s="31"/>
      <c r="K55" s="31"/>
      <c r="L55" s="31"/>
      <c r="M55" s="31"/>
      <c r="N55" s="148" t="s">
        <v>548</v>
      </c>
      <c r="O55" s="148" t="s">
        <v>548</v>
      </c>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27"/>
      <c r="AQ55" s="27"/>
      <c r="AR55" s="27"/>
      <c r="AS55" s="31"/>
      <c r="AT55" s="360"/>
      <c r="AU55" s="31"/>
      <c r="AV55" s="360"/>
      <c r="AW55" s="32"/>
      <c r="AX55" s="14"/>
      <c r="AY55" s="14"/>
      <c r="AZ55" s="14"/>
      <c r="BA55" s="14"/>
      <c r="BB55" s="14"/>
      <c r="BC55" s="14"/>
      <c r="BD55" s="14"/>
      <c r="BE55" s="14"/>
      <c r="BF55" s="14"/>
      <c r="BG55" s="14"/>
    </row>
    <row r="56" spans="1:59" s="29" customFormat="1" ht="9">
      <c r="A56" s="253"/>
      <c r="B56" s="31"/>
      <c r="C56" s="151"/>
      <c r="D56" s="31"/>
      <c r="E56" s="31"/>
      <c r="F56" s="31"/>
      <c r="G56" s="31"/>
      <c r="H56" s="31"/>
      <c r="I56" s="31"/>
      <c r="J56" s="31"/>
      <c r="K56" s="31"/>
      <c r="L56" s="31"/>
      <c r="M56" s="31"/>
      <c r="N56" s="148" t="s">
        <v>549</v>
      </c>
      <c r="O56" s="148" t="s">
        <v>549</v>
      </c>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27"/>
      <c r="AQ56" s="27"/>
      <c r="AR56" s="27"/>
      <c r="AS56" s="31"/>
      <c r="AT56" s="360"/>
      <c r="AU56" s="31"/>
      <c r="AV56" s="360"/>
      <c r="AW56" s="32"/>
      <c r="AX56" s="14"/>
      <c r="AY56" s="14"/>
      <c r="AZ56" s="14"/>
      <c r="BA56" s="14"/>
      <c r="BB56" s="14"/>
      <c r="BC56" s="14"/>
      <c r="BD56" s="14"/>
      <c r="BE56" s="14"/>
      <c r="BF56" s="14"/>
      <c r="BG56" s="14"/>
    </row>
    <row r="57" spans="1:59" s="29" customFormat="1" ht="9">
      <c r="A57" s="253"/>
      <c r="B57" s="31"/>
      <c r="C57" s="151"/>
      <c r="D57" s="31"/>
      <c r="E57" s="31"/>
      <c r="F57" s="31"/>
      <c r="G57" s="31"/>
      <c r="H57" s="31"/>
      <c r="I57" s="31"/>
      <c r="J57" s="31"/>
      <c r="K57" s="31"/>
      <c r="L57" s="31"/>
      <c r="M57" s="31"/>
      <c r="N57" s="148" t="s">
        <v>550</v>
      </c>
      <c r="O57" s="148" t="s">
        <v>550</v>
      </c>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27"/>
      <c r="AQ57" s="27"/>
      <c r="AR57" s="27"/>
      <c r="AS57" s="31"/>
      <c r="AT57" s="360"/>
      <c r="AU57" s="31"/>
      <c r="AV57" s="360"/>
      <c r="AW57" s="32"/>
      <c r="AX57" s="14"/>
      <c r="AY57" s="14"/>
      <c r="AZ57" s="14"/>
      <c r="BA57" s="14"/>
      <c r="BB57" s="14"/>
      <c r="BC57" s="14"/>
      <c r="BD57" s="14"/>
      <c r="BE57" s="14"/>
      <c r="BF57" s="14"/>
      <c r="BG57" s="14"/>
    </row>
    <row r="58" spans="1:59" s="29" customFormat="1" ht="9">
      <c r="A58" s="253"/>
      <c r="B58" s="31"/>
      <c r="C58" s="151"/>
      <c r="D58" s="31"/>
      <c r="E58" s="31"/>
      <c r="F58" s="31"/>
      <c r="G58" s="31"/>
      <c r="H58" s="31"/>
      <c r="I58" s="31"/>
      <c r="J58" s="31"/>
      <c r="K58" s="31"/>
      <c r="L58" s="31"/>
      <c r="M58" s="31"/>
      <c r="N58" s="148" t="s">
        <v>551</v>
      </c>
      <c r="O58" s="148" t="s">
        <v>551</v>
      </c>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27"/>
      <c r="AQ58" s="27"/>
      <c r="AR58" s="27"/>
      <c r="AS58" s="31"/>
      <c r="AT58" s="360"/>
      <c r="AU58" s="31"/>
      <c r="AV58" s="360"/>
      <c r="AW58" s="32"/>
      <c r="AX58" s="14"/>
      <c r="AY58" s="14"/>
      <c r="AZ58" s="14"/>
      <c r="BA58" s="14"/>
      <c r="BB58" s="14"/>
      <c r="BC58" s="14"/>
      <c r="BD58" s="14"/>
      <c r="BE58" s="14"/>
      <c r="BF58" s="14"/>
      <c r="BG58" s="14"/>
    </row>
    <row r="59" spans="1:59" s="29" customFormat="1" ht="9">
      <c r="A59" s="253"/>
      <c r="B59" s="31"/>
      <c r="C59" s="151"/>
      <c r="D59" s="31"/>
      <c r="E59" s="31"/>
      <c r="F59" s="31"/>
      <c r="G59" s="31"/>
      <c r="H59" s="31"/>
      <c r="I59" s="31"/>
      <c r="J59" s="31"/>
      <c r="K59" s="31"/>
      <c r="L59" s="31"/>
      <c r="M59" s="31"/>
      <c r="N59" s="148" t="s">
        <v>552</v>
      </c>
      <c r="O59" s="148" t="s">
        <v>552</v>
      </c>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27"/>
      <c r="AQ59" s="27"/>
      <c r="AR59" s="27"/>
      <c r="AS59" s="31"/>
      <c r="AT59" s="360"/>
      <c r="AU59" s="31"/>
      <c r="AV59" s="360"/>
      <c r="AW59" s="32"/>
      <c r="AX59" s="14"/>
      <c r="AY59" s="14"/>
      <c r="AZ59" s="14"/>
      <c r="BA59" s="14"/>
      <c r="BB59" s="14"/>
      <c r="BC59" s="14"/>
      <c r="BD59" s="14"/>
      <c r="BE59" s="14"/>
      <c r="BF59" s="14"/>
      <c r="BG59" s="14"/>
    </row>
    <row r="60" spans="1:59" s="29" customFormat="1" ht="9">
      <c r="A60" s="253"/>
      <c r="B60" s="31"/>
      <c r="C60" s="151"/>
      <c r="D60" s="31"/>
      <c r="E60" s="31"/>
      <c r="F60" s="31"/>
      <c r="G60" s="31"/>
      <c r="H60" s="31"/>
      <c r="I60" s="31"/>
      <c r="J60" s="31"/>
      <c r="K60" s="31"/>
      <c r="L60" s="31"/>
      <c r="M60" s="31"/>
      <c r="N60" s="148" t="s">
        <v>553</v>
      </c>
      <c r="O60" s="148" t="s">
        <v>553</v>
      </c>
      <c r="P60" s="31"/>
      <c r="Q60" s="31"/>
      <c r="R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27"/>
      <c r="AQ60" s="27"/>
      <c r="AR60" s="27"/>
      <c r="AS60" s="31"/>
      <c r="AT60" s="360"/>
      <c r="AU60" s="31"/>
      <c r="AV60" s="360"/>
      <c r="AW60" s="32"/>
      <c r="AX60" s="14"/>
      <c r="AY60" s="14"/>
      <c r="AZ60" s="14"/>
      <c r="BA60" s="14"/>
      <c r="BB60" s="14"/>
      <c r="BC60" s="14"/>
      <c r="BD60" s="14"/>
      <c r="BE60" s="14"/>
      <c r="BF60" s="14"/>
      <c r="BG60" s="14"/>
    </row>
    <row r="61" spans="1:59" s="29" customFormat="1" ht="9">
      <c r="A61" s="253"/>
      <c r="B61" s="31"/>
      <c r="C61" s="151"/>
      <c r="D61" s="31"/>
      <c r="E61" s="31"/>
      <c r="F61" s="31"/>
      <c r="G61" s="31"/>
      <c r="H61" s="31"/>
      <c r="I61" s="31"/>
      <c r="J61" s="31"/>
      <c r="K61" s="31"/>
      <c r="L61" s="31"/>
      <c r="M61" s="31"/>
      <c r="N61" s="148" t="s">
        <v>554</v>
      </c>
      <c r="O61" s="148" t="s">
        <v>554</v>
      </c>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27"/>
      <c r="AQ61" s="27"/>
      <c r="AR61" s="27"/>
      <c r="AS61" s="31"/>
      <c r="AT61" s="360"/>
      <c r="AU61" s="31"/>
      <c r="AV61" s="360"/>
      <c r="AW61" s="32"/>
      <c r="AX61" s="14"/>
      <c r="AY61" s="14"/>
      <c r="AZ61" s="14"/>
      <c r="BA61" s="14"/>
      <c r="BB61" s="14"/>
      <c r="BC61" s="14"/>
      <c r="BD61" s="14"/>
      <c r="BE61" s="14"/>
      <c r="BF61" s="14"/>
      <c r="BG61" s="14"/>
    </row>
    <row r="62" spans="1:59" s="29" customFormat="1" ht="9">
      <c r="A62" s="253"/>
      <c r="B62" s="31"/>
      <c r="C62" s="151"/>
      <c r="D62" s="31"/>
      <c r="E62" s="31"/>
      <c r="F62" s="31"/>
      <c r="G62" s="31"/>
      <c r="H62" s="31"/>
      <c r="I62" s="31"/>
      <c r="J62" s="31"/>
      <c r="K62" s="31"/>
      <c r="L62" s="31"/>
      <c r="M62" s="31"/>
      <c r="N62" s="148" t="s">
        <v>555</v>
      </c>
      <c r="O62" s="148" t="s">
        <v>555</v>
      </c>
      <c r="P62" s="31"/>
      <c r="Q62" s="31"/>
      <c r="R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27"/>
      <c r="AQ62" s="27"/>
      <c r="AR62" s="27"/>
      <c r="AS62" s="31"/>
      <c r="AT62" s="360"/>
      <c r="AU62" s="31"/>
      <c r="AV62" s="360"/>
      <c r="AW62" s="32"/>
      <c r="AX62" s="14"/>
      <c r="AY62" s="14"/>
      <c r="AZ62" s="14"/>
      <c r="BA62" s="14"/>
      <c r="BB62" s="14"/>
      <c r="BC62" s="14"/>
      <c r="BD62" s="14"/>
      <c r="BE62" s="14"/>
      <c r="BF62" s="14"/>
      <c r="BG62" s="14"/>
    </row>
    <row r="63" spans="1:59" s="29" customFormat="1" ht="9">
      <c r="A63" s="253"/>
      <c r="B63" s="31"/>
      <c r="C63" s="151"/>
      <c r="D63" s="31"/>
      <c r="E63" s="31"/>
      <c r="F63" s="31"/>
      <c r="G63" s="31"/>
      <c r="H63" s="31"/>
      <c r="I63" s="31"/>
      <c r="J63" s="31"/>
      <c r="K63" s="31"/>
      <c r="L63" s="31"/>
      <c r="M63" s="31"/>
      <c r="N63" s="148" t="s">
        <v>556</v>
      </c>
      <c r="O63" s="148" t="s">
        <v>556</v>
      </c>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27"/>
      <c r="AQ63" s="27"/>
      <c r="AR63" s="27"/>
      <c r="AS63" s="31"/>
      <c r="AT63" s="360"/>
      <c r="AU63" s="31"/>
      <c r="AV63" s="360"/>
      <c r="AW63" s="32"/>
      <c r="AX63" s="14"/>
      <c r="AY63" s="14"/>
      <c r="AZ63" s="14"/>
      <c r="BA63" s="14"/>
      <c r="BB63" s="14"/>
      <c r="BC63" s="14"/>
      <c r="BD63" s="14"/>
      <c r="BE63" s="14"/>
      <c r="BF63" s="14"/>
      <c r="BG63" s="14"/>
    </row>
    <row r="64" spans="1:59" s="29" customFormat="1" ht="9">
      <c r="A64" s="253"/>
      <c r="B64" s="31"/>
      <c r="C64" s="151"/>
      <c r="D64" s="31"/>
      <c r="E64" s="31"/>
      <c r="F64" s="31"/>
      <c r="G64" s="31"/>
      <c r="H64" s="31"/>
      <c r="I64" s="31"/>
      <c r="J64" s="31"/>
      <c r="K64" s="31"/>
      <c r="L64" s="31"/>
      <c r="M64" s="31"/>
      <c r="N64" s="148" t="s">
        <v>557</v>
      </c>
      <c r="O64" s="148" t="s">
        <v>557</v>
      </c>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27"/>
      <c r="AQ64" s="27"/>
      <c r="AR64" s="27"/>
      <c r="AS64" s="31"/>
      <c r="AT64" s="360"/>
      <c r="AU64" s="31"/>
      <c r="AV64" s="360"/>
      <c r="AW64" s="32"/>
      <c r="AX64" s="14"/>
      <c r="AY64" s="14"/>
      <c r="AZ64" s="14"/>
      <c r="BA64" s="14"/>
      <c r="BB64" s="14"/>
      <c r="BC64" s="14"/>
      <c r="BD64" s="14"/>
      <c r="BE64" s="14"/>
      <c r="BF64" s="14"/>
      <c r="BG64" s="14"/>
    </row>
    <row r="65" spans="1:59" s="29" customFormat="1" ht="9">
      <c r="A65" s="253"/>
      <c r="B65" s="31"/>
      <c r="C65" s="151"/>
      <c r="D65" s="31"/>
      <c r="E65" s="31"/>
      <c r="F65" s="31"/>
      <c r="G65" s="31"/>
      <c r="H65" s="31"/>
      <c r="I65" s="31"/>
      <c r="J65" s="31"/>
      <c r="K65" s="31"/>
      <c r="L65" s="31"/>
      <c r="M65" s="31"/>
      <c r="N65" s="148" t="s">
        <v>558</v>
      </c>
      <c r="O65" s="148" t="s">
        <v>558</v>
      </c>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27"/>
      <c r="AQ65" s="27"/>
      <c r="AR65" s="27"/>
      <c r="AS65" s="31"/>
      <c r="AT65" s="360"/>
      <c r="AU65" s="31"/>
      <c r="AV65" s="360"/>
      <c r="AW65" s="32"/>
      <c r="AX65" s="14"/>
      <c r="AY65" s="14"/>
      <c r="AZ65" s="14"/>
      <c r="BA65" s="14"/>
      <c r="BB65" s="14"/>
      <c r="BC65" s="14"/>
      <c r="BD65" s="14"/>
      <c r="BE65" s="14"/>
      <c r="BF65" s="14"/>
      <c r="BG65" s="14"/>
    </row>
    <row r="66" spans="1:59" s="29" customFormat="1" ht="9">
      <c r="A66" s="253"/>
      <c r="B66" s="31"/>
      <c r="C66" s="151"/>
      <c r="D66" s="31"/>
      <c r="E66" s="31"/>
      <c r="F66" s="31"/>
      <c r="G66" s="31"/>
      <c r="H66" s="31"/>
      <c r="I66" s="31"/>
      <c r="J66" s="31"/>
      <c r="K66" s="31"/>
      <c r="L66" s="31"/>
      <c r="M66" s="31"/>
      <c r="N66" s="148" t="s">
        <v>559</v>
      </c>
      <c r="O66" s="148" t="s">
        <v>559</v>
      </c>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27"/>
      <c r="AQ66" s="27"/>
      <c r="AR66" s="27"/>
      <c r="AS66" s="31"/>
      <c r="AT66" s="360"/>
      <c r="AU66" s="31"/>
      <c r="AV66" s="360"/>
      <c r="AW66" s="32"/>
      <c r="AX66" s="14"/>
      <c r="AY66" s="14"/>
      <c r="AZ66" s="14"/>
      <c r="BA66" s="14"/>
      <c r="BB66" s="14"/>
      <c r="BC66" s="14"/>
      <c r="BD66" s="14"/>
      <c r="BE66" s="14"/>
      <c r="BF66" s="14"/>
      <c r="BG66" s="14"/>
    </row>
    <row r="67" spans="1:59" s="29" customFormat="1" ht="9">
      <c r="A67" s="253"/>
      <c r="B67" s="31"/>
      <c r="C67" s="151"/>
      <c r="D67" s="31"/>
      <c r="E67" s="31"/>
      <c r="F67" s="31"/>
      <c r="G67" s="31"/>
      <c r="H67" s="31"/>
      <c r="I67" s="31"/>
      <c r="J67" s="31"/>
      <c r="K67" s="31"/>
      <c r="L67" s="31"/>
      <c r="M67" s="31"/>
      <c r="N67" s="148" t="s">
        <v>560</v>
      </c>
      <c r="O67" s="148" t="s">
        <v>560</v>
      </c>
      <c r="P67" s="31"/>
      <c r="Q67" s="31"/>
      <c r="R67" s="31"/>
      <c r="S67" s="31"/>
      <c r="T67" s="31"/>
      <c r="U67" s="31"/>
      <c r="V67" s="31"/>
      <c r="W67" s="31"/>
      <c r="X67" s="31"/>
      <c r="Y67" s="31"/>
      <c r="Z67" s="31"/>
      <c r="AA67" s="31"/>
      <c r="AB67" s="31"/>
      <c r="AC67" s="31"/>
      <c r="AD67" s="31"/>
      <c r="AE67" s="31"/>
      <c r="AF67" s="31"/>
      <c r="AG67" s="31"/>
      <c r="AH67" s="31"/>
      <c r="AI67" s="31"/>
      <c r="AJ67" s="31"/>
      <c r="AK67" s="31"/>
      <c r="AL67" s="31"/>
      <c r="AM67" s="31"/>
      <c r="AN67" s="31"/>
      <c r="AO67" s="31"/>
      <c r="AP67" s="27"/>
      <c r="AQ67" s="27"/>
      <c r="AR67" s="27"/>
      <c r="AS67" s="31"/>
      <c r="AT67" s="360"/>
      <c r="AU67" s="31"/>
      <c r="AV67" s="360"/>
      <c r="AW67" s="32"/>
      <c r="AX67" s="14"/>
      <c r="AY67" s="14"/>
      <c r="AZ67" s="14"/>
      <c r="BA67" s="14"/>
      <c r="BB67" s="14"/>
      <c r="BC67" s="14"/>
      <c r="BD67" s="14"/>
      <c r="BE67" s="14"/>
      <c r="BF67" s="14"/>
      <c r="BG67" s="14"/>
    </row>
    <row r="68" spans="1:59" s="29" customFormat="1" ht="9">
      <c r="A68" s="253"/>
      <c r="B68" s="31"/>
      <c r="C68" s="151"/>
      <c r="D68" s="31"/>
      <c r="E68" s="31"/>
      <c r="F68" s="31"/>
      <c r="G68" s="31"/>
      <c r="H68" s="31"/>
      <c r="I68" s="31"/>
      <c r="J68" s="31"/>
      <c r="K68" s="31"/>
      <c r="L68" s="31"/>
      <c r="M68" s="31"/>
      <c r="N68" s="148" t="s">
        <v>561</v>
      </c>
      <c r="O68" s="148" t="s">
        <v>561</v>
      </c>
      <c r="P68" s="31"/>
      <c r="Q68" s="31"/>
      <c r="R68" s="31"/>
      <c r="S68" s="31"/>
      <c r="T68" s="31"/>
      <c r="U68" s="31"/>
      <c r="V68" s="31"/>
      <c r="W68" s="31"/>
      <c r="X68" s="31"/>
      <c r="Y68" s="31"/>
      <c r="Z68" s="31"/>
      <c r="AA68" s="31"/>
      <c r="AB68" s="31"/>
      <c r="AC68" s="31"/>
      <c r="AD68" s="31"/>
      <c r="AE68" s="31"/>
      <c r="AF68" s="31"/>
      <c r="AG68" s="31"/>
      <c r="AH68" s="31"/>
      <c r="AI68" s="31"/>
      <c r="AJ68" s="31"/>
      <c r="AK68" s="31"/>
      <c r="AL68" s="31"/>
      <c r="AM68" s="31"/>
      <c r="AN68" s="31"/>
      <c r="AO68" s="31"/>
      <c r="AP68" s="31"/>
      <c r="AQ68" s="31"/>
      <c r="AR68" s="31"/>
      <c r="AS68" s="31"/>
      <c r="AT68" s="360"/>
      <c r="AU68" s="31"/>
      <c r="AV68" s="360"/>
      <c r="AW68" s="32"/>
      <c r="AX68" s="14"/>
      <c r="AY68" s="14"/>
      <c r="AZ68" s="14"/>
      <c r="BA68" s="14"/>
      <c r="BB68" s="14"/>
      <c r="BC68" s="14"/>
      <c r="BD68" s="14"/>
      <c r="BE68" s="14"/>
      <c r="BF68" s="14"/>
      <c r="BG68" s="14"/>
    </row>
    <row r="69" spans="1:59" s="29" customFormat="1" ht="9">
      <c r="A69" s="253"/>
      <c r="B69" s="31"/>
      <c r="C69" s="151"/>
      <c r="D69" s="31"/>
      <c r="E69" s="31"/>
      <c r="F69" s="31"/>
      <c r="G69" s="31"/>
      <c r="H69" s="31"/>
      <c r="I69" s="31"/>
      <c r="J69" s="31"/>
      <c r="K69" s="31"/>
      <c r="L69" s="31"/>
      <c r="M69" s="31"/>
      <c r="N69" s="148" t="s">
        <v>562</v>
      </c>
      <c r="O69" s="148" t="s">
        <v>562</v>
      </c>
      <c r="P69" s="31"/>
      <c r="Q69" s="31"/>
      <c r="R69" s="31"/>
      <c r="S69" s="31"/>
      <c r="T69" s="31"/>
      <c r="U69" s="31"/>
      <c r="V69" s="31"/>
      <c r="W69" s="31"/>
      <c r="X69" s="31"/>
      <c r="Y69" s="31"/>
      <c r="Z69" s="31"/>
      <c r="AA69" s="31"/>
      <c r="AB69" s="31"/>
      <c r="AC69" s="31"/>
      <c r="AD69" s="31"/>
      <c r="AE69" s="31"/>
      <c r="AF69" s="31"/>
      <c r="AG69" s="31"/>
      <c r="AH69" s="31"/>
      <c r="AI69" s="31"/>
      <c r="AJ69" s="31"/>
      <c r="AK69" s="31"/>
      <c r="AL69" s="31"/>
      <c r="AM69" s="31"/>
      <c r="AN69" s="31"/>
      <c r="AO69" s="31"/>
      <c r="AP69" s="31"/>
      <c r="AQ69" s="31"/>
      <c r="AR69" s="31"/>
      <c r="AS69" s="31"/>
      <c r="AT69" s="360"/>
      <c r="AU69" s="31"/>
      <c r="AV69" s="360"/>
      <c r="AW69" s="32"/>
      <c r="AX69" s="14"/>
      <c r="AY69" s="14"/>
      <c r="AZ69" s="14"/>
      <c r="BA69" s="14"/>
      <c r="BB69" s="14"/>
      <c r="BC69" s="14"/>
      <c r="BD69" s="14"/>
      <c r="BE69" s="14"/>
      <c r="BF69" s="14"/>
      <c r="BG69" s="14"/>
    </row>
    <row r="70" spans="1:59" s="29" customFormat="1" ht="9">
      <c r="A70" s="253"/>
      <c r="B70" s="31"/>
      <c r="C70" s="151"/>
      <c r="D70" s="31"/>
      <c r="E70" s="31"/>
      <c r="F70" s="31"/>
      <c r="G70" s="31"/>
      <c r="H70" s="31"/>
      <c r="I70" s="31"/>
      <c r="J70" s="31"/>
      <c r="K70" s="31"/>
      <c r="L70" s="31"/>
      <c r="M70" s="31"/>
      <c r="N70" s="148" t="s">
        <v>563</v>
      </c>
      <c r="O70" s="148" t="s">
        <v>563</v>
      </c>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1"/>
      <c r="AT70" s="360"/>
      <c r="AU70" s="31"/>
      <c r="AV70" s="360"/>
      <c r="AW70" s="32"/>
      <c r="AX70" s="14"/>
      <c r="AY70" s="14"/>
      <c r="AZ70" s="14"/>
      <c r="BA70" s="14"/>
      <c r="BB70" s="14"/>
      <c r="BC70" s="14"/>
      <c r="BD70" s="14"/>
      <c r="BE70" s="14"/>
      <c r="BF70" s="14"/>
      <c r="BG70" s="14"/>
    </row>
    <row r="71" spans="1:59" s="29" customFormat="1" ht="9">
      <c r="A71" s="253"/>
      <c r="B71" s="31"/>
      <c r="C71" s="151"/>
      <c r="D71" s="31"/>
      <c r="E71" s="31"/>
      <c r="F71" s="31"/>
      <c r="G71" s="31"/>
      <c r="H71" s="31"/>
      <c r="I71" s="31"/>
      <c r="J71" s="31"/>
      <c r="K71" s="31"/>
      <c r="L71" s="31"/>
      <c r="M71" s="31"/>
      <c r="N71" s="148" t="s">
        <v>564</v>
      </c>
      <c r="O71" s="148" t="s">
        <v>564</v>
      </c>
      <c r="P71" s="31"/>
      <c r="Q71" s="31"/>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60"/>
      <c r="AU71" s="31"/>
      <c r="AV71" s="360"/>
      <c r="AW71" s="32"/>
      <c r="AX71" s="14"/>
      <c r="AY71" s="14"/>
      <c r="AZ71" s="14"/>
      <c r="BA71" s="14"/>
      <c r="BB71" s="14"/>
      <c r="BC71" s="14"/>
      <c r="BD71" s="14"/>
      <c r="BE71" s="14"/>
      <c r="BF71" s="14"/>
      <c r="BG71" s="14"/>
    </row>
    <row r="72" spans="1:59" s="29" customFormat="1" ht="9">
      <c r="A72" s="253"/>
      <c r="B72" s="31"/>
      <c r="C72" s="151"/>
      <c r="D72" s="31"/>
      <c r="E72" s="31"/>
      <c r="F72" s="31"/>
      <c r="G72" s="31"/>
      <c r="H72" s="31"/>
      <c r="I72" s="31"/>
      <c r="J72" s="31"/>
      <c r="K72" s="31"/>
      <c r="L72" s="31"/>
      <c r="M72" s="31"/>
      <c r="N72" s="148" t="s">
        <v>565</v>
      </c>
      <c r="O72" s="148" t="s">
        <v>565</v>
      </c>
      <c r="P72" s="31"/>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360"/>
      <c r="AU72" s="31"/>
      <c r="AV72" s="360"/>
      <c r="AW72" s="32"/>
      <c r="AX72" s="14"/>
      <c r="AY72" s="14"/>
      <c r="AZ72" s="14"/>
      <c r="BA72" s="14"/>
      <c r="BB72" s="14"/>
      <c r="BC72" s="14"/>
      <c r="BD72" s="14"/>
      <c r="BE72" s="14"/>
      <c r="BF72" s="14"/>
      <c r="BG72" s="14"/>
    </row>
    <row r="73" spans="1:59" s="29" customFormat="1" ht="9">
      <c r="A73" s="253"/>
      <c r="B73" s="31"/>
      <c r="C73" s="151"/>
      <c r="D73" s="31"/>
      <c r="E73" s="31"/>
      <c r="F73" s="31"/>
      <c r="G73" s="31"/>
      <c r="H73" s="31"/>
      <c r="I73" s="31"/>
      <c r="J73" s="31"/>
      <c r="K73" s="31"/>
      <c r="L73" s="31"/>
      <c r="M73" s="31"/>
      <c r="N73" s="148" t="s">
        <v>566</v>
      </c>
      <c r="O73" s="148" t="s">
        <v>566</v>
      </c>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60"/>
      <c r="AU73" s="31"/>
      <c r="AV73" s="360"/>
      <c r="AW73" s="32"/>
      <c r="AX73" s="14"/>
      <c r="AY73" s="14"/>
      <c r="AZ73" s="14"/>
      <c r="BA73" s="14"/>
      <c r="BB73" s="14"/>
      <c r="BC73" s="14"/>
      <c r="BD73" s="14"/>
      <c r="BE73" s="14"/>
      <c r="BF73" s="14"/>
      <c r="BG73" s="14"/>
    </row>
    <row r="74" spans="1:59" s="29" customFormat="1" ht="9">
      <c r="A74" s="253"/>
      <c r="B74" s="31"/>
      <c r="C74" s="151"/>
      <c r="D74" s="31"/>
      <c r="E74" s="31"/>
      <c r="F74" s="31"/>
      <c r="G74" s="31"/>
      <c r="H74" s="31"/>
      <c r="I74" s="31"/>
      <c r="J74" s="31"/>
      <c r="K74" s="31"/>
      <c r="L74" s="31"/>
      <c r="M74" s="31"/>
      <c r="N74" s="148" t="s">
        <v>567</v>
      </c>
      <c r="O74" s="148" t="s">
        <v>567</v>
      </c>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1"/>
      <c r="AS74" s="31"/>
      <c r="AT74" s="360"/>
      <c r="AU74" s="31"/>
      <c r="AV74" s="360"/>
      <c r="AW74" s="32"/>
      <c r="AX74" s="14"/>
      <c r="AY74" s="14"/>
      <c r="AZ74" s="14"/>
      <c r="BA74" s="14"/>
      <c r="BB74" s="14"/>
      <c r="BC74" s="14"/>
      <c r="BD74" s="14"/>
      <c r="BE74" s="14"/>
      <c r="BF74" s="14"/>
      <c r="BG74" s="14"/>
    </row>
    <row r="75" spans="1:59" s="29" customFormat="1" ht="9">
      <c r="A75" s="253"/>
      <c r="B75" s="31"/>
      <c r="C75" s="151"/>
      <c r="D75" s="31"/>
      <c r="E75" s="31"/>
      <c r="F75" s="31"/>
      <c r="G75" s="31"/>
      <c r="H75" s="31"/>
      <c r="I75" s="31"/>
      <c r="J75" s="31"/>
      <c r="K75" s="31"/>
      <c r="L75" s="31"/>
      <c r="M75" s="31"/>
      <c r="N75" s="148" t="s">
        <v>568</v>
      </c>
      <c r="O75" s="148" t="s">
        <v>568</v>
      </c>
      <c r="P75" s="31"/>
      <c r="Q75" s="31"/>
      <c r="R75" s="31"/>
      <c r="S75" s="31"/>
      <c r="T75" s="31"/>
      <c r="U75" s="31"/>
      <c r="V75" s="31"/>
      <c r="W75" s="31"/>
      <c r="X75" s="31"/>
      <c r="Y75" s="31"/>
      <c r="Z75" s="31"/>
      <c r="AA75" s="31"/>
      <c r="AB75" s="31"/>
      <c r="AC75" s="31"/>
      <c r="AD75" s="31"/>
      <c r="AE75" s="31"/>
      <c r="AF75" s="31"/>
      <c r="AG75" s="31"/>
      <c r="AH75" s="31"/>
      <c r="AI75" s="31"/>
      <c r="AJ75" s="31"/>
      <c r="AK75" s="31"/>
      <c r="AL75" s="31"/>
      <c r="AM75" s="31"/>
      <c r="AN75" s="31"/>
      <c r="AO75" s="31"/>
      <c r="AP75" s="31"/>
      <c r="AQ75" s="31"/>
      <c r="AR75" s="31"/>
      <c r="AS75" s="31"/>
      <c r="AT75" s="360"/>
      <c r="AU75" s="31"/>
      <c r="AV75" s="360"/>
      <c r="AW75" s="32"/>
      <c r="AX75" s="14"/>
      <c r="AY75" s="14"/>
      <c r="AZ75" s="14"/>
      <c r="BA75" s="14"/>
      <c r="BB75" s="14"/>
      <c r="BC75" s="14"/>
      <c r="BD75" s="14"/>
      <c r="BE75" s="14"/>
      <c r="BF75" s="14"/>
      <c r="BG75" s="14"/>
    </row>
    <row r="76" spans="1:59" s="29" customFormat="1" ht="9">
      <c r="A76" s="253"/>
      <c r="B76" s="31"/>
      <c r="C76" s="151"/>
      <c r="D76" s="31"/>
      <c r="E76" s="31"/>
      <c r="F76" s="31"/>
      <c r="G76" s="31"/>
      <c r="H76" s="31"/>
      <c r="I76" s="31"/>
      <c r="J76" s="31"/>
      <c r="K76" s="31"/>
      <c r="L76" s="31"/>
      <c r="M76" s="31"/>
      <c r="N76" s="148" t="s">
        <v>569</v>
      </c>
      <c r="O76" s="148" t="s">
        <v>569</v>
      </c>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1"/>
      <c r="AT76" s="360"/>
      <c r="AU76" s="31"/>
      <c r="AV76" s="360"/>
      <c r="AW76" s="32"/>
      <c r="AX76" s="14"/>
      <c r="AY76" s="14"/>
      <c r="AZ76" s="14"/>
      <c r="BA76" s="14"/>
      <c r="BB76" s="14"/>
      <c r="BC76" s="14"/>
      <c r="BD76" s="14"/>
      <c r="BE76" s="14"/>
      <c r="BF76" s="14"/>
      <c r="BG76" s="14"/>
    </row>
    <row r="77" spans="1:59" s="29" customFormat="1" ht="9">
      <c r="A77" s="253"/>
      <c r="B77" s="31"/>
      <c r="C77" s="151"/>
      <c r="D77" s="31"/>
      <c r="E77" s="31"/>
      <c r="F77" s="31"/>
      <c r="G77" s="31"/>
      <c r="H77" s="31"/>
      <c r="I77" s="31"/>
      <c r="J77" s="31"/>
      <c r="K77" s="31"/>
      <c r="L77" s="31"/>
      <c r="M77" s="31"/>
      <c r="N77" s="148" t="s">
        <v>570</v>
      </c>
      <c r="O77" s="148" t="s">
        <v>570</v>
      </c>
      <c r="P77" s="31"/>
      <c r="Q77" s="31"/>
      <c r="R77" s="31"/>
      <c r="S77" s="31"/>
      <c r="T77" s="31"/>
      <c r="U77" s="31"/>
      <c r="V77" s="31"/>
      <c r="W77" s="31"/>
      <c r="X77" s="31"/>
      <c r="Y77" s="31"/>
      <c r="Z77" s="31"/>
      <c r="AA77" s="31"/>
      <c r="AB77" s="31"/>
      <c r="AC77" s="31"/>
      <c r="AD77" s="31"/>
      <c r="AE77" s="31"/>
      <c r="AF77" s="31"/>
      <c r="AG77" s="31"/>
      <c r="AH77" s="31"/>
      <c r="AI77" s="31"/>
      <c r="AJ77" s="31"/>
      <c r="AK77" s="31"/>
      <c r="AL77" s="31"/>
      <c r="AM77" s="31"/>
      <c r="AN77" s="31"/>
      <c r="AO77" s="31"/>
      <c r="AP77" s="31"/>
      <c r="AQ77" s="31"/>
      <c r="AR77" s="31"/>
      <c r="AS77" s="31"/>
      <c r="AT77" s="360"/>
      <c r="AU77" s="31"/>
      <c r="AV77" s="360"/>
      <c r="AW77" s="32"/>
      <c r="AX77" s="14"/>
      <c r="AY77" s="14"/>
      <c r="AZ77" s="14"/>
      <c r="BA77" s="14"/>
      <c r="BB77" s="14"/>
      <c r="BC77" s="14"/>
      <c r="BD77" s="14"/>
      <c r="BE77" s="14"/>
      <c r="BF77" s="14"/>
      <c r="BG77" s="14"/>
    </row>
    <row r="78" spans="1:59" s="29" customFormat="1" ht="9">
      <c r="A78" s="253"/>
      <c r="B78" s="31"/>
      <c r="C78" s="151"/>
      <c r="D78" s="31"/>
      <c r="E78" s="31"/>
      <c r="F78" s="31"/>
      <c r="G78" s="31"/>
      <c r="H78" s="31"/>
      <c r="I78" s="31"/>
      <c r="J78" s="31"/>
      <c r="K78" s="31"/>
      <c r="L78" s="31"/>
      <c r="M78" s="31"/>
      <c r="N78" s="148" t="s">
        <v>571</v>
      </c>
      <c r="O78" s="148" t="s">
        <v>571</v>
      </c>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1"/>
      <c r="AQ78" s="31"/>
      <c r="AR78" s="31"/>
      <c r="AS78" s="31"/>
      <c r="AT78" s="360"/>
      <c r="AU78" s="31"/>
      <c r="AV78" s="360"/>
      <c r="AW78" s="32"/>
      <c r="AX78" s="14"/>
      <c r="AY78" s="14"/>
      <c r="AZ78" s="14"/>
      <c r="BA78" s="14"/>
      <c r="BB78" s="14"/>
      <c r="BC78" s="14"/>
      <c r="BD78" s="14"/>
      <c r="BE78" s="14"/>
      <c r="BF78" s="14"/>
      <c r="BG78" s="14"/>
    </row>
    <row r="79" spans="1:59" s="29" customFormat="1" ht="9">
      <c r="A79" s="253"/>
      <c r="B79" s="31"/>
      <c r="C79" s="151"/>
      <c r="D79" s="31"/>
      <c r="E79" s="31"/>
      <c r="F79" s="31"/>
      <c r="G79" s="31"/>
      <c r="H79" s="31"/>
      <c r="I79" s="31"/>
      <c r="J79" s="31"/>
      <c r="K79" s="31"/>
      <c r="L79" s="31"/>
      <c r="M79" s="31"/>
      <c r="N79" s="148" t="s">
        <v>572</v>
      </c>
      <c r="O79" s="148" t="s">
        <v>572</v>
      </c>
      <c r="P79" s="31"/>
      <c r="Q79" s="31"/>
      <c r="R79" s="31"/>
      <c r="S79" s="31"/>
      <c r="T79" s="31"/>
      <c r="U79" s="31"/>
      <c r="V79" s="31"/>
      <c r="W79" s="31"/>
      <c r="X79" s="31"/>
      <c r="Y79" s="31"/>
      <c r="Z79" s="31"/>
      <c r="AA79" s="31"/>
      <c r="AB79" s="31"/>
      <c r="AC79" s="31"/>
      <c r="AD79" s="31"/>
      <c r="AE79" s="31"/>
      <c r="AF79" s="31"/>
      <c r="AG79" s="31"/>
      <c r="AH79" s="31"/>
      <c r="AI79" s="31"/>
      <c r="AJ79" s="31"/>
      <c r="AK79" s="31"/>
      <c r="AL79" s="31"/>
      <c r="AM79" s="31"/>
      <c r="AN79" s="31"/>
      <c r="AO79" s="31"/>
      <c r="AP79" s="31"/>
      <c r="AQ79" s="31"/>
      <c r="AR79" s="31"/>
      <c r="AS79" s="31"/>
      <c r="AT79" s="360"/>
      <c r="AU79" s="31"/>
      <c r="AV79" s="360"/>
      <c r="AW79" s="32"/>
      <c r="AX79" s="14"/>
      <c r="AY79" s="14"/>
      <c r="AZ79" s="14"/>
      <c r="BA79" s="14"/>
      <c r="BB79" s="14"/>
      <c r="BC79" s="14"/>
      <c r="BD79" s="14"/>
      <c r="BE79" s="14"/>
      <c r="BF79" s="14"/>
      <c r="BG79" s="14"/>
    </row>
    <row r="80" spans="1:59" s="29" customFormat="1" ht="9">
      <c r="A80" s="253"/>
      <c r="B80" s="31"/>
      <c r="C80" s="151"/>
      <c r="D80" s="31"/>
      <c r="E80" s="31"/>
      <c r="F80" s="31"/>
      <c r="G80" s="31"/>
      <c r="H80" s="31"/>
      <c r="I80" s="31"/>
      <c r="J80" s="31"/>
      <c r="K80" s="31"/>
      <c r="L80" s="31"/>
      <c r="M80" s="31"/>
      <c r="N80" s="148" t="s">
        <v>573</v>
      </c>
      <c r="O80" s="148" t="s">
        <v>573</v>
      </c>
      <c r="P80" s="31"/>
      <c r="Q80" s="31"/>
      <c r="R80" s="31"/>
      <c r="S80" s="31"/>
      <c r="T80" s="31"/>
      <c r="U80" s="31"/>
      <c r="V80" s="31"/>
      <c r="W80" s="31"/>
      <c r="X80" s="31"/>
      <c r="Y80" s="31"/>
      <c r="Z80" s="31"/>
      <c r="AA80" s="31"/>
      <c r="AB80" s="31"/>
      <c r="AC80" s="31"/>
      <c r="AD80" s="31"/>
      <c r="AE80" s="31"/>
      <c r="AF80" s="31"/>
      <c r="AG80" s="31"/>
      <c r="AH80" s="31"/>
      <c r="AI80" s="31"/>
      <c r="AJ80" s="31"/>
      <c r="AK80" s="31"/>
      <c r="AL80" s="31"/>
      <c r="AM80" s="31"/>
      <c r="AN80" s="31"/>
      <c r="AO80" s="31"/>
      <c r="AP80" s="31"/>
      <c r="AQ80" s="31"/>
      <c r="AR80" s="31"/>
      <c r="AS80" s="31"/>
      <c r="AT80" s="360"/>
      <c r="AU80" s="31"/>
      <c r="AV80" s="360"/>
      <c r="AW80" s="32"/>
      <c r="AX80" s="14"/>
      <c r="AY80" s="14"/>
      <c r="AZ80" s="14"/>
      <c r="BA80" s="14"/>
      <c r="BB80" s="14"/>
      <c r="BC80" s="14"/>
      <c r="BD80" s="14"/>
      <c r="BE80" s="14"/>
      <c r="BF80" s="14"/>
      <c r="BG80" s="14"/>
    </row>
    <row r="81" spans="1:59" s="29" customFormat="1" ht="9">
      <c r="A81" s="253"/>
      <c r="B81" s="31"/>
      <c r="C81" s="151"/>
      <c r="D81" s="31"/>
      <c r="E81" s="31"/>
      <c r="F81" s="31"/>
      <c r="G81" s="31"/>
      <c r="H81" s="31"/>
      <c r="I81" s="31"/>
      <c r="J81" s="31"/>
      <c r="K81" s="31"/>
      <c r="L81" s="31"/>
      <c r="M81" s="31"/>
      <c r="N81" s="148" t="s">
        <v>574</v>
      </c>
      <c r="O81" s="148" t="s">
        <v>574</v>
      </c>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c r="AS81" s="31"/>
      <c r="AT81" s="360"/>
      <c r="AU81" s="31"/>
      <c r="AV81" s="360"/>
      <c r="AW81" s="32"/>
      <c r="AX81" s="14"/>
      <c r="AY81" s="14"/>
      <c r="AZ81" s="14"/>
      <c r="BA81" s="14"/>
      <c r="BB81" s="14"/>
      <c r="BC81" s="14"/>
      <c r="BD81" s="14"/>
      <c r="BE81" s="14"/>
      <c r="BF81" s="14"/>
      <c r="BG81" s="14"/>
    </row>
    <row r="82" spans="1:59" s="29" customFormat="1" ht="9.75" thickBot="1">
      <c r="A82" s="393"/>
      <c r="B82" s="33"/>
      <c r="C82" s="399"/>
      <c r="D82" s="33"/>
      <c r="E82" s="33"/>
      <c r="F82" s="33"/>
      <c r="G82" s="33"/>
      <c r="H82" s="33"/>
      <c r="I82" s="33"/>
      <c r="J82" s="33"/>
      <c r="K82" s="33"/>
      <c r="L82" s="33"/>
      <c r="M82" s="33"/>
      <c r="N82" s="153" t="s">
        <v>575</v>
      </c>
      <c r="O82" s="153" t="s">
        <v>575</v>
      </c>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94"/>
      <c r="AU82" s="33"/>
      <c r="AV82" s="394"/>
      <c r="AW82" s="35"/>
      <c r="AX82" s="14"/>
      <c r="AY82" s="14"/>
      <c r="AZ82" s="14"/>
      <c r="BA82" s="14"/>
      <c r="BB82" s="14"/>
      <c r="BC82" s="14"/>
      <c r="BD82" s="14"/>
      <c r="BE82" s="14"/>
      <c r="BF82" s="14"/>
      <c r="BG82" s="14"/>
    </row>
    <row r="87" spans="1:59">
      <c r="AX87" s="101"/>
      <c r="AY87" s="101"/>
      <c r="AZ87" s="101"/>
      <c r="BA87" s="101"/>
      <c r="BB87" s="101"/>
      <c r="BC87" s="101"/>
      <c r="BD87" s="101"/>
      <c r="BE87" s="101"/>
      <c r="BF87" s="101"/>
      <c r="BG87" s="101"/>
    </row>
    <row r="88" spans="1:59">
      <c r="AX88" s="55"/>
      <c r="AY88" s="55"/>
      <c r="AZ88" s="55"/>
      <c r="BA88" s="55"/>
      <c r="BB88" s="55"/>
      <c r="BC88" s="55"/>
      <c r="BD88" s="55"/>
      <c r="BE88" s="55"/>
      <c r="BF88" s="55"/>
      <c r="BG88" s="55"/>
    </row>
    <row r="90" spans="1:59">
      <c r="AX90" s="41"/>
      <c r="AY90" s="41"/>
      <c r="AZ90" s="41"/>
      <c r="BA90" s="41"/>
      <c r="BB90" s="41"/>
      <c r="BC90" s="41"/>
      <c r="BD90" s="41"/>
      <c r="BE90" s="41"/>
      <c r="BF90" s="41"/>
      <c r="BG90" s="41"/>
    </row>
    <row r="91" spans="1:59">
      <c r="AX91" s="14"/>
      <c r="AY91" s="14"/>
      <c r="AZ91" s="14"/>
      <c r="BA91" s="14"/>
      <c r="BB91" s="14"/>
      <c r="BC91" s="14"/>
      <c r="BD91" s="14"/>
      <c r="BE91" s="14"/>
      <c r="BF91" s="14"/>
      <c r="BG91" s="14"/>
    </row>
    <row r="92" spans="1:59">
      <c r="AX92" s="14"/>
      <c r="AY92" s="14"/>
      <c r="AZ92" s="14"/>
      <c r="BA92" s="14"/>
      <c r="BB92" s="14"/>
      <c r="BC92" s="14"/>
      <c r="BD92" s="14"/>
      <c r="BE92" s="14"/>
      <c r="BF92" s="14"/>
      <c r="BG92" s="14"/>
    </row>
    <row r="93" spans="1:59">
      <c r="AX93" s="14"/>
      <c r="AY93" s="14"/>
      <c r="AZ93" s="14"/>
      <c r="BA93" s="14"/>
      <c r="BB93" s="14"/>
      <c r="BC93" s="14"/>
      <c r="BD93" s="14"/>
      <c r="BE93" s="14"/>
      <c r="BF93" s="14"/>
      <c r="BG93" s="14"/>
    </row>
    <row r="94" spans="1:59">
      <c r="AX94" s="14"/>
      <c r="AY94" s="14"/>
      <c r="AZ94" s="14"/>
      <c r="BA94" s="14"/>
      <c r="BB94" s="14"/>
      <c r="BC94" s="14"/>
      <c r="BD94" s="14"/>
      <c r="BE94" s="14"/>
      <c r="BF94" s="14"/>
      <c r="BG94" s="14"/>
    </row>
    <row r="95" spans="1:59">
      <c r="AX95" s="14"/>
      <c r="AY95" s="14"/>
      <c r="AZ95" s="14"/>
      <c r="BA95" s="14"/>
      <c r="BB95" s="14"/>
      <c r="BC95" s="14"/>
      <c r="BD95" s="14"/>
      <c r="BE95" s="14"/>
      <c r="BF95" s="14"/>
      <c r="BG95" s="14"/>
    </row>
    <row r="96" spans="1:59">
      <c r="AX96" s="14"/>
      <c r="AY96" s="14"/>
      <c r="AZ96" s="14"/>
      <c r="BA96" s="14"/>
      <c r="BB96" s="14"/>
      <c r="BC96" s="14"/>
      <c r="BD96" s="14"/>
      <c r="BE96" s="14"/>
      <c r="BF96" s="14"/>
      <c r="BG96" s="14"/>
    </row>
    <row r="97" spans="50:59">
      <c r="AX97" s="14"/>
      <c r="AY97" s="14"/>
      <c r="AZ97" s="14"/>
      <c r="BA97" s="14"/>
      <c r="BB97" s="14"/>
      <c r="BC97" s="14"/>
      <c r="BD97" s="14"/>
      <c r="BE97" s="14"/>
      <c r="BF97" s="14"/>
      <c r="BG97" s="14"/>
    </row>
    <row r="98" spans="50:59">
      <c r="AX98" s="14"/>
      <c r="AY98" s="14"/>
      <c r="AZ98" s="14"/>
      <c r="BA98" s="14"/>
      <c r="BB98" s="14"/>
      <c r="BC98" s="14"/>
      <c r="BD98" s="14"/>
      <c r="BE98" s="14"/>
      <c r="BF98" s="14"/>
      <c r="BG98" s="14"/>
    </row>
    <row r="99" spans="50:59">
      <c r="AX99" s="14"/>
      <c r="AY99" s="14"/>
      <c r="AZ99" s="14"/>
      <c r="BA99" s="14"/>
      <c r="BB99" s="14"/>
      <c r="BC99" s="14"/>
      <c r="BD99" s="14"/>
      <c r="BE99" s="14"/>
      <c r="BF99" s="14"/>
      <c r="BG99" s="14"/>
    </row>
    <row r="100" spans="50:59">
      <c r="AX100" s="14"/>
      <c r="AY100" s="14"/>
      <c r="AZ100" s="14"/>
      <c r="BA100" s="14"/>
      <c r="BB100" s="14"/>
      <c r="BC100" s="14"/>
      <c r="BD100" s="14"/>
      <c r="BE100" s="14"/>
      <c r="BF100" s="14"/>
      <c r="BG100" s="14"/>
    </row>
  </sheetData>
  <autoFilter ref="A3:AW3" xr:uid="{8960E4C2-770B-4298-B5FD-3865095FE692}"/>
  <mergeCells count="1">
    <mergeCell ref="AD2:AK2"/>
  </mergeCells>
  <phoneticPr fontId="0" type="noConversion"/>
  <dataValidations count="1">
    <dataValidation type="textLength" operator="lessThanOrEqual" allowBlank="1" showInputMessage="1" showErrorMessage="1" errorTitle="Graphname too long." error="The graphname should be maximum 25 characters long." sqref="AP4:AP15 AP17:AP24" xr:uid="{3B01DBD3-C11E-452D-8DCC-7ED079FC943D}">
      <formula1>25</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7B3A2C1E-08E3-45D5-A69C-3BB10AE34EB5}">
            <xm:f>Help!B5</xm:f>
            <x14:dxf>
              <fill>
                <patternFill>
                  <bgColor rgb="FFFF0000"/>
                </patternFill>
              </fill>
            </x14:dxf>
          </x14:cfRule>
          <xm:sqref>AP4:AP7 AP17:AP24 AP9:AP15</xm:sqref>
        </x14:conditionalFormatting>
        <x14:conditionalFormatting xmlns:xm="http://schemas.microsoft.com/office/excel/2006/main">
          <x14:cfRule type="expression" priority="12" id="{7B3A2C1E-08E3-45D5-A69C-3BB10AE34EB5}">
            <xm:f>Help!B17</xm:f>
            <x14:dxf>
              <fill>
                <patternFill>
                  <bgColor rgb="FFFF0000"/>
                </patternFill>
              </fill>
            </x14:dxf>
          </x14:cfRule>
          <xm:sqref>AP8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autoPageBreaks="0" fitToPage="1"/>
  </sheetPr>
  <dimension ref="A1:AO100"/>
  <sheetViews>
    <sheetView showGridLines="0" zoomScaleNormal="100" zoomScaleSheetLayoutView="75" workbookViewId="0">
      <pane xSplit="4" ySplit="3" topLeftCell="E4" activePane="bottomRight" state="frozen"/>
      <selection pane="bottomRight" activeCell="D2" sqref="D2"/>
      <selection pane="bottomLeft" activeCell="A4" sqref="A4"/>
      <selection pane="topRight" activeCell="E1" sqref="E1"/>
    </sheetView>
  </sheetViews>
  <sheetFormatPr defaultColWidth="9.140625" defaultRowHeight="12.75"/>
  <cols>
    <col min="1" max="1" width="12.5703125" style="46" bestFit="1" customWidth="1"/>
    <col min="2" max="3" width="9.5703125" style="46" bestFit="1" customWidth="1"/>
    <col min="4" max="4" width="20.42578125" style="46" customWidth="1"/>
    <col min="5" max="5" width="13.42578125" style="46" customWidth="1"/>
    <col min="6" max="6" width="19" style="46" customWidth="1"/>
    <col min="7" max="7" width="11.5703125" style="46" bestFit="1" customWidth="1"/>
    <col min="8" max="9" width="23.140625" style="46" bestFit="1" customWidth="1"/>
    <col min="10" max="10" width="17.28515625" style="46" bestFit="1" customWidth="1"/>
    <col min="11" max="12" width="8.5703125" style="46" bestFit="1" customWidth="1"/>
    <col min="13" max="13" width="10.5703125" style="46" customWidth="1"/>
    <col min="14" max="14" width="11" style="46" customWidth="1"/>
    <col min="15" max="15" width="14.28515625" style="46" bestFit="1" customWidth="1"/>
    <col min="16" max="16" width="8.5703125" style="1" customWidth="1"/>
    <col min="17" max="17" width="28.42578125" style="46" bestFit="1" customWidth="1"/>
    <col min="18" max="25" width="30.7109375" style="1" customWidth="1"/>
    <col min="26" max="27" width="14.5703125" style="46" customWidth="1"/>
    <col min="28" max="28" width="23" style="46" customWidth="1"/>
    <col min="29" max="29" width="22.5703125" style="46" bestFit="1" customWidth="1"/>
    <col min="30" max="30" width="10.140625" style="46" customWidth="1"/>
    <col min="31" max="31" width="16" style="49" customWidth="1"/>
    <col min="32" max="41" width="9.140625" style="49"/>
    <col min="42" max="16384" width="9.140625" style="46"/>
  </cols>
  <sheetData>
    <row r="1" spans="1:37" ht="22.5" customHeight="1" thickBot="1">
      <c r="D1" s="120" t="s">
        <v>576</v>
      </c>
      <c r="J1" s="58"/>
      <c r="P1" s="2"/>
      <c r="Q1" s="58"/>
    </row>
    <row r="2" spans="1:37" ht="24.75" customHeight="1" thickBot="1">
      <c r="D2" s="204" t="s">
        <v>577</v>
      </c>
      <c r="E2" s="171" t="s">
        <v>63</v>
      </c>
      <c r="F2" s="172"/>
    </row>
    <row r="3" spans="1:37" s="319" customFormat="1" ht="30" customHeight="1" thickBot="1">
      <c r="A3" s="313" t="s">
        <v>64</v>
      </c>
      <c r="B3" s="314" t="s">
        <v>65</v>
      </c>
      <c r="C3" s="314" t="s">
        <v>578</v>
      </c>
      <c r="D3" s="316" t="s">
        <v>360</v>
      </c>
      <c r="E3" s="317" t="s">
        <v>68</v>
      </c>
      <c r="F3" s="318" t="s">
        <v>69</v>
      </c>
      <c r="G3" s="316" t="s">
        <v>361</v>
      </c>
      <c r="H3" s="314" t="s">
        <v>426</v>
      </c>
      <c r="I3" s="314" t="s">
        <v>427</v>
      </c>
      <c r="J3" s="314" t="s">
        <v>73</v>
      </c>
      <c r="K3" s="316" t="s">
        <v>579</v>
      </c>
      <c r="L3" s="316" t="s">
        <v>580</v>
      </c>
      <c r="M3" s="316" t="s">
        <v>581</v>
      </c>
      <c r="N3" s="316" t="s">
        <v>582</v>
      </c>
      <c r="O3" s="316" t="s">
        <v>445</v>
      </c>
      <c r="P3" s="331" t="s">
        <v>583</v>
      </c>
      <c r="Q3" s="338" t="s">
        <v>429</v>
      </c>
      <c r="R3" s="330" t="s">
        <v>430</v>
      </c>
      <c r="S3" s="330" t="s">
        <v>431</v>
      </c>
      <c r="T3" s="330" t="s">
        <v>432</v>
      </c>
      <c r="U3" s="330" t="s">
        <v>433</v>
      </c>
      <c r="V3" s="330" t="s">
        <v>434</v>
      </c>
      <c r="W3" s="330" t="s">
        <v>435</v>
      </c>
      <c r="X3" s="330" t="s">
        <v>436</v>
      </c>
      <c r="Y3" s="330" t="s">
        <v>437</v>
      </c>
      <c r="Z3" s="316" t="s">
        <v>584</v>
      </c>
      <c r="AA3" s="314" t="s">
        <v>585</v>
      </c>
      <c r="AB3" s="314" t="s">
        <v>78</v>
      </c>
      <c r="AC3" s="79" t="s">
        <v>79</v>
      </c>
      <c r="AD3" s="79" t="s">
        <v>369</v>
      </c>
      <c r="AE3" s="420" t="s">
        <v>82</v>
      </c>
    </row>
    <row r="4" spans="1:37" s="49" customFormat="1" ht="25.5">
      <c r="A4" s="249"/>
      <c r="B4" s="43" t="s">
        <v>15</v>
      </c>
      <c r="C4" s="76">
        <v>1</v>
      </c>
      <c r="D4" s="63" t="s">
        <v>586</v>
      </c>
      <c r="E4" s="63" t="s">
        <v>587</v>
      </c>
      <c r="F4" s="63" t="s">
        <v>588</v>
      </c>
      <c r="G4" s="132" t="s">
        <v>589</v>
      </c>
      <c r="H4" s="63" t="s">
        <v>590</v>
      </c>
      <c r="I4" s="63"/>
      <c r="J4" s="77" t="s">
        <v>88</v>
      </c>
      <c r="K4" s="77" t="s">
        <v>591</v>
      </c>
      <c r="L4" s="77" t="s">
        <v>591</v>
      </c>
      <c r="M4" s="77"/>
      <c r="N4" s="77"/>
      <c r="O4" s="77" t="s">
        <v>592</v>
      </c>
      <c r="P4" s="77" t="s">
        <v>88</v>
      </c>
      <c r="Q4" s="77"/>
      <c r="R4" s="43"/>
      <c r="S4" s="43"/>
      <c r="T4" s="43"/>
      <c r="U4" s="43"/>
      <c r="V4" s="43"/>
      <c r="W4" s="43"/>
      <c r="X4" s="43"/>
      <c r="Y4" s="43"/>
      <c r="Z4" s="77"/>
      <c r="AA4" s="77"/>
      <c r="AB4" s="133" t="s">
        <v>593</v>
      </c>
      <c r="AC4" s="106" t="s">
        <v>126</v>
      </c>
      <c r="AD4" s="350"/>
      <c r="AE4" s="108"/>
      <c r="AF4" s="25"/>
      <c r="AG4" s="195"/>
      <c r="AH4" s="46" t="s">
        <v>93</v>
      </c>
      <c r="AI4" s="25"/>
      <c r="AJ4" s="25"/>
      <c r="AK4" s="25"/>
    </row>
    <row r="5" spans="1:37" s="49" customFormat="1">
      <c r="A5" s="249"/>
      <c r="B5" s="43" t="s">
        <v>15</v>
      </c>
      <c r="C5" s="62">
        <v>2</v>
      </c>
      <c r="D5" s="63"/>
      <c r="E5" s="63"/>
      <c r="F5" s="63"/>
      <c r="G5" s="132"/>
      <c r="H5" s="63"/>
      <c r="I5" s="63"/>
      <c r="J5" s="77"/>
      <c r="K5" s="77"/>
      <c r="L5" s="77"/>
      <c r="M5" s="77"/>
      <c r="N5" s="77"/>
      <c r="O5" s="63"/>
      <c r="P5" s="77"/>
      <c r="Q5" s="77"/>
      <c r="R5" s="43"/>
      <c r="S5" s="43"/>
      <c r="T5" s="43"/>
      <c r="U5" s="43"/>
      <c r="V5" s="43"/>
      <c r="W5" s="43"/>
      <c r="X5" s="43"/>
      <c r="Y5" s="43"/>
      <c r="Z5" s="77"/>
      <c r="AA5" s="77"/>
      <c r="AB5" s="77"/>
      <c r="AC5" s="183"/>
      <c r="AD5" s="128"/>
      <c r="AE5" s="48"/>
      <c r="AF5" s="25"/>
      <c r="AG5" s="196"/>
      <c r="AH5" s="46" t="s">
        <v>100</v>
      </c>
      <c r="AI5" s="25"/>
      <c r="AJ5" s="25"/>
      <c r="AK5" s="25"/>
    </row>
    <row r="6" spans="1:37" s="49" customFormat="1">
      <c r="A6" s="249"/>
      <c r="B6" s="43" t="s">
        <v>15</v>
      </c>
      <c r="C6" s="76">
        <v>3</v>
      </c>
      <c r="D6" s="63"/>
      <c r="E6" s="63"/>
      <c r="F6" s="63"/>
      <c r="G6" s="132"/>
      <c r="H6" s="63"/>
      <c r="I6" s="63"/>
      <c r="J6" s="77"/>
      <c r="K6" s="63"/>
      <c r="L6" s="77"/>
      <c r="M6" s="63"/>
      <c r="N6" s="63"/>
      <c r="O6" s="63"/>
      <c r="P6" s="77"/>
      <c r="Q6" s="77"/>
      <c r="R6" s="43"/>
      <c r="S6" s="43"/>
      <c r="T6" s="43"/>
      <c r="U6" s="43"/>
      <c r="V6" s="43"/>
      <c r="W6" s="43"/>
      <c r="X6" s="43"/>
      <c r="Y6" s="43"/>
      <c r="Z6" s="77"/>
      <c r="AA6" s="77"/>
      <c r="AB6" s="77"/>
      <c r="AC6" s="183"/>
      <c r="AD6" s="128"/>
      <c r="AE6" s="48"/>
      <c r="AF6" s="25"/>
      <c r="AG6" s="197"/>
      <c r="AH6" s="46" t="s">
        <v>107</v>
      </c>
      <c r="AI6" s="25"/>
      <c r="AJ6" s="25"/>
      <c r="AK6" s="25"/>
    </row>
    <row r="7" spans="1:37" s="49" customFormat="1">
      <c r="A7" s="249"/>
      <c r="B7" s="43" t="s">
        <v>15</v>
      </c>
      <c r="C7" s="62">
        <v>4</v>
      </c>
      <c r="E7" s="63"/>
      <c r="F7" s="63"/>
      <c r="G7" s="132"/>
      <c r="H7" s="63"/>
      <c r="J7" s="77"/>
      <c r="K7" s="63"/>
      <c r="L7" s="77"/>
      <c r="M7" s="63"/>
      <c r="N7" s="63"/>
      <c r="O7" s="63"/>
      <c r="P7" s="77"/>
      <c r="Q7" s="77"/>
      <c r="R7" s="43"/>
      <c r="S7" s="43"/>
      <c r="T7" s="43"/>
      <c r="U7" s="43"/>
      <c r="V7" s="43"/>
      <c r="W7" s="43"/>
      <c r="X7" s="43"/>
      <c r="Y7" s="43"/>
      <c r="Z7" s="77"/>
      <c r="AA7" s="77"/>
      <c r="AB7" s="77"/>
      <c r="AC7" s="183"/>
      <c r="AD7" s="128"/>
      <c r="AE7" s="48"/>
      <c r="AF7" s="25"/>
      <c r="AG7" s="25"/>
      <c r="AH7" s="25"/>
      <c r="AI7" s="25"/>
      <c r="AJ7" s="25"/>
      <c r="AK7" s="25"/>
    </row>
    <row r="8" spans="1:37" s="49" customFormat="1">
      <c r="A8" s="249"/>
      <c r="B8" s="43" t="s">
        <v>15</v>
      </c>
      <c r="C8" s="76">
        <v>5</v>
      </c>
      <c r="D8" s="63"/>
      <c r="E8" s="63"/>
      <c r="F8" s="63"/>
      <c r="G8" s="132"/>
      <c r="H8" s="63"/>
      <c r="I8" s="63"/>
      <c r="J8" s="77"/>
      <c r="K8" s="77"/>
      <c r="L8" s="77"/>
      <c r="M8" s="63"/>
      <c r="N8" s="63"/>
      <c r="O8" s="104"/>
      <c r="P8" s="77"/>
      <c r="Q8" s="77"/>
      <c r="R8" s="43"/>
      <c r="S8" s="43"/>
      <c r="T8" s="43"/>
      <c r="U8" s="43"/>
      <c r="V8" s="43"/>
      <c r="W8" s="43"/>
      <c r="X8" s="43"/>
      <c r="Y8" s="43"/>
      <c r="Z8" s="133"/>
      <c r="AA8" s="133"/>
      <c r="AB8" s="77"/>
      <c r="AC8" s="183"/>
      <c r="AD8" s="128"/>
      <c r="AE8" s="48"/>
      <c r="AF8" s="25"/>
      <c r="AG8" s="320"/>
      <c r="AH8" s="46" t="s">
        <v>121</v>
      </c>
      <c r="AI8" s="25"/>
      <c r="AJ8" s="25"/>
      <c r="AK8" s="25"/>
    </row>
    <row r="9" spans="1:37" s="49" customFormat="1">
      <c r="A9" s="249"/>
      <c r="B9" s="43" t="s">
        <v>15</v>
      </c>
      <c r="C9" s="62">
        <v>6</v>
      </c>
      <c r="D9" s="63"/>
      <c r="E9" s="63"/>
      <c r="F9" s="63"/>
      <c r="G9" s="63"/>
      <c r="H9" s="63"/>
      <c r="I9" s="63"/>
      <c r="J9" s="77"/>
      <c r="K9" s="63"/>
      <c r="L9" s="77"/>
      <c r="M9" s="63"/>
      <c r="N9" s="63"/>
      <c r="O9" s="77"/>
      <c r="P9" s="77"/>
      <c r="Q9" s="77"/>
      <c r="R9" s="43"/>
      <c r="S9" s="43"/>
      <c r="T9" s="43"/>
      <c r="U9" s="43"/>
      <c r="V9" s="43"/>
      <c r="W9" s="43"/>
      <c r="X9" s="43"/>
      <c r="Y9" s="43"/>
      <c r="Z9" s="77"/>
      <c r="AA9" s="77"/>
      <c r="AB9" s="77"/>
      <c r="AC9" s="183"/>
      <c r="AD9" s="128"/>
      <c r="AE9" s="48"/>
      <c r="AF9" s="25"/>
      <c r="AG9" s="321"/>
      <c r="AH9" s="46" t="s">
        <v>129</v>
      </c>
      <c r="AI9" s="25"/>
      <c r="AJ9" s="25"/>
      <c r="AK9" s="25"/>
    </row>
    <row r="10" spans="1:37" s="49" customFormat="1">
      <c r="A10" s="249"/>
      <c r="B10" s="43" t="s">
        <v>15</v>
      </c>
      <c r="C10" s="76">
        <v>7</v>
      </c>
      <c r="D10" s="63"/>
      <c r="E10" s="63"/>
      <c r="F10" s="63"/>
      <c r="G10" s="63"/>
      <c r="H10" s="63"/>
      <c r="I10" s="63"/>
      <c r="J10" s="77"/>
      <c r="K10" s="63"/>
      <c r="L10" s="77"/>
      <c r="M10" s="63"/>
      <c r="N10" s="63"/>
      <c r="O10" s="77"/>
      <c r="P10" s="77"/>
      <c r="Q10" s="77"/>
      <c r="R10" s="43"/>
      <c r="S10" s="43"/>
      <c r="T10" s="43"/>
      <c r="U10" s="43"/>
      <c r="V10" s="43"/>
      <c r="W10" s="43"/>
      <c r="X10" s="43"/>
      <c r="Y10" s="43"/>
      <c r="Z10" s="77"/>
      <c r="AA10" s="77"/>
      <c r="AB10" s="77"/>
      <c r="AC10" s="183"/>
      <c r="AD10" s="128"/>
      <c r="AE10" s="48"/>
      <c r="AF10" s="25"/>
      <c r="AG10" s="25"/>
      <c r="AH10" s="25"/>
      <c r="AI10" s="25"/>
      <c r="AJ10" s="25"/>
      <c r="AK10" s="25"/>
    </row>
    <row r="11" spans="1:37" s="49" customFormat="1">
      <c r="A11" s="249"/>
      <c r="B11" s="43" t="s">
        <v>15</v>
      </c>
      <c r="C11" s="62">
        <v>8</v>
      </c>
      <c r="D11" s="63"/>
      <c r="E11" s="63"/>
      <c r="F11" s="63"/>
      <c r="G11" s="63"/>
      <c r="H11" s="63"/>
      <c r="I11" s="63"/>
      <c r="J11" s="77"/>
      <c r="K11" s="63"/>
      <c r="L11" s="77"/>
      <c r="M11" s="63"/>
      <c r="N11" s="63"/>
      <c r="O11" s="77"/>
      <c r="P11" s="77"/>
      <c r="Q11" s="77"/>
      <c r="R11" s="43"/>
      <c r="S11" s="43"/>
      <c r="T11" s="43"/>
      <c r="U11" s="43"/>
      <c r="V11" s="43"/>
      <c r="W11" s="43"/>
      <c r="X11" s="43"/>
      <c r="Y11" s="43"/>
      <c r="Z11" s="77"/>
      <c r="AA11" s="77"/>
      <c r="AB11" s="77"/>
      <c r="AC11" s="183"/>
      <c r="AD11" s="128"/>
      <c r="AE11" s="48"/>
      <c r="AF11" s="25"/>
      <c r="AG11" s="25"/>
      <c r="AH11" s="25"/>
      <c r="AI11" s="25"/>
      <c r="AJ11" s="25"/>
      <c r="AK11" s="25"/>
    </row>
    <row r="12" spans="1:37" s="49" customFormat="1">
      <c r="A12" s="249"/>
      <c r="B12" s="43" t="s">
        <v>15</v>
      </c>
      <c r="C12" s="76">
        <v>9</v>
      </c>
      <c r="D12" s="63"/>
      <c r="E12" s="63"/>
      <c r="F12" s="63"/>
      <c r="G12" s="63"/>
      <c r="H12" s="63"/>
      <c r="I12" s="63"/>
      <c r="J12" s="77"/>
      <c r="K12" s="63"/>
      <c r="L12" s="77"/>
      <c r="M12" s="63"/>
      <c r="N12" s="63"/>
      <c r="O12" s="77"/>
      <c r="P12" s="77"/>
      <c r="Q12" s="77"/>
      <c r="R12" s="43"/>
      <c r="S12" s="43"/>
      <c r="T12" s="43"/>
      <c r="U12" s="43"/>
      <c r="V12" s="43"/>
      <c r="W12" s="43"/>
      <c r="X12" s="43"/>
      <c r="Y12" s="43"/>
      <c r="Z12" s="77"/>
      <c r="AA12" s="77"/>
      <c r="AB12" s="77"/>
      <c r="AC12" s="183"/>
      <c r="AD12" s="128"/>
      <c r="AE12" s="48"/>
      <c r="AF12" s="25"/>
      <c r="AG12" s="25"/>
      <c r="AH12" s="25"/>
      <c r="AI12" s="25"/>
      <c r="AJ12" s="25"/>
      <c r="AK12" s="25"/>
    </row>
    <row r="13" spans="1:37" s="49" customFormat="1">
      <c r="A13" s="249"/>
      <c r="B13" s="43" t="s">
        <v>15</v>
      </c>
      <c r="C13" s="62">
        <v>10</v>
      </c>
      <c r="D13" s="63"/>
      <c r="E13" s="63"/>
      <c r="F13" s="63"/>
      <c r="G13" s="63"/>
      <c r="H13" s="63"/>
      <c r="I13" s="63"/>
      <c r="J13" s="77"/>
      <c r="K13" s="63"/>
      <c r="L13" s="77"/>
      <c r="M13" s="63"/>
      <c r="N13" s="63"/>
      <c r="O13" s="77"/>
      <c r="P13" s="77"/>
      <c r="Q13" s="77"/>
      <c r="R13" s="43"/>
      <c r="S13" s="43"/>
      <c r="T13" s="43"/>
      <c r="U13" s="43"/>
      <c r="V13" s="43"/>
      <c r="W13" s="43"/>
      <c r="X13" s="43"/>
      <c r="Y13" s="43"/>
      <c r="Z13" s="77"/>
      <c r="AA13" s="77"/>
      <c r="AB13" s="77"/>
      <c r="AC13" s="183"/>
      <c r="AD13" s="128"/>
      <c r="AE13" s="48"/>
    </row>
    <row r="14" spans="1:37" s="49" customFormat="1">
      <c r="A14" s="249"/>
      <c r="B14" s="43" t="s">
        <v>15</v>
      </c>
      <c r="C14" s="76">
        <v>11</v>
      </c>
      <c r="D14" s="63"/>
      <c r="E14" s="63"/>
      <c r="F14" s="63"/>
      <c r="G14" s="63"/>
      <c r="H14" s="63"/>
      <c r="I14" s="63"/>
      <c r="J14" s="77"/>
      <c r="K14" s="63"/>
      <c r="L14" s="77"/>
      <c r="M14" s="63"/>
      <c r="N14" s="63"/>
      <c r="O14" s="77"/>
      <c r="P14" s="77"/>
      <c r="Q14" s="77"/>
      <c r="R14" s="43"/>
      <c r="S14" s="43"/>
      <c r="T14" s="43"/>
      <c r="U14" s="43"/>
      <c r="V14" s="43"/>
      <c r="W14" s="43"/>
      <c r="X14" s="43"/>
      <c r="Y14" s="43"/>
      <c r="Z14" s="77"/>
      <c r="AA14" s="77"/>
      <c r="AB14" s="77"/>
      <c r="AC14" s="183"/>
      <c r="AD14" s="128"/>
      <c r="AE14" s="48"/>
    </row>
    <row r="15" spans="1:37" s="49" customFormat="1">
      <c r="A15" s="249"/>
      <c r="B15" s="43" t="s">
        <v>15</v>
      </c>
      <c r="C15" s="62">
        <v>12</v>
      </c>
      <c r="D15" s="63"/>
      <c r="E15" s="63"/>
      <c r="F15" s="63"/>
      <c r="G15" s="63"/>
      <c r="H15" s="63"/>
      <c r="I15" s="63"/>
      <c r="J15" s="77"/>
      <c r="K15" s="63"/>
      <c r="L15" s="77"/>
      <c r="M15" s="63"/>
      <c r="N15" s="63"/>
      <c r="O15" s="77"/>
      <c r="P15" s="63"/>
      <c r="Q15" s="77"/>
      <c r="R15" s="43"/>
      <c r="S15" s="43"/>
      <c r="T15" s="43"/>
      <c r="U15" s="43"/>
      <c r="V15" s="43"/>
      <c r="W15" s="43"/>
      <c r="X15" s="43"/>
      <c r="Y15" s="43"/>
      <c r="Z15" s="77"/>
      <c r="AA15" s="77"/>
      <c r="AB15" s="77"/>
      <c r="AC15" s="183"/>
      <c r="AD15" s="128"/>
      <c r="AE15" s="48"/>
    </row>
    <row r="16" spans="1:37" s="49" customFormat="1">
      <c r="A16" s="249"/>
      <c r="B16" s="43" t="s">
        <v>15</v>
      </c>
      <c r="C16" s="76">
        <v>13</v>
      </c>
      <c r="D16" s="63"/>
      <c r="E16" s="63"/>
      <c r="F16" s="63"/>
      <c r="G16" s="63"/>
      <c r="H16" s="63"/>
      <c r="I16" s="63"/>
      <c r="J16" s="77"/>
      <c r="K16" s="63"/>
      <c r="L16" s="77"/>
      <c r="M16" s="63"/>
      <c r="N16" s="63"/>
      <c r="O16" s="77"/>
      <c r="P16" s="63"/>
      <c r="Q16" s="77"/>
      <c r="R16" s="43"/>
      <c r="S16" s="43"/>
      <c r="T16" s="43"/>
      <c r="U16" s="43"/>
      <c r="V16" s="43"/>
      <c r="W16" s="43"/>
      <c r="X16" s="43"/>
      <c r="Y16" s="43"/>
      <c r="Z16" s="77"/>
      <c r="AA16" s="77"/>
      <c r="AB16" s="77"/>
      <c r="AC16" s="183"/>
      <c r="AD16" s="128"/>
      <c r="AE16" s="48"/>
    </row>
    <row r="17" spans="1:41" s="49" customFormat="1">
      <c r="A17" s="249"/>
      <c r="B17" s="43" t="s">
        <v>15</v>
      </c>
      <c r="C17" s="62">
        <v>14</v>
      </c>
      <c r="D17" s="63"/>
      <c r="E17" s="63"/>
      <c r="F17" s="63"/>
      <c r="G17" s="63"/>
      <c r="H17" s="63"/>
      <c r="I17" s="63"/>
      <c r="J17" s="77"/>
      <c r="K17" s="63"/>
      <c r="L17" s="77"/>
      <c r="M17" s="63"/>
      <c r="N17" s="63"/>
      <c r="O17" s="77"/>
      <c r="P17" s="63"/>
      <c r="Q17" s="77"/>
      <c r="R17" s="43"/>
      <c r="S17" s="43"/>
      <c r="T17" s="43"/>
      <c r="U17" s="43"/>
      <c r="V17" s="43"/>
      <c r="W17" s="43"/>
      <c r="X17" s="43"/>
      <c r="Y17" s="43"/>
      <c r="Z17" s="77"/>
      <c r="AA17" s="77"/>
      <c r="AB17" s="77"/>
      <c r="AC17" s="183"/>
      <c r="AD17" s="128"/>
      <c r="AE17" s="48"/>
    </row>
    <row r="18" spans="1:41" s="49" customFormat="1">
      <c r="A18" s="249"/>
      <c r="B18" s="43" t="s">
        <v>15</v>
      </c>
      <c r="C18" s="76">
        <v>15</v>
      </c>
      <c r="D18" s="63"/>
      <c r="E18" s="63"/>
      <c r="F18" s="63"/>
      <c r="G18" s="63"/>
      <c r="H18" s="63"/>
      <c r="I18" s="63"/>
      <c r="J18" s="77"/>
      <c r="K18" s="63"/>
      <c r="L18" s="77"/>
      <c r="M18" s="63"/>
      <c r="N18" s="63"/>
      <c r="O18" s="77"/>
      <c r="P18" s="63"/>
      <c r="Q18" s="77"/>
      <c r="R18" s="43"/>
      <c r="S18" s="43"/>
      <c r="T18" s="43"/>
      <c r="U18" s="43"/>
      <c r="V18" s="43"/>
      <c r="W18" s="43"/>
      <c r="X18" s="43"/>
      <c r="Y18" s="43"/>
      <c r="Z18" s="77"/>
      <c r="AA18" s="77"/>
      <c r="AB18" s="77"/>
      <c r="AC18" s="183"/>
      <c r="AD18" s="128"/>
      <c r="AE18" s="48"/>
    </row>
    <row r="19" spans="1:41" s="49" customFormat="1">
      <c r="A19" s="249"/>
      <c r="B19" s="43" t="s">
        <v>15</v>
      </c>
      <c r="C19" s="62">
        <v>16</v>
      </c>
      <c r="D19" s="63"/>
      <c r="E19" s="63"/>
      <c r="F19" s="63"/>
      <c r="G19" s="63"/>
      <c r="H19" s="63"/>
      <c r="I19" s="63"/>
      <c r="J19" s="77"/>
      <c r="K19" s="63"/>
      <c r="L19" s="77"/>
      <c r="M19" s="63"/>
      <c r="N19" s="63"/>
      <c r="O19" s="77"/>
      <c r="P19" s="63"/>
      <c r="Q19" s="77"/>
      <c r="R19" s="43"/>
      <c r="S19" s="43"/>
      <c r="T19" s="43"/>
      <c r="U19" s="43"/>
      <c r="V19" s="43"/>
      <c r="W19" s="43"/>
      <c r="X19" s="43"/>
      <c r="Y19" s="43"/>
      <c r="Z19" s="77"/>
      <c r="AA19" s="77"/>
      <c r="AB19" s="77"/>
      <c r="AC19" s="183"/>
      <c r="AD19" s="128"/>
      <c r="AE19" s="48"/>
    </row>
    <row r="20" spans="1:41" s="49" customFormat="1">
      <c r="A20" s="249"/>
      <c r="B20" s="43" t="s">
        <v>15</v>
      </c>
      <c r="C20" s="76">
        <v>17</v>
      </c>
      <c r="D20" s="63"/>
      <c r="E20" s="63"/>
      <c r="F20" s="63"/>
      <c r="G20" s="63"/>
      <c r="H20" s="63"/>
      <c r="I20" s="63"/>
      <c r="J20" s="77"/>
      <c r="K20" s="63"/>
      <c r="L20" s="77"/>
      <c r="M20" s="63"/>
      <c r="N20" s="63"/>
      <c r="O20" s="77"/>
      <c r="P20" s="63"/>
      <c r="Q20" s="77"/>
      <c r="R20" s="43"/>
      <c r="S20" s="43"/>
      <c r="T20" s="43"/>
      <c r="U20" s="43"/>
      <c r="V20" s="43"/>
      <c r="W20" s="43"/>
      <c r="X20" s="43"/>
      <c r="Y20" s="43"/>
      <c r="Z20" s="77"/>
      <c r="AA20" s="77"/>
      <c r="AB20" s="77"/>
      <c r="AC20" s="183"/>
      <c r="AD20" s="128"/>
      <c r="AE20" s="48"/>
    </row>
    <row r="21" spans="1:41" s="49" customFormat="1">
      <c r="A21" s="249"/>
      <c r="B21" s="43" t="s">
        <v>15</v>
      </c>
      <c r="C21" s="62">
        <v>18</v>
      </c>
      <c r="D21" s="63"/>
      <c r="E21" s="63"/>
      <c r="F21" s="63"/>
      <c r="G21" s="63"/>
      <c r="H21" s="63"/>
      <c r="I21" s="63"/>
      <c r="J21" s="77"/>
      <c r="K21" s="63"/>
      <c r="L21" s="77"/>
      <c r="M21" s="63"/>
      <c r="N21" s="63"/>
      <c r="O21" s="77"/>
      <c r="P21" s="63"/>
      <c r="Q21" s="77"/>
      <c r="R21" s="43"/>
      <c r="S21" s="43"/>
      <c r="T21" s="43"/>
      <c r="U21" s="43"/>
      <c r="V21" s="43"/>
      <c r="W21" s="43"/>
      <c r="X21" s="43"/>
      <c r="Y21" s="43"/>
      <c r="Z21" s="77"/>
      <c r="AA21" s="77"/>
      <c r="AB21" s="77"/>
      <c r="AC21" s="183"/>
      <c r="AD21" s="128"/>
      <c r="AE21" s="48"/>
    </row>
    <row r="22" spans="1:41" s="49" customFormat="1">
      <c r="A22" s="249"/>
      <c r="B22" s="43" t="s">
        <v>15</v>
      </c>
      <c r="C22" s="76">
        <v>19</v>
      </c>
      <c r="D22" s="63"/>
      <c r="E22" s="63"/>
      <c r="F22" s="63"/>
      <c r="G22" s="63"/>
      <c r="H22" s="63"/>
      <c r="I22" s="63"/>
      <c r="J22" s="77"/>
      <c r="K22" s="63"/>
      <c r="L22" s="77"/>
      <c r="M22" s="63"/>
      <c r="N22" s="63"/>
      <c r="O22" s="77"/>
      <c r="P22" s="63"/>
      <c r="Q22" s="77"/>
      <c r="R22" s="43"/>
      <c r="S22" s="43"/>
      <c r="T22" s="43"/>
      <c r="U22" s="43"/>
      <c r="V22" s="43"/>
      <c r="W22" s="43"/>
      <c r="X22" s="43"/>
      <c r="Y22" s="43"/>
      <c r="Z22" s="77"/>
      <c r="AA22" s="77"/>
      <c r="AB22" s="77"/>
      <c r="AC22" s="183"/>
      <c r="AD22" s="128"/>
      <c r="AE22" s="48"/>
    </row>
    <row r="23" spans="1:41" s="49" customFormat="1">
      <c r="A23" s="249"/>
      <c r="B23" s="43" t="s">
        <v>15</v>
      </c>
      <c r="C23" s="62">
        <v>20</v>
      </c>
      <c r="D23" s="63"/>
      <c r="E23" s="63"/>
      <c r="F23" s="63"/>
      <c r="G23" s="63"/>
      <c r="H23" s="63"/>
      <c r="I23" s="63"/>
      <c r="J23" s="77"/>
      <c r="K23" s="77"/>
      <c r="L23" s="77"/>
      <c r="M23" s="63"/>
      <c r="N23" s="63"/>
      <c r="O23" s="63"/>
      <c r="P23" s="63"/>
      <c r="Q23" s="77"/>
      <c r="R23" s="122"/>
      <c r="S23" s="122"/>
      <c r="T23" s="122"/>
      <c r="U23" s="122"/>
      <c r="V23" s="122"/>
      <c r="W23" s="122"/>
      <c r="X23" s="122"/>
      <c r="Y23" s="122"/>
      <c r="Z23" s="77"/>
      <c r="AA23" s="77"/>
      <c r="AB23" s="77"/>
      <c r="AC23" s="183"/>
      <c r="AD23" s="128"/>
      <c r="AE23" s="48"/>
    </row>
    <row r="24" spans="1:41" s="49" customFormat="1" ht="13.5" thickBot="1">
      <c r="A24" s="245"/>
      <c r="B24" s="75"/>
      <c r="C24" s="73" t="s">
        <v>195</v>
      </c>
      <c r="D24" s="75"/>
      <c r="E24" s="75"/>
      <c r="F24" s="75"/>
      <c r="G24" s="75"/>
      <c r="H24" s="75"/>
      <c r="I24" s="75"/>
      <c r="J24" s="85"/>
      <c r="K24" s="134"/>
      <c r="L24" s="134"/>
      <c r="M24" s="134"/>
      <c r="N24" s="134"/>
      <c r="O24" s="85"/>
      <c r="P24" s="135"/>
      <c r="Q24" s="85"/>
      <c r="R24" s="70"/>
      <c r="S24" s="70"/>
      <c r="T24" s="70"/>
      <c r="U24" s="70"/>
      <c r="V24" s="70"/>
      <c r="W24" s="70"/>
      <c r="X24" s="70"/>
      <c r="Y24" s="70"/>
      <c r="Z24" s="85"/>
      <c r="AA24" s="85"/>
      <c r="AB24" s="85"/>
      <c r="AC24" s="105"/>
      <c r="AD24" s="75"/>
      <c r="AE24" s="121"/>
    </row>
    <row r="25" spans="1:41" ht="13.5" thickBot="1">
      <c r="R25" s="178"/>
      <c r="S25" s="179"/>
      <c r="T25" s="179"/>
      <c r="U25" s="180"/>
      <c r="V25" s="181"/>
      <c r="W25" s="181"/>
      <c r="X25" s="181"/>
      <c r="Y25" s="181"/>
    </row>
    <row r="26" spans="1:41" s="17" customFormat="1">
      <c r="A26" s="254"/>
      <c r="B26" s="21"/>
      <c r="C26" s="21"/>
      <c r="D26" s="21"/>
      <c r="E26" s="21"/>
      <c r="F26" s="21"/>
      <c r="G26" s="21"/>
      <c r="H26" s="21"/>
      <c r="I26" s="21"/>
      <c r="J26" s="21" t="s">
        <v>196</v>
      </c>
      <c r="K26" s="21" t="s">
        <v>196</v>
      </c>
      <c r="L26" s="21" t="s">
        <v>196</v>
      </c>
      <c r="M26" s="21"/>
      <c r="N26" s="21"/>
      <c r="O26" s="21" t="s">
        <v>196</v>
      </c>
      <c r="P26" s="21" t="s">
        <v>196</v>
      </c>
      <c r="Q26" s="21"/>
      <c r="R26" s="182" t="s">
        <v>196</v>
      </c>
      <c r="S26" s="21" t="s">
        <v>196</v>
      </c>
      <c r="T26" s="182" t="s">
        <v>196</v>
      </c>
      <c r="U26" s="182" t="s">
        <v>196</v>
      </c>
      <c r="V26" s="182" t="s">
        <v>196</v>
      </c>
      <c r="W26" s="182" t="s">
        <v>196</v>
      </c>
      <c r="X26" s="182" t="s">
        <v>196</v>
      </c>
      <c r="Y26" s="21" t="s">
        <v>196</v>
      </c>
      <c r="Z26" s="21"/>
      <c r="AA26" s="21"/>
      <c r="AB26" s="21"/>
      <c r="AC26" s="182"/>
      <c r="AD26" s="21"/>
      <c r="AE26" s="59"/>
      <c r="AF26" s="49"/>
      <c r="AG26" s="49"/>
      <c r="AH26" s="49"/>
      <c r="AI26" s="49"/>
      <c r="AJ26" s="49"/>
      <c r="AK26" s="49"/>
      <c r="AL26" s="49"/>
      <c r="AM26" s="49"/>
      <c r="AN26" s="49"/>
      <c r="AO26" s="49"/>
    </row>
    <row r="27" spans="1:41" s="406" customFormat="1" ht="9">
      <c r="A27" s="409"/>
      <c r="B27" s="403"/>
      <c r="C27" s="403"/>
      <c r="D27" s="403"/>
      <c r="E27" s="403"/>
      <c r="F27" s="403"/>
      <c r="G27" s="403"/>
      <c r="H27" s="403"/>
      <c r="I27" s="403"/>
      <c r="J27" s="36" t="s">
        <v>88</v>
      </c>
      <c r="K27" s="27" t="s">
        <v>483</v>
      </c>
      <c r="L27" s="148" t="s">
        <v>485</v>
      </c>
      <c r="M27" s="27"/>
      <c r="N27" s="27"/>
      <c r="O27" s="27" t="s">
        <v>594</v>
      </c>
      <c r="P27" s="27" t="s">
        <v>198</v>
      </c>
      <c r="Q27" s="36"/>
      <c r="R27" s="410" t="s">
        <v>595</v>
      </c>
      <c r="S27" s="27" t="s">
        <v>595</v>
      </c>
      <c r="T27" s="29" t="s">
        <v>595</v>
      </c>
      <c r="U27" s="410" t="s">
        <v>595</v>
      </c>
      <c r="V27" s="410" t="s">
        <v>595</v>
      </c>
      <c r="W27" s="410" t="s">
        <v>595</v>
      </c>
      <c r="X27" s="410" t="s">
        <v>595</v>
      </c>
      <c r="Y27" s="27" t="s">
        <v>595</v>
      </c>
      <c r="Z27" s="27"/>
      <c r="AA27" s="27"/>
      <c r="AB27" s="27"/>
      <c r="AC27" s="411"/>
      <c r="AD27" s="27"/>
      <c r="AE27" s="412"/>
      <c r="AF27" s="14"/>
      <c r="AG27" s="14"/>
      <c r="AH27" s="14"/>
      <c r="AI27" s="14"/>
      <c r="AJ27" s="14"/>
      <c r="AK27" s="14"/>
      <c r="AL27" s="14"/>
      <c r="AM27" s="14"/>
      <c r="AN27" s="14"/>
      <c r="AO27" s="14"/>
    </row>
    <row r="28" spans="1:41" s="406" customFormat="1" ht="9">
      <c r="A28" s="409"/>
      <c r="B28" s="403"/>
      <c r="C28" s="403"/>
      <c r="D28" s="403"/>
      <c r="E28" s="403"/>
      <c r="F28" s="403"/>
      <c r="G28" s="403"/>
      <c r="H28" s="403"/>
      <c r="I28" s="403"/>
      <c r="J28" s="36" t="s">
        <v>201</v>
      </c>
      <c r="K28" s="27" t="s">
        <v>490</v>
      </c>
      <c r="L28" s="148" t="s">
        <v>492</v>
      </c>
      <c r="M28" s="27"/>
      <c r="N28" s="27"/>
      <c r="O28" s="27" t="s">
        <v>596</v>
      </c>
      <c r="P28" s="27" t="s">
        <v>88</v>
      </c>
      <c r="Q28" s="27"/>
      <c r="S28" s="403"/>
      <c r="U28" s="411"/>
      <c r="V28" s="411"/>
      <c r="W28" s="411"/>
      <c r="X28" s="411"/>
      <c r="Y28" s="403"/>
      <c r="Z28" s="27"/>
      <c r="AA28" s="27"/>
      <c r="AB28" s="27"/>
      <c r="AC28" s="411"/>
      <c r="AD28" s="27"/>
      <c r="AE28" s="412"/>
      <c r="AF28" s="14"/>
      <c r="AG28" s="14"/>
      <c r="AH28" s="14"/>
      <c r="AI28" s="14"/>
      <c r="AJ28" s="14"/>
      <c r="AK28" s="14"/>
      <c r="AL28" s="14"/>
      <c r="AM28" s="14"/>
      <c r="AN28" s="14"/>
      <c r="AO28" s="14"/>
    </row>
    <row r="29" spans="1:41" s="406" customFormat="1" ht="9">
      <c r="A29" s="409"/>
      <c r="B29" s="403"/>
      <c r="C29" s="403"/>
      <c r="D29" s="403"/>
      <c r="E29" s="403"/>
      <c r="F29" s="403"/>
      <c r="G29" s="403"/>
      <c r="H29" s="403"/>
      <c r="I29" s="403"/>
      <c r="J29" s="36" t="s">
        <v>205</v>
      </c>
      <c r="K29" s="27" t="s">
        <v>497</v>
      </c>
      <c r="L29" s="148" t="s">
        <v>499</v>
      </c>
      <c r="M29" s="27"/>
      <c r="N29" s="27"/>
      <c r="O29" s="27" t="s">
        <v>597</v>
      </c>
      <c r="P29" s="27"/>
      <c r="Q29" s="36"/>
      <c r="R29" s="410"/>
      <c r="S29" s="27"/>
      <c r="T29" s="29"/>
      <c r="U29" s="410"/>
      <c r="V29" s="410"/>
      <c r="W29" s="410"/>
      <c r="X29" s="410"/>
      <c r="Y29" s="27"/>
      <c r="Z29" s="27"/>
      <c r="AA29" s="27"/>
      <c r="AB29" s="27"/>
      <c r="AC29" s="411"/>
      <c r="AD29" s="27"/>
      <c r="AE29" s="412"/>
      <c r="AF29" s="14"/>
      <c r="AG29" s="14"/>
      <c r="AH29" s="14"/>
      <c r="AI29" s="14"/>
      <c r="AJ29" s="14"/>
      <c r="AK29" s="14"/>
      <c r="AL29" s="14"/>
      <c r="AM29" s="14"/>
      <c r="AN29" s="14"/>
      <c r="AO29" s="14"/>
    </row>
    <row r="30" spans="1:41" s="406" customFormat="1" ht="9">
      <c r="A30" s="409"/>
      <c r="B30" s="403"/>
      <c r="C30" s="403"/>
      <c r="D30" s="403"/>
      <c r="E30" s="403"/>
      <c r="F30" s="403"/>
      <c r="G30" s="403"/>
      <c r="H30" s="403"/>
      <c r="I30" s="403"/>
      <c r="J30" s="36" t="s">
        <v>208</v>
      </c>
      <c r="K30" s="27" t="s">
        <v>504</v>
      </c>
      <c r="L30" s="149" t="s">
        <v>506</v>
      </c>
      <c r="M30" s="27"/>
      <c r="N30" s="27"/>
      <c r="O30" s="27" t="s">
        <v>598</v>
      </c>
      <c r="P30" s="27"/>
      <c r="Q30" s="36"/>
      <c r="R30" s="410"/>
      <c r="S30" s="27"/>
      <c r="T30" s="29"/>
      <c r="U30" s="410"/>
      <c r="V30" s="410"/>
      <c r="W30" s="27"/>
      <c r="X30" s="27"/>
      <c r="Y30" s="413"/>
      <c r="Z30" s="27"/>
      <c r="AA30" s="27"/>
      <c r="AB30" s="27"/>
      <c r="AC30" s="411"/>
      <c r="AD30" s="27"/>
      <c r="AE30" s="412"/>
      <c r="AF30" s="14"/>
      <c r="AG30" s="14"/>
      <c r="AH30" s="14"/>
      <c r="AI30" s="14"/>
      <c r="AJ30" s="14"/>
      <c r="AK30" s="14"/>
      <c r="AL30" s="14"/>
      <c r="AM30" s="14"/>
      <c r="AN30" s="14"/>
      <c r="AO30" s="14"/>
    </row>
    <row r="31" spans="1:41" s="406" customFormat="1" ht="9">
      <c r="A31" s="409"/>
      <c r="B31" s="403"/>
      <c r="C31" s="403"/>
      <c r="D31" s="403"/>
      <c r="E31" s="403"/>
      <c r="F31" s="403"/>
      <c r="G31" s="403"/>
      <c r="H31" s="403"/>
      <c r="I31" s="403"/>
      <c r="J31" s="36" t="s">
        <v>210</v>
      </c>
      <c r="K31" s="27" t="s">
        <v>509</v>
      </c>
      <c r="L31" s="149" t="s">
        <v>511</v>
      </c>
      <c r="M31" s="27"/>
      <c r="N31" s="27"/>
      <c r="O31" s="27" t="s">
        <v>599</v>
      </c>
      <c r="P31" s="27"/>
      <c r="Q31" s="36"/>
      <c r="R31" s="410"/>
      <c r="S31" s="27"/>
      <c r="T31" s="29"/>
      <c r="U31" s="27"/>
      <c r="V31" s="29"/>
      <c r="W31" s="27"/>
      <c r="X31" s="27"/>
      <c r="Y31" s="413"/>
      <c r="Z31" s="27"/>
      <c r="AA31" s="27"/>
      <c r="AB31" s="27"/>
      <c r="AC31" s="411"/>
      <c r="AD31" s="27"/>
      <c r="AE31" s="412"/>
      <c r="AF31" s="14"/>
      <c r="AG31" s="14"/>
      <c r="AH31" s="14"/>
      <c r="AI31" s="14"/>
      <c r="AJ31" s="14"/>
      <c r="AK31" s="14"/>
      <c r="AL31" s="14"/>
      <c r="AM31" s="14"/>
      <c r="AN31" s="14"/>
      <c r="AO31" s="14"/>
    </row>
    <row r="32" spans="1:41" s="406" customFormat="1" ht="9">
      <c r="A32" s="409"/>
      <c r="B32" s="403"/>
      <c r="C32" s="403"/>
      <c r="D32" s="403"/>
      <c r="E32" s="403"/>
      <c r="F32" s="403"/>
      <c r="G32" s="403"/>
      <c r="H32" s="403"/>
      <c r="I32" s="403"/>
      <c r="J32" s="36" t="s">
        <v>212</v>
      </c>
      <c r="K32" s="27" t="s">
        <v>513</v>
      </c>
      <c r="L32" s="148" t="s">
        <v>515</v>
      </c>
      <c r="M32" s="27"/>
      <c r="N32" s="27"/>
      <c r="O32" s="27" t="s">
        <v>600</v>
      </c>
      <c r="P32" s="27"/>
      <c r="Q32" s="36"/>
      <c r="R32" s="410"/>
      <c r="S32" s="27"/>
      <c r="T32" s="29"/>
      <c r="U32" s="27"/>
      <c r="V32" s="29"/>
      <c r="W32" s="27"/>
      <c r="X32" s="27"/>
      <c r="Y32" s="413"/>
      <c r="Z32" s="27"/>
      <c r="AA32" s="27"/>
      <c r="AB32" s="403"/>
      <c r="AC32" s="411"/>
      <c r="AD32" s="403"/>
      <c r="AE32" s="414"/>
      <c r="AF32" s="14"/>
      <c r="AG32" s="14"/>
      <c r="AH32" s="14"/>
      <c r="AI32" s="14"/>
      <c r="AJ32" s="14"/>
      <c r="AK32" s="14"/>
      <c r="AL32" s="14"/>
      <c r="AM32" s="14"/>
      <c r="AN32" s="14"/>
      <c r="AO32" s="14"/>
    </row>
    <row r="33" spans="1:41" s="406" customFormat="1" ht="9">
      <c r="A33" s="409"/>
      <c r="B33" s="403"/>
      <c r="C33" s="403"/>
      <c r="D33" s="403"/>
      <c r="E33" s="403"/>
      <c r="F33" s="403"/>
      <c r="G33" s="403"/>
      <c r="H33" s="403"/>
      <c r="I33" s="403"/>
      <c r="J33" s="36" t="s">
        <v>213</v>
      </c>
      <c r="K33" s="27" t="s">
        <v>517</v>
      </c>
      <c r="L33" s="149" t="s">
        <v>519</v>
      </c>
      <c r="M33" s="27"/>
      <c r="N33" s="27"/>
      <c r="O33" s="27" t="s">
        <v>601</v>
      </c>
      <c r="P33" s="27"/>
      <c r="Q33" s="36"/>
      <c r="R33" s="410"/>
      <c r="S33" s="27"/>
      <c r="T33" s="29"/>
      <c r="U33" s="27"/>
      <c r="V33" s="29"/>
      <c r="W33" s="27"/>
      <c r="X33" s="27"/>
      <c r="Y33" s="413"/>
      <c r="Z33" s="403"/>
      <c r="AA33" s="403"/>
      <c r="AB33" s="403"/>
      <c r="AC33" s="411"/>
      <c r="AD33" s="403"/>
      <c r="AE33" s="414"/>
      <c r="AF33" s="14"/>
      <c r="AG33" s="14"/>
      <c r="AH33" s="14"/>
      <c r="AI33" s="14"/>
      <c r="AJ33" s="14"/>
      <c r="AK33" s="14"/>
      <c r="AL33" s="14"/>
      <c r="AM33" s="14"/>
      <c r="AN33" s="14"/>
      <c r="AO33" s="14"/>
    </row>
    <row r="34" spans="1:41" s="406" customFormat="1" ht="9">
      <c r="A34" s="409"/>
      <c r="B34" s="403"/>
      <c r="C34" s="403"/>
      <c r="D34" s="403"/>
      <c r="E34" s="403"/>
      <c r="F34" s="403"/>
      <c r="G34" s="403"/>
      <c r="H34" s="403"/>
      <c r="I34" s="403"/>
      <c r="J34" s="36" t="s">
        <v>215</v>
      </c>
      <c r="K34" s="27" t="s">
        <v>521</v>
      </c>
      <c r="L34" s="148" t="s">
        <v>522</v>
      </c>
      <c r="M34" s="27"/>
      <c r="N34" s="27"/>
      <c r="O34" s="27" t="s">
        <v>602</v>
      </c>
      <c r="P34" s="27"/>
      <c r="Q34" s="403"/>
      <c r="R34" s="410"/>
      <c r="S34" s="27"/>
      <c r="T34" s="29"/>
      <c r="U34" s="27"/>
      <c r="V34" s="29"/>
      <c r="W34" s="27"/>
      <c r="X34" s="27"/>
      <c r="Y34" s="413"/>
      <c r="Z34" s="403"/>
      <c r="AA34" s="403"/>
      <c r="AB34" s="403"/>
      <c r="AC34" s="411"/>
      <c r="AD34" s="403"/>
      <c r="AE34" s="414"/>
      <c r="AF34" s="14"/>
      <c r="AG34" s="14"/>
      <c r="AH34" s="14"/>
      <c r="AI34" s="14"/>
      <c r="AJ34" s="14"/>
      <c r="AK34" s="14"/>
      <c r="AL34" s="14"/>
      <c r="AM34" s="14"/>
      <c r="AN34" s="14"/>
      <c r="AO34" s="14"/>
    </row>
    <row r="35" spans="1:41" s="406" customFormat="1" ht="9">
      <c r="A35" s="409"/>
      <c r="B35" s="403"/>
      <c r="C35" s="403"/>
      <c r="D35" s="403"/>
      <c r="E35" s="403"/>
      <c r="F35" s="403"/>
      <c r="G35" s="403"/>
      <c r="H35" s="403"/>
      <c r="I35" s="403"/>
      <c r="J35" s="403"/>
      <c r="K35" s="27" t="s">
        <v>523</v>
      </c>
      <c r="L35" s="148" t="s">
        <v>524</v>
      </c>
      <c r="M35" s="27"/>
      <c r="N35" s="27"/>
      <c r="O35" s="27" t="s">
        <v>603</v>
      </c>
      <c r="P35" s="27"/>
      <c r="Q35" s="403"/>
      <c r="R35" s="410"/>
      <c r="S35" s="27"/>
      <c r="T35" s="29"/>
      <c r="U35" s="27"/>
      <c r="V35" s="29"/>
      <c r="W35" s="27"/>
      <c r="X35" s="27"/>
      <c r="Y35" s="413"/>
      <c r="Z35" s="403"/>
      <c r="AA35" s="403"/>
      <c r="AB35" s="403"/>
      <c r="AC35" s="411"/>
      <c r="AD35" s="403"/>
      <c r="AE35" s="414"/>
      <c r="AF35" s="14"/>
      <c r="AG35" s="14"/>
      <c r="AH35" s="14"/>
      <c r="AI35" s="14"/>
      <c r="AJ35" s="14"/>
      <c r="AK35" s="14"/>
      <c r="AL35" s="14"/>
      <c r="AM35" s="14"/>
      <c r="AN35" s="14"/>
      <c r="AO35" s="14"/>
    </row>
    <row r="36" spans="1:41" s="406" customFormat="1" ht="9">
      <c r="A36" s="409"/>
      <c r="B36" s="403"/>
      <c r="C36" s="403"/>
      <c r="D36" s="403"/>
      <c r="E36" s="403"/>
      <c r="F36" s="403"/>
      <c r="G36" s="403"/>
      <c r="H36" s="403"/>
      <c r="I36" s="403"/>
      <c r="J36" s="403"/>
      <c r="K36" s="27" t="s">
        <v>525</v>
      </c>
      <c r="L36" s="149" t="s">
        <v>526</v>
      </c>
      <c r="M36" s="27"/>
      <c r="N36" s="27"/>
      <c r="O36" s="27" t="s">
        <v>592</v>
      </c>
      <c r="P36" s="27"/>
      <c r="Q36" s="403"/>
      <c r="R36" s="410"/>
      <c r="S36" s="27"/>
      <c r="T36" s="29"/>
      <c r="U36" s="27"/>
      <c r="V36" s="29"/>
      <c r="W36" s="27"/>
      <c r="X36" s="27"/>
      <c r="Y36" s="413"/>
      <c r="Z36" s="403"/>
      <c r="AA36" s="403"/>
      <c r="AB36" s="403"/>
      <c r="AC36" s="411"/>
      <c r="AD36" s="403"/>
      <c r="AE36" s="414"/>
      <c r="AF36" s="14"/>
      <c r="AG36" s="14"/>
      <c r="AH36" s="14"/>
      <c r="AI36" s="14"/>
      <c r="AJ36" s="14"/>
      <c r="AK36" s="14"/>
      <c r="AL36" s="14"/>
      <c r="AM36" s="14"/>
      <c r="AN36" s="14"/>
      <c r="AO36" s="14"/>
    </row>
    <row r="37" spans="1:41" s="406" customFormat="1" ht="9">
      <c r="A37" s="409"/>
      <c r="B37" s="403"/>
      <c r="C37" s="403"/>
      <c r="D37" s="403"/>
      <c r="E37" s="403"/>
      <c r="F37" s="403"/>
      <c r="G37" s="403"/>
      <c r="H37" s="403"/>
      <c r="I37" s="403"/>
      <c r="J37" s="403"/>
      <c r="K37" s="27" t="s">
        <v>527</v>
      </c>
      <c r="L37" s="149" t="s">
        <v>528</v>
      </c>
      <c r="M37" s="27"/>
      <c r="N37" s="27"/>
      <c r="O37" s="403"/>
      <c r="P37" s="27"/>
      <c r="Q37" s="403"/>
      <c r="R37" s="370"/>
      <c r="S37" s="31"/>
      <c r="T37" s="370"/>
      <c r="U37" s="31"/>
      <c r="V37" s="370"/>
      <c r="W37" s="31"/>
      <c r="X37" s="31"/>
      <c r="Y37" s="415"/>
      <c r="Z37" s="403"/>
      <c r="AA37" s="403"/>
      <c r="AB37" s="403"/>
      <c r="AC37" s="411"/>
      <c r="AD37" s="403"/>
      <c r="AE37" s="414"/>
      <c r="AF37" s="14"/>
      <c r="AG37" s="14"/>
      <c r="AH37" s="14"/>
      <c r="AI37" s="14"/>
      <c r="AJ37" s="14"/>
      <c r="AK37" s="14"/>
      <c r="AL37" s="14"/>
      <c r="AM37" s="14"/>
      <c r="AN37" s="14"/>
      <c r="AO37" s="14"/>
    </row>
    <row r="38" spans="1:41" s="406" customFormat="1" ht="9">
      <c r="A38" s="409"/>
      <c r="B38" s="403"/>
      <c r="C38" s="403"/>
      <c r="D38" s="403"/>
      <c r="E38" s="403"/>
      <c r="F38" s="403"/>
      <c r="G38" s="403"/>
      <c r="H38" s="403"/>
      <c r="I38" s="403"/>
      <c r="J38" s="403"/>
      <c r="K38" s="27" t="s">
        <v>530</v>
      </c>
      <c r="L38" s="148" t="s">
        <v>531</v>
      </c>
      <c r="M38" s="27"/>
      <c r="N38" s="27"/>
      <c r="O38" s="403"/>
      <c r="P38" s="27"/>
      <c r="Q38" s="403"/>
      <c r="R38" s="370"/>
      <c r="S38" s="31"/>
      <c r="T38" s="370"/>
      <c r="U38" s="31"/>
      <c r="V38" s="370"/>
      <c r="W38" s="31"/>
      <c r="X38" s="31"/>
      <c r="Y38" s="415"/>
      <c r="Z38" s="403"/>
      <c r="AA38" s="403"/>
      <c r="AB38" s="403"/>
      <c r="AC38" s="411"/>
      <c r="AD38" s="403"/>
      <c r="AE38" s="414"/>
      <c r="AF38" s="14"/>
      <c r="AG38" s="14"/>
      <c r="AH38" s="14"/>
      <c r="AI38" s="14"/>
      <c r="AJ38" s="14"/>
      <c r="AK38" s="14"/>
      <c r="AL38" s="14"/>
      <c r="AM38" s="14"/>
      <c r="AN38" s="14"/>
      <c r="AO38" s="14"/>
    </row>
    <row r="39" spans="1:41" s="14" customFormat="1" ht="9">
      <c r="A39" s="115"/>
      <c r="B39" s="36"/>
      <c r="C39" s="36"/>
      <c r="D39" s="36"/>
      <c r="E39" s="36"/>
      <c r="F39" s="36"/>
      <c r="G39" s="36"/>
      <c r="H39" s="36"/>
      <c r="I39" s="36"/>
      <c r="J39" s="36"/>
      <c r="K39" s="36"/>
      <c r="L39" s="149" t="s">
        <v>532</v>
      </c>
      <c r="M39" s="36"/>
      <c r="N39" s="36"/>
      <c r="O39" s="36"/>
      <c r="P39" s="154"/>
      <c r="Q39" s="36"/>
      <c r="R39" s="360"/>
      <c r="S39" s="31"/>
      <c r="T39" s="370"/>
      <c r="U39" s="31"/>
      <c r="V39" s="370"/>
      <c r="W39" s="31"/>
      <c r="X39" s="31"/>
      <c r="Y39" s="415"/>
      <c r="Z39" s="36"/>
      <c r="AA39" s="36"/>
      <c r="AB39" s="36"/>
      <c r="AC39" s="354"/>
      <c r="AD39" s="36"/>
      <c r="AE39" s="56"/>
    </row>
    <row r="40" spans="1:41" s="29" customFormat="1" ht="9">
      <c r="A40" s="258"/>
      <c r="B40" s="27"/>
      <c r="C40" s="27"/>
      <c r="D40" s="27"/>
      <c r="E40" s="27"/>
      <c r="F40" s="27"/>
      <c r="G40" s="27"/>
      <c r="H40" s="27"/>
      <c r="I40" s="27"/>
      <c r="J40" s="27"/>
      <c r="K40" s="27"/>
      <c r="L40" s="148" t="s">
        <v>533</v>
      </c>
      <c r="M40" s="27"/>
      <c r="N40" s="27"/>
      <c r="O40" s="27"/>
      <c r="P40" s="31"/>
      <c r="Q40" s="27"/>
      <c r="R40" s="370"/>
      <c r="S40" s="31"/>
      <c r="T40" s="370"/>
      <c r="U40" s="31"/>
      <c r="V40" s="370"/>
      <c r="W40" s="31"/>
      <c r="X40" s="31"/>
      <c r="Y40" s="370"/>
      <c r="Z40" s="27"/>
      <c r="AA40" s="27"/>
      <c r="AB40" s="27"/>
      <c r="AC40" s="410"/>
      <c r="AD40" s="27"/>
      <c r="AE40" s="412"/>
      <c r="AF40" s="14"/>
      <c r="AG40" s="14"/>
      <c r="AH40" s="14"/>
      <c r="AI40" s="14"/>
      <c r="AJ40" s="14"/>
      <c r="AK40" s="14"/>
      <c r="AL40" s="14"/>
      <c r="AM40" s="14"/>
      <c r="AN40" s="14"/>
      <c r="AO40" s="14"/>
    </row>
    <row r="41" spans="1:41" s="29" customFormat="1" ht="9">
      <c r="A41" s="258"/>
      <c r="B41" s="27"/>
      <c r="C41" s="27"/>
      <c r="D41" s="27"/>
      <c r="E41" s="27"/>
      <c r="F41" s="27"/>
      <c r="G41" s="27"/>
      <c r="H41" s="27"/>
      <c r="I41" s="27"/>
      <c r="J41" s="27"/>
      <c r="K41" s="27"/>
      <c r="L41" s="148" t="s">
        <v>534</v>
      </c>
      <c r="M41" s="27"/>
      <c r="N41" s="27"/>
      <c r="O41" s="27"/>
      <c r="P41" s="31"/>
      <c r="Q41" s="27"/>
      <c r="R41" s="370"/>
      <c r="S41" s="31"/>
      <c r="T41" s="370"/>
      <c r="U41" s="31"/>
      <c r="V41" s="370"/>
      <c r="W41" s="31"/>
      <c r="X41" s="31"/>
      <c r="Y41" s="370"/>
      <c r="Z41" s="27"/>
      <c r="AA41" s="27"/>
      <c r="AB41" s="27"/>
      <c r="AC41" s="410"/>
      <c r="AD41" s="27"/>
      <c r="AE41" s="412"/>
      <c r="AF41" s="14"/>
      <c r="AG41" s="14"/>
      <c r="AH41" s="14"/>
      <c r="AI41" s="14"/>
      <c r="AJ41" s="14"/>
      <c r="AK41" s="14"/>
      <c r="AL41" s="14"/>
      <c r="AM41" s="14"/>
      <c r="AN41" s="14"/>
      <c r="AO41" s="14"/>
    </row>
    <row r="42" spans="1:41" s="29" customFormat="1" ht="9">
      <c r="A42" s="258"/>
      <c r="B42" s="27"/>
      <c r="C42" s="27"/>
      <c r="D42" s="27"/>
      <c r="E42" s="27"/>
      <c r="F42" s="27"/>
      <c r="G42" s="27"/>
      <c r="H42" s="27"/>
      <c r="I42" s="27"/>
      <c r="J42" s="27"/>
      <c r="K42" s="27"/>
      <c r="L42" s="148" t="s">
        <v>535</v>
      </c>
      <c r="M42" s="27"/>
      <c r="N42" s="27"/>
      <c r="O42" s="27"/>
      <c r="P42" s="31"/>
      <c r="Q42" s="27"/>
      <c r="R42" s="370"/>
      <c r="S42" s="31"/>
      <c r="T42" s="370"/>
      <c r="U42" s="31"/>
      <c r="V42" s="370"/>
      <c r="W42" s="31"/>
      <c r="X42" s="31"/>
      <c r="Y42" s="370"/>
      <c r="Z42" s="27"/>
      <c r="AA42" s="27"/>
      <c r="AB42" s="27"/>
      <c r="AC42" s="410"/>
      <c r="AD42" s="27"/>
      <c r="AE42" s="412"/>
      <c r="AF42" s="14"/>
      <c r="AG42" s="14"/>
      <c r="AH42" s="14"/>
      <c r="AI42" s="14"/>
      <c r="AJ42" s="14"/>
      <c r="AK42" s="14"/>
      <c r="AL42" s="14"/>
      <c r="AM42" s="14"/>
      <c r="AN42" s="14"/>
      <c r="AO42" s="14"/>
    </row>
    <row r="43" spans="1:41" s="29" customFormat="1" ht="9">
      <c r="A43" s="258"/>
      <c r="B43" s="27"/>
      <c r="C43" s="27"/>
      <c r="D43" s="27"/>
      <c r="E43" s="27"/>
      <c r="F43" s="27"/>
      <c r="G43" s="27"/>
      <c r="H43" s="27"/>
      <c r="I43" s="27"/>
      <c r="J43" s="27"/>
      <c r="K43" s="27"/>
      <c r="L43" s="148" t="s">
        <v>536</v>
      </c>
      <c r="M43" s="27"/>
      <c r="N43" s="27"/>
      <c r="O43" s="27"/>
      <c r="P43" s="31"/>
      <c r="Q43" s="27"/>
      <c r="R43" s="370"/>
      <c r="S43" s="31"/>
      <c r="T43" s="370"/>
      <c r="U43" s="31"/>
      <c r="V43" s="370"/>
      <c r="W43" s="31"/>
      <c r="X43" s="31"/>
      <c r="Y43" s="370"/>
      <c r="Z43" s="27"/>
      <c r="AA43" s="27"/>
      <c r="AB43" s="27"/>
      <c r="AC43" s="410"/>
      <c r="AD43" s="27"/>
      <c r="AE43" s="412"/>
      <c r="AF43" s="14"/>
      <c r="AG43" s="14"/>
      <c r="AH43" s="14"/>
      <c r="AI43" s="14"/>
      <c r="AJ43" s="14"/>
      <c r="AK43" s="14"/>
      <c r="AL43" s="14"/>
      <c r="AM43" s="14"/>
      <c r="AN43" s="14"/>
      <c r="AO43" s="14"/>
    </row>
    <row r="44" spans="1:41" s="29" customFormat="1" ht="9">
      <c r="A44" s="258"/>
      <c r="B44" s="27"/>
      <c r="C44" s="27"/>
      <c r="D44" s="27"/>
      <c r="E44" s="27"/>
      <c r="F44" s="27"/>
      <c r="G44" s="27"/>
      <c r="H44" s="27"/>
      <c r="I44" s="27"/>
      <c r="J44" s="27"/>
      <c r="K44" s="27"/>
      <c r="L44" s="148" t="s">
        <v>537</v>
      </c>
      <c r="M44" s="27"/>
      <c r="N44" s="27"/>
      <c r="O44" s="27"/>
      <c r="P44" s="31"/>
      <c r="Q44" s="27"/>
      <c r="R44" s="370"/>
      <c r="S44" s="31"/>
      <c r="T44" s="370"/>
      <c r="U44" s="31"/>
      <c r="V44" s="370"/>
      <c r="W44" s="31"/>
      <c r="X44" s="31"/>
      <c r="Y44" s="370"/>
      <c r="Z44" s="27"/>
      <c r="AA44" s="27"/>
      <c r="AB44" s="27"/>
      <c r="AC44" s="410"/>
      <c r="AD44" s="27"/>
      <c r="AE44" s="412"/>
      <c r="AF44" s="14"/>
      <c r="AG44" s="14"/>
      <c r="AH44" s="14"/>
      <c r="AI44" s="14"/>
      <c r="AJ44" s="14"/>
      <c r="AK44" s="14"/>
      <c r="AL44" s="14"/>
      <c r="AM44" s="14"/>
      <c r="AN44" s="14"/>
      <c r="AO44" s="14"/>
    </row>
    <row r="45" spans="1:41" s="29" customFormat="1" ht="9">
      <c r="A45" s="258"/>
      <c r="B45" s="27"/>
      <c r="C45" s="27"/>
      <c r="D45" s="27"/>
      <c r="E45" s="27"/>
      <c r="F45" s="27"/>
      <c r="G45" s="27"/>
      <c r="H45" s="27"/>
      <c r="I45" s="27"/>
      <c r="J45" s="27"/>
      <c r="K45" s="27"/>
      <c r="L45" s="148" t="s">
        <v>538</v>
      </c>
      <c r="M45" s="27"/>
      <c r="N45" s="27"/>
      <c r="O45" s="27"/>
      <c r="P45" s="31"/>
      <c r="Q45" s="27"/>
      <c r="R45" s="370"/>
      <c r="S45" s="31"/>
      <c r="T45" s="370"/>
      <c r="U45" s="31"/>
      <c r="V45" s="370"/>
      <c r="W45" s="31"/>
      <c r="X45" s="31"/>
      <c r="Y45" s="370"/>
      <c r="Z45" s="27"/>
      <c r="AA45" s="27"/>
      <c r="AB45" s="27"/>
      <c r="AC45" s="410"/>
      <c r="AD45" s="27"/>
      <c r="AE45" s="412"/>
      <c r="AF45" s="14"/>
      <c r="AG45" s="14"/>
      <c r="AH45" s="14"/>
      <c r="AI45" s="14"/>
      <c r="AJ45" s="14"/>
      <c r="AK45" s="14"/>
      <c r="AL45" s="14"/>
      <c r="AM45" s="14"/>
      <c r="AN45" s="14"/>
      <c r="AO45" s="14"/>
    </row>
    <row r="46" spans="1:41" s="29" customFormat="1" ht="9">
      <c r="A46" s="258"/>
      <c r="B46" s="27"/>
      <c r="C46" s="27"/>
      <c r="D46" s="27"/>
      <c r="E46" s="27"/>
      <c r="F46" s="27"/>
      <c r="G46" s="27"/>
      <c r="H46" s="27"/>
      <c r="I46" s="27"/>
      <c r="J46" s="27"/>
      <c r="K46" s="27"/>
      <c r="L46" s="150" t="s">
        <v>539</v>
      </c>
      <c r="M46" s="27"/>
      <c r="N46" s="27"/>
      <c r="O46" s="27"/>
      <c r="P46" s="31"/>
      <c r="Q46" s="27"/>
      <c r="R46" s="370"/>
      <c r="S46" s="31"/>
      <c r="T46" s="370"/>
      <c r="U46" s="31"/>
      <c r="V46" s="370"/>
      <c r="W46" s="31"/>
      <c r="X46" s="31"/>
      <c r="Y46" s="370"/>
      <c r="Z46" s="27"/>
      <c r="AA46" s="27"/>
      <c r="AB46" s="27"/>
      <c r="AC46" s="410"/>
      <c r="AD46" s="27"/>
      <c r="AE46" s="412"/>
      <c r="AF46" s="14"/>
      <c r="AG46" s="14"/>
      <c r="AH46" s="14"/>
      <c r="AI46" s="14"/>
      <c r="AJ46" s="14"/>
      <c r="AK46" s="14"/>
      <c r="AL46" s="14"/>
      <c r="AM46" s="14"/>
      <c r="AN46" s="14"/>
      <c r="AO46" s="14"/>
    </row>
    <row r="47" spans="1:41" s="29" customFormat="1" ht="9">
      <c r="A47" s="258"/>
      <c r="B47" s="27"/>
      <c r="C47" s="27"/>
      <c r="D47" s="27"/>
      <c r="E47" s="27"/>
      <c r="F47" s="27"/>
      <c r="G47" s="27"/>
      <c r="H47" s="27"/>
      <c r="I47" s="27"/>
      <c r="J47" s="27"/>
      <c r="K47" s="27"/>
      <c r="L47" s="149" t="s">
        <v>540</v>
      </c>
      <c r="M47" s="27"/>
      <c r="N47" s="27"/>
      <c r="O47" s="27"/>
      <c r="P47" s="31"/>
      <c r="Q47" s="27"/>
      <c r="R47" s="370"/>
      <c r="S47" s="31"/>
      <c r="T47" s="370"/>
      <c r="U47" s="31"/>
      <c r="V47" s="370"/>
      <c r="W47" s="31"/>
      <c r="X47" s="31"/>
      <c r="Y47" s="370"/>
      <c r="Z47" s="27"/>
      <c r="AA47" s="27"/>
      <c r="AB47" s="27"/>
      <c r="AC47" s="410"/>
      <c r="AD47" s="27"/>
      <c r="AE47" s="412"/>
      <c r="AF47" s="14"/>
      <c r="AG47" s="14"/>
      <c r="AH47" s="14"/>
      <c r="AI47" s="14"/>
      <c r="AJ47" s="14"/>
      <c r="AK47" s="14"/>
      <c r="AL47" s="14"/>
      <c r="AM47" s="14"/>
      <c r="AN47" s="14"/>
      <c r="AO47" s="14"/>
    </row>
    <row r="48" spans="1:41" s="29" customFormat="1" ht="9">
      <c r="A48" s="258"/>
      <c r="B48" s="27"/>
      <c r="C48" s="27"/>
      <c r="D48" s="27"/>
      <c r="E48" s="27"/>
      <c r="F48" s="27"/>
      <c r="G48" s="27"/>
      <c r="H48" s="27"/>
      <c r="I48" s="27"/>
      <c r="J48" s="27"/>
      <c r="K48" s="27"/>
      <c r="L48" s="149" t="s">
        <v>541</v>
      </c>
      <c r="M48" s="27"/>
      <c r="N48" s="27"/>
      <c r="O48" s="27"/>
      <c r="P48" s="31"/>
      <c r="Q48" s="27"/>
      <c r="R48" s="370"/>
      <c r="S48" s="31"/>
      <c r="T48" s="370"/>
      <c r="U48" s="31"/>
      <c r="V48" s="370"/>
      <c r="W48" s="31"/>
      <c r="X48" s="31"/>
      <c r="Y48" s="370"/>
      <c r="Z48" s="27"/>
      <c r="AA48" s="27"/>
      <c r="AB48" s="27"/>
      <c r="AC48" s="410"/>
      <c r="AD48" s="27"/>
      <c r="AE48" s="412"/>
      <c r="AF48" s="14"/>
      <c r="AG48" s="14"/>
      <c r="AH48" s="14"/>
      <c r="AI48" s="14"/>
      <c r="AJ48" s="14"/>
      <c r="AK48" s="14"/>
      <c r="AL48" s="14"/>
      <c r="AM48" s="14"/>
      <c r="AN48" s="14"/>
      <c r="AO48" s="14"/>
    </row>
    <row r="49" spans="1:41" s="29" customFormat="1" ht="9">
      <c r="A49" s="258"/>
      <c r="B49" s="27"/>
      <c r="C49" s="27"/>
      <c r="D49" s="27"/>
      <c r="E49" s="27"/>
      <c r="F49" s="27"/>
      <c r="G49" s="27"/>
      <c r="H49" s="27"/>
      <c r="I49" s="27"/>
      <c r="J49" s="27"/>
      <c r="K49" s="27"/>
      <c r="L49" s="148" t="s">
        <v>542</v>
      </c>
      <c r="M49" s="27"/>
      <c r="N49" s="27"/>
      <c r="O49" s="27"/>
      <c r="P49" s="31"/>
      <c r="Q49" s="27"/>
      <c r="R49" s="370"/>
      <c r="S49" s="31"/>
      <c r="T49" s="370"/>
      <c r="U49" s="31"/>
      <c r="V49" s="370"/>
      <c r="W49" s="31"/>
      <c r="X49" s="31"/>
      <c r="Y49" s="370"/>
      <c r="Z49" s="27"/>
      <c r="AA49" s="27"/>
      <c r="AB49" s="27"/>
      <c r="AC49" s="410"/>
      <c r="AD49" s="27"/>
      <c r="AE49" s="412"/>
      <c r="AF49" s="14"/>
      <c r="AG49" s="14"/>
      <c r="AH49" s="14"/>
      <c r="AI49" s="14"/>
      <c r="AJ49" s="14"/>
      <c r="AK49" s="14"/>
      <c r="AL49" s="14"/>
      <c r="AM49" s="14"/>
      <c r="AN49" s="14"/>
      <c r="AO49" s="14"/>
    </row>
    <row r="50" spans="1:41" s="29" customFormat="1" ht="9">
      <c r="A50" s="258"/>
      <c r="B50" s="27"/>
      <c r="C50" s="27"/>
      <c r="D50" s="27"/>
      <c r="E50" s="27"/>
      <c r="F50" s="27"/>
      <c r="G50" s="27"/>
      <c r="H50" s="27"/>
      <c r="I50" s="27"/>
      <c r="J50" s="27"/>
      <c r="K50" s="27"/>
      <c r="L50" s="148" t="s">
        <v>543</v>
      </c>
      <c r="M50" s="27"/>
      <c r="N50" s="27"/>
      <c r="O50" s="27"/>
      <c r="P50" s="31"/>
      <c r="Q50" s="27"/>
      <c r="R50" s="370"/>
      <c r="S50" s="31"/>
      <c r="T50" s="370"/>
      <c r="U50" s="31"/>
      <c r="V50" s="370"/>
      <c r="W50" s="31"/>
      <c r="X50" s="31"/>
      <c r="Y50" s="370"/>
      <c r="Z50" s="27"/>
      <c r="AA50" s="27"/>
      <c r="AB50" s="27"/>
      <c r="AC50" s="410"/>
      <c r="AD50" s="27"/>
      <c r="AE50" s="412"/>
      <c r="AF50" s="14"/>
      <c r="AG50" s="14"/>
      <c r="AH50" s="14"/>
      <c r="AI50" s="14"/>
      <c r="AJ50" s="14"/>
      <c r="AK50" s="14"/>
      <c r="AL50" s="14"/>
      <c r="AM50" s="14"/>
      <c r="AN50" s="14"/>
      <c r="AO50" s="14"/>
    </row>
    <row r="51" spans="1:41" s="29" customFormat="1" ht="9">
      <c r="A51" s="258"/>
      <c r="B51" s="27"/>
      <c r="C51" s="27"/>
      <c r="D51" s="27"/>
      <c r="E51" s="27"/>
      <c r="F51" s="27"/>
      <c r="G51" s="27"/>
      <c r="H51" s="27"/>
      <c r="I51" s="27"/>
      <c r="J51" s="27"/>
      <c r="K51" s="27"/>
      <c r="L51" s="150" t="s">
        <v>544</v>
      </c>
      <c r="M51" s="27"/>
      <c r="N51" s="27"/>
      <c r="O51" s="27"/>
      <c r="P51" s="31"/>
      <c r="Q51" s="27"/>
      <c r="R51" s="370"/>
      <c r="S51" s="31"/>
      <c r="T51" s="370"/>
      <c r="U51" s="31"/>
      <c r="V51" s="370"/>
      <c r="W51" s="31"/>
      <c r="X51" s="31"/>
      <c r="Y51" s="370"/>
      <c r="Z51" s="27"/>
      <c r="AA51" s="27"/>
      <c r="AB51" s="27"/>
      <c r="AC51" s="410"/>
      <c r="AD51" s="27"/>
      <c r="AE51" s="412"/>
      <c r="AF51" s="14"/>
      <c r="AG51" s="14"/>
      <c r="AH51" s="14"/>
      <c r="AI51" s="14"/>
      <c r="AJ51" s="14"/>
      <c r="AK51" s="14"/>
      <c r="AL51" s="14"/>
      <c r="AM51" s="14"/>
      <c r="AN51" s="14"/>
      <c r="AO51" s="14"/>
    </row>
    <row r="52" spans="1:41" s="29" customFormat="1" ht="9">
      <c r="A52" s="258"/>
      <c r="B52" s="27"/>
      <c r="C52" s="27"/>
      <c r="D52" s="27"/>
      <c r="E52" s="27"/>
      <c r="F52" s="27"/>
      <c r="G52" s="27"/>
      <c r="H52" s="27"/>
      <c r="I52" s="27"/>
      <c r="J52" s="27"/>
      <c r="K52" s="27"/>
      <c r="L52" s="149" t="s">
        <v>545</v>
      </c>
      <c r="M52" s="27"/>
      <c r="N52" s="27"/>
      <c r="O52" s="27"/>
      <c r="P52" s="31"/>
      <c r="Q52" s="27"/>
      <c r="R52" s="370"/>
      <c r="S52" s="31"/>
      <c r="T52" s="370"/>
      <c r="U52" s="31"/>
      <c r="V52" s="370"/>
      <c r="W52" s="31"/>
      <c r="X52" s="31"/>
      <c r="Y52" s="370"/>
      <c r="Z52" s="27"/>
      <c r="AA52" s="27"/>
      <c r="AB52" s="27"/>
      <c r="AC52" s="410"/>
      <c r="AD52" s="27"/>
      <c r="AE52" s="412"/>
      <c r="AF52" s="14"/>
      <c r="AG52" s="14"/>
      <c r="AH52" s="14"/>
      <c r="AI52" s="14"/>
      <c r="AJ52" s="14"/>
      <c r="AK52" s="14"/>
      <c r="AL52" s="14"/>
      <c r="AM52" s="14"/>
      <c r="AN52" s="14"/>
      <c r="AO52" s="14"/>
    </row>
    <row r="53" spans="1:41" s="29" customFormat="1" ht="9">
      <c r="A53" s="258"/>
      <c r="B53" s="27"/>
      <c r="C53" s="27"/>
      <c r="D53" s="27"/>
      <c r="E53" s="27"/>
      <c r="F53" s="27"/>
      <c r="G53" s="27"/>
      <c r="H53" s="27"/>
      <c r="I53" s="27"/>
      <c r="J53" s="27"/>
      <c r="K53" s="27"/>
      <c r="L53" s="149" t="s">
        <v>546</v>
      </c>
      <c r="M53" s="27"/>
      <c r="N53" s="27"/>
      <c r="O53" s="27"/>
      <c r="P53" s="31"/>
      <c r="Q53" s="27"/>
      <c r="R53" s="370"/>
      <c r="S53" s="31"/>
      <c r="T53" s="370"/>
      <c r="U53" s="31"/>
      <c r="V53" s="370"/>
      <c r="W53" s="31"/>
      <c r="X53" s="31"/>
      <c r="Y53" s="370"/>
      <c r="Z53" s="27"/>
      <c r="AA53" s="27"/>
      <c r="AB53" s="27"/>
      <c r="AC53" s="410"/>
      <c r="AD53" s="27"/>
      <c r="AE53" s="412"/>
      <c r="AF53" s="14"/>
      <c r="AG53" s="14"/>
      <c r="AH53" s="14"/>
      <c r="AI53" s="14"/>
      <c r="AJ53" s="14"/>
      <c r="AK53" s="14"/>
      <c r="AL53" s="14"/>
      <c r="AM53" s="14"/>
      <c r="AN53" s="14"/>
      <c r="AO53" s="14"/>
    </row>
    <row r="54" spans="1:41" s="29" customFormat="1" ht="9">
      <c r="A54" s="258"/>
      <c r="B54" s="27"/>
      <c r="C54" s="27"/>
      <c r="D54" s="27"/>
      <c r="E54" s="27"/>
      <c r="F54" s="27"/>
      <c r="G54" s="27"/>
      <c r="H54" s="27"/>
      <c r="I54" s="27"/>
      <c r="J54" s="27"/>
      <c r="K54" s="27"/>
      <c r="L54" s="148" t="s">
        <v>547</v>
      </c>
      <c r="M54" s="27"/>
      <c r="N54" s="27"/>
      <c r="O54" s="27"/>
      <c r="P54" s="31"/>
      <c r="Q54" s="27"/>
      <c r="R54" s="370"/>
      <c r="S54" s="31"/>
      <c r="T54" s="370"/>
      <c r="U54" s="31"/>
      <c r="V54" s="370"/>
      <c r="W54" s="31"/>
      <c r="X54" s="31"/>
      <c r="Y54" s="370"/>
      <c r="Z54" s="27"/>
      <c r="AA54" s="27"/>
      <c r="AB54" s="27"/>
      <c r="AC54" s="410"/>
      <c r="AD54" s="27"/>
      <c r="AE54" s="412"/>
      <c r="AF54" s="14"/>
      <c r="AG54" s="14"/>
      <c r="AH54" s="14"/>
      <c r="AI54" s="14"/>
      <c r="AJ54" s="14"/>
      <c r="AK54" s="14"/>
      <c r="AL54" s="14"/>
      <c r="AM54" s="14"/>
      <c r="AN54" s="14"/>
      <c r="AO54" s="14"/>
    </row>
    <row r="55" spans="1:41" s="29" customFormat="1" ht="9">
      <c r="A55" s="258"/>
      <c r="B55" s="27"/>
      <c r="C55" s="27"/>
      <c r="D55" s="27"/>
      <c r="E55" s="27"/>
      <c r="F55" s="27"/>
      <c r="G55" s="27"/>
      <c r="H55" s="27"/>
      <c r="I55" s="27"/>
      <c r="J55" s="27"/>
      <c r="K55" s="27"/>
      <c r="L55" s="148" t="s">
        <v>548</v>
      </c>
      <c r="M55" s="27"/>
      <c r="N55" s="27"/>
      <c r="O55" s="27"/>
      <c r="P55" s="31"/>
      <c r="Q55" s="27"/>
      <c r="R55" s="370"/>
      <c r="S55" s="31"/>
      <c r="T55" s="370"/>
      <c r="U55" s="31"/>
      <c r="V55" s="370"/>
      <c r="W55" s="31"/>
      <c r="X55" s="31"/>
      <c r="Y55" s="370"/>
      <c r="Z55" s="27"/>
      <c r="AA55" s="27"/>
      <c r="AB55" s="27"/>
      <c r="AC55" s="410"/>
      <c r="AD55" s="27"/>
      <c r="AE55" s="412"/>
      <c r="AF55" s="14"/>
      <c r="AG55" s="14"/>
      <c r="AH55" s="14"/>
      <c r="AI55" s="14"/>
      <c r="AJ55" s="14"/>
      <c r="AK55" s="14"/>
      <c r="AL55" s="14"/>
      <c r="AM55" s="14"/>
      <c r="AN55" s="14"/>
      <c r="AO55" s="14"/>
    </row>
    <row r="56" spans="1:41" s="29" customFormat="1" ht="9">
      <c r="A56" s="258"/>
      <c r="B56" s="27"/>
      <c r="C56" s="27"/>
      <c r="D56" s="27"/>
      <c r="E56" s="27"/>
      <c r="F56" s="27"/>
      <c r="G56" s="27"/>
      <c r="H56" s="27"/>
      <c r="I56" s="27"/>
      <c r="J56" s="27"/>
      <c r="K56" s="27"/>
      <c r="L56" s="148" t="s">
        <v>549</v>
      </c>
      <c r="M56" s="27"/>
      <c r="N56" s="27"/>
      <c r="O56" s="27"/>
      <c r="P56" s="31"/>
      <c r="Q56" s="27"/>
      <c r="R56" s="370"/>
      <c r="S56" s="31"/>
      <c r="T56" s="370"/>
      <c r="U56" s="31"/>
      <c r="V56" s="370"/>
      <c r="W56" s="31"/>
      <c r="X56" s="31"/>
      <c r="Y56" s="370"/>
      <c r="Z56" s="27"/>
      <c r="AA56" s="27"/>
      <c r="AB56" s="27"/>
      <c r="AC56" s="410"/>
      <c r="AD56" s="27"/>
      <c r="AE56" s="412"/>
      <c r="AF56" s="14"/>
      <c r="AG56" s="14"/>
      <c r="AH56" s="14"/>
      <c r="AI56" s="14"/>
      <c r="AJ56" s="14"/>
      <c r="AK56" s="14"/>
      <c r="AL56" s="14"/>
      <c r="AM56" s="14"/>
      <c r="AN56" s="14"/>
      <c r="AO56" s="14"/>
    </row>
    <row r="57" spans="1:41" s="29" customFormat="1" ht="9">
      <c r="A57" s="258"/>
      <c r="B57" s="27"/>
      <c r="C57" s="27"/>
      <c r="D57" s="27"/>
      <c r="E57" s="27"/>
      <c r="F57" s="27"/>
      <c r="G57" s="27"/>
      <c r="H57" s="27"/>
      <c r="I57" s="27"/>
      <c r="J57" s="27"/>
      <c r="K57" s="27"/>
      <c r="L57" s="148" t="s">
        <v>550</v>
      </c>
      <c r="M57" s="27"/>
      <c r="N57" s="27"/>
      <c r="O57" s="27"/>
      <c r="P57" s="31"/>
      <c r="Q57" s="27"/>
      <c r="R57" s="370"/>
      <c r="S57" s="31"/>
      <c r="T57" s="370"/>
      <c r="U57" s="31"/>
      <c r="V57" s="370"/>
      <c r="W57" s="31"/>
      <c r="X57" s="31"/>
      <c r="Y57" s="370"/>
      <c r="Z57" s="27"/>
      <c r="AA57" s="27"/>
      <c r="AB57" s="27"/>
      <c r="AC57" s="410"/>
      <c r="AD57" s="27"/>
      <c r="AE57" s="412"/>
      <c r="AF57" s="14"/>
      <c r="AG57" s="14"/>
      <c r="AH57" s="14"/>
      <c r="AI57" s="14"/>
      <c r="AJ57" s="14"/>
      <c r="AK57" s="14"/>
      <c r="AL57" s="14"/>
      <c r="AM57" s="14"/>
      <c r="AN57" s="14"/>
      <c r="AO57" s="14"/>
    </row>
    <row r="58" spans="1:41" s="29" customFormat="1" ht="9">
      <c r="A58" s="258"/>
      <c r="B58" s="27"/>
      <c r="C58" s="27"/>
      <c r="D58" s="27"/>
      <c r="E58" s="27"/>
      <c r="F58" s="27"/>
      <c r="G58" s="27"/>
      <c r="H58" s="27"/>
      <c r="I58" s="27"/>
      <c r="J58" s="27"/>
      <c r="K58" s="27"/>
      <c r="L58" s="148" t="s">
        <v>551</v>
      </c>
      <c r="M58" s="27"/>
      <c r="N58" s="27"/>
      <c r="O58" s="27"/>
      <c r="P58" s="31"/>
      <c r="Q58" s="27"/>
      <c r="R58" s="370"/>
      <c r="S58" s="31"/>
      <c r="T58" s="370"/>
      <c r="U58" s="31"/>
      <c r="V58" s="370"/>
      <c r="W58" s="31"/>
      <c r="X58" s="31"/>
      <c r="Y58" s="370"/>
      <c r="Z58" s="27"/>
      <c r="AA58" s="27"/>
      <c r="AB58" s="27"/>
      <c r="AC58" s="410"/>
      <c r="AD58" s="27"/>
      <c r="AE58" s="412"/>
      <c r="AF58" s="14"/>
      <c r="AG58" s="14"/>
      <c r="AH58" s="14"/>
      <c r="AI58" s="14"/>
      <c r="AJ58" s="14"/>
      <c r="AK58" s="14"/>
      <c r="AL58" s="14"/>
      <c r="AM58" s="14"/>
      <c r="AN58" s="14"/>
      <c r="AO58" s="14"/>
    </row>
    <row r="59" spans="1:41" s="29" customFormat="1" ht="9">
      <c r="A59" s="258"/>
      <c r="B59" s="27"/>
      <c r="C59" s="27"/>
      <c r="D59" s="27"/>
      <c r="E59" s="27"/>
      <c r="F59" s="27"/>
      <c r="G59" s="27"/>
      <c r="H59" s="27"/>
      <c r="I59" s="27"/>
      <c r="J59" s="27"/>
      <c r="K59" s="27"/>
      <c r="L59" s="148" t="s">
        <v>552</v>
      </c>
      <c r="M59" s="27"/>
      <c r="N59" s="27"/>
      <c r="O59" s="27"/>
      <c r="P59" s="31"/>
      <c r="Q59" s="27"/>
      <c r="R59" s="370"/>
      <c r="S59" s="31"/>
      <c r="T59" s="370"/>
      <c r="U59" s="31"/>
      <c r="V59" s="370"/>
      <c r="W59" s="31"/>
      <c r="X59" s="31"/>
      <c r="Y59" s="370"/>
      <c r="Z59" s="27"/>
      <c r="AA59" s="27"/>
      <c r="AB59" s="27"/>
      <c r="AC59" s="410"/>
      <c r="AD59" s="27"/>
      <c r="AE59" s="412"/>
      <c r="AF59" s="14"/>
      <c r="AG59" s="14"/>
      <c r="AH59" s="14"/>
      <c r="AI59" s="14"/>
      <c r="AJ59" s="14"/>
      <c r="AK59" s="14"/>
      <c r="AL59" s="14"/>
      <c r="AM59" s="14"/>
      <c r="AN59" s="14"/>
      <c r="AO59" s="14"/>
    </row>
    <row r="60" spans="1:41" s="29" customFormat="1" ht="9">
      <c r="A60" s="258"/>
      <c r="B60" s="27"/>
      <c r="C60" s="27"/>
      <c r="D60" s="27"/>
      <c r="E60" s="27"/>
      <c r="F60" s="27"/>
      <c r="G60" s="27"/>
      <c r="H60" s="27"/>
      <c r="I60" s="27"/>
      <c r="J60" s="27"/>
      <c r="K60" s="27"/>
      <c r="L60" s="148" t="s">
        <v>553</v>
      </c>
      <c r="M60" s="27"/>
      <c r="N60" s="27"/>
      <c r="O60" s="27"/>
      <c r="P60" s="31"/>
      <c r="Q60" s="27"/>
      <c r="R60" s="370"/>
      <c r="S60" s="31"/>
      <c r="T60" s="370"/>
      <c r="U60" s="31"/>
      <c r="V60" s="370"/>
      <c r="W60" s="31"/>
      <c r="X60" s="31"/>
      <c r="Y60" s="370"/>
      <c r="Z60" s="27"/>
      <c r="AA60" s="27"/>
      <c r="AB60" s="27"/>
      <c r="AC60" s="410"/>
      <c r="AD60" s="27"/>
      <c r="AE60" s="412"/>
      <c r="AF60" s="14"/>
      <c r="AG60" s="14"/>
      <c r="AH60" s="14"/>
      <c r="AI60" s="14"/>
      <c r="AJ60" s="14"/>
      <c r="AK60" s="14"/>
      <c r="AL60" s="14"/>
      <c r="AM60" s="14"/>
      <c r="AN60" s="14"/>
      <c r="AO60" s="14"/>
    </row>
    <row r="61" spans="1:41" s="29" customFormat="1" ht="9">
      <c r="A61" s="258"/>
      <c r="B61" s="27"/>
      <c r="C61" s="27"/>
      <c r="D61" s="27"/>
      <c r="E61" s="27"/>
      <c r="F61" s="27"/>
      <c r="G61" s="27"/>
      <c r="H61" s="27"/>
      <c r="I61" s="27"/>
      <c r="J61" s="27"/>
      <c r="K61" s="27"/>
      <c r="L61" s="148" t="s">
        <v>554</v>
      </c>
      <c r="M61" s="27"/>
      <c r="N61" s="27"/>
      <c r="O61" s="27"/>
      <c r="P61" s="31"/>
      <c r="Q61" s="27"/>
      <c r="R61" s="370"/>
      <c r="S61" s="31"/>
      <c r="T61" s="370"/>
      <c r="U61" s="31"/>
      <c r="V61" s="370"/>
      <c r="W61" s="31"/>
      <c r="X61" s="31"/>
      <c r="Y61" s="370"/>
      <c r="Z61" s="27"/>
      <c r="AA61" s="27"/>
      <c r="AB61" s="27"/>
      <c r="AC61" s="410"/>
      <c r="AD61" s="27"/>
      <c r="AE61" s="412"/>
      <c r="AF61" s="14"/>
      <c r="AG61" s="14"/>
      <c r="AH61" s="14"/>
      <c r="AI61" s="14"/>
      <c r="AJ61" s="14"/>
      <c r="AK61" s="14"/>
      <c r="AL61" s="14"/>
      <c r="AM61" s="14"/>
      <c r="AN61" s="14"/>
      <c r="AO61" s="14"/>
    </row>
    <row r="62" spans="1:41" s="29" customFormat="1" ht="9">
      <c r="A62" s="258"/>
      <c r="B62" s="27"/>
      <c r="C62" s="27"/>
      <c r="D62" s="27"/>
      <c r="E62" s="27"/>
      <c r="F62" s="27"/>
      <c r="G62" s="27"/>
      <c r="H62" s="27"/>
      <c r="I62" s="27"/>
      <c r="J62" s="27"/>
      <c r="K62" s="27"/>
      <c r="L62" s="148" t="s">
        <v>555</v>
      </c>
      <c r="M62" s="27"/>
      <c r="N62" s="27"/>
      <c r="O62" s="27"/>
      <c r="P62" s="31"/>
      <c r="Q62" s="27"/>
      <c r="R62" s="370"/>
      <c r="S62" s="31"/>
      <c r="T62" s="370"/>
      <c r="U62" s="31"/>
      <c r="V62" s="370"/>
      <c r="W62" s="31"/>
      <c r="X62" s="31"/>
      <c r="Y62" s="370"/>
      <c r="Z62" s="27"/>
      <c r="AA62" s="27"/>
      <c r="AB62" s="27"/>
      <c r="AC62" s="410"/>
      <c r="AD62" s="27"/>
      <c r="AE62" s="412"/>
      <c r="AF62" s="14"/>
      <c r="AG62" s="14"/>
      <c r="AH62" s="14"/>
      <c r="AI62" s="14"/>
      <c r="AJ62" s="14"/>
      <c r="AK62" s="14"/>
      <c r="AL62" s="14"/>
      <c r="AM62" s="14"/>
      <c r="AN62" s="14"/>
      <c r="AO62" s="14"/>
    </row>
    <row r="63" spans="1:41" s="29" customFormat="1" ht="9">
      <c r="A63" s="258"/>
      <c r="B63" s="27"/>
      <c r="C63" s="27"/>
      <c r="D63" s="27"/>
      <c r="E63" s="27"/>
      <c r="F63" s="27"/>
      <c r="G63" s="27"/>
      <c r="H63" s="27"/>
      <c r="I63" s="27"/>
      <c r="J63" s="27"/>
      <c r="K63" s="27"/>
      <c r="L63" s="148" t="s">
        <v>556</v>
      </c>
      <c r="M63" s="27"/>
      <c r="N63" s="27"/>
      <c r="O63" s="27"/>
      <c r="P63" s="31"/>
      <c r="Q63" s="27"/>
      <c r="R63" s="370"/>
      <c r="S63" s="31"/>
      <c r="T63" s="370"/>
      <c r="U63" s="31"/>
      <c r="V63" s="370"/>
      <c r="W63" s="31"/>
      <c r="X63" s="31"/>
      <c r="Y63" s="370"/>
      <c r="Z63" s="27"/>
      <c r="AA63" s="27"/>
      <c r="AB63" s="27"/>
      <c r="AC63" s="410"/>
      <c r="AD63" s="27"/>
      <c r="AE63" s="412"/>
      <c r="AF63" s="14"/>
      <c r="AG63" s="14"/>
      <c r="AH63" s="14"/>
      <c r="AI63" s="14"/>
      <c r="AJ63" s="14"/>
      <c r="AK63" s="14"/>
      <c r="AL63" s="14"/>
      <c r="AM63" s="14"/>
      <c r="AN63" s="14"/>
      <c r="AO63" s="14"/>
    </row>
    <row r="64" spans="1:41" s="29" customFormat="1" ht="9">
      <c r="A64" s="258"/>
      <c r="B64" s="27"/>
      <c r="C64" s="27"/>
      <c r="D64" s="27"/>
      <c r="E64" s="27"/>
      <c r="F64" s="27"/>
      <c r="G64" s="27"/>
      <c r="H64" s="27"/>
      <c r="I64" s="27"/>
      <c r="J64" s="27"/>
      <c r="K64" s="27"/>
      <c r="L64" s="148" t="s">
        <v>557</v>
      </c>
      <c r="M64" s="27"/>
      <c r="N64" s="27"/>
      <c r="O64" s="27"/>
      <c r="P64" s="31"/>
      <c r="Q64" s="27"/>
      <c r="R64" s="370"/>
      <c r="S64" s="31"/>
      <c r="T64" s="370"/>
      <c r="U64" s="31"/>
      <c r="V64" s="370"/>
      <c r="W64" s="31"/>
      <c r="X64" s="31"/>
      <c r="Y64" s="370"/>
      <c r="Z64" s="27"/>
      <c r="AA64" s="27"/>
      <c r="AB64" s="27"/>
      <c r="AC64" s="410"/>
      <c r="AD64" s="27"/>
      <c r="AE64" s="412"/>
      <c r="AF64" s="14"/>
      <c r="AG64" s="14"/>
      <c r="AH64" s="14"/>
      <c r="AI64" s="14"/>
      <c r="AJ64" s="14"/>
      <c r="AK64" s="14"/>
      <c r="AL64" s="14"/>
      <c r="AM64" s="14"/>
      <c r="AN64" s="14"/>
      <c r="AO64" s="14"/>
    </row>
    <row r="65" spans="1:41" s="29" customFormat="1" ht="9">
      <c r="A65" s="258"/>
      <c r="B65" s="27"/>
      <c r="C65" s="27"/>
      <c r="D65" s="27"/>
      <c r="E65" s="27"/>
      <c r="F65" s="27"/>
      <c r="G65" s="27"/>
      <c r="H65" s="27"/>
      <c r="I65" s="27"/>
      <c r="J65" s="27"/>
      <c r="K65" s="27"/>
      <c r="L65" s="148" t="s">
        <v>558</v>
      </c>
      <c r="M65" s="27"/>
      <c r="N65" s="27"/>
      <c r="O65" s="27"/>
      <c r="P65" s="31"/>
      <c r="Q65" s="27"/>
      <c r="R65" s="370"/>
      <c r="S65" s="31"/>
      <c r="T65" s="370"/>
      <c r="U65" s="31"/>
      <c r="V65" s="370"/>
      <c r="W65" s="31"/>
      <c r="X65" s="31"/>
      <c r="Y65" s="370"/>
      <c r="Z65" s="27"/>
      <c r="AA65" s="27"/>
      <c r="AB65" s="27"/>
      <c r="AC65" s="410"/>
      <c r="AD65" s="27"/>
      <c r="AE65" s="412"/>
      <c r="AF65" s="14"/>
      <c r="AG65" s="14"/>
      <c r="AH65" s="14"/>
      <c r="AI65" s="14"/>
      <c r="AJ65" s="14"/>
      <c r="AK65" s="14"/>
      <c r="AL65" s="14"/>
      <c r="AM65" s="14"/>
      <c r="AN65" s="14"/>
      <c r="AO65" s="14"/>
    </row>
    <row r="66" spans="1:41" s="29" customFormat="1" ht="9">
      <c r="A66" s="258"/>
      <c r="B66" s="27"/>
      <c r="C66" s="27"/>
      <c r="D66" s="27"/>
      <c r="E66" s="27"/>
      <c r="F66" s="27"/>
      <c r="G66" s="27"/>
      <c r="H66" s="27"/>
      <c r="I66" s="27"/>
      <c r="J66" s="27"/>
      <c r="K66" s="27"/>
      <c r="L66" s="148" t="s">
        <v>559</v>
      </c>
      <c r="M66" s="27"/>
      <c r="N66" s="27"/>
      <c r="O66" s="27"/>
      <c r="P66" s="31"/>
      <c r="Q66" s="27"/>
      <c r="R66" s="370"/>
      <c r="S66" s="31"/>
      <c r="T66" s="370"/>
      <c r="U66" s="31"/>
      <c r="V66" s="370"/>
      <c r="W66" s="31"/>
      <c r="X66" s="31"/>
      <c r="Y66" s="370"/>
      <c r="Z66" s="27"/>
      <c r="AA66" s="27"/>
      <c r="AB66" s="27"/>
      <c r="AC66" s="410"/>
      <c r="AD66" s="27"/>
      <c r="AE66" s="412"/>
      <c r="AF66" s="14"/>
      <c r="AG66" s="14"/>
      <c r="AH66" s="14"/>
      <c r="AI66" s="14"/>
      <c r="AJ66" s="14"/>
      <c r="AK66" s="14"/>
      <c r="AL66" s="14"/>
      <c r="AM66" s="14"/>
      <c r="AN66" s="14"/>
      <c r="AO66" s="14"/>
    </row>
    <row r="67" spans="1:41" s="29" customFormat="1" ht="9">
      <c r="A67" s="258"/>
      <c r="B67" s="27"/>
      <c r="C67" s="27"/>
      <c r="D67" s="27"/>
      <c r="E67" s="27"/>
      <c r="F67" s="27"/>
      <c r="G67" s="27"/>
      <c r="H67" s="27"/>
      <c r="I67" s="27"/>
      <c r="J67" s="27"/>
      <c r="K67" s="27"/>
      <c r="L67" s="148" t="s">
        <v>560</v>
      </c>
      <c r="M67" s="27"/>
      <c r="N67" s="27"/>
      <c r="O67" s="27"/>
      <c r="P67" s="31"/>
      <c r="Q67" s="27"/>
      <c r="R67" s="370"/>
      <c r="S67" s="31"/>
      <c r="T67" s="370"/>
      <c r="U67" s="31"/>
      <c r="V67" s="370"/>
      <c r="W67" s="31"/>
      <c r="X67" s="31"/>
      <c r="Y67" s="370"/>
      <c r="Z67" s="27"/>
      <c r="AA67" s="27"/>
      <c r="AB67" s="27"/>
      <c r="AC67" s="410"/>
      <c r="AD67" s="27"/>
      <c r="AE67" s="412"/>
      <c r="AF67" s="14"/>
      <c r="AG67" s="14"/>
      <c r="AH67" s="14"/>
      <c r="AI67" s="14"/>
      <c r="AJ67" s="14"/>
      <c r="AK67" s="14"/>
      <c r="AL67" s="14"/>
      <c r="AM67" s="14"/>
      <c r="AN67" s="14"/>
      <c r="AO67" s="14"/>
    </row>
    <row r="68" spans="1:41" s="29" customFormat="1" ht="9">
      <c r="A68" s="258"/>
      <c r="B68" s="27"/>
      <c r="C68" s="27"/>
      <c r="D68" s="27"/>
      <c r="E68" s="27"/>
      <c r="F68" s="27"/>
      <c r="G68" s="27"/>
      <c r="H68" s="27"/>
      <c r="I68" s="27"/>
      <c r="J68" s="27"/>
      <c r="K68" s="27"/>
      <c r="L68" s="148" t="s">
        <v>561</v>
      </c>
      <c r="M68" s="27"/>
      <c r="N68" s="27"/>
      <c r="O68" s="27"/>
      <c r="P68" s="31"/>
      <c r="Q68" s="27"/>
      <c r="R68" s="370"/>
      <c r="S68" s="31"/>
      <c r="T68" s="370"/>
      <c r="U68" s="31"/>
      <c r="V68" s="370"/>
      <c r="W68" s="31"/>
      <c r="X68" s="31"/>
      <c r="Y68" s="370"/>
      <c r="Z68" s="27"/>
      <c r="AA68" s="27"/>
      <c r="AB68" s="27"/>
      <c r="AC68" s="410"/>
      <c r="AD68" s="27"/>
      <c r="AE68" s="412"/>
      <c r="AF68" s="14"/>
      <c r="AG68" s="14"/>
      <c r="AH68" s="14"/>
      <c r="AI68" s="14"/>
      <c r="AJ68" s="14"/>
      <c r="AK68" s="14"/>
      <c r="AL68" s="14"/>
      <c r="AM68" s="14"/>
      <c r="AN68" s="14"/>
      <c r="AO68" s="14"/>
    </row>
    <row r="69" spans="1:41" s="29" customFormat="1" ht="9">
      <c r="A69" s="258"/>
      <c r="B69" s="27"/>
      <c r="C69" s="27"/>
      <c r="D69" s="27"/>
      <c r="E69" s="27"/>
      <c r="F69" s="27"/>
      <c r="G69" s="27"/>
      <c r="H69" s="27"/>
      <c r="I69" s="27"/>
      <c r="J69" s="27"/>
      <c r="K69" s="27"/>
      <c r="L69" s="148" t="s">
        <v>562</v>
      </c>
      <c r="M69" s="27"/>
      <c r="N69" s="27"/>
      <c r="O69" s="27"/>
      <c r="P69" s="31"/>
      <c r="Q69" s="27"/>
      <c r="R69" s="370"/>
      <c r="S69" s="31"/>
      <c r="T69" s="370"/>
      <c r="U69" s="31"/>
      <c r="V69" s="370"/>
      <c r="W69" s="31"/>
      <c r="X69" s="31"/>
      <c r="Y69" s="370"/>
      <c r="Z69" s="27"/>
      <c r="AA69" s="27"/>
      <c r="AB69" s="27"/>
      <c r="AC69" s="410"/>
      <c r="AD69" s="27"/>
      <c r="AE69" s="412"/>
      <c r="AF69" s="14"/>
      <c r="AG69" s="14"/>
      <c r="AH69" s="14"/>
      <c r="AI69" s="14"/>
      <c r="AJ69" s="14"/>
      <c r="AK69" s="14"/>
      <c r="AL69" s="14"/>
      <c r="AM69" s="14"/>
      <c r="AN69" s="14"/>
      <c r="AO69" s="14"/>
    </row>
    <row r="70" spans="1:41" s="29" customFormat="1" ht="9">
      <c r="A70" s="258"/>
      <c r="B70" s="27"/>
      <c r="C70" s="27"/>
      <c r="D70" s="27"/>
      <c r="E70" s="27"/>
      <c r="F70" s="27"/>
      <c r="G70" s="27"/>
      <c r="H70" s="27"/>
      <c r="I70" s="27"/>
      <c r="J70" s="27"/>
      <c r="K70" s="27"/>
      <c r="L70" s="148" t="s">
        <v>563</v>
      </c>
      <c r="M70" s="27"/>
      <c r="N70" s="27"/>
      <c r="O70" s="27"/>
      <c r="P70" s="31"/>
      <c r="Q70" s="27"/>
      <c r="R70" s="370"/>
      <c r="S70" s="31"/>
      <c r="T70" s="370"/>
      <c r="U70" s="31"/>
      <c r="V70" s="370"/>
      <c r="W70" s="31"/>
      <c r="X70" s="31"/>
      <c r="Y70" s="370"/>
      <c r="Z70" s="27"/>
      <c r="AA70" s="27"/>
      <c r="AB70" s="27"/>
      <c r="AC70" s="410"/>
      <c r="AD70" s="27"/>
      <c r="AE70" s="412"/>
      <c r="AF70" s="14"/>
      <c r="AG70" s="14"/>
      <c r="AH70" s="14"/>
      <c r="AI70" s="14"/>
      <c r="AJ70" s="14"/>
      <c r="AK70" s="14"/>
      <c r="AL70" s="14"/>
      <c r="AM70" s="14"/>
      <c r="AN70" s="14"/>
      <c r="AO70" s="14"/>
    </row>
    <row r="71" spans="1:41" s="29" customFormat="1" ht="9">
      <c r="A71" s="258"/>
      <c r="B71" s="27"/>
      <c r="C71" s="27"/>
      <c r="D71" s="27"/>
      <c r="E71" s="27"/>
      <c r="F71" s="27"/>
      <c r="G71" s="27"/>
      <c r="H71" s="27"/>
      <c r="I71" s="27"/>
      <c r="J71" s="27"/>
      <c r="K71" s="27"/>
      <c r="L71" s="148" t="s">
        <v>564</v>
      </c>
      <c r="M71" s="27"/>
      <c r="N71" s="27"/>
      <c r="O71" s="27"/>
      <c r="P71" s="31"/>
      <c r="Q71" s="27"/>
      <c r="R71" s="370"/>
      <c r="S71" s="31"/>
      <c r="T71" s="370"/>
      <c r="U71" s="31"/>
      <c r="V71" s="370"/>
      <c r="W71" s="31"/>
      <c r="X71" s="31"/>
      <c r="Y71" s="370"/>
      <c r="Z71" s="27"/>
      <c r="AA71" s="27"/>
      <c r="AB71" s="27"/>
      <c r="AC71" s="410"/>
      <c r="AD71" s="27"/>
      <c r="AE71" s="412"/>
      <c r="AF71" s="14"/>
      <c r="AG71" s="14"/>
      <c r="AH71" s="14"/>
      <c r="AI71" s="14"/>
      <c r="AJ71" s="14"/>
      <c r="AK71" s="14"/>
      <c r="AL71" s="14"/>
      <c r="AM71" s="14"/>
      <c r="AN71" s="14"/>
      <c r="AO71" s="14"/>
    </row>
    <row r="72" spans="1:41" s="29" customFormat="1" ht="9">
      <c r="A72" s="258"/>
      <c r="B72" s="27"/>
      <c r="C72" s="27"/>
      <c r="D72" s="27"/>
      <c r="E72" s="27"/>
      <c r="F72" s="27"/>
      <c r="G72" s="27"/>
      <c r="H72" s="27"/>
      <c r="I72" s="27"/>
      <c r="J72" s="27"/>
      <c r="K72" s="27"/>
      <c r="L72" s="148" t="s">
        <v>565</v>
      </c>
      <c r="M72" s="27"/>
      <c r="N72" s="27"/>
      <c r="O72" s="27"/>
      <c r="P72" s="31"/>
      <c r="Q72" s="27"/>
      <c r="R72" s="370"/>
      <c r="S72" s="31"/>
      <c r="T72" s="370"/>
      <c r="U72" s="31"/>
      <c r="V72" s="370"/>
      <c r="W72" s="31"/>
      <c r="X72" s="31"/>
      <c r="Y72" s="370"/>
      <c r="Z72" s="27"/>
      <c r="AA72" s="27"/>
      <c r="AB72" s="27"/>
      <c r="AC72" s="410"/>
      <c r="AD72" s="27"/>
      <c r="AE72" s="412"/>
      <c r="AF72" s="14"/>
      <c r="AG72" s="14"/>
      <c r="AH72" s="14"/>
      <c r="AI72" s="14"/>
      <c r="AJ72" s="14"/>
      <c r="AK72" s="14"/>
      <c r="AL72" s="14"/>
      <c r="AM72" s="14"/>
      <c r="AN72" s="14"/>
      <c r="AO72" s="14"/>
    </row>
    <row r="73" spans="1:41" s="29" customFormat="1" ht="9">
      <c r="A73" s="258"/>
      <c r="B73" s="27"/>
      <c r="C73" s="27"/>
      <c r="D73" s="27"/>
      <c r="E73" s="27"/>
      <c r="F73" s="27"/>
      <c r="G73" s="27"/>
      <c r="H73" s="27"/>
      <c r="I73" s="27"/>
      <c r="J73" s="27"/>
      <c r="K73" s="27"/>
      <c r="L73" s="148" t="s">
        <v>566</v>
      </c>
      <c r="M73" s="27"/>
      <c r="N73" s="27"/>
      <c r="O73" s="27"/>
      <c r="P73" s="31"/>
      <c r="Q73" s="27"/>
      <c r="R73" s="370"/>
      <c r="S73" s="31"/>
      <c r="T73" s="370"/>
      <c r="U73" s="31"/>
      <c r="V73" s="370"/>
      <c r="W73" s="31"/>
      <c r="X73" s="31"/>
      <c r="Y73" s="370"/>
      <c r="Z73" s="27"/>
      <c r="AA73" s="27"/>
      <c r="AB73" s="27"/>
      <c r="AC73" s="410"/>
      <c r="AD73" s="27"/>
      <c r="AE73" s="412"/>
      <c r="AF73" s="14"/>
      <c r="AG73" s="14"/>
      <c r="AH73" s="14"/>
      <c r="AI73" s="14"/>
      <c r="AJ73" s="14"/>
      <c r="AK73" s="14"/>
      <c r="AL73" s="14"/>
      <c r="AM73" s="14"/>
      <c r="AN73" s="14"/>
      <c r="AO73" s="14"/>
    </row>
    <row r="74" spans="1:41" s="29" customFormat="1" ht="9">
      <c r="A74" s="258"/>
      <c r="B74" s="27"/>
      <c r="C74" s="27"/>
      <c r="D74" s="27"/>
      <c r="E74" s="27"/>
      <c r="F74" s="27"/>
      <c r="G74" s="27"/>
      <c r="H74" s="27"/>
      <c r="I74" s="27"/>
      <c r="J74" s="27"/>
      <c r="K74" s="27"/>
      <c r="L74" s="148" t="s">
        <v>567</v>
      </c>
      <c r="M74" s="27"/>
      <c r="N74" s="27"/>
      <c r="O74" s="27"/>
      <c r="P74" s="31"/>
      <c r="Q74" s="27"/>
      <c r="R74" s="370"/>
      <c r="S74" s="31"/>
      <c r="T74" s="370"/>
      <c r="U74" s="31"/>
      <c r="V74" s="370"/>
      <c r="W74" s="31"/>
      <c r="X74" s="31"/>
      <c r="Y74" s="370"/>
      <c r="Z74" s="27"/>
      <c r="AA74" s="27"/>
      <c r="AB74" s="27"/>
      <c r="AC74" s="410"/>
      <c r="AD74" s="27"/>
      <c r="AE74" s="412"/>
      <c r="AF74" s="14"/>
      <c r="AG74" s="14"/>
      <c r="AH74" s="14"/>
      <c r="AI74" s="14"/>
      <c r="AJ74" s="14"/>
      <c r="AK74" s="14"/>
      <c r="AL74" s="14"/>
      <c r="AM74" s="14"/>
      <c r="AN74" s="14"/>
      <c r="AO74" s="14"/>
    </row>
    <row r="75" spans="1:41" s="29" customFormat="1" ht="9">
      <c r="A75" s="258"/>
      <c r="B75" s="27"/>
      <c r="C75" s="27"/>
      <c r="D75" s="27"/>
      <c r="E75" s="27"/>
      <c r="F75" s="27"/>
      <c r="G75" s="27"/>
      <c r="H75" s="27"/>
      <c r="I75" s="27"/>
      <c r="J75" s="27"/>
      <c r="K75" s="27"/>
      <c r="L75" s="148" t="s">
        <v>568</v>
      </c>
      <c r="M75" s="27"/>
      <c r="N75" s="27"/>
      <c r="O75" s="27"/>
      <c r="P75" s="31"/>
      <c r="Q75" s="27"/>
      <c r="R75" s="370"/>
      <c r="S75" s="31"/>
      <c r="T75" s="370"/>
      <c r="U75" s="31"/>
      <c r="V75" s="370"/>
      <c r="W75" s="31"/>
      <c r="X75" s="31"/>
      <c r="Y75" s="370"/>
      <c r="Z75" s="27"/>
      <c r="AA75" s="27"/>
      <c r="AB75" s="27"/>
      <c r="AC75" s="410"/>
      <c r="AD75" s="27"/>
      <c r="AE75" s="412"/>
      <c r="AF75" s="14"/>
      <c r="AG75" s="14"/>
      <c r="AH75" s="14"/>
      <c r="AI75" s="14"/>
      <c r="AJ75" s="14"/>
      <c r="AK75" s="14"/>
      <c r="AL75" s="14"/>
      <c r="AM75" s="14"/>
      <c r="AN75" s="14"/>
      <c r="AO75" s="14"/>
    </row>
    <row r="76" spans="1:41" s="29" customFormat="1" ht="9">
      <c r="A76" s="258"/>
      <c r="B76" s="27"/>
      <c r="C76" s="27"/>
      <c r="D76" s="27"/>
      <c r="E76" s="27"/>
      <c r="F76" s="27"/>
      <c r="G76" s="27"/>
      <c r="H76" s="27"/>
      <c r="I76" s="27"/>
      <c r="J76" s="27"/>
      <c r="K76" s="27"/>
      <c r="L76" s="148" t="s">
        <v>569</v>
      </c>
      <c r="M76" s="27"/>
      <c r="N76" s="27"/>
      <c r="O76" s="27"/>
      <c r="P76" s="31"/>
      <c r="Q76" s="27"/>
      <c r="R76" s="370"/>
      <c r="S76" s="31"/>
      <c r="T76" s="370"/>
      <c r="U76" s="31"/>
      <c r="V76" s="370"/>
      <c r="W76" s="31"/>
      <c r="X76" s="31"/>
      <c r="Y76" s="370"/>
      <c r="Z76" s="27"/>
      <c r="AA76" s="27"/>
      <c r="AB76" s="27"/>
      <c r="AC76" s="410"/>
      <c r="AD76" s="27"/>
      <c r="AE76" s="412"/>
      <c r="AF76" s="14"/>
      <c r="AG76" s="14"/>
      <c r="AH76" s="14"/>
      <c r="AI76" s="14"/>
      <c r="AJ76" s="14"/>
      <c r="AK76" s="14"/>
      <c r="AL76" s="14"/>
      <c r="AM76" s="14"/>
      <c r="AN76" s="14"/>
      <c r="AO76" s="14"/>
    </row>
    <row r="77" spans="1:41" s="29" customFormat="1" ht="9">
      <c r="A77" s="258"/>
      <c r="B77" s="27"/>
      <c r="C77" s="27"/>
      <c r="D77" s="27"/>
      <c r="E77" s="27"/>
      <c r="F77" s="27"/>
      <c r="G77" s="27"/>
      <c r="H77" s="27"/>
      <c r="I77" s="27"/>
      <c r="J77" s="27"/>
      <c r="K77" s="27"/>
      <c r="L77" s="148" t="s">
        <v>570</v>
      </c>
      <c r="M77" s="27"/>
      <c r="N77" s="27"/>
      <c r="O77" s="27"/>
      <c r="P77" s="31"/>
      <c r="Q77" s="27"/>
      <c r="R77" s="370"/>
      <c r="S77" s="31"/>
      <c r="T77" s="370"/>
      <c r="U77" s="31"/>
      <c r="V77" s="370"/>
      <c r="W77" s="31"/>
      <c r="X77" s="31"/>
      <c r="Y77" s="370"/>
      <c r="Z77" s="27"/>
      <c r="AA77" s="27"/>
      <c r="AB77" s="27"/>
      <c r="AC77" s="410"/>
      <c r="AD77" s="27"/>
      <c r="AE77" s="412"/>
      <c r="AF77" s="14"/>
      <c r="AG77" s="14"/>
      <c r="AH77" s="14"/>
      <c r="AI77" s="14"/>
      <c r="AJ77" s="14"/>
      <c r="AK77" s="14"/>
      <c r="AL77" s="14"/>
      <c r="AM77" s="14"/>
      <c r="AN77" s="14"/>
      <c r="AO77" s="14"/>
    </row>
    <row r="78" spans="1:41" s="29" customFormat="1" ht="9">
      <c r="A78" s="258"/>
      <c r="B78" s="27"/>
      <c r="C78" s="27"/>
      <c r="D78" s="27"/>
      <c r="E78" s="27"/>
      <c r="F78" s="27"/>
      <c r="G78" s="27"/>
      <c r="H78" s="27"/>
      <c r="I78" s="27"/>
      <c r="J78" s="27"/>
      <c r="K78" s="27"/>
      <c r="L78" s="148" t="s">
        <v>571</v>
      </c>
      <c r="M78" s="27"/>
      <c r="N78" s="27"/>
      <c r="O78" s="27"/>
      <c r="P78" s="31"/>
      <c r="Q78" s="27"/>
      <c r="R78" s="370"/>
      <c r="S78" s="31"/>
      <c r="T78" s="370"/>
      <c r="U78" s="31"/>
      <c r="V78" s="370"/>
      <c r="W78" s="31"/>
      <c r="X78" s="31"/>
      <c r="Y78" s="370"/>
      <c r="Z78" s="27"/>
      <c r="AA78" s="27"/>
      <c r="AB78" s="27"/>
      <c r="AC78" s="410"/>
      <c r="AD78" s="27"/>
      <c r="AE78" s="412"/>
      <c r="AF78" s="14"/>
      <c r="AG78" s="14"/>
      <c r="AH78" s="14"/>
      <c r="AI78" s="14"/>
      <c r="AJ78" s="14"/>
      <c r="AK78" s="14"/>
      <c r="AL78" s="14"/>
      <c r="AM78" s="14"/>
      <c r="AN78" s="14"/>
      <c r="AO78" s="14"/>
    </row>
    <row r="79" spans="1:41" s="29" customFormat="1" ht="9">
      <c r="A79" s="258"/>
      <c r="B79" s="27"/>
      <c r="C79" s="27"/>
      <c r="D79" s="27"/>
      <c r="E79" s="27"/>
      <c r="F79" s="27"/>
      <c r="G79" s="27"/>
      <c r="H79" s="27"/>
      <c r="I79" s="27"/>
      <c r="J79" s="27"/>
      <c r="K79" s="27"/>
      <c r="L79" s="148" t="s">
        <v>572</v>
      </c>
      <c r="M79" s="27"/>
      <c r="N79" s="27"/>
      <c r="O79" s="27"/>
      <c r="P79" s="31"/>
      <c r="Q79" s="27"/>
      <c r="R79" s="370"/>
      <c r="S79" s="31"/>
      <c r="T79" s="370"/>
      <c r="U79" s="31"/>
      <c r="V79" s="370"/>
      <c r="W79" s="31"/>
      <c r="X79" s="31"/>
      <c r="Y79" s="370"/>
      <c r="Z79" s="27"/>
      <c r="AA79" s="27"/>
      <c r="AB79" s="27"/>
      <c r="AC79" s="410"/>
      <c r="AD79" s="27"/>
      <c r="AE79" s="412"/>
      <c r="AF79" s="14"/>
      <c r="AG79" s="14"/>
      <c r="AH79" s="14"/>
      <c r="AI79" s="14"/>
      <c r="AJ79" s="14"/>
      <c r="AK79" s="14"/>
      <c r="AL79" s="14"/>
      <c r="AM79" s="14"/>
      <c r="AN79" s="14"/>
      <c r="AO79" s="14"/>
    </row>
    <row r="80" spans="1:41" s="29" customFormat="1" ht="9">
      <c r="A80" s="258"/>
      <c r="B80" s="27"/>
      <c r="C80" s="27"/>
      <c r="D80" s="27"/>
      <c r="E80" s="27"/>
      <c r="F80" s="27"/>
      <c r="G80" s="27"/>
      <c r="H80" s="27"/>
      <c r="I80" s="27"/>
      <c r="J80" s="27"/>
      <c r="K80" s="27"/>
      <c r="L80" s="148" t="s">
        <v>573</v>
      </c>
      <c r="M80" s="27"/>
      <c r="N80" s="27"/>
      <c r="O80" s="27"/>
      <c r="P80" s="31"/>
      <c r="Q80" s="27"/>
      <c r="R80" s="370"/>
      <c r="S80" s="31"/>
      <c r="T80" s="370"/>
      <c r="U80" s="31"/>
      <c r="V80" s="370"/>
      <c r="W80" s="31"/>
      <c r="X80" s="31"/>
      <c r="Y80" s="370"/>
      <c r="Z80" s="27"/>
      <c r="AA80" s="27"/>
      <c r="AB80" s="27"/>
      <c r="AC80" s="410"/>
      <c r="AD80" s="27"/>
      <c r="AE80" s="412"/>
      <c r="AF80" s="14"/>
      <c r="AG80" s="14"/>
      <c r="AH80" s="14"/>
      <c r="AI80" s="14"/>
      <c r="AJ80" s="14"/>
      <c r="AK80" s="14"/>
      <c r="AL80" s="14"/>
      <c r="AM80" s="14"/>
      <c r="AN80" s="14"/>
      <c r="AO80" s="14"/>
    </row>
    <row r="81" spans="1:41" s="29" customFormat="1" ht="9">
      <c r="A81" s="258"/>
      <c r="B81" s="27"/>
      <c r="C81" s="27"/>
      <c r="D81" s="27"/>
      <c r="E81" s="27"/>
      <c r="F81" s="27"/>
      <c r="G81" s="27"/>
      <c r="H81" s="27"/>
      <c r="I81" s="27"/>
      <c r="J81" s="27"/>
      <c r="K81" s="27"/>
      <c r="L81" s="148" t="s">
        <v>574</v>
      </c>
      <c r="M81" s="27"/>
      <c r="N81" s="27"/>
      <c r="O81" s="27"/>
      <c r="P81" s="31"/>
      <c r="Q81" s="27"/>
      <c r="R81" s="370"/>
      <c r="S81" s="31"/>
      <c r="T81" s="370"/>
      <c r="U81" s="31"/>
      <c r="V81" s="370"/>
      <c r="W81" s="31"/>
      <c r="X81" s="31"/>
      <c r="Y81" s="370"/>
      <c r="Z81" s="27"/>
      <c r="AA81" s="27"/>
      <c r="AB81" s="27"/>
      <c r="AC81" s="410"/>
      <c r="AD81" s="27"/>
      <c r="AE81" s="412"/>
      <c r="AF81" s="14"/>
      <c r="AG81" s="14"/>
      <c r="AH81" s="14"/>
      <c r="AI81" s="14"/>
      <c r="AJ81" s="14"/>
      <c r="AK81" s="14"/>
      <c r="AL81" s="14"/>
      <c r="AM81" s="14"/>
      <c r="AN81" s="14"/>
      <c r="AO81" s="14"/>
    </row>
    <row r="82" spans="1:41" s="29" customFormat="1" ht="9.75" thickBot="1">
      <c r="A82" s="416"/>
      <c r="B82" s="34"/>
      <c r="C82" s="34"/>
      <c r="D82" s="34"/>
      <c r="E82" s="34"/>
      <c r="F82" s="34"/>
      <c r="G82" s="34"/>
      <c r="H82" s="34"/>
      <c r="I82" s="34"/>
      <c r="J82" s="34"/>
      <c r="K82" s="34"/>
      <c r="L82" s="153" t="s">
        <v>575</v>
      </c>
      <c r="M82" s="34"/>
      <c r="N82" s="34"/>
      <c r="O82" s="34"/>
      <c r="P82" s="33"/>
      <c r="Q82" s="34"/>
      <c r="R82" s="394"/>
      <c r="S82" s="33"/>
      <c r="T82" s="395"/>
      <c r="U82" s="33"/>
      <c r="V82" s="395"/>
      <c r="W82" s="33"/>
      <c r="X82" s="33"/>
      <c r="Y82" s="395"/>
      <c r="Z82" s="34"/>
      <c r="AA82" s="34"/>
      <c r="AB82" s="34"/>
      <c r="AC82" s="417"/>
      <c r="AD82" s="34"/>
      <c r="AE82" s="418"/>
      <c r="AF82" s="14"/>
      <c r="AG82" s="14"/>
      <c r="AH82" s="14"/>
      <c r="AI82" s="14"/>
      <c r="AJ82" s="14"/>
      <c r="AK82" s="14"/>
      <c r="AL82" s="14"/>
      <c r="AM82" s="14"/>
      <c r="AN82" s="14"/>
      <c r="AO82" s="14"/>
    </row>
    <row r="87" spans="1:41">
      <c r="AF87" s="101"/>
      <c r="AG87" s="101"/>
      <c r="AH87" s="101"/>
      <c r="AI87" s="101"/>
      <c r="AJ87" s="101"/>
      <c r="AK87" s="101"/>
      <c r="AL87" s="101"/>
      <c r="AM87" s="101"/>
      <c r="AN87" s="101"/>
      <c r="AO87" s="101"/>
    </row>
    <row r="88" spans="1:41">
      <c r="AF88" s="55"/>
      <c r="AG88" s="55"/>
      <c r="AH88" s="55"/>
      <c r="AI88" s="55"/>
      <c r="AJ88" s="55"/>
      <c r="AK88" s="55"/>
      <c r="AL88" s="55"/>
      <c r="AM88" s="55"/>
      <c r="AN88" s="55"/>
      <c r="AO88" s="55"/>
    </row>
    <row r="90" spans="1:41">
      <c r="AF90" s="41"/>
      <c r="AG90" s="41"/>
      <c r="AH90" s="41"/>
      <c r="AI90" s="41"/>
      <c r="AJ90" s="41"/>
      <c r="AK90" s="41"/>
      <c r="AL90" s="41"/>
      <c r="AM90" s="41"/>
      <c r="AN90" s="41"/>
      <c r="AO90" s="41"/>
    </row>
    <row r="91" spans="1:41">
      <c r="AF91" s="14"/>
      <c r="AG91" s="14"/>
      <c r="AH91" s="14"/>
      <c r="AI91" s="14"/>
      <c r="AJ91" s="14"/>
      <c r="AK91" s="14"/>
      <c r="AL91" s="14"/>
      <c r="AM91" s="14"/>
      <c r="AN91" s="14"/>
      <c r="AO91" s="14"/>
    </row>
    <row r="92" spans="1:41">
      <c r="AF92" s="14"/>
      <c r="AG92" s="14"/>
      <c r="AH92" s="14"/>
      <c r="AI92" s="14"/>
      <c r="AJ92" s="14"/>
      <c r="AK92" s="14"/>
      <c r="AL92" s="14"/>
      <c r="AM92" s="14"/>
      <c r="AN92" s="14"/>
      <c r="AO92" s="14"/>
    </row>
    <row r="93" spans="1:41">
      <c r="AF93" s="14"/>
      <c r="AG93" s="14"/>
      <c r="AH93" s="14"/>
      <c r="AI93" s="14"/>
      <c r="AJ93" s="14"/>
      <c r="AK93" s="14"/>
      <c r="AL93" s="14"/>
      <c r="AM93" s="14"/>
      <c r="AN93" s="14"/>
      <c r="AO93" s="14"/>
    </row>
    <row r="94" spans="1:41">
      <c r="AF94" s="14"/>
      <c r="AG94" s="14"/>
      <c r="AH94" s="14"/>
      <c r="AI94" s="14"/>
      <c r="AJ94" s="14"/>
      <c r="AK94" s="14"/>
      <c r="AL94" s="14"/>
      <c r="AM94" s="14"/>
      <c r="AN94" s="14"/>
      <c r="AO94" s="14"/>
    </row>
    <row r="95" spans="1:41">
      <c r="AF95" s="14"/>
      <c r="AG95" s="14"/>
      <c r="AH95" s="14"/>
      <c r="AI95" s="14"/>
      <c r="AJ95" s="14"/>
      <c r="AK95" s="14"/>
      <c r="AL95" s="14"/>
      <c r="AM95" s="14"/>
      <c r="AN95" s="14"/>
      <c r="AO95" s="14"/>
    </row>
    <row r="96" spans="1:41">
      <c r="AF96" s="14"/>
      <c r="AG96" s="14"/>
      <c r="AH96" s="14"/>
      <c r="AI96" s="14"/>
      <c r="AJ96" s="14"/>
      <c r="AK96" s="14"/>
      <c r="AL96" s="14"/>
      <c r="AM96" s="14"/>
      <c r="AN96" s="14"/>
      <c r="AO96" s="14"/>
    </row>
    <row r="97" spans="32:41">
      <c r="AF97" s="14"/>
      <c r="AG97" s="14"/>
      <c r="AH97" s="14"/>
      <c r="AI97" s="14"/>
      <c r="AJ97" s="14"/>
      <c r="AK97" s="14"/>
      <c r="AL97" s="14"/>
      <c r="AM97" s="14"/>
      <c r="AN97" s="14"/>
      <c r="AO97" s="14"/>
    </row>
    <row r="98" spans="32:41">
      <c r="AF98" s="14"/>
      <c r="AG98" s="14"/>
      <c r="AH98" s="14"/>
      <c r="AI98" s="14"/>
      <c r="AJ98" s="14"/>
      <c r="AK98" s="14"/>
      <c r="AL98" s="14"/>
      <c r="AM98" s="14"/>
      <c r="AN98" s="14"/>
      <c r="AO98" s="14"/>
    </row>
    <row r="99" spans="32:41">
      <c r="AF99" s="14"/>
      <c r="AG99" s="14"/>
      <c r="AH99" s="14"/>
      <c r="AI99" s="14"/>
      <c r="AJ99" s="14"/>
      <c r="AK99" s="14"/>
      <c r="AL99" s="14"/>
      <c r="AM99" s="14"/>
      <c r="AN99" s="14"/>
      <c r="AO99" s="14"/>
    </row>
    <row r="100" spans="32:41">
      <c r="AF100" s="14"/>
      <c r="AG100" s="14"/>
      <c r="AH100" s="14"/>
      <c r="AI100" s="14"/>
      <c r="AJ100" s="14"/>
      <c r="AK100" s="14"/>
      <c r="AL100" s="14"/>
      <c r="AM100" s="14"/>
      <c r="AN100" s="14"/>
      <c r="AO100" s="14"/>
    </row>
  </sheetData>
  <autoFilter ref="A3:AE3" xr:uid="{CD0BCB56-97CF-4C66-ADDC-09BDC936223C}"/>
  <phoneticPr fontId="0"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autoPageBreaks="0" fitToPage="1"/>
  </sheetPr>
  <dimension ref="A1:AU100"/>
  <sheetViews>
    <sheetView showGridLines="0" zoomScaleNormal="100" zoomScaleSheetLayoutView="50" workbookViewId="0">
      <pane xSplit="4" ySplit="3" topLeftCell="Y4" activePane="bottomRight" state="frozen"/>
      <selection pane="bottomRight" activeCell="AG13" sqref="AG13:AG15"/>
      <selection pane="bottomLeft" activeCell="A4" sqref="A4"/>
      <selection pane="topRight" activeCell="E1" sqref="E1"/>
    </sheetView>
  </sheetViews>
  <sheetFormatPr defaultColWidth="9.140625" defaultRowHeight="12.75" outlineLevelCol="1"/>
  <cols>
    <col min="1" max="1" width="15.7109375" style="1" customWidth="1"/>
    <col min="2" max="2" width="9.5703125" style="1" bestFit="1" customWidth="1"/>
    <col min="3" max="3" width="10.5703125" style="3" bestFit="1" customWidth="1"/>
    <col min="4" max="4" width="19.140625" style="1" customWidth="1"/>
    <col min="5" max="6" width="16.42578125" style="1" customWidth="1"/>
    <col min="7" max="7" width="41" style="1" customWidth="1"/>
    <col min="8" max="9" width="30.28515625" style="1" bestFit="1" customWidth="1"/>
    <col min="10" max="10" width="22.5703125" style="1" bestFit="1" customWidth="1"/>
    <col min="11" max="11" width="8.5703125" style="1" bestFit="1" customWidth="1"/>
    <col min="12" max="12" width="10.7109375" style="1" bestFit="1" customWidth="1"/>
    <col min="13" max="13" width="30.28515625" style="1" customWidth="1"/>
    <col min="14" max="21" width="30.5703125" style="1" customWidth="1"/>
    <col min="22" max="23" width="13.5703125" style="1" customWidth="1"/>
    <col min="24" max="24" width="33.42578125" style="1" customWidth="1"/>
    <col min="25" max="26" width="13.140625" style="1" customWidth="1"/>
    <col min="27" max="27" width="13.5703125" style="1" customWidth="1"/>
    <col min="28" max="28" width="26.85546875" style="1" customWidth="1"/>
    <col min="29" max="29" width="19.140625" style="1" bestFit="1" customWidth="1"/>
    <col min="30" max="32" width="17.7109375" style="1" customWidth="1" outlineLevel="1"/>
    <col min="33" max="33" width="19.7109375" style="1" customWidth="1" outlineLevel="1"/>
    <col min="34" max="34" width="18.140625" style="1" bestFit="1" customWidth="1"/>
    <col min="35" max="35" width="23.85546875" style="1" bestFit="1" customWidth="1"/>
    <col min="36" max="36" width="10.140625" style="1" customWidth="1"/>
    <col min="37" max="37" width="8.7109375" style="49" customWidth="1"/>
    <col min="38" max="47" width="9.140625" style="49"/>
    <col min="48" max="16384" width="9.140625" style="46"/>
  </cols>
  <sheetData>
    <row r="1" spans="1:47" ht="24" customHeight="1" thickBot="1">
      <c r="D1" s="119" t="s">
        <v>604</v>
      </c>
    </row>
    <row r="2" spans="1:47" ht="39" thickBot="1">
      <c r="D2" s="206" t="s">
        <v>605</v>
      </c>
      <c r="E2" s="171" t="s">
        <v>63</v>
      </c>
      <c r="F2" s="172"/>
      <c r="X2" s="433" t="s">
        <v>455</v>
      </c>
      <c r="Y2" s="613" t="s">
        <v>456</v>
      </c>
      <c r="Z2" s="614"/>
      <c r="AA2" s="614"/>
      <c r="AB2" s="614"/>
      <c r="AC2" s="615"/>
      <c r="AD2" s="616" t="s">
        <v>606</v>
      </c>
      <c r="AE2" s="616"/>
      <c r="AF2" s="616"/>
      <c r="AG2" s="617"/>
    </row>
    <row r="3" spans="1:47" s="55" customFormat="1" ht="30" customHeight="1" thickBot="1">
      <c r="A3" s="329" t="s">
        <v>64</v>
      </c>
      <c r="B3" s="330" t="s">
        <v>65</v>
      </c>
      <c r="C3" s="334" t="s">
        <v>66</v>
      </c>
      <c r="D3" s="331" t="s">
        <v>360</v>
      </c>
      <c r="E3" s="317" t="s">
        <v>68</v>
      </c>
      <c r="F3" s="318" t="s">
        <v>69</v>
      </c>
      <c r="G3" s="331" t="s">
        <v>361</v>
      </c>
      <c r="H3" s="330" t="s">
        <v>426</v>
      </c>
      <c r="I3" s="330" t="s">
        <v>427</v>
      </c>
      <c r="J3" s="330" t="s">
        <v>459</v>
      </c>
      <c r="K3" s="331" t="s">
        <v>579</v>
      </c>
      <c r="L3" s="331" t="s">
        <v>580</v>
      </c>
      <c r="M3" s="330" t="s">
        <v>429</v>
      </c>
      <c r="N3" s="330" t="s">
        <v>607</v>
      </c>
      <c r="O3" s="330" t="s">
        <v>608</v>
      </c>
      <c r="P3" s="330" t="s">
        <v>609</v>
      </c>
      <c r="Q3" s="330" t="s">
        <v>610</v>
      </c>
      <c r="R3" s="330" t="s">
        <v>611</v>
      </c>
      <c r="S3" s="330" t="s">
        <v>612</v>
      </c>
      <c r="T3" s="330" t="s">
        <v>613</v>
      </c>
      <c r="U3" s="330" t="s">
        <v>614</v>
      </c>
      <c r="V3" s="331" t="s">
        <v>581</v>
      </c>
      <c r="W3" s="331" t="s">
        <v>582</v>
      </c>
      <c r="X3" s="336" t="s">
        <v>466</v>
      </c>
      <c r="Y3" s="331" t="s">
        <v>615</v>
      </c>
      <c r="Z3" s="331" t="s">
        <v>616</v>
      </c>
      <c r="AA3" s="331" t="s">
        <v>617</v>
      </c>
      <c r="AB3" s="336" t="s">
        <v>473</v>
      </c>
      <c r="AC3" s="336" t="s">
        <v>474</v>
      </c>
      <c r="AD3" s="337" t="s">
        <v>618</v>
      </c>
      <c r="AE3" s="337" t="s">
        <v>477</v>
      </c>
      <c r="AF3" s="337" t="s">
        <v>478</v>
      </c>
      <c r="AG3" s="337" t="s">
        <v>479</v>
      </c>
      <c r="AH3" s="330" t="s">
        <v>78</v>
      </c>
      <c r="AI3" s="330" t="s">
        <v>79</v>
      </c>
      <c r="AJ3" s="340" t="s">
        <v>369</v>
      </c>
      <c r="AK3" s="398" t="s">
        <v>619</v>
      </c>
      <c r="AL3" s="319"/>
      <c r="AM3" s="319"/>
      <c r="AN3" s="319"/>
      <c r="AO3" s="319"/>
      <c r="AP3" s="319"/>
      <c r="AQ3" s="319"/>
      <c r="AR3" s="319"/>
      <c r="AS3" s="319"/>
      <c r="AT3" s="319"/>
      <c r="AU3" s="319"/>
    </row>
    <row r="4" spans="1:47">
      <c r="A4" s="249"/>
      <c r="B4" s="43" t="s">
        <v>15</v>
      </c>
      <c r="C4" s="67">
        <v>1</v>
      </c>
      <c r="D4" s="43"/>
      <c r="E4" s="43"/>
      <c r="F4" s="43"/>
      <c r="G4" s="43"/>
      <c r="H4" s="43"/>
      <c r="I4" s="43"/>
      <c r="J4" s="78"/>
      <c r="K4" s="96"/>
      <c r="L4" s="78"/>
      <c r="M4" s="78"/>
      <c r="N4" s="184"/>
      <c r="O4" s="184"/>
      <c r="P4" s="184"/>
      <c r="Q4" s="184"/>
      <c r="R4" s="184"/>
      <c r="S4" s="184"/>
      <c r="T4" s="184"/>
      <c r="U4" s="184"/>
      <c r="V4" s="84"/>
      <c r="W4" s="84"/>
      <c r="X4" s="84"/>
      <c r="Y4" s="84"/>
      <c r="Z4" s="84"/>
      <c r="AA4" s="84"/>
      <c r="AB4" s="84"/>
      <c r="AC4" s="84"/>
      <c r="AD4" s="78" t="str">
        <f xml:space="preserve"> IF(LEN(D4)=0,"", '[1]General info'!$B$5 &amp; "/" &amp; D4)</f>
        <v/>
      </c>
      <c r="AE4" s="78"/>
      <c r="AF4" s="84"/>
      <c r="AG4" s="84"/>
      <c r="AH4" s="84"/>
      <c r="AI4" s="78"/>
      <c r="AJ4" s="265"/>
      <c r="AK4" s="108"/>
      <c r="AL4" s="25"/>
      <c r="AM4" s="195"/>
      <c r="AN4" s="46" t="s">
        <v>93</v>
      </c>
      <c r="AO4" s="25"/>
      <c r="AP4" s="25"/>
      <c r="AQ4" s="25"/>
      <c r="AR4" s="25"/>
    </row>
    <row r="5" spans="1:47">
      <c r="A5" s="249"/>
      <c r="B5" s="43" t="s">
        <v>15</v>
      </c>
      <c r="C5" s="67">
        <v>2</v>
      </c>
      <c r="D5" s="43"/>
      <c r="E5" s="43"/>
      <c r="F5" s="43"/>
      <c r="G5" s="43"/>
      <c r="H5" s="43"/>
      <c r="I5" s="43"/>
      <c r="J5" s="78"/>
      <c r="K5" s="96"/>
      <c r="L5" s="78"/>
      <c r="M5" s="78"/>
      <c r="N5" s="184"/>
      <c r="O5" s="184"/>
      <c r="P5" s="184"/>
      <c r="Q5" s="184"/>
      <c r="R5" s="184"/>
      <c r="S5" s="184"/>
      <c r="T5" s="184"/>
      <c r="U5" s="184"/>
      <c r="V5" s="84"/>
      <c r="W5" s="84"/>
      <c r="X5" s="84"/>
      <c r="Y5" s="84"/>
      <c r="Z5" s="84"/>
      <c r="AA5" s="84"/>
      <c r="AB5" s="84"/>
      <c r="AC5" s="84"/>
      <c r="AD5" s="78" t="str">
        <f xml:space="preserve"> IF(LEN(D5)=0,"", '[1]General info'!$B$5 &amp; "/" &amp; D5)</f>
        <v/>
      </c>
      <c r="AE5" s="78"/>
      <c r="AF5" s="84"/>
      <c r="AG5" s="84"/>
      <c r="AH5" s="68"/>
      <c r="AI5" s="78"/>
      <c r="AJ5" s="265"/>
      <c r="AK5" s="48"/>
      <c r="AL5" s="25"/>
      <c r="AM5" s="196"/>
      <c r="AN5" s="46" t="s">
        <v>100</v>
      </c>
      <c r="AO5" s="25"/>
      <c r="AP5" s="25"/>
      <c r="AQ5" s="25"/>
      <c r="AR5" s="25"/>
    </row>
    <row r="6" spans="1:47">
      <c r="A6" s="249"/>
      <c r="B6" s="43" t="s">
        <v>15</v>
      </c>
      <c r="C6" s="67">
        <v>3</v>
      </c>
      <c r="D6" s="43"/>
      <c r="E6" s="43"/>
      <c r="F6" s="43"/>
      <c r="G6" s="43"/>
      <c r="H6" s="43"/>
      <c r="I6" s="43"/>
      <c r="J6" s="78"/>
      <c r="K6" s="97"/>
      <c r="L6" s="43"/>
      <c r="M6" s="78"/>
      <c r="N6" s="184"/>
      <c r="O6" s="184"/>
      <c r="P6" s="184"/>
      <c r="Q6" s="184"/>
      <c r="R6" s="184"/>
      <c r="S6" s="184"/>
      <c r="T6" s="184"/>
      <c r="U6" s="184"/>
      <c r="V6" s="68"/>
      <c r="W6" s="68"/>
      <c r="X6" s="84"/>
      <c r="Y6" s="84"/>
      <c r="Z6" s="68"/>
      <c r="AA6" s="68"/>
      <c r="AB6" s="68"/>
      <c r="AC6" s="84"/>
      <c r="AD6" s="78" t="str">
        <f xml:space="preserve"> IF(LEN(D6)=0,"", '[1]General info'!$B$5 &amp; "/" &amp; D6)</f>
        <v/>
      </c>
      <c r="AE6" s="78"/>
      <c r="AF6" s="84"/>
      <c r="AG6" s="84"/>
      <c r="AH6" s="68"/>
      <c r="AI6" s="78"/>
      <c r="AJ6" s="265"/>
      <c r="AK6" s="48"/>
      <c r="AL6" s="25"/>
      <c r="AM6" s="197"/>
      <c r="AN6" s="46" t="s">
        <v>107</v>
      </c>
      <c r="AO6" s="25"/>
      <c r="AP6" s="25"/>
      <c r="AQ6" s="25"/>
      <c r="AR6" s="25"/>
    </row>
    <row r="7" spans="1:47">
      <c r="A7" s="249"/>
      <c r="B7" s="43" t="s">
        <v>15</v>
      </c>
      <c r="C7" s="67">
        <v>4</v>
      </c>
      <c r="D7" s="43"/>
      <c r="E7" s="43"/>
      <c r="F7" s="43"/>
      <c r="G7" s="43"/>
      <c r="H7" s="43"/>
      <c r="I7" s="43"/>
      <c r="J7" s="78"/>
      <c r="K7" s="97"/>
      <c r="L7" s="43"/>
      <c r="M7" s="78"/>
      <c r="N7" s="185"/>
      <c r="O7" s="185"/>
      <c r="P7" s="185"/>
      <c r="Q7" s="185"/>
      <c r="R7" s="185"/>
      <c r="S7" s="185"/>
      <c r="T7" s="185"/>
      <c r="U7" s="185"/>
      <c r="V7" s="68"/>
      <c r="W7" s="68"/>
      <c r="X7" s="84"/>
      <c r="Y7" s="84"/>
      <c r="Z7" s="68"/>
      <c r="AA7" s="68"/>
      <c r="AB7" s="68"/>
      <c r="AC7" s="84"/>
      <c r="AD7" s="78" t="str">
        <f xml:space="preserve"> IF(LEN(D7)=0,"", '[1]General info'!$B$5 &amp; "/" &amp; D7)</f>
        <v/>
      </c>
      <c r="AE7" s="78"/>
      <c r="AF7" s="84"/>
      <c r="AG7" s="84"/>
      <c r="AH7" s="68"/>
      <c r="AI7" s="78"/>
      <c r="AJ7" s="265"/>
      <c r="AK7" s="48"/>
      <c r="AL7" s="25"/>
      <c r="AM7" s="200"/>
      <c r="AN7" s="46" t="s">
        <v>482</v>
      </c>
      <c r="AP7" s="25"/>
      <c r="AQ7" s="25"/>
      <c r="AR7" s="25"/>
    </row>
    <row r="8" spans="1:47">
      <c r="A8" s="249"/>
      <c r="B8" s="43" t="s">
        <v>15</v>
      </c>
      <c r="C8" s="67">
        <v>5</v>
      </c>
      <c r="D8" s="43"/>
      <c r="E8" s="43"/>
      <c r="F8" s="43"/>
      <c r="G8" s="43"/>
      <c r="H8" s="43"/>
      <c r="I8" s="43"/>
      <c r="J8" s="78"/>
      <c r="K8" s="97"/>
      <c r="L8" s="43"/>
      <c r="M8" s="78"/>
      <c r="N8" s="184"/>
      <c r="O8" s="184"/>
      <c r="P8" s="184"/>
      <c r="Q8" s="184"/>
      <c r="R8" s="184"/>
      <c r="S8" s="184"/>
      <c r="T8" s="184"/>
      <c r="U8" s="184"/>
      <c r="V8" s="68"/>
      <c r="W8" s="68"/>
      <c r="X8" s="84"/>
      <c r="Y8" s="84"/>
      <c r="Z8" s="68"/>
      <c r="AA8" s="68"/>
      <c r="AB8" s="68"/>
      <c r="AC8" s="84"/>
      <c r="AD8" s="78" t="str">
        <f xml:space="preserve"> IF(LEN(D8)=0,"", '[1]General info'!$B$5 &amp; "/" &amp; D8)</f>
        <v/>
      </c>
      <c r="AE8" s="78"/>
      <c r="AF8" s="84"/>
      <c r="AG8" s="84"/>
      <c r="AH8" s="68"/>
      <c r="AI8" s="78"/>
      <c r="AJ8" s="265"/>
      <c r="AK8" s="48"/>
      <c r="AL8" s="25"/>
      <c r="AM8" s="25"/>
      <c r="AN8" s="25"/>
      <c r="AO8" s="25"/>
      <c r="AP8" s="25"/>
      <c r="AQ8" s="25"/>
      <c r="AR8" s="25"/>
    </row>
    <row r="9" spans="1:47">
      <c r="A9" s="249"/>
      <c r="B9" s="43" t="s">
        <v>15</v>
      </c>
      <c r="C9" s="67">
        <v>6</v>
      </c>
      <c r="D9" s="43"/>
      <c r="E9" s="43"/>
      <c r="F9" s="43"/>
      <c r="G9" s="43"/>
      <c r="H9" s="43"/>
      <c r="I9" s="43"/>
      <c r="J9" s="78"/>
      <c r="K9" s="98"/>
      <c r="L9" s="43"/>
      <c r="M9" s="78"/>
      <c r="N9" s="184"/>
      <c r="O9" s="184"/>
      <c r="P9" s="184"/>
      <c r="Q9" s="184"/>
      <c r="R9" s="184"/>
      <c r="S9" s="184"/>
      <c r="T9" s="184"/>
      <c r="U9" s="184"/>
      <c r="V9" s="68"/>
      <c r="W9" s="68"/>
      <c r="X9" s="84"/>
      <c r="Y9" s="84"/>
      <c r="Z9" s="68"/>
      <c r="AA9" s="68"/>
      <c r="AB9" s="68"/>
      <c r="AC9" s="84"/>
      <c r="AD9" s="78" t="str">
        <f xml:space="preserve"> IF(LEN(D9)=0,"", '[1]General info'!$B$5 &amp; "/" &amp; D9)</f>
        <v/>
      </c>
      <c r="AE9" s="78"/>
      <c r="AF9" s="84"/>
      <c r="AG9" s="84"/>
      <c r="AH9" s="68"/>
      <c r="AI9" s="78"/>
      <c r="AJ9" s="265"/>
      <c r="AK9" s="48"/>
      <c r="AL9" s="25"/>
      <c r="AM9" s="320"/>
      <c r="AN9" s="46" t="s">
        <v>121</v>
      </c>
      <c r="AO9" s="25"/>
      <c r="AP9" s="25"/>
      <c r="AQ9" s="25"/>
      <c r="AR9" s="25"/>
    </row>
    <row r="10" spans="1:47">
      <c r="A10" s="249"/>
      <c r="B10" s="43" t="s">
        <v>15</v>
      </c>
      <c r="C10" s="67">
        <v>7</v>
      </c>
      <c r="D10" s="43"/>
      <c r="E10" s="43"/>
      <c r="F10" s="43"/>
      <c r="G10" s="43"/>
      <c r="H10" s="43"/>
      <c r="I10" s="43"/>
      <c r="J10" s="78"/>
      <c r="K10" s="97"/>
      <c r="L10" s="43"/>
      <c r="M10" s="78"/>
      <c r="N10" s="184"/>
      <c r="O10" s="184"/>
      <c r="P10" s="184"/>
      <c r="Q10" s="184"/>
      <c r="R10" s="184"/>
      <c r="S10" s="184"/>
      <c r="T10" s="184"/>
      <c r="U10" s="184"/>
      <c r="V10" s="68"/>
      <c r="W10" s="68"/>
      <c r="X10" s="84"/>
      <c r="Y10" s="84"/>
      <c r="Z10" s="68"/>
      <c r="AA10" s="68"/>
      <c r="AB10" s="68"/>
      <c r="AC10" s="84"/>
      <c r="AD10" s="78" t="str">
        <f xml:space="preserve"> IF(LEN(D10)=0,"", '[1]General info'!$B$5 &amp; "/" &amp; D10)</f>
        <v/>
      </c>
      <c r="AE10" s="78"/>
      <c r="AF10" s="84"/>
      <c r="AG10" s="84"/>
      <c r="AH10" s="68"/>
      <c r="AI10" s="78"/>
      <c r="AJ10" s="265"/>
      <c r="AK10" s="48"/>
      <c r="AL10" s="25"/>
      <c r="AM10" s="321"/>
      <c r="AN10" s="46" t="s">
        <v>129</v>
      </c>
      <c r="AO10" s="25"/>
      <c r="AP10" s="25"/>
      <c r="AQ10" s="25"/>
      <c r="AR10" s="25"/>
    </row>
    <row r="11" spans="1:47">
      <c r="A11" s="249"/>
      <c r="B11" s="43" t="s">
        <v>15</v>
      </c>
      <c r="C11" s="67">
        <v>8</v>
      </c>
      <c r="D11" s="43"/>
      <c r="E11" s="43"/>
      <c r="F11" s="43"/>
      <c r="G11" s="43"/>
      <c r="H11" s="43"/>
      <c r="I11" s="43"/>
      <c r="J11" s="78"/>
      <c r="K11" s="97"/>
      <c r="L11" s="43"/>
      <c r="M11" s="78"/>
      <c r="N11" s="184"/>
      <c r="O11" s="184"/>
      <c r="P11" s="184"/>
      <c r="Q11" s="184"/>
      <c r="R11" s="184"/>
      <c r="S11" s="184"/>
      <c r="T11" s="184"/>
      <c r="U11" s="184"/>
      <c r="V11" s="68"/>
      <c r="W11" s="68"/>
      <c r="X11" s="84"/>
      <c r="Y11" s="84"/>
      <c r="Z11" s="68"/>
      <c r="AA11" s="68"/>
      <c r="AB11" s="68"/>
      <c r="AC11" s="84"/>
      <c r="AD11" s="78" t="str">
        <f xml:space="preserve"> IF(LEN(D11)=0,"", '[1]General info'!$B$5 &amp; "/" &amp; D11)</f>
        <v/>
      </c>
      <c r="AE11" s="78"/>
      <c r="AF11" s="84"/>
      <c r="AG11" s="84"/>
      <c r="AH11" s="68"/>
      <c r="AI11" s="78"/>
      <c r="AJ11" s="265"/>
      <c r="AK11" s="48"/>
      <c r="AL11" s="25"/>
      <c r="AM11" s="25"/>
      <c r="AN11" s="25"/>
      <c r="AO11" s="25"/>
      <c r="AP11" s="25"/>
      <c r="AQ11" s="25"/>
      <c r="AR11" s="25"/>
    </row>
    <row r="12" spans="1:47">
      <c r="A12" s="249"/>
      <c r="B12" s="43" t="s">
        <v>15</v>
      </c>
      <c r="C12" s="67">
        <v>9</v>
      </c>
      <c r="D12" s="43"/>
      <c r="E12" s="43"/>
      <c r="F12" s="43"/>
      <c r="G12" s="43"/>
      <c r="H12" s="43"/>
      <c r="I12" s="43"/>
      <c r="J12" s="78"/>
      <c r="K12" s="97"/>
      <c r="L12" s="43"/>
      <c r="M12" s="78"/>
      <c r="N12" s="184"/>
      <c r="O12" s="184"/>
      <c r="P12" s="184"/>
      <c r="Q12" s="184"/>
      <c r="R12" s="184"/>
      <c r="S12" s="184"/>
      <c r="T12" s="184"/>
      <c r="U12" s="184"/>
      <c r="V12" s="68"/>
      <c r="W12" s="68"/>
      <c r="X12" s="84"/>
      <c r="Y12" s="84"/>
      <c r="Z12" s="68"/>
      <c r="AA12" s="68"/>
      <c r="AB12" s="68"/>
      <c r="AC12" s="84"/>
      <c r="AD12" s="78" t="str">
        <f xml:space="preserve"> IF(LEN(D12)=0,"", '[1]General info'!$B$5 &amp; "/" &amp; D12)</f>
        <v/>
      </c>
      <c r="AE12" s="78"/>
      <c r="AF12" s="84"/>
      <c r="AG12" s="84"/>
      <c r="AH12" s="68"/>
      <c r="AI12" s="78"/>
      <c r="AJ12" s="265"/>
      <c r="AK12" s="48"/>
      <c r="AL12" s="25"/>
      <c r="AM12" s="25"/>
      <c r="AN12" s="25"/>
      <c r="AO12" s="25"/>
      <c r="AP12" s="25"/>
      <c r="AQ12" s="25"/>
      <c r="AR12" s="25"/>
    </row>
    <row r="13" spans="1:47">
      <c r="A13" s="249"/>
      <c r="B13" s="43" t="s">
        <v>15</v>
      </c>
      <c r="C13" s="67">
        <v>10</v>
      </c>
      <c r="D13" s="43"/>
      <c r="E13" s="43"/>
      <c r="F13" s="43"/>
      <c r="G13" s="43"/>
      <c r="H13" s="43"/>
      <c r="I13" s="43"/>
      <c r="J13" s="78"/>
      <c r="K13" s="96"/>
      <c r="L13" s="78"/>
      <c r="M13" s="78"/>
      <c r="N13" s="184"/>
      <c r="O13" s="184"/>
      <c r="P13" s="184"/>
      <c r="Q13" s="184"/>
      <c r="R13" s="184"/>
      <c r="S13" s="184"/>
      <c r="T13" s="184"/>
      <c r="U13" s="184"/>
      <c r="V13" s="68"/>
      <c r="W13" s="68"/>
      <c r="X13" s="84"/>
      <c r="Y13" s="84"/>
      <c r="Z13" s="68"/>
      <c r="AA13" s="68"/>
      <c r="AB13" s="68"/>
      <c r="AC13" s="84"/>
      <c r="AD13" s="78" t="str">
        <f xml:space="preserve"> IF(LEN(D13)=0,"", '[1]General info'!$B$5 &amp; "/" &amp; D13)</f>
        <v/>
      </c>
      <c r="AE13" s="78"/>
      <c r="AF13" s="84"/>
      <c r="AG13" s="84"/>
      <c r="AH13" s="99"/>
      <c r="AI13" s="78"/>
      <c r="AJ13" s="265"/>
      <c r="AK13" s="48"/>
    </row>
    <row r="14" spans="1:47">
      <c r="A14" s="249"/>
      <c r="B14" s="43" t="s">
        <v>15</v>
      </c>
      <c r="C14" s="67">
        <v>11</v>
      </c>
      <c r="D14" s="43"/>
      <c r="E14" s="43"/>
      <c r="F14" s="43"/>
      <c r="G14" s="43"/>
      <c r="H14" s="43"/>
      <c r="I14" s="43"/>
      <c r="J14" s="78"/>
      <c r="K14" s="96"/>
      <c r="L14" s="78"/>
      <c r="M14" s="78"/>
      <c r="N14" s="184"/>
      <c r="O14" s="184"/>
      <c r="P14" s="184"/>
      <c r="Q14" s="184"/>
      <c r="R14" s="184"/>
      <c r="S14" s="184"/>
      <c r="T14" s="184"/>
      <c r="U14" s="184"/>
      <c r="V14" s="68"/>
      <c r="W14" s="68"/>
      <c r="X14" s="84"/>
      <c r="Y14" s="84"/>
      <c r="Z14" s="68"/>
      <c r="AA14" s="68"/>
      <c r="AB14" s="68"/>
      <c r="AC14" s="84"/>
      <c r="AD14" s="78" t="str">
        <f xml:space="preserve"> IF(LEN(D14)=0,"", '[1]General info'!$B$5 &amp; "/" &amp; D14)</f>
        <v/>
      </c>
      <c r="AE14" s="78"/>
      <c r="AF14" s="84"/>
      <c r="AG14" s="84"/>
      <c r="AH14" s="99"/>
      <c r="AI14" s="78"/>
      <c r="AJ14" s="265"/>
      <c r="AK14" s="48"/>
    </row>
    <row r="15" spans="1:47">
      <c r="A15" s="249"/>
      <c r="B15" s="43" t="s">
        <v>15</v>
      </c>
      <c r="C15" s="67">
        <v>12</v>
      </c>
      <c r="D15" s="43"/>
      <c r="E15" s="43"/>
      <c r="F15" s="43"/>
      <c r="G15" s="43"/>
      <c r="H15" s="43"/>
      <c r="I15" s="43"/>
      <c r="J15" s="78"/>
      <c r="K15" s="96"/>
      <c r="L15" s="78"/>
      <c r="M15" s="78"/>
      <c r="N15" s="184"/>
      <c r="O15" s="184"/>
      <c r="P15" s="184"/>
      <c r="Q15" s="184"/>
      <c r="R15" s="184"/>
      <c r="S15" s="184"/>
      <c r="T15" s="184"/>
      <c r="U15" s="184"/>
      <c r="V15" s="68"/>
      <c r="W15" s="68"/>
      <c r="X15" s="84"/>
      <c r="Y15" s="84"/>
      <c r="Z15" s="68"/>
      <c r="AA15" s="68"/>
      <c r="AB15" s="68"/>
      <c r="AC15" s="84"/>
      <c r="AD15" s="78" t="str">
        <f xml:space="preserve"> IF(LEN(D15)=0,"", '[1]General info'!$B$5 &amp; "/" &amp; D15)</f>
        <v/>
      </c>
      <c r="AE15" s="78"/>
      <c r="AF15" s="84"/>
      <c r="AG15" s="84"/>
      <c r="AH15" s="99"/>
      <c r="AI15" s="78"/>
      <c r="AJ15" s="265"/>
      <c r="AK15" s="48"/>
    </row>
    <row r="16" spans="1:47">
      <c r="A16" s="249"/>
      <c r="B16" s="43" t="s">
        <v>15</v>
      </c>
      <c r="C16" s="67">
        <v>13</v>
      </c>
      <c r="D16" s="43"/>
      <c r="E16" s="43"/>
      <c r="F16" s="43"/>
      <c r="G16" s="43"/>
      <c r="H16" s="43"/>
      <c r="I16" s="43"/>
      <c r="J16" s="78"/>
      <c r="K16" s="97"/>
      <c r="L16" s="43"/>
      <c r="M16" s="78"/>
      <c r="N16" s="185"/>
      <c r="O16" s="185"/>
      <c r="P16" s="185"/>
      <c r="Q16" s="185"/>
      <c r="R16" s="185"/>
      <c r="S16" s="185"/>
      <c r="T16" s="185"/>
      <c r="U16" s="185"/>
      <c r="V16" s="68"/>
      <c r="W16" s="68"/>
      <c r="X16" s="84"/>
      <c r="Y16" s="84"/>
      <c r="Z16" s="68"/>
      <c r="AA16" s="68"/>
      <c r="AB16" s="68"/>
      <c r="AC16" s="84"/>
      <c r="AD16" s="78" t="str">
        <f xml:space="preserve"> IF(LEN(D16)=0,"", '[1]General info'!$B$5 &amp; "/" &amp; D16)</f>
        <v/>
      </c>
      <c r="AE16" s="78"/>
      <c r="AF16" s="84"/>
      <c r="AG16" s="84"/>
      <c r="AH16" s="99"/>
      <c r="AI16" s="78"/>
      <c r="AJ16" s="265"/>
      <c r="AK16" s="48"/>
    </row>
    <row r="17" spans="1:37">
      <c r="A17" s="249"/>
      <c r="B17" s="43" t="s">
        <v>15</v>
      </c>
      <c r="C17" s="67">
        <v>14</v>
      </c>
      <c r="D17" s="43"/>
      <c r="E17" s="43"/>
      <c r="F17" s="43"/>
      <c r="G17" s="43"/>
      <c r="H17" s="43"/>
      <c r="I17" s="43"/>
      <c r="J17" s="78"/>
      <c r="K17" s="96"/>
      <c r="L17" s="78"/>
      <c r="M17" s="78"/>
      <c r="N17" s="184"/>
      <c r="O17" s="184"/>
      <c r="P17" s="184"/>
      <c r="Q17" s="184"/>
      <c r="R17" s="184"/>
      <c r="S17" s="184"/>
      <c r="T17" s="184"/>
      <c r="U17" s="184"/>
      <c r="V17" s="68"/>
      <c r="W17" s="68"/>
      <c r="X17" s="84"/>
      <c r="Y17" s="84"/>
      <c r="Z17" s="68"/>
      <c r="AA17" s="68"/>
      <c r="AB17" s="68"/>
      <c r="AC17" s="84"/>
      <c r="AD17" s="78" t="str">
        <f xml:space="preserve"> IF(LEN(D17)=0,"", '[1]General info'!$B$5 &amp; "/" &amp; D17)</f>
        <v/>
      </c>
      <c r="AE17" s="78"/>
      <c r="AF17" s="84"/>
      <c r="AG17" s="84"/>
      <c r="AH17" s="99"/>
      <c r="AI17" s="78"/>
      <c r="AJ17" s="265"/>
      <c r="AK17" s="48"/>
    </row>
    <row r="18" spans="1:37">
      <c r="A18" s="249"/>
      <c r="B18" s="43" t="s">
        <v>15</v>
      </c>
      <c r="C18" s="67">
        <v>15</v>
      </c>
      <c r="D18" s="43"/>
      <c r="E18" s="43"/>
      <c r="F18" s="43"/>
      <c r="G18" s="43"/>
      <c r="H18" s="43"/>
      <c r="I18" s="43"/>
      <c r="J18" s="78"/>
      <c r="K18" s="96"/>
      <c r="L18" s="78"/>
      <c r="M18" s="78"/>
      <c r="N18" s="184"/>
      <c r="O18" s="184"/>
      <c r="P18" s="184"/>
      <c r="Q18" s="184"/>
      <c r="R18" s="184"/>
      <c r="S18" s="184"/>
      <c r="T18" s="184"/>
      <c r="U18" s="184"/>
      <c r="V18" s="68"/>
      <c r="W18" s="68"/>
      <c r="X18" s="84"/>
      <c r="Y18" s="84"/>
      <c r="Z18" s="68"/>
      <c r="AA18" s="68"/>
      <c r="AB18" s="68"/>
      <c r="AC18" s="84"/>
      <c r="AD18" s="78" t="str">
        <f xml:space="preserve"> IF(LEN(D18)=0,"", '[1]General info'!$B$5 &amp; "/" &amp; D18)</f>
        <v/>
      </c>
      <c r="AE18" s="78"/>
      <c r="AF18" s="84"/>
      <c r="AG18" s="84"/>
      <c r="AH18" s="99"/>
      <c r="AI18" s="78"/>
      <c r="AJ18" s="265"/>
      <c r="AK18" s="48"/>
    </row>
    <row r="19" spans="1:37">
      <c r="A19" s="249"/>
      <c r="B19" s="43" t="s">
        <v>15</v>
      </c>
      <c r="C19" s="67">
        <v>16</v>
      </c>
      <c r="D19" s="43"/>
      <c r="E19" s="43"/>
      <c r="F19" s="43"/>
      <c r="G19" s="43"/>
      <c r="H19" s="43"/>
      <c r="I19" s="43"/>
      <c r="J19" s="78"/>
      <c r="K19" s="97"/>
      <c r="L19" s="43"/>
      <c r="M19" s="78"/>
      <c r="N19" s="184"/>
      <c r="O19" s="184"/>
      <c r="P19" s="184"/>
      <c r="Q19" s="184"/>
      <c r="R19" s="184"/>
      <c r="S19" s="184"/>
      <c r="T19" s="184"/>
      <c r="U19" s="184"/>
      <c r="V19" s="68"/>
      <c r="W19" s="68"/>
      <c r="X19" s="84"/>
      <c r="Y19" s="84"/>
      <c r="Z19" s="68"/>
      <c r="AA19" s="68"/>
      <c r="AB19" s="68"/>
      <c r="AC19" s="84"/>
      <c r="AD19" s="78" t="str">
        <f xml:space="preserve"> IF(LEN(D19)=0,"", '[1]General info'!$B$5 &amp; "/" &amp; D19)</f>
        <v/>
      </c>
      <c r="AE19" s="78"/>
      <c r="AF19" s="84"/>
      <c r="AG19" s="84"/>
      <c r="AH19" s="99"/>
      <c r="AI19" s="78"/>
      <c r="AJ19" s="265"/>
      <c r="AK19" s="48"/>
    </row>
    <row r="20" spans="1:37">
      <c r="A20" s="249"/>
      <c r="B20" s="43" t="s">
        <v>15</v>
      </c>
      <c r="C20" s="67">
        <v>17</v>
      </c>
      <c r="D20" s="43"/>
      <c r="E20" s="43"/>
      <c r="F20" s="43"/>
      <c r="G20" s="43"/>
      <c r="H20" s="43"/>
      <c r="I20" s="43"/>
      <c r="J20" s="78"/>
      <c r="K20" s="97"/>
      <c r="L20" s="43"/>
      <c r="M20" s="78"/>
      <c r="N20" s="184"/>
      <c r="O20" s="184"/>
      <c r="P20" s="184"/>
      <c r="Q20" s="184"/>
      <c r="R20" s="184"/>
      <c r="S20" s="184"/>
      <c r="T20" s="184"/>
      <c r="U20" s="184"/>
      <c r="V20" s="68"/>
      <c r="W20" s="68"/>
      <c r="X20" s="84"/>
      <c r="Y20" s="84"/>
      <c r="Z20" s="68"/>
      <c r="AA20" s="68"/>
      <c r="AB20" s="68"/>
      <c r="AC20" s="84"/>
      <c r="AD20" s="78" t="str">
        <f xml:space="preserve"> IF(LEN(D20)=0,"", '[1]General info'!$B$5 &amp; "/" &amp; D20)</f>
        <v/>
      </c>
      <c r="AE20" s="78"/>
      <c r="AF20" s="84"/>
      <c r="AG20" s="84"/>
      <c r="AH20" s="99"/>
      <c r="AI20" s="78"/>
      <c r="AJ20" s="265"/>
      <c r="AK20" s="48"/>
    </row>
    <row r="21" spans="1:37">
      <c r="A21" s="249"/>
      <c r="B21" s="43" t="s">
        <v>15</v>
      </c>
      <c r="C21" s="67">
        <v>18</v>
      </c>
      <c r="D21" s="43"/>
      <c r="E21" s="43"/>
      <c r="F21" s="43"/>
      <c r="G21" s="43"/>
      <c r="H21" s="43"/>
      <c r="I21" s="43"/>
      <c r="J21" s="78"/>
      <c r="K21" s="96"/>
      <c r="L21" s="78"/>
      <c r="M21" s="78"/>
      <c r="N21" s="184"/>
      <c r="O21" s="184"/>
      <c r="P21" s="184"/>
      <c r="Q21" s="184"/>
      <c r="R21" s="184"/>
      <c r="S21" s="184"/>
      <c r="T21" s="184"/>
      <c r="U21" s="184"/>
      <c r="V21" s="68"/>
      <c r="W21" s="68"/>
      <c r="X21" s="84"/>
      <c r="Y21" s="84"/>
      <c r="Z21" s="68"/>
      <c r="AA21" s="68"/>
      <c r="AB21" s="68"/>
      <c r="AC21" s="84"/>
      <c r="AD21" s="78" t="str">
        <f xml:space="preserve"> IF(LEN(D21)=0,"", '[1]General info'!$B$5 &amp; "/" &amp; D21)</f>
        <v/>
      </c>
      <c r="AE21" s="78"/>
      <c r="AF21" s="84"/>
      <c r="AG21" s="84"/>
      <c r="AH21" s="99"/>
      <c r="AI21" s="78"/>
      <c r="AJ21" s="265"/>
      <c r="AK21" s="48"/>
    </row>
    <row r="22" spans="1:37">
      <c r="A22" s="249"/>
      <c r="B22" s="43" t="s">
        <v>15</v>
      </c>
      <c r="C22" s="67">
        <v>19</v>
      </c>
      <c r="D22" s="43"/>
      <c r="E22" s="43"/>
      <c r="F22" s="43"/>
      <c r="G22" s="43"/>
      <c r="H22" s="43"/>
      <c r="I22" s="43"/>
      <c r="J22" s="78"/>
      <c r="K22" s="96"/>
      <c r="L22" s="78"/>
      <c r="M22" s="78"/>
      <c r="N22" s="184"/>
      <c r="O22" s="184"/>
      <c r="P22" s="184"/>
      <c r="Q22" s="184"/>
      <c r="R22" s="184"/>
      <c r="S22" s="184"/>
      <c r="T22" s="184"/>
      <c r="U22" s="184"/>
      <c r="V22" s="68"/>
      <c r="W22" s="68"/>
      <c r="X22" s="84"/>
      <c r="Y22" s="84"/>
      <c r="Z22" s="68"/>
      <c r="AA22" s="68"/>
      <c r="AB22" s="68"/>
      <c r="AC22" s="84"/>
      <c r="AD22" s="78" t="str">
        <f xml:space="preserve"> IF(LEN(D22)=0,"", '[1]General info'!$B$5 &amp; "/" &amp; D22)</f>
        <v/>
      </c>
      <c r="AE22" s="78"/>
      <c r="AF22" s="84"/>
      <c r="AG22" s="84"/>
      <c r="AH22" s="99"/>
      <c r="AI22" s="78"/>
      <c r="AJ22" s="265"/>
      <c r="AK22" s="48"/>
    </row>
    <row r="23" spans="1:37">
      <c r="A23" s="249"/>
      <c r="B23" s="43" t="s">
        <v>15</v>
      </c>
      <c r="C23" s="67">
        <v>20</v>
      </c>
      <c r="D23" s="43"/>
      <c r="E23" s="43"/>
      <c r="F23" s="43"/>
      <c r="G23" s="43"/>
      <c r="H23" s="43"/>
      <c r="I23" s="43"/>
      <c r="J23" s="78"/>
      <c r="K23" s="96"/>
      <c r="L23" s="78"/>
      <c r="M23" s="78"/>
      <c r="N23" s="184"/>
      <c r="O23" s="184"/>
      <c r="P23" s="184"/>
      <c r="Q23" s="184"/>
      <c r="R23" s="184"/>
      <c r="S23" s="184"/>
      <c r="T23" s="184"/>
      <c r="U23" s="184"/>
      <c r="V23" s="68"/>
      <c r="W23" s="68"/>
      <c r="X23" s="84"/>
      <c r="Y23" s="84"/>
      <c r="Z23" s="68"/>
      <c r="AA23" s="68"/>
      <c r="AB23" s="68"/>
      <c r="AC23" s="84"/>
      <c r="AD23" s="78" t="str">
        <f xml:space="preserve"> IF(LEN(D23)=0,"", '[1]General info'!$B$5 &amp; "/" &amp; D23)</f>
        <v/>
      </c>
      <c r="AE23" s="78"/>
      <c r="AF23" s="84"/>
      <c r="AG23" s="84"/>
      <c r="AH23" s="99"/>
      <c r="AI23" s="78"/>
      <c r="AJ23" s="265"/>
      <c r="AK23" s="48"/>
    </row>
    <row r="24" spans="1:37">
      <c r="A24" s="249"/>
      <c r="B24" s="43" t="s">
        <v>15</v>
      </c>
      <c r="C24" s="67">
        <v>21</v>
      </c>
      <c r="D24" s="43"/>
      <c r="E24" s="43"/>
      <c r="F24" s="43"/>
      <c r="G24" s="43"/>
      <c r="H24" s="43"/>
      <c r="I24" s="43"/>
      <c r="J24" s="78"/>
      <c r="K24" s="96"/>
      <c r="L24" s="78"/>
      <c r="M24" s="78"/>
      <c r="N24" s="184"/>
      <c r="O24" s="184"/>
      <c r="P24" s="184"/>
      <c r="Q24" s="184"/>
      <c r="R24" s="184"/>
      <c r="S24" s="184"/>
      <c r="T24" s="184"/>
      <c r="U24" s="184"/>
      <c r="V24" s="68"/>
      <c r="W24" s="68"/>
      <c r="X24" s="84"/>
      <c r="Y24" s="84"/>
      <c r="Z24" s="68"/>
      <c r="AA24" s="68"/>
      <c r="AB24" s="68"/>
      <c r="AC24" s="84"/>
      <c r="AD24" s="78" t="str">
        <f xml:space="preserve"> IF(LEN(D24)=0,"", '[1]General info'!$B$5 &amp; "/" &amp; D24)</f>
        <v/>
      </c>
      <c r="AE24" s="78"/>
      <c r="AF24" s="84"/>
      <c r="AG24" s="84"/>
      <c r="AH24" s="99"/>
      <c r="AI24" s="78"/>
      <c r="AJ24" s="265"/>
      <c r="AK24" s="48"/>
    </row>
    <row r="25" spans="1:37">
      <c r="A25" s="249"/>
      <c r="B25" s="43" t="s">
        <v>15</v>
      </c>
      <c r="C25" s="67">
        <v>22</v>
      </c>
      <c r="D25" s="43"/>
      <c r="E25" s="43"/>
      <c r="F25" s="43"/>
      <c r="G25" s="43"/>
      <c r="H25" s="43"/>
      <c r="I25" s="43"/>
      <c r="J25" s="78"/>
      <c r="K25" s="96"/>
      <c r="L25" s="78"/>
      <c r="M25" s="78"/>
      <c r="N25" s="184"/>
      <c r="O25" s="184"/>
      <c r="P25" s="184"/>
      <c r="Q25" s="184"/>
      <c r="R25" s="184"/>
      <c r="S25" s="184"/>
      <c r="T25" s="184"/>
      <c r="U25" s="184"/>
      <c r="V25" s="68"/>
      <c r="W25" s="68"/>
      <c r="X25" s="84"/>
      <c r="Y25" s="84"/>
      <c r="Z25" s="68"/>
      <c r="AA25" s="68"/>
      <c r="AB25" s="68"/>
      <c r="AC25" s="84"/>
      <c r="AD25" s="78" t="str">
        <f xml:space="preserve"> IF(LEN(D25)=0,"", '[1]General info'!$B$5 &amp; "/" &amp; D25)</f>
        <v/>
      </c>
      <c r="AE25" s="78"/>
      <c r="AF25" s="84"/>
      <c r="AG25" s="84"/>
      <c r="AH25" s="99"/>
      <c r="AI25" s="78"/>
      <c r="AJ25" s="265"/>
      <c r="AK25" s="48"/>
    </row>
    <row r="26" spans="1:37">
      <c r="A26" s="249"/>
      <c r="B26" s="43" t="s">
        <v>15</v>
      </c>
      <c r="C26" s="67">
        <v>23</v>
      </c>
      <c r="D26" s="43"/>
      <c r="E26" s="43"/>
      <c r="F26" s="43"/>
      <c r="G26" s="43"/>
      <c r="H26" s="43"/>
      <c r="I26" s="43"/>
      <c r="J26" s="78"/>
      <c r="K26" s="96"/>
      <c r="L26" s="78"/>
      <c r="M26" s="78"/>
      <c r="N26" s="184"/>
      <c r="O26" s="184"/>
      <c r="P26" s="184"/>
      <c r="Q26" s="184"/>
      <c r="R26" s="184"/>
      <c r="S26" s="184"/>
      <c r="T26" s="184"/>
      <c r="U26" s="184"/>
      <c r="V26" s="68"/>
      <c r="W26" s="68"/>
      <c r="X26" s="84"/>
      <c r="Y26" s="84"/>
      <c r="Z26" s="68"/>
      <c r="AA26" s="68"/>
      <c r="AB26" s="68"/>
      <c r="AC26" s="84"/>
      <c r="AD26" s="78" t="str">
        <f xml:space="preserve"> IF(LEN(D26)=0,"", '[1]General info'!$B$5 &amp; "/" &amp; D26)</f>
        <v/>
      </c>
      <c r="AE26" s="78"/>
      <c r="AF26" s="84"/>
      <c r="AG26" s="84"/>
      <c r="AH26" s="68"/>
      <c r="AI26" s="78"/>
      <c r="AJ26" s="265"/>
      <c r="AK26" s="48"/>
    </row>
    <row r="27" spans="1:37">
      <c r="A27" s="249"/>
      <c r="B27" s="43" t="s">
        <v>15</v>
      </c>
      <c r="C27" s="67">
        <v>24</v>
      </c>
      <c r="D27" s="43"/>
      <c r="E27" s="43"/>
      <c r="F27" s="43"/>
      <c r="G27" s="43"/>
      <c r="H27" s="43"/>
      <c r="I27" s="43"/>
      <c r="J27" s="78"/>
      <c r="K27" s="97"/>
      <c r="L27" s="43"/>
      <c r="M27" s="78"/>
      <c r="N27" s="184"/>
      <c r="O27" s="184"/>
      <c r="P27" s="184"/>
      <c r="Q27" s="184"/>
      <c r="R27" s="184"/>
      <c r="S27" s="184"/>
      <c r="T27" s="184"/>
      <c r="U27" s="184"/>
      <c r="V27" s="68"/>
      <c r="W27" s="68"/>
      <c r="X27" s="84"/>
      <c r="Y27" s="84"/>
      <c r="Z27" s="68"/>
      <c r="AA27" s="68"/>
      <c r="AB27" s="68"/>
      <c r="AC27" s="84"/>
      <c r="AD27" s="78" t="str">
        <f xml:space="preserve"> IF(LEN(D27)=0,"", '[1]General info'!$B$5 &amp; "/" &amp; D27)</f>
        <v/>
      </c>
      <c r="AE27" s="78"/>
      <c r="AF27" s="84"/>
      <c r="AG27" s="84"/>
      <c r="AH27" s="68"/>
      <c r="AI27" s="78"/>
      <c r="AJ27" s="265"/>
      <c r="AK27" s="48"/>
    </row>
    <row r="28" spans="1:37" ht="12" customHeight="1">
      <c r="A28" s="249"/>
      <c r="B28" s="43" t="s">
        <v>15</v>
      </c>
      <c r="C28" s="67">
        <v>25</v>
      </c>
      <c r="D28" s="43"/>
      <c r="E28" s="43"/>
      <c r="F28" s="43"/>
      <c r="G28" s="43"/>
      <c r="H28" s="43"/>
      <c r="I28" s="43"/>
      <c r="J28" s="78"/>
      <c r="K28" s="97"/>
      <c r="L28" s="43"/>
      <c r="M28" s="78"/>
      <c r="N28" s="184"/>
      <c r="O28" s="184"/>
      <c r="P28" s="184"/>
      <c r="Q28" s="184"/>
      <c r="R28" s="184"/>
      <c r="S28" s="184"/>
      <c r="T28" s="184"/>
      <c r="U28" s="184"/>
      <c r="V28" s="68"/>
      <c r="W28" s="68"/>
      <c r="X28" s="84"/>
      <c r="Y28" s="84"/>
      <c r="Z28" s="68"/>
      <c r="AA28" s="68"/>
      <c r="AB28" s="68"/>
      <c r="AC28" s="84"/>
      <c r="AD28" s="78" t="str">
        <f xml:space="preserve"> IF(LEN(D28)=0,"", '[1]General info'!$B$5 &amp; "/" &amp; D28)</f>
        <v/>
      </c>
      <c r="AE28" s="78"/>
      <c r="AF28" s="84"/>
      <c r="AG28" s="84"/>
      <c r="AH28" s="99"/>
      <c r="AI28" s="78"/>
      <c r="AJ28" s="265"/>
      <c r="AK28" s="48"/>
    </row>
    <row r="29" spans="1:37">
      <c r="A29" s="249"/>
      <c r="B29" s="43" t="s">
        <v>15</v>
      </c>
      <c r="C29" s="67">
        <v>26</v>
      </c>
      <c r="D29" s="43"/>
      <c r="E29" s="43"/>
      <c r="F29" s="43"/>
      <c r="G29" s="43"/>
      <c r="H29" s="43"/>
      <c r="I29" s="43"/>
      <c r="J29" s="78"/>
      <c r="K29" s="97"/>
      <c r="L29" s="43"/>
      <c r="M29" s="78"/>
      <c r="N29" s="184"/>
      <c r="O29" s="184"/>
      <c r="P29" s="184"/>
      <c r="Q29" s="184"/>
      <c r="R29" s="184"/>
      <c r="S29" s="184"/>
      <c r="T29" s="184"/>
      <c r="U29" s="184"/>
      <c r="V29" s="68"/>
      <c r="W29" s="68"/>
      <c r="X29" s="84"/>
      <c r="Y29" s="84"/>
      <c r="Z29" s="68"/>
      <c r="AA29" s="68"/>
      <c r="AB29" s="68"/>
      <c r="AC29" s="84"/>
      <c r="AD29" s="78" t="str">
        <f xml:space="preserve"> IF(LEN(D29)=0,"", '[1]General info'!$B$5 &amp; "/" &amp; D29)</f>
        <v/>
      </c>
      <c r="AE29" s="78"/>
      <c r="AF29" s="84"/>
      <c r="AG29" s="84"/>
      <c r="AH29" s="68"/>
      <c r="AI29" s="78"/>
      <c r="AJ29" s="265"/>
      <c r="AK29" s="48"/>
    </row>
    <row r="30" spans="1:37">
      <c r="A30" s="249"/>
      <c r="B30" s="43" t="s">
        <v>15</v>
      </c>
      <c r="C30" s="67">
        <v>27</v>
      </c>
      <c r="D30" s="43"/>
      <c r="E30" s="43"/>
      <c r="F30" s="43"/>
      <c r="G30" s="43"/>
      <c r="H30" s="43"/>
      <c r="I30" s="43"/>
      <c r="J30" s="78"/>
      <c r="K30" s="97"/>
      <c r="L30" s="43"/>
      <c r="M30" s="78"/>
      <c r="N30" s="184"/>
      <c r="O30" s="184"/>
      <c r="P30" s="184"/>
      <c r="Q30" s="184"/>
      <c r="R30" s="184"/>
      <c r="S30" s="184"/>
      <c r="T30" s="184"/>
      <c r="U30" s="184"/>
      <c r="V30" s="68"/>
      <c r="W30" s="68"/>
      <c r="X30" s="84"/>
      <c r="Y30" s="84"/>
      <c r="Z30" s="68"/>
      <c r="AA30" s="68"/>
      <c r="AB30" s="68"/>
      <c r="AC30" s="84"/>
      <c r="AD30" s="78" t="str">
        <f xml:space="preserve"> IF(LEN(D30)=0,"", '[1]General info'!$B$5 &amp; "/" &amp; D30)</f>
        <v/>
      </c>
      <c r="AE30" s="78"/>
      <c r="AF30" s="84"/>
      <c r="AG30" s="84"/>
      <c r="AH30" s="68"/>
      <c r="AI30" s="78"/>
      <c r="AJ30" s="265"/>
      <c r="AK30" s="48"/>
    </row>
    <row r="31" spans="1:37">
      <c r="A31" s="249"/>
      <c r="B31" s="43" t="s">
        <v>15</v>
      </c>
      <c r="C31" s="67">
        <v>28</v>
      </c>
      <c r="D31" s="43"/>
      <c r="E31" s="43"/>
      <c r="F31" s="43"/>
      <c r="G31" s="43"/>
      <c r="H31" s="43"/>
      <c r="I31" s="43"/>
      <c r="J31" s="78"/>
      <c r="K31" s="98"/>
      <c r="L31" s="43"/>
      <c r="M31" s="78"/>
      <c r="N31" s="184"/>
      <c r="O31" s="184"/>
      <c r="P31" s="184"/>
      <c r="Q31" s="184"/>
      <c r="R31" s="184"/>
      <c r="S31" s="184"/>
      <c r="T31" s="184"/>
      <c r="U31" s="184"/>
      <c r="V31" s="68"/>
      <c r="W31" s="68"/>
      <c r="X31" s="84"/>
      <c r="Y31" s="84"/>
      <c r="Z31" s="68"/>
      <c r="AA31" s="68"/>
      <c r="AB31" s="68"/>
      <c r="AC31" s="84"/>
      <c r="AD31" s="78" t="str">
        <f xml:space="preserve"> IF(LEN(D31)=0,"", '[1]General info'!$B$5 &amp; "/" &amp; D31)</f>
        <v/>
      </c>
      <c r="AE31" s="78"/>
      <c r="AF31" s="84"/>
      <c r="AG31" s="84"/>
      <c r="AH31" s="68"/>
      <c r="AI31" s="78"/>
      <c r="AJ31" s="265"/>
      <c r="AK31" s="48"/>
    </row>
    <row r="32" spans="1:37">
      <c r="A32" s="249"/>
      <c r="B32" s="43" t="s">
        <v>15</v>
      </c>
      <c r="C32" s="67">
        <v>29</v>
      </c>
      <c r="D32" s="43"/>
      <c r="E32" s="43"/>
      <c r="F32" s="43"/>
      <c r="G32" s="43"/>
      <c r="H32" s="43"/>
      <c r="I32" s="43"/>
      <c r="J32" s="78"/>
      <c r="K32" s="97"/>
      <c r="L32" s="43"/>
      <c r="M32" s="78"/>
      <c r="N32" s="184"/>
      <c r="O32" s="184"/>
      <c r="P32" s="184"/>
      <c r="Q32" s="184"/>
      <c r="R32" s="184"/>
      <c r="S32" s="184"/>
      <c r="T32" s="184"/>
      <c r="U32" s="184"/>
      <c r="V32" s="68"/>
      <c r="W32" s="68"/>
      <c r="X32" s="68"/>
      <c r="Y32" s="68"/>
      <c r="Z32" s="68"/>
      <c r="AA32" s="68"/>
      <c r="AB32" s="68"/>
      <c r="AC32" s="84"/>
      <c r="AD32" s="78" t="str">
        <f xml:space="preserve"> IF(LEN(D32)=0,"", '[1]General info'!$B$5 &amp; "/" &amp; D32)</f>
        <v/>
      </c>
      <c r="AE32" s="78"/>
      <c r="AF32" s="68"/>
      <c r="AG32" s="68"/>
      <c r="AH32" s="68"/>
      <c r="AI32" s="78"/>
      <c r="AJ32" s="265"/>
      <c r="AK32" s="48"/>
    </row>
    <row r="33" spans="1:47" ht="12" customHeight="1">
      <c r="A33" s="249"/>
      <c r="B33" s="43" t="s">
        <v>15</v>
      </c>
      <c r="C33" s="67">
        <v>30</v>
      </c>
      <c r="D33" s="43"/>
      <c r="E33" s="43"/>
      <c r="F33" s="43"/>
      <c r="G33" s="43"/>
      <c r="H33" s="43"/>
      <c r="I33" s="43"/>
      <c r="J33" s="78"/>
      <c r="K33" s="96"/>
      <c r="L33" s="43"/>
      <c r="M33" s="78"/>
      <c r="N33" s="184"/>
      <c r="O33" s="184"/>
      <c r="P33" s="184"/>
      <c r="Q33" s="184"/>
      <c r="R33" s="184"/>
      <c r="S33" s="184"/>
      <c r="T33" s="184"/>
      <c r="U33" s="184"/>
      <c r="V33" s="68"/>
      <c r="W33" s="68"/>
      <c r="X33" s="68"/>
      <c r="Y33" s="68"/>
      <c r="Z33" s="68"/>
      <c r="AA33" s="68"/>
      <c r="AB33" s="68"/>
      <c r="AC33" s="84"/>
      <c r="AD33" s="78" t="str">
        <f xml:space="preserve"> IF(LEN(D33)=0,"", '[1]General info'!$B$5 &amp; "/" &amp; D33)</f>
        <v/>
      </c>
      <c r="AE33" s="78"/>
      <c r="AF33" s="68"/>
      <c r="AG33" s="68"/>
      <c r="AH33" s="99"/>
      <c r="AI33" s="78"/>
      <c r="AJ33" s="265"/>
      <c r="AK33" s="48"/>
    </row>
    <row r="34" spans="1:47" ht="13.5" thickBot="1">
      <c r="A34" s="255"/>
      <c r="B34" s="81"/>
      <c r="C34" s="80" t="s">
        <v>195</v>
      </c>
      <c r="D34" s="81"/>
      <c r="E34" s="81"/>
      <c r="F34" s="81"/>
      <c r="G34" s="81"/>
      <c r="H34" s="81"/>
      <c r="I34" s="81"/>
      <c r="J34" s="81"/>
      <c r="K34" s="86"/>
      <c r="L34" s="70"/>
      <c r="M34" s="81"/>
      <c r="N34" s="81"/>
      <c r="O34" s="81"/>
      <c r="P34" s="81"/>
      <c r="Q34" s="81"/>
      <c r="R34" s="81"/>
      <c r="S34" s="81"/>
      <c r="T34" s="81"/>
      <c r="U34" s="81"/>
      <c r="V34" s="83"/>
      <c r="W34" s="83"/>
      <c r="X34" s="83"/>
      <c r="Y34" s="83"/>
      <c r="Z34" s="83"/>
      <c r="AA34" s="83"/>
      <c r="AB34" s="83"/>
      <c r="AC34" s="83"/>
      <c r="AD34" s="81"/>
      <c r="AE34" s="81"/>
      <c r="AF34" s="83"/>
      <c r="AG34" s="83"/>
      <c r="AH34" s="87"/>
      <c r="AI34" s="356"/>
      <c r="AJ34" s="355"/>
      <c r="AK34" s="121"/>
    </row>
    <row r="35" spans="1:47" ht="13.5" thickBot="1"/>
    <row r="36" spans="1:47" s="18" customFormat="1">
      <c r="A36" s="256"/>
      <c r="B36" s="19"/>
      <c r="C36" s="157"/>
      <c r="D36" s="19"/>
      <c r="E36" s="19"/>
      <c r="F36" s="19"/>
      <c r="G36" s="19"/>
      <c r="H36" s="19"/>
      <c r="I36" s="19"/>
      <c r="J36" s="21" t="s">
        <v>196</v>
      </c>
      <c r="K36" s="21" t="s">
        <v>196</v>
      </c>
      <c r="L36" s="21" t="s">
        <v>196</v>
      </c>
      <c r="M36" s="21"/>
      <c r="N36" s="21" t="s">
        <v>196</v>
      </c>
      <c r="O36" s="182" t="s">
        <v>196</v>
      </c>
      <c r="P36" s="21" t="s">
        <v>196</v>
      </c>
      <c r="Q36" s="186" t="s">
        <v>196</v>
      </c>
      <c r="R36" s="21" t="s">
        <v>196</v>
      </c>
      <c r="S36" s="21" t="s">
        <v>196</v>
      </c>
      <c r="T36" s="187" t="s">
        <v>196</v>
      </c>
      <c r="U36" s="21" t="s">
        <v>196</v>
      </c>
      <c r="V36" s="21"/>
      <c r="W36" s="21"/>
      <c r="X36" s="21" t="s">
        <v>196</v>
      </c>
      <c r="Y36" s="21" t="s">
        <v>196</v>
      </c>
      <c r="Z36" s="21"/>
      <c r="AA36" s="21"/>
      <c r="AB36" s="21"/>
      <c r="AC36" s="21" t="s">
        <v>196</v>
      </c>
      <c r="AD36" s="21"/>
      <c r="AE36" s="21" t="s">
        <v>196</v>
      </c>
      <c r="AF36" s="21" t="s">
        <v>196</v>
      </c>
      <c r="AG36" s="21"/>
      <c r="AH36" s="23"/>
      <c r="AI36" s="19"/>
      <c r="AJ36" s="357"/>
      <c r="AK36" s="359"/>
      <c r="AL36" s="49"/>
      <c r="AM36" s="49"/>
      <c r="AN36" s="49"/>
      <c r="AO36" s="49"/>
      <c r="AP36" s="49"/>
      <c r="AQ36" s="49"/>
      <c r="AR36" s="49"/>
      <c r="AS36" s="49"/>
      <c r="AT36" s="49"/>
      <c r="AU36" s="49"/>
    </row>
    <row r="37" spans="1:47" s="29" customFormat="1" ht="9">
      <c r="A37" s="257"/>
      <c r="B37" s="26"/>
      <c r="C37" s="155"/>
      <c r="D37" s="26"/>
      <c r="E37" s="26"/>
      <c r="F37" s="26"/>
      <c r="G37" s="26"/>
      <c r="H37" s="26"/>
      <c r="I37" s="26"/>
      <c r="J37" s="27" t="s">
        <v>484</v>
      </c>
      <c r="K37" s="27" t="s">
        <v>620</v>
      </c>
      <c r="L37" s="148" t="s">
        <v>485</v>
      </c>
      <c r="M37" s="36"/>
      <c r="N37" s="410" t="s">
        <v>484</v>
      </c>
      <c r="O37" s="410" t="s">
        <v>484</v>
      </c>
      <c r="P37" s="27" t="s">
        <v>484</v>
      </c>
      <c r="Q37" s="29" t="s">
        <v>484</v>
      </c>
      <c r="R37" s="27" t="s">
        <v>484</v>
      </c>
      <c r="S37" s="27" t="s">
        <v>484</v>
      </c>
      <c r="T37" s="29" t="s">
        <v>484</v>
      </c>
      <c r="U37" s="27" t="s">
        <v>484</v>
      </c>
      <c r="V37" s="27"/>
      <c r="W37" s="27"/>
      <c r="X37" s="27" t="s">
        <v>486</v>
      </c>
      <c r="Y37" s="27" t="s">
        <v>198</v>
      </c>
      <c r="Z37" s="27"/>
      <c r="AA37" s="27"/>
      <c r="AB37" s="27"/>
      <c r="AC37" s="27" t="s">
        <v>487</v>
      </c>
      <c r="AD37" s="27"/>
      <c r="AE37" s="27" t="s">
        <v>488</v>
      </c>
      <c r="AF37" s="27" t="s">
        <v>198</v>
      </c>
      <c r="AG37" s="27"/>
      <c r="AH37" s="36"/>
      <c r="AI37" s="26"/>
      <c r="AJ37" s="358"/>
      <c r="AK37" s="56"/>
      <c r="AL37" s="14"/>
      <c r="AM37" s="14"/>
      <c r="AN37" s="14"/>
      <c r="AO37" s="14"/>
      <c r="AP37" s="14"/>
      <c r="AQ37" s="14"/>
      <c r="AR37" s="14"/>
      <c r="AS37" s="14"/>
      <c r="AT37" s="14"/>
      <c r="AU37" s="14"/>
    </row>
    <row r="38" spans="1:47" s="29" customFormat="1" ht="9">
      <c r="A38" s="257"/>
      <c r="B38" s="26"/>
      <c r="C38" s="155"/>
      <c r="D38" s="26"/>
      <c r="E38" s="26"/>
      <c r="F38" s="26"/>
      <c r="G38" s="26"/>
      <c r="H38" s="26"/>
      <c r="I38" s="26"/>
      <c r="J38" s="27" t="s">
        <v>491</v>
      </c>
      <c r="K38" s="27" t="s">
        <v>621</v>
      </c>
      <c r="L38" s="148" t="s">
        <v>492</v>
      </c>
      <c r="M38" s="162"/>
      <c r="N38" s="410" t="s">
        <v>491</v>
      </c>
      <c r="O38" s="410" t="s">
        <v>491</v>
      </c>
      <c r="P38" s="27" t="s">
        <v>491</v>
      </c>
      <c r="Q38" s="29" t="s">
        <v>491</v>
      </c>
      <c r="R38" s="27" t="s">
        <v>491</v>
      </c>
      <c r="S38" s="27" t="s">
        <v>491</v>
      </c>
      <c r="T38" s="29" t="s">
        <v>491</v>
      </c>
      <c r="U38" s="27" t="s">
        <v>491</v>
      </c>
      <c r="V38" s="27"/>
      <c r="W38" s="27"/>
      <c r="X38" s="27" t="s">
        <v>493</v>
      </c>
      <c r="Y38" s="27" t="s">
        <v>88</v>
      </c>
      <c r="Z38" s="27"/>
      <c r="AA38" s="27"/>
      <c r="AB38" s="27"/>
      <c r="AC38" s="27" t="s">
        <v>494</v>
      </c>
      <c r="AD38" s="27"/>
      <c r="AE38" s="27" t="s">
        <v>495</v>
      </c>
      <c r="AF38" s="27" t="s">
        <v>88</v>
      </c>
      <c r="AG38" s="27"/>
      <c r="AH38" s="36"/>
      <c r="AI38" s="26"/>
      <c r="AJ38" s="358"/>
      <c r="AK38" s="56"/>
      <c r="AL38" s="14"/>
      <c r="AM38" s="14"/>
      <c r="AN38" s="14"/>
      <c r="AO38" s="14"/>
      <c r="AP38" s="14"/>
      <c r="AQ38" s="14"/>
      <c r="AR38" s="14"/>
      <c r="AS38" s="14"/>
      <c r="AT38" s="14"/>
      <c r="AU38" s="14"/>
    </row>
    <row r="39" spans="1:47" s="29" customFormat="1" ht="9">
      <c r="A39" s="257"/>
      <c r="B39" s="26"/>
      <c r="C39" s="155"/>
      <c r="D39" s="26"/>
      <c r="E39" s="26"/>
      <c r="F39" s="26"/>
      <c r="G39" s="26"/>
      <c r="H39" s="26"/>
      <c r="I39" s="26"/>
      <c r="J39" s="27" t="s">
        <v>498</v>
      </c>
      <c r="K39" s="27" t="s">
        <v>497</v>
      </c>
      <c r="L39" s="148" t="s">
        <v>499</v>
      </c>
      <c r="M39" s="36"/>
      <c r="N39" s="29" t="s">
        <v>498</v>
      </c>
      <c r="O39" s="410" t="s">
        <v>498</v>
      </c>
      <c r="P39" s="27" t="s">
        <v>498</v>
      </c>
      <c r="Q39" s="29" t="s">
        <v>498</v>
      </c>
      <c r="R39" s="27" t="s">
        <v>498</v>
      </c>
      <c r="S39" s="27" t="s">
        <v>498</v>
      </c>
      <c r="T39" s="29" t="s">
        <v>498</v>
      </c>
      <c r="U39" s="27" t="s">
        <v>498</v>
      </c>
      <c r="V39" s="27"/>
      <c r="W39" s="27"/>
      <c r="X39" s="27" t="s">
        <v>500</v>
      </c>
      <c r="Y39" s="27"/>
      <c r="Z39" s="27"/>
      <c r="AA39" s="27"/>
      <c r="AB39" s="27"/>
      <c r="AC39" s="27" t="s">
        <v>501</v>
      </c>
      <c r="AD39" s="27"/>
      <c r="AE39" s="27" t="s">
        <v>502</v>
      </c>
      <c r="AF39" s="27"/>
      <c r="AG39" s="27"/>
      <c r="AH39" s="36"/>
      <c r="AI39" s="26"/>
      <c r="AJ39" s="358"/>
      <c r="AK39" s="56"/>
      <c r="AL39" s="14"/>
      <c r="AM39" s="14"/>
      <c r="AN39" s="14"/>
      <c r="AO39" s="14"/>
      <c r="AP39" s="14"/>
      <c r="AQ39" s="14"/>
      <c r="AR39" s="14"/>
      <c r="AS39" s="14"/>
      <c r="AT39" s="14"/>
      <c r="AU39" s="14"/>
    </row>
    <row r="40" spans="1:47" s="29" customFormat="1" ht="9">
      <c r="A40" s="257"/>
      <c r="B40" s="26"/>
      <c r="C40" s="155"/>
      <c r="D40" s="26"/>
      <c r="E40" s="26"/>
      <c r="F40" s="26"/>
      <c r="G40" s="26"/>
      <c r="H40" s="26"/>
      <c r="I40" s="26"/>
      <c r="J40" s="27" t="s">
        <v>505</v>
      </c>
      <c r="K40" s="27" t="s">
        <v>504</v>
      </c>
      <c r="L40" s="149" t="s">
        <v>506</v>
      </c>
      <c r="M40" s="36"/>
      <c r="N40" s="410" t="s">
        <v>505</v>
      </c>
      <c r="O40" s="410" t="s">
        <v>505</v>
      </c>
      <c r="P40" s="27" t="s">
        <v>505</v>
      </c>
      <c r="Q40" s="29" t="s">
        <v>505</v>
      </c>
      <c r="R40" s="27" t="s">
        <v>505</v>
      </c>
      <c r="S40" s="27" t="s">
        <v>505</v>
      </c>
      <c r="T40" s="29" t="s">
        <v>505</v>
      </c>
      <c r="U40" s="27" t="s">
        <v>505</v>
      </c>
      <c r="V40" s="27"/>
      <c r="W40" s="27"/>
      <c r="X40" s="27" t="s">
        <v>507</v>
      </c>
      <c r="Y40" s="27"/>
      <c r="Z40" s="27"/>
      <c r="AA40" s="27"/>
      <c r="AB40" s="27"/>
      <c r="AC40" s="27"/>
      <c r="AD40" s="27"/>
      <c r="AE40" s="27" t="s">
        <v>508</v>
      </c>
      <c r="AF40" s="27"/>
      <c r="AG40" s="27"/>
      <c r="AH40" s="36"/>
      <c r="AI40" s="26"/>
      <c r="AJ40" s="358"/>
      <c r="AK40" s="56"/>
      <c r="AL40" s="14"/>
      <c r="AM40" s="14"/>
      <c r="AN40" s="14"/>
      <c r="AO40" s="14"/>
      <c r="AP40" s="14"/>
      <c r="AQ40" s="14"/>
      <c r="AR40" s="14"/>
      <c r="AS40" s="14"/>
      <c r="AT40" s="14"/>
      <c r="AU40" s="14"/>
    </row>
    <row r="41" spans="1:47" s="29" customFormat="1" ht="9">
      <c r="A41" s="257"/>
      <c r="B41" s="26"/>
      <c r="C41" s="155"/>
      <c r="D41" s="26"/>
      <c r="E41" s="26"/>
      <c r="F41" s="26"/>
      <c r="G41" s="26"/>
      <c r="H41" s="26"/>
      <c r="I41" s="26"/>
      <c r="J41" s="27"/>
      <c r="K41" s="27" t="s">
        <v>509</v>
      </c>
      <c r="L41" s="149" t="s">
        <v>511</v>
      </c>
      <c r="M41" s="36"/>
      <c r="N41" s="410"/>
      <c r="O41" s="410"/>
      <c r="P41" s="27"/>
      <c r="R41" s="27"/>
      <c r="S41" s="27"/>
      <c r="U41" s="27"/>
      <c r="V41" s="27"/>
      <c r="W41" s="27"/>
      <c r="X41" s="27"/>
      <c r="Y41" s="27"/>
      <c r="Z41" s="27"/>
      <c r="AA41" s="27"/>
      <c r="AB41" s="27"/>
      <c r="AC41" s="27"/>
      <c r="AD41" s="36"/>
      <c r="AE41" s="36" t="s">
        <v>512</v>
      </c>
      <c r="AF41" s="36"/>
      <c r="AG41" s="36"/>
      <c r="AH41" s="36"/>
      <c r="AI41" s="26"/>
      <c r="AJ41" s="358"/>
      <c r="AK41" s="56"/>
      <c r="AL41" s="14"/>
      <c r="AM41" s="14"/>
      <c r="AN41" s="14"/>
      <c r="AO41" s="14"/>
      <c r="AP41" s="14"/>
      <c r="AQ41" s="14"/>
      <c r="AR41" s="14"/>
      <c r="AS41" s="14"/>
      <c r="AT41" s="14"/>
      <c r="AU41" s="14"/>
    </row>
    <row r="42" spans="1:47" s="29" customFormat="1" ht="9">
      <c r="A42" s="257"/>
      <c r="B42" s="26"/>
      <c r="C42" s="155"/>
      <c r="D42" s="26"/>
      <c r="E42" s="26"/>
      <c r="F42" s="26"/>
      <c r="G42" s="26"/>
      <c r="H42" s="26"/>
      <c r="I42" s="26"/>
      <c r="J42" s="27"/>
      <c r="K42" s="27" t="s">
        <v>513</v>
      </c>
      <c r="L42" s="148" t="s">
        <v>515</v>
      </c>
      <c r="M42" s="36"/>
      <c r="O42" s="410"/>
      <c r="P42" s="27"/>
      <c r="R42" s="27"/>
      <c r="S42" s="27"/>
      <c r="U42" s="27"/>
      <c r="V42" s="27"/>
      <c r="W42" s="27"/>
      <c r="X42" s="27"/>
      <c r="Y42" s="27"/>
      <c r="Z42" s="27"/>
      <c r="AA42" s="27"/>
      <c r="AB42" s="27"/>
      <c r="AC42" s="27"/>
      <c r="AD42" s="36"/>
      <c r="AE42" s="36" t="s">
        <v>516</v>
      </c>
      <c r="AF42" s="36"/>
      <c r="AG42" s="36"/>
      <c r="AH42" s="36"/>
      <c r="AI42" s="26"/>
      <c r="AJ42" s="358"/>
      <c r="AK42" s="56"/>
      <c r="AL42" s="14"/>
      <c r="AM42" s="14"/>
      <c r="AN42" s="14"/>
      <c r="AO42" s="14"/>
      <c r="AP42" s="14"/>
      <c r="AQ42" s="14"/>
      <c r="AR42" s="14"/>
      <c r="AS42" s="14"/>
      <c r="AT42" s="14"/>
      <c r="AU42" s="14"/>
    </row>
    <row r="43" spans="1:47" s="29" customFormat="1" ht="9">
      <c r="A43" s="257"/>
      <c r="B43" s="26"/>
      <c r="C43" s="155"/>
      <c r="D43" s="26"/>
      <c r="E43" s="26"/>
      <c r="F43" s="26"/>
      <c r="G43" s="26"/>
      <c r="H43" s="26"/>
      <c r="I43" s="26"/>
      <c r="J43" s="27"/>
      <c r="K43" s="27" t="s">
        <v>517</v>
      </c>
      <c r="L43" s="149" t="s">
        <v>519</v>
      </c>
      <c r="M43" s="36"/>
      <c r="N43" s="410"/>
      <c r="O43" s="410"/>
      <c r="P43" s="27"/>
      <c r="R43" s="27"/>
      <c r="S43" s="27"/>
      <c r="U43" s="27"/>
      <c r="V43" s="27"/>
      <c r="W43" s="27"/>
      <c r="X43" s="27"/>
      <c r="Y43" s="27"/>
      <c r="Z43" s="27"/>
      <c r="AA43" s="27"/>
      <c r="AB43" s="27"/>
      <c r="AC43" s="27"/>
      <c r="AD43" s="36"/>
      <c r="AE43" s="36" t="s">
        <v>520</v>
      </c>
      <c r="AF43" s="36"/>
      <c r="AG43" s="36"/>
      <c r="AH43" s="36"/>
      <c r="AI43" s="26"/>
      <c r="AJ43" s="358"/>
      <c r="AK43" s="56"/>
      <c r="AL43" s="14"/>
      <c r="AM43" s="14"/>
      <c r="AN43" s="14"/>
      <c r="AO43" s="14"/>
      <c r="AP43" s="14"/>
      <c r="AQ43" s="14"/>
      <c r="AR43" s="14"/>
      <c r="AS43" s="14"/>
      <c r="AT43" s="14"/>
      <c r="AU43" s="14"/>
    </row>
    <row r="44" spans="1:47" s="29" customFormat="1" ht="9">
      <c r="A44" s="257"/>
      <c r="B44" s="26"/>
      <c r="C44" s="155"/>
      <c r="D44" s="26"/>
      <c r="E44" s="26"/>
      <c r="F44" s="26"/>
      <c r="G44" s="26"/>
      <c r="H44" s="26"/>
      <c r="I44" s="26"/>
      <c r="J44" s="27"/>
      <c r="K44" s="27" t="s">
        <v>622</v>
      </c>
      <c r="L44" s="148" t="s">
        <v>522</v>
      </c>
      <c r="M44" s="403"/>
      <c r="N44" s="410"/>
      <c r="O44" s="410"/>
      <c r="P44" s="27"/>
      <c r="R44" s="27"/>
      <c r="S44" s="27"/>
      <c r="U44" s="27"/>
      <c r="V44" s="27"/>
      <c r="W44" s="27"/>
      <c r="X44" s="27"/>
      <c r="Y44" s="27"/>
      <c r="Z44" s="27"/>
      <c r="AA44" s="27"/>
      <c r="AB44" s="27"/>
      <c r="AC44" s="27"/>
      <c r="AD44" s="36"/>
      <c r="AE44" s="36"/>
      <c r="AF44" s="36"/>
      <c r="AG44" s="36"/>
      <c r="AH44" s="36"/>
      <c r="AI44" s="26"/>
      <c r="AJ44" s="358"/>
      <c r="AK44" s="56"/>
      <c r="AL44" s="14"/>
      <c r="AM44" s="14"/>
      <c r="AN44" s="14"/>
      <c r="AO44" s="14"/>
      <c r="AP44" s="14"/>
      <c r="AQ44" s="14"/>
      <c r="AR44" s="14"/>
      <c r="AS44" s="14"/>
      <c r="AT44" s="14"/>
      <c r="AU44" s="14"/>
    </row>
    <row r="45" spans="1:47" s="29" customFormat="1" ht="9">
      <c r="A45" s="257"/>
      <c r="B45" s="26"/>
      <c r="C45" s="155"/>
      <c r="D45" s="26"/>
      <c r="E45" s="26"/>
      <c r="F45" s="26"/>
      <c r="G45" s="26"/>
      <c r="H45" s="26"/>
      <c r="I45" s="26"/>
      <c r="J45" s="27"/>
      <c r="K45" s="27" t="s">
        <v>523</v>
      </c>
      <c r="L45" s="148" t="s">
        <v>524</v>
      </c>
      <c r="M45" s="403"/>
      <c r="N45" s="410"/>
      <c r="O45" s="410"/>
      <c r="P45" s="27"/>
      <c r="R45" s="27"/>
      <c r="S45" s="27"/>
      <c r="U45" s="27"/>
      <c r="V45" s="27"/>
      <c r="W45" s="27"/>
      <c r="X45" s="27"/>
      <c r="Y45" s="27"/>
      <c r="Z45" s="27"/>
      <c r="AA45" s="27"/>
      <c r="AB45" s="27"/>
      <c r="AC45" s="27"/>
      <c r="AD45" s="36"/>
      <c r="AE45" s="36"/>
      <c r="AF45" s="36"/>
      <c r="AG45" s="36"/>
      <c r="AH45" s="36"/>
      <c r="AI45" s="26"/>
      <c r="AJ45" s="358"/>
      <c r="AK45" s="56"/>
      <c r="AL45" s="14"/>
      <c r="AM45" s="14"/>
      <c r="AN45" s="14"/>
      <c r="AO45" s="14"/>
      <c r="AP45" s="14"/>
      <c r="AQ45" s="14"/>
      <c r="AR45" s="14"/>
      <c r="AS45" s="14"/>
      <c r="AT45" s="14"/>
      <c r="AU45" s="14"/>
    </row>
    <row r="46" spans="1:47" s="29" customFormat="1" ht="9">
      <c r="A46" s="257"/>
      <c r="B46" s="26"/>
      <c r="C46" s="155"/>
      <c r="D46" s="26"/>
      <c r="E46" s="26"/>
      <c r="F46" s="26"/>
      <c r="G46" s="26"/>
      <c r="H46" s="26"/>
      <c r="I46" s="26"/>
      <c r="J46" s="27"/>
      <c r="K46" s="27" t="s">
        <v>623</v>
      </c>
      <c r="L46" s="149" t="s">
        <v>526</v>
      </c>
      <c r="M46" s="403"/>
      <c r="N46" s="410"/>
      <c r="O46" s="410"/>
      <c r="P46" s="27"/>
      <c r="R46" s="27"/>
      <c r="S46" s="27"/>
      <c r="U46" s="27"/>
      <c r="V46" s="27"/>
      <c r="W46" s="27"/>
      <c r="X46" s="27"/>
      <c r="Y46" s="27"/>
      <c r="Z46" s="27"/>
      <c r="AA46" s="27"/>
      <c r="AB46" s="27"/>
      <c r="AC46" s="27"/>
      <c r="AD46" s="36"/>
      <c r="AE46" s="36"/>
      <c r="AF46" s="36"/>
      <c r="AG46" s="36"/>
      <c r="AH46" s="36"/>
      <c r="AI46" s="26"/>
      <c r="AJ46" s="358"/>
      <c r="AK46" s="56"/>
      <c r="AL46" s="14"/>
      <c r="AM46" s="14"/>
      <c r="AN46" s="14"/>
      <c r="AO46" s="14"/>
      <c r="AP46" s="14"/>
      <c r="AQ46" s="14"/>
      <c r="AR46" s="14"/>
      <c r="AS46" s="14"/>
      <c r="AT46" s="14"/>
      <c r="AU46" s="14"/>
    </row>
    <row r="47" spans="1:47" s="29" customFormat="1" ht="9">
      <c r="A47" s="257"/>
      <c r="B47" s="26"/>
      <c r="C47" s="155"/>
      <c r="D47" s="26"/>
      <c r="E47" s="26"/>
      <c r="F47" s="26"/>
      <c r="G47" s="26"/>
      <c r="H47" s="26"/>
      <c r="I47" s="26"/>
      <c r="J47" s="27"/>
      <c r="K47" s="27" t="s">
        <v>527</v>
      </c>
      <c r="L47" s="149" t="s">
        <v>528</v>
      </c>
      <c r="M47" s="403"/>
      <c r="N47" s="410"/>
      <c r="O47" s="410"/>
      <c r="P47" s="27"/>
      <c r="R47" s="27"/>
      <c r="S47" s="27"/>
      <c r="U47" s="27"/>
      <c r="V47" s="27"/>
      <c r="W47" s="27"/>
      <c r="X47" s="27"/>
      <c r="Y47" s="27"/>
      <c r="Z47" s="27"/>
      <c r="AA47" s="27"/>
      <c r="AB47" s="27"/>
      <c r="AC47" s="27"/>
      <c r="AD47" s="36"/>
      <c r="AE47" s="36"/>
      <c r="AF47" s="36"/>
      <c r="AG47" s="36"/>
      <c r="AH47" s="36"/>
      <c r="AI47" s="26"/>
      <c r="AJ47" s="358"/>
      <c r="AK47" s="56"/>
      <c r="AL47" s="14"/>
      <c r="AM47" s="14"/>
      <c r="AN47" s="14"/>
      <c r="AO47" s="14"/>
      <c r="AP47" s="14"/>
      <c r="AQ47" s="14"/>
      <c r="AR47" s="14"/>
      <c r="AS47" s="14"/>
      <c r="AT47" s="14"/>
      <c r="AU47" s="14"/>
    </row>
    <row r="48" spans="1:47" s="29" customFormat="1" ht="9">
      <c r="A48" s="257"/>
      <c r="B48" s="26"/>
      <c r="C48" s="155"/>
      <c r="D48" s="26"/>
      <c r="E48" s="26"/>
      <c r="F48" s="26"/>
      <c r="G48" s="26"/>
      <c r="H48" s="26"/>
      <c r="I48" s="26"/>
      <c r="J48" s="27"/>
      <c r="K48" s="27" t="s">
        <v>530</v>
      </c>
      <c r="L48" s="148" t="s">
        <v>531</v>
      </c>
      <c r="M48" s="403"/>
      <c r="N48" s="410"/>
      <c r="O48" s="410"/>
      <c r="P48" s="27"/>
      <c r="R48" s="27"/>
      <c r="S48" s="27"/>
      <c r="U48" s="27"/>
      <c r="V48" s="27"/>
      <c r="W48" s="27"/>
      <c r="X48" s="27"/>
      <c r="Y48" s="27"/>
      <c r="Z48" s="27"/>
      <c r="AA48" s="27"/>
      <c r="AB48" s="27"/>
      <c r="AC48" s="27"/>
      <c r="AD48" s="36"/>
      <c r="AE48" s="36"/>
      <c r="AF48" s="36"/>
      <c r="AG48" s="36"/>
      <c r="AH48" s="36"/>
      <c r="AI48" s="26"/>
      <c r="AJ48" s="358"/>
      <c r="AK48" s="56"/>
      <c r="AL48" s="14"/>
      <c r="AM48" s="14"/>
      <c r="AN48" s="14"/>
      <c r="AO48" s="14"/>
      <c r="AP48" s="14"/>
      <c r="AQ48" s="14"/>
      <c r="AR48" s="14"/>
      <c r="AS48" s="14"/>
      <c r="AT48" s="14"/>
      <c r="AU48" s="14"/>
    </row>
    <row r="49" spans="1:47" s="29" customFormat="1" ht="9">
      <c r="A49" s="257"/>
      <c r="B49" s="26"/>
      <c r="C49" s="155"/>
      <c r="D49" s="26"/>
      <c r="E49" s="26"/>
      <c r="F49" s="26"/>
      <c r="G49" s="26"/>
      <c r="H49" s="26"/>
      <c r="I49" s="26"/>
      <c r="J49" s="156"/>
      <c r="K49" s="26" t="s">
        <v>624</v>
      </c>
      <c r="L49" s="149" t="s">
        <v>532</v>
      </c>
      <c r="M49" s="36"/>
      <c r="N49" s="410"/>
      <c r="O49" s="410"/>
      <c r="P49" s="27"/>
      <c r="R49" s="27"/>
      <c r="S49" s="27"/>
      <c r="U49" s="27"/>
      <c r="V49" s="31"/>
      <c r="W49" s="31"/>
      <c r="X49" s="31"/>
      <c r="Y49" s="31"/>
      <c r="Z49" s="31"/>
      <c r="AA49" s="31"/>
      <c r="AB49" s="31"/>
      <c r="AC49" s="31"/>
      <c r="AD49" s="36"/>
      <c r="AE49" s="36"/>
      <c r="AF49" s="36"/>
      <c r="AG49" s="36"/>
      <c r="AH49" s="36"/>
      <c r="AI49" s="26"/>
      <c r="AJ49" s="358"/>
      <c r="AK49" s="56"/>
      <c r="AL49" s="14"/>
      <c r="AM49" s="14"/>
      <c r="AN49" s="14"/>
      <c r="AO49" s="14"/>
      <c r="AP49" s="14"/>
      <c r="AQ49" s="14"/>
      <c r="AR49" s="14"/>
      <c r="AS49" s="14"/>
      <c r="AT49" s="14"/>
      <c r="AU49" s="14"/>
    </row>
    <row r="50" spans="1:47" s="29" customFormat="1" ht="9">
      <c r="A50" s="253"/>
      <c r="B50" s="31"/>
      <c r="C50" s="151"/>
      <c r="D50" s="31"/>
      <c r="E50" s="31"/>
      <c r="F50" s="31"/>
      <c r="G50" s="31"/>
      <c r="H50" s="31"/>
      <c r="I50" s="31"/>
      <c r="J50" s="31"/>
      <c r="K50" s="31"/>
      <c r="L50" s="148" t="s">
        <v>533</v>
      </c>
      <c r="M50" s="31"/>
      <c r="N50" s="410"/>
      <c r="O50" s="410"/>
      <c r="P50" s="27"/>
      <c r="R50" s="27"/>
      <c r="S50" s="27"/>
      <c r="U50" s="27"/>
      <c r="V50" s="31"/>
      <c r="W50" s="31"/>
      <c r="X50" s="31"/>
      <c r="Y50" s="31"/>
      <c r="Z50" s="31"/>
      <c r="AA50" s="31"/>
      <c r="AB50" s="31"/>
      <c r="AC50" s="31"/>
      <c r="AD50" s="27"/>
      <c r="AE50" s="27"/>
      <c r="AF50" s="27"/>
      <c r="AG50" s="27"/>
      <c r="AH50" s="31"/>
      <c r="AI50" s="31"/>
      <c r="AJ50" s="415"/>
      <c r="AK50" s="32"/>
      <c r="AL50" s="14"/>
      <c r="AM50" s="14"/>
      <c r="AN50" s="14"/>
      <c r="AO50" s="14"/>
      <c r="AP50" s="14"/>
      <c r="AQ50" s="14"/>
      <c r="AR50" s="14"/>
      <c r="AS50" s="14"/>
      <c r="AT50" s="14"/>
      <c r="AU50" s="14"/>
    </row>
    <row r="51" spans="1:47" s="29" customFormat="1" ht="9">
      <c r="A51" s="253"/>
      <c r="B51" s="31"/>
      <c r="C51" s="151"/>
      <c r="D51" s="31"/>
      <c r="E51" s="31"/>
      <c r="F51" s="31"/>
      <c r="G51" s="31"/>
      <c r="H51" s="31"/>
      <c r="I51" s="31"/>
      <c r="J51" s="31"/>
      <c r="K51" s="31"/>
      <c r="L51" s="148" t="s">
        <v>534</v>
      </c>
      <c r="M51" s="31"/>
      <c r="N51" s="189"/>
      <c r="O51" s="189"/>
      <c r="P51" s="156"/>
      <c r="Q51" s="422"/>
      <c r="R51" s="156"/>
      <c r="S51" s="156"/>
      <c r="T51" s="188"/>
      <c r="U51" s="156"/>
      <c r="V51" s="31"/>
      <c r="W51" s="31"/>
      <c r="X51" s="31"/>
      <c r="Y51" s="31"/>
      <c r="Z51" s="31"/>
      <c r="AA51" s="31"/>
      <c r="AB51" s="31"/>
      <c r="AC51" s="31"/>
      <c r="AD51" s="407"/>
      <c r="AE51" s="407"/>
      <c r="AF51" s="407"/>
      <c r="AG51" s="407"/>
      <c r="AH51" s="407"/>
      <c r="AI51" s="27"/>
      <c r="AJ51" s="423"/>
      <c r="AK51" s="424"/>
      <c r="AL51" s="14"/>
      <c r="AM51" s="14"/>
      <c r="AN51" s="14"/>
      <c r="AO51" s="14"/>
      <c r="AP51" s="14"/>
      <c r="AQ51" s="14"/>
      <c r="AR51" s="14"/>
      <c r="AS51" s="14"/>
      <c r="AT51" s="14"/>
      <c r="AU51" s="14"/>
    </row>
    <row r="52" spans="1:47" s="29" customFormat="1" ht="9">
      <c r="A52" s="253"/>
      <c r="B52" s="31"/>
      <c r="C52" s="151"/>
      <c r="D52" s="31"/>
      <c r="E52" s="31"/>
      <c r="F52" s="31"/>
      <c r="G52" s="31"/>
      <c r="H52" s="31"/>
      <c r="I52" s="31"/>
      <c r="J52" s="31"/>
      <c r="K52" s="31"/>
      <c r="L52" s="148" t="s">
        <v>535</v>
      </c>
      <c r="M52" s="31"/>
      <c r="N52" s="188"/>
      <c r="O52" s="189"/>
      <c r="P52" s="156"/>
      <c r="Q52" s="188"/>
      <c r="R52" s="156"/>
      <c r="S52" s="156"/>
      <c r="T52" s="188"/>
      <c r="U52" s="156"/>
      <c r="V52" s="31"/>
      <c r="W52" s="31"/>
      <c r="X52" s="31"/>
      <c r="Y52" s="31"/>
      <c r="Z52" s="31"/>
      <c r="AA52" s="31"/>
      <c r="AB52" s="31"/>
      <c r="AC52" s="31"/>
      <c r="AD52" s="408"/>
      <c r="AE52" s="408"/>
      <c r="AF52" s="408"/>
      <c r="AG52" s="408"/>
      <c r="AH52" s="408"/>
      <c r="AI52" s="31"/>
      <c r="AJ52" s="425"/>
      <c r="AK52" s="426"/>
      <c r="AL52" s="14"/>
      <c r="AM52" s="14"/>
      <c r="AN52" s="14"/>
      <c r="AO52" s="14"/>
      <c r="AP52" s="14"/>
      <c r="AQ52" s="14"/>
      <c r="AR52" s="14"/>
      <c r="AS52" s="14"/>
      <c r="AT52" s="14"/>
      <c r="AU52" s="14"/>
    </row>
    <row r="53" spans="1:47" s="29" customFormat="1" ht="9">
      <c r="A53" s="253"/>
      <c r="B53" s="31"/>
      <c r="C53" s="151"/>
      <c r="D53" s="31"/>
      <c r="E53" s="31"/>
      <c r="F53" s="31"/>
      <c r="G53" s="31"/>
      <c r="H53" s="31"/>
      <c r="I53" s="31"/>
      <c r="J53" s="31"/>
      <c r="K53" s="31"/>
      <c r="L53" s="148" t="s">
        <v>536</v>
      </c>
      <c r="M53" s="31"/>
      <c r="N53" s="370"/>
      <c r="O53" s="360"/>
      <c r="P53" s="31"/>
      <c r="Q53" s="370"/>
      <c r="R53" s="31"/>
      <c r="S53" s="31"/>
      <c r="T53" s="370"/>
      <c r="U53" s="31"/>
      <c r="V53" s="31"/>
      <c r="W53" s="31"/>
      <c r="X53" s="31"/>
      <c r="Y53" s="31"/>
      <c r="Z53" s="31"/>
      <c r="AA53" s="31"/>
      <c r="AB53" s="31"/>
      <c r="AC53" s="31"/>
      <c r="AD53" s="408"/>
      <c r="AE53" s="408"/>
      <c r="AF53" s="408"/>
      <c r="AG53" s="408"/>
      <c r="AH53" s="408"/>
      <c r="AI53" s="27"/>
      <c r="AJ53" s="425"/>
      <c r="AK53" s="426"/>
      <c r="AL53" s="14"/>
      <c r="AM53" s="14"/>
      <c r="AN53" s="14"/>
      <c r="AO53" s="14"/>
      <c r="AP53" s="14"/>
      <c r="AQ53" s="14"/>
      <c r="AR53" s="14"/>
      <c r="AS53" s="14"/>
      <c r="AT53" s="14"/>
      <c r="AU53" s="14"/>
    </row>
    <row r="54" spans="1:47" s="29" customFormat="1" ht="9">
      <c r="A54" s="253"/>
      <c r="B54" s="31"/>
      <c r="C54" s="151"/>
      <c r="D54" s="31"/>
      <c r="E54" s="31"/>
      <c r="F54" s="31"/>
      <c r="G54" s="31"/>
      <c r="H54" s="31"/>
      <c r="I54" s="31"/>
      <c r="J54" s="31"/>
      <c r="K54" s="31"/>
      <c r="L54" s="148" t="s">
        <v>537</v>
      </c>
      <c r="M54" s="31"/>
      <c r="N54" s="370"/>
      <c r="O54" s="360"/>
      <c r="P54" s="31"/>
      <c r="Q54" s="370"/>
      <c r="R54" s="31"/>
      <c r="S54" s="31"/>
      <c r="T54" s="370"/>
      <c r="U54" s="31"/>
      <c r="V54" s="31"/>
      <c r="W54" s="31"/>
      <c r="X54" s="31"/>
      <c r="Y54" s="31"/>
      <c r="Z54" s="31"/>
      <c r="AA54" s="31"/>
      <c r="AB54" s="31"/>
      <c r="AC54" s="31"/>
      <c r="AD54" s="31"/>
      <c r="AE54" s="31"/>
      <c r="AF54" s="31"/>
      <c r="AG54" s="31"/>
      <c r="AH54" s="31"/>
      <c r="AI54" s="27"/>
      <c r="AJ54" s="415"/>
      <c r="AK54" s="32"/>
      <c r="AL54" s="14"/>
      <c r="AM54" s="14"/>
      <c r="AN54" s="14"/>
      <c r="AO54" s="14"/>
      <c r="AP54" s="14"/>
      <c r="AQ54" s="14"/>
      <c r="AR54" s="14"/>
      <c r="AS54" s="14"/>
      <c r="AT54" s="14"/>
      <c r="AU54" s="14"/>
    </row>
    <row r="55" spans="1:47" s="29" customFormat="1" ht="9">
      <c r="A55" s="253"/>
      <c r="B55" s="31"/>
      <c r="C55" s="151"/>
      <c r="D55" s="31"/>
      <c r="E55" s="31"/>
      <c r="F55" s="31"/>
      <c r="G55" s="31"/>
      <c r="H55" s="31"/>
      <c r="I55" s="31"/>
      <c r="J55" s="31"/>
      <c r="K55" s="31"/>
      <c r="L55" s="148" t="s">
        <v>538</v>
      </c>
      <c r="M55" s="31"/>
      <c r="N55" s="370"/>
      <c r="O55" s="360"/>
      <c r="P55" s="31"/>
      <c r="Q55" s="370"/>
      <c r="R55" s="31"/>
      <c r="S55" s="31"/>
      <c r="T55" s="370"/>
      <c r="U55" s="31"/>
      <c r="V55" s="31"/>
      <c r="W55" s="31"/>
      <c r="X55" s="31"/>
      <c r="Y55" s="31"/>
      <c r="Z55" s="31"/>
      <c r="AA55" s="31"/>
      <c r="AB55" s="31"/>
      <c r="AC55" s="31"/>
      <c r="AD55" s="27"/>
      <c r="AE55" s="27"/>
      <c r="AF55" s="27"/>
      <c r="AG55" s="27"/>
      <c r="AH55" s="31"/>
      <c r="AI55" s="31"/>
      <c r="AJ55" s="415"/>
      <c r="AK55" s="32"/>
      <c r="AL55" s="14"/>
      <c r="AM55" s="14"/>
      <c r="AN55" s="14"/>
      <c r="AO55" s="14"/>
      <c r="AP55" s="14"/>
      <c r="AQ55" s="14"/>
      <c r="AR55" s="14"/>
      <c r="AS55" s="14"/>
      <c r="AT55" s="14"/>
      <c r="AU55" s="14"/>
    </row>
    <row r="56" spans="1:47" s="29" customFormat="1" ht="9">
      <c r="A56" s="253"/>
      <c r="B56" s="31"/>
      <c r="C56" s="151"/>
      <c r="D56" s="31"/>
      <c r="E56" s="31"/>
      <c r="F56" s="31"/>
      <c r="G56" s="31"/>
      <c r="H56" s="31"/>
      <c r="I56" s="31"/>
      <c r="J56" s="31"/>
      <c r="K56" s="31"/>
      <c r="L56" s="150" t="s">
        <v>539</v>
      </c>
      <c r="M56" s="31"/>
      <c r="N56" s="370"/>
      <c r="O56" s="360"/>
      <c r="P56" s="31"/>
      <c r="Q56" s="370"/>
      <c r="R56" s="31"/>
      <c r="S56" s="31"/>
      <c r="T56" s="370"/>
      <c r="U56" s="31"/>
      <c r="V56" s="31"/>
      <c r="W56" s="31"/>
      <c r="X56" s="31"/>
      <c r="Y56" s="31"/>
      <c r="Z56" s="31"/>
      <c r="AA56" s="31"/>
      <c r="AB56" s="31"/>
      <c r="AC56" s="31"/>
      <c r="AD56" s="27"/>
      <c r="AE56" s="27"/>
      <c r="AF56" s="27"/>
      <c r="AG56" s="27"/>
      <c r="AH56" s="31"/>
      <c r="AI56" s="31"/>
      <c r="AJ56" s="415"/>
      <c r="AK56" s="32"/>
      <c r="AL56" s="14"/>
      <c r="AM56" s="14"/>
      <c r="AN56" s="14"/>
      <c r="AO56" s="14"/>
      <c r="AP56" s="14"/>
      <c r="AQ56" s="14"/>
      <c r="AR56" s="14"/>
      <c r="AS56" s="14"/>
      <c r="AT56" s="14"/>
      <c r="AU56" s="14"/>
    </row>
    <row r="57" spans="1:47" s="29" customFormat="1" ht="9">
      <c r="A57" s="253"/>
      <c r="B57" s="31"/>
      <c r="C57" s="151"/>
      <c r="D57" s="31"/>
      <c r="E57" s="31"/>
      <c r="F57" s="31"/>
      <c r="G57" s="31"/>
      <c r="H57" s="31"/>
      <c r="I57" s="31"/>
      <c r="J57" s="31"/>
      <c r="K57" s="31"/>
      <c r="L57" s="149" t="s">
        <v>540</v>
      </c>
      <c r="M57" s="31"/>
      <c r="N57" s="370"/>
      <c r="O57" s="360"/>
      <c r="P57" s="31"/>
      <c r="Q57" s="370"/>
      <c r="R57" s="31"/>
      <c r="S57" s="31"/>
      <c r="T57" s="370"/>
      <c r="U57" s="31"/>
      <c r="V57" s="31"/>
      <c r="W57" s="31"/>
      <c r="X57" s="31"/>
      <c r="Y57" s="31"/>
      <c r="Z57" s="31"/>
      <c r="AA57" s="31"/>
      <c r="AB57" s="31"/>
      <c r="AC57" s="31"/>
      <c r="AD57" s="27"/>
      <c r="AE57" s="27"/>
      <c r="AF57" s="27"/>
      <c r="AG57" s="27"/>
      <c r="AH57" s="31"/>
      <c r="AI57" s="31"/>
      <c r="AJ57" s="415"/>
      <c r="AK57" s="32"/>
      <c r="AL57" s="14"/>
      <c r="AM57" s="14"/>
      <c r="AN57" s="14"/>
      <c r="AO57" s="14"/>
      <c r="AP57" s="14"/>
      <c r="AQ57" s="14"/>
      <c r="AR57" s="14"/>
      <c r="AS57" s="14"/>
      <c r="AT57" s="14"/>
      <c r="AU57" s="14"/>
    </row>
    <row r="58" spans="1:47" s="29" customFormat="1" ht="9">
      <c r="A58" s="253"/>
      <c r="B58" s="31"/>
      <c r="C58" s="151"/>
      <c r="D58" s="31"/>
      <c r="E58" s="31"/>
      <c r="F58" s="31"/>
      <c r="G58" s="31"/>
      <c r="H58" s="31"/>
      <c r="I58" s="31"/>
      <c r="J58" s="31"/>
      <c r="K58" s="31"/>
      <c r="L58" s="149" t="s">
        <v>541</v>
      </c>
      <c r="M58" s="31"/>
      <c r="N58" s="370"/>
      <c r="O58" s="360"/>
      <c r="P58" s="31"/>
      <c r="Q58" s="370"/>
      <c r="R58" s="31"/>
      <c r="S58" s="31"/>
      <c r="T58" s="370"/>
      <c r="U58" s="31"/>
      <c r="V58" s="31"/>
      <c r="W58" s="31"/>
      <c r="X58" s="31"/>
      <c r="Y58" s="31"/>
      <c r="Z58" s="31"/>
      <c r="AA58" s="31"/>
      <c r="AB58" s="31"/>
      <c r="AC58" s="31"/>
      <c r="AD58" s="27"/>
      <c r="AE58" s="27"/>
      <c r="AF58" s="27"/>
      <c r="AG58" s="27"/>
      <c r="AH58" s="31"/>
      <c r="AI58" s="31"/>
      <c r="AJ58" s="415"/>
      <c r="AK58" s="32"/>
      <c r="AL58" s="14"/>
      <c r="AM58" s="14"/>
      <c r="AN58" s="14"/>
      <c r="AO58" s="14"/>
      <c r="AP58" s="14"/>
      <c r="AQ58" s="14"/>
      <c r="AR58" s="14"/>
      <c r="AS58" s="14"/>
      <c r="AT58" s="14"/>
      <c r="AU58" s="14"/>
    </row>
    <row r="59" spans="1:47" s="29" customFormat="1" ht="9">
      <c r="A59" s="253"/>
      <c r="B59" s="31"/>
      <c r="C59" s="151"/>
      <c r="D59" s="31"/>
      <c r="E59" s="31"/>
      <c r="F59" s="31"/>
      <c r="G59" s="31"/>
      <c r="H59" s="31"/>
      <c r="I59" s="31"/>
      <c r="J59" s="31"/>
      <c r="K59" s="31"/>
      <c r="L59" s="148" t="s">
        <v>542</v>
      </c>
      <c r="M59" s="31"/>
      <c r="N59" s="370"/>
      <c r="O59" s="360"/>
      <c r="P59" s="31"/>
      <c r="Q59" s="370"/>
      <c r="R59" s="31"/>
      <c r="S59" s="31"/>
      <c r="T59" s="370"/>
      <c r="U59" s="31"/>
      <c r="V59" s="31"/>
      <c r="W59" s="31"/>
      <c r="X59" s="31"/>
      <c r="Y59" s="31"/>
      <c r="Z59" s="31"/>
      <c r="AA59" s="31"/>
      <c r="AB59" s="31"/>
      <c r="AC59" s="31"/>
      <c r="AD59" s="27"/>
      <c r="AE59" s="27"/>
      <c r="AF59" s="27"/>
      <c r="AG59" s="27"/>
      <c r="AH59" s="31"/>
      <c r="AI59" s="31"/>
      <c r="AJ59" s="415"/>
      <c r="AK59" s="32"/>
      <c r="AL59" s="14"/>
      <c r="AM59" s="14"/>
      <c r="AN59" s="14"/>
      <c r="AO59" s="14"/>
      <c r="AP59" s="14"/>
      <c r="AQ59" s="14"/>
      <c r="AR59" s="14"/>
      <c r="AS59" s="14"/>
      <c r="AT59" s="14"/>
      <c r="AU59" s="14"/>
    </row>
    <row r="60" spans="1:47" s="29" customFormat="1" ht="9">
      <c r="A60" s="253"/>
      <c r="B60" s="31"/>
      <c r="C60" s="151"/>
      <c r="D60" s="31"/>
      <c r="E60" s="31"/>
      <c r="F60" s="31"/>
      <c r="G60" s="31"/>
      <c r="H60" s="31"/>
      <c r="I60" s="31"/>
      <c r="J60" s="31"/>
      <c r="K60" s="31"/>
      <c r="L60" s="148" t="s">
        <v>543</v>
      </c>
      <c r="M60" s="31"/>
      <c r="N60" s="370"/>
      <c r="O60" s="360"/>
      <c r="P60" s="31"/>
      <c r="Q60" s="370"/>
      <c r="R60" s="31"/>
      <c r="S60" s="31"/>
      <c r="T60" s="370"/>
      <c r="U60" s="31"/>
      <c r="V60" s="31"/>
      <c r="W60" s="31"/>
      <c r="X60" s="31"/>
      <c r="Y60" s="31"/>
      <c r="Z60" s="31"/>
      <c r="AA60" s="31"/>
      <c r="AB60" s="31"/>
      <c r="AC60" s="31"/>
      <c r="AD60" s="27"/>
      <c r="AE60" s="27"/>
      <c r="AF60" s="27"/>
      <c r="AG60" s="27"/>
      <c r="AH60" s="31"/>
      <c r="AI60" s="31"/>
      <c r="AJ60" s="415"/>
      <c r="AK60" s="32"/>
      <c r="AL60" s="14"/>
      <c r="AM60" s="14"/>
      <c r="AN60" s="14"/>
      <c r="AO60" s="14"/>
      <c r="AP60" s="14"/>
      <c r="AQ60" s="14"/>
      <c r="AR60" s="14"/>
      <c r="AS60" s="14"/>
      <c r="AT60" s="14"/>
      <c r="AU60" s="14"/>
    </row>
    <row r="61" spans="1:47" s="29" customFormat="1" ht="9">
      <c r="A61" s="253"/>
      <c r="B61" s="31"/>
      <c r="C61" s="151"/>
      <c r="D61" s="31"/>
      <c r="E61" s="31"/>
      <c r="F61" s="31"/>
      <c r="G61" s="31"/>
      <c r="H61" s="31"/>
      <c r="I61" s="31"/>
      <c r="J61" s="31"/>
      <c r="K61" s="31"/>
      <c r="L61" s="150" t="s">
        <v>544</v>
      </c>
      <c r="M61" s="31"/>
      <c r="N61" s="370"/>
      <c r="O61" s="360"/>
      <c r="P61" s="31"/>
      <c r="Q61" s="370"/>
      <c r="R61" s="31"/>
      <c r="S61" s="31"/>
      <c r="T61" s="370"/>
      <c r="U61" s="31"/>
      <c r="V61" s="31"/>
      <c r="W61" s="31"/>
      <c r="X61" s="31"/>
      <c r="Y61" s="31"/>
      <c r="Z61" s="31"/>
      <c r="AA61" s="31"/>
      <c r="AB61" s="31"/>
      <c r="AC61" s="31"/>
      <c r="AD61" s="27"/>
      <c r="AE61" s="27"/>
      <c r="AF61" s="27"/>
      <c r="AG61" s="27"/>
      <c r="AH61" s="31"/>
      <c r="AI61" s="31"/>
      <c r="AJ61" s="415"/>
      <c r="AK61" s="32"/>
      <c r="AL61" s="14"/>
      <c r="AM61" s="14"/>
      <c r="AN61" s="14"/>
      <c r="AO61" s="14"/>
      <c r="AP61" s="14"/>
      <c r="AQ61" s="14"/>
      <c r="AR61" s="14"/>
      <c r="AS61" s="14"/>
      <c r="AT61" s="14"/>
      <c r="AU61" s="14"/>
    </row>
    <row r="62" spans="1:47" s="29" customFormat="1" ht="9">
      <c r="A62" s="253"/>
      <c r="B62" s="31"/>
      <c r="C62" s="151"/>
      <c r="D62" s="31"/>
      <c r="E62" s="31"/>
      <c r="F62" s="31"/>
      <c r="G62" s="31"/>
      <c r="H62" s="31"/>
      <c r="I62" s="31"/>
      <c r="J62" s="31"/>
      <c r="K62" s="31"/>
      <c r="L62" s="149" t="s">
        <v>545</v>
      </c>
      <c r="M62" s="31"/>
      <c r="N62" s="370"/>
      <c r="O62" s="360"/>
      <c r="P62" s="31"/>
      <c r="Q62" s="370"/>
      <c r="R62" s="31"/>
      <c r="S62" s="31"/>
      <c r="T62" s="370"/>
      <c r="U62" s="31"/>
      <c r="V62" s="31"/>
      <c r="W62" s="31"/>
      <c r="X62" s="31"/>
      <c r="Y62" s="31"/>
      <c r="Z62" s="31"/>
      <c r="AA62" s="31"/>
      <c r="AB62" s="31"/>
      <c r="AC62" s="31"/>
      <c r="AD62" s="27"/>
      <c r="AE62" s="27"/>
      <c r="AF62" s="27"/>
      <c r="AG62" s="27"/>
      <c r="AH62" s="31"/>
      <c r="AI62" s="31"/>
      <c r="AJ62" s="415"/>
      <c r="AK62" s="32"/>
      <c r="AL62" s="14"/>
      <c r="AM62" s="14"/>
      <c r="AN62" s="14"/>
      <c r="AO62" s="14"/>
      <c r="AP62" s="14"/>
      <c r="AQ62" s="14"/>
      <c r="AR62" s="14"/>
      <c r="AS62" s="14"/>
      <c r="AT62" s="14"/>
      <c r="AU62" s="14"/>
    </row>
    <row r="63" spans="1:47" s="29" customFormat="1" ht="9">
      <c r="A63" s="253"/>
      <c r="B63" s="31"/>
      <c r="C63" s="151"/>
      <c r="D63" s="31"/>
      <c r="E63" s="31"/>
      <c r="F63" s="31"/>
      <c r="G63" s="31"/>
      <c r="H63" s="31"/>
      <c r="I63" s="31"/>
      <c r="J63" s="31"/>
      <c r="K63" s="31"/>
      <c r="L63" s="149" t="s">
        <v>546</v>
      </c>
      <c r="M63" s="31"/>
      <c r="N63" s="370"/>
      <c r="O63" s="360"/>
      <c r="P63" s="31"/>
      <c r="Q63" s="370"/>
      <c r="R63" s="31"/>
      <c r="S63" s="31"/>
      <c r="T63" s="370"/>
      <c r="U63" s="31"/>
      <c r="V63" s="31"/>
      <c r="W63" s="31"/>
      <c r="X63" s="31"/>
      <c r="Y63" s="31"/>
      <c r="Z63" s="31"/>
      <c r="AA63" s="31"/>
      <c r="AB63" s="31"/>
      <c r="AC63" s="31"/>
      <c r="AD63" s="27"/>
      <c r="AE63" s="27"/>
      <c r="AF63" s="27"/>
      <c r="AG63" s="27"/>
      <c r="AH63" s="31"/>
      <c r="AI63" s="31"/>
      <c r="AJ63" s="415"/>
      <c r="AK63" s="32"/>
      <c r="AL63" s="14"/>
      <c r="AM63" s="14"/>
      <c r="AN63" s="14"/>
      <c r="AO63" s="14"/>
      <c r="AP63" s="14"/>
      <c r="AQ63" s="14"/>
      <c r="AR63" s="14"/>
      <c r="AS63" s="14"/>
      <c r="AT63" s="14"/>
      <c r="AU63" s="14"/>
    </row>
    <row r="64" spans="1:47" s="29" customFormat="1" ht="9">
      <c r="A64" s="253"/>
      <c r="B64" s="31"/>
      <c r="C64" s="151"/>
      <c r="D64" s="31"/>
      <c r="E64" s="31"/>
      <c r="F64" s="31"/>
      <c r="G64" s="31"/>
      <c r="H64" s="31"/>
      <c r="I64" s="31"/>
      <c r="J64" s="31"/>
      <c r="K64" s="31"/>
      <c r="L64" s="148" t="s">
        <v>547</v>
      </c>
      <c r="M64" s="31"/>
      <c r="N64" s="370"/>
      <c r="O64" s="360"/>
      <c r="P64" s="31"/>
      <c r="Q64" s="370"/>
      <c r="R64" s="31"/>
      <c r="S64" s="31"/>
      <c r="T64" s="370"/>
      <c r="U64" s="31"/>
      <c r="V64" s="31"/>
      <c r="W64" s="31"/>
      <c r="X64" s="31"/>
      <c r="Y64" s="31"/>
      <c r="Z64" s="31"/>
      <c r="AA64" s="31"/>
      <c r="AB64" s="31"/>
      <c r="AC64" s="31"/>
      <c r="AD64" s="27"/>
      <c r="AE64" s="27"/>
      <c r="AF64" s="27"/>
      <c r="AG64" s="27"/>
      <c r="AH64" s="31"/>
      <c r="AI64" s="31"/>
      <c r="AJ64" s="415"/>
      <c r="AK64" s="32"/>
      <c r="AL64" s="14"/>
      <c r="AM64" s="14"/>
      <c r="AN64" s="14"/>
      <c r="AO64" s="14"/>
      <c r="AP64" s="14"/>
      <c r="AQ64" s="14"/>
      <c r="AR64" s="14"/>
      <c r="AS64" s="14"/>
      <c r="AT64" s="14"/>
      <c r="AU64" s="14"/>
    </row>
    <row r="65" spans="1:47" s="29" customFormat="1" ht="9">
      <c r="A65" s="253"/>
      <c r="B65" s="31"/>
      <c r="C65" s="151"/>
      <c r="D65" s="31"/>
      <c r="E65" s="31"/>
      <c r="F65" s="31"/>
      <c r="G65" s="31"/>
      <c r="H65" s="31"/>
      <c r="I65" s="31"/>
      <c r="J65" s="31"/>
      <c r="K65" s="31"/>
      <c r="L65" s="148" t="s">
        <v>548</v>
      </c>
      <c r="M65" s="31"/>
      <c r="N65" s="370"/>
      <c r="O65" s="360"/>
      <c r="P65" s="31"/>
      <c r="Q65" s="370"/>
      <c r="R65" s="31"/>
      <c r="S65" s="31"/>
      <c r="T65" s="370"/>
      <c r="U65" s="31"/>
      <c r="V65" s="31"/>
      <c r="W65" s="31"/>
      <c r="X65" s="31"/>
      <c r="Y65" s="31"/>
      <c r="Z65" s="31"/>
      <c r="AA65" s="31"/>
      <c r="AB65" s="31"/>
      <c r="AC65" s="31"/>
      <c r="AD65" s="27"/>
      <c r="AE65" s="27"/>
      <c r="AF65" s="27"/>
      <c r="AG65" s="27"/>
      <c r="AH65" s="31"/>
      <c r="AI65" s="31"/>
      <c r="AJ65" s="415"/>
      <c r="AK65" s="32"/>
      <c r="AL65" s="14"/>
      <c r="AM65" s="14"/>
      <c r="AN65" s="14"/>
      <c r="AO65" s="14"/>
      <c r="AP65" s="14"/>
      <c r="AQ65" s="14"/>
      <c r="AR65" s="14"/>
      <c r="AS65" s="14"/>
      <c r="AT65" s="14"/>
      <c r="AU65" s="14"/>
    </row>
    <row r="66" spans="1:47" s="29" customFormat="1" ht="9">
      <c r="A66" s="253"/>
      <c r="B66" s="31"/>
      <c r="C66" s="151"/>
      <c r="D66" s="31"/>
      <c r="E66" s="31"/>
      <c r="F66" s="31"/>
      <c r="G66" s="31"/>
      <c r="H66" s="31"/>
      <c r="I66" s="31"/>
      <c r="J66" s="31"/>
      <c r="K66" s="31"/>
      <c r="L66" s="148" t="s">
        <v>549</v>
      </c>
      <c r="M66" s="31"/>
      <c r="N66" s="370"/>
      <c r="O66" s="360"/>
      <c r="P66" s="31"/>
      <c r="Q66" s="370"/>
      <c r="R66" s="31"/>
      <c r="S66" s="31"/>
      <c r="T66" s="370"/>
      <c r="U66" s="31"/>
      <c r="V66" s="31"/>
      <c r="W66" s="31"/>
      <c r="X66" s="31"/>
      <c r="Y66" s="31"/>
      <c r="Z66" s="31"/>
      <c r="AA66" s="31"/>
      <c r="AB66" s="31"/>
      <c r="AC66" s="31"/>
      <c r="AD66" s="27"/>
      <c r="AE66" s="27"/>
      <c r="AF66" s="27"/>
      <c r="AG66" s="27"/>
      <c r="AH66" s="31"/>
      <c r="AI66" s="31"/>
      <c r="AJ66" s="415"/>
      <c r="AK66" s="32"/>
      <c r="AL66" s="14"/>
      <c r="AM66" s="14"/>
      <c r="AN66" s="14"/>
      <c r="AO66" s="14"/>
      <c r="AP66" s="14"/>
      <c r="AQ66" s="14"/>
      <c r="AR66" s="14"/>
      <c r="AS66" s="14"/>
      <c r="AT66" s="14"/>
      <c r="AU66" s="14"/>
    </row>
    <row r="67" spans="1:47" s="29" customFormat="1" ht="9">
      <c r="A67" s="253"/>
      <c r="B67" s="31"/>
      <c r="C67" s="151"/>
      <c r="D67" s="31"/>
      <c r="E67" s="31"/>
      <c r="F67" s="31"/>
      <c r="G67" s="31"/>
      <c r="H67" s="31"/>
      <c r="I67" s="31"/>
      <c r="J67" s="31"/>
      <c r="K67" s="31"/>
      <c r="L67" s="148" t="s">
        <v>550</v>
      </c>
      <c r="M67" s="31"/>
      <c r="N67" s="370"/>
      <c r="O67" s="360"/>
      <c r="P67" s="31"/>
      <c r="Q67" s="370"/>
      <c r="R67" s="31"/>
      <c r="S67" s="31"/>
      <c r="T67" s="370"/>
      <c r="U67" s="31"/>
      <c r="V67" s="31"/>
      <c r="W67" s="31"/>
      <c r="X67" s="31"/>
      <c r="Y67" s="31"/>
      <c r="Z67" s="31"/>
      <c r="AA67" s="31"/>
      <c r="AB67" s="31"/>
      <c r="AC67" s="31"/>
      <c r="AD67" s="27"/>
      <c r="AE67" s="27"/>
      <c r="AF67" s="27"/>
      <c r="AG67" s="27"/>
      <c r="AH67" s="31"/>
      <c r="AI67" s="31"/>
      <c r="AJ67" s="415"/>
      <c r="AK67" s="32"/>
      <c r="AL67" s="14"/>
      <c r="AM67" s="14"/>
      <c r="AN67" s="14"/>
      <c r="AO67" s="14"/>
      <c r="AP67" s="14"/>
      <c r="AQ67" s="14"/>
      <c r="AR67" s="14"/>
      <c r="AS67" s="14"/>
      <c r="AT67" s="14"/>
      <c r="AU67" s="14"/>
    </row>
    <row r="68" spans="1:47" s="29" customFormat="1" ht="9">
      <c r="A68" s="253"/>
      <c r="B68" s="31"/>
      <c r="C68" s="151"/>
      <c r="D68" s="31"/>
      <c r="E68" s="31"/>
      <c r="F68" s="31"/>
      <c r="G68" s="31"/>
      <c r="H68" s="31"/>
      <c r="I68" s="31"/>
      <c r="J68" s="31"/>
      <c r="K68" s="31"/>
      <c r="L68" s="148" t="s">
        <v>551</v>
      </c>
      <c r="M68" s="31"/>
      <c r="N68" s="370"/>
      <c r="O68" s="360"/>
      <c r="P68" s="31"/>
      <c r="Q68" s="370"/>
      <c r="R68" s="31"/>
      <c r="S68" s="31"/>
      <c r="T68" s="370"/>
      <c r="U68" s="31"/>
      <c r="V68" s="31"/>
      <c r="W68" s="31"/>
      <c r="X68" s="31"/>
      <c r="Y68" s="31"/>
      <c r="Z68" s="31"/>
      <c r="AA68" s="31"/>
      <c r="AB68" s="31"/>
      <c r="AC68" s="31"/>
      <c r="AD68" s="27"/>
      <c r="AE68" s="27"/>
      <c r="AF68" s="27"/>
      <c r="AG68" s="27"/>
      <c r="AH68" s="31"/>
      <c r="AI68" s="31"/>
      <c r="AJ68" s="415"/>
      <c r="AK68" s="32"/>
      <c r="AL68" s="14"/>
      <c r="AM68" s="14"/>
      <c r="AN68" s="14"/>
      <c r="AO68" s="14"/>
      <c r="AP68" s="14"/>
      <c r="AQ68" s="14"/>
      <c r="AR68" s="14"/>
      <c r="AS68" s="14"/>
      <c r="AT68" s="14"/>
      <c r="AU68" s="14"/>
    </row>
    <row r="69" spans="1:47" s="29" customFormat="1" ht="9">
      <c r="A69" s="253"/>
      <c r="B69" s="31"/>
      <c r="C69" s="151"/>
      <c r="D69" s="31"/>
      <c r="E69" s="31"/>
      <c r="F69" s="31"/>
      <c r="G69" s="31"/>
      <c r="H69" s="31"/>
      <c r="I69" s="31"/>
      <c r="J69" s="31"/>
      <c r="K69" s="31"/>
      <c r="L69" s="148" t="s">
        <v>552</v>
      </c>
      <c r="M69" s="31"/>
      <c r="N69" s="370"/>
      <c r="O69" s="360"/>
      <c r="P69" s="31"/>
      <c r="Q69" s="370"/>
      <c r="R69" s="31"/>
      <c r="S69" s="31"/>
      <c r="T69" s="370"/>
      <c r="U69" s="31"/>
      <c r="V69" s="31"/>
      <c r="W69" s="31"/>
      <c r="X69" s="31"/>
      <c r="Y69" s="31"/>
      <c r="Z69" s="31"/>
      <c r="AA69" s="31"/>
      <c r="AB69" s="31"/>
      <c r="AC69" s="31"/>
      <c r="AD69" s="27"/>
      <c r="AE69" s="27"/>
      <c r="AF69" s="27"/>
      <c r="AG69" s="27"/>
      <c r="AH69" s="31"/>
      <c r="AI69" s="31"/>
      <c r="AJ69" s="415"/>
      <c r="AK69" s="32"/>
      <c r="AL69" s="14"/>
      <c r="AM69" s="14"/>
      <c r="AN69" s="14"/>
      <c r="AO69" s="14"/>
      <c r="AP69" s="14"/>
      <c r="AQ69" s="14"/>
      <c r="AR69" s="14"/>
      <c r="AS69" s="14"/>
      <c r="AT69" s="14"/>
      <c r="AU69" s="14"/>
    </row>
    <row r="70" spans="1:47" s="29" customFormat="1" ht="9">
      <c r="A70" s="253"/>
      <c r="B70" s="31"/>
      <c r="C70" s="151"/>
      <c r="D70" s="31"/>
      <c r="E70" s="31"/>
      <c r="F70" s="31"/>
      <c r="G70" s="31"/>
      <c r="H70" s="31"/>
      <c r="I70" s="31"/>
      <c r="J70" s="31"/>
      <c r="K70" s="31"/>
      <c r="L70" s="148" t="s">
        <v>553</v>
      </c>
      <c r="M70" s="31"/>
      <c r="N70" s="370"/>
      <c r="O70" s="360"/>
      <c r="P70" s="31"/>
      <c r="Q70" s="370"/>
      <c r="R70" s="31"/>
      <c r="S70" s="31"/>
      <c r="T70" s="370"/>
      <c r="U70" s="31"/>
      <c r="V70" s="31"/>
      <c r="W70" s="31"/>
      <c r="X70" s="31"/>
      <c r="Y70" s="31"/>
      <c r="Z70" s="31"/>
      <c r="AA70" s="31"/>
      <c r="AB70" s="31"/>
      <c r="AC70" s="31"/>
      <c r="AD70" s="27"/>
      <c r="AE70" s="27"/>
      <c r="AF70" s="27"/>
      <c r="AG70" s="27"/>
      <c r="AH70" s="31"/>
      <c r="AI70" s="31"/>
      <c r="AJ70" s="415"/>
      <c r="AK70" s="32"/>
      <c r="AL70" s="14"/>
      <c r="AM70" s="14"/>
      <c r="AN70" s="14"/>
      <c r="AO70" s="14"/>
      <c r="AP70" s="14"/>
      <c r="AQ70" s="14"/>
      <c r="AR70" s="14"/>
      <c r="AS70" s="14"/>
      <c r="AT70" s="14"/>
      <c r="AU70" s="14"/>
    </row>
    <row r="71" spans="1:47" s="29" customFormat="1" ht="9">
      <c r="A71" s="253"/>
      <c r="B71" s="31"/>
      <c r="C71" s="151"/>
      <c r="D71" s="31"/>
      <c r="E71" s="31"/>
      <c r="F71" s="31"/>
      <c r="G71" s="31"/>
      <c r="H71" s="31"/>
      <c r="I71" s="31"/>
      <c r="J71" s="31"/>
      <c r="K71" s="31"/>
      <c r="L71" s="148" t="s">
        <v>554</v>
      </c>
      <c r="M71" s="31"/>
      <c r="N71" s="370"/>
      <c r="O71" s="360"/>
      <c r="P71" s="31"/>
      <c r="Q71" s="370"/>
      <c r="R71" s="31"/>
      <c r="S71" s="31"/>
      <c r="T71" s="370"/>
      <c r="U71" s="31"/>
      <c r="V71" s="31"/>
      <c r="W71" s="31"/>
      <c r="X71" s="31"/>
      <c r="Y71" s="31"/>
      <c r="Z71" s="31"/>
      <c r="AA71" s="31"/>
      <c r="AB71" s="31"/>
      <c r="AC71" s="31"/>
      <c r="AD71" s="27"/>
      <c r="AE71" s="27"/>
      <c r="AF71" s="27"/>
      <c r="AG71" s="27"/>
      <c r="AH71" s="31"/>
      <c r="AI71" s="31"/>
      <c r="AJ71" s="415"/>
      <c r="AK71" s="32"/>
      <c r="AL71" s="14"/>
      <c r="AM71" s="14"/>
      <c r="AN71" s="14"/>
      <c r="AO71" s="14"/>
      <c r="AP71" s="14"/>
      <c r="AQ71" s="14"/>
      <c r="AR71" s="14"/>
      <c r="AS71" s="14"/>
      <c r="AT71" s="14"/>
      <c r="AU71" s="14"/>
    </row>
    <row r="72" spans="1:47" s="29" customFormat="1" ht="9">
      <c r="A72" s="253"/>
      <c r="B72" s="31"/>
      <c r="C72" s="151"/>
      <c r="D72" s="31"/>
      <c r="E72" s="31"/>
      <c r="F72" s="31"/>
      <c r="G72" s="31"/>
      <c r="H72" s="31"/>
      <c r="I72" s="31"/>
      <c r="J72" s="31"/>
      <c r="K72" s="31"/>
      <c r="L72" s="148" t="s">
        <v>555</v>
      </c>
      <c r="M72" s="31"/>
      <c r="N72" s="370"/>
      <c r="O72" s="360"/>
      <c r="P72" s="31"/>
      <c r="Q72" s="370"/>
      <c r="R72" s="31"/>
      <c r="S72" s="31"/>
      <c r="T72" s="370"/>
      <c r="U72" s="31"/>
      <c r="V72" s="31"/>
      <c r="W72" s="31"/>
      <c r="X72" s="31"/>
      <c r="Y72" s="31"/>
      <c r="Z72" s="31"/>
      <c r="AA72" s="31"/>
      <c r="AB72" s="31"/>
      <c r="AC72" s="31"/>
      <c r="AD72" s="27"/>
      <c r="AE72" s="27"/>
      <c r="AF72" s="27"/>
      <c r="AG72" s="27"/>
      <c r="AH72" s="31"/>
      <c r="AI72" s="31"/>
      <c r="AJ72" s="415"/>
      <c r="AK72" s="32"/>
      <c r="AL72" s="14"/>
      <c r="AM72" s="14"/>
      <c r="AN72" s="14"/>
      <c r="AO72" s="14"/>
      <c r="AP72" s="14"/>
      <c r="AQ72" s="14"/>
      <c r="AR72" s="14"/>
      <c r="AS72" s="14"/>
      <c r="AT72" s="14"/>
      <c r="AU72" s="14"/>
    </row>
    <row r="73" spans="1:47" s="29" customFormat="1" ht="9">
      <c r="A73" s="253"/>
      <c r="B73" s="31"/>
      <c r="C73" s="151"/>
      <c r="D73" s="31"/>
      <c r="E73" s="31"/>
      <c r="F73" s="31"/>
      <c r="G73" s="31"/>
      <c r="H73" s="31"/>
      <c r="I73" s="31"/>
      <c r="J73" s="31"/>
      <c r="K73" s="31"/>
      <c r="L73" s="148" t="s">
        <v>556</v>
      </c>
      <c r="M73" s="31"/>
      <c r="N73" s="370"/>
      <c r="O73" s="360"/>
      <c r="P73" s="31"/>
      <c r="Q73" s="370"/>
      <c r="R73" s="31"/>
      <c r="S73" s="31"/>
      <c r="T73" s="370"/>
      <c r="U73" s="31"/>
      <c r="V73" s="31"/>
      <c r="W73" s="31"/>
      <c r="X73" s="31"/>
      <c r="Y73" s="31"/>
      <c r="Z73" s="31"/>
      <c r="AA73" s="31"/>
      <c r="AB73" s="31"/>
      <c r="AC73" s="31"/>
      <c r="AD73" s="27"/>
      <c r="AE73" s="27"/>
      <c r="AF73" s="27"/>
      <c r="AG73" s="27"/>
      <c r="AH73" s="31"/>
      <c r="AI73" s="31"/>
      <c r="AJ73" s="415"/>
      <c r="AK73" s="32"/>
      <c r="AL73" s="14"/>
      <c r="AM73" s="14"/>
      <c r="AN73" s="14"/>
      <c r="AO73" s="14"/>
      <c r="AP73" s="14"/>
      <c r="AQ73" s="14"/>
      <c r="AR73" s="14"/>
      <c r="AS73" s="14"/>
      <c r="AT73" s="14"/>
      <c r="AU73" s="14"/>
    </row>
    <row r="74" spans="1:47" s="29" customFormat="1" ht="9">
      <c r="A74" s="253"/>
      <c r="B74" s="31"/>
      <c r="C74" s="151"/>
      <c r="D74" s="31"/>
      <c r="E74" s="31"/>
      <c r="F74" s="31"/>
      <c r="G74" s="31"/>
      <c r="H74" s="31"/>
      <c r="I74" s="31"/>
      <c r="J74" s="31"/>
      <c r="K74" s="31"/>
      <c r="L74" s="148" t="s">
        <v>557</v>
      </c>
      <c r="M74" s="31"/>
      <c r="N74" s="370"/>
      <c r="O74" s="360"/>
      <c r="P74" s="31"/>
      <c r="Q74" s="370"/>
      <c r="R74" s="31"/>
      <c r="S74" s="31"/>
      <c r="T74" s="370"/>
      <c r="U74" s="31"/>
      <c r="V74" s="31"/>
      <c r="W74" s="31"/>
      <c r="X74" s="31"/>
      <c r="Y74" s="31"/>
      <c r="Z74" s="31"/>
      <c r="AA74" s="31"/>
      <c r="AB74" s="31"/>
      <c r="AC74" s="31"/>
      <c r="AD74" s="27"/>
      <c r="AE74" s="27"/>
      <c r="AF74" s="27"/>
      <c r="AG74" s="27"/>
      <c r="AH74" s="31"/>
      <c r="AI74" s="31"/>
      <c r="AJ74" s="415"/>
      <c r="AK74" s="32"/>
      <c r="AL74" s="14"/>
      <c r="AM74" s="14"/>
      <c r="AN74" s="14"/>
      <c r="AO74" s="14"/>
      <c r="AP74" s="14"/>
      <c r="AQ74" s="14"/>
      <c r="AR74" s="14"/>
      <c r="AS74" s="14"/>
      <c r="AT74" s="14"/>
      <c r="AU74" s="14"/>
    </row>
    <row r="75" spans="1:47" s="29" customFormat="1" ht="9">
      <c r="A75" s="253"/>
      <c r="B75" s="31"/>
      <c r="C75" s="151"/>
      <c r="D75" s="31"/>
      <c r="E75" s="31"/>
      <c r="F75" s="31"/>
      <c r="G75" s="31"/>
      <c r="H75" s="31"/>
      <c r="I75" s="31"/>
      <c r="J75" s="31"/>
      <c r="K75" s="31"/>
      <c r="L75" s="148" t="s">
        <v>558</v>
      </c>
      <c r="M75" s="31"/>
      <c r="N75" s="370"/>
      <c r="O75" s="360"/>
      <c r="P75" s="31"/>
      <c r="Q75" s="370"/>
      <c r="R75" s="31"/>
      <c r="S75" s="31"/>
      <c r="T75" s="370"/>
      <c r="U75" s="31"/>
      <c r="V75" s="31"/>
      <c r="W75" s="31"/>
      <c r="X75" s="31"/>
      <c r="Y75" s="31"/>
      <c r="Z75" s="31"/>
      <c r="AA75" s="31"/>
      <c r="AB75" s="31"/>
      <c r="AC75" s="31"/>
      <c r="AD75" s="27"/>
      <c r="AE75" s="27"/>
      <c r="AF75" s="27"/>
      <c r="AG75" s="27"/>
      <c r="AH75" s="31"/>
      <c r="AI75" s="31"/>
      <c r="AJ75" s="415"/>
      <c r="AK75" s="32"/>
      <c r="AL75" s="14"/>
      <c r="AM75" s="14"/>
      <c r="AN75" s="14"/>
      <c r="AO75" s="14"/>
      <c r="AP75" s="14"/>
      <c r="AQ75" s="14"/>
      <c r="AR75" s="14"/>
      <c r="AS75" s="14"/>
      <c r="AT75" s="14"/>
      <c r="AU75" s="14"/>
    </row>
    <row r="76" spans="1:47" s="29" customFormat="1" ht="9">
      <c r="A76" s="253"/>
      <c r="B76" s="31"/>
      <c r="C76" s="151"/>
      <c r="D76" s="31"/>
      <c r="E76" s="31"/>
      <c r="F76" s="31"/>
      <c r="G76" s="31"/>
      <c r="H76" s="31"/>
      <c r="I76" s="31"/>
      <c r="J76" s="31"/>
      <c r="K76" s="31"/>
      <c r="L76" s="148" t="s">
        <v>559</v>
      </c>
      <c r="M76" s="31"/>
      <c r="N76" s="370"/>
      <c r="O76" s="360"/>
      <c r="P76" s="31"/>
      <c r="Q76" s="370"/>
      <c r="R76" s="31"/>
      <c r="S76" s="31"/>
      <c r="T76" s="370"/>
      <c r="U76" s="31"/>
      <c r="V76" s="31"/>
      <c r="W76" s="31"/>
      <c r="X76" s="31"/>
      <c r="Y76" s="31"/>
      <c r="Z76" s="31"/>
      <c r="AA76" s="31"/>
      <c r="AB76" s="31"/>
      <c r="AC76" s="31"/>
      <c r="AD76" s="27"/>
      <c r="AE76" s="27"/>
      <c r="AF76" s="27"/>
      <c r="AG76" s="27"/>
      <c r="AH76" s="31"/>
      <c r="AI76" s="31"/>
      <c r="AJ76" s="415"/>
      <c r="AK76" s="32"/>
      <c r="AL76" s="14"/>
      <c r="AM76" s="14"/>
      <c r="AN76" s="14"/>
      <c r="AO76" s="14"/>
      <c r="AP76" s="14"/>
      <c r="AQ76" s="14"/>
      <c r="AR76" s="14"/>
      <c r="AS76" s="14"/>
      <c r="AT76" s="14"/>
      <c r="AU76" s="14"/>
    </row>
    <row r="77" spans="1:47" s="29" customFormat="1" ht="9">
      <c r="A77" s="253"/>
      <c r="B77" s="31"/>
      <c r="C77" s="151"/>
      <c r="D77" s="31"/>
      <c r="E77" s="31"/>
      <c r="F77" s="31"/>
      <c r="G77" s="31"/>
      <c r="H77" s="31"/>
      <c r="I77" s="31"/>
      <c r="J77" s="31"/>
      <c r="K77" s="31"/>
      <c r="L77" s="148" t="s">
        <v>560</v>
      </c>
      <c r="M77" s="31"/>
      <c r="N77" s="370"/>
      <c r="O77" s="360"/>
      <c r="P77" s="31"/>
      <c r="Q77" s="370"/>
      <c r="R77" s="31"/>
      <c r="S77" s="31"/>
      <c r="T77" s="370"/>
      <c r="U77" s="31"/>
      <c r="V77" s="31"/>
      <c r="W77" s="31"/>
      <c r="X77" s="31"/>
      <c r="Y77" s="31"/>
      <c r="Z77" s="31"/>
      <c r="AA77" s="31"/>
      <c r="AB77" s="31"/>
      <c r="AC77" s="31"/>
      <c r="AD77" s="31"/>
      <c r="AE77" s="31"/>
      <c r="AF77" s="31"/>
      <c r="AG77" s="31"/>
      <c r="AH77" s="31"/>
      <c r="AI77" s="31"/>
      <c r="AJ77" s="415"/>
      <c r="AK77" s="32"/>
      <c r="AL77" s="14"/>
      <c r="AM77" s="14"/>
      <c r="AN77" s="14"/>
      <c r="AO77" s="14"/>
      <c r="AP77" s="14"/>
      <c r="AQ77" s="14"/>
      <c r="AR77" s="14"/>
      <c r="AS77" s="14"/>
      <c r="AT77" s="14"/>
      <c r="AU77" s="14"/>
    </row>
    <row r="78" spans="1:47" s="29" customFormat="1" ht="9">
      <c r="A78" s="253"/>
      <c r="B78" s="31"/>
      <c r="C78" s="151"/>
      <c r="D78" s="31"/>
      <c r="E78" s="31"/>
      <c r="F78" s="31"/>
      <c r="G78" s="31"/>
      <c r="H78" s="31"/>
      <c r="I78" s="31"/>
      <c r="J78" s="31"/>
      <c r="K78" s="31"/>
      <c r="L78" s="148" t="s">
        <v>561</v>
      </c>
      <c r="M78" s="31"/>
      <c r="N78" s="370"/>
      <c r="O78" s="360"/>
      <c r="P78" s="31"/>
      <c r="Q78" s="370"/>
      <c r="R78" s="31"/>
      <c r="S78" s="31"/>
      <c r="T78" s="370"/>
      <c r="U78" s="31"/>
      <c r="V78" s="31"/>
      <c r="W78" s="31"/>
      <c r="X78" s="31"/>
      <c r="Y78" s="31"/>
      <c r="Z78" s="31"/>
      <c r="AA78" s="31"/>
      <c r="AB78" s="31"/>
      <c r="AC78" s="31"/>
      <c r="AD78" s="31"/>
      <c r="AE78" s="31"/>
      <c r="AF78" s="31"/>
      <c r="AG78" s="31"/>
      <c r="AH78" s="31"/>
      <c r="AI78" s="31"/>
      <c r="AJ78" s="415"/>
      <c r="AK78" s="32"/>
      <c r="AL78" s="14"/>
      <c r="AM78" s="14"/>
      <c r="AN78" s="14"/>
      <c r="AO78" s="14"/>
      <c r="AP78" s="14"/>
      <c r="AQ78" s="14"/>
      <c r="AR78" s="14"/>
      <c r="AS78" s="14"/>
      <c r="AT78" s="14"/>
      <c r="AU78" s="14"/>
    </row>
    <row r="79" spans="1:47" s="29" customFormat="1" ht="9">
      <c r="A79" s="253"/>
      <c r="B79" s="31"/>
      <c r="C79" s="151"/>
      <c r="D79" s="31"/>
      <c r="E79" s="31"/>
      <c r="F79" s="31"/>
      <c r="G79" s="31"/>
      <c r="H79" s="31"/>
      <c r="I79" s="31"/>
      <c r="J79" s="31"/>
      <c r="K79" s="31"/>
      <c r="L79" s="148" t="s">
        <v>562</v>
      </c>
      <c r="M79" s="31"/>
      <c r="N79" s="370"/>
      <c r="O79" s="360"/>
      <c r="P79" s="31"/>
      <c r="Q79" s="370"/>
      <c r="R79" s="31"/>
      <c r="S79" s="31"/>
      <c r="T79" s="370"/>
      <c r="U79" s="31"/>
      <c r="V79" s="31"/>
      <c r="W79" s="31"/>
      <c r="X79" s="31"/>
      <c r="Y79" s="31"/>
      <c r="Z79" s="31"/>
      <c r="AA79" s="31"/>
      <c r="AB79" s="31"/>
      <c r="AC79" s="31"/>
      <c r="AD79" s="31"/>
      <c r="AE79" s="31"/>
      <c r="AF79" s="31"/>
      <c r="AG79" s="31"/>
      <c r="AH79" s="31"/>
      <c r="AI79" s="31"/>
      <c r="AJ79" s="415"/>
      <c r="AK79" s="32"/>
      <c r="AL79" s="14"/>
      <c r="AM79" s="14"/>
      <c r="AN79" s="14"/>
      <c r="AO79" s="14"/>
      <c r="AP79" s="14"/>
      <c r="AQ79" s="14"/>
      <c r="AR79" s="14"/>
      <c r="AS79" s="14"/>
      <c r="AT79" s="14"/>
      <c r="AU79" s="14"/>
    </row>
    <row r="80" spans="1:47" s="29" customFormat="1" ht="9">
      <c r="A80" s="253"/>
      <c r="B80" s="31"/>
      <c r="C80" s="151"/>
      <c r="D80" s="31"/>
      <c r="E80" s="31"/>
      <c r="F80" s="31"/>
      <c r="G80" s="31"/>
      <c r="H80" s="31"/>
      <c r="I80" s="31"/>
      <c r="J80" s="31"/>
      <c r="K80" s="31"/>
      <c r="L80" s="148" t="s">
        <v>563</v>
      </c>
      <c r="M80" s="31"/>
      <c r="N80" s="370"/>
      <c r="O80" s="360"/>
      <c r="P80" s="31"/>
      <c r="Q80" s="370"/>
      <c r="R80" s="31"/>
      <c r="S80" s="31"/>
      <c r="T80" s="370"/>
      <c r="U80" s="31"/>
      <c r="V80" s="31"/>
      <c r="W80" s="31"/>
      <c r="X80" s="31"/>
      <c r="Y80" s="31"/>
      <c r="Z80" s="31"/>
      <c r="AA80" s="31"/>
      <c r="AB80" s="31"/>
      <c r="AC80" s="31"/>
      <c r="AD80" s="31"/>
      <c r="AE80" s="31"/>
      <c r="AF80" s="31"/>
      <c r="AG80" s="31"/>
      <c r="AH80" s="31"/>
      <c r="AI80" s="31"/>
      <c r="AJ80" s="415"/>
      <c r="AK80" s="32"/>
      <c r="AL80" s="14"/>
      <c r="AM80" s="14"/>
      <c r="AN80" s="14"/>
      <c r="AO80" s="14"/>
      <c r="AP80" s="14"/>
      <c r="AQ80" s="14"/>
      <c r="AR80" s="14"/>
      <c r="AS80" s="14"/>
      <c r="AT80" s="14"/>
      <c r="AU80" s="14"/>
    </row>
    <row r="81" spans="1:47" s="29" customFormat="1" ht="9">
      <c r="A81" s="253"/>
      <c r="B81" s="31"/>
      <c r="C81" s="151"/>
      <c r="D81" s="31"/>
      <c r="E81" s="31"/>
      <c r="F81" s="31"/>
      <c r="G81" s="31"/>
      <c r="H81" s="31"/>
      <c r="I81" s="31"/>
      <c r="J81" s="31"/>
      <c r="K81" s="31"/>
      <c r="L81" s="148" t="s">
        <v>564</v>
      </c>
      <c r="M81" s="31"/>
      <c r="N81" s="370"/>
      <c r="O81" s="360"/>
      <c r="P81" s="31"/>
      <c r="Q81" s="370"/>
      <c r="R81" s="31"/>
      <c r="S81" s="31"/>
      <c r="T81" s="370"/>
      <c r="U81" s="31"/>
      <c r="V81" s="31"/>
      <c r="W81" s="31"/>
      <c r="X81" s="31"/>
      <c r="Y81" s="31"/>
      <c r="Z81" s="31"/>
      <c r="AA81" s="31"/>
      <c r="AB81" s="31"/>
      <c r="AC81" s="31"/>
      <c r="AD81" s="31"/>
      <c r="AE81" s="31"/>
      <c r="AF81" s="31"/>
      <c r="AG81" s="31"/>
      <c r="AH81" s="31"/>
      <c r="AI81" s="31"/>
      <c r="AJ81" s="415"/>
      <c r="AK81" s="32"/>
      <c r="AL81" s="14"/>
      <c r="AM81" s="14"/>
      <c r="AN81" s="14"/>
      <c r="AO81" s="14"/>
      <c r="AP81" s="14"/>
      <c r="AQ81" s="14"/>
      <c r="AR81" s="14"/>
      <c r="AS81" s="14"/>
      <c r="AT81" s="14"/>
      <c r="AU81" s="14"/>
    </row>
    <row r="82" spans="1:47" s="29" customFormat="1" ht="9">
      <c r="A82" s="253"/>
      <c r="B82" s="31"/>
      <c r="C82" s="151"/>
      <c r="D82" s="31"/>
      <c r="E82" s="31"/>
      <c r="F82" s="31"/>
      <c r="G82" s="31"/>
      <c r="H82" s="31"/>
      <c r="I82" s="31"/>
      <c r="J82" s="31"/>
      <c r="K82" s="31"/>
      <c r="L82" s="148" t="s">
        <v>565</v>
      </c>
      <c r="M82" s="31"/>
      <c r="N82" s="370"/>
      <c r="O82" s="360"/>
      <c r="P82" s="31"/>
      <c r="Q82" s="370"/>
      <c r="R82" s="31"/>
      <c r="S82" s="31"/>
      <c r="T82" s="370"/>
      <c r="U82" s="31"/>
      <c r="V82" s="31"/>
      <c r="W82" s="31"/>
      <c r="X82" s="31"/>
      <c r="Y82" s="31"/>
      <c r="Z82" s="31"/>
      <c r="AA82" s="31"/>
      <c r="AB82" s="31"/>
      <c r="AC82" s="31"/>
      <c r="AD82" s="31"/>
      <c r="AE82" s="31"/>
      <c r="AF82" s="31"/>
      <c r="AG82" s="31"/>
      <c r="AH82" s="31"/>
      <c r="AI82" s="31"/>
      <c r="AJ82" s="415"/>
      <c r="AK82" s="32"/>
      <c r="AL82" s="14"/>
      <c r="AM82" s="14"/>
      <c r="AN82" s="14"/>
      <c r="AO82" s="14"/>
      <c r="AP82" s="14"/>
      <c r="AQ82" s="14"/>
      <c r="AR82" s="14"/>
      <c r="AS82" s="14"/>
      <c r="AT82" s="14"/>
      <c r="AU82" s="14"/>
    </row>
    <row r="83" spans="1:47" s="29" customFormat="1" ht="9">
      <c r="A83" s="253"/>
      <c r="B83" s="31"/>
      <c r="C83" s="151"/>
      <c r="D83" s="31"/>
      <c r="E83" s="31"/>
      <c r="F83" s="31"/>
      <c r="G83" s="31"/>
      <c r="H83" s="31"/>
      <c r="I83" s="31"/>
      <c r="J83" s="31"/>
      <c r="K83" s="31"/>
      <c r="L83" s="148" t="s">
        <v>566</v>
      </c>
      <c r="M83" s="31"/>
      <c r="N83" s="370"/>
      <c r="O83" s="360"/>
      <c r="P83" s="31"/>
      <c r="Q83" s="370"/>
      <c r="R83" s="31"/>
      <c r="S83" s="31"/>
      <c r="T83" s="370"/>
      <c r="U83" s="31"/>
      <c r="V83" s="31"/>
      <c r="W83" s="31"/>
      <c r="X83" s="31"/>
      <c r="Y83" s="31"/>
      <c r="Z83" s="31"/>
      <c r="AA83" s="31"/>
      <c r="AB83" s="31"/>
      <c r="AC83" s="31"/>
      <c r="AD83" s="31"/>
      <c r="AE83" s="31"/>
      <c r="AF83" s="31"/>
      <c r="AG83" s="31"/>
      <c r="AH83" s="31"/>
      <c r="AI83" s="31"/>
      <c r="AJ83" s="415"/>
      <c r="AK83" s="32"/>
      <c r="AL83" s="14"/>
      <c r="AM83" s="14"/>
      <c r="AN83" s="14"/>
      <c r="AO83" s="14"/>
      <c r="AP83" s="14"/>
      <c r="AQ83" s="14"/>
      <c r="AR83" s="14"/>
      <c r="AS83" s="14"/>
      <c r="AT83" s="14"/>
      <c r="AU83" s="14"/>
    </row>
    <row r="84" spans="1:47" s="29" customFormat="1" ht="9">
      <c r="A84" s="253"/>
      <c r="B84" s="31"/>
      <c r="C84" s="151"/>
      <c r="D84" s="31"/>
      <c r="E84" s="31"/>
      <c r="F84" s="31"/>
      <c r="G84" s="31"/>
      <c r="H84" s="31"/>
      <c r="I84" s="31"/>
      <c r="J84" s="31"/>
      <c r="K84" s="31"/>
      <c r="L84" s="148" t="s">
        <v>567</v>
      </c>
      <c r="M84" s="31"/>
      <c r="N84" s="370"/>
      <c r="O84" s="360"/>
      <c r="P84" s="31"/>
      <c r="Q84" s="370"/>
      <c r="R84" s="31"/>
      <c r="S84" s="31"/>
      <c r="T84" s="370"/>
      <c r="U84" s="31"/>
      <c r="V84" s="31"/>
      <c r="W84" s="31"/>
      <c r="X84" s="31"/>
      <c r="Y84" s="31"/>
      <c r="Z84" s="31"/>
      <c r="AA84" s="31"/>
      <c r="AB84" s="31"/>
      <c r="AC84" s="31"/>
      <c r="AD84" s="31"/>
      <c r="AE84" s="31"/>
      <c r="AF84" s="31"/>
      <c r="AG84" s="31"/>
      <c r="AH84" s="31"/>
      <c r="AI84" s="31"/>
      <c r="AJ84" s="415"/>
      <c r="AK84" s="32"/>
      <c r="AL84" s="14"/>
      <c r="AM84" s="14"/>
      <c r="AN84" s="14"/>
      <c r="AO84" s="14"/>
      <c r="AP84" s="14"/>
      <c r="AQ84" s="14"/>
      <c r="AR84" s="14"/>
      <c r="AS84" s="14"/>
      <c r="AT84" s="14"/>
      <c r="AU84" s="14"/>
    </row>
    <row r="85" spans="1:47" s="29" customFormat="1" ht="9">
      <c r="A85" s="253"/>
      <c r="B85" s="31"/>
      <c r="C85" s="151"/>
      <c r="D85" s="31"/>
      <c r="E85" s="31"/>
      <c r="F85" s="31"/>
      <c r="G85" s="31"/>
      <c r="H85" s="31"/>
      <c r="I85" s="31"/>
      <c r="J85" s="31"/>
      <c r="K85" s="31"/>
      <c r="L85" s="148" t="s">
        <v>568</v>
      </c>
      <c r="M85" s="31"/>
      <c r="N85" s="370"/>
      <c r="O85" s="360"/>
      <c r="P85" s="31"/>
      <c r="Q85" s="370"/>
      <c r="R85" s="31"/>
      <c r="S85" s="31"/>
      <c r="T85" s="370"/>
      <c r="U85" s="31"/>
      <c r="V85" s="31"/>
      <c r="W85" s="31"/>
      <c r="X85" s="31"/>
      <c r="Y85" s="31"/>
      <c r="Z85" s="31"/>
      <c r="AA85" s="31"/>
      <c r="AB85" s="31"/>
      <c r="AC85" s="31"/>
      <c r="AD85" s="31"/>
      <c r="AE85" s="31"/>
      <c r="AF85" s="31"/>
      <c r="AG85" s="31"/>
      <c r="AH85" s="31"/>
      <c r="AI85" s="31"/>
      <c r="AJ85" s="415"/>
      <c r="AK85" s="32"/>
      <c r="AL85" s="14"/>
      <c r="AM85" s="14"/>
      <c r="AN85" s="14"/>
      <c r="AO85" s="14"/>
      <c r="AP85" s="14"/>
      <c r="AQ85" s="14"/>
      <c r="AR85" s="14"/>
      <c r="AS85" s="14"/>
      <c r="AT85" s="14"/>
      <c r="AU85" s="14"/>
    </row>
    <row r="86" spans="1:47" s="29" customFormat="1" ht="9">
      <c r="A86" s="253"/>
      <c r="B86" s="31"/>
      <c r="C86" s="151"/>
      <c r="D86" s="31"/>
      <c r="E86" s="31"/>
      <c r="F86" s="31"/>
      <c r="G86" s="31"/>
      <c r="H86" s="31"/>
      <c r="I86" s="31"/>
      <c r="J86" s="31"/>
      <c r="K86" s="31"/>
      <c r="L86" s="148" t="s">
        <v>569</v>
      </c>
      <c r="M86" s="31"/>
      <c r="N86" s="370"/>
      <c r="O86" s="360"/>
      <c r="P86" s="31"/>
      <c r="Q86" s="370"/>
      <c r="R86" s="31"/>
      <c r="S86" s="31"/>
      <c r="T86" s="370"/>
      <c r="U86" s="31"/>
      <c r="V86" s="31"/>
      <c r="W86" s="31"/>
      <c r="X86" s="31"/>
      <c r="Y86" s="31"/>
      <c r="Z86" s="31"/>
      <c r="AA86" s="31"/>
      <c r="AB86" s="31"/>
      <c r="AC86" s="31"/>
      <c r="AD86" s="31"/>
      <c r="AE86" s="31"/>
      <c r="AF86" s="31"/>
      <c r="AG86" s="31"/>
      <c r="AH86" s="31"/>
      <c r="AI86" s="31"/>
      <c r="AJ86" s="415"/>
      <c r="AK86" s="32"/>
      <c r="AL86" s="14"/>
      <c r="AM86" s="14"/>
      <c r="AN86" s="14"/>
      <c r="AO86" s="14"/>
      <c r="AP86" s="14"/>
      <c r="AQ86" s="14"/>
      <c r="AR86" s="14"/>
      <c r="AS86" s="14"/>
      <c r="AT86" s="14"/>
      <c r="AU86" s="14"/>
    </row>
    <row r="87" spans="1:47" s="29" customFormat="1" ht="9">
      <c r="A87" s="253"/>
      <c r="B87" s="31"/>
      <c r="C87" s="151"/>
      <c r="D87" s="31"/>
      <c r="E87" s="31"/>
      <c r="F87" s="31"/>
      <c r="G87" s="31"/>
      <c r="H87" s="31"/>
      <c r="I87" s="31"/>
      <c r="J87" s="31"/>
      <c r="K87" s="31"/>
      <c r="L87" s="148" t="s">
        <v>570</v>
      </c>
      <c r="M87" s="31"/>
      <c r="N87" s="370"/>
      <c r="O87" s="360"/>
      <c r="P87" s="31"/>
      <c r="Q87" s="370"/>
      <c r="R87" s="31"/>
      <c r="S87" s="31"/>
      <c r="T87" s="370"/>
      <c r="U87" s="31"/>
      <c r="V87" s="31"/>
      <c r="W87" s="31"/>
      <c r="X87" s="31"/>
      <c r="Y87" s="31"/>
      <c r="Z87" s="31"/>
      <c r="AA87" s="31"/>
      <c r="AB87" s="31"/>
      <c r="AC87" s="31"/>
      <c r="AD87" s="31"/>
      <c r="AE87" s="31"/>
      <c r="AF87" s="31"/>
      <c r="AG87" s="31"/>
      <c r="AH87" s="31"/>
      <c r="AI87" s="31"/>
      <c r="AJ87" s="415"/>
      <c r="AK87" s="32"/>
      <c r="AL87" s="427"/>
      <c r="AM87" s="427"/>
      <c r="AN87" s="427"/>
      <c r="AO87" s="427"/>
      <c r="AP87" s="427"/>
      <c r="AQ87" s="427"/>
      <c r="AR87" s="427"/>
      <c r="AS87" s="427"/>
      <c r="AT87" s="427"/>
      <c r="AU87" s="427"/>
    </row>
    <row r="88" spans="1:47" s="29" customFormat="1" ht="9">
      <c r="A88" s="253"/>
      <c r="B88" s="31"/>
      <c r="C88" s="151"/>
      <c r="D88" s="31"/>
      <c r="E88" s="31"/>
      <c r="F88" s="31"/>
      <c r="G88" s="31"/>
      <c r="H88" s="31"/>
      <c r="I88" s="31"/>
      <c r="J88" s="31"/>
      <c r="K88" s="31"/>
      <c r="L88" s="148" t="s">
        <v>571</v>
      </c>
      <c r="M88" s="31"/>
      <c r="N88" s="370"/>
      <c r="O88" s="360"/>
      <c r="P88" s="31"/>
      <c r="Q88" s="370"/>
      <c r="R88" s="31"/>
      <c r="S88" s="31"/>
      <c r="T88" s="370"/>
      <c r="U88" s="31"/>
      <c r="V88" s="31"/>
      <c r="W88" s="31"/>
      <c r="X88" s="31"/>
      <c r="Y88" s="31"/>
      <c r="Z88" s="31"/>
      <c r="AA88" s="31"/>
      <c r="AB88" s="31"/>
      <c r="AC88" s="31"/>
      <c r="AD88" s="31"/>
      <c r="AE88" s="31"/>
      <c r="AF88" s="31"/>
      <c r="AG88" s="31"/>
      <c r="AH88" s="31"/>
      <c r="AI88" s="31"/>
      <c r="AJ88" s="415"/>
      <c r="AK88" s="32"/>
      <c r="AL88" s="428"/>
      <c r="AM88" s="428"/>
      <c r="AN88" s="428"/>
      <c r="AO88" s="428"/>
      <c r="AP88" s="428"/>
      <c r="AQ88" s="428"/>
      <c r="AR88" s="428"/>
      <c r="AS88" s="428"/>
      <c r="AT88" s="428"/>
      <c r="AU88" s="428"/>
    </row>
    <row r="89" spans="1:47" s="29" customFormat="1" ht="9">
      <c r="A89" s="253"/>
      <c r="B89" s="31"/>
      <c r="C89" s="151"/>
      <c r="D89" s="31"/>
      <c r="E89" s="31"/>
      <c r="F89" s="31"/>
      <c r="G89" s="31"/>
      <c r="H89" s="31"/>
      <c r="I89" s="31"/>
      <c r="J89" s="31"/>
      <c r="K89" s="31"/>
      <c r="L89" s="148" t="s">
        <v>572</v>
      </c>
      <c r="M89" s="31"/>
      <c r="N89" s="370"/>
      <c r="O89" s="360"/>
      <c r="P89" s="31"/>
      <c r="Q89" s="370"/>
      <c r="R89" s="31"/>
      <c r="S89" s="31"/>
      <c r="T89" s="370"/>
      <c r="U89" s="31"/>
      <c r="V89" s="31"/>
      <c r="W89" s="31"/>
      <c r="X89" s="31"/>
      <c r="Y89" s="31"/>
      <c r="Z89" s="31"/>
      <c r="AA89" s="31"/>
      <c r="AB89" s="31"/>
      <c r="AC89" s="31"/>
      <c r="AD89" s="31"/>
      <c r="AE89" s="31"/>
      <c r="AF89" s="31"/>
      <c r="AG89" s="31"/>
      <c r="AH89" s="31"/>
      <c r="AI89" s="31"/>
      <c r="AJ89" s="415"/>
      <c r="AK89" s="32"/>
      <c r="AL89" s="14"/>
      <c r="AM89" s="14"/>
      <c r="AN89" s="14"/>
      <c r="AO89" s="14"/>
      <c r="AP89" s="14"/>
      <c r="AQ89" s="14"/>
      <c r="AR89" s="14"/>
      <c r="AS89" s="14"/>
      <c r="AT89" s="14"/>
      <c r="AU89" s="14"/>
    </row>
    <row r="90" spans="1:47" s="29" customFormat="1" ht="9">
      <c r="A90" s="253"/>
      <c r="B90" s="31"/>
      <c r="C90" s="151"/>
      <c r="D90" s="31"/>
      <c r="E90" s="31"/>
      <c r="F90" s="31"/>
      <c r="G90" s="31"/>
      <c r="H90" s="31"/>
      <c r="I90" s="31"/>
      <c r="J90" s="31"/>
      <c r="K90" s="31"/>
      <c r="L90" s="148" t="s">
        <v>573</v>
      </c>
      <c r="M90" s="31"/>
      <c r="N90" s="370"/>
      <c r="O90" s="360"/>
      <c r="P90" s="31"/>
      <c r="Q90" s="370"/>
      <c r="R90" s="31"/>
      <c r="S90" s="31"/>
      <c r="T90" s="370"/>
      <c r="U90" s="31"/>
      <c r="V90" s="31"/>
      <c r="W90" s="31"/>
      <c r="X90" s="31"/>
      <c r="Y90" s="31"/>
      <c r="Z90" s="31"/>
      <c r="AA90" s="31"/>
      <c r="AB90" s="31"/>
      <c r="AC90" s="31"/>
      <c r="AD90" s="31"/>
      <c r="AE90" s="31"/>
      <c r="AF90" s="31"/>
      <c r="AG90" s="31"/>
      <c r="AH90" s="31"/>
      <c r="AI90" s="31"/>
      <c r="AJ90" s="415"/>
      <c r="AK90" s="32"/>
      <c r="AL90" s="429"/>
      <c r="AM90" s="429"/>
      <c r="AN90" s="429"/>
      <c r="AO90" s="429"/>
      <c r="AP90" s="429"/>
      <c r="AQ90" s="429"/>
      <c r="AR90" s="429"/>
      <c r="AS90" s="429"/>
      <c r="AT90" s="429"/>
      <c r="AU90" s="429"/>
    </row>
    <row r="91" spans="1:47" s="29" customFormat="1" ht="9">
      <c r="A91" s="253"/>
      <c r="B91" s="31"/>
      <c r="C91" s="151"/>
      <c r="D91" s="31"/>
      <c r="E91" s="31"/>
      <c r="F91" s="31"/>
      <c r="G91" s="31"/>
      <c r="H91" s="31"/>
      <c r="I91" s="31"/>
      <c r="J91" s="31"/>
      <c r="K91" s="31"/>
      <c r="L91" s="148" t="s">
        <v>574</v>
      </c>
      <c r="M91" s="31"/>
      <c r="N91" s="370"/>
      <c r="O91" s="360"/>
      <c r="P91" s="31"/>
      <c r="Q91" s="370"/>
      <c r="R91" s="31"/>
      <c r="S91" s="31"/>
      <c r="T91" s="370"/>
      <c r="U91" s="31"/>
      <c r="V91" s="31"/>
      <c r="W91" s="31"/>
      <c r="X91" s="31"/>
      <c r="Y91" s="31"/>
      <c r="Z91" s="31"/>
      <c r="AA91" s="31"/>
      <c r="AB91" s="31"/>
      <c r="AC91" s="31"/>
      <c r="AD91" s="31"/>
      <c r="AE91" s="31"/>
      <c r="AF91" s="31"/>
      <c r="AG91" s="31"/>
      <c r="AH91" s="31"/>
      <c r="AI91" s="31"/>
      <c r="AJ91" s="415"/>
      <c r="AK91" s="32"/>
      <c r="AL91" s="14"/>
      <c r="AM91" s="14"/>
      <c r="AN91" s="14"/>
      <c r="AO91" s="14"/>
      <c r="AP91" s="14"/>
      <c r="AQ91" s="14"/>
      <c r="AR91" s="14"/>
      <c r="AS91" s="14"/>
      <c r="AT91" s="14"/>
      <c r="AU91" s="14"/>
    </row>
    <row r="92" spans="1:47" s="29" customFormat="1" ht="9.75" thickBot="1">
      <c r="A92" s="393"/>
      <c r="B92" s="33"/>
      <c r="C92" s="399"/>
      <c r="D92" s="33"/>
      <c r="E92" s="33"/>
      <c r="F92" s="33"/>
      <c r="G92" s="33"/>
      <c r="H92" s="33"/>
      <c r="I92" s="33"/>
      <c r="J92" s="33"/>
      <c r="K92" s="33"/>
      <c r="L92" s="153" t="s">
        <v>575</v>
      </c>
      <c r="M92" s="33"/>
      <c r="N92" s="394"/>
      <c r="O92" s="394"/>
      <c r="P92" s="33"/>
      <c r="Q92" s="395"/>
      <c r="R92" s="33"/>
      <c r="S92" s="33"/>
      <c r="T92" s="395"/>
      <c r="U92" s="33"/>
      <c r="V92" s="33"/>
      <c r="W92" s="33"/>
      <c r="X92" s="33"/>
      <c r="Y92" s="33"/>
      <c r="Z92" s="33"/>
      <c r="AA92" s="33"/>
      <c r="AB92" s="33"/>
      <c r="AC92" s="33"/>
      <c r="AD92" s="33"/>
      <c r="AE92" s="33"/>
      <c r="AF92" s="33"/>
      <c r="AG92" s="33"/>
      <c r="AH92" s="33"/>
      <c r="AI92" s="33"/>
      <c r="AJ92" s="430"/>
      <c r="AK92" s="35"/>
      <c r="AL92" s="14"/>
      <c r="AM92" s="14"/>
      <c r="AN92" s="14"/>
      <c r="AO92" s="14"/>
      <c r="AP92" s="14"/>
      <c r="AQ92" s="14"/>
      <c r="AR92" s="14"/>
      <c r="AS92" s="14"/>
      <c r="AT92" s="14"/>
      <c r="AU92" s="14"/>
    </row>
    <row r="93" spans="1:47">
      <c r="AL93" s="14"/>
      <c r="AM93" s="14"/>
      <c r="AN93" s="14"/>
      <c r="AO93" s="14"/>
      <c r="AP93" s="14"/>
      <c r="AQ93" s="14"/>
      <c r="AR93" s="14"/>
      <c r="AS93" s="14"/>
      <c r="AT93" s="14"/>
      <c r="AU93" s="14"/>
    </row>
    <row r="94" spans="1:47">
      <c r="AL94" s="14"/>
      <c r="AM94" s="14"/>
      <c r="AN94" s="14"/>
      <c r="AO94" s="14"/>
      <c r="AP94" s="14"/>
      <c r="AQ94" s="14"/>
      <c r="AR94" s="14"/>
      <c r="AS94" s="14"/>
      <c r="AT94" s="14"/>
      <c r="AU94" s="14"/>
    </row>
    <row r="95" spans="1:47">
      <c r="AL95" s="14"/>
      <c r="AM95" s="14"/>
      <c r="AN95" s="14"/>
      <c r="AO95" s="14"/>
      <c r="AP95" s="14"/>
      <c r="AQ95" s="14"/>
      <c r="AR95" s="14"/>
      <c r="AS95" s="14"/>
      <c r="AT95" s="14"/>
      <c r="AU95" s="14"/>
    </row>
    <row r="96" spans="1:47">
      <c r="AL96" s="14"/>
      <c r="AM96" s="14"/>
      <c r="AN96" s="14"/>
      <c r="AO96" s="14"/>
      <c r="AP96" s="14"/>
      <c r="AQ96" s="14"/>
      <c r="AR96" s="14"/>
      <c r="AS96" s="14"/>
      <c r="AT96" s="14"/>
      <c r="AU96" s="14"/>
    </row>
    <row r="97" spans="38:47">
      <c r="AL97" s="14"/>
      <c r="AM97" s="14"/>
      <c r="AN97" s="14"/>
      <c r="AO97" s="14"/>
      <c r="AP97" s="14"/>
      <c r="AQ97" s="14"/>
      <c r="AR97" s="14"/>
      <c r="AS97" s="14"/>
      <c r="AT97" s="14"/>
      <c r="AU97" s="14"/>
    </row>
    <row r="98" spans="38:47">
      <c r="AL98" s="14"/>
      <c r="AM98" s="14"/>
      <c r="AN98" s="14"/>
      <c r="AO98" s="14"/>
      <c r="AP98" s="14"/>
      <c r="AQ98" s="14"/>
      <c r="AR98" s="14"/>
      <c r="AS98" s="14"/>
      <c r="AT98" s="14"/>
      <c r="AU98" s="14"/>
    </row>
    <row r="99" spans="38:47">
      <c r="AL99" s="14"/>
      <c r="AM99" s="14"/>
      <c r="AN99" s="14"/>
      <c r="AO99" s="14"/>
      <c r="AP99" s="14"/>
      <c r="AQ99" s="14"/>
      <c r="AR99" s="14"/>
      <c r="AS99" s="14"/>
      <c r="AT99" s="14"/>
      <c r="AU99" s="14"/>
    </row>
    <row r="100" spans="38:47">
      <c r="AL100" s="14"/>
      <c r="AM100" s="14"/>
      <c r="AN100" s="14"/>
      <c r="AO100" s="14"/>
      <c r="AP100" s="14"/>
      <c r="AQ100" s="14"/>
      <c r="AR100" s="14"/>
      <c r="AS100" s="14"/>
      <c r="AT100" s="14"/>
      <c r="AU100" s="14"/>
    </row>
  </sheetData>
  <autoFilter ref="A3:AK3" xr:uid="{40BFF8C3-DB3C-4700-A9F6-4437FFAA0AA7}"/>
  <mergeCells count="2">
    <mergeCell ref="Y2:AC2"/>
    <mergeCell ref="AD2:AG2"/>
  </mergeCells>
  <phoneticPr fontId="0" type="noConversion"/>
  <dataValidations count="1">
    <dataValidation type="textLength" operator="lessThanOrEqual" allowBlank="1" showInputMessage="1" showErrorMessage="1" errorTitle="Graphname too long." error="The graphname should be maximum 25 characters long." sqref="AG4:AG34" xr:uid="{655107AC-9294-466B-AA4B-FB2ED6F5223C}">
      <formula1>25</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9A82F021-EB02-4BE6-9638-A63C499D3CAB}">
            <xm:f>Help!B406</xm:f>
            <x14:dxf>
              <fill>
                <patternFill>
                  <bgColor rgb="FFFF0000"/>
                </patternFill>
              </fill>
            </x14:dxf>
          </x14:cfRule>
          <xm:sqref>AG4:AG403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autoPageBreaks="0" fitToPage="1"/>
  </sheetPr>
  <dimension ref="A1:BP100"/>
  <sheetViews>
    <sheetView showGridLines="0" zoomScaleNormal="100" zoomScaleSheetLayoutView="50" workbookViewId="0">
      <pane xSplit="4" ySplit="3" topLeftCell="AV4" activePane="bottomRight" state="frozen"/>
      <selection pane="bottomRight" activeCell="AX9" sqref="AX9:AX13"/>
      <selection pane="bottomLeft" activeCell="A4" sqref="A4"/>
      <selection pane="topRight" activeCell="E1" sqref="E1"/>
    </sheetView>
  </sheetViews>
  <sheetFormatPr defaultColWidth="9.140625" defaultRowHeight="12.75" outlineLevelCol="1"/>
  <cols>
    <col min="1" max="1" width="12.5703125" style="1" bestFit="1" customWidth="1"/>
    <col min="2" max="2" width="9.5703125" style="1" bestFit="1" customWidth="1"/>
    <col min="3" max="3" width="10.5703125" style="3" bestFit="1" customWidth="1"/>
    <col min="4" max="4" width="49.28515625" style="1" bestFit="1" customWidth="1"/>
    <col min="5" max="6" width="15.42578125" style="1" customWidth="1"/>
    <col min="7" max="7" width="20.42578125" style="1" bestFit="1" customWidth="1"/>
    <col min="8" max="9" width="24.140625" style="1" customWidth="1"/>
    <col min="10" max="10" width="39.7109375" style="1" bestFit="1" customWidth="1"/>
    <col min="11" max="11" width="10.28515625" style="1" customWidth="1"/>
    <col min="12" max="12" width="10.42578125" style="1" customWidth="1"/>
    <col min="13" max="13" width="10.85546875" style="1" bestFit="1" customWidth="1"/>
    <col min="14" max="14" width="33.42578125" style="1" bestFit="1" customWidth="1"/>
    <col min="15" max="16" width="12.7109375" style="1" customWidth="1"/>
    <col min="17" max="17" width="13.42578125" style="1" bestFit="1" customWidth="1"/>
    <col min="18" max="18" width="39.7109375" style="1" customWidth="1"/>
    <col min="19" max="26" width="30.7109375" style="1" customWidth="1"/>
    <col min="27" max="27" width="15.42578125" style="1" customWidth="1"/>
    <col min="28" max="28" width="16" style="1" customWidth="1"/>
    <col min="29" max="29" width="15.42578125" style="1" customWidth="1"/>
    <col min="30" max="30" width="16" style="1" customWidth="1"/>
    <col min="31" max="31" width="16.5703125" style="1" customWidth="1"/>
    <col min="32" max="32" width="17.140625" style="1" customWidth="1"/>
    <col min="33" max="33" width="28.42578125" style="1" customWidth="1"/>
    <col min="34" max="34" width="19.42578125" style="1" bestFit="1" customWidth="1"/>
    <col min="35" max="35" width="16.5703125" style="1" bestFit="1" customWidth="1"/>
    <col min="36" max="36" width="17.7109375" style="1" bestFit="1" customWidth="1"/>
    <col min="37" max="37" width="15" style="1" bestFit="1" customWidth="1"/>
    <col min="38" max="38" width="15.7109375" style="1" bestFit="1" customWidth="1"/>
    <col min="39" max="39" width="15" style="1" bestFit="1" customWidth="1"/>
    <col min="40" max="40" width="15.7109375" style="1" bestFit="1" customWidth="1"/>
    <col min="41" max="41" width="16.28515625" style="1" bestFit="1" customWidth="1"/>
    <col min="42" max="42" width="16.85546875" style="1" bestFit="1" customWidth="1"/>
    <col min="43" max="43" width="20" style="1" bestFit="1" customWidth="1"/>
    <col min="44" max="44" width="17.85546875" style="1" bestFit="1" customWidth="1"/>
    <col min="45" max="46" width="19.28515625" style="1" customWidth="1" outlineLevel="1"/>
    <col min="47" max="47" width="20.5703125" style="1" customWidth="1" outlineLevel="1"/>
    <col min="48" max="49" width="17.7109375" style="1" customWidth="1" outlineLevel="1"/>
    <col min="50" max="53" width="19.7109375" style="1" customWidth="1" outlineLevel="1"/>
    <col min="54" max="54" width="23.7109375" style="1" bestFit="1" customWidth="1"/>
    <col min="55" max="55" width="22.5703125" style="1" customWidth="1"/>
    <col min="56" max="56" width="19.5703125" style="1" customWidth="1"/>
    <col min="57" max="57" width="12.42578125" style="1" customWidth="1"/>
    <col min="58" max="58" width="8.85546875" style="49" customWidth="1"/>
    <col min="59" max="68" width="9.140625" style="49"/>
    <col min="69" max="16384" width="9.140625" style="46"/>
  </cols>
  <sheetData>
    <row r="1" spans="1:68" ht="20.25" customHeight="1" thickBot="1">
      <c r="D1" s="119" t="s">
        <v>625</v>
      </c>
      <c r="AS1" s="2"/>
      <c r="AT1" s="2"/>
      <c r="AU1" s="2"/>
      <c r="BD1" s="61"/>
    </row>
    <row r="2" spans="1:68" ht="39" thickBot="1">
      <c r="D2" s="206" t="s">
        <v>626</v>
      </c>
      <c r="E2" s="171" t="s">
        <v>63</v>
      </c>
      <c r="F2" s="172"/>
      <c r="AG2" s="433" t="s">
        <v>455</v>
      </c>
      <c r="AH2" s="618" t="s">
        <v>456</v>
      </c>
      <c r="AI2" s="619"/>
      <c r="AJ2" s="619"/>
      <c r="AK2" s="619"/>
      <c r="AL2" s="619"/>
      <c r="AM2" s="619"/>
      <c r="AN2" s="619"/>
      <c r="AO2" s="619"/>
      <c r="AP2" s="619"/>
      <c r="AQ2" s="619"/>
      <c r="AR2" s="620"/>
    </row>
    <row r="3" spans="1:68" s="55" customFormat="1" ht="30" customHeight="1" thickBot="1">
      <c r="A3" s="329" t="s">
        <v>64</v>
      </c>
      <c r="B3" s="330" t="s">
        <v>65</v>
      </c>
      <c r="C3" s="334" t="s">
        <v>66</v>
      </c>
      <c r="D3" s="331" t="s">
        <v>360</v>
      </c>
      <c r="E3" s="317" t="s">
        <v>68</v>
      </c>
      <c r="F3" s="318" t="s">
        <v>69</v>
      </c>
      <c r="G3" s="331" t="s">
        <v>361</v>
      </c>
      <c r="H3" s="330" t="s">
        <v>426</v>
      </c>
      <c r="I3" s="330" t="s">
        <v>427</v>
      </c>
      <c r="J3" s="330" t="s">
        <v>428</v>
      </c>
      <c r="K3" s="331" t="s">
        <v>457</v>
      </c>
      <c r="L3" s="331" t="s">
        <v>458</v>
      </c>
      <c r="M3" s="331" t="s">
        <v>627</v>
      </c>
      <c r="N3" s="330" t="s">
        <v>459</v>
      </c>
      <c r="O3" s="331" t="s">
        <v>460</v>
      </c>
      <c r="P3" s="331" t="s">
        <v>461</v>
      </c>
      <c r="Q3" s="331" t="s">
        <v>628</v>
      </c>
      <c r="R3" s="330" t="s">
        <v>429</v>
      </c>
      <c r="S3" s="330" t="s">
        <v>430</v>
      </c>
      <c r="T3" s="330" t="s">
        <v>431</v>
      </c>
      <c r="U3" s="330" t="s">
        <v>432</v>
      </c>
      <c r="V3" s="330" t="s">
        <v>433</v>
      </c>
      <c r="W3" s="330" t="s">
        <v>629</v>
      </c>
      <c r="X3" s="330" t="s">
        <v>435</v>
      </c>
      <c r="Y3" s="330" t="s">
        <v>436</v>
      </c>
      <c r="Z3" s="330" t="s">
        <v>437</v>
      </c>
      <c r="AA3" s="331" t="s">
        <v>462</v>
      </c>
      <c r="AB3" s="331" t="s">
        <v>463</v>
      </c>
      <c r="AC3" s="331" t="s">
        <v>464</v>
      </c>
      <c r="AD3" s="331" t="s">
        <v>465</v>
      </c>
      <c r="AE3" s="331" t="s">
        <v>630</v>
      </c>
      <c r="AF3" s="331" t="s">
        <v>631</v>
      </c>
      <c r="AG3" s="336" t="s">
        <v>466</v>
      </c>
      <c r="AH3" s="331" t="s">
        <v>467</v>
      </c>
      <c r="AI3" s="331" t="s">
        <v>468</v>
      </c>
      <c r="AJ3" s="331" t="s">
        <v>632</v>
      </c>
      <c r="AK3" s="331" t="s">
        <v>469</v>
      </c>
      <c r="AL3" s="331" t="s">
        <v>470</v>
      </c>
      <c r="AM3" s="331" t="s">
        <v>471</v>
      </c>
      <c r="AN3" s="331" t="s">
        <v>472</v>
      </c>
      <c r="AO3" s="331" t="s">
        <v>633</v>
      </c>
      <c r="AP3" s="331" t="s">
        <v>634</v>
      </c>
      <c r="AQ3" s="336" t="s">
        <v>473</v>
      </c>
      <c r="AR3" s="336" t="s">
        <v>474</v>
      </c>
      <c r="AS3" s="337" t="s">
        <v>475</v>
      </c>
      <c r="AT3" s="337" t="s">
        <v>476</v>
      </c>
      <c r="AU3" s="337" t="s">
        <v>635</v>
      </c>
      <c r="AV3" s="337" t="s">
        <v>477</v>
      </c>
      <c r="AW3" s="337" t="s">
        <v>478</v>
      </c>
      <c r="AX3" s="337" t="s">
        <v>479</v>
      </c>
      <c r="AY3" s="507" t="s">
        <v>636</v>
      </c>
      <c r="AZ3" s="507" t="s">
        <v>480</v>
      </c>
      <c r="BA3" s="507" t="s">
        <v>637</v>
      </c>
      <c r="BB3" s="336" t="s">
        <v>78</v>
      </c>
      <c r="BC3" s="333" t="s">
        <v>79</v>
      </c>
      <c r="BD3" s="330" t="s">
        <v>438</v>
      </c>
      <c r="BE3" s="333" t="s">
        <v>369</v>
      </c>
      <c r="BF3" s="421" t="s">
        <v>82</v>
      </c>
      <c r="BG3" s="319"/>
      <c r="BH3" s="319"/>
      <c r="BI3" s="319"/>
      <c r="BJ3" s="319"/>
      <c r="BK3" s="319"/>
      <c r="BL3" s="319"/>
      <c r="BM3" s="319"/>
      <c r="BN3" s="319"/>
      <c r="BO3" s="319"/>
      <c r="BP3" s="319"/>
    </row>
    <row r="4" spans="1:68">
      <c r="A4" s="249"/>
      <c r="B4" s="43" t="s">
        <v>15</v>
      </c>
      <c r="C4" s="103">
        <v>1</v>
      </c>
      <c r="D4" s="43"/>
      <c r="E4" s="43"/>
      <c r="F4" s="43"/>
      <c r="G4" s="43"/>
      <c r="H4" s="43"/>
      <c r="I4" s="43"/>
      <c r="J4" s="78"/>
      <c r="K4" s="78"/>
      <c r="L4" s="78"/>
      <c r="M4" s="78"/>
      <c r="N4" s="78"/>
      <c r="O4" s="78"/>
      <c r="P4" s="78"/>
      <c r="Q4" s="78"/>
      <c r="R4" s="78"/>
      <c r="S4" s="78"/>
      <c r="T4" s="78"/>
      <c r="U4" s="78"/>
      <c r="V4" s="78"/>
      <c r="W4" s="78"/>
      <c r="X4" s="78"/>
      <c r="Y4" s="78"/>
      <c r="Z4" s="78"/>
      <c r="AA4" s="78"/>
      <c r="AB4" s="78"/>
      <c r="AC4" s="78"/>
      <c r="AD4" s="78"/>
      <c r="AE4" s="78"/>
      <c r="AF4" s="78"/>
      <c r="AG4" s="78"/>
      <c r="AH4" s="84"/>
      <c r="AI4" s="84"/>
      <c r="AJ4" s="84"/>
      <c r="AK4" s="84"/>
      <c r="AL4" s="84"/>
      <c r="AM4" s="84"/>
      <c r="AN4" s="84"/>
      <c r="AO4" s="84"/>
      <c r="AP4" s="84"/>
      <c r="AQ4" s="84"/>
      <c r="AR4" s="68"/>
      <c r="AS4" s="78"/>
      <c r="AT4" s="78"/>
      <c r="AU4" s="78"/>
      <c r="AV4" s="78"/>
      <c r="AW4" s="84"/>
      <c r="AX4" s="84"/>
      <c r="AY4" s="84" t="str">
        <f>IFERROR((LEFT(E4,3) &amp; (RIGHT(E4, LEN(E4)-3) + 0)), "")</f>
        <v/>
      </c>
      <c r="AZ4" s="84" t="str">
        <f>IFERROR((LEFT(E4,3) &amp; (RIGHT(E4, LEN(E4)-3) + 4)), "")</f>
        <v/>
      </c>
      <c r="BA4" s="84" t="str">
        <f>IFERROR((LEFT(E4,3) &amp; (RIGHT(E4, LEN(E4)-3) + 8)), "")</f>
        <v/>
      </c>
      <c r="BB4" s="84"/>
      <c r="BC4" s="177"/>
      <c r="BD4" s="89"/>
      <c r="BE4" s="177"/>
      <c r="BF4" s="108"/>
      <c r="BG4" s="25"/>
      <c r="BH4" s="195"/>
      <c r="BI4" s="46" t="s">
        <v>93</v>
      </c>
      <c r="BJ4" s="25"/>
      <c r="BK4" s="25"/>
      <c r="BL4" s="25"/>
    </row>
    <row r="5" spans="1:68" s="94" customFormat="1">
      <c r="A5" s="249"/>
      <c r="B5" s="43" t="s">
        <v>15</v>
      </c>
      <c r="C5" s="67">
        <v>2</v>
      </c>
      <c r="D5" s="43"/>
      <c r="E5" s="43"/>
      <c r="F5" s="43"/>
      <c r="G5" s="43"/>
      <c r="H5" s="43"/>
      <c r="I5" s="43"/>
      <c r="J5" s="43"/>
      <c r="K5" s="78"/>
      <c r="L5" s="78"/>
      <c r="M5" s="194"/>
      <c r="N5" s="78"/>
      <c r="O5" s="43"/>
      <c r="P5" s="43"/>
      <c r="Q5" s="194"/>
      <c r="R5" s="78"/>
      <c r="S5" s="43"/>
      <c r="T5" s="43"/>
      <c r="U5" s="43"/>
      <c r="V5" s="43"/>
      <c r="W5" s="43"/>
      <c r="X5" s="43"/>
      <c r="Y5" s="43"/>
      <c r="Z5" s="43"/>
      <c r="AA5" s="43"/>
      <c r="AB5" s="43"/>
      <c r="AC5" s="43"/>
      <c r="AD5" s="43"/>
      <c r="AE5" s="43"/>
      <c r="AF5" s="43"/>
      <c r="AG5" s="43"/>
      <c r="AH5" s="68"/>
      <c r="AI5" s="84"/>
      <c r="AJ5" s="84"/>
      <c r="AK5" s="84"/>
      <c r="AL5" s="84"/>
      <c r="AM5" s="84"/>
      <c r="AN5" s="84"/>
      <c r="AO5" s="68"/>
      <c r="AP5" s="68"/>
      <c r="AQ5" s="68"/>
      <c r="AR5" s="68"/>
      <c r="AS5" s="43"/>
      <c r="AT5" s="78"/>
      <c r="AU5" s="78"/>
      <c r="AV5" s="78"/>
      <c r="AW5" s="84"/>
      <c r="AX5" s="84"/>
      <c r="AY5" s="84" t="str">
        <f t="shared" ref="AY5:AY24" si="0">IFERROR((LEFT(E5,3) &amp; (RIGHT(E5, LEN(E5)-3) + 0)), "")</f>
        <v/>
      </c>
      <c r="AZ5" s="84" t="str">
        <f t="shared" ref="AZ5:AZ24" si="1">IFERROR((LEFT(E5,3) &amp; (RIGHT(E5, LEN(E5)-3) + 4)), "")</f>
        <v/>
      </c>
      <c r="BA5" s="84" t="str">
        <f t="shared" ref="BA5:BA24" si="2">IFERROR((LEFT(E5,3) &amp; (RIGHT(E5, LEN(E5)-3) + 8)), "")</f>
        <v/>
      </c>
      <c r="BB5" s="84"/>
      <c r="BC5" s="175"/>
      <c r="BD5" s="43"/>
      <c r="BE5" s="175"/>
      <c r="BF5" s="48"/>
      <c r="BG5" s="25"/>
      <c r="BH5" s="196"/>
      <c r="BI5" s="46" t="s">
        <v>100</v>
      </c>
      <c r="BJ5" s="25"/>
      <c r="BK5" s="25"/>
      <c r="BL5" s="25"/>
      <c r="BM5" s="49"/>
      <c r="BN5" s="49"/>
      <c r="BO5" s="49"/>
      <c r="BP5" s="49"/>
    </row>
    <row r="6" spans="1:68" s="94" customFormat="1">
      <c r="A6" s="249"/>
      <c r="B6" s="43" t="s">
        <v>15</v>
      </c>
      <c r="C6" s="103">
        <v>3</v>
      </c>
      <c r="D6" s="43"/>
      <c r="E6" s="43"/>
      <c r="F6" s="43"/>
      <c r="G6" s="43"/>
      <c r="H6" s="43"/>
      <c r="I6" s="43"/>
      <c r="J6" s="43"/>
      <c r="K6" s="78"/>
      <c r="L6" s="78"/>
      <c r="M6" s="78"/>
      <c r="N6" s="78"/>
      <c r="O6" s="43"/>
      <c r="P6" s="43"/>
      <c r="Q6" s="78"/>
      <c r="R6" s="78"/>
      <c r="S6" s="43"/>
      <c r="T6" s="43"/>
      <c r="U6" s="43"/>
      <c r="V6" s="43"/>
      <c r="W6" s="43"/>
      <c r="X6" s="43"/>
      <c r="Y6" s="43"/>
      <c r="Z6" s="43"/>
      <c r="AA6" s="43"/>
      <c r="AB6" s="43"/>
      <c r="AC6" s="43"/>
      <c r="AD6" s="43"/>
      <c r="AE6" s="43"/>
      <c r="AF6" s="43"/>
      <c r="AG6" s="43"/>
      <c r="AH6" s="68"/>
      <c r="AI6" s="84"/>
      <c r="AJ6" s="84"/>
      <c r="AK6" s="84"/>
      <c r="AL6" s="84"/>
      <c r="AM6" s="84"/>
      <c r="AN6" s="84"/>
      <c r="AO6" s="68"/>
      <c r="AP6" s="68"/>
      <c r="AQ6" s="68"/>
      <c r="AR6" s="68"/>
      <c r="AS6" s="43"/>
      <c r="AT6" s="78"/>
      <c r="AU6" s="78"/>
      <c r="AV6" s="78"/>
      <c r="AW6" s="84"/>
      <c r="AX6" s="84"/>
      <c r="AY6" s="84" t="str">
        <f t="shared" si="0"/>
        <v/>
      </c>
      <c r="AZ6" s="84" t="str">
        <f t="shared" si="1"/>
        <v/>
      </c>
      <c r="BA6" s="84" t="str">
        <f t="shared" si="2"/>
        <v/>
      </c>
      <c r="BB6" s="84"/>
      <c r="BC6" s="175"/>
      <c r="BD6" s="43"/>
      <c r="BE6" s="175"/>
      <c r="BF6" s="48"/>
      <c r="BG6" s="25"/>
      <c r="BH6" s="197"/>
      <c r="BI6" s="46" t="s">
        <v>107</v>
      </c>
      <c r="BJ6" s="25"/>
      <c r="BK6" s="25"/>
      <c r="BL6" s="25"/>
      <c r="BM6" s="49"/>
      <c r="BN6" s="49"/>
      <c r="BO6" s="49"/>
      <c r="BP6" s="49"/>
    </row>
    <row r="7" spans="1:68" s="94" customFormat="1">
      <c r="A7" s="249"/>
      <c r="B7" s="43" t="s">
        <v>15</v>
      </c>
      <c r="C7" s="67">
        <v>4</v>
      </c>
      <c r="D7" s="43"/>
      <c r="E7" s="43"/>
      <c r="F7" s="43"/>
      <c r="G7" s="43"/>
      <c r="H7" s="43"/>
      <c r="I7" s="43"/>
      <c r="J7" s="78"/>
      <c r="K7" s="78"/>
      <c r="L7" s="78"/>
      <c r="M7" s="78"/>
      <c r="N7" s="78"/>
      <c r="O7" s="43"/>
      <c r="P7" s="43"/>
      <c r="Q7" s="78"/>
      <c r="R7" s="78"/>
      <c r="S7" s="43"/>
      <c r="T7" s="43"/>
      <c r="U7" s="43"/>
      <c r="V7" s="43"/>
      <c r="W7" s="43"/>
      <c r="X7" s="43"/>
      <c r="Y7" s="43"/>
      <c r="Z7" s="43"/>
      <c r="AA7" s="43"/>
      <c r="AB7" s="43"/>
      <c r="AC7" s="43"/>
      <c r="AD7" s="43"/>
      <c r="AE7" s="43"/>
      <c r="AF7" s="43"/>
      <c r="AG7" s="43"/>
      <c r="AH7" s="68"/>
      <c r="AI7" s="84"/>
      <c r="AJ7" s="84"/>
      <c r="AK7" s="84"/>
      <c r="AL7" s="84"/>
      <c r="AM7" s="84"/>
      <c r="AN7" s="84"/>
      <c r="AO7" s="68"/>
      <c r="AP7" s="68"/>
      <c r="AQ7" s="68"/>
      <c r="AR7" s="68"/>
      <c r="AS7" s="43"/>
      <c r="AT7" s="78"/>
      <c r="AU7" s="78"/>
      <c r="AV7" s="78"/>
      <c r="AW7" s="84"/>
      <c r="AX7" s="84"/>
      <c r="AY7" s="84" t="str">
        <f t="shared" si="0"/>
        <v/>
      </c>
      <c r="AZ7" s="84" t="str">
        <f t="shared" si="1"/>
        <v/>
      </c>
      <c r="BA7" s="84" t="str">
        <f t="shared" si="2"/>
        <v/>
      </c>
      <c r="BB7" s="84"/>
      <c r="BC7" s="175"/>
      <c r="BD7" s="43"/>
      <c r="BE7" s="175"/>
      <c r="BF7" s="48"/>
      <c r="BG7" s="25"/>
      <c r="BH7" s="200"/>
      <c r="BI7" s="46" t="s">
        <v>482</v>
      </c>
      <c r="BJ7" s="49"/>
      <c r="BK7" s="25"/>
      <c r="BL7" s="25"/>
      <c r="BM7" s="49"/>
      <c r="BN7" s="49"/>
      <c r="BO7" s="49"/>
      <c r="BP7" s="49"/>
    </row>
    <row r="8" spans="1:68" s="94" customFormat="1">
      <c r="A8" s="249"/>
      <c r="B8" s="43" t="s">
        <v>15</v>
      </c>
      <c r="C8" s="103">
        <v>5</v>
      </c>
      <c r="D8" s="43"/>
      <c r="E8" s="43"/>
      <c r="F8" s="43"/>
      <c r="G8" s="43"/>
      <c r="H8" s="43"/>
      <c r="I8" s="43"/>
      <c r="J8" s="43"/>
      <c r="K8" s="194"/>
      <c r="L8" s="78"/>
      <c r="M8" s="78"/>
      <c r="N8" s="78"/>
      <c r="O8" s="43"/>
      <c r="P8" s="43"/>
      <c r="Q8" s="78"/>
      <c r="R8" s="78"/>
      <c r="S8" s="43"/>
      <c r="T8" s="43"/>
      <c r="U8" s="43"/>
      <c r="V8" s="43"/>
      <c r="W8" s="43"/>
      <c r="X8" s="43"/>
      <c r="Y8" s="43"/>
      <c r="Z8" s="43"/>
      <c r="AA8" s="43"/>
      <c r="AB8" s="43"/>
      <c r="AC8" s="43"/>
      <c r="AD8" s="43"/>
      <c r="AE8" s="43"/>
      <c r="AF8" s="43"/>
      <c r="AG8" s="43"/>
      <c r="AH8" s="68"/>
      <c r="AI8" s="84"/>
      <c r="AJ8" s="84"/>
      <c r="AK8" s="84"/>
      <c r="AL8" s="84"/>
      <c r="AM8" s="84"/>
      <c r="AN8" s="84"/>
      <c r="AO8" s="68"/>
      <c r="AP8" s="68"/>
      <c r="AQ8" s="68"/>
      <c r="AR8" s="68"/>
      <c r="AS8" s="43"/>
      <c r="AT8" s="78"/>
      <c r="AU8" s="78"/>
      <c r="AV8" s="78"/>
      <c r="AW8" s="84"/>
      <c r="AX8" s="84"/>
      <c r="AY8" s="84" t="str">
        <f t="shared" si="0"/>
        <v/>
      </c>
      <c r="AZ8" s="84" t="str">
        <f t="shared" si="1"/>
        <v/>
      </c>
      <c r="BA8" s="84" t="str">
        <f t="shared" si="2"/>
        <v/>
      </c>
      <c r="BB8" s="84"/>
      <c r="BC8" s="175"/>
      <c r="BD8" s="43"/>
      <c r="BE8" s="175"/>
      <c r="BF8" s="48"/>
      <c r="BG8" s="25"/>
      <c r="BH8" s="25"/>
      <c r="BI8" s="25"/>
      <c r="BJ8" s="25"/>
      <c r="BK8" s="25"/>
      <c r="BL8" s="25"/>
      <c r="BM8" s="49"/>
      <c r="BN8" s="49"/>
      <c r="BO8" s="49"/>
      <c r="BP8" s="49"/>
    </row>
    <row r="9" spans="1:68">
      <c r="A9" s="249"/>
      <c r="B9" s="43" t="s">
        <v>15</v>
      </c>
      <c r="C9" s="67">
        <v>6</v>
      </c>
      <c r="D9" s="43"/>
      <c r="E9" s="43"/>
      <c r="F9" s="43"/>
      <c r="G9" s="43"/>
      <c r="H9" s="43"/>
      <c r="I9" s="43"/>
      <c r="J9" s="43"/>
      <c r="K9" s="78"/>
      <c r="L9" s="78"/>
      <c r="M9" s="78"/>
      <c r="N9" s="78"/>
      <c r="O9" s="43"/>
      <c r="P9" s="43"/>
      <c r="Q9" s="78"/>
      <c r="R9" s="78"/>
      <c r="S9" s="43"/>
      <c r="T9" s="43"/>
      <c r="U9" s="43"/>
      <c r="V9" s="43"/>
      <c r="W9" s="43"/>
      <c r="X9" s="43"/>
      <c r="Y9" s="43"/>
      <c r="Z9" s="43"/>
      <c r="AA9" s="43"/>
      <c r="AB9" s="43"/>
      <c r="AC9" s="43"/>
      <c r="AD9" s="43"/>
      <c r="AE9" s="43"/>
      <c r="AF9" s="43"/>
      <c r="AG9" s="43"/>
      <c r="AH9" s="68"/>
      <c r="AI9" s="84"/>
      <c r="AJ9" s="84"/>
      <c r="AK9" s="84"/>
      <c r="AL9" s="84"/>
      <c r="AM9" s="84"/>
      <c r="AN9" s="84"/>
      <c r="AO9" s="68"/>
      <c r="AP9" s="68"/>
      <c r="AQ9" s="68"/>
      <c r="AR9" s="68"/>
      <c r="AS9" s="43"/>
      <c r="AT9" s="78"/>
      <c r="AU9" s="78"/>
      <c r="AV9" s="78"/>
      <c r="AW9" s="84"/>
      <c r="AX9" s="84"/>
      <c r="AY9" s="84" t="str">
        <f t="shared" si="0"/>
        <v/>
      </c>
      <c r="AZ9" s="84" t="str">
        <f t="shared" si="1"/>
        <v/>
      </c>
      <c r="BA9" s="84" t="str">
        <f t="shared" si="2"/>
        <v/>
      </c>
      <c r="BB9" s="84"/>
      <c r="BC9" s="175"/>
      <c r="BD9" s="43"/>
      <c r="BE9" s="175"/>
      <c r="BF9" s="48"/>
      <c r="BG9" s="25"/>
      <c r="BH9" s="320"/>
      <c r="BI9" s="46" t="s">
        <v>121</v>
      </c>
      <c r="BJ9" s="25"/>
      <c r="BK9" s="25"/>
      <c r="BL9" s="25"/>
    </row>
    <row r="10" spans="1:68" s="91" customFormat="1">
      <c r="A10" s="249"/>
      <c r="B10" s="43" t="s">
        <v>15</v>
      </c>
      <c r="C10" s="103">
        <v>7</v>
      </c>
      <c r="D10" s="43"/>
      <c r="E10" s="43"/>
      <c r="F10" s="43"/>
      <c r="G10" s="43"/>
      <c r="H10" s="43"/>
      <c r="I10" s="43"/>
      <c r="J10" s="43"/>
      <c r="K10" s="43"/>
      <c r="L10" s="43"/>
      <c r="M10" s="78"/>
      <c r="N10" s="78"/>
      <c r="O10" s="43"/>
      <c r="P10" s="43"/>
      <c r="Q10" s="43"/>
      <c r="R10" s="43"/>
      <c r="S10" s="43"/>
      <c r="T10" s="43"/>
      <c r="U10" s="43"/>
      <c r="V10" s="43"/>
      <c r="W10" s="43"/>
      <c r="X10" s="43"/>
      <c r="Y10" s="43"/>
      <c r="Z10" s="43"/>
      <c r="AA10" s="43"/>
      <c r="AB10" s="43"/>
      <c r="AC10" s="43"/>
      <c r="AD10" s="43"/>
      <c r="AE10" s="43"/>
      <c r="AF10" s="43"/>
      <c r="AG10" s="43"/>
      <c r="AH10" s="68"/>
      <c r="AI10" s="68"/>
      <c r="AJ10" s="68"/>
      <c r="AK10" s="68"/>
      <c r="AL10" s="68"/>
      <c r="AM10" s="68"/>
      <c r="AN10" s="68"/>
      <c r="AO10" s="68"/>
      <c r="AP10" s="68"/>
      <c r="AQ10" s="68"/>
      <c r="AR10" s="68"/>
      <c r="AS10" s="43"/>
      <c r="AT10" s="78"/>
      <c r="AU10" s="78"/>
      <c r="AV10" s="78"/>
      <c r="AW10" s="84"/>
      <c r="AX10" s="84"/>
      <c r="AY10" s="84" t="str">
        <f t="shared" si="0"/>
        <v/>
      </c>
      <c r="AZ10" s="84" t="str">
        <f t="shared" si="1"/>
        <v/>
      </c>
      <c r="BA10" s="84" t="str">
        <f t="shared" si="2"/>
        <v/>
      </c>
      <c r="BB10" s="68"/>
      <c r="BC10" s="175"/>
      <c r="BD10" s="43"/>
      <c r="BE10" s="175"/>
      <c r="BF10" s="48"/>
      <c r="BG10" s="25"/>
      <c r="BH10" s="321"/>
      <c r="BI10" s="46" t="s">
        <v>129</v>
      </c>
      <c r="BJ10" s="25"/>
      <c r="BK10" s="25"/>
      <c r="BL10" s="25"/>
      <c r="BM10" s="49"/>
      <c r="BN10" s="49"/>
      <c r="BO10" s="49"/>
      <c r="BP10" s="49"/>
    </row>
    <row r="11" spans="1:68">
      <c r="A11" s="249"/>
      <c r="B11" s="43" t="s">
        <v>15</v>
      </c>
      <c r="C11" s="67">
        <v>8</v>
      </c>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68"/>
      <c r="AI11" s="68"/>
      <c r="AJ11" s="68"/>
      <c r="AK11" s="68"/>
      <c r="AL11" s="68"/>
      <c r="AM11" s="68"/>
      <c r="AN11" s="68"/>
      <c r="AO11" s="68"/>
      <c r="AP11" s="68"/>
      <c r="AQ11" s="68"/>
      <c r="AR11" s="68"/>
      <c r="AS11" s="43"/>
      <c r="AT11" s="78"/>
      <c r="AU11" s="78"/>
      <c r="AV11" s="78"/>
      <c r="AW11" s="84"/>
      <c r="AX11" s="84"/>
      <c r="AY11" s="84" t="str">
        <f t="shared" si="0"/>
        <v/>
      </c>
      <c r="AZ11" s="84" t="str">
        <f t="shared" si="1"/>
        <v/>
      </c>
      <c r="BA11" s="84" t="str">
        <f t="shared" si="2"/>
        <v/>
      </c>
      <c r="BB11" s="43"/>
      <c r="BC11" s="175"/>
      <c r="BD11" s="43"/>
      <c r="BE11" s="175"/>
      <c r="BF11" s="48"/>
      <c r="BG11" s="25"/>
      <c r="BH11" s="25"/>
      <c r="BI11" s="25"/>
      <c r="BJ11" s="25"/>
      <c r="BK11" s="25"/>
      <c r="BL11" s="25"/>
    </row>
    <row r="12" spans="1:68">
      <c r="A12" s="249"/>
      <c r="B12" s="43" t="s">
        <v>15</v>
      </c>
      <c r="C12" s="103">
        <v>9</v>
      </c>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68"/>
      <c r="AI12" s="68"/>
      <c r="AJ12" s="68"/>
      <c r="AK12" s="68"/>
      <c r="AL12" s="68"/>
      <c r="AM12" s="68"/>
      <c r="AN12" s="68"/>
      <c r="AO12" s="68"/>
      <c r="AP12" s="68"/>
      <c r="AQ12" s="68"/>
      <c r="AR12" s="68"/>
      <c r="AS12" s="43"/>
      <c r="AT12" s="78"/>
      <c r="AU12" s="78"/>
      <c r="AV12" s="78"/>
      <c r="AW12" s="84"/>
      <c r="AX12" s="84"/>
      <c r="AY12" s="84" t="str">
        <f t="shared" si="0"/>
        <v/>
      </c>
      <c r="AZ12" s="84" t="str">
        <f t="shared" si="1"/>
        <v/>
      </c>
      <c r="BA12" s="84" t="str">
        <f t="shared" si="2"/>
        <v/>
      </c>
      <c r="BB12" s="43"/>
      <c r="BC12" s="175"/>
      <c r="BD12" s="43"/>
      <c r="BE12" s="175"/>
      <c r="BF12" s="48"/>
    </row>
    <row r="13" spans="1:68">
      <c r="A13" s="249"/>
      <c r="B13" s="43" t="s">
        <v>15</v>
      </c>
      <c r="C13" s="67">
        <v>10</v>
      </c>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68"/>
      <c r="AI13" s="68"/>
      <c r="AJ13" s="68"/>
      <c r="AK13" s="68"/>
      <c r="AL13" s="68"/>
      <c r="AM13" s="68"/>
      <c r="AN13" s="68"/>
      <c r="AO13" s="68"/>
      <c r="AP13" s="68"/>
      <c r="AQ13" s="68"/>
      <c r="AR13" s="68"/>
      <c r="AS13" s="43"/>
      <c r="AT13" s="78"/>
      <c r="AU13" s="78"/>
      <c r="AV13" s="78"/>
      <c r="AW13" s="84"/>
      <c r="AX13" s="84"/>
      <c r="AY13" s="84" t="str">
        <f t="shared" si="0"/>
        <v/>
      </c>
      <c r="AZ13" s="84" t="str">
        <f t="shared" si="1"/>
        <v/>
      </c>
      <c r="BA13" s="84" t="str">
        <f t="shared" si="2"/>
        <v/>
      </c>
      <c r="BB13" s="43"/>
      <c r="BC13" s="175"/>
      <c r="BD13" s="43"/>
      <c r="BE13" s="175"/>
      <c r="BF13" s="48"/>
    </row>
    <row r="14" spans="1:68">
      <c r="A14" s="249"/>
      <c r="B14" s="43" t="s">
        <v>15</v>
      </c>
      <c r="C14" s="103">
        <v>11</v>
      </c>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68"/>
      <c r="AI14" s="68"/>
      <c r="AJ14" s="68"/>
      <c r="AK14" s="68"/>
      <c r="AL14" s="68"/>
      <c r="AM14" s="68"/>
      <c r="AN14" s="68"/>
      <c r="AO14" s="68"/>
      <c r="AP14" s="68"/>
      <c r="AQ14" s="68"/>
      <c r="AR14" s="68"/>
      <c r="AS14" s="43"/>
      <c r="AT14" s="78"/>
      <c r="AU14" s="78"/>
      <c r="AV14" s="78"/>
      <c r="AW14" s="84"/>
      <c r="AX14" s="84"/>
      <c r="AY14" s="84" t="str">
        <f t="shared" si="0"/>
        <v/>
      </c>
      <c r="AZ14" s="84" t="str">
        <f t="shared" si="1"/>
        <v/>
      </c>
      <c r="BA14" s="84" t="str">
        <f t="shared" si="2"/>
        <v/>
      </c>
      <c r="BB14" s="43"/>
      <c r="BC14" s="175"/>
      <c r="BD14" s="43"/>
      <c r="BE14" s="175"/>
      <c r="BF14" s="48"/>
    </row>
    <row r="15" spans="1:68">
      <c r="A15" s="249"/>
      <c r="B15" s="43" t="s">
        <v>15</v>
      </c>
      <c r="C15" s="67">
        <v>12</v>
      </c>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68"/>
      <c r="AI15" s="68"/>
      <c r="AJ15" s="68"/>
      <c r="AK15" s="68"/>
      <c r="AL15" s="68"/>
      <c r="AM15" s="68"/>
      <c r="AN15" s="68"/>
      <c r="AO15" s="68"/>
      <c r="AP15" s="68"/>
      <c r="AQ15" s="68"/>
      <c r="AR15" s="68"/>
      <c r="AS15" s="43"/>
      <c r="AT15" s="78"/>
      <c r="AU15" s="78"/>
      <c r="AV15" s="78"/>
      <c r="AW15" s="84"/>
      <c r="AX15" s="84"/>
      <c r="AY15" s="84" t="str">
        <f t="shared" si="0"/>
        <v/>
      </c>
      <c r="AZ15" s="84" t="str">
        <f t="shared" si="1"/>
        <v/>
      </c>
      <c r="BA15" s="84" t="str">
        <f t="shared" si="2"/>
        <v/>
      </c>
      <c r="BB15" s="43"/>
      <c r="BC15" s="175"/>
      <c r="BD15" s="43"/>
      <c r="BE15" s="175"/>
      <c r="BF15" s="48"/>
    </row>
    <row r="16" spans="1:68">
      <c r="A16" s="249"/>
      <c r="B16" s="43" t="s">
        <v>15</v>
      </c>
      <c r="C16" s="103">
        <v>13</v>
      </c>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68"/>
      <c r="AI16" s="68"/>
      <c r="AJ16" s="68"/>
      <c r="AK16" s="68"/>
      <c r="AL16" s="68"/>
      <c r="AM16" s="68"/>
      <c r="AN16" s="68"/>
      <c r="AO16" s="68"/>
      <c r="AP16" s="68"/>
      <c r="AQ16" s="68"/>
      <c r="AR16" s="68"/>
      <c r="AS16" s="43"/>
      <c r="AT16" s="78"/>
      <c r="AU16" s="78"/>
      <c r="AV16" s="78"/>
      <c r="AW16" s="84"/>
      <c r="AX16" s="84"/>
      <c r="AY16" s="84" t="str">
        <f t="shared" si="0"/>
        <v/>
      </c>
      <c r="AZ16" s="84" t="str">
        <f t="shared" si="1"/>
        <v/>
      </c>
      <c r="BA16" s="84" t="str">
        <f t="shared" si="2"/>
        <v/>
      </c>
      <c r="BB16" s="43"/>
      <c r="BC16" s="175"/>
      <c r="BD16" s="43"/>
      <c r="BE16" s="175"/>
      <c r="BF16" s="48"/>
    </row>
    <row r="17" spans="1:68">
      <c r="A17" s="249"/>
      <c r="B17" s="43" t="s">
        <v>15</v>
      </c>
      <c r="C17" s="67">
        <v>14</v>
      </c>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68"/>
      <c r="AI17" s="68"/>
      <c r="AJ17" s="68"/>
      <c r="AK17" s="68"/>
      <c r="AL17" s="68"/>
      <c r="AM17" s="68"/>
      <c r="AN17" s="68"/>
      <c r="AO17" s="68"/>
      <c r="AP17" s="68"/>
      <c r="AQ17" s="68"/>
      <c r="AR17" s="68"/>
      <c r="AS17" s="43"/>
      <c r="AT17" s="78"/>
      <c r="AU17" s="78"/>
      <c r="AV17" s="78"/>
      <c r="AW17" s="84"/>
      <c r="AX17" s="84"/>
      <c r="AY17" s="84" t="str">
        <f t="shared" si="0"/>
        <v/>
      </c>
      <c r="AZ17" s="84" t="str">
        <f t="shared" si="1"/>
        <v/>
      </c>
      <c r="BA17" s="84" t="str">
        <f t="shared" si="2"/>
        <v/>
      </c>
      <c r="BB17" s="43" t="s">
        <v>638</v>
      </c>
      <c r="BC17" s="175"/>
      <c r="BD17" s="43"/>
      <c r="BE17" s="175"/>
      <c r="BF17" s="48"/>
    </row>
    <row r="18" spans="1:68">
      <c r="A18" s="249"/>
      <c r="B18" s="43" t="s">
        <v>15</v>
      </c>
      <c r="C18" s="103">
        <v>15</v>
      </c>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68"/>
      <c r="AI18" s="68"/>
      <c r="AJ18" s="68"/>
      <c r="AK18" s="68"/>
      <c r="AL18" s="68"/>
      <c r="AM18" s="68"/>
      <c r="AN18" s="68"/>
      <c r="AO18" s="68"/>
      <c r="AP18" s="68"/>
      <c r="AQ18" s="68"/>
      <c r="AR18" s="68"/>
      <c r="AS18" s="43"/>
      <c r="AT18" s="78"/>
      <c r="AU18" s="78"/>
      <c r="AV18" s="78"/>
      <c r="AW18" s="84"/>
      <c r="AX18" s="84"/>
      <c r="AY18" s="84" t="str">
        <f t="shared" si="0"/>
        <v/>
      </c>
      <c r="AZ18" s="84" t="str">
        <f t="shared" si="1"/>
        <v/>
      </c>
      <c r="BA18" s="84" t="str">
        <f t="shared" si="2"/>
        <v/>
      </c>
      <c r="BB18" s="43"/>
      <c r="BC18" s="175"/>
      <c r="BD18" s="43"/>
      <c r="BE18" s="175"/>
      <c r="BF18" s="48"/>
    </row>
    <row r="19" spans="1:68">
      <c r="A19" s="249"/>
      <c r="B19" s="43" t="s">
        <v>15</v>
      </c>
      <c r="C19" s="67">
        <v>16</v>
      </c>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68"/>
      <c r="AI19" s="68"/>
      <c r="AJ19" s="68"/>
      <c r="AK19" s="68"/>
      <c r="AL19" s="68"/>
      <c r="AM19" s="68"/>
      <c r="AN19" s="68"/>
      <c r="AO19" s="68"/>
      <c r="AP19" s="68"/>
      <c r="AQ19" s="68"/>
      <c r="AR19" s="68"/>
      <c r="AS19" s="43"/>
      <c r="AT19" s="78"/>
      <c r="AU19" s="78"/>
      <c r="AV19" s="78"/>
      <c r="AW19" s="84"/>
      <c r="AX19" s="84"/>
      <c r="AY19" s="84" t="str">
        <f t="shared" si="0"/>
        <v/>
      </c>
      <c r="AZ19" s="84" t="str">
        <f t="shared" si="1"/>
        <v/>
      </c>
      <c r="BA19" s="84" t="str">
        <f t="shared" si="2"/>
        <v/>
      </c>
      <c r="BB19" s="43"/>
      <c r="BC19" s="175"/>
      <c r="BD19" s="43"/>
      <c r="BE19" s="175"/>
      <c r="BF19" s="48"/>
    </row>
    <row r="20" spans="1:68">
      <c r="A20" s="249"/>
      <c r="B20" s="43" t="s">
        <v>15</v>
      </c>
      <c r="C20" s="103">
        <v>17</v>
      </c>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68"/>
      <c r="AI20" s="68"/>
      <c r="AJ20" s="68"/>
      <c r="AK20" s="68"/>
      <c r="AL20" s="68"/>
      <c r="AM20" s="68"/>
      <c r="AN20" s="68"/>
      <c r="AO20" s="68"/>
      <c r="AP20" s="68"/>
      <c r="AQ20" s="68"/>
      <c r="AR20" s="68"/>
      <c r="AS20" s="43"/>
      <c r="AT20" s="78"/>
      <c r="AU20" s="78"/>
      <c r="AV20" s="78"/>
      <c r="AW20" s="84"/>
      <c r="AX20" s="84"/>
      <c r="AY20" s="84" t="str">
        <f t="shared" si="0"/>
        <v/>
      </c>
      <c r="AZ20" s="84" t="str">
        <f t="shared" si="1"/>
        <v/>
      </c>
      <c r="BA20" s="84" t="str">
        <f t="shared" si="2"/>
        <v/>
      </c>
      <c r="BB20" s="43"/>
      <c r="BC20" s="175"/>
      <c r="BD20" s="43"/>
      <c r="BE20" s="175"/>
      <c r="BF20" s="48"/>
    </row>
    <row r="21" spans="1:68">
      <c r="A21" s="249"/>
      <c r="B21" s="43" t="s">
        <v>15</v>
      </c>
      <c r="C21" s="67">
        <v>18</v>
      </c>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68"/>
      <c r="AI21" s="68"/>
      <c r="AJ21" s="68"/>
      <c r="AK21" s="68"/>
      <c r="AL21" s="68"/>
      <c r="AM21" s="68"/>
      <c r="AN21" s="68"/>
      <c r="AO21" s="68"/>
      <c r="AP21" s="68"/>
      <c r="AQ21" s="68"/>
      <c r="AR21" s="68"/>
      <c r="AS21" s="43"/>
      <c r="AT21" s="78"/>
      <c r="AU21" s="78"/>
      <c r="AV21" s="78"/>
      <c r="AW21" s="84"/>
      <c r="AX21" s="84"/>
      <c r="AY21" s="84" t="str">
        <f t="shared" si="0"/>
        <v/>
      </c>
      <c r="AZ21" s="84" t="str">
        <f t="shared" si="1"/>
        <v/>
      </c>
      <c r="BA21" s="84" t="str">
        <f t="shared" si="2"/>
        <v/>
      </c>
      <c r="BB21" s="43"/>
      <c r="BC21" s="175"/>
      <c r="BD21" s="43"/>
      <c r="BE21" s="175"/>
      <c r="BF21" s="48"/>
    </row>
    <row r="22" spans="1:68">
      <c r="A22" s="249"/>
      <c r="B22" s="43" t="s">
        <v>15</v>
      </c>
      <c r="C22" s="103">
        <v>19</v>
      </c>
      <c r="D22" s="43"/>
      <c r="E22" s="43"/>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68"/>
      <c r="AI22" s="68"/>
      <c r="AJ22" s="68"/>
      <c r="AK22" s="68"/>
      <c r="AL22" s="68"/>
      <c r="AM22" s="68"/>
      <c r="AN22" s="68"/>
      <c r="AO22" s="68"/>
      <c r="AP22" s="68"/>
      <c r="AQ22" s="68"/>
      <c r="AR22" s="68"/>
      <c r="AS22" s="43"/>
      <c r="AT22" s="78"/>
      <c r="AU22" s="78"/>
      <c r="AV22" s="78"/>
      <c r="AW22" s="84"/>
      <c r="AX22" s="84"/>
      <c r="AY22" s="84" t="str">
        <f t="shared" si="0"/>
        <v/>
      </c>
      <c r="AZ22" s="84" t="str">
        <f t="shared" si="1"/>
        <v/>
      </c>
      <c r="BA22" s="84" t="str">
        <f t="shared" si="2"/>
        <v/>
      </c>
      <c r="BB22" s="43"/>
      <c r="BC22" s="175"/>
      <c r="BD22" s="43"/>
      <c r="BE22" s="175"/>
      <c r="BF22" s="48"/>
    </row>
    <row r="23" spans="1:68">
      <c r="A23" s="249"/>
      <c r="B23" s="43" t="s">
        <v>15</v>
      </c>
      <c r="C23" s="67">
        <v>20</v>
      </c>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68"/>
      <c r="AI23" s="68"/>
      <c r="AJ23" s="68"/>
      <c r="AK23" s="68"/>
      <c r="AL23" s="68"/>
      <c r="AM23" s="68"/>
      <c r="AN23" s="68"/>
      <c r="AO23" s="68"/>
      <c r="AP23" s="68"/>
      <c r="AQ23" s="68"/>
      <c r="AR23" s="68"/>
      <c r="AS23" s="43"/>
      <c r="AT23" s="78"/>
      <c r="AU23" s="78"/>
      <c r="AV23" s="78"/>
      <c r="AW23" s="84"/>
      <c r="AX23" s="84"/>
      <c r="AY23" s="84" t="str">
        <f t="shared" si="0"/>
        <v/>
      </c>
      <c r="AZ23" s="84" t="str">
        <f t="shared" si="1"/>
        <v/>
      </c>
      <c r="BA23" s="84" t="str">
        <f t="shared" si="2"/>
        <v/>
      </c>
      <c r="BB23" s="43"/>
      <c r="BC23" s="175"/>
      <c r="BD23" s="43"/>
      <c r="BE23" s="175"/>
      <c r="BF23" s="48"/>
    </row>
    <row r="24" spans="1:68" ht="13.5" thickBot="1">
      <c r="A24" s="247"/>
      <c r="B24" s="70"/>
      <c r="C24" s="69" t="s">
        <v>195</v>
      </c>
      <c r="D24" s="70"/>
      <c r="E24" s="70"/>
      <c r="F24" s="70"/>
      <c r="G24" s="70"/>
      <c r="H24" s="70"/>
      <c r="I24" s="70"/>
      <c r="J24" s="70"/>
      <c r="K24" s="70"/>
      <c r="L24" s="70"/>
      <c r="M24" s="70"/>
      <c r="N24" s="70"/>
      <c r="O24" s="70"/>
      <c r="P24" s="70"/>
      <c r="Q24" s="70"/>
      <c r="R24" s="70"/>
      <c r="S24" s="70"/>
      <c r="T24" s="70"/>
      <c r="U24" s="70"/>
      <c r="V24" s="70"/>
      <c r="W24" s="70"/>
      <c r="X24" s="70"/>
      <c r="Y24" s="70"/>
      <c r="Z24" s="70"/>
      <c r="AA24" s="70"/>
      <c r="AB24" s="70"/>
      <c r="AC24" s="70"/>
      <c r="AD24" s="70"/>
      <c r="AE24" s="70"/>
      <c r="AF24" s="70"/>
      <c r="AG24" s="70"/>
      <c r="AH24" s="83"/>
      <c r="AI24" s="83"/>
      <c r="AJ24" s="83"/>
      <c r="AK24" s="83"/>
      <c r="AL24" s="83"/>
      <c r="AM24" s="83"/>
      <c r="AN24" s="83"/>
      <c r="AO24" s="83"/>
      <c r="AP24" s="83"/>
      <c r="AQ24" s="83"/>
      <c r="AR24" s="83"/>
      <c r="AS24" s="81"/>
      <c r="AT24" s="81"/>
      <c r="AU24" s="81"/>
      <c r="AV24" s="81"/>
      <c r="AW24" s="83"/>
      <c r="AX24" s="83"/>
      <c r="AY24" s="84" t="str">
        <f t="shared" si="0"/>
        <v/>
      </c>
      <c r="AZ24" s="84" t="str">
        <f t="shared" si="1"/>
        <v/>
      </c>
      <c r="BA24" s="84" t="str">
        <f t="shared" si="2"/>
        <v/>
      </c>
      <c r="BB24" s="70"/>
      <c r="BC24" s="176"/>
      <c r="BD24" s="70"/>
      <c r="BE24" s="176"/>
      <c r="BF24" s="121"/>
    </row>
    <row r="25" spans="1:68" ht="13.5" thickBot="1">
      <c r="A25" s="163"/>
      <c r="B25" s="163"/>
      <c r="C25" s="164"/>
      <c r="D25" s="46"/>
      <c r="E25" s="46"/>
      <c r="F25" s="46"/>
      <c r="G25" s="46"/>
      <c r="H25" s="46"/>
      <c r="I25" s="46"/>
      <c r="J25" s="46"/>
      <c r="R25" s="46"/>
      <c r="S25" s="46"/>
      <c r="T25" s="46"/>
      <c r="U25" s="46"/>
      <c r="V25" s="46"/>
      <c r="W25" s="46"/>
      <c r="X25" s="46"/>
      <c r="Y25" s="46"/>
      <c r="Z25" s="46"/>
      <c r="AA25" s="46"/>
      <c r="AB25" s="46"/>
      <c r="AC25" s="46"/>
      <c r="AD25" s="46"/>
      <c r="AE25" s="46"/>
      <c r="AF25" s="46"/>
      <c r="AG25" s="46"/>
    </row>
    <row r="26" spans="1:68" s="17" customFormat="1">
      <c r="A26" s="254"/>
      <c r="B26" s="21"/>
      <c r="C26" s="129"/>
      <c r="D26" s="21"/>
      <c r="E26" s="21"/>
      <c r="F26" s="21"/>
      <c r="G26" s="21"/>
      <c r="H26" s="21"/>
      <c r="I26" s="21"/>
      <c r="J26" s="21" t="s">
        <v>196</v>
      </c>
      <c r="K26" s="21" t="s">
        <v>196</v>
      </c>
      <c r="L26" s="21" t="s">
        <v>196</v>
      </c>
      <c r="M26" s="21" t="s">
        <v>196</v>
      </c>
      <c r="N26" s="21" t="s">
        <v>196</v>
      </c>
      <c r="O26" s="21" t="s">
        <v>196</v>
      </c>
      <c r="P26" s="21" t="s">
        <v>196</v>
      </c>
      <c r="Q26" s="21" t="s">
        <v>196</v>
      </c>
      <c r="R26" s="21"/>
      <c r="S26" s="21" t="s">
        <v>196</v>
      </c>
      <c r="T26" s="182" t="s">
        <v>196</v>
      </c>
      <c r="U26" s="21" t="s">
        <v>196</v>
      </c>
      <c r="V26" s="186" t="s">
        <v>196</v>
      </c>
      <c r="W26" s="21" t="s">
        <v>196</v>
      </c>
      <c r="X26" s="21" t="s">
        <v>196</v>
      </c>
      <c r="Y26" s="186" t="s">
        <v>196</v>
      </c>
      <c r="Z26" s="21" t="s">
        <v>196</v>
      </c>
      <c r="AA26" s="21"/>
      <c r="AB26" s="21"/>
      <c r="AC26" s="21"/>
      <c r="AD26" s="21"/>
      <c r="AE26" s="21"/>
      <c r="AF26" s="21"/>
      <c r="AG26" s="21" t="s">
        <v>196</v>
      </c>
      <c r="AH26" s="21" t="s">
        <v>196</v>
      </c>
      <c r="AI26" s="21" t="s">
        <v>196</v>
      </c>
      <c r="AJ26" s="21" t="s">
        <v>196</v>
      </c>
      <c r="AK26" s="21"/>
      <c r="AL26" s="21"/>
      <c r="AM26" s="21"/>
      <c r="AN26" s="21"/>
      <c r="AO26" s="21"/>
      <c r="AP26" s="21"/>
      <c r="AQ26" s="21"/>
      <c r="AR26" s="21" t="s">
        <v>196</v>
      </c>
      <c r="AS26" s="23"/>
      <c r="AT26" s="23"/>
      <c r="AU26" s="23"/>
      <c r="AV26" s="21" t="s">
        <v>196</v>
      </c>
      <c r="AW26" s="21" t="s">
        <v>196</v>
      </c>
      <c r="AX26" s="21"/>
      <c r="AY26" s="21"/>
      <c r="AZ26" s="21" t="s">
        <v>196</v>
      </c>
      <c r="BA26" s="21"/>
      <c r="BB26" s="15"/>
      <c r="BC26" s="16"/>
      <c r="BD26" s="21" t="s">
        <v>196</v>
      </c>
      <c r="BE26" s="192"/>
      <c r="BF26" s="16"/>
      <c r="BG26" s="49"/>
      <c r="BH26" s="49"/>
      <c r="BI26" s="49"/>
      <c r="BJ26" s="49"/>
      <c r="BK26" s="49"/>
      <c r="BL26" s="49"/>
      <c r="BM26" s="49"/>
      <c r="BN26" s="49"/>
      <c r="BO26" s="49"/>
      <c r="BP26" s="49"/>
    </row>
    <row r="27" spans="1:68" s="29" customFormat="1" ht="9">
      <c r="A27" s="258"/>
      <c r="B27" s="27"/>
      <c r="C27" s="100"/>
      <c r="D27" s="27"/>
      <c r="E27" s="27"/>
      <c r="F27" s="27"/>
      <c r="G27" s="27"/>
      <c r="H27" s="27"/>
      <c r="I27" s="27"/>
      <c r="J27" s="27" t="s">
        <v>105</v>
      </c>
      <c r="K27" s="27" t="s">
        <v>483</v>
      </c>
      <c r="L27" s="27" t="s">
        <v>483</v>
      </c>
      <c r="M27" s="27" t="s">
        <v>483</v>
      </c>
      <c r="N27" s="27" t="s">
        <v>484</v>
      </c>
      <c r="O27" s="148" t="s">
        <v>485</v>
      </c>
      <c r="P27" s="148" t="s">
        <v>485</v>
      </c>
      <c r="Q27" s="148" t="s">
        <v>485</v>
      </c>
      <c r="R27" s="27"/>
      <c r="S27" s="410" t="s">
        <v>105</v>
      </c>
      <c r="T27" s="410" t="s">
        <v>105</v>
      </c>
      <c r="U27" s="27" t="s">
        <v>105</v>
      </c>
      <c r="V27" s="29" t="s">
        <v>105</v>
      </c>
      <c r="W27" s="27" t="s">
        <v>105</v>
      </c>
      <c r="X27" s="27" t="s">
        <v>105</v>
      </c>
      <c r="Y27" s="29" t="s">
        <v>105</v>
      </c>
      <c r="Z27" s="27" t="s">
        <v>105</v>
      </c>
      <c r="AA27" s="27"/>
      <c r="AB27" s="27"/>
      <c r="AC27" s="27"/>
      <c r="AD27" s="27"/>
      <c r="AE27" s="27"/>
      <c r="AF27" s="27"/>
      <c r="AG27" s="27" t="s">
        <v>486</v>
      </c>
      <c r="AH27" s="27" t="s">
        <v>198</v>
      </c>
      <c r="AI27" s="27" t="s">
        <v>198</v>
      </c>
      <c r="AJ27" s="27" t="s">
        <v>198</v>
      </c>
      <c r="AK27" s="27"/>
      <c r="AL27" s="27"/>
      <c r="AM27" s="27"/>
      <c r="AN27" s="27"/>
      <c r="AO27" s="27"/>
      <c r="AP27" s="27"/>
      <c r="AQ27" s="27"/>
      <c r="AR27" s="27" t="s">
        <v>487</v>
      </c>
      <c r="AS27" s="36"/>
      <c r="AT27" s="36"/>
      <c r="AU27" s="36"/>
      <c r="AV27" s="27" t="s">
        <v>488</v>
      </c>
      <c r="AW27" s="27" t="s">
        <v>198</v>
      </c>
      <c r="AX27" s="27"/>
      <c r="AY27" s="403"/>
      <c r="AZ27" s="403" t="s">
        <v>639</v>
      </c>
      <c r="BA27" s="403"/>
      <c r="BB27" s="401"/>
      <c r="BC27" s="405"/>
      <c r="BD27" s="36" t="s">
        <v>199</v>
      </c>
      <c r="BE27" s="404"/>
      <c r="BF27" s="405"/>
      <c r="BG27" s="14"/>
      <c r="BH27" s="14"/>
      <c r="BI27" s="14"/>
      <c r="BJ27" s="14"/>
      <c r="BK27" s="14"/>
      <c r="BL27" s="14"/>
      <c r="BM27" s="14"/>
      <c r="BN27" s="14"/>
      <c r="BO27" s="14"/>
      <c r="BP27" s="14"/>
    </row>
    <row r="28" spans="1:68" s="29" customFormat="1" ht="9">
      <c r="A28" s="258"/>
      <c r="B28" s="27"/>
      <c r="C28" s="100"/>
      <c r="D28" s="27"/>
      <c r="E28" s="27"/>
      <c r="F28" s="27"/>
      <c r="G28" s="27"/>
      <c r="H28" s="27"/>
      <c r="I28" s="27"/>
      <c r="J28" s="27" t="s">
        <v>640</v>
      </c>
      <c r="K28" s="27" t="s">
        <v>490</v>
      </c>
      <c r="L28" s="27" t="s">
        <v>490</v>
      </c>
      <c r="M28" s="27" t="s">
        <v>490</v>
      </c>
      <c r="N28" s="27" t="s">
        <v>491</v>
      </c>
      <c r="O28" s="148" t="s">
        <v>492</v>
      </c>
      <c r="P28" s="148" t="s">
        <v>492</v>
      </c>
      <c r="Q28" s="148" t="s">
        <v>492</v>
      </c>
      <c r="R28" s="162"/>
      <c r="S28" s="29" t="s">
        <v>640</v>
      </c>
      <c r="T28" s="410" t="s">
        <v>640</v>
      </c>
      <c r="U28" s="27" t="s">
        <v>640</v>
      </c>
      <c r="V28" s="29" t="s">
        <v>640</v>
      </c>
      <c r="W28" s="27" t="s">
        <v>640</v>
      </c>
      <c r="X28" s="27" t="s">
        <v>640</v>
      </c>
      <c r="Y28" s="29" t="s">
        <v>640</v>
      </c>
      <c r="Z28" s="27" t="s">
        <v>640</v>
      </c>
      <c r="AA28" s="27"/>
      <c r="AB28" s="27"/>
      <c r="AC28" s="27"/>
      <c r="AD28" s="27"/>
      <c r="AE28" s="27"/>
      <c r="AF28" s="27"/>
      <c r="AG28" s="27" t="s">
        <v>641</v>
      </c>
      <c r="AH28" s="27" t="s">
        <v>88</v>
      </c>
      <c r="AI28" s="27" t="s">
        <v>88</v>
      </c>
      <c r="AJ28" s="27" t="s">
        <v>88</v>
      </c>
      <c r="AK28" s="27"/>
      <c r="AL28" s="27"/>
      <c r="AM28" s="27"/>
      <c r="AN28" s="27"/>
      <c r="AO28" s="27"/>
      <c r="AP28" s="27"/>
      <c r="AQ28" s="27"/>
      <c r="AR28" s="27" t="s">
        <v>494</v>
      </c>
      <c r="AS28" s="36"/>
      <c r="AT28" s="36"/>
      <c r="AU28" s="36"/>
      <c r="AV28" s="27" t="s">
        <v>495</v>
      </c>
      <c r="AW28" s="27" t="s">
        <v>88</v>
      </c>
      <c r="AX28" s="27"/>
      <c r="AY28" s="403"/>
      <c r="AZ28" s="403" t="s">
        <v>489</v>
      </c>
      <c r="BA28" s="403"/>
      <c r="BB28" s="401"/>
      <c r="BC28" s="405"/>
      <c r="BD28" s="36" t="s">
        <v>204</v>
      </c>
      <c r="BE28" s="404"/>
      <c r="BF28" s="405"/>
      <c r="BG28" s="14"/>
      <c r="BH28" s="14"/>
      <c r="BI28" s="14"/>
      <c r="BJ28" s="14"/>
      <c r="BK28" s="14"/>
      <c r="BL28" s="14"/>
      <c r="BM28" s="14"/>
      <c r="BN28" s="14"/>
      <c r="BO28" s="14"/>
      <c r="BP28" s="14"/>
    </row>
    <row r="29" spans="1:68" s="29" customFormat="1" ht="9">
      <c r="A29" s="258"/>
      <c r="B29" s="27"/>
      <c r="C29" s="100"/>
      <c r="D29" s="27"/>
      <c r="E29" s="27"/>
      <c r="F29" s="27"/>
      <c r="G29" s="27"/>
      <c r="H29" s="27"/>
      <c r="I29" s="27"/>
      <c r="J29" s="27" t="s">
        <v>529</v>
      </c>
      <c r="K29" s="27" t="s">
        <v>497</v>
      </c>
      <c r="L29" s="27" t="s">
        <v>497</v>
      </c>
      <c r="M29" s="27" t="s">
        <v>497</v>
      </c>
      <c r="N29" s="29" t="s">
        <v>498</v>
      </c>
      <c r="O29" s="148" t="s">
        <v>499</v>
      </c>
      <c r="P29" s="148" t="s">
        <v>499</v>
      </c>
      <c r="Q29" s="148" t="s">
        <v>499</v>
      </c>
      <c r="R29" s="27"/>
      <c r="S29" s="410" t="s">
        <v>529</v>
      </c>
      <c r="T29" s="410" t="s">
        <v>529</v>
      </c>
      <c r="U29" s="27" t="s">
        <v>529</v>
      </c>
      <c r="V29" s="29" t="s">
        <v>529</v>
      </c>
      <c r="W29" s="27" t="s">
        <v>529</v>
      </c>
      <c r="X29" s="27" t="s">
        <v>529</v>
      </c>
      <c r="Y29" s="29" t="s">
        <v>529</v>
      </c>
      <c r="Z29" s="27" t="s">
        <v>529</v>
      </c>
      <c r="AA29" s="27"/>
      <c r="AB29" s="27"/>
      <c r="AC29" s="27"/>
      <c r="AD29" s="27"/>
      <c r="AE29" s="27"/>
      <c r="AF29" s="27"/>
      <c r="AG29" s="27" t="s">
        <v>500</v>
      </c>
      <c r="AH29" s="27"/>
      <c r="AI29" s="27"/>
      <c r="AJ29" s="27"/>
      <c r="AK29" s="27"/>
      <c r="AL29" s="27"/>
      <c r="AM29" s="27"/>
      <c r="AN29" s="27"/>
      <c r="AO29" s="27"/>
      <c r="AP29" s="27"/>
      <c r="AQ29" s="27"/>
      <c r="AR29" s="27" t="s">
        <v>501</v>
      </c>
      <c r="AS29" s="36"/>
      <c r="AT29" s="36"/>
      <c r="AU29" s="36"/>
      <c r="AV29" s="27" t="s">
        <v>502</v>
      </c>
      <c r="AW29" s="27"/>
      <c r="AX29" s="27"/>
      <c r="AY29" s="403"/>
      <c r="AZ29" s="403" t="s">
        <v>642</v>
      </c>
      <c r="BA29" s="403"/>
      <c r="BB29" s="401"/>
      <c r="BC29" s="405"/>
      <c r="BD29" s="36" t="s">
        <v>88</v>
      </c>
      <c r="BE29" s="404"/>
      <c r="BF29" s="405"/>
      <c r="BG29" s="14"/>
      <c r="BH29" s="14"/>
      <c r="BI29" s="14"/>
      <c r="BJ29" s="14"/>
      <c r="BK29" s="14"/>
      <c r="BL29" s="14"/>
      <c r="BM29" s="14"/>
      <c r="BN29" s="14"/>
      <c r="BO29" s="14"/>
      <c r="BP29" s="14"/>
    </row>
    <row r="30" spans="1:68" s="29" customFormat="1" ht="9">
      <c r="A30" s="258"/>
      <c r="B30" s="27"/>
      <c r="C30" s="100"/>
      <c r="D30" s="27"/>
      <c r="E30" s="27"/>
      <c r="F30" s="27"/>
      <c r="G30" s="27"/>
      <c r="H30" s="27"/>
      <c r="I30" s="27"/>
      <c r="J30" s="27" t="s">
        <v>643</v>
      </c>
      <c r="K30" s="27" t="s">
        <v>504</v>
      </c>
      <c r="L30" s="27" t="s">
        <v>504</v>
      </c>
      <c r="M30" s="27" t="s">
        <v>504</v>
      </c>
      <c r="N30" s="27" t="s">
        <v>505</v>
      </c>
      <c r="O30" s="149" t="s">
        <v>506</v>
      </c>
      <c r="P30" s="149" t="s">
        <v>506</v>
      </c>
      <c r="Q30" s="149" t="s">
        <v>506</v>
      </c>
      <c r="R30" s="27"/>
      <c r="S30" s="410" t="s">
        <v>643</v>
      </c>
      <c r="T30" s="410" t="s">
        <v>643</v>
      </c>
      <c r="U30" s="27" t="s">
        <v>643</v>
      </c>
      <c r="V30" s="29" t="s">
        <v>643</v>
      </c>
      <c r="W30" s="27" t="s">
        <v>643</v>
      </c>
      <c r="X30" s="27" t="s">
        <v>643</v>
      </c>
      <c r="Y30" s="29" t="s">
        <v>643</v>
      </c>
      <c r="Z30" s="27" t="s">
        <v>643</v>
      </c>
      <c r="AA30" s="27"/>
      <c r="AB30" s="27"/>
      <c r="AC30" s="27"/>
      <c r="AD30" s="27"/>
      <c r="AE30" s="27"/>
      <c r="AF30" s="27"/>
      <c r="AG30" s="27" t="s">
        <v>507</v>
      </c>
      <c r="AH30" s="27"/>
      <c r="AI30" s="27"/>
      <c r="AJ30" s="27"/>
      <c r="AK30" s="27"/>
      <c r="AL30" s="27"/>
      <c r="AM30" s="27"/>
      <c r="AN30" s="27"/>
      <c r="AO30" s="27"/>
      <c r="AP30" s="27"/>
      <c r="AQ30" s="27"/>
      <c r="AR30" s="27"/>
      <c r="AS30" s="36"/>
      <c r="AT30" s="36"/>
      <c r="AU30" s="36"/>
      <c r="AV30" s="27" t="s">
        <v>508</v>
      </c>
      <c r="AW30" s="27"/>
      <c r="AX30" s="27"/>
      <c r="AY30" s="403"/>
      <c r="AZ30" s="403" t="s">
        <v>644</v>
      </c>
      <c r="BA30" s="403"/>
      <c r="BB30" s="401"/>
      <c r="BC30" s="405"/>
      <c r="BD30" s="431"/>
      <c r="BE30" s="404"/>
      <c r="BF30" s="405"/>
      <c r="BG30" s="14"/>
      <c r="BH30" s="14"/>
      <c r="BI30" s="14"/>
      <c r="BJ30" s="14"/>
      <c r="BK30" s="14"/>
      <c r="BL30" s="14"/>
      <c r="BM30" s="14"/>
      <c r="BN30" s="14"/>
      <c r="BO30" s="14"/>
      <c r="BP30" s="14"/>
    </row>
    <row r="31" spans="1:68" s="29" customFormat="1" ht="9">
      <c r="A31" s="258"/>
      <c r="B31" s="27"/>
      <c r="C31" s="100"/>
      <c r="D31" s="27"/>
      <c r="E31" s="27"/>
      <c r="F31" s="27"/>
      <c r="G31" s="27"/>
      <c r="H31" s="27"/>
      <c r="I31" s="27"/>
      <c r="J31" s="27" t="s">
        <v>645</v>
      </c>
      <c r="K31" s="27" t="s">
        <v>509</v>
      </c>
      <c r="L31" s="27" t="s">
        <v>509</v>
      </c>
      <c r="M31" s="27" t="s">
        <v>509</v>
      </c>
      <c r="N31" s="27"/>
      <c r="O31" s="149" t="s">
        <v>511</v>
      </c>
      <c r="P31" s="149" t="s">
        <v>511</v>
      </c>
      <c r="Q31" s="148" t="s">
        <v>522</v>
      </c>
      <c r="R31" s="27"/>
      <c r="S31" s="27" t="s">
        <v>645</v>
      </c>
      <c r="T31" s="410" t="s">
        <v>645</v>
      </c>
      <c r="U31" s="27" t="s">
        <v>645</v>
      </c>
      <c r="V31" s="29" t="s">
        <v>645</v>
      </c>
      <c r="W31" s="27" t="s">
        <v>645</v>
      </c>
      <c r="X31" s="27" t="s">
        <v>645</v>
      </c>
      <c r="Y31" s="29" t="s">
        <v>645</v>
      </c>
      <c r="Z31" s="27" t="s">
        <v>645</v>
      </c>
      <c r="AA31" s="27"/>
      <c r="AB31" s="27"/>
      <c r="AC31" s="27"/>
      <c r="AD31" s="27"/>
      <c r="AE31" s="27"/>
      <c r="AF31" s="27"/>
      <c r="AG31" s="27"/>
      <c r="AH31" s="27"/>
      <c r="AI31" s="27"/>
      <c r="AJ31" s="27"/>
      <c r="AK31" s="27"/>
      <c r="AL31" s="27"/>
      <c r="AM31" s="27"/>
      <c r="AN31" s="27"/>
      <c r="AO31" s="27"/>
      <c r="AP31" s="27"/>
      <c r="AQ31" s="27"/>
      <c r="AR31" s="27"/>
      <c r="AS31" s="36"/>
      <c r="AT31" s="36"/>
      <c r="AU31" s="36"/>
      <c r="AV31" s="36" t="s">
        <v>512</v>
      </c>
      <c r="AW31" s="36"/>
      <c r="AX31" s="36"/>
      <c r="AY31" s="27"/>
      <c r="AZ31" s="27" t="s">
        <v>503</v>
      </c>
      <c r="BA31" s="27"/>
      <c r="BB31" s="31"/>
      <c r="BC31" s="32"/>
      <c r="BD31" s="431"/>
      <c r="BE31" s="360"/>
      <c r="BF31" s="32"/>
      <c r="BG31" s="14"/>
      <c r="BH31" s="14"/>
      <c r="BI31" s="14"/>
      <c r="BJ31" s="14"/>
      <c r="BK31" s="14"/>
      <c r="BL31" s="14"/>
      <c r="BM31" s="14"/>
      <c r="BN31" s="14"/>
      <c r="BO31" s="14"/>
      <c r="BP31" s="14"/>
    </row>
    <row r="32" spans="1:68" s="29" customFormat="1" ht="9">
      <c r="A32" s="258"/>
      <c r="B32" s="27"/>
      <c r="C32" s="100"/>
      <c r="D32" s="27"/>
      <c r="E32" s="27"/>
      <c r="F32" s="27"/>
      <c r="G32" s="27"/>
      <c r="H32" s="27"/>
      <c r="I32" s="27"/>
      <c r="J32" s="27" t="s">
        <v>646</v>
      </c>
      <c r="K32" s="27" t="s">
        <v>513</v>
      </c>
      <c r="L32" s="27" t="s">
        <v>513</v>
      </c>
      <c r="M32" s="27" t="s">
        <v>513</v>
      </c>
      <c r="N32" s="27"/>
      <c r="O32" s="148" t="s">
        <v>515</v>
      </c>
      <c r="P32" s="148" t="s">
        <v>515</v>
      </c>
      <c r="Q32" s="148" t="s">
        <v>524</v>
      </c>
      <c r="R32" s="27"/>
      <c r="S32" s="27" t="s">
        <v>646</v>
      </c>
      <c r="T32" s="410" t="s">
        <v>646</v>
      </c>
      <c r="U32" s="27" t="s">
        <v>646</v>
      </c>
      <c r="V32" s="29" t="s">
        <v>646</v>
      </c>
      <c r="W32" s="27" t="s">
        <v>646</v>
      </c>
      <c r="X32" s="27" t="s">
        <v>646</v>
      </c>
      <c r="Y32" s="29" t="s">
        <v>646</v>
      </c>
      <c r="Z32" s="27" t="s">
        <v>646</v>
      </c>
      <c r="AA32" s="27"/>
      <c r="AB32" s="27"/>
      <c r="AC32" s="27"/>
      <c r="AD32" s="27"/>
      <c r="AE32" s="27"/>
      <c r="AF32" s="27"/>
      <c r="AG32" s="27"/>
      <c r="AH32" s="27"/>
      <c r="AI32" s="27"/>
      <c r="AJ32" s="27"/>
      <c r="AK32" s="27"/>
      <c r="AL32" s="27"/>
      <c r="AM32" s="27"/>
      <c r="AN32" s="27"/>
      <c r="AO32" s="27"/>
      <c r="AP32" s="27"/>
      <c r="AQ32" s="27"/>
      <c r="AR32" s="27"/>
      <c r="AS32" s="36"/>
      <c r="AT32" s="36"/>
      <c r="AU32" s="36"/>
      <c r="AV32" s="36" t="s">
        <v>516</v>
      </c>
      <c r="AW32" s="36"/>
      <c r="AX32" s="36"/>
      <c r="AY32" s="27"/>
      <c r="AZ32" s="27"/>
      <c r="BA32" s="27"/>
      <c r="BB32" s="31"/>
      <c r="BC32" s="32"/>
      <c r="BD32" s="431"/>
      <c r="BE32" s="360"/>
      <c r="BF32" s="32"/>
      <c r="BG32" s="14"/>
      <c r="BH32" s="14"/>
      <c r="BI32" s="14"/>
      <c r="BJ32" s="14"/>
      <c r="BK32" s="14"/>
      <c r="BL32" s="14"/>
      <c r="BM32" s="14"/>
      <c r="BN32" s="14"/>
      <c r="BO32" s="14"/>
      <c r="BP32" s="14"/>
    </row>
    <row r="33" spans="1:68" s="29" customFormat="1" ht="9">
      <c r="A33" s="258"/>
      <c r="B33" s="27"/>
      <c r="C33" s="100"/>
      <c r="D33" s="27"/>
      <c r="E33" s="27"/>
      <c r="F33" s="27"/>
      <c r="G33" s="27"/>
      <c r="H33" s="27"/>
      <c r="I33" s="27"/>
      <c r="J33" s="27" t="s">
        <v>647</v>
      </c>
      <c r="K33" s="27" t="s">
        <v>517</v>
      </c>
      <c r="L33" s="27" t="s">
        <v>517</v>
      </c>
      <c r="M33" s="27" t="s">
        <v>517</v>
      </c>
      <c r="N33" s="27"/>
      <c r="O33" s="149" t="s">
        <v>519</v>
      </c>
      <c r="P33" s="149" t="s">
        <v>519</v>
      </c>
      <c r="Q33" s="149" t="s">
        <v>526</v>
      </c>
      <c r="R33" s="27"/>
      <c r="S33" s="27" t="s">
        <v>647</v>
      </c>
      <c r="T33" s="410" t="s">
        <v>647</v>
      </c>
      <c r="U33" s="27" t="s">
        <v>647</v>
      </c>
      <c r="V33" s="29" t="s">
        <v>647</v>
      </c>
      <c r="W33" s="27" t="s">
        <v>647</v>
      </c>
      <c r="X33" s="27" t="s">
        <v>647</v>
      </c>
      <c r="Y33" s="29" t="s">
        <v>647</v>
      </c>
      <c r="Z33" s="27" t="s">
        <v>647</v>
      </c>
      <c r="AA33" s="27"/>
      <c r="AB33" s="27"/>
      <c r="AC33" s="27"/>
      <c r="AD33" s="27"/>
      <c r="AE33" s="27"/>
      <c r="AF33" s="27"/>
      <c r="AG33" s="27"/>
      <c r="AH33" s="27"/>
      <c r="AI33" s="27"/>
      <c r="AJ33" s="27"/>
      <c r="AK33" s="27"/>
      <c r="AL33" s="27"/>
      <c r="AM33" s="27"/>
      <c r="AN33" s="27"/>
      <c r="AO33" s="27"/>
      <c r="AP33" s="27"/>
      <c r="AQ33" s="27"/>
      <c r="AR33" s="27"/>
      <c r="AS33" s="36"/>
      <c r="AT33" s="36"/>
      <c r="AU33" s="36"/>
      <c r="AV33" s="36" t="s">
        <v>520</v>
      </c>
      <c r="AW33" s="36"/>
      <c r="AX33" s="36"/>
      <c r="AY33" s="27"/>
      <c r="AZ33" s="27"/>
      <c r="BA33" s="27"/>
      <c r="BB33" s="31"/>
      <c r="BC33" s="32"/>
      <c r="BD33" s="431"/>
      <c r="BE33" s="360"/>
      <c r="BF33" s="32"/>
      <c r="BG33" s="14"/>
      <c r="BH33" s="14"/>
      <c r="BI33" s="14"/>
      <c r="BJ33" s="14"/>
      <c r="BK33" s="14"/>
      <c r="BL33" s="14"/>
      <c r="BM33" s="14"/>
      <c r="BN33" s="14"/>
      <c r="BO33" s="14"/>
      <c r="BP33" s="14"/>
    </row>
    <row r="34" spans="1:68" s="29" customFormat="1" ht="9">
      <c r="A34" s="258"/>
      <c r="B34" s="27"/>
      <c r="C34" s="100"/>
      <c r="D34" s="27"/>
      <c r="E34" s="27"/>
      <c r="F34" s="27"/>
      <c r="G34" s="27"/>
      <c r="H34" s="27"/>
      <c r="I34" s="27"/>
      <c r="J34" s="27" t="s">
        <v>648</v>
      </c>
      <c r="K34" s="27" t="s">
        <v>521</v>
      </c>
      <c r="L34" s="27" t="s">
        <v>521</v>
      </c>
      <c r="M34" s="27" t="s">
        <v>521</v>
      </c>
      <c r="N34" s="27"/>
      <c r="O34" s="148" t="s">
        <v>522</v>
      </c>
      <c r="P34" s="148" t="s">
        <v>522</v>
      </c>
      <c r="Q34" s="148" t="s">
        <v>533</v>
      </c>
      <c r="R34" s="27"/>
      <c r="S34" s="27" t="s">
        <v>648</v>
      </c>
      <c r="T34" s="410" t="s">
        <v>648</v>
      </c>
      <c r="U34" s="27" t="s">
        <v>648</v>
      </c>
      <c r="V34" s="29" t="s">
        <v>648</v>
      </c>
      <c r="W34" s="27" t="s">
        <v>648</v>
      </c>
      <c r="X34" s="27" t="s">
        <v>648</v>
      </c>
      <c r="Y34" s="29" t="s">
        <v>648</v>
      </c>
      <c r="Z34" s="27" t="s">
        <v>648</v>
      </c>
      <c r="AA34" s="27"/>
      <c r="AB34" s="27"/>
      <c r="AC34" s="27"/>
      <c r="AD34" s="27"/>
      <c r="AE34" s="27"/>
      <c r="AF34" s="27"/>
      <c r="AG34" s="27"/>
      <c r="AH34" s="27"/>
      <c r="AI34" s="27"/>
      <c r="AJ34" s="27"/>
      <c r="AK34" s="27"/>
      <c r="AL34" s="27"/>
      <c r="AM34" s="27"/>
      <c r="AN34" s="27"/>
      <c r="AO34" s="27"/>
      <c r="AP34" s="27"/>
      <c r="AQ34" s="27"/>
      <c r="AR34" s="27"/>
      <c r="AS34" s="36"/>
      <c r="AT34" s="36"/>
      <c r="AU34" s="36"/>
      <c r="AV34" s="36"/>
      <c r="AW34" s="36"/>
      <c r="AX34" s="36"/>
      <c r="AY34" s="27"/>
      <c r="AZ34" s="27"/>
      <c r="BA34" s="27"/>
      <c r="BB34" s="31"/>
      <c r="BC34" s="32"/>
      <c r="BD34" s="431"/>
      <c r="BE34" s="360"/>
      <c r="BF34" s="32"/>
      <c r="BG34" s="14"/>
      <c r="BH34" s="14"/>
      <c r="BI34" s="14"/>
      <c r="BJ34" s="14"/>
      <c r="BK34" s="14"/>
      <c r="BL34" s="14"/>
      <c r="BM34" s="14"/>
      <c r="BN34" s="14"/>
      <c r="BO34" s="14"/>
      <c r="BP34" s="14"/>
    </row>
    <row r="35" spans="1:68" s="29" customFormat="1" ht="9">
      <c r="A35" s="258"/>
      <c r="B35" s="27"/>
      <c r="C35" s="100"/>
      <c r="D35" s="27"/>
      <c r="E35" s="27"/>
      <c r="F35" s="27"/>
      <c r="G35" s="27"/>
      <c r="H35" s="27"/>
      <c r="I35" s="27"/>
      <c r="J35" s="29" t="s">
        <v>649</v>
      </c>
      <c r="K35" s="27" t="s">
        <v>523</v>
      </c>
      <c r="L35" s="27" t="s">
        <v>523</v>
      </c>
      <c r="M35" s="27" t="s">
        <v>523</v>
      </c>
      <c r="N35" s="50"/>
      <c r="O35" s="148" t="s">
        <v>524</v>
      </c>
      <c r="P35" s="148" t="s">
        <v>524</v>
      </c>
      <c r="Q35" s="148" t="s">
        <v>534</v>
      </c>
      <c r="R35" s="27"/>
      <c r="S35" s="27" t="s">
        <v>649</v>
      </c>
      <c r="T35" s="410" t="s">
        <v>649</v>
      </c>
      <c r="U35" s="27" t="s">
        <v>649</v>
      </c>
      <c r="V35" s="29" t="s">
        <v>649</v>
      </c>
      <c r="W35" s="27" t="s">
        <v>649</v>
      </c>
      <c r="X35" s="27" t="s">
        <v>649</v>
      </c>
      <c r="Y35" s="29" t="s">
        <v>649</v>
      </c>
      <c r="Z35" s="27" t="s">
        <v>649</v>
      </c>
      <c r="AA35" s="27"/>
      <c r="AB35" s="27"/>
      <c r="AC35" s="27"/>
      <c r="AD35" s="27"/>
      <c r="AE35" s="27"/>
      <c r="AF35" s="27"/>
      <c r="AG35" s="27"/>
      <c r="AH35" s="27"/>
      <c r="AI35" s="27"/>
      <c r="AJ35" s="27"/>
      <c r="AK35" s="27"/>
      <c r="AL35" s="27"/>
      <c r="AM35" s="27"/>
      <c r="AN35" s="27"/>
      <c r="AO35" s="27"/>
      <c r="AP35" s="27"/>
      <c r="AQ35" s="27"/>
      <c r="AR35" s="27"/>
      <c r="AS35" s="36"/>
      <c r="AT35" s="36"/>
      <c r="AU35" s="36"/>
      <c r="AV35" s="36"/>
      <c r="AW35" s="36"/>
      <c r="AX35" s="36"/>
      <c r="AY35" s="36"/>
      <c r="AZ35" s="36"/>
      <c r="BA35" s="36"/>
      <c r="BB35" s="31"/>
      <c r="BC35" s="32"/>
      <c r="BD35" s="431"/>
      <c r="BE35" s="360"/>
      <c r="BF35" s="32"/>
      <c r="BG35" s="14"/>
      <c r="BH35" s="14"/>
      <c r="BI35" s="14"/>
      <c r="BJ35" s="14"/>
      <c r="BK35" s="14"/>
      <c r="BL35" s="14"/>
      <c r="BM35" s="14"/>
      <c r="BN35" s="14"/>
      <c r="BO35" s="14"/>
      <c r="BP35" s="14"/>
    </row>
    <row r="36" spans="1:68" s="29" customFormat="1" ht="9">
      <c r="A36" s="258"/>
      <c r="B36" s="27"/>
      <c r="C36" s="100"/>
      <c r="D36" s="27"/>
      <c r="E36" s="27"/>
      <c r="F36" s="27"/>
      <c r="G36" s="27"/>
      <c r="H36" s="27"/>
      <c r="I36" s="27"/>
      <c r="J36" s="27"/>
      <c r="K36" s="27" t="s">
        <v>525</v>
      </c>
      <c r="L36" s="27" t="s">
        <v>525</v>
      </c>
      <c r="M36" s="27" t="s">
        <v>525</v>
      </c>
      <c r="N36" s="27"/>
      <c r="O36" s="149" t="s">
        <v>526</v>
      </c>
      <c r="P36" s="149" t="s">
        <v>526</v>
      </c>
      <c r="Q36" s="148" t="s">
        <v>538</v>
      </c>
      <c r="R36" s="27"/>
      <c r="S36" s="27" t="s">
        <v>484</v>
      </c>
      <c r="T36" s="410" t="s">
        <v>484</v>
      </c>
      <c r="U36" s="27" t="s">
        <v>484</v>
      </c>
      <c r="V36" s="29" t="s">
        <v>484</v>
      </c>
      <c r="W36" s="27" t="s">
        <v>484</v>
      </c>
      <c r="X36" s="27" t="s">
        <v>484</v>
      </c>
      <c r="Y36" s="29" t="s">
        <v>484</v>
      </c>
      <c r="Z36" s="27" t="s">
        <v>484</v>
      </c>
      <c r="AA36" s="27"/>
      <c r="AB36" s="27"/>
      <c r="AC36" s="27"/>
      <c r="AD36" s="27"/>
      <c r="AE36" s="27"/>
      <c r="AF36" s="27"/>
      <c r="AG36" s="27"/>
      <c r="AH36" s="27"/>
      <c r="AI36" s="27"/>
      <c r="AJ36" s="27"/>
      <c r="AK36" s="27"/>
      <c r="AL36" s="27"/>
      <c r="AM36" s="27"/>
      <c r="AN36" s="27"/>
      <c r="AO36" s="27"/>
      <c r="AP36" s="27"/>
      <c r="AQ36" s="27"/>
      <c r="AR36" s="27"/>
      <c r="AS36" s="36"/>
      <c r="AT36" s="36"/>
      <c r="AU36" s="36"/>
      <c r="AV36" s="36"/>
      <c r="AW36" s="36"/>
      <c r="AX36" s="36"/>
      <c r="AY36" s="36"/>
      <c r="AZ36" s="36"/>
      <c r="BA36" s="36"/>
      <c r="BB36" s="31"/>
      <c r="BC36" s="32"/>
      <c r="BD36" s="431"/>
      <c r="BE36" s="360"/>
      <c r="BF36" s="32"/>
      <c r="BG36" s="14"/>
      <c r="BH36" s="14"/>
      <c r="BI36" s="14"/>
      <c r="BJ36" s="14"/>
      <c r="BK36" s="14"/>
      <c r="BL36" s="14"/>
      <c r="BM36" s="14"/>
      <c r="BN36" s="14"/>
      <c r="BO36" s="14"/>
      <c r="BP36" s="14"/>
    </row>
    <row r="37" spans="1:68" s="29" customFormat="1" ht="9">
      <c r="A37" s="258"/>
      <c r="B37" s="27"/>
      <c r="C37" s="100"/>
      <c r="D37" s="27"/>
      <c r="E37" s="27"/>
      <c r="F37" s="27"/>
      <c r="G37" s="27"/>
      <c r="H37" s="27"/>
      <c r="I37" s="27"/>
      <c r="J37" s="27"/>
      <c r="K37" s="27" t="s">
        <v>527</v>
      </c>
      <c r="L37" s="27" t="s">
        <v>527</v>
      </c>
      <c r="M37" s="27" t="s">
        <v>527</v>
      </c>
      <c r="N37" s="27"/>
      <c r="O37" s="149" t="s">
        <v>528</v>
      </c>
      <c r="P37" s="149" t="s">
        <v>528</v>
      </c>
      <c r="Q37" s="148" t="s">
        <v>548</v>
      </c>
      <c r="R37" s="27"/>
      <c r="S37" s="27" t="s">
        <v>491</v>
      </c>
      <c r="T37" s="410" t="s">
        <v>491</v>
      </c>
      <c r="U37" s="27" t="s">
        <v>491</v>
      </c>
      <c r="V37" s="29" t="s">
        <v>491</v>
      </c>
      <c r="W37" s="27" t="s">
        <v>491</v>
      </c>
      <c r="X37" s="27" t="s">
        <v>491</v>
      </c>
      <c r="Y37" s="29" t="s">
        <v>491</v>
      </c>
      <c r="Z37" s="27" t="s">
        <v>491</v>
      </c>
      <c r="AA37" s="27"/>
      <c r="AB37" s="27"/>
      <c r="AC37" s="27"/>
      <c r="AD37" s="27"/>
      <c r="AE37" s="27"/>
      <c r="AF37" s="27"/>
      <c r="AG37" s="27"/>
      <c r="AH37" s="27"/>
      <c r="AI37" s="27"/>
      <c r="AJ37" s="27"/>
      <c r="AK37" s="27"/>
      <c r="AL37" s="27"/>
      <c r="AM37" s="27"/>
      <c r="AN37" s="27"/>
      <c r="AO37" s="27"/>
      <c r="AP37" s="27"/>
      <c r="AQ37" s="27"/>
      <c r="AR37" s="27"/>
      <c r="AS37" s="36"/>
      <c r="AT37" s="36"/>
      <c r="AU37" s="36"/>
      <c r="AV37" s="36"/>
      <c r="AW37" s="36"/>
      <c r="AX37" s="36"/>
      <c r="AY37" s="36"/>
      <c r="AZ37" s="36"/>
      <c r="BA37" s="36"/>
      <c r="BB37" s="31"/>
      <c r="BC37" s="32"/>
      <c r="BD37" s="431"/>
      <c r="BE37" s="360"/>
      <c r="BF37" s="32"/>
      <c r="BG37" s="14"/>
      <c r="BH37" s="14"/>
      <c r="BI37" s="14"/>
      <c r="BJ37" s="14"/>
      <c r="BK37" s="14"/>
      <c r="BL37" s="14"/>
      <c r="BM37" s="14"/>
      <c r="BN37" s="14"/>
      <c r="BO37" s="14"/>
      <c r="BP37" s="14"/>
    </row>
    <row r="38" spans="1:68" s="29" customFormat="1" ht="9">
      <c r="A38" s="258"/>
      <c r="B38" s="27"/>
      <c r="C38" s="100"/>
      <c r="D38" s="27"/>
      <c r="E38" s="27"/>
      <c r="F38" s="27"/>
      <c r="G38" s="27"/>
      <c r="H38" s="27"/>
      <c r="I38" s="27"/>
      <c r="J38" s="27"/>
      <c r="K38" s="27" t="s">
        <v>530</v>
      </c>
      <c r="L38" s="27" t="s">
        <v>530</v>
      </c>
      <c r="M38" s="27" t="s">
        <v>530</v>
      </c>
      <c r="N38" s="27"/>
      <c r="O38" s="148" t="s">
        <v>531</v>
      </c>
      <c r="P38" s="148" t="s">
        <v>531</v>
      </c>
      <c r="Q38" s="148" t="s">
        <v>549</v>
      </c>
      <c r="R38" s="27"/>
      <c r="S38" s="27" t="s">
        <v>498</v>
      </c>
      <c r="T38" s="410" t="s">
        <v>498</v>
      </c>
      <c r="U38" s="27" t="s">
        <v>498</v>
      </c>
      <c r="V38" s="29" t="s">
        <v>498</v>
      </c>
      <c r="W38" s="27" t="s">
        <v>498</v>
      </c>
      <c r="X38" s="27" t="s">
        <v>498</v>
      </c>
      <c r="Y38" s="29" t="s">
        <v>498</v>
      </c>
      <c r="Z38" s="27" t="s">
        <v>498</v>
      </c>
      <c r="AA38" s="27"/>
      <c r="AB38" s="27"/>
      <c r="AC38" s="27"/>
      <c r="AD38" s="27"/>
      <c r="AE38" s="27"/>
      <c r="AF38" s="27"/>
      <c r="AG38" s="27"/>
      <c r="AH38" s="27"/>
      <c r="AI38" s="27"/>
      <c r="AJ38" s="27"/>
      <c r="AK38" s="27"/>
      <c r="AL38" s="27"/>
      <c r="AM38" s="27"/>
      <c r="AN38" s="27"/>
      <c r="AO38" s="27"/>
      <c r="AP38" s="27"/>
      <c r="AQ38" s="27"/>
      <c r="AR38" s="27"/>
      <c r="AS38" s="36"/>
      <c r="AT38" s="36"/>
      <c r="AU38" s="36"/>
      <c r="AV38" s="36"/>
      <c r="AW38" s="36"/>
      <c r="AX38" s="36"/>
      <c r="AY38" s="36"/>
      <c r="AZ38" s="36"/>
      <c r="BA38" s="36"/>
      <c r="BB38" s="31"/>
      <c r="BC38" s="32"/>
      <c r="BD38" s="431"/>
      <c r="BE38" s="360"/>
      <c r="BF38" s="32"/>
      <c r="BG38" s="14"/>
      <c r="BH38" s="14"/>
      <c r="BI38" s="14"/>
      <c r="BJ38" s="14"/>
      <c r="BK38" s="14"/>
      <c r="BL38" s="14"/>
      <c r="BM38" s="14"/>
      <c r="BN38" s="14"/>
      <c r="BO38" s="14"/>
      <c r="BP38" s="14"/>
    </row>
    <row r="39" spans="1:68" s="29" customFormat="1" ht="9">
      <c r="A39" s="258"/>
      <c r="B39" s="27"/>
      <c r="C39" s="100"/>
      <c r="D39" s="27"/>
      <c r="E39" s="27"/>
      <c r="F39" s="27"/>
      <c r="G39" s="27"/>
      <c r="H39" s="27"/>
      <c r="I39" s="27"/>
      <c r="J39" s="27"/>
      <c r="K39" s="27"/>
      <c r="L39" s="27"/>
      <c r="M39" s="27"/>
      <c r="N39" s="27"/>
      <c r="O39" s="149" t="s">
        <v>532</v>
      </c>
      <c r="P39" s="149" t="s">
        <v>532</v>
      </c>
      <c r="Q39" s="148" t="s">
        <v>550</v>
      </c>
      <c r="R39" s="27"/>
      <c r="S39" s="27" t="s">
        <v>505</v>
      </c>
      <c r="T39" s="410" t="s">
        <v>505</v>
      </c>
      <c r="U39" s="27" t="s">
        <v>505</v>
      </c>
      <c r="V39" s="29" t="s">
        <v>505</v>
      </c>
      <c r="W39" s="27" t="s">
        <v>505</v>
      </c>
      <c r="X39" s="27" t="s">
        <v>505</v>
      </c>
      <c r="Y39" s="29" t="s">
        <v>505</v>
      </c>
      <c r="Z39" s="27" t="s">
        <v>505</v>
      </c>
      <c r="AA39" s="27"/>
      <c r="AB39" s="27"/>
      <c r="AC39" s="27"/>
      <c r="AD39" s="27"/>
      <c r="AE39" s="27"/>
      <c r="AF39" s="27"/>
      <c r="AG39" s="27"/>
      <c r="AH39" s="27"/>
      <c r="AI39" s="27"/>
      <c r="AJ39" s="27"/>
      <c r="AK39" s="27"/>
      <c r="AL39" s="27"/>
      <c r="AM39" s="27"/>
      <c r="AN39" s="27"/>
      <c r="AO39" s="27"/>
      <c r="AP39" s="27"/>
      <c r="AQ39" s="27"/>
      <c r="AR39" s="27"/>
      <c r="AS39" s="36"/>
      <c r="AT39" s="36"/>
      <c r="AU39" s="36"/>
      <c r="AV39" s="36"/>
      <c r="AW39" s="36"/>
      <c r="AX39" s="36"/>
      <c r="AY39" s="36"/>
      <c r="AZ39" s="36"/>
      <c r="BA39" s="36"/>
      <c r="BB39" s="31"/>
      <c r="BC39" s="32"/>
      <c r="BD39" s="431"/>
      <c r="BE39" s="360"/>
      <c r="BF39" s="32"/>
      <c r="BG39" s="14"/>
      <c r="BH39" s="14"/>
      <c r="BI39" s="14"/>
      <c r="BJ39" s="14"/>
      <c r="BK39" s="14"/>
      <c r="BL39" s="14"/>
      <c r="BM39" s="14"/>
      <c r="BN39" s="14"/>
      <c r="BO39" s="14"/>
      <c r="BP39" s="14"/>
    </row>
    <row r="40" spans="1:68" s="29" customFormat="1" ht="9">
      <c r="A40" s="258"/>
      <c r="B40" s="27"/>
      <c r="C40" s="100"/>
      <c r="D40" s="27"/>
      <c r="E40" s="27"/>
      <c r="F40" s="27"/>
      <c r="G40" s="27"/>
      <c r="H40" s="27"/>
      <c r="I40" s="27"/>
      <c r="J40" s="27"/>
      <c r="K40" s="31"/>
      <c r="L40" s="31"/>
      <c r="M40" s="31"/>
      <c r="N40" s="27"/>
      <c r="O40" s="148" t="s">
        <v>533</v>
      </c>
      <c r="P40" s="148" t="s">
        <v>533</v>
      </c>
      <c r="Q40" s="148" t="s">
        <v>551</v>
      </c>
      <c r="R40" s="27"/>
      <c r="S40" s="27" t="s">
        <v>650</v>
      </c>
      <c r="T40" s="29" t="s">
        <v>650</v>
      </c>
      <c r="U40" s="27" t="s">
        <v>650</v>
      </c>
      <c r="V40" s="29" t="s">
        <v>650</v>
      </c>
      <c r="W40" s="27" t="s">
        <v>650</v>
      </c>
      <c r="X40" s="27" t="s">
        <v>650</v>
      </c>
      <c r="Y40" s="29" t="s">
        <v>650</v>
      </c>
      <c r="Z40" s="27" t="s">
        <v>650</v>
      </c>
      <c r="AA40" s="27"/>
      <c r="AB40" s="27"/>
      <c r="AC40" s="27"/>
      <c r="AD40" s="27"/>
      <c r="AE40" s="27"/>
      <c r="AF40" s="27"/>
      <c r="AG40" s="27"/>
      <c r="AH40" s="31"/>
      <c r="AI40" s="31"/>
      <c r="AJ40" s="31"/>
      <c r="AK40" s="31"/>
      <c r="AL40" s="31"/>
      <c r="AM40" s="31"/>
      <c r="AN40" s="31"/>
      <c r="AO40" s="31"/>
      <c r="AP40" s="31"/>
      <c r="AQ40" s="31"/>
      <c r="AR40" s="31"/>
      <c r="AS40" s="36"/>
      <c r="AT40" s="36"/>
      <c r="AU40" s="36"/>
      <c r="AV40" s="36"/>
      <c r="AW40" s="36"/>
      <c r="AX40" s="36"/>
      <c r="AY40" s="36"/>
      <c r="AZ40" s="36"/>
      <c r="BA40" s="36"/>
      <c r="BB40" s="31"/>
      <c r="BC40" s="32"/>
      <c r="BD40" s="431"/>
      <c r="BE40" s="360"/>
      <c r="BF40" s="32"/>
      <c r="BG40" s="14"/>
      <c r="BH40" s="14"/>
      <c r="BI40" s="14"/>
      <c r="BJ40" s="14"/>
      <c r="BK40" s="14"/>
      <c r="BL40" s="14"/>
      <c r="BM40" s="14"/>
      <c r="BN40" s="14"/>
      <c r="BO40" s="14"/>
      <c r="BP40" s="14"/>
    </row>
    <row r="41" spans="1:68" s="29" customFormat="1" ht="9">
      <c r="A41" s="258"/>
      <c r="B41" s="27"/>
      <c r="C41" s="100"/>
      <c r="D41" s="27"/>
      <c r="E41" s="27"/>
      <c r="F41" s="27"/>
      <c r="G41" s="27"/>
      <c r="H41" s="27"/>
      <c r="I41" s="27"/>
      <c r="J41" s="27"/>
      <c r="K41" s="31"/>
      <c r="L41" s="31"/>
      <c r="M41" s="31"/>
      <c r="N41" s="31"/>
      <c r="O41" s="148" t="s">
        <v>534</v>
      </c>
      <c r="P41" s="148" t="s">
        <v>534</v>
      </c>
      <c r="Q41" s="148" t="s">
        <v>555</v>
      </c>
      <c r="R41" s="27"/>
      <c r="S41" s="27" t="s">
        <v>651</v>
      </c>
      <c r="T41" s="29" t="s">
        <v>651</v>
      </c>
      <c r="U41" s="27" t="s">
        <v>651</v>
      </c>
      <c r="V41" s="29" t="s">
        <v>651</v>
      </c>
      <c r="W41" s="27" t="s">
        <v>651</v>
      </c>
      <c r="X41" s="27" t="s">
        <v>651</v>
      </c>
      <c r="Y41" s="29" t="s">
        <v>651</v>
      </c>
      <c r="Z41" s="27" t="s">
        <v>651</v>
      </c>
      <c r="AA41" s="27"/>
      <c r="AB41" s="27"/>
      <c r="AC41" s="27"/>
      <c r="AD41" s="27"/>
      <c r="AE41" s="27"/>
      <c r="AF41" s="27"/>
      <c r="AG41" s="27"/>
      <c r="AH41" s="31"/>
      <c r="AI41" s="31"/>
      <c r="AJ41" s="31"/>
      <c r="AK41" s="31"/>
      <c r="AL41" s="31"/>
      <c r="AM41" s="31"/>
      <c r="AN41" s="31"/>
      <c r="AO41" s="31"/>
      <c r="AP41" s="31"/>
      <c r="AQ41" s="31"/>
      <c r="AR41" s="31"/>
      <c r="AS41" s="27"/>
      <c r="AT41" s="27"/>
      <c r="AU41" s="27"/>
      <c r="AV41" s="27"/>
      <c r="AW41" s="27"/>
      <c r="AX41" s="27"/>
      <c r="AY41" s="27"/>
      <c r="AZ41" s="27"/>
      <c r="BA41" s="27"/>
      <c r="BB41" s="31"/>
      <c r="BC41" s="32"/>
      <c r="BD41" s="431"/>
      <c r="BE41" s="360"/>
      <c r="BF41" s="32"/>
      <c r="BG41" s="14"/>
      <c r="BH41" s="14"/>
      <c r="BI41" s="14"/>
      <c r="BJ41" s="14"/>
      <c r="BK41" s="14"/>
      <c r="BL41" s="14"/>
      <c r="BM41" s="14"/>
      <c r="BN41" s="14"/>
      <c r="BO41" s="14"/>
      <c r="BP41" s="14"/>
    </row>
    <row r="42" spans="1:68" s="29" customFormat="1" ht="9">
      <c r="A42" s="258"/>
      <c r="B42" s="27"/>
      <c r="C42" s="100"/>
      <c r="D42" s="27"/>
      <c r="E42" s="27"/>
      <c r="F42" s="27"/>
      <c r="G42" s="27"/>
      <c r="H42" s="27"/>
      <c r="I42" s="27"/>
      <c r="J42" s="27"/>
      <c r="K42" s="31"/>
      <c r="L42" s="31"/>
      <c r="M42" s="31"/>
      <c r="N42" s="31"/>
      <c r="O42" s="148" t="s">
        <v>535</v>
      </c>
      <c r="P42" s="148" t="s">
        <v>535</v>
      </c>
      <c r="Q42" s="148" t="s">
        <v>556</v>
      </c>
      <c r="R42" s="27"/>
      <c r="S42" s="27"/>
      <c r="U42" s="27"/>
      <c r="W42" s="27"/>
      <c r="X42" s="27"/>
      <c r="Z42" s="27"/>
      <c r="AA42" s="27"/>
      <c r="AB42" s="27"/>
      <c r="AC42" s="27"/>
      <c r="AD42" s="27"/>
      <c r="AE42" s="27"/>
      <c r="AF42" s="27"/>
      <c r="AG42" s="27"/>
      <c r="AH42" s="31"/>
      <c r="AI42" s="31"/>
      <c r="AJ42" s="31"/>
      <c r="AK42" s="31"/>
      <c r="AL42" s="31"/>
      <c r="AM42" s="31"/>
      <c r="AN42" s="31"/>
      <c r="AO42" s="31"/>
      <c r="AP42" s="31"/>
      <c r="AQ42" s="31"/>
      <c r="AR42" s="31"/>
      <c r="AS42" s="27"/>
      <c r="AT42" s="27"/>
      <c r="AU42" s="27"/>
      <c r="AV42" s="407"/>
      <c r="AW42" s="407"/>
      <c r="AX42" s="407"/>
      <c r="AY42" s="407"/>
      <c r="AZ42" s="407"/>
      <c r="BA42" s="407"/>
      <c r="BB42" s="31"/>
      <c r="BC42" s="32"/>
      <c r="BD42" s="431"/>
      <c r="BE42" s="360"/>
      <c r="BF42" s="32"/>
      <c r="BG42" s="14"/>
      <c r="BH42" s="14"/>
      <c r="BI42" s="14"/>
      <c r="BJ42" s="14"/>
      <c r="BK42" s="14"/>
      <c r="BL42" s="14"/>
      <c r="BM42" s="14"/>
      <c r="BN42" s="14"/>
      <c r="BO42" s="14"/>
      <c r="BP42" s="14"/>
    </row>
    <row r="43" spans="1:68" s="29" customFormat="1" ht="9">
      <c r="A43" s="258"/>
      <c r="B43" s="27"/>
      <c r="C43" s="100"/>
      <c r="D43" s="27"/>
      <c r="E43" s="27"/>
      <c r="F43" s="27"/>
      <c r="G43" s="27"/>
      <c r="H43" s="27"/>
      <c r="I43" s="27"/>
      <c r="J43" s="27"/>
      <c r="K43" s="31"/>
      <c r="L43" s="31"/>
      <c r="M43" s="31"/>
      <c r="N43" s="31"/>
      <c r="O43" s="148" t="s">
        <v>536</v>
      </c>
      <c r="P43" s="148" t="s">
        <v>536</v>
      </c>
      <c r="Q43" s="148" t="s">
        <v>557</v>
      </c>
      <c r="R43" s="27"/>
      <c r="S43" s="27"/>
      <c r="U43" s="27"/>
      <c r="W43" s="27"/>
      <c r="X43" s="27"/>
      <c r="Z43" s="27"/>
      <c r="AA43" s="27"/>
      <c r="AB43" s="27"/>
      <c r="AC43" s="27"/>
      <c r="AD43" s="27"/>
      <c r="AE43" s="27"/>
      <c r="AF43" s="27"/>
      <c r="AG43" s="27"/>
      <c r="AH43" s="31"/>
      <c r="AI43" s="31"/>
      <c r="AJ43" s="31"/>
      <c r="AK43" s="31"/>
      <c r="AL43" s="31"/>
      <c r="AM43" s="31"/>
      <c r="AN43" s="31"/>
      <c r="AO43" s="31"/>
      <c r="AP43" s="31"/>
      <c r="AQ43" s="31"/>
      <c r="AR43" s="31"/>
      <c r="AS43" s="27"/>
      <c r="AT43" s="27"/>
      <c r="AU43" s="27"/>
      <c r="AV43" s="408"/>
      <c r="AW43" s="408"/>
      <c r="AX43" s="408"/>
      <c r="AY43" s="408"/>
      <c r="AZ43" s="408"/>
      <c r="BA43" s="408"/>
      <c r="BB43" s="31"/>
      <c r="BC43" s="32"/>
      <c r="BD43" s="431"/>
      <c r="BE43" s="360"/>
      <c r="BF43" s="32"/>
      <c r="BG43" s="14"/>
      <c r="BH43" s="14"/>
      <c r="BI43" s="14"/>
      <c r="BJ43" s="14"/>
      <c r="BK43" s="14"/>
      <c r="BL43" s="14"/>
      <c r="BM43" s="14"/>
      <c r="BN43" s="14"/>
      <c r="BO43" s="14"/>
      <c r="BP43" s="14"/>
    </row>
    <row r="44" spans="1:68" s="29" customFormat="1" ht="9">
      <c r="A44" s="258"/>
      <c r="B44" s="27"/>
      <c r="C44" s="100"/>
      <c r="D44" s="27"/>
      <c r="E44" s="27"/>
      <c r="F44" s="27"/>
      <c r="G44" s="27"/>
      <c r="H44" s="27"/>
      <c r="I44" s="27"/>
      <c r="J44" s="27"/>
      <c r="K44" s="31"/>
      <c r="L44" s="31"/>
      <c r="M44" s="31"/>
      <c r="N44" s="31"/>
      <c r="O44" s="148" t="s">
        <v>537</v>
      </c>
      <c r="P44" s="148" t="s">
        <v>537</v>
      </c>
      <c r="Q44" s="148" t="s">
        <v>561</v>
      </c>
      <c r="R44" s="27"/>
      <c r="S44" s="27"/>
      <c r="U44" s="27"/>
      <c r="W44" s="27"/>
      <c r="X44" s="27"/>
      <c r="Z44" s="27"/>
      <c r="AA44" s="27"/>
      <c r="AB44" s="27"/>
      <c r="AC44" s="27"/>
      <c r="AD44" s="27"/>
      <c r="AE44" s="27"/>
      <c r="AF44" s="27"/>
      <c r="AG44" s="27"/>
      <c r="AH44" s="31"/>
      <c r="AI44" s="31"/>
      <c r="AJ44" s="31"/>
      <c r="AK44" s="31"/>
      <c r="AL44" s="31"/>
      <c r="AM44" s="31"/>
      <c r="AN44" s="31"/>
      <c r="AO44" s="31"/>
      <c r="AP44" s="31"/>
      <c r="AQ44" s="31"/>
      <c r="AR44" s="31"/>
      <c r="AS44" s="27"/>
      <c r="AT44" s="27"/>
      <c r="AU44" s="27"/>
      <c r="AV44" s="408"/>
      <c r="AW44" s="408"/>
      <c r="AX44" s="408"/>
      <c r="AY44" s="408"/>
      <c r="AZ44" s="408"/>
      <c r="BA44" s="408"/>
      <c r="BB44" s="31"/>
      <c r="BC44" s="32"/>
      <c r="BD44" s="431"/>
      <c r="BE44" s="360"/>
      <c r="BF44" s="32"/>
      <c r="BG44" s="14"/>
      <c r="BH44" s="14"/>
      <c r="BI44" s="14"/>
      <c r="BJ44" s="14"/>
      <c r="BK44" s="14"/>
      <c r="BL44" s="14"/>
      <c r="BM44" s="14"/>
      <c r="BN44" s="14"/>
      <c r="BO44" s="14"/>
      <c r="BP44" s="14"/>
    </row>
    <row r="45" spans="1:68" s="29" customFormat="1" ht="9">
      <c r="A45" s="258"/>
      <c r="B45" s="27"/>
      <c r="C45" s="100"/>
      <c r="D45" s="27"/>
      <c r="E45" s="27"/>
      <c r="F45" s="27"/>
      <c r="G45" s="27"/>
      <c r="H45" s="27"/>
      <c r="I45" s="27"/>
      <c r="J45" s="27"/>
      <c r="K45" s="31"/>
      <c r="L45" s="31"/>
      <c r="M45" s="31"/>
      <c r="N45" s="31"/>
      <c r="O45" s="148" t="s">
        <v>538</v>
      </c>
      <c r="P45" s="148" t="s">
        <v>538</v>
      </c>
      <c r="Q45" s="148" t="s">
        <v>562</v>
      </c>
      <c r="R45" s="27"/>
      <c r="S45" s="27"/>
      <c r="U45" s="27"/>
      <c r="W45" s="27"/>
      <c r="X45" s="27"/>
      <c r="Z45" s="27"/>
      <c r="AA45" s="27"/>
      <c r="AB45" s="27"/>
      <c r="AC45" s="27"/>
      <c r="AD45" s="27"/>
      <c r="AE45" s="27"/>
      <c r="AF45" s="27"/>
      <c r="AG45" s="27"/>
      <c r="AH45" s="31"/>
      <c r="AI45" s="31"/>
      <c r="AJ45" s="31"/>
      <c r="AK45" s="31"/>
      <c r="AL45" s="31"/>
      <c r="AM45" s="31"/>
      <c r="AN45" s="31"/>
      <c r="AO45" s="31"/>
      <c r="AP45" s="31"/>
      <c r="AQ45" s="31"/>
      <c r="AR45" s="31"/>
      <c r="AS45" s="27"/>
      <c r="AT45" s="27"/>
      <c r="AU45" s="27"/>
      <c r="AV45" s="31"/>
      <c r="AW45" s="31"/>
      <c r="AX45" s="31"/>
      <c r="AY45" s="31"/>
      <c r="AZ45" s="31"/>
      <c r="BA45" s="31"/>
      <c r="BB45" s="31"/>
      <c r="BC45" s="32"/>
      <c r="BD45" s="431"/>
      <c r="BE45" s="360"/>
      <c r="BF45" s="32"/>
      <c r="BG45" s="14"/>
      <c r="BH45" s="14"/>
      <c r="BI45" s="14"/>
      <c r="BJ45" s="14"/>
      <c r="BK45" s="14"/>
      <c r="BL45" s="14"/>
      <c r="BM45" s="14"/>
      <c r="BN45" s="14"/>
      <c r="BO45" s="14"/>
      <c r="BP45" s="14"/>
    </row>
    <row r="46" spans="1:68" s="29" customFormat="1" ht="9">
      <c r="A46" s="258"/>
      <c r="B46" s="27"/>
      <c r="C46" s="100"/>
      <c r="D46" s="27"/>
      <c r="E46" s="27"/>
      <c r="F46" s="27"/>
      <c r="G46" s="27"/>
      <c r="H46" s="27"/>
      <c r="I46" s="27"/>
      <c r="J46" s="27"/>
      <c r="K46" s="31"/>
      <c r="L46" s="31"/>
      <c r="M46" s="31"/>
      <c r="N46" s="31"/>
      <c r="O46" s="150" t="s">
        <v>539</v>
      </c>
      <c r="P46" s="150" t="s">
        <v>539</v>
      </c>
      <c r="Q46" s="148" t="s">
        <v>566</v>
      </c>
      <c r="R46" s="27"/>
      <c r="S46" s="27"/>
      <c r="U46" s="27"/>
      <c r="W46" s="27"/>
      <c r="X46" s="27"/>
      <c r="Z46" s="27"/>
      <c r="AA46" s="27"/>
      <c r="AB46" s="27"/>
      <c r="AC46" s="27"/>
      <c r="AD46" s="27"/>
      <c r="AE46" s="27"/>
      <c r="AF46" s="27"/>
      <c r="AG46" s="27"/>
      <c r="AH46" s="31"/>
      <c r="AI46" s="31"/>
      <c r="AJ46" s="31"/>
      <c r="AK46" s="31"/>
      <c r="AL46" s="31"/>
      <c r="AM46" s="31"/>
      <c r="AN46" s="31"/>
      <c r="AO46" s="31"/>
      <c r="AP46" s="31"/>
      <c r="AQ46" s="31"/>
      <c r="AR46" s="31"/>
      <c r="AS46" s="27"/>
      <c r="AT46" s="27"/>
      <c r="AU46" s="27"/>
      <c r="AV46" s="27"/>
      <c r="AW46" s="27"/>
      <c r="AX46" s="27"/>
      <c r="AY46" s="27"/>
      <c r="AZ46" s="27"/>
      <c r="BA46" s="27"/>
      <c r="BB46" s="31"/>
      <c r="BC46" s="32"/>
      <c r="BD46" s="431"/>
      <c r="BE46" s="360"/>
      <c r="BF46" s="32"/>
      <c r="BG46" s="14"/>
      <c r="BH46" s="14"/>
      <c r="BI46" s="14"/>
      <c r="BJ46" s="14"/>
      <c r="BK46" s="14"/>
      <c r="BL46" s="14"/>
      <c r="BM46" s="14"/>
      <c r="BN46" s="14"/>
      <c r="BO46" s="14"/>
      <c r="BP46" s="14"/>
    </row>
    <row r="47" spans="1:68" s="29" customFormat="1" ht="9">
      <c r="A47" s="258"/>
      <c r="B47" s="27"/>
      <c r="C47" s="100"/>
      <c r="D47" s="27"/>
      <c r="E47" s="27"/>
      <c r="F47" s="27"/>
      <c r="G47" s="27"/>
      <c r="H47" s="27"/>
      <c r="I47" s="27"/>
      <c r="J47" s="27"/>
      <c r="K47" s="31"/>
      <c r="L47" s="31"/>
      <c r="M47" s="31"/>
      <c r="N47" s="31"/>
      <c r="O47" s="149" t="s">
        <v>540</v>
      </c>
      <c r="P47" s="149" t="s">
        <v>540</v>
      </c>
      <c r="Q47" s="149"/>
      <c r="R47" s="27"/>
      <c r="S47" s="27"/>
      <c r="U47" s="27"/>
      <c r="W47" s="27"/>
      <c r="X47" s="27"/>
      <c r="Z47" s="27"/>
      <c r="AA47" s="27"/>
      <c r="AB47" s="27"/>
      <c r="AC47" s="27"/>
      <c r="AD47" s="27"/>
      <c r="AE47" s="27"/>
      <c r="AF47" s="27"/>
      <c r="AG47" s="27"/>
      <c r="AH47" s="31"/>
      <c r="AI47" s="31"/>
      <c r="AJ47" s="31"/>
      <c r="AK47" s="31"/>
      <c r="AL47" s="31"/>
      <c r="AM47" s="31"/>
      <c r="AN47" s="31"/>
      <c r="AO47" s="31"/>
      <c r="AP47" s="31"/>
      <c r="AQ47" s="31"/>
      <c r="AR47" s="31"/>
      <c r="AS47" s="27"/>
      <c r="AT47" s="27"/>
      <c r="AU47" s="27"/>
      <c r="AV47" s="27"/>
      <c r="AW47" s="27"/>
      <c r="AX47" s="27"/>
      <c r="AY47" s="27"/>
      <c r="AZ47" s="27"/>
      <c r="BA47" s="27"/>
      <c r="BB47" s="31"/>
      <c r="BC47" s="32"/>
      <c r="BD47" s="431"/>
      <c r="BE47" s="360"/>
      <c r="BF47" s="32"/>
      <c r="BG47" s="14"/>
      <c r="BH47" s="14"/>
      <c r="BI47" s="14"/>
      <c r="BJ47" s="14"/>
      <c r="BK47" s="14"/>
      <c r="BL47" s="14"/>
      <c r="BM47" s="14"/>
      <c r="BN47" s="14"/>
      <c r="BO47" s="14"/>
      <c r="BP47" s="14"/>
    </row>
    <row r="48" spans="1:68" s="29" customFormat="1" ht="9">
      <c r="A48" s="258"/>
      <c r="B48" s="27"/>
      <c r="C48" s="100"/>
      <c r="D48" s="27"/>
      <c r="E48" s="27"/>
      <c r="F48" s="27"/>
      <c r="G48" s="27"/>
      <c r="H48" s="27"/>
      <c r="I48" s="27"/>
      <c r="J48" s="27"/>
      <c r="K48" s="31"/>
      <c r="L48" s="31"/>
      <c r="M48" s="31"/>
      <c r="N48" s="31"/>
      <c r="O48" s="149" t="s">
        <v>541</v>
      </c>
      <c r="P48" s="149" t="s">
        <v>541</v>
      </c>
      <c r="Q48" s="149"/>
      <c r="R48" s="27"/>
      <c r="S48" s="27"/>
      <c r="U48" s="27"/>
      <c r="W48" s="27"/>
      <c r="X48" s="27"/>
      <c r="Z48" s="27"/>
      <c r="AA48" s="27"/>
      <c r="AB48" s="27"/>
      <c r="AC48" s="27"/>
      <c r="AD48" s="27"/>
      <c r="AE48" s="27"/>
      <c r="AF48" s="27"/>
      <c r="AG48" s="27"/>
      <c r="AH48" s="31"/>
      <c r="AI48" s="31"/>
      <c r="AJ48" s="31"/>
      <c r="AK48" s="31"/>
      <c r="AL48" s="31"/>
      <c r="AM48" s="31"/>
      <c r="AN48" s="31"/>
      <c r="AO48" s="31"/>
      <c r="AP48" s="31"/>
      <c r="AQ48" s="31"/>
      <c r="AR48" s="31"/>
      <c r="AS48" s="27"/>
      <c r="AT48" s="27"/>
      <c r="AU48" s="27"/>
      <c r="AV48" s="27"/>
      <c r="AW48" s="27"/>
      <c r="AX48" s="27"/>
      <c r="AY48" s="27"/>
      <c r="AZ48" s="27"/>
      <c r="BA48" s="27"/>
      <c r="BB48" s="31"/>
      <c r="BC48" s="32"/>
      <c r="BD48" s="431"/>
      <c r="BE48" s="360"/>
      <c r="BF48" s="32"/>
      <c r="BG48" s="14"/>
      <c r="BH48" s="14"/>
      <c r="BI48" s="14"/>
      <c r="BJ48" s="14"/>
      <c r="BK48" s="14"/>
      <c r="BL48" s="14"/>
      <c r="BM48" s="14"/>
      <c r="BN48" s="14"/>
      <c r="BO48" s="14"/>
      <c r="BP48" s="14"/>
    </row>
    <row r="49" spans="1:68" s="29" customFormat="1" ht="9">
      <c r="A49" s="258"/>
      <c r="B49" s="27"/>
      <c r="C49" s="100"/>
      <c r="D49" s="27"/>
      <c r="E49" s="27"/>
      <c r="F49" s="27"/>
      <c r="G49" s="27"/>
      <c r="H49" s="27"/>
      <c r="I49" s="27"/>
      <c r="J49" s="27"/>
      <c r="K49" s="31"/>
      <c r="L49" s="31"/>
      <c r="M49" s="31"/>
      <c r="N49" s="31"/>
      <c r="O49" s="148" t="s">
        <v>542</v>
      </c>
      <c r="P49" s="148" t="s">
        <v>542</v>
      </c>
      <c r="Q49" s="148"/>
      <c r="R49" s="27"/>
      <c r="S49" s="27"/>
      <c r="U49" s="27"/>
      <c r="W49" s="27"/>
      <c r="X49" s="27"/>
      <c r="Z49" s="27"/>
      <c r="AA49" s="27"/>
      <c r="AB49" s="27"/>
      <c r="AC49" s="27"/>
      <c r="AD49" s="27"/>
      <c r="AE49" s="27"/>
      <c r="AF49" s="27"/>
      <c r="AG49" s="27"/>
      <c r="AH49" s="31"/>
      <c r="AI49" s="31"/>
      <c r="AJ49" s="31"/>
      <c r="AK49" s="31"/>
      <c r="AL49" s="31"/>
      <c r="AM49" s="31"/>
      <c r="AN49" s="31"/>
      <c r="AO49" s="31"/>
      <c r="AP49" s="31"/>
      <c r="AQ49" s="31"/>
      <c r="AR49" s="31"/>
      <c r="AS49" s="27"/>
      <c r="AT49" s="27"/>
      <c r="AU49" s="27"/>
      <c r="AV49" s="27"/>
      <c r="AW49" s="27"/>
      <c r="AX49" s="27"/>
      <c r="AY49" s="27"/>
      <c r="AZ49" s="27"/>
      <c r="BA49" s="27"/>
      <c r="BB49" s="31"/>
      <c r="BC49" s="32"/>
      <c r="BD49" s="431"/>
      <c r="BE49" s="360"/>
      <c r="BF49" s="32"/>
      <c r="BG49" s="14"/>
      <c r="BH49" s="14"/>
      <c r="BI49" s="14"/>
      <c r="BJ49" s="14"/>
      <c r="BK49" s="14"/>
      <c r="BL49" s="14"/>
      <c r="BM49" s="14"/>
      <c r="BN49" s="14"/>
      <c r="BO49" s="14"/>
      <c r="BP49" s="14"/>
    </row>
    <row r="50" spans="1:68" s="29" customFormat="1" ht="9">
      <c r="A50" s="258"/>
      <c r="B50" s="27"/>
      <c r="C50" s="100"/>
      <c r="D50" s="27"/>
      <c r="E50" s="27"/>
      <c r="F50" s="27"/>
      <c r="G50" s="27"/>
      <c r="H50" s="27"/>
      <c r="I50" s="27"/>
      <c r="J50" s="27"/>
      <c r="K50" s="31"/>
      <c r="L50" s="31"/>
      <c r="M50" s="31"/>
      <c r="N50" s="31"/>
      <c r="O50" s="148" t="s">
        <v>543</v>
      </c>
      <c r="P50" s="148" t="s">
        <v>543</v>
      </c>
      <c r="Q50" s="148"/>
      <c r="R50" s="27"/>
      <c r="S50" s="27"/>
      <c r="U50" s="27"/>
      <c r="W50" s="27"/>
      <c r="X50" s="27"/>
      <c r="Z50" s="27"/>
      <c r="AA50" s="27"/>
      <c r="AB50" s="27"/>
      <c r="AC50" s="27"/>
      <c r="AD50" s="27"/>
      <c r="AE50" s="27"/>
      <c r="AF50" s="27"/>
      <c r="AG50" s="27"/>
      <c r="AH50" s="31"/>
      <c r="AI50" s="31"/>
      <c r="AJ50" s="31"/>
      <c r="AK50" s="31"/>
      <c r="AL50" s="31"/>
      <c r="AM50" s="31"/>
      <c r="AN50" s="31"/>
      <c r="AO50" s="31"/>
      <c r="AP50" s="31"/>
      <c r="AQ50" s="31"/>
      <c r="AR50" s="31"/>
      <c r="AS50" s="27"/>
      <c r="AT50" s="27"/>
      <c r="AU50" s="27"/>
      <c r="AV50" s="27"/>
      <c r="AW50" s="27"/>
      <c r="AX50" s="27"/>
      <c r="AY50" s="27"/>
      <c r="AZ50" s="27"/>
      <c r="BA50" s="27"/>
      <c r="BB50" s="31"/>
      <c r="BC50" s="32"/>
      <c r="BD50" s="431"/>
      <c r="BE50" s="360"/>
      <c r="BF50" s="32"/>
      <c r="BG50" s="14"/>
      <c r="BH50" s="14"/>
      <c r="BI50" s="14"/>
      <c r="BJ50" s="14"/>
      <c r="BK50" s="14"/>
      <c r="BL50" s="14"/>
      <c r="BM50" s="14"/>
      <c r="BN50" s="14"/>
      <c r="BO50" s="14"/>
      <c r="BP50" s="14"/>
    </row>
    <row r="51" spans="1:68" s="29" customFormat="1" ht="9">
      <c r="A51" s="258"/>
      <c r="B51" s="27"/>
      <c r="C51" s="100"/>
      <c r="D51" s="27"/>
      <c r="E51" s="27"/>
      <c r="F51" s="27"/>
      <c r="G51" s="27"/>
      <c r="H51" s="27"/>
      <c r="I51" s="27"/>
      <c r="J51" s="27"/>
      <c r="K51" s="31"/>
      <c r="L51" s="31"/>
      <c r="M51" s="31"/>
      <c r="N51" s="31"/>
      <c r="O51" s="150" t="s">
        <v>544</v>
      </c>
      <c r="P51" s="150" t="s">
        <v>544</v>
      </c>
      <c r="Q51" s="150"/>
      <c r="R51" s="27"/>
      <c r="S51" s="27"/>
      <c r="U51" s="27"/>
      <c r="W51" s="27"/>
      <c r="X51" s="27"/>
      <c r="Z51" s="27"/>
      <c r="AA51" s="27"/>
      <c r="AB51" s="27"/>
      <c r="AC51" s="27"/>
      <c r="AD51" s="27"/>
      <c r="AE51" s="27"/>
      <c r="AF51" s="27"/>
      <c r="AG51" s="27"/>
      <c r="AH51" s="31"/>
      <c r="AI51" s="31"/>
      <c r="AJ51" s="31"/>
      <c r="AK51" s="31"/>
      <c r="AL51" s="31"/>
      <c r="AM51" s="31"/>
      <c r="AN51" s="31"/>
      <c r="AO51" s="31"/>
      <c r="AP51" s="31"/>
      <c r="AQ51" s="31"/>
      <c r="AR51" s="31"/>
      <c r="AS51" s="27"/>
      <c r="AT51" s="27"/>
      <c r="AU51" s="27"/>
      <c r="AV51" s="27"/>
      <c r="AW51" s="27"/>
      <c r="AX51" s="27"/>
      <c r="AY51" s="27"/>
      <c r="AZ51" s="27"/>
      <c r="BA51" s="27"/>
      <c r="BB51" s="31"/>
      <c r="BC51" s="32"/>
      <c r="BD51" s="431"/>
      <c r="BE51" s="360"/>
      <c r="BF51" s="32"/>
      <c r="BG51" s="14"/>
      <c r="BH51" s="14"/>
      <c r="BI51" s="14"/>
      <c r="BJ51" s="14"/>
      <c r="BK51" s="14"/>
      <c r="BL51" s="14"/>
      <c r="BM51" s="14"/>
      <c r="BN51" s="14"/>
      <c r="BO51" s="14"/>
      <c r="BP51" s="14"/>
    </row>
    <row r="52" spans="1:68" s="29" customFormat="1" ht="9">
      <c r="A52" s="258"/>
      <c r="B52" s="27"/>
      <c r="C52" s="100"/>
      <c r="D52" s="27"/>
      <c r="E52" s="27"/>
      <c r="F52" s="27"/>
      <c r="G52" s="27"/>
      <c r="H52" s="27"/>
      <c r="I52" s="27"/>
      <c r="J52" s="27"/>
      <c r="K52" s="31"/>
      <c r="L52" s="31"/>
      <c r="M52" s="31"/>
      <c r="N52" s="31"/>
      <c r="O52" s="149" t="s">
        <v>545</v>
      </c>
      <c r="P52" s="149" t="s">
        <v>545</v>
      </c>
      <c r="Q52" s="149"/>
      <c r="R52" s="27"/>
      <c r="S52" s="27"/>
      <c r="U52" s="27"/>
      <c r="W52" s="27"/>
      <c r="X52" s="27"/>
      <c r="Z52" s="27"/>
      <c r="AA52" s="27"/>
      <c r="AB52" s="27"/>
      <c r="AC52" s="27"/>
      <c r="AD52" s="27"/>
      <c r="AE52" s="27"/>
      <c r="AF52" s="27"/>
      <c r="AG52" s="27"/>
      <c r="AH52" s="31"/>
      <c r="AI52" s="31"/>
      <c r="AJ52" s="31"/>
      <c r="AK52" s="31"/>
      <c r="AL52" s="31"/>
      <c r="AM52" s="31"/>
      <c r="AN52" s="31"/>
      <c r="AO52" s="31"/>
      <c r="AP52" s="31"/>
      <c r="AQ52" s="31"/>
      <c r="AR52" s="31"/>
      <c r="AS52" s="27"/>
      <c r="AT52" s="27"/>
      <c r="AU52" s="27"/>
      <c r="AV52" s="27"/>
      <c r="AW52" s="27"/>
      <c r="AX52" s="27"/>
      <c r="AY52" s="27"/>
      <c r="AZ52" s="27"/>
      <c r="BA52" s="27"/>
      <c r="BB52" s="31"/>
      <c r="BC52" s="32"/>
      <c r="BD52" s="431"/>
      <c r="BE52" s="360"/>
      <c r="BF52" s="32"/>
      <c r="BG52" s="14"/>
      <c r="BH52" s="14"/>
      <c r="BI52" s="14"/>
      <c r="BJ52" s="14"/>
      <c r="BK52" s="14"/>
      <c r="BL52" s="14"/>
      <c r="BM52" s="14"/>
      <c r="BN52" s="14"/>
      <c r="BO52" s="14"/>
      <c r="BP52" s="14"/>
    </row>
    <row r="53" spans="1:68" s="29" customFormat="1" ht="9">
      <c r="A53" s="258"/>
      <c r="B53" s="27"/>
      <c r="C53" s="100"/>
      <c r="D53" s="27"/>
      <c r="E53" s="27"/>
      <c r="F53" s="27"/>
      <c r="G53" s="27"/>
      <c r="H53" s="27"/>
      <c r="I53" s="27"/>
      <c r="J53" s="27"/>
      <c r="K53" s="31"/>
      <c r="L53" s="31"/>
      <c r="M53" s="31"/>
      <c r="N53" s="31"/>
      <c r="O53" s="149" t="s">
        <v>546</v>
      </c>
      <c r="P53" s="149" t="s">
        <v>546</v>
      </c>
      <c r="Q53" s="149"/>
      <c r="R53" s="27"/>
      <c r="S53" s="27"/>
      <c r="U53" s="27"/>
      <c r="W53" s="27"/>
      <c r="X53" s="27"/>
      <c r="Z53" s="27"/>
      <c r="AA53" s="27"/>
      <c r="AB53" s="27"/>
      <c r="AC53" s="27"/>
      <c r="AD53" s="27"/>
      <c r="AE53" s="27"/>
      <c r="AF53" s="27"/>
      <c r="AG53" s="27"/>
      <c r="AH53" s="31"/>
      <c r="AI53" s="31"/>
      <c r="AJ53" s="31"/>
      <c r="AK53" s="31"/>
      <c r="AL53" s="31"/>
      <c r="AM53" s="31"/>
      <c r="AN53" s="31"/>
      <c r="AO53" s="31"/>
      <c r="AP53" s="31"/>
      <c r="AQ53" s="31"/>
      <c r="AR53" s="31"/>
      <c r="AS53" s="27"/>
      <c r="AT53" s="27"/>
      <c r="AU53" s="27"/>
      <c r="AV53" s="27"/>
      <c r="AW53" s="27"/>
      <c r="AX53" s="27"/>
      <c r="AY53" s="27"/>
      <c r="AZ53" s="27"/>
      <c r="BA53" s="27"/>
      <c r="BB53" s="31"/>
      <c r="BC53" s="32"/>
      <c r="BD53" s="431"/>
      <c r="BE53" s="360"/>
      <c r="BF53" s="32"/>
      <c r="BG53" s="14"/>
      <c r="BH53" s="14"/>
      <c r="BI53" s="14"/>
      <c r="BJ53" s="14"/>
      <c r="BK53" s="14"/>
      <c r="BL53" s="14"/>
      <c r="BM53" s="14"/>
      <c r="BN53" s="14"/>
      <c r="BO53" s="14"/>
      <c r="BP53" s="14"/>
    </row>
    <row r="54" spans="1:68" s="29" customFormat="1" ht="9">
      <c r="A54" s="258"/>
      <c r="B54" s="27"/>
      <c r="C54" s="100"/>
      <c r="D54" s="27"/>
      <c r="E54" s="27"/>
      <c r="F54" s="27"/>
      <c r="G54" s="27"/>
      <c r="H54" s="27"/>
      <c r="I54" s="27"/>
      <c r="J54" s="27"/>
      <c r="K54" s="31"/>
      <c r="L54" s="31"/>
      <c r="M54" s="31"/>
      <c r="N54" s="31"/>
      <c r="O54" s="148" t="s">
        <v>547</v>
      </c>
      <c r="P54" s="148" t="s">
        <v>547</v>
      </c>
      <c r="Q54" s="148"/>
      <c r="R54" s="27"/>
      <c r="S54" s="27"/>
      <c r="U54" s="27"/>
      <c r="W54" s="27"/>
      <c r="X54" s="27"/>
      <c r="Z54" s="27"/>
      <c r="AA54" s="27"/>
      <c r="AB54" s="27"/>
      <c r="AC54" s="27"/>
      <c r="AD54" s="27"/>
      <c r="AE54" s="27"/>
      <c r="AF54" s="27"/>
      <c r="AG54" s="27"/>
      <c r="AH54" s="31"/>
      <c r="AI54" s="31"/>
      <c r="AJ54" s="31"/>
      <c r="AK54" s="31"/>
      <c r="AL54" s="31"/>
      <c r="AM54" s="31"/>
      <c r="AN54" s="31"/>
      <c r="AO54" s="31"/>
      <c r="AP54" s="31"/>
      <c r="AQ54" s="31"/>
      <c r="AR54" s="31"/>
      <c r="AS54" s="27"/>
      <c r="AT54" s="27"/>
      <c r="AU54" s="27"/>
      <c r="AV54" s="27"/>
      <c r="AW54" s="27"/>
      <c r="AX54" s="27"/>
      <c r="AY54" s="27"/>
      <c r="AZ54" s="27"/>
      <c r="BA54" s="27"/>
      <c r="BB54" s="31"/>
      <c r="BC54" s="32"/>
      <c r="BD54" s="431"/>
      <c r="BE54" s="360"/>
      <c r="BF54" s="32"/>
      <c r="BG54" s="14"/>
      <c r="BH54" s="14"/>
      <c r="BI54" s="14"/>
      <c r="BJ54" s="14"/>
      <c r="BK54" s="14"/>
      <c r="BL54" s="14"/>
      <c r="BM54" s="14"/>
      <c r="BN54" s="14"/>
      <c r="BO54" s="14"/>
      <c r="BP54" s="14"/>
    </row>
    <row r="55" spans="1:68" s="29" customFormat="1" ht="9">
      <c r="A55" s="258"/>
      <c r="B55" s="27"/>
      <c r="C55" s="100"/>
      <c r="D55" s="27"/>
      <c r="E55" s="27"/>
      <c r="F55" s="27"/>
      <c r="G55" s="27"/>
      <c r="H55" s="27"/>
      <c r="I55" s="27"/>
      <c r="J55" s="27"/>
      <c r="K55" s="31"/>
      <c r="L55" s="31"/>
      <c r="M55" s="31"/>
      <c r="N55" s="31"/>
      <c r="O55" s="148" t="s">
        <v>548</v>
      </c>
      <c r="P55" s="148" t="s">
        <v>548</v>
      </c>
      <c r="Q55" s="148"/>
      <c r="R55" s="27"/>
      <c r="S55" s="27"/>
      <c r="U55" s="27"/>
      <c r="W55" s="27"/>
      <c r="X55" s="27"/>
      <c r="Z55" s="27"/>
      <c r="AA55" s="27"/>
      <c r="AB55" s="27"/>
      <c r="AC55" s="27"/>
      <c r="AD55" s="27"/>
      <c r="AE55" s="27"/>
      <c r="AF55" s="27"/>
      <c r="AG55" s="27"/>
      <c r="AH55" s="31"/>
      <c r="AI55" s="31"/>
      <c r="AJ55" s="31"/>
      <c r="AK55" s="31"/>
      <c r="AL55" s="31"/>
      <c r="AM55" s="31"/>
      <c r="AN55" s="31"/>
      <c r="AO55" s="31"/>
      <c r="AP55" s="31"/>
      <c r="AQ55" s="31"/>
      <c r="AR55" s="31"/>
      <c r="AS55" s="27"/>
      <c r="AT55" s="27"/>
      <c r="AU55" s="27"/>
      <c r="AV55" s="27"/>
      <c r="AW55" s="27"/>
      <c r="AX55" s="27"/>
      <c r="AY55" s="27"/>
      <c r="AZ55" s="27"/>
      <c r="BA55" s="27"/>
      <c r="BB55" s="31"/>
      <c r="BC55" s="32"/>
      <c r="BD55" s="431"/>
      <c r="BE55" s="360"/>
      <c r="BF55" s="32"/>
      <c r="BG55" s="14"/>
      <c r="BH55" s="14"/>
      <c r="BI55" s="14"/>
      <c r="BJ55" s="14"/>
      <c r="BK55" s="14"/>
      <c r="BL55" s="14"/>
      <c r="BM55" s="14"/>
      <c r="BN55" s="14"/>
      <c r="BO55" s="14"/>
      <c r="BP55" s="14"/>
    </row>
    <row r="56" spans="1:68" s="29" customFormat="1" ht="9">
      <c r="A56" s="258"/>
      <c r="B56" s="27"/>
      <c r="C56" s="100"/>
      <c r="D56" s="27"/>
      <c r="E56" s="27"/>
      <c r="F56" s="27"/>
      <c r="G56" s="27"/>
      <c r="H56" s="27"/>
      <c r="I56" s="27"/>
      <c r="J56" s="27"/>
      <c r="K56" s="31"/>
      <c r="L56" s="31"/>
      <c r="M56" s="31"/>
      <c r="N56" s="31"/>
      <c r="O56" s="148" t="s">
        <v>549</v>
      </c>
      <c r="P56" s="148" t="s">
        <v>549</v>
      </c>
      <c r="Q56" s="148"/>
      <c r="R56" s="27"/>
      <c r="S56" s="27"/>
      <c r="U56" s="27"/>
      <c r="W56" s="27"/>
      <c r="X56" s="27"/>
      <c r="Z56" s="27"/>
      <c r="AA56" s="27"/>
      <c r="AB56" s="27"/>
      <c r="AC56" s="27"/>
      <c r="AD56" s="27"/>
      <c r="AE56" s="27"/>
      <c r="AF56" s="27"/>
      <c r="AG56" s="27"/>
      <c r="AH56" s="31"/>
      <c r="AI56" s="31"/>
      <c r="AJ56" s="31"/>
      <c r="AK56" s="31"/>
      <c r="AL56" s="31"/>
      <c r="AM56" s="31"/>
      <c r="AN56" s="31"/>
      <c r="AO56" s="31"/>
      <c r="AP56" s="31"/>
      <c r="AQ56" s="31"/>
      <c r="AR56" s="31"/>
      <c r="AS56" s="27"/>
      <c r="AT56" s="27"/>
      <c r="AU56" s="27"/>
      <c r="AV56" s="27"/>
      <c r="AW56" s="27"/>
      <c r="AX56" s="27"/>
      <c r="AY56" s="27"/>
      <c r="AZ56" s="27"/>
      <c r="BA56" s="27"/>
      <c r="BB56" s="31"/>
      <c r="BC56" s="32"/>
      <c r="BD56" s="431"/>
      <c r="BE56" s="360"/>
      <c r="BF56" s="32"/>
      <c r="BG56" s="14"/>
      <c r="BH56" s="14"/>
      <c r="BI56" s="14"/>
      <c r="BJ56" s="14"/>
      <c r="BK56" s="14"/>
      <c r="BL56" s="14"/>
      <c r="BM56" s="14"/>
      <c r="BN56" s="14"/>
      <c r="BO56" s="14"/>
      <c r="BP56" s="14"/>
    </row>
    <row r="57" spans="1:68" s="29" customFormat="1" ht="9">
      <c r="A57" s="253"/>
      <c r="B57" s="31"/>
      <c r="C57" s="151"/>
      <c r="D57" s="31"/>
      <c r="E57" s="31"/>
      <c r="F57" s="31"/>
      <c r="G57" s="31"/>
      <c r="H57" s="31"/>
      <c r="I57" s="31"/>
      <c r="J57" s="31"/>
      <c r="K57" s="31"/>
      <c r="L57" s="31"/>
      <c r="M57" s="31"/>
      <c r="N57" s="31"/>
      <c r="O57" s="148" t="s">
        <v>550</v>
      </c>
      <c r="P57" s="148" t="s">
        <v>550</v>
      </c>
      <c r="Q57" s="148"/>
      <c r="R57" s="31"/>
      <c r="S57" s="27"/>
      <c r="U57" s="27"/>
      <c r="W57" s="27"/>
      <c r="X57" s="27"/>
      <c r="Z57" s="27"/>
      <c r="AA57" s="27"/>
      <c r="AB57" s="27"/>
      <c r="AC57" s="27"/>
      <c r="AD57" s="27"/>
      <c r="AE57" s="27"/>
      <c r="AF57" s="27"/>
      <c r="AG57" s="27"/>
      <c r="AH57" s="31"/>
      <c r="AI57" s="31"/>
      <c r="AJ57" s="31"/>
      <c r="AK57" s="31"/>
      <c r="AL57" s="31"/>
      <c r="AM57" s="31"/>
      <c r="AN57" s="31"/>
      <c r="AO57" s="31"/>
      <c r="AP57" s="31"/>
      <c r="AQ57" s="31"/>
      <c r="AR57" s="31"/>
      <c r="AS57" s="27"/>
      <c r="AT57" s="27"/>
      <c r="AU57" s="27"/>
      <c r="AV57" s="27"/>
      <c r="AW57" s="27"/>
      <c r="AX57" s="27"/>
      <c r="AY57" s="27"/>
      <c r="AZ57" s="27"/>
      <c r="BA57" s="27"/>
      <c r="BB57" s="31"/>
      <c r="BC57" s="32"/>
      <c r="BD57" s="431"/>
      <c r="BE57" s="360"/>
      <c r="BF57" s="32"/>
      <c r="BG57" s="14"/>
      <c r="BH57" s="14"/>
      <c r="BI57" s="14"/>
      <c r="BJ57" s="14"/>
      <c r="BK57" s="14"/>
      <c r="BL57" s="14"/>
      <c r="BM57" s="14"/>
      <c r="BN57" s="14"/>
      <c r="BO57" s="14"/>
      <c r="BP57" s="14"/>
    </row>
    <row r="58" spans="1:68" s="29" customFormat="1" ht="9">
      <c r="A58" s="253"/>
      <c r="B58" s="31"/>
      <c r="C58" s="151"/>
      <c r="D58" s="31"/>
      <c r="E58" s="31"/>
      <c r="F58" s="31"/>
      <c r="G58" s="31"/>
      <c r="H58" s="31"/>
      <c r="I58" s="31"/>
      <c r="J58" s="31"/>
      <c r="K58" s="31"/>
      <c r="L58" s="31"/>
      <c r="M58" s="31"/>
      <c r="N58" s="31"/>
      <c r="O58" s="148" t="s">
        <v>551</v>
      </c>
      <c r="P58" s="148" t="s">
        <v>551</v>
      </c>
      <c r="Q58" s="148"/>
      <c r="R58" s="31"/>
      <c r="S58" s="27"/>
      <c r="U58" s="27"/>
      <c r="W58" s="27"/>
      <c r="X58" s="27"/>
      <c r="Z58" s="27"/>
      <c r="AA58" s="27"/>
      <c r="AB58" s="27"/>
      <c r="AC58" s="27"/>
      <c r="AD58" s="27"/>
      <c r="AE58" s="27"/>
      <c r="AF58" s="27"/>
      <c r="AG58" s="27"/>
      <c r="AH58" s="31"/>
      <c r="AI58" s="31"/>
      <c r="AJ58" s="31"/>
      <c r="AK58" s="31"/>
      <c r="AL58" s="31"/>
      <c r="AM58" s="31"/>
      <c r="AN58" s="31"/>
      <c r="AO58" s="31"/>
      <c r="AP58" s="31"/>
      <c r="AQ58" s="31"/>
      <c r="AR58" s="31"/>
      <c r="AS58" s="27"/>
      <c r="AT58" s="27"/>
      <c r="AU58" s="27"/>
      <c r="AV58" s="27"/>
      <c r="AW58" s="27"/>
      <c r="AX58" s="27"/>
      <c r="AY58" s="27"/>
      <c r="AZ58" s="27"/>
      <c r="BA58" s="27"/>
      <c r="BB58" s="31"/>
      <c r="BC58" s="32"/>
      <c r="BD58" s="431"/>
      <c r="BE58" s="360"/>
      <c r="BF58" s="32"/>
      <c r="BG58" s="14"/>
      <c r="BH58" s="14"/>
      <c r="BI58" s="14"/>
      <c r="BJ58" s="14"/>
      <c r="BK58" s="14"/>
      <c r="BL58" s="14"/>
      <c r="BM58" s="14"/>
      <c r="BN58" s="14"/>
      <c r="BO58" s="14"/>
      <c r="BP58" s="14"/>
    </row>
    <row r="59" spans="1:68" s="29" customFormat="1" ht="9">
      <c r="A59" s="253"/>
      <c r="B59" s="31"/>
      <c r="C59" s="151"/>
      <c r="D59" s="31"/>
      <c r="E59" s="31"/>
      <c r="F59" s="31"/>
      <c r="G59" s="31"/>
      <c r="H59" s="31"/>
      <c r="I59" s="31"/>
      <c r="J59" s="31"/>
      <c r="K59" s="31"/>
      <c r="L59" s="31"/>
      <c r="M59" s="31"/>
      <c r="N59" s="31"/>
      <c r="O59" s="148" t="s">
        <v>552</v>
      </c>
      <c r="P59" s="148" t="s">
        <v>552</v>
      </c>
      <c r="Q59" s="148"/>
      <c r="R59" s="31"/>
      <c r="S59" s="27"/>
      <c r="U59" s="27"/>
      <c r="W59" s="27"/>
      <c r="X59" s="27"/>
      <c r="Z59" s="27"/>
      <c r="AA59" s="27"/>
      <c r="AB59" s="27"/>
      <c r="AC59" s="27"/>
      <c r="AD59" s="27"/>
      <c r="AE59" s="27"/>
      <c r="AF59" s="27"/>
      <c r="AG59" s="27"/>
      <c r="AH59" s="31"/>
      <c r="AI59" s="31"/>
      <c r="AJ59" s="31"/>
      <c r="AK59" s="31"/>
      <c r="AL59" s="31"/>
      <c r="AM59" s="31"/>
      <c r="AN59" s="31"/>
      <c r="AO59" s="31"/>
      <c r="AP59" s="31"/>
      <c r="AQ59" s="31"/>
      <c r="AR59" s="31"/>
      <c r="AS59" s="27"/>
      <c r="AT59" s="27"/>
      <c r="AU59" s="27"/>
      <c r="AV59" s="27"/>
      <c r="AW59" s="27"/>
      <c r="AX59" s="27"/>
      <c r="AY59" s="27"/>
      <c r="AZ59" s="27"/>
      <c r="BA59" s="27"/>
      <c r="BB59" s="31"/>
      <c r="BC59" s="32"/>
      <c r="BD59" s="431"/>
      <c r="BE59" s="360"/>
      <c r="BF59" s="32"/>
      <c r="BG59" s="14"/>
      <c r="BH59" s="14"/>
      <c r="BI59" s="14"/>
      <c r="BJ59" s="14"/>
      <c r="BK59" s="14"/>
      <c r="BL59" s="14"/>
      <c r="BM59" s="14"/>
      <c r="BN59" s="14"/>
      <c r="BO59" s="14"/>
      <c r="BP59" s="14"/>
    </row>
    <row r="60" spans="1:68" s="29" customFormat="1" ht="9">
      <c r="A60" s="253"/>
      <c r="B60" s="31"/>
      <c r="C60" s="151"/>
      <c r="D60" s="31"/>
      <c r="E60" s="31"/>
      <c r="F60" s="31"/>
      <c r="G60" s="31"/>
      <c r="H60" s="31"/>
      <c r="I60" s="31"/>
      <c r="J60" s="31"/>
      <c r="K60" s="31"/>
      <c r="L60" s="31"/>
      <c r="M60" s="31"/>
      <c r="N60" s="31"/>
      <c r="O60" s="148" t="s">
        <v>553</v>
      </c>
      <c r="P60" s="148" t="s">
        <v>553</v>
      </c>
      <c r="Q60" s="148"/>
      <c r="R60" s="31"/>
      <c r="S60" s="27"/>
      <c r="U60" s="27"/>
      <c r="W60" s="27"/>
      <c r="X60" s="27"/>
      <c r="Z60" s="27"/>
      <c r="AA60" s="27"/>
      <c r="AB60" s="27"/>
      <c r="AC60" s="27"/>
      <c r="AD60" s="27"/>
      <c r="AE60" s="27"/>
      <c r="AF60" s="27"/>
      <c r="AG60" s="27"/>
      <c r="AH60" s="31"/>
      <c r="AI60" s="31"/>
      <c r="AJ60" s="31"/>
      <c r="AK60" s="31"/>
      <c r="AL60" s="31"/>
      <c r="AM60" s="31"/>
      <c r="AN60" s="31"/>
      <c r="AO60" s="31"/>
      <c r="AP60" s="31"/>
      <c r="AQ60" s="31"/>
      <c r="AR60" s="31"/>
      <c r="AS60" s="27"/>
      <c r="AT60" s="27"/>
      <c r="AU60" s="27"/>
      <c r="AV60" s="27"/>
      <c r="AW60" s="27"/>
      <c r="AX60" s="27"/>
      <c r="AY60" s="27"/>
      <c r="AZ60" s="27"/>
      <c r="BA60" s="27"/>
      <c r="BB60" s="31"/>
      <c r="BC60" s="32"/>
      <c r="BD60" s="431"/>
      <c r="BE60" s="360"/>
      <c r="BF60" s="32"/>
      <c r="BG60" s="14"/>
      <c r="BH60" s="14"/>
      <c r="BI60" s="14"/>
      <c r="BJ60" s="14"/>
      <c r="BK60" s="14"/>
      <c r="BL60" s="14"/>
      <c r="BM60" s="14"/>
      <c r="BN60" s="14"/>
      <c r="BO60" s="14"/>
      <c r="BP60" s="14"/>
    </row>
    <row r="61" spans="1:68" s="29" customFormat="1" ht="9">
      <c r="A61" s="253"/>
      <c r="B61" s="31"/>
      <c r="C61" s="151"/>
      <c r="D61" s="31"/>
      <c r="E61" s="31"/>
      <c r="F61" s="31"/>
      <c r="G61" s="31"/>
      <c r="H61" s="31"/>
      <c r="I61" s="31"/>
      <c r="J61" s="31"/>
      <c r="K61" s="31"/>
      <c r="L61" s="31"/>
      <c r="M61" s="31"/>
      <c r="N61" s="31"/>
      <c r="O61" s="148" t="s">
        <v>554</v>
      </c>
      <c r="P61" s="148" t="s">
        <v>554</v>
      </c>
      <c r="Q61" s="148"/>
      <c r="R61" s="31"/>
      <c r="S61" s="27"/>
      <c r="U61" s="27"/>
      <c r="W61" s="27"/>
      <c r="X61" s="27"/>
      <c r="Z61" s="27"/>
      <c r="AA61" s="27"/>
      <c r="AB61" s="27"/>
      <c r="AC61" s="27"/>
      <c r="AD61" s="27"/>
      <c r="AE61" s="27"/>
      <c r="AF61" s="27"/>
      <c r="AG61" s="27"/>
      <c r="AH61" s="31"/>
      <c r="AI61" s="31"/>
      <c r="AJ61" s="31"/>
      <c r="AK61" s="31"/>
      <c r="AL61" s="31"/>
      <c r="AM61" s="31"/>
      <c r="AN61" s="31"/>
      <c r="AO61" s="31"/>
      <c r="AP61" s="31"/>
      <c r="AQ61" s="31"/>
      <c r="AR61" s="31"/>
      <c r="AS61" s="27"/>
      <c r="AT61" s="27"/>
      <c r="AU61" s="27"/>
      <c r="AV61" s="27"/>
      <c r="AW61" s="27"/>
      <c r="AX61" s="27"/>
      <c r="AY61" s="27"/>
      <c r="AZ61" s="27"/>
      <c r="BA61" s="27"/>
      <c r="BB61" s="31"/>
      <c r="BC61" s="32"/>
      <c r="BD61" s="431"/>
      <c r="BE61" s="360"/>
      <c r="BF61" s="32"/>
      <c r="BG61" s="14"/>
      <c r="BH61" s="14"/>
      <c r="BI61" s="14"/>
      <c r="BJ61" s="14"/>
      <c r="BK61" s="14"/>
      <c r="BL61" s="14"/>
      <c r="BM61" s="14"/>
      <c r="BN61" s="14"/>
      <c r="BO61" s="14"/>
      <c r="BP61" s="14"/>
    </row>
    <row r="62" spans="1:68" s="29" customFormat="1" ht="9">
      <c r="A62" s="253"/>
      <c r="B62" s="31"/>
      <c r="C62" s="151"/>
      <c r="D62" s="31"/>
      <c r="E62" s="31"/>
      <c r="F62" s="31"/>
      <c r="G62" s="31"/>
      <c r="H62" s="31"/>
      <c r="I62" s="31"/>
      <c r="J62" s="31"/>
      <c r="K62" s="31"/>
      <c r="L62" s="31"/>
      <c r="M62" s="31"/>
      <c r="N62" s="31"/>
      <c r="O62" s="148" t="s">
        <v>555</v>
      </c>
      <c r="P62" s="148" t="s">
        <v>555</v>
      </c>
      <c r="Q62" s="370"/>
      <c r="R62" s="31"/>
      <c r="S62" s="27"/>
      <c r="U62" s="27"/>
      <c r="W62" s="27"/>
      <c r="X62" s="27"/>
      <c r="Z62" s="27"/>
      <c r="AA62" s="27"/>
      <c r="AB62" s="27"/>
      <c r="AC62" s="27"/>
      <c r="AD62" s="27"/>
      <c r="AE62" s="27"/>
      <c r="AF62" s="27"/>
      <c r="AG62" s="27"/>
      <c r="AH62" s="31"/>
      <c r="AI62" s="31"/>
      <c r="AJ62" s="31"/>
      <c r="AK62" s="31"/>
      <c r="AL62" s="31"/>
      <c r="AM62" s="31"/>
      <c r="AN62" s="31"/>
      <c r="AO62" s="31"/>
      <c r="AP62" s="31"/>
      <c r="AQ62" s="31"/>
      <c r="AR62" s="31"/>
      <c r="AS62" s="27"/>
      <c r="AT62" s="27"/>
      <c r="AU62" s="27"/>
      <c r="AV62" s="27"/>
      <c r="AW62" s="27"/>
      <c r="AX62" s="27"/>
      <c r="AY62" s="27"/>
      <c r="AZ62" s="27"/>
      <c r="BA62" s="27"/>
      <c r="BB62" s="31"/>
      <c r="BC62" s="32"/>
      <c r="BD62" s="431"/>
      <c r="BE62" s="360"/>
      <c r="BF62" s="32"/>
      <c r="BG62" s="14"/>
      <c r="BH62" s="14"/>
      <c r="BI62" s="14"/>
      <c r="BJ62" s="14"/>
      <c r="BK62" s="14"/>
      <c r="BL62" s="14"/>
      <c r="BM62" s="14"/>
      <c r="BN62" s="14"/>
      <c r="BO62" s="14"/>
      <c r="BP62" s="14"/>
    </row>
    <row r="63" spans="1:68" s="29" customFormat="1" ht="9">
      <c r="A63" s="253"/>
      <c r="B63" s="31"/>
      <c r="C63" s="151"/>
      <c r="D63" s="31"/>
      <c r="E63" s="31"/>
      <c r="F63" s="31"/>
      <c r="G63" s="31"/>
      <c r="H63" s="31"/>
      <c r="I63" s="31"/>
      <c r="J63" s="31"/>
      <c r="K63" s="31"/>
      <c r="L63" s="31"/>
      <c r="M63" s="31"/>
      <c r="N63" s="31"/>
      <c r="O63" s="148" t="s">
        <v>556</v>
      </c>
      <c r="P63" s="148" t="s">
        <v>556</v>
      </c>
      <c r="Q63" s="370"/>
      <c r="R63" s="31"/>
      <c r="S63" s="27"/>
      <c r="U63" s="27"/>
      <c r="W63" s="27"/>
      <c r="X63" s="27"/>
      <c r="Z63" s="27"/>
      <c r="AA63" s="27"/>
      <c r="AB63" s="27"/>
      <c r="AC63" s="27"/>
      <c r="AD63" s="27"/>
      <c r="AE63" s="27"/>
      <c r="AF63" s="27"/>
      <c r="AG63" s="27"/>
      <c r="AH63" s="31"/>
      <c r="AI63" s="31"/>
      <c r="AJ63" s="31"/>
      <c r="AK63" s="31"/>
      <c r="AL63" s="31"/>
      <c r="AM63" s="31"/>
      <c r="AN63" s="31"/>
      <c r="AO63" s="31"/>
      <c r="AP63" s="31"/>
      <c r="AQ63" s="31"/>
      <c r="AR63" s="31"/>
      <c r="AS63" s="27"/>
      <c r="AT63" s="27"/>
      <c r="AU63" s="27"/>
      <c r="AV63" s="27"/>
      <c r="AW63" s="27"/>
      <c r="AX63" s="27"/>
      <c r="AY63" s="27"/>
      <c r="AZ63" s="27"/>
      <c r="BA63" s="27"/>
      <c r="BB63" s="31"/>
      <c r="BC63" s="32"/>
      <c r="BD63" s="431"/>
      <c r="BE63" s="360"/>
      <c r="BF63" s="32"/>
      <c r="BG63" s="14"/>
      <c r="BH63" s="14"/>
      <c r="BI63" s="14"/>
      <c r="BJ63" s="14"/>
      <c r="BK63" s="14"/>
      <c r="BL63" s="14"/>
      <c r="BM63" s="14"/>
      <c r="BN63" s="14"/>
      <c r="BO63" s="14"/>
      <c r="BP63" s="14"/>
    </row>
    <row r="64" spans="1:68" s="29" customFormat="1" ht="9">
      <c r="A64" s="253"/>
      <c r="B64" s="31"/>
      <c r="C64" s="151"/>
      <c r="D64" s="31"/>
      <c r="E64" s="31"/>
      <c r="F64" s="31"/>
      <c r="G64" s="31"/>
      <c r="H64" s="31"/>
      <c r="I64" s="31"/>
      <c r="J64" s="31"/>
      <c r="K64" s="31"/>
      <c r="L64" s="31"/>
      <c r="M64" s="31"/>
      <c r="N64" s="31"/>
      <c r="O64" s="148" t="s">
        <v>557</v>
      </c>
      <c r="P64" s="148" t="s">
        <v>557</v>
      </c>
      <c r="Q64" s="370"/>
      <c r="R64" s="31"/>
      <c r="S64" s="27"/>
      <c r="U64" s="27"/>
      <c r="W64" s="27"/>
      <c r="X64" s="27"/>
      <c r="Z64" s="27"/>
      <c r="AA64" s="27"/>
      <c r="AB64" s="27"/>
      <c r="AC64" s="27"/>
      <c r="AD64" s="27"/>
      <c r="AE64" s="27"/>
      <c r="AF64" s="27"/>
      <c r="AG64" s="27"/>
      <c r="AH64" s="31"/>
      <c r="AI64" s="31"/>
      <c r="AJ64" s="31"/>
      <c r="AK64" s="31"/>
      <c r="AL64" s="31"/>
      <c r="AM64" s="31"/>
      <c r="AN64" s="31"/>
      <c r="AO64" s="31"/>
      <c r="AP64" s="31"/>
      <c r="AQ64" s="31"/>
      <c r="AR64" s="31"/>
      <c r="AS64" s="27"/>
      <c r="AT64" s="27"/>
      <c r="AU64" s="27"/>
      <c r="AV64" s="27"/>
      <c r="AW64" s="27"/>
      <c r="AX64" s="27"/>
      <c r="AY64" s="27"/>
      <c r="AZ64" s="27"/>
      <c r="BA64" s="27"/>
      <c r="BB64" s="31"/>
      <c r="BC64" s="32"/>
      <c r="BD64" s="431"/>
      <c r="BE64" s="360"/>
      <c r="BF64" s="32"/>
      <c r="BG64" s="14"/>
      <c r="BH64" s="14"/>
      <c r="BI64" s="14"/>
      <c r="BJ64" s="14"/>
      <c r="BK64" s="14"/>
      <c r="BL64" s="14"/>
      <c r="BM64" s="14"/>
      <c r="BN64" s="14"/>
      <c r="BO64" s="14"/>
      <c r="BP64" s="14"/>
    </row>
    <row r="65" spans="1:68" s="29" customFormat="1" ht="9">
      <c r="A65" s="253"/>
      <c r="B65" s="31"/>
      <c r="C65" s="151"/>
      <c r="D65" s="31"/>
      <c r="E65" s="31"/>
      <c r="F65" s="31"/>
      <c r="G65" s="31"/>
      <c r="H65" s="31"/>
      <c r="I65" s="31"/>
      <c r="J65" s="31"/>
      <c r="K65" s="31"/>
      <c r="L65" s="31"/>
      <c r="M65" s="31"/>
      <c r="N65" s="31"/>
      <c r="O65" s="148" t="s">
        <v>558</v>
      </c>
      <c r="P65" s="148" t="s">
        <v>558</v>
      </c>
      <c r="Q65" s="148"/>
      <c r="R65" s="31"/>
      <c r="S65" s="27"/>
      <c r="U65" s="27"/>
      <c r="W65" s="27"/>
      <c r="X65" s="27"/>
      <c r="Z65" s="27"/>
      <c r="AA65" s="27"/>
      <c r="AB65" s="27"/>
      <c r="AC65" s="27"/>
      <c r="AD65" s="27"/>
      <c r="AE65" s="27"/>
      <c r="AF65" s="27"/>
      <c r="AG65" s="27"/>
      <c r="AH65" s="31"/>
      <c r="AI65" s="31"/>
      <c r="AJ65" s="31"/>
      <c r="AK65" s="31"/>
      <c r="AL65" s="31"/>
      <c r="AM65" s="31"/>
      <c r="AN65" s="31"/>
      <c r="AO65" s="31"/>
      <c r="AP65" s="31"/>
      <c r="AQ65" s="31"/>
      <c r="AR65" s="31"/>
      <c r="AS65" s="27"/>
      <c r="AT65" s="27"/>
      <c r="AU65" s="27"/>
      <c r="AV65" s="27"/>
      <c r="AW65" s="27"/>
      <c r="AX65" s="27"/>
      <c r="AY65" s="27"/>
      <c r="AZ65" s="27"/>
      <c r="BA65" s="27"/>
      <c r="BB65" s="31"/>
      <c r="BC65" s="32"/>
      <c r="BD65" s="431"/>
      <c r="BE65" s="360"/>
      <c r="BF65" s="32"/>
      <c r="BG65" s="14"/>
      <c r="BH65" s="14"/>
      <c r="BI65" s="14"/>
      <c r="BJ65" s="14"/>
      <c r="BK65" s="14"/>
      <c r="BL65" s="14"/>
      <c r="BM65" s="14"/>
      <c r="BN65" s="14"/>
      <c r="BO65" s="14"/>
      <c r="BP65" s="14"/>
    </row>
    <row r="66" spans="1:68" s="29" customFormat="1" ht="9">
      <c r="A66" s="253"/>
      <c r="B66" s="31"/>
      <c r="C66" s="151"/>
      <c r="D66" s="31"/>
      <c r="E66" s="31"/>
      <c r="F66" s="31"/>
      <c r="G66" s="31"/>
      <c r="H66" s="31"/>
      <c r="I66" s="31"/>
      <c r="J66" s="31"/>
      <c r="K66" s="31"/>
      <c r="L66" s="31"/>
      <c r="M66" s="31"/>
      <c r="N66" s="31"/>
      <c r="O66" s="148" t="s">
        <v>559</v>
      </c>
      <c r="P66" s="148" t="s">
        <v>559</v>
      </c>
      <c r="Q66" s="148"/>
      <c r="R66" s="31"/>
      <c r="S66" s="27"/>
      <c r="U66" s="27"/>
      <c r="W66" s="27"/>
      <c r="X66" s="27"/>
      <c r="Z66" s="27"/>
      <c r="AA66" s="27"/>
      <c r="AB66" s="27"/>
      <c r="AC66" s="27"/>
      <c r="AD66" s="27"/>
      <c r="AE66" s="27"/>
      <c r="AF66" s="27"/>
      <c r="AG66" s="27"/>
      <c r="AH66" s="31"/>
      <c r="AI66" s="31"/>
      <c r="AJ66" s="31"/>
      <c r="AK66" s="31"/>
      <c r="AL66" s="31"/>
      <c r="AM66" s="31"/>
      <c r="AN66" s="31"/>
      <c r="AO66" s="31"/>
      <c r="AP66" s="31"/>
      <c r="AQ66" s="31"/>
      <c r="AR66" s="31"/>
      <c r="AS66" s="27"/>
      <c r="AT66" s="27"/>
      <c r="AU66" s="27"/>
      <c r="AV66" s="27"/>
      <c r="AW66" s="27"/>
      <c r="AX66" s="27"/>
      <c r="AY66" s="27"/>
      <c r="AZ66" s="27"/>
      <c r="BA66" s="27"/>
      <c r="BB66" s="31"/>
      <c r="BC66" s="32"/>
      <c r="BD66" s="431"/>
      <c r="BE66" s="360"/>
      <c r="BF66" s="32"/>
      <c r="BG66" s="14"/>
      <c r="BH66" s="14"/>
      <c r="BI66" s="14"/>
      <c r="BJ66" s="14"/>
      <c r="BK66" s="14"/>
      <c r="BL66" s="14"/>
      <c r="BM66" s="14"/>
      <c r="BN66" s="14"/>
      <c r="BO66" s="14"/>
      <c r="BP66" s="14"/>
    </row>
    <row r="67" spans="1:68" s="29" customFormat="1" ht="9">
      <c r="A67" s="253"/>
      <c r="B67" s="31"/>
      <c r="C67" s="151"/>
      <c r="D67" s="31"/>
      <c r="E67" s="31"/>
      <c r="F67" s="31"/>
      <c r="G67" s="31"/>
      <c r="H67" s="31"/>
      <c r="I67" s="31"/>
      <c r="J67" s="31"/>
      <c r="K67" s="31"/>
      <c r="L67" s="31"/>
      <c r="M67" s="31"/>
      <c r="N67" s="31"/>
      <c r="O67" s="148" t="s">
        <v>560</v>
      </c>
      <c r="P67" s="148" t="s">
        <v>560</v>
      </c>
      <c r="Q67" s="148"/>
      <c r="R67" s="31"/>
      <c r="S67" s="27"/>
      <c r="U67" s="27"/>
      <c r="W67" s="27"/>
      <c r="X67" s="27"/>
      <c r="Z67" s="27"/>
      <c r="AA67" s="27"/>
      <c r="AB67" s="27"/>
      <c r="AC67" s="27"/>
      <c r="AD67" s="27"/>
      <c r="AE67" s="27"/>
      <c r="AF67" s="27"/>
      <c r="AG67" s="27"/>
      <c r="AH67" s="31"/>
      <c r="AI67" s="31"/>
      <c r="AJ67" s="31"/>
      <c r="AK67" s="31"/>
      <c r="AL67" s="31"/>
      <c r="AM67" s="31"/>
      <c r="AN67" s="31"/>
      <c r="AO67" s="31"/>
      <c r="AP67" s="31"/>
      <c r="AQ67" s="31"/>
      <c r="AR67" s="31"/>
      <c r="AS67" s="27"/>
      <c r="AT67" s="27"/>
      <c r="AU67" s="27"/>
      <c r="AV67" s="27"/>
      <c r="AW67" s="27"/>
      <c r="AX67" s="27"/>
      <c r="AY67" s="27"/>
      <c r="AZ67" s="27"/>
      <c r="BA67" s="27"/>
      <c r="BB67" s="31"/>
      <c r="BC67" s="32"/>
      <c r="BD67" s="431"/>
      <c r="BE67" s="360"/>
      <c r="BF67" s="32"/>
      <c r="BG67" s="14"/>
      <c r="BH67" s="14"/>
      <c r="BI67" s="14"/>
      <c r="BJ67" s="14"/>
      <c r="BK67" s="14"/>
      <c r="BL67" s="14"/>
      <c r="BM67" s="14"/>
      <c r="BN67" s="14"/>
      <c r="BO67" s="14"/>
      <c r="BP67" s="14"/>
    </row>
    <row r="68" spans="1:68" s="29" customFormat="1" ht="9">
      <c r="A68" s="253"/>
      <c r="B68" s="31"/>
      <c r="C68" s="151"/>
      <c r="D68" s="31"/>
      <c r="E68" s="31"/>
      <c r="F68" s="31"/>
      <c r="G68" s="31"/>
      <c r="H68" s="31"/>
      <c r="I68" s="31"/>
      <c r="J68" s="31"/>
      <c r="K68" s="31"/>
      <c r="L68" s="31"/>
      <c r="M68" s="31"/>
      <c r="N68" s="31"/>
      <c r="O68" s="148" t="s">
        <v>561</v>
      </c>
      <c r="P68" s="148" t="s">
        <v>561</v>
      </c>
      <c r="Q68" s="370"/>
      <c r="R68" s="31"/>
      <c r="S68" s="31"/>
      <c r="T68" s="370"/>
      <c r="U68" s="31"/>
      <c r="V68" s="370"/>
      <c r="W68" s="31"/>
      <c r="X68" s="31"/>
      <c r="Y68" s="370"/>
      <c r="Z68" s="31"/>
      <c r="AA68" s="31"/>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2"/>
      <c r="BD68" s="431"/>
      <c r="BE68" s="360"/>
      <c r="BF68" s="32"/>
      <c r="BG68" s="14"/>
      <c r="BH68" s="14"/>
      <c r="BI68" s="14"/>
      <c r="BJ68" s="14"/>
      <c r="BK68" s="14"/>
      <c r="BL68" s="14"/>
      <c r="BM68" s="14"/>
      <c r="BN68" s="14"/>
      <c r="BO68" s="14"/>
      <c r="BP68" s="14"/>
    </row>
    <row r="69" spans="1:68" s="29" customFormat="1" ht="9">
      <c r="A69" s="253"/>
      <c r="B69" s="31"/>
      <c r="C69" s="151"/>
      <c r="D69" s="31"/>
      <c r="E69" s="31"/>
      <c r="F69" s="31"/>
      <c r="G69" s="31"/>
      <c r="H69" s="31"/>
      <c r="I69" s="31"/>
      <c r="J69" s="31"/>
      <c r="K69" s="31"/>
      <c r="L69" s="31"/>
      <c r="M69" s="31"/>
      <c r="N69" s="31"/>
      <c r="O69" s="148" t="s">
        <v>562</v>
      </c>
      <c r="P69" s="148" t="s">
        <v>562</v>
      </c>
      <c r="Q69" s="370"/>
      <c r="R69" s="31"/>
      <c r="S69" s="31"/>
      <c r="T69" s="370"/>
      <c r="U69" s="31"/>
      <c r="V69" s="370"/>
      <c r="W69" s="31"/>
      <c r="X69" s="31"/>
      <c r="Y69" s="370"/>
      <c r="Z69" s="31"/>
      <c r="AA69" s="31"/>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2"/>
      <c r="BD69" s="431"/>
      <c r="BE69" s="360"/>
      <c r="BF69" s="32"/>
      <c r="BG69" s="14"/>
      <c r="BH69" s="14"/>
      <c r="BI69" s="14"/>
      <c r="BJ69" s="14"/>
      <c r="BK69" s="14"/>
      <c r="BL69" s="14"/>
      <c r="BM69" s="14"/>
      <c r="BN69" s="14"/>
      <c r="BO69" s="14"/>
      <c r="BP69" s="14"/>
    </row>
    <row r="70" spans="1:68" s="29" customFormat="1" ht="9">
      <c r="A70" s="253"/>
      <c r="B70" s="31"/>
      <c r="C70" s="151"/>
      <c r="D70" s="31"/>
      <c r="E70" s="31"/>
      <c r="F70" s="31"/>
      <c r="G70" s="31"/>
      <c r="H70" s="31"/>
      <c r="I70" s="31"/>
      <c r="J70" s="31"/>
      <c r="K70" s="31"/>
      <c r="L70" s="31"/>
      <c r="M70" s="31"/>
      <c r="N70" s="31"/>
      <c r="O70" s="148" t="s">
        <v>563</v>
      </c>
      <c r="P70" s="148" t="s">
        <v>563</v>
      </c>
      <c r="Q70" s="148"/>
      <c r="R70" s="31"/>
      <c r="S70" s="31"/>
      <c r="T70" s="370"/>
      <c r="U70" s="31"/>
      <c r="V70" s="370"/>
      <c r="W70" s="31"/>
      <c r="X70" s="31"/>
      <c r="Y70" s="370"/>
      <c r="Z70" s="31"/>
      <c r="AA70" s="31"/>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2"/>
      <c r="BD70" s="431"/>
      <c r="BE70" s="360"/>
      <c r="BF70" s="32"/>
      <c r="BG70" s="14"/>
      <c r="BH70" s="14"/>
      <c r="BI70" s="14"/>
      <c r="BJ70" s="14"/>
      <c r="BK70" s="14"/>
      <c r="BL70" s="14"/>
      <c r="BM70" s="14"/>
      <c r="BN70" s="14"/>
      <c r="BO70" s="14"/>
      <c r="BP70" s="14"/>
    </row>
    <row r="71" spans="1:68" s="29" customFormat="1" ht="9">
      <c r="A71" s="253"/>
      <c r="B71" s="31"/>
      <c r="C71" s="151"/>
      <c r="D71" s="31"/>
      <c r="E71" s="31"/>
      <c r="F71" s="31"/>
      <c r="G71" s="31"/>
      <c r="H71" s="31"/>
      <c r="I71" s="31"/>
      <c r="J71" s="31"/>
      <c r="K71" s="31"/>
      <c r="L71" s="31"/>
      <c r="M71" s="31"/>
      <c r="N71" s="31"/>
      <c r="O71" s="148" t="s">
        <v>564</v>
      </c>
      <c r="P71" s="148" t="s">
        <v>564</v>
      </c>
      <c r="Q71" s="148"/>
      <c r="R71" s="31"/>
      <c r="S71" s="31"/>
      <c r="T71" s="370"/>
      <c r="U71" s="31"/>
      <c r="V71" s="370"/>
      <c r="W71" s="31"/>
      <c r="X71" s="31"/>
      <c r="Y71" s="370"/>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2"/>
      <c r="BD71" s="431"/>
      <c r="BE71" s="360"/>
      <c r="BF71" s="32"/>
      <c r="BG71" s="14"/>
      <c r="BH71" s="14"/>
      <c r="BI71" s="14"/>
      <c r="BJ71" s="14"/>
      <c r="BK71" s="14"/>
      <c r="BL71" s="14"/>
      <c r="BM71" s="14"/>
      <c r="BN71" s="14"/>
      <c r="BO71" s="14"/>
      <c r="BP71" s="14"/>
    </row>
    <row r="72" spans="1:68" s="29" customFormat="1" ht="9">
      <c r="A72" s="253"/>
      <c r="B72" s="31"/>
      <c r="C72" s="151"/>
      <c r="D72" s="31"/>
      <c r="E72" s="31"/>
      <c r="F72" s="31"/>
      <c r="G72" s="31"/>
      <c r="H72" s="31"/>
      <c r="I72" s="31"/>
      <c r="J72" s="31"/>
      <c r="K72" s="31"/>
      <c r="L72" s="31"/>
      <c r="M72" s="31"/>
      <c r="N72" s="31"/>
      <c r="O72" s="148" t="s">
        <v>565</v>
      </c>
      <c r="P72" s="148" t="s">
        <v>565</v>
      </c>
      <c r="Q72" s="148"/>
      <c r="R72" s="31"/>
      <c r="S72" s="31"/>
      <c r="T72" s="370"/>
      <c r="U72" s="31"/>
      <c r="V72" s="370"/>
      <c r="W72" s="31"/>
      <c r="X72" s="31"/>
      <c r="Y72" s="370"/>
      <c r="Z72" s="31"/>
      <c r="AA72" s="31"/>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2"/>
      <c r="BD72" s="431"/>
      <c r="BE72" s="360"/>
      <c r="BF72" s="32"/>
      <c r="BG72" s="14"/>
      <c r="BH72" s="14"/>
      <c r="BI72" s="14"/>
      <c r="BJ72" s="14"/>
      <c r="BK72" s="14"/>
      <c r="BL72" s="14"/>
      <c r="BM72" s="14"/>
      <c r="BN72" s="14"/>
      <c r="BO72" s="14"/>
      <c r="BP72" s="14"/>
    </row>
    <row r="73" spans="1:68" s="29" customFormat="1" ht="9">
      <c r="A73" s="253"/>
      <c r="B73" s="31"/>
      <c r="C73" s="151"/>
      <c r="D73" s="31"/>
      <c r="E73" s="31"/>
      <c r="F73" s="31"/>
      <c r="G73" s="31"/>
      <c r="H73" s="31"/>
      <c r="I73" s="31"/>
      <c r="J73" s="31"/>
      <c r="K73" s="31"/>
      <c r="L73" s="31"/>
      <c r="M73" s="31"/>
      <c r="N73" s="31"/>
      <c r="O73" s="148" t="s">
        <v>566</v>
      </c>
      <c r="P73" s="148" t="s">
        <v>566</v>
      </c>
      <c r="Q73" s="370"/>
      <c r="R73" s="31"/>
      <c r="S73" s="31"/>
      <c r="T73" s="370"/>
      <c r="U73" s="31"/>
      <c r="V73" s="370"/>
      <c r="W73" s="31"/>
      <c r="X73" s="31"/>
      <c r="Y73" s="370"/>
      <c r="Z73" s="31"/>
      <c r="AA73" s="31"/>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2"/>
      <c r="BD73" s="431"/>
      <c r="BE73" s="360"/>
      <c r="BF73" s="32"/>
      <c r="BG73" s="14"/>
      <c r="BH73" s="14"/>
      <c r="BI73" s="14"/>
      <c r="BJ73" s="14"/>
      <c r="BK73" s="14"/>
      <c r="BL73" s="14"/>
      <c r="BM73" s="14"/>
      <c r="BN73" s="14"/>
      <c r="BO73" s="14"/>
      <c r="BP73" s="14"/>
    </row>
    <row r="74" spans="1:68" s="29" customFormat="1" ht="9">
      <c r="A74" s="253"/>
      <c r="B74" s="31"/>
      <c r="C74" s="151"/>
      <c r="D74" s="31"/>
      <c r="E74" s="31"/>
      <c r="F74" s="31"/>
      <c r="G74" s="31"/>
      <c r="H74" s="31"/>
      <c r="I74" s="31"/>
      <c r="J74" s="31"/>
      <c r="K74" s="31"/>
      <c r="L74" s="31"/>
      <c r="M74" s="31"/>
      <c r="N74" s="31"/>
      <c r="O74" s="148" t="s">
        <v>567</v>
      </c>
      <c r="P74" s="148" t="s">
        <v>567</v>
      </c>
      <c r="Q74" s="148"/>
      <c r="R74" s="31"/>
      <c r="S74" s="31"/>
      <c r="T74" s="370"/>
      <c r="U74" s="31"/>
      <c r="V74" s="370"/>
      <c r="W74" s="31"/>
      <c r="X74" s="31"/>
      <c r="Y74" s="370"/>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2"/>
      <c r="BD74" s="431"/>
      <c r="BE74" s="360"/>
      <c r="BF74" s="32"/>
      <c r="BG74" s="14"/>
      <c r="BH74" s="14"/>
      <c r="BI74" s="14"/>
      <c r="BJ74" s="14"/>
      <c r="BK74" s="14"/>
      <c r="BL74" s="14"/>
      <c r="BM74" s="14"/>
      <c r="BN74" s="14"/>
      <c r="BO74" s="14"/>
      <c r="BP74" s="14"/>
    </row>
    <row r="75" spans="1:68" s="29" customFormat="1" ht="9">
      <c r="A75" s="253"/>
      <c r="B75" s="31"/>
      <c r="C75" s="151"/>
      <c r="D75" s="31"/>
      <c r="E75" s="31"/>
      <c r="F75" s="31"/>
      <c r="G75" s="31"/>
      <c r="H75" s="31"/>
      <c r="I75" s="31"/>
      <c r="J75" s="31"/>
      <c r="K75" s="31"/>
      <c r="L75" s="31"/>
      <c r="M75" s="31"/>
      <c r="N75" s="31"/>
      <c r="O75" s="148" t="s">
        <v>568</v>
      </c>
      <c r="P75" s="148" t="s">
        <v>568</v>
      </c>
      <c r="Q75" s="148"/>
      <c r="R75" s="31"/>
      <c r="S75" s="31"/>
      <c r="T75" s="370"/>
      <c r="U75" s="31"/>
      <c r="V75" s="370"/>
      <c r="W75" s="31"/>
      <c r="X75" s="31"/>
      <c r="Y75" s="370"/>
      <c r="Z75" s="31"/>
      <c r="AA75" s="31"/>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2"/>
      <c r="BD75" s="431"/>
      <c r="BE75" s="360"/>
      <c r="BF75" s="32"/>
      <c r="BG75" s="14"/>
      <c r="BH75" s="14"/>
      <c r="BI75" s="14"/>
      <c r="BJ75" s="14"/>
      <c r="BK75" s="14"/>
      <c r="BL75" s="14"/>
      <c r="BM75" s="14"/>
      <c r="BN75" s="14"/>
      <c r="BO75" s="14"/>
      <c r="BP75" s="14"/>
    </row>
    <row r="76" spans="1:68" s="29" customFormat="1" ht="9">
      <c r="A76" s="253"/>
      <c r="B76" s="31"/>
      <c r="C76" s="151"/>
      <c r="D76" s="31"/>
      <c r="E76" s="31"/>
      <c r="F76" s="31"/>
      <c r="G76" s="31"/>
      <c r="H76" s="31"/>
      <c r="I76" s="31"/>
      <c r="J76" s="31"/>
      <c r="K76" s="31"/>
      <c r="L76" s="31"/>
      <c r="M76" s="31"/>
      <c r="N76" s="31"/>
      <c r="O76" s="148" t="s">
        <v>569</v>
      </c>
      <c r="P76" s="148" t="s">
        <v>569</v>
      </c>
      <c r="Q76" s="148"/>
      <c r="R76" s="31"/>
      <c r="S76" s="31"/>
      <c r="T76" s="370"/>
      <c r="U76" s="31"/>
      <c r="V76" s="370"/>
      <c r="W76" s="31"/>
      <c r="X76" s="31"/>
      <c r="Y76" s="370"/>
      <c r="Z76" s="31"/>
      <c r="AA76" s="31"/>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2"/>
      <c r="BD76" s="431"/>
      <c r="BE76" s="360"/>
      <c r="BF76" s="32"/>
      <c r="BG76" s="14"/>
      <c r="BH76" s="14"/>
      <c r="BI76" s="14"/>
      <c r="BJ76" s="14"/>
      <c r="BK76" s="14"/>
      <c r="BL76" s="14"/>
      <c r="BM76" s="14"/>
      <c r="BN76" s="14"/>
      <c r="BO76" s="14"/>
      <c r="BP76" s="14"/>
    </row>
    <row r="77" spans="1:68" s="29" customFormat="1" ht="9">
      <c r="A77" s="253"/>
      <c r="B77" s="31"/>
      <c r="C77" s="151"/>
      <c r="D77" s="31"/>
      <c r="E77" s="31"/>
      <c r="F77" s="31"/>
      <c r="G77" s="31"/>
      <c r="H77" s="31"/>
      <c r="I77" s="31"/>
      <c r="J77" s="31"/>
      <c r="K77" s="31"/>
      <c r="L77" s="31"/>
      <c r="M77" s="31"/>
      <c r="N77" s="31"/>
      <c r="O77" s="148" t="s">
        <v>570</v>
      </c>
      <c r="P77" s="148" t="s">
        <v>570</v>
      </c>
      <c r="Q77" s="148"/>
      <c r="R77" s="31"/>
      <c r="S77" s="31"/>
      <c r="T77" s="370"/>
      <c r="U77" s="31"/>
      <c r="V77" s="370"/>
      <c r="W77" s="31"/>
      <c r="X77" s="31"/>
      <c r="Y77" s="370"/>
      <c r="Z77" s="31"/>
      <c r="AA77" s="31"/>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2"/>
      <c r="BD77" s="431"/>
      <c r="BE77" s="360"/>
      <c r="BF77" s="32"/>
      <c r="BG77" s="14"/>
      <c r="BH77" s="14"/>
      <c r="BI77" s="14"/>
      <c r="BJ77" s="14"/>
      <c r="BK77" s="14"/>
      <c r="BL77" s="14"/>
      <c r="BM77" s="14"/>
      <c r="BN77" s="14"/>
      <c r="BO77" s="14"/>
      <c r="BP77" s="14"/>
    </row>
    <row r="78" spans="1:68" s="29" customFormat="1" ht="9">
      <c r="A78" s="253"/>
      <c r="B78" s="31"/>
      <c r="C78" s="151"/>
      <c r="D78" s="31"/>
      <c r="E78" s="31"/>
      <c r="F78" s="31"/>
      <c r="G78" s="31"/>
      <c r="H78" s="31"/>
      <c r="I78" s="31"/>
      <c r="J78" s="31"/>
      <c r="K78" s="31"/>
      <c r="L78" s="31"/>
      <c r="M78" s="31"/>
      <c r="N78" s="31"/>
      <c r="O78" s="148" t="s">
        <v>571</v>
      </c>
      <c r="P78" s="148" t="s">
        <v>571</v>
      </c>
      <c r="Q78" s="148"/>
      <c r="R78" s="31"/>
      <c r="S78" s="31"/>
      <c r="T78" s="370"/>
      <c r="U78" s="31"/>
      <c r="V78" s="370"/>
      <c r="W78" s="31"/>
      <c r="X78" s="31"/>
      <c r="Y78" s="370"/>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2"/>
      <c r="BD78" s="431"/>
      <c r="BE78" s="360"/>
      <c r="BF78" s="32"/>
      <c r="BG78" s="14"/>
      <c r="BH78" s="14"/>
      <c r="BI78" s="14"/>
      <c r="BJ78" s="14"/>
      <c r="BK78" s="14"/>
      <c r="BL78" s="14"/>
      <c r="BM78" s="14"/>
      <c r="BN78" s="14"/>
      <c r="BO78" s="14"/>
      <c r="BP78" s="14"/>
    </row>
    <row r="79" spans="1:68" s="29" customFormat="1" ht="9">
      <c r="A79" s="253"/>
      <c r="B79" s="31"/>
      <c r="C79" s="151"/>
      <c r="D79" s="31"/>
      <c r="E79" s="31"/>
      <c r="F79" s="31"/>
      <c r="G79" s="31"/>
      <c r="H79" s="31"/>
      <c r="I79" s="31"/>
      <c r="J79" s="31"/>
      <c r="K79" s="31"/>
      <c r="L79" s="31"/>
      <c r="M79" s="31"/>
      <c r="N79" s="31"/>
      <c r="O79" s="148" t="s">
        <v>572</v>
      </c>
      <c r="P79" s="148" t="s">
        <v>572</v>
      </c>
      <c r="Q79" s="148"/>
      <c r="R79" s="31"/>
      <c r="S79" s="31"/>
      <c r="T79" s="370"/>
      <c r="U79" s="31"/>
      <c r="V79" s="370"/>
      <c r="W79" s="31"/>
      <c r="X79" s="31"/>
      <c r="Y79" s="370"/>
      <c r="Z79" s="31"/>
      <c r="AA79" s="31"/>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2"/>
      <c r="BD79" s="431"/>
      <c r="BE79" s="360"/>
      <c r="BF79" s="32"/>
      <c r="BG79" s="14"/>
      <c r="BH79" s="14"/>
      <c r="BI79" s="14"/>
      <c r="BJ79" s="14"/>
      <c r="BK79" s="14"/>
      <c r="BL79" s="14"/>
      <c r="BM79" s="14"/>
      <c r="BN79" s="14"/>
      <c r="BO79" s="14"/>
      <c r="BP79" s="14"/>
    </row>
    <row r="80" spans="1:68" s="29" customFormat="1" ht="9">
      <c r="A80" s="253"/>
      <c r="B80" s="31"/>
      <c r="C80" s="151"/>
      <c r="D80" s="31"/>
      <c r="E80" s="31"/>
      <c r="F80" s="31"/>
      <c r="G80" s="31"/>
      <c r="H80" s="31"/>
      <c r="I80" s="31"/>
      <c r="J80" s="31"/>
      <c r="K80" s="31"/>
      <c r="L80" s="31"/>
      <c r="M80" s="31"/>
      <c r="N80" s="31"/>
      <c r="O80" s="148" t="s">
        <v>573</v>
      </c>
      <c r="P80" s="148" t="s">
        <v>573</v>
      </c>
      <c r="Q80" s="148"/>
      <c r="R80" s="31"/>
      <c r="S80" s="31"/>
      <c r="T80" s="370"/>
      <c r="U80" s="31"/>
      <c r="V80" s="370"/>
      <c r="W80" s="31"/>
      <c r="X80" s="31"/>
      <c r="Y80" s="370"/>
      <c r="Z80" s="31"/>
      <c r="AA80" s="31"/>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2"/>
      <c r="BD80" s="431"/>
      <c r="BE80" s="360"/>
      <c r="BF80" s="32"/>
      <c r="BG80" s="14"/>
      <c r="BH80" s="14"/>
      <c r="BI80" s="14"/>
      <c r="BJ80" s="14"/>
      <c r="BK80" s="14"/>
      <c r="BL80" s="14"/>
      <c r="BM80" s="14"/>
      <c r="BN80" s="14"/>
      <c r="BO80" s="14"/>
      <c r="BP80" s="14"/>
    </row>
    <row r="81" spans="1:68" s="29" customFormat="1" ht="9">
      <c r="A81" s="253"/>
      <c r="B81" s="31"/>
      <c r="C81" s="151"/>
      <c r="D81" s="31"/>
      <c r="E81" s="31"/>
      <c r="F81" s="31"/>
      <c r="G81" s="31"/>
      <c r="H81" s="31"/>
      <c r="I81" s="31"/>
      <c r="J81" s="31"/>
      <c r="K81" s="31"/>
      <c r="L81" s="31"/>
      <c r="M81" s="31"/>
      <c r="N81" s="31"/>
      <c r="O81" s="148" t="s">
        <v>574</v>
      </c>
      <c r="P81" s="148" t="s">
        <v>574</v>
      </c>
      <c r="Q81" s="148"/>
      <c r="R81" s="31"/>
      <c r="S81" s="31"/>
      <c r="T81" s="370"/>
      <c r="U81" s="31"/>
      <c r="V81" s="370"/>
      <c r="W81" s="31"/>
      <c r="X81" s="31"/>
      <c r="Y81" s="370"/>
      <c r="Z81" s="31"/>
      <c r="AA81" s="31"/>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2"/>
      <c r="BD81" s="431"/>
      <c r="BE81" s="360"/>
      <c r="BF81" s="32"/>
      <c r="BG81" s="14"/>
      <c r="BH81" s="14"/>
      <c r="BI81" s="14"/>
      <c r="BJ81" s="14"/>
      <c r="BK81" s="14"/>
      <c r="BL81" s="14"/>
      <c r="BM81" s="14"/>
      <c r="BN81" s="14"/>
      <c r="BO81" s="14"/>
      <c r="BP81" s="14"/>
    </row>
    <row r="82" spans="1:68" s="29" customFormat="1" ht="9.75" thickBot="1">
      <c r="A82" s="393"/>
      <c r="B82" s="33"/>
      <c r="C82" s="399"/>
      <c r="D82" s="33"/>
      <c r="E82" s="33"/>
      <c r="F82" s="33"/>
      <c r="G82" s="33"/>
      <c r="H82" s="33"/>
      <c r="I82" s="33"/>
      <c r="J82" s="33"/>
      <c r="K82" s="33"/>
      <c r="L82" s="33"/>
      <c r="M82" s="33"/>
      <c r="N82" s="33"/>
      <c r="O82" s="153" t="s">
        <v>575</v>
      </c>
      <c r="P82" s="153" t="s">
        <v>575</v>
      </c>
      <c r="Q82" s="153"/>
      <c r="R82" s="33"/>
      <c r="S82" s="33"/>
      <c r="T82" s="395"/>
      <c r="U82" s="33"/>
      <c r="V82" s="395"/>
      <c r="W82" s="33"/>
      <c r="X82" s="33"/>
      <c r="Y82" s="395"/>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5"/>
      <c r="BD82" s="432"/>
      <c r="BE82" s="394"/>
      <c r="BF82" s="35"/>
      <c r="BG82" s="14"/>
      <c r="BH82" s="14"/>
      <c r="BI82" s="14"/>
      <c r="BJ82" s="14"/>
      <c r="BK82" s="14"/>
      <c r="BL82" s="14"/>
      <c r="BM82" s="14"/>
      <c r="BN82" s="14"/>
      <c r="BO82" s="14"/>
      <c r="BP82" s="14"/>
    </row>
    <row r="87" spans="1:68">
      <c r="BG87" s="101"/>
      <c r="BH87" s="101"/>
      <c r="BI87" s="101"/>
      <c r="BJ87" s="101"/>
      <c r="BK87" s="101"/>
      <c r="BL87" s="101"/>
      <c r="BM87" s="101"/>
      <c r="BN87" s="101"/>
      <c r="BO87" s="101"/>
      <c r="BP87" s="101"/>
    </row>
    <row r="88" spans="1:68">
      <c r="BG88" s="55"/>
      <c r="BH88" s="55"/>
      <c r="BI88" s="55"/>
      <c r="BJ88" s="55"/>
      <c r="BK88" s="55"/>
      <c r="BL88" s="55"/>
      <c r="BM88" s="55"/>
      <c r="BN88" s="55"/>
      <c r="BO88" s="55"/>
      <c r="BP88" s="55"/>
    </row>
    <row r="90" spans="1:68">
      <c r="BG90" s="41"/>
      <c r="BH90" s="41"/>
      <c r="BI90" s="41"/>
      <c r="BJ90" s="41"/>
      <c r="BK90" s="41"/>
      <c r="BL90" s="41"/>
      <c r="BM90" s="41"/>
      <c r="BN90" s="41"/>
      <c r="BO90" s="41"/>
      <c r="BP90" s="41"/>
    </row>
    <row r="91" spans="1:68">
      <c r="BG91" s="14"/>
      <c r="BH91" s="14"/>
      <c r="BI91" s="14"/>
      <c r="BJ91" s="14"/>
      <c r="BK91" s="14"/>
      <c r="BL91" s="14"/>
      <c r="BM91" s="14"/>
      <c r="BN91" s="14"/>
      <c r="BO91" s="14"/>
      <c r="BP91" s="14"/>
    </row>
    <row r="92" spans="1:68">
      <c r="BG92" s="14"/>
      <c r="BH92" s="14"/>
      <c r="BI92" s="14"/>
      <c r="BJ92" s="14"/>
      <c r="BK92" s="14"/>
      <c r="BL92" s="14"/>
      <c r="BM92" s="14"/>
      <c r="BN92" s="14"/>
      <c r="BO92" s="14"/>
      <c r="BP92" s="14"/>
    </row>
    <row r="93" spans="1:68">
      <c r="BG93" s="14"/>
      <c r="BH93" s="14"/>
      <c r="BI93" s="14"/>
      <c r="BJ93" s="14"/>
      <c r="BK93" s="14"/>
      <c r="BL93" s="14"/>
      <c r="BM93" s="14"/>
      <c r="BN93" s="14"/>
      <c r="BO93" s="14"/>
      <c r="BP93" s="14"/>
    </row>
    <row r="94" spans="1:68">
      <c r="BG94" s="14"/>
      <c r="BH94" s="14"/>
      <c r="BI94" s="14"/>
      <c r="BJ94" s="14"/>
      <c r="BK94" s="14"/>
      <c r="BL94" s="14"/>
      <c r="BM94" s="14"/>
      <c r="BN94" s="14"/>
      <c r="BO94" s="14"/>
      <c r="BP94" s="14"/>
    </row>
    <row r="95" spans="1:68">
      <c r="BG95" s="14"/>
      <c r="BH95" s="14"/>
      <c r="BI95" s="14"/>
      <c r="BJ95" s="14"/>
      <c r="BK95" s="14"/>
      <c r="BL95" s="14"/>
      <c r="BM95" s="14"/>
      <c r="BN95" s="14"/>
      <c r="BO95" s="14"/>
      <c r="BP95" s="14"/>
    </row>
    <row r="96" spans="1:68">
      <c r="BG96" s="14"/>
      <c r="BH96" s="14"/>
      <c r="BI96" s="14"/>
      <c r="BJ96" s="14"/>
      <c r="BK96" s="14"/>
      <c r="BL96" s="14"/>
      <c r="BM96" s="14"/>
      <c r="BN96" s="14"/>
      <c r="BO96" s="14"/>
      <c r="BP96" s="14"/>
    </row>
    <row r="97" spans="59:68">
      <c r="BG97" s="14"/>
      <c r="BH97" s="14"/>
      <c r="BI97" s="14"/>
      <c r="BJ97" s="14"/>
      <c r="BK97" s="14"/>
      <c r="BL97" s="14"/>
      <c r="BM97" s="14"/>
      <c r="BN97" s="14"/>
      <c r="BO97" s="14"/>
      <c r="BP97" s="14"/>
    </row>
    <row r="98" spans="59:68">
      <c r="BG98" s="14"/>
      <c r="BH98" s="14"/>
      <c r="BI98" s="14"/>
      <c r="BJ98" s="14"/>
      <c r="BK98" s="14"/>
      <c r="BL98" s="14"/>
      <c r="BM98" s="14"/>
      <c r="BN98" s="14"/>
      <c r="BO98" s="14"/>
      <c r="BP98" s="14"/>
    </row>
    <row r="99" spans="59:68">
      <c r="BG99" s="14"/>
      <c r="BH99" s="14"/>
      <c r="BI99" s="14"/>
      <c r="BJ99" s="14"/>
      <c r="BK99" s="14"/>
      <c r="BL99" s="14"/>
      <c r="BM99" s="14"/>
      <c r="BN99" s="14"/>
      <c r="BO99" s="14"/>
      <c r="BP99" s="14"/>
    </row>
    <row r="100" spans="59:68">
      <c r="BG100" s="14"/>
      <c r="BH100" s="14"/>
      <c r="BI100" s="14"/>
      <c r="BJ100" s="14"/>
      <c r="BK100" s="14"/>
      <c r="BL100" s="14"/>
      <c r="BM100" s="14"/>
      <c r="BN100" s="14"/>
      <c r="BO100" s="14"/>
      <c r="BP100" s="14"/>
    </row>
  </sheetData>
  <autoFilter ref="A3:BF3" xr:uid="{00E31CB6-24D4-46A8-AD6D-D76928F305E6}"/>
  <mergeCells count="1">
    <mergeCell ref="AH2:AR2"/>
  </mergeCells>
  <phoneticPr fontId="0" type="noConversion"/>
  <conditionalFormatting sqref="H24">
    <cfRule type="expression" dxfId="6" priority="4">
      <formula>LEN(H24:H45)&gt;24</formula>
    </cfRule>
  </conditionalFormatting>
  <conditionalFormatting sqref="H4:H23">
    <cfRule type="expression" dxfId="5" priority="9">
      <formula>LEN(H4:H24)&gt;24</formula>
    </cfRule>
  </conditionalFormatting>
  <conditionalFormatting sqref="I24">
    <cfRule type="expression" dxfId="4" priority="2">
      <formula>LEN(I24:I45)&gt;24</formula>
    </cfRule>
  </conditionalFormatting>
  <conditionalFormatting sqref="I4:I23">
    <cfRule type="expression" dxfId="3" priority="3">
      <formula>LEN(I4:I24)&gt;24</formula>
    </cfRule>
  </conditionalFormatting>
  <dataValidations count="2">
    <dataValidation type="list" allowBlank="1" showErrorMessage="1" sqref="S25:AG25 S42:AG43" xr:uid="{00000000-0002-0000-0A00-000000000000}">
      <formula1>$N$27:$N$51</formula1>
    </dataValidation>
    <dataValidation type="textLength" operator="lessThanOrEqual" allowBlank="1" showInputMessage="1" showErrorMessage="1" errorTitle="Graphname too long." error="The graphname should be maximum 25 characters long." sqref="AX4:AX24" xr:uid="{07D16610-94B7-4E2B-A11A-61DC9BCF0A09}">
      <formula1>25</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5E8AEBDC-F48E-456F-A0A3-5DC5FC41F7E1}">
            <xm:f>Help!B805</xm:f>
            <x14:dxf>
              <fill>
                <patternFill>
                  <bgColor rgb="FFFF0000"/>
                </patternFill>
              </fill>
            </x14:dxf>
          </x14:cfRule>
          <xm:sqref>AX4:AX400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autoPageBreaks="0" fitToPage="1"/>
  </sheetPr>
  <dimension ref="A1:AN127"/>
  <sheetViews>
    <sheetView showGridLines="0" zoomScaleNormal="100" zoomScaleSheetLayoutView="57" workbookViewId="0">
      <pane xSplit="4" ySplit="3" topLeftCell="X7" activePane="bottomRight" state="frozen"/>
      <selection pane="bottomRight" activeCell="AD23" sqref="AD23"/>
      <selection pane="bottomLeft" activeCell="O20" sqref="O20"/>
      <selection pane="topRight" activeCell="O20" sqref="O20"/>
    </sheetView>
  </sheetViews>
  <sheetFormatPr defaultColWidth="9.140625" defaultRowHeight="12.75" outlineLevelCol="1"/>
  <cols>
    <col min="1" max="1" width="12.140625" style="1" bestFit="1" customWidth="1"/>
    <col min="2" max="2" width="9.28515625" style="1" bestFit="1" customWidth="1"/>
    <col min="3" max="3" width="8.85546875" style="3" customWidth="1"/>
    <col min="4" max="4" width="32" style="1" bestFit="1" customWidth="1"/>
    <col min="5" max="5" width="16.42578125" style="1" customWidth="1"/>
    <col min="6" max="6" width="20.28515625" style="1" customWidth="1"/>
    <col min="7" max="7" width="41.7109375" style="1" customWidth="1"/>
    <col min="8" max="8" width="48.28515625" style="1" bestFit="1" customWidth="1"/>
    <col min="9" max="9" width="12" style="1" customWidth="1"/>
    <col min="10" max="10" width="10.28515625" style="1" customWidth="1"/>
    <col min="11" max="11" width="17.7109375" style="1" bestFit="1" customWidth="1"/>
    <col min="12" max="12" width="8.5703125" style="1" bestFit="1" customWidth="1"/>
    <col min="13" max="13" width="11" style="1" bestFit="1" customWidth="1"/>
    <col min="14" max="14" width="13.85546875" style="1" customWidth="1"/>
    <col min="15" max="15" width="14" style="1" customWidth="1"/>
    <col min="16" max="16" width="32.42578125" style="1" customWidth="1"/>
    <col min="17" max="17" width="20.42578125" style="1" bestFit="1" customWidth="1"/>
    <col min="18" max="18" width="16.28515625" style="1" customWidth="1"/>
    <col min="19" max="19" width="15.140625" style="1" customWidth="1"/>
    <col min="20" max="21" width="13.140625" style="1" bestFit="1" customWidth="1"/>
    <col min="22" max="22" width="13.5703125" style="1" customWidth="1"/>
    <col min="23" max="23" width="19.7109375" style="1" bestFit="1" customWidth="1"/>
    <col min="24" max="24" width="32.85546875" style="1" bestFit="1" customWidth="1"/>
    <col min="25" max="25" width="32.85546875" style="1" customWidth="1"/>
    <col min="26" max="28" width="17.7109375" style="1" customWidth="1" outlineLevel="1"/>
    <col min="29" max="29" width="19.7109375" style="1" customWidth="1" outlineLevel="1"/>
    <col min="30" max="30" width="43.7109375" style="1" customWidth="1"/>
    <col min="31" max="31" width="32.42578125" style="1" customWidth="1"/>
    <col min="32" max="32" width="12.42578125" style="1" customWidth="1"/>
    <col min="33" max="33" width="8.7109375" style="49" customWidth="1"/>
    <col min="34" max="16384" width="9.140625" style="46"/>
  </cols>
  <sheetData>
    <row r="1" spans="1:40" ht="25.5" customHeight="1" thickBot="1">
      <c r="D1" s="119" t="s">
        <v>652</v>
      </c>
      <c r="I1" s="2"/>
      <c r="J1" s="2"/>
      <c r="K1" s="2"/>
      <c r="Z1" s="2"/>
    </row>
    <row r="2" spans="1:40" ht="29.25" customHeight="1" thickBot="1">
      <c r="E2" s="171" t="s">
        <v>63</v>
      </c>
      <c r="F2" s="172"/>
    </row>
    <row r="3" spans="1:40" s="55" customFormat="1" ht="30" customHeight="1" thickBot="1">
      <c r="A3" s="329" t="s">
        <v>64</v>
      </c>
      <c r="B3" s="330" t="s">
        <v>65</v>
      </c>
      <c r="C3" s="334" t="s">
        <v>66</v>
      </c>
      <c r="D3" s="331" t="s">
        <v>360</v>
      </c>
      <c r="E3" s="317" t="s">
        <v>68</v>
      </c>
      <c r="F3" s="318" t="s">
        <v>69</v>
      </c>
      <c r="G3" s="331" t="s">
        <v>361</v>
      </c>
      <c r="H3" s="330" t="s">
        <v>653</v>
      </c>
      <c r="I3" s="331" t="s">
        <v>445</v>
      </c>
      <c r="J3" s="331" t="s">
        <v>583</v>
      </c>
      <c r="K3" s="316" t="s">
        <v>584</v>
      </c>
      <c r="L3" s="331" t="s">
        <v>579</v>
      </c>
      <c r="M3" s="331" t="s">
        <v>580</v>
      </c>
      <c r="N3" s="331" t="s">
        <v>581</v>
      </c>
      <c r="O3" s="331" t="s">
        <v>654</v>
      </c>
      <c r="P3" s="339" t="s">
        <v>655</v>
      </c>
      <c r="Q3" s="340" t="s">
        <v>656</v>
      </c>
      <c r="R3" s="340" t="s">
        <v>657</v>
      </c>
      <c r="S3" s="336" t="s">
        <v>658</v>
      </c>
      <c r="T3" s="331" t="s">
        <v>659</v>
      </c>
      <c r="U3" s="331" t="s">
        <v>616</v>
      </c>
      <c r="V3" s="331" t="s">
        <v>617</v>
      </c>
      <c r="W3" s="336" t="s">
        <v>473</v>
      </c>
      <c r="X3" s="336" t="s">
        <v>466</v>
      </c>
      <c r="Y3" s="336" t="s">
        <v>474</v>
      </c>
      <c r="Z3" s="337" t="s">
        <v>618</v>
      </c>
      <c r="AA3" s="337" t="s">
        <v>477</v>
      </c>
      <c r="AB3" s="337" t="s">
        <v>478</v>
      </c>
      <c r="AC3" s="337" t="s">
        <v>479</v>
      </c>
      <c r="AD3" s="336" t="s">
        <v>78</v>
      </c>
      <c r="AE3" s="333" t="s">
        <v>79</v>
      </c>
      <c r="AF3" s="330" t="s">
        <v>369</v>
      </c>
      <c r="AG3" s="420" t="s">
        <v>82</v>
      </c>
    </row>
    <row r="4" spans="1:40">
      <c r="A4" s="267"/>
      <c r="B4" s="44" t="s">
        <v>15</v>
      </c>
      <c r="C4" s="103">
        <v>1</v>
      </c>
      <c r="D4" s="143" t="s">
        <v>660</v>
      </c>
      <c r="E4" s="43" t="s">
        <v>661</v>
      </c>
      <c r="F4" s="43" t="s">
        <v>662</v>
      </c>
      <c r="G4" s="43" t="s">
        <v>663</v>
      </c>
      <c r="H4" s="43"/>
      <c r="I4" s="143"/>
      <c r="J4" s="184"/>
      <c r="K4" s="184"/>
      <c r="L4" s="261"/>
      <c r="M4" s="262"/>
      <c r="N4" s="262"/>
      <c r="O4" s="263"/>
      <c r="P4" s="264"/>
      <c r="Q4" s="265"/>
      <c r="R4" s="89"/>
      <c r="S4" s="68"/>
      <c r="T4" s="68"/>
      <c r="U4" s="84"/>
      <c r="V4" s="84"/>
      <c r="W4" s="143"/>
      <c r="X4" s="84"/>
      <c r="Y4" s="84"/>
      <c r="Z4" s="78" t="str">
        <f xml:space="preserve"> IF(LEN(D4)=0,"", '[1]General info'!$B$5 &amp; "/" &amp; RIGHT(D4,LEN(D4)-FIND("/", D4)))</f>
        <v>1234/StepNumberULDL</v>
      </c>
      <c r="AA4" s="78"/>
      <c r="AB4" s="84"/>
      <c r="AC4" s="84"/>
      <c r="AD4" s="266"/>
      <c r="AE4" s="175"/>
      <c r="AF4" s="43"/>
      <c r="AG4" s="48"/>
      <c r="AH4" s="25"/>
      <c r="AI4" s="195"/>
      <c r="AJ4" s="46" t="s">
        <v>93</v>
      </c>
      <c r="AK4" s="25"/>
      <c r="AL4" s="25"/>
      <c r="AM4" s="25"/>
      <c r="AN4" s="25"/>
    </row>
    <row r="5" spans="1:40">
      <c r="A5" s="268"/>
      <c r="B5" s="44" t="s">
        <v>15</v>
      </c>
      <c r="C5" s="103">
        <v>2</v>
      </c>
      <c r="D5" s="143" t="s">
        <v>664</v>
      </c>
      <c r="E5" s="43" t="s">
        <v>665</v>
      </c>
      <c r="F5" s="43" t="s">
        <v>666</v>
      </c>
      <c r="G5" s="43" t="s">
        <v>667</v>
      </c>
      <c r="H5" s="43"/>
      <c r="I5" s="143" t="s">
        <v>597</v>
      </c>
      <c r="J5" s="184"/>
      <c r="K5" s="184"/>
      <c r="L5" s="261" t="s">
        <v>525</v>
      </c>
      <c r="M5" s="262"/>
      <c r="N5" s="262"/>
      <c r="O5" s="263"/>
      <c r="P5" s="264"/>
      <c r="Q5" s="265"/>
      <c r="R5" s="78"/>
      <c r="S5" s="68"/>
      <c r="T5" s="68"/>
      <c r="U5" s="84"/>
      <c r="V5" s="84"/>
      <c r="W5" s="143"/>
      <c r="X5" s="84"/>
      <c r="Y5" s="84"/>
      <c r="Z5" s="78" t="str">
        <f xml:space="preserve"> IF(LEN(D5)=0,"", '[1]General info'!$B$5 &amp; "/" &amp; RIGHT(D5,LEN(D5)-FIND("/", D5)))</f>
        <v>1234/HourCounterVU1</v>
      </c>
      <c r="AA5" s="78"/>
      <c r="AB5" s="84"/>
      <c r="AC5" s="84"/>
      <c r="AD5" s="266"/>
      <c r="AE5" s="175"/>
      <c r="AF5" s="43"/>
      <c r="AG5" s="203"/>
      <c r="AH5" s="25"/>
      <c r="AI5" s="196"/>
      <c r="AJ5" s="46" t="s">
        <v>100</v>
      </c>
      <c r="AK5" s="25"/>
      <c r="AL5" s="25"/>
      <c r="AM5" s="25"/>
      <c r="AN5" s="25"/>
    </row>
    <row r="6" spans="1:40" ht="25.5">
      <c r="A6" s="268"/>
      <c r="B6" s="44" t="s">
        <v>15</v>
      </c>
      <c r="C6" s="67">
        <v>3</v>
      </c>
      <c r="D6" s="143" t="s">
        <v>668</v>
      </c>
      <c r="E6" s="43" t="s">
        <v>669</v>
      </c>
      <c r="F6" s="43" t="s">
        <v>670</v>
      </c>
      <c r="G6" s="43" t="s">
        <v>350</v>
      </c>
      <c r="H6" s="43" t="s">
        <v>671</v>
      </c>
      <c r="I6" s="43" t="s">
        <v>597</v>
      </c>
      <c r="J6" s="78" t="s">
        <v>88</v>
      </c>
      <c r="K6" s="78" t="s">
        <v>672</v>
      </c>
      <c r="L6" s="262" t="s">
        <v>591</v>
      </c>
      <c r="M6" s="262" t="s">
        <v>673</v>
      </c>
      <c r="N6" s="262" t="s">
        <v>591</v>
      </c>
      <c r="O6" s="263" t="s">
        <v>591</v>
      </c>
      <c r="P6" s="264"/>
      <c r="Q6" s="265"/>
      <c r="R6" s="78"/>
      <c r="S6" s="68" t="s">
        <v>88</v>
      </c>
      <c r="T6" s="68" t="s">
        <v>198</v>
      </c>
      <c r="U6" s="84">
        <v>0</v>
      </c>
      <c r="V6" s="84" t="s">
        <v>674</v>
      </c>
      <c r="W6" s="143" t="s">
        <v>675</v>
      </c>
      <c r="X6" s="84" t="s">
        <v>493</v>
      </c>
      <c r="Y6" s="84" t="s">
        <v>487</v>
      </c>
      <c r="Z6" s="78" t="str">
        <f xml:space="preserve"> IF(LEN(D6)=0,"", '[1]General info'!$B$5 &amp; "/" &amp; RIGHT(D6,LEN(D6)-FIND("/", D6)))</f>
        <v>1234/Phase</v>
      </c>
      <c r="AA6" s="78"/>
      <c r="AB6" s="84" t="s">
        <v>88</v>
      </c>
      <c r="AC6" s="84"/>
      <c r="AD6" s="266" t="s">
        <v>676</v>
      </c>
      <c r="AE6" s="175" t="s">
        <v>92</v>
      </c>
      <c r="AF6" s="43"/>
      <c r="AG6" s="48"/>
      <c r="AH6" s="25"/>
      <c r="AI6" s="197"/>
      <c r="AJ6" s="46" t="s">
        <v>107</v>
      </c>
      <c r="AK6" s="25"/>
      <c r="AL6" s="25"/>
      <c r="AM6" s="25"/>
      <c r="AN6" s="25"/>
    </row>
    <row r="7" spans="1:40" ht="25.5">
      <c r="A7" s="268"/>
      <c r="B7" s="44" t="s">
        <v>15</v>
      </c>
      <c r="C7" s="103">
        <v>4</v>
      </c>
      <c r="D7" s="143" t="s">
        <v>677</v>
      </c>
      <c r="E7" s="43" t="s">
        <v>678</v>
      </c>
      <c r="F7" s="43" t="s">
        <v>679</v>
      </c>
      <c r="G7" s="43" t="s">
        <v>680</v>
      </c>
      <c r="H7" s="43" t="s">
        <v>681</v>
      </c>
      <c r="I7" s="43" t="s">
        <v>597</v>
      </c>
      <c r="J7" s="78" t="s">
        <v>88</v>
      </c>
      <c r="K7" s="78" t="s">
        <v>682</v>
      </c>
      <c r="L7" s="262" t="s">
        <v>591</v>
      </c>
      <c r="M7" s="262" t="s">
        <v>673</v>
      </c>
      <c r="N7" s="262" t="s">
        <v>591</v>
      </c>
      <c r="O7" s="263" t="s">
        <v>591</v>
      </c>
      <c r="P7" s="44"/>
      <c r="Q7" s="125"/>
      <c r="R7" s="43"/>
      <c r="S7" s="68" t="s">
        <v>88</v>
      </c>
      <c r="T7" s="68" t="s">
        <v>198</v>
      </c>
      <c r="U7" s="84">
        <v>0</v>
      </c>
      <c r="V7" s="84" t="s">
        <v>674</v>
      </c>
      <c r="W7" s="143" t="s">
        <v>675</v>
      </c>
      <c r="X7" s="84" t="s">
        <v>493</v>
      </c>
      <c r="Y7" s="84" t="s">
        <v>487</v>
      </c>
      <c r="Z7" s="78" t="str">
        <f xml:space="preserve"> IF(LEN(D7)=0,"", '[1]General info'!$B$5 &amp; "/" &amp; RIGHT(D7,LEN(D7)-FIND("/", D7)))</f>
        <v>1234/SubPhase</v>
      </c>
      <c r="AA7" s="78"/>
      <c r="AB7" s="84" t="s">
        <v>88</v>
      </c>
      <c r="AC7" s="84"/>
      <c r="AD7" s="266" t="s">
        <v>683</v>
      </c>
      <c r="AE7" s="175" t="s">
        <v>92</v>
      </c>
      <c r="AF7" s="43"/>
      <c r="AG7" s="48"/>
      <c r="AH7" s="25"/>
      <c r="AI7" s="200"/>
      <c r="AJ7" s="46" t="s">
        <v>482</v>
      </c>
      <c r="AK7" s="49"/>
      <c r="AL7" s="25"/>
      <c r="AM7" s="25"/>
      <c r="AN7" s="25"/>
    </row>
    <row r="8" spans="1:40">
      <c r="A8" s="249"/>
      <c r="B8" s="43" t="s">
        <v>15</v>
      </c>
      <c r="C8" s="103">
        <v>5</v>
      </c>
      <c r="D8" s="43" t="s">
        <v>684</v>
      </c>
      <c r="E8" s="43" t="s">
        <v>372</v>
      </c>
      <c r="F8" s="43" t="s">
        <v>685</v>
      </c>
      <c r="G8" s="43" t="s">
        <v>686</v>
      </c>
      <c r="H8" s="43" t="s">
        <v>687</v>
      </c>
      <c r="I8" s="43" t="s">
        <v>688</v>
      </c>
      <c r="J8" s="78" t="s">
        <v>88</v>
      </c>
      <c r="K8" s="43"/>
      <c r="L8" s="43" t="s">
        <v>591</v>
      </c>
      <c r="M8" s="78"/>
      <c r="N8" s="78" t="s">
        <v>591</v>
      </c>
      <c r="O8" s="78" t="s">
        <v>591</v>
      </c>
      <c r="P8" s="44"/>
      <c r="Q8" s="125"/>
      <c r="R8" s="43"/>
      <c r="S8" s="68"/>
      <c r="T8" s="68"/>
      <c r="U8" s="68"/>
      <c r="V8" s="68"/>
      <c r="W8" s="68"/>
      <c r="X8" s="68"/>
      <c r="Y8" s="68"/>
      <c r="Z8" s="78" t="str">
        <f xml:space="preserve"> IF(LEN(D8)=0,"", '[1]General info'!$B$5 &amp; "/" &amp; RIGHT(D8,LEN(D8)-FIND("/", D8)))</f>
        <v>1234/PLCVersion</v>
      </c>
      <c r="AA8" s="78"/>
      <c r="AB8" s="84"/>
      <c r="AC8" s="84"/>
      <c r="AD8" s="43"/>
      <c r="AE8" s="175" t="s">
        <v>689</v>
      </c>
      <c r="AF8" s="43"/>
      <c r="AG8" s="48"/>
      <c r="AH8" s="25"/>
      <c r="AI8" s="25"/>
      <c r="AJ8" s="25"/>
      <c r="AK8" s="25"/>
      <c r="AL8" s="25"/>
      <c r="AM8" s="25"/>
      <c r="AN8" s="25"/>
    </row>
    <row r="9" spans="1:40">
      <c r="A9" s="249"/>
      <c r="B9" s="43" t="s">
        <v>15</v>
      </c>
      <c r="C9" s="67">
        <v>6</v>
      </c>
      <c r="D9" s="43"/>
      <c r="E9" s="43"/>
      <c r="F9" s="43"/>
      <c r="G9" s="43"/>
      <c r="H9" s="43"/>
      <c r="I9" s="43"/>
      <c r="J9" s="78"/>
      <c r="K9" s="43"/>
      <c r="L9" s="43"/>
      <c r="M9" s="78"/>
      <c r="N9" s="78"/>
      <c r="O9" s="78"/>
      <c r="P9" s="44"/>
      <c r="Q9" s="125"/>
      <c r="R9" s="43"/>
      <c r="S9" s="68"/>
      <c r="T9" s="68"/>
      <c r="U9" s="68"/>
      <c r="V9" s="68"/>
      <c r="W9" s="68"/>
      <c r="X9" s="68"/>
      <c r="Y9" s="68"/>
      <c r="Z9" s="78" t="str">
        <f xml:space="preserve"> IF(LEN(D9)=0,"", '[1]General info'!$B$5 &amp; "/" &amp; RIGHT(D9,LEN(D9)-FIND("/", D9)))</f>
        <v/>
      </c>
      <c r="AA9" s="78"/>
      <c r="AB9" s="84"/>
      <c r="AC9" s="84"/>
      <c r="AD9" s="43"/>
      <c r="AE9" s="175"/>
      <c r="AF9" s="43"/>
      <c r="AG9" s="48"/>
      <c r="AH9" s="25"/>
      <c r="AI9" s="320"/>
      <c r="AJ9" s="46" t="s">
        <v>121</v>
      </c>
      <c r="AK9" s="25"/>
      <c r="AL9" s="25"/>
      <c r="AM9" s="25"/>
      <c r="AN9" s="25"/>
    </row>
    <row r="10" spans="1:40">
      <c r="A10" s="249"/>
      <c r="B10" s="43" t="s">
        <v>15</v>
      </c>
      <c r="C10" s="103">
        <v>7</v>
      </c>
      <c r="D10" s="43"/>
      <c r="E10" s="43"/>
      <c r="F10" s="43"/>
      <c r="G10" s="43"/>
      <c r="H10" s="43"/>
      <c r="I10" s="43"/>
      <c r="J10" s="78"/>
      <c r="K10" s="43"/>
      <c r="L10" s="43"/>
      <c r="M10" s="78"/>
      <c r="N10" s="78"/>
      <c r="O10" s="78"/>
      <c r="P10" s="44"/>
      <c r="Q10" s="125"/>
      <c r="R10" s="43"/>
      <c r="S10" s="68"/>
      <c r="T10" s="68"/>
      <c r="U10" s="68"/>
      <c r="V10" s="68"/>
      <c r="W10" s="68"/>
      <c r="X10" s="68"/>
      <c r="Y10" s="68"/>
      <c r="Z10" s="78" t="str">
        <f xml:space="preserve"> IF(LEN(D10)=0,"", '[1]General info'!$B$5 &amp; "/" &amp; RIGHT(D10,LEN(D10)-FIND("/", D10)))</f>
        <v/>
      </c>
      <c r="AA10" s="78"/>
      <c r="AB10" s="84"/>
      <c r="AC10" s="84"/>
      <c r="AD10" s="43"/>
      <c r="AE10" s="175"/>
      <c r="AF10" s="43"/>
      <c r="AG10" s="48"/>
      <c r="AH10" s="25"/>
      <c r="AI10" s="321"/>
      <c r="AJ10" s="46" t="s">
        <v>129</v>
      </c>
      <c r="AK10" s="25"/>
      <c r="AL10" s="25"/>
      <c r="AM10" s="25"/>
      <c r="AN10" s="25"/>
    </row>
    <row r="11" spans="1:40">
      <c r="A11" s="249"/>
      <c r="B11" s="43" t="s">
        <v>15</v>
      </c>
      <c r="C11" s="67">
        <v>8</v>
      </c>
      <c r="D11" s="43"/>
      <c r="E11" s="43"/>
      <c r="F11" s="43"/>
      <c r="G11" s="43"/>
      <c r="H11" s="43"/>
      <c r="I11" s="43"/>
      <c r="J11" s="78"/>
      <c r="K11" s="43"/>
      <c r="L11" s="43"/>
      <c r="M11" s="78"/>
      <c r="N11" s="78"/>
      <c r="O11" s="78"/>
      <c r="P11" s="44"/>
      <c r="Q11" s="125"/>
      <c r="R11" s="43"/>
      <c r="S11" s="68"/>
      <c r="T11" s="68"/>
      <c r="U11" s="68"/>
      <c r="V11" s="68"/>
      <c r="W11" s="68"/>
      <c r="X11" s="68"/>
      <c r="Y11" s="68"/>
      <c r="Z11" s="78" t="str">
        <f xml:space="preserve"> IF(LEN(D11)=0,"", '[1]General info'!$B$5 &amp; "/" &amp; RIGHT(D11,LEN(D11)-FIND("/", D11)))</f>
        <v/>
      </c>
      <c r="AA11" s="78"/>
      <c r="AB11" s="84"/>
      <c r="AC11" s="84"/>
      <c r="AD11" s="43"/>
      <c r="AE11" s="175"/>
      <c r="AF11" s="43"/>
      <c r="AG11" s="48"/>
      <c r="AH11" s="25"/>
      <c r="AI11" s="25"/>
      <c r="AJ11" s="25"/>
      <c r="AK11" s="25"/>
      <c r="AL11" s="25"/>
      <c r="AM11" s="25"/>
      <c r="AN11" s="25"/>
    </row>
    <row r="12" spans="1:40">
      <c r="A12" s="249"/>
      <c r="B12" s="43" t="s">
        <v>15</v>
      </c>
      <c r="C12" s="103">
        <v>9</v>
      </c>
      <c r="D12" s="43"/>
      <c r="E12" s="43"/>
      <c r="F12" s="43"/>
      <c r="G12" s="43"/>
      <c r="H12" s="43"/>
      <c r="I12" s="43"/>
      <c r="J12" s="78"/>
      <c r="K12" s="43"/>
      <c r="L12" s="43"/>
      <c r="M12" s="78"/>
      <c r="N12" s="78"/>
      <c r="O12" s="78"/>
      <c r="P12" s="44"/>
      <c r="Q12" s="125"/>
      <c r="R12" s="43"/>
      <c r="S12" s="68"/>
      <c r="T12" s="68"/>
      <c r="U12" s="68"/>
      <c r="V12" s="68"/>
      <c r="W12" s="68"/>
      <c r="X12" s="68"/>
      <c r="Y12" s="68"/>
      <c r="Z12" s="78" t="str">
        <f xml:space="preserve"> IF(LEN(D12)=0,"", '[1]General info'!$B$5 &amp; "/" &amp; RIGHT(D12,LEN(D12)-FIND("/", D12)))</f>
        <v/>
      </c>
      <c r="AA12" s="78"/>
      <c r="AB12" s="84"/>
      <c r="AC12" s="84"/>
      <c r="AD12" s="43"/>
      <c r="AE12" s="175"/>
      <c r="AF12" s="43"/>
      <c r="AG12" s="48"/>
      <c r="AH12" s="25"/>
      <c r="AI12" s="25"/>
      <c r="AJ12" s="25"/>
      <c r="AK12" s="25"/>
      <c r="AL12" s="25"/>
      <c r="AM12" s="25"/>
      <c r="AN12" s="25"/>
    </row>
    <row r="13" spans="1:40">
      <c r="A13" s="249"/>
      <c r="B13" s="43" t="s">
        <v>15</v>
      </c>
      <c r="C13" s="67">
        <v>10</v>
      </c>
      <c r="D13" s="43"/>
      <c r="E13" s="43"/>
      <c r="F13" s="43"/>
      <c r="G13" s="43"/>
      <c r="H13" s="43"/>
      <c r="I13" s="43"/>
      <c r="J13" s="78"/>
      <c r="K13" s="43"/>
      <c r="L13" s="43"/>
      <c r="M13" s="78"/>
      <c r="N13" s="78"/>
      <c r="O13" s="78"/>
      <c r="P13" s="44"/>
      <c r="Q13" s="125"/>
      <c r="R13" s="43"/>
      <c r="S13" s="68"/>
      <c r="T13" s="68"/>
      <c r="U13" s="68"/>
      <c r="V13" s="68"/>
      <c r="W13" s="68"/>
      <c r="X13" s="68"/>
      <c r="Y13" s="68"/>
      <c r="Z13" s="78" t="str">
        <f xml:space="preserve"> IF(LEN(D13)=0,"", '[1]General info'!$B$5 &amp; "/" &amp; RIGHT(D13,LEN(D13)-FIND("/", D13)))</f>
        <v/>
      </c>
      <c r="AA13" s="78"/>
      <c r="AB13" s="84"/>
      <c r="AC13" s="84"/>
      <c r="AD13" s="43"/>
      <c r="AE13" s="175"/>
      <c r="AF13" s="43"/>
      <c r="AG13" s="48"/>
    </row>
    <row r="14" spans="1:40">
      <c r="A14" s="249"/>
      <c r="B14" s="43" t="s">
        <v>15</v>
      </c>
      <c r="C14" s="103">
        <v>11</v>
      </c>
      <c r="D14" s="43"/>
      <c r="E14" s="43"/>
      <c r="F14" s="43"/>
      <c r="G14" s="43"/>
      <c r="H14" s="43"/>
      <c r="I14" s="43"/>
      <c r="J14" s="78"/>
      <c r="K14" s="43"/>
      <c r="L14" s="43"/>
      <c r="M14" s="78"/>
      <c r="N14" s="78"/>
      <c r="O14" s="78"/>
      <c r="P14" s="44"/>
      <c r="Q14" s="125"/>
      <c r="R14" s="43"/>
      <c r="S14" s="68"/>
      <c r="T14" s="68"/>
      <c r="U14" s="68"/>
      <c r="V14" s="68"/>
      <c r="W14" s="68"/>
      <c r="X14" s="68"/>
      <c r="Y14" s="68"/>
      <c r="Z14" s="78" t="str">
        <f xml:space="preserve"> IF(LEN(D14)=0,"", '[1]General info'!$B$5 &amp; "/" &amp; RIGHT(D14,LEN(D14)-FIND("/", D14)))</f>
        <v/>
      </c>
      <c r="AA14" s="78"/>
      <c r="AB14" s="84"/>
      <c r="AC14" s="84"/>
      <c r="AD14" s="43"/>
      <c r="AE14" s="175"/>
      <c r="AF14" s="43"/>
      <c r="AG14" s="48"/>
    </row>
    <row r="15" spans="1:40">
      <c r="A15" s="249"/>
      <c r="B15" s="43" t="s">
        <v>15</v>
      </c>
      <c r="C15" s="67">
        <v>12</v>
      </c>
      <c r="D15" s="43"/>
      <c r="E15" s="43"/>
      <c r="F15" s="43"/>
      <c r="G15" s="43"/>
      <c r="H15" s="43"/>
      <c r="I15" s="43"/>
      <c r="J15" s="43"/>
      <c r="K15" s="43"/>
      <c r="L15" s="43"/>
      <c r="M15" s="43"/>
      <c r="N15" s="43"/>
      <c r="O15" s="43"/>
      <c r="P15" s="44"/>
      <c r="Q15" s="125"/>
      <c r="R15" s="43"/>
      <c r="S15" s="68"/>
      <c r="T15" s="68"/>
      <c r="U15" s="68"/>
      <c r="V15" s="68"/>
      <c r="W15" s="68"/>
      <c r="X15" s="68"/>
      <c r="Y15" s="68"/>
      <c r="Z15" s="78" t="str">
        <f xml:space="preserve"> IF(LEN(D15)=0,"", '[1]General info'!$B$5 &amp; "/" &amp; RIGHT(D15,LEN(D15)-FIND("/", D15)))</f>
        <v/>
      </c>
      <c r="AA15" s="78"/>
      <c r="AB15" s="84"/>
      <c r="AC15" s="84"/>
      <c r="AD15" s="43"/>
      <c r="AE15" s="175"/>
      <c r="AF15" s="43"/>
      <c r="AG15" s="48"/>
    </row>
    <row r="16" spans="1:40">
      <c r="A16" s="249"/>
      <c r="B16" s="43" t="s">
        <v>15</v>
      </c>
      <c r="C16" s="103">
        <v>13</v>
      </c>
      <c r="D16" s="43"/>
      <c r="E16" s="88"/>
      <c r="F16" s="88"/>
      <c r="G16" s="43"/>
      <c r="H16" s="43"/>
      <c r="I16" s="43"/>
      <c r="J16" s="43"/>
      <c r="K16" s="43"/>
      <c r="L16" s="43"/>
      <c r="M16" s="43"/>
      <c r="N16" s="43"/>
      <c r="O16" s="43"/>
      <c r="P16" s="44"/>
      <c r="Q16" s="125"/>
      <c r="R16" s="43"/>
      <c r="S16" s="68"/>
      <c r="T16" s="68"/>
      <c r="U16" s="68"/>
      <c r="V16" s="68"/>
      <c r="W16" s="68"/>
      <c r="X16" s="68"/>
      <c r="Y16" s="68"/>
      <c r="Z16" s="78" t="str">
        <f xml:space="preserve"> IF(LEN(D16)=0,"", '[1]General info'!$B$5 &amp; "/" &amp; RIGHT(D16,LEN(D16)-FIND("/", D16)))</f>
        <v/>
      </c>
      <c r="AA16" s="78"/>
      <c r="AB16" s="84"/>
      <c r="AC16" s="84"/>
      <c r="AD16" s="43"/>
      <c r="AE16" s="175"/>
      <c r="AF16" s="43"/>
      <c r="AG16" s="48"/>
    </row>
    <row r="17" spans="1:33">
      <c r="A17" s="249"/>
      <c r="B17" s="43" t="s">
        <v>15</v>
      </c>
      <c r="C17" s="67">
        <v>14</v>
      </c>
      <c r="D17" s="43"/>
      <c r="E17" s="88"/>
      <c r="F17" s="88"/>
      <c r="G17" s="43"/>
      <c r="H17" s="43"/>
      <c r="I17" s="43"/>
      <c r="J17" s="43"/>
      <c r="K17" s="43"/>
      <c r="L17" s="43"/>
      <c r="M17" s="43"/>
      <c r="N17" s="43"/>
      <c r="O17" s="43"/>
      <c r="P17" s="44"/>
      <c r="Q17" s="125"/>
      <c r="R17" s="43"/>
      <c r="S17" s="68"/>
      <c r="T17" s="68"/>
      <c r="U17" s="68"/>
      <c r="V17" s="68"/>
      <c r="W17" s="68"/>
      <c r="X17" s="68"/>
      <c r="Y17" s="68"/>
      <c r="Z17" s="78" t="str">
        <f xml:space="preserve"> IF(LEN(D17)=0,"", '[1]General info'!$B$5 &amp; "/" &amp; RIGHT(D17,LEN(D17)-FIND("/", D17)))</f>
        <v/>
      </c>
      <c r="AA17" s="78"/>
      <c r="AB17" s="84"/>
      <c r="AC17" s="84"/>
      <c r="AD17" s="43"/>
      <c r="AE17" s="175"/>
      <c r="AF17" s="43"/>
      <c r="AG17" s="48"/>
    </row>
    <row r="18" spans="1:33">
      <c r="A18" s="249"/>
      <c r="B18" s="43" t="s">
        <v>15</v>
      </c>
      <c r="C18" s="103">
        <v>15</v>
      </c>
      <c r="D18" s="43"/>
      <c r="E18" s="88"/>
      <c r="F18" s="88"/>
      <c r="G18" s="43"/>
      <c r="H18" s="43"/>
      <c r="I18" s="43"/>
      <c r="J18" s="43"/>
      <c r="K18" s="43"/>
      <c r="L18" s="43"/>
      <c r="M18" s="43"/>
      <c r="N18" s="43"/>
      <c r="O18" s="43"/>
      <c r="P18" s="44"/>
      <c r="Q18" s="125"/>
      <c r="R18" s="43"/>
      <c r="S18" s="68"/>
      <c r="T18" s="68"/>
      <c r="U18" s="68"/>
      <c r="V18" s="68"/>
      <c r="W18" s="68"/>
      <c r="X18" s="68"/>
      <c r="Y18" s="68"/>
      <c r="Z18" s="78" t="str">
        <f xml:space="preserve"> IF(LEN(D18)=0,"", '[1]General info'!$B$5 &amp; "/" &amp; RIGHT(D18,LEN(D18)-FIND("/", D18)))</f>
        <v/>
      </c>
      <c r="AA18" s="78"/>
      <c r="AB18" s="84"/>
      <c r="AC18" s="84"/>
      <c r="AD18" s="43"/>
      <c r="AE18" s="175"/>
      <c r="AF18" s="43"/>
      <c r="AG18" s="48"/>
    </row>
    <row r="19" spans="1:33">
      <c r="A19" s="249"/>
      <c r="B19" s="43" t="s">
        <v>15</v>
      </c>
      <c r="C19" s="67">
        <v>16</v>
      </c>
      <c r="D19" s="43"/>
      <c r="E19" s="88"/>
      <c r="F19" s="88"/>
      <c r="G19" s="43"/>
      <c r="H19" s="43"/>
      <c r="I19" s="43"/>
      <c r="J19" s="43"/>
      <c r="K19" s="43"/>
      <c r="L19" s="43"/>
      <c r="M19" s="43"/>
      <c r="N19" s="43"/>
      <c r="O19" s="43"/>
      <c r="P19" s="44"/>
      <c r="Q19" s="125"/>
      <c r="R19" s="43"/>
      <c r="S19" s="68"/>
      <c r="T19" s="68"/>
      <c r="U19" s="68"/>
      <c r="V19" s="68"/>
      <c r="W19" s="68"/>
      <c r="X19" s="68"/>
      <c r="Y19" s="68"/>
      <c r="Z19" s="78" t="str">
        <f xml:space="preserve"> IF(LEN(D19)=0,"", '[1]General info'!$B$5 &amp; "/" &amp; RIGHT(D19,LEN(D19)-FIND("/", D19)))</f>
        <v/>
      </c>
      <c r="AA19" s="78"/>
      <c r="AB19" s="84"/>
      <c r="AC19" s="84"/>
      <c r="AD19" s="43"/>
      <c r="AE19" s="175"/>
      <c r="AF19" s="43"/>
      <c r="AG19" s="48"/>
    </row>
    <row r="20" spans="1:33">
      <c r="A20" s="249"/>
      <c r="B20" s="43" t="s">
        <v>15</v>
      </c>
      <c r="C20" s="103">
        <v>17</v>
      </c>
      <c r="D20" s="43"/>
      <c r="E20" s="43"/>
      <c r="F20" s="43"/>
      <c r="G20" s="43"/>
      <c r="H20" s="43"/>
      <c r="I20" s="43"/>
      <c r="J20" s="43"/>
      <c r="K20" s="43"/>
      <c r="L20" s="43"/>
      <c r="M20" s="43"/>
      <c r="N20" s="43"/>
      <c r="O20" s="43"/>
      <c r="P20" s="44"/>
      <c r="Q20" s="125"/>
      <c r="R20" s="43"/>
      <c r="S20" s="68"/>
      <c r="T20" s="68"/>
      <c r="U20" s="68"/>
      <c r="V20" s="68"/>
      <c r="W20" s="68"/>
      <c r="X20" s="68"/>
      <c r="Y20" s="68"/>
      <c r="Z20" s="78" t="str">
        <f xml:space="preserve"> IF(LEN(D20)=0,"", '[1]General info'!$B$5 &amp; "/" &amp; RIGHT(D20,LEN(D20)-FIND("/", D20)))</f>
        <v/>
      </c>
      <c r="AA20" s="78"/>
      <c r="AB20" s="84"/>
      <c r="AC20" s="84"/>
      <c r="AD20" s="43"/>
      <c r="AE20" s="175"/>
      <c r="AF20" s="43"/>
      <c r="AG20" s="48"/>
    </row>
    <row r="21" spans="1:33">
      <c r="A21" s="249"/>
      <c r="B21" s="43" t="s">
        <v>15</v>
      </c>
      <c r="C21" s="67">
        <v>18</v>
      </c>
      <c r="D21" s="43"/>
      <c r="E21" s="43"/>
      <c r="F21" s="43"/>
      <c r="G21" s="43"/>
      <c r="H21" s="43"/>
      <c r="I21" s="43"/>
      <c r="J21" s="43"/>
      <c r="K21" s="43"/>
      <c r="L21" s="43"/>
      <c r="M21" s="43"/>
      <c r="N21" s="43"/>
      <c r="O21" s="43"/>
      <c r="P21" s="44"/>
      <c r="Q21" s="125"/>
      <c r="R21" s="43"/>
      <c r="S21" s="68"/>
      <c r="T21" s="68"/>
      <c r="U21" s="68"/>
      <c r="V21" s="68"/>
      <c r="W21" s="68"/>
      <c r="X21" s="68"/>
      <c r="Y21" s="68"/>
      <c r="Z21" s="78" t="str">
        <f xml:space="preserve"> IF(LEN(D21)=0,"", '[1]General info'!$B$5 &amp; "/" &amp; RIGHT(D21,LEN(D21)-FIND("/", D21)))</f>
        <v/>
      </c>
      <c r="AA21" s="78"/>
      <c r="AB21" s="84"/>
      <c r="AC21" s="84"/>
      <c r="AD21" s="43"/>
      <c r="AE21" s="175"/>
      <c r="AF21" s="43"/>
      <c r="AG21" s="48"/>
    </row>
    <row r="22" spans="1:33">
      <c r="A22" s="249"/>
      <c r="B22" s="43" t="s">
        <v>15</v>
      </c>
      <c r="C22" s="103">
        <v>19</v>
      </c>
      <c r="D22" s="43"/>
      <c r="E22" s="43"/>
      <c r="F22" s="43"/>
      <c r="G22" s="97"/>
      <c r="H22" s="43"/>
      <c r="I22" s="43"/>
      <c r="J22" s="43"/>
      <c r="K22" s="43"/>
      <c r="L22" s="43"/>
      <c r="M22" s="43"/>
      <c r="N22" s="43"/>
      <c r="O22" s="43"/>
      <c r="P22" s="127"/>
      <c r="Q22" s="126"/>
      <c r="R22" s="128"/>
      <c r="S22" s="68"/>
      <c r="T22" s="68"/>
      <c r="U22" s="68"/>
      <c r="V22" s="68"/>
      <c r="W22" s="68"/>
      <c r="X22" s="68"/>
      <c r="Y22" s="68"/>
      <c r="Z22" s="78" t="str">
        <f xml:space="preserve"> IF(LEN(D22)=0,"", '[1]General info'!$B$5 &amp; "/" &amp; RIGHT(D22,LEN(D22)-FIND("/", D22)))</f>
        <v/>
      </c>
      <c r="AA22" s="78"/>
      <c r="AB22" s="84"/>
      <c r="AC22" s="84"/>
      <c r="AD22" s="43"/>
      <c r="AE22" s="183"/>
      <c r="AF22" s="128"/>
      <c r="AG22" s="48"/>
    </row>
    <row r="23" spans="1:33" s="55" customFormat="1">
      <c r="A23" s="249"/>
      <c r="B23" s="43" t="s">
        <v>15</v>
      </c>
      <c r="C23" s="67">
        <v>20</v>
      </c>
      <c r="D23" s="43"/>
      <c r="E23" s="43"/>
      <c r="F23" s="43"/>
      <c r="G23" s="97"/>
      <c r="H23" s="43"/>
      <c r="I23" s="43"/>
      <c r="J23" s="43"/>
      <c r="K23" s="43"/>
      <c r="L23" s="43"/>
      <c r="M23" s="43"/>
      <c r="N23" s="43"/>
      <c r="O23" s="43"/>
      <c r="P23" s="127"/>
      <c r="Q23" s="126"/>
      <c r="R23" s="128"/>
      <c r="S23" s="68"/>
      <c r="T23" s="68"/>
      <c r="U23" s="68"/>
      <c r="V23" s="68"/>
      <c r="W23" s="68"/>
      <c r="X23" s="68"/>
      <c r="Y23" s="68"/>
      <c r="Z23" s="78" t="str">
        <f xml:space="preserve"> IF(LEN(D23)=0,"", '[1]General info'!$B$5 &amp; "/" &amp; RIGHT(D23,LEN(D23)-FIND("/", D23)))</f>
        <v/>
      </c>
      <c r="AA23" s="78"/>
      <c r="AB23" s="84"/>
      <c r="AC23" s="84"/>
      <c r="AD23" s="43"/>
      <c r="AE23" s="183"/>
      <c r="AF23" s="128"/>
      <c r="AG23" s="48"/>
    </row>
    <row r="24" spans="1:33" s="55" customFormat="1">
      <c r="A24" s="249"/>
      <c r="B24" s="43" t="s">
        <v>15</v>
      </c>
      <c r="C24" s="103">
        <v>21</v>
      </c>
      <c r="D24" s="43"/>
      <c r="E24" s="43"/>
      <c r="F24" s="43"/>
      <c r="G24" s="97"/>
      <c r="H24" s="43"/>
      <c r="I24" s="43"/>
      <c r="J24" s="43"/>
      <c r="K24" s="43"/>
      <c r="L24" s="43"/>
      <c r="M24" s="43"/>
      <c r="N24" s="43"/>
      <c r="O24" s="43"/>
      <c r="P24" s="127"/>
      <c r="Q24" s="126"/>
      <c r="R24" s="128"/>
      <c r="S24" s="68"/>
      <c r="T24" s="68"/>
      <c r="U24" s="68"/>
      <c r="V24" s="68"/>
      <c r="W24" s="68"/>
      <c r="X24" s="68"/>
      <c r="Y24" s="68"/>
      <c r="Z24" s="78" t="str">
        <f xml:space="preserve"> IF(LEN(D24)=0,"", '[1]General info'!$B$5 &amp; "/" &amp; RIGHT(D24,LEN(D24)-FIND("/", D24)))</f>
        <v/>
      </c>
      <c r="AA24" s="78"/>
      <c r="AB24" s="84"/>
      <c r="AC24" s="84"/>
      <c r="AD24" s="43"/>
      <c r="AE24" s="183"/>
      <c r="AF24" s="128"/>
      <c r="AG24" s="48"/>
    </row>
    <row r="25" spans="1:33">
      <c r="A25" s="249"/>
      <c r="B25" s="43" t="s">
        <v>15</v>
      </c>
      <c r="C25" s="67">
        <v>22</v>
      </c>
      <c r="D25" s="43"/>
      <c r="E25" s="43"/>
      <c r="F25" s="43"/>
      <c r="G25" s="97"/>
      <c r="H25" s="43"/>
      <c r="I25" s="43"/>
      <c r="J25" s="43"/>
      <c r="K25" s="43"/>
      <c r="L25" s="43"/>
      <c r="M25" s="43"/>
      <c r="N25" s="43"/>
      <c r="O25" s="43"/>
      <c r="P25" s="127"/>
      <c r="Q25" s="126"/>
      <c r="R25" s="128"/>
      <c r="S25" s="68"/>
      <c r="T25" s="68"/>
      <c r="U25" s="68"/>
      <c r="V25" s="68"/>
      <c r="W25" s="68"/>
      <c r="X25" s="68"/>
      <c r="Y25" s="68"/>
      <c r="Z25" s="78" t="str">
        <f xml:space="preserve"> IF(LEN(D25)=0,"", '[1]General info'!$B$5 &amp; "/" &amp; RIGHT(D25,LEN(D25)-FIND("/", D25)))</f>
        <v/>
      </c>
      <c r="AA25" s="78"/>
      <c r="AB25" s="84"/>
      <c r="AC25" s="84"/>
      <c r="AD25" s="43"/>
      <c r="AE25" s="183"/>
      <c r="AF25" s="128"/>
      <c r="AG25" s="48"/>
    </row>
    <row r="26" spans="1:33">
      <c r="A26" s="249"/>
      <c r="B26" s="43" t="s">
        <v>15</v>
      </c>
      <c r="C26" s="103">
        <v>23</v>
      </c>
      <c r="D26" s="43"/>
      <c r="E26" s="43"/>
      <c r="F26" s="43"/>
      <c r="G26" s="97"/>
      <c r="H26" s="43"/>
      <c r="I26" s="43"/>
      <c r="J26" s="43"/>
      <c r="K26" s="43"/>
      <c r="L26" s="43"/>
      <c r="M26" s="43"/>
      <c r="N26" s="43"/>
      <c r="O26" s="43"/>
      <c r="P26" s="127"/>
      <c r="Q26" s="126"/>
      <c r="R26" s="128"/>
      <c r="S26" s="68"/>
      <c r="T26" s="68"/>
      <c r="U26" s="68"/>
      <c r="V26" s="68"/>
      <c r="W26" s="68"/>
      <c r="X26" s="68"/>
      <c r="Y26" s="68"/>
      <c r="Z26" s="78" t="str">
        <f xml:space="preserve"> IF(LEN(D26)=0,"", '[1]General info'!$B$5 &amp; "/" &amp; RIGHT(D26,LEN(D26)-FIND("/", D26)))</f>
        <v/>
      </c>
      <c r="AA26" s="78"/>
      <c r="AB26" s="84"/>
      <c r="AC26" s="84"/>
      <c r="AD26" s="43"/>
      <c r="AE26" s="183"/>
      <c r="AF26" s="128"/>
      <c r="AG26" s="48"/>
    </row>
    <row r="27" spans="1:33">
      <c r="A27" s="249"/>
      <c r="B27" s="43" t="s">
        <v>15</v>
      </c>
      <c r="C27" s="67">
        <v>24</v>
      </c>
      <c r="D27" s="43"/>
      <c r="E27" s="43"/>
      <c r="F27" s="43"/>
      <c r="G27" s="97"/>
      <c r="H27" s="43"/>
      <c r="I27" s="43"/>
      <c r="J27" s="43"/>
      <c r="K27" s="43"/>
      <c r="L27" s="43"/>
      <c r="M27" s="43"/>
      <c r="N27" s="43"/>
      <c r="O27" s="43"/>
      <c r="P27" s="127"/>
      <c r="Q27" s="126"/>
      <c r="R27" s="128"/>
      <c r="S27" s="68"/>
      <c r="T27" s="68"/>
      <c r="U27" s="68"/>
      <c r="V27" s="68"/>
      <c r="W27" s="68"/>
      <c r="X27" s="68"/>
      <c r="Y27" s="68"/>
      <c r="Z27" s="78" t="str">
        <f xml:space="preserve"> IF(LEN(D27)=0,"", '[1]General info'!$B$5 &amp; "/" &amp; RIGHT(D27,LEN(D27)-FIND("/", D27)))</f>
        <v/>
      </c>
      <c r="AA27" s="78"/>
      <c r="AB27" s="84"/>
      <c r="AC27" s="84"/>
      <c r="AD27" s="43"/>
      <c r="AE27" s="183"/>
      <c r="AF27" s="128"/>
      <c r="AG27" s="48"/>
    </row>
    <row r="28" spans="1:33">
      <c r="A28" s="249"/>
      <c r="B28" s="43" t="s">
        <v>15</v>
      </c>
      <c r="C28" s="103">
        <v>25</v>
      </c>
      <c r="D28" s="43"/>
      <c r="E28" s="43"/>
      <c r="F28" s="43"/>
      <c r="G28" s="43"/>
      <c r="H28" s="43"/>
      <c r="I28" s="43"/>
      <c r="J28" s="43"/>
      <c r="K28" s="43"/>
      <c r="L28" s="43"/>
      <c r="M28" s="43"/>
      <c r="N28" s="43"/>
      <c r="O28" s="43"/>
      <c r="P28" s="127"/>
      <c r="Q28" s="126"/>
      <c r="R28" s="128"/>
      <c r="S28" s="68"/>
      <c r="T28" s="68"/>
      <c r="U28" s="68"/>
      <c r="V28" s="68"/>
      <c r="W28" s="68"/>
      <c r="X28" s="68"/>
      <c r="Y28" s="68"/>
      <c r="Z28" s="78" t="str">
        <f xml:space="preserve"> IF(LEN(D28)=0,"", '[1]General info'!$B$5 &amp; "/" &amp; RIGHT(D28,LEN(D28)-FIND("/", D28)))</f>
        <v/>
      </c>
      <c r="AA28" s="78"/>
      <c r="AB28" s="84"/>
      <c r="AC28" s="84"/>
      <c r="AD28" s="43"/>
      <c r="AE28" s="183"/>
      <c r="AF28" s="128"/>
      <c r="AG28" s="48"/>
    </row>
    <row r="29" spans="1:33">
      <c r="A29" s="249"/>
      <c r="B29" s="43" t="s">
        <v>15</v>
      </c>
      <c r="C29" s="67">
        <v>26</v>
      </c>
      <c r="D29" s="43"/>
      <c r="E29" s="43"/>
      <c r="F29" s="43"/>
      <c r="G29" s="43"/>
      <c r="H29" s="43"/>
      <c r="I29" s="43"/>
      <c r="J29" s="43"/>
      <c r="K29" s="43"/>
      <c r="L29" s="43"/>
      <c r="M29" s="43"/>
      <c r="N29" s="43"/>
      <c r="O29" s="43"/>
      <c r="P29" s="127"/>
      <c r="Q29" s="126"/>
      <c r="R29" s="128"/>
      <c r="S29" s="68"/>
      <c r="T29" s="68"/>
      <c r="U29" s="68"/>
      <c r="V29" s="68"/>
      <c r="W29" s="68"/>
      <c r="X29" s="68"/>
      <c r="Y29" s="68"/>
      <c r="Z29" s="78" t="str">
        <f xml:space="preserve"> IF(LEN(D29)=0,"", '[1]General info'!$B$5 &amp; "/" &amp; RIGHT(D29,LEN(D29)-FIND("/", D29)))</f>
        <v/>
      </c>
      <c r="AA29" s="78"/>
      <c r="AB29" s="84"/>
      <c r="AC29" s="84"/>
      <c r="AD29" s="43"/>
      <c r="AE29" s="183"/>
      <c r="AF29" s="128"/>
      <c r="AG29" s="48"/>
    </row>
    <row r="30" spans="1:33">
      <c r="A30" s="249"/>
      <c r="B30" s="43" t="s">
        <v>15</v>
      </c>
      <c r="C30" s="103">
        <v>27</v>
      </c>
      <c r="D30" s="43"/>
      <c r="E30" s="43"/>
      <c r="F30" s="43"/>
      <c r="G30" s="43"/>
      <c r="H30" s="43"/>
      <c r="I30" s="43"/>
      <c r="J30" s="43"/>
      <c r="K30" s="43"/>
      <c r="L30" s="43"/>
      <c r="M30" s="43"/>
      <c r="N30" s="43"/>
      <c r="O30" s="43"/>
      <c r="P30" s="127"/>
      <c r="Q30" s="126"/>
      <c r="R30" s="128"/>
      <c r="S30" s="68"/>
      <c r="T30" s="68"/>
      <c r="U30" s="68"/>
      <c r="V30" s="68"/>
      <c r="W30" s="68"/>
      <c r="X30" s="68"/>
      <c r="Y30" s="68"/>
      <c r="Z30" s="78" t="str">
        <f xml:space="preserve"> IF(LEN(D30)=0,"", '[1]General info'!$B$5 &amp; "/" &amp; RIGHT(D30,LEN(D30)-FIND("/", D30)))</f>
        <v/>
      </c>
      <c r="AA30" s="78"/>
      <c r="AB30" s="84"/>
      <c r="AC30" s="84"/>
      <c r="AD30" s="43"/>
      <c r="AE30" s="183"/>
      <c r="AF30" s="128"/>
      <c r="AG30" s="48"/>
    </row>
    <row r="31" spans="1:33" s="55" customFormat="1">
      <c r="A31" s="249"/>
      <c r="B31" s="43" t="s">
        <v>15</v>
      </c>
      <c r="C31" s="67">
        <v>28</v>
      </c>
      <c r="D31" s="43"/>
      <c r="E31" s="43"/>
      <c r="F31" s="43"/>
      <c r="G31" s="43"/>
      <c r="H31" s="43"/>
      <c r="I31" s="43"/>
      <c r="J31" s="43"/>
      <c r="K31" s="43"/>
      <c r="L31" s="43"/>
      <c r="M31" s="43"/>
      <c r="N31" s="43"/>
      <c r="O31" s="43"/>
      <c r="P31" s="127"/>
      <c r="Q31" s="126"/>
      <c r="R31" s="128"/>
      <c r="S31" s="68"/>
      <c r="T31" s="68"/>
      <c r="U31" s="68"/>
      <c r="V31" s="68"/>
      <c r="W31" s="68"/>
      <c r="X31" s="68"/>
      <c r="Y31" s="68"/>
      <c r="Z31" s="78" t="str">
        <f xml:space="preserve"> IF(LEN(D31)=0,"", '[1]General info'!$B$5 &amp; "/" &amp; RIGHT(D31,LEN(D31)-FIND("/", D31)))</f>
        <v/>
      </c>
      <c r="AA31" s="78"/>
      <c r="AB31" s="84"/>
      <c r="AC31" s="84"/>
      <c r="AD31" s="43"/>
      <c r="AE31" s="183"/>
      <c r="AF31" s="128"/>
      <c r="AG31" s="48"/>
    </row>
    <row r="32" spans="1:33" s="55" customFormat="1">
      <c r="A32" s="249"/>
      <c r="B32" s="43" t="s">
        <v>15</v>
      </c>
      <c r="C32" s="103">
        <v>29</v>
      </c>
      <c r="D32" s="43"/>
      <c r="E32" s="43"/>
      <c r="F32" s="43"/>
      <c r="G32" s="43"/>
      <c r="H32" s="43"/>
      <c r="I32" s="43"/>
      <c r="J32" s="43"/>
      <c r="K32" s="43"/>
      <c r="L32" s="43"/>
      <c r="M32" s="43"/>
      <c r="N32" s="43"/>
      <c r="O32" s="43"/>
      <c r="P32" s="127"/>
      <c r="Q32" s="126"/>
      <c r="R32" s="128"/>
      <c r="S32" s="68"/>
      <c r="T32" s="68"/>
      <c r="U32" s="68"/>
      <c r="V32" s="68"/>
      <c r="W32" s="68"/>
      <c r="X32" s="68"/>
      <c r="Y32" s="68"/>
      <c r="Z32" s="78" t="str">
        <f xml:space="preserve"> IF(LEN(D32)=0,"", '[1]General info'!$B$5 &amp; "/" &amp; RIGHT(D32,LEN(D32)-FIND("/", D32)))</f>
        <v/>
      </c>
      <c r="AA32" s="78"/>
      <c r="AB32" s="84"/>
      <c r="AC32" s="84"/>
      <c r="AD32" s="43"/>
      <c r="AE32" s="183"/>
      <c r="AF32" s="128"/>
      <c r="AG32" s="48"/>
    </row>
    <row r="33" spans="1:33" s="55" customFormat="1">
      <c r="A33" s="249"/>
      <c r="B33" s="43" t="s">
        <v>15</v>
      </c>
      <c r="C33" s="67">
        <v>30</v>
      </c>
      <c r="D33" s="43"/>
      <c r="E33" s="43"/>
      <c r="F33" s="43"/>
      <c r="G33" s="43"/>
      <c r="H33" s="43"/>
      <c r="I33" s="43"/>
      <c r="J33" s="43"/>
      <c r="K33" s="43"/>
      <c r="L33" s="43"/>
      <c r="M33" s="43"/>
      <c r="N33" s="43"/>
      <c r="O33" s="43"/>
      <c r="P33" s="127"/>
      <c r="Q33" s="126"/>
      <c r="R33" s="128"/>
      <c r="S33" s="68"/>
      <c r="T33" s="68"/>
      <c r="U33" s="68"/>
      <c r="V33" s="68"/>
      <c r="W33" s="68"/>
      <c r="X33" s="68"/>
      <c r="Y33" s="68"/>
      <c r="Z33" s="78" t="str">
        <f xml:space="preserve"> IF(LEN(D33)=0,"", '[1]General info'!$B$5 &amp; "/" &amp; RIGHT(D33,LEN(D33)-FIND("/", D33)))</f>
        <v/>
      </c>
      <c r="AA33" s="78"/>
      <c r="AB33" s="84"/>
      <c r="AC33" s="84"/>
      <c r="AD33" s="43"/>
      <c r="AE33" s="183"/>
      <c r="AF33" s="128"/>
      <c r="AG33" s="48"/>
    </row>
    <row r="34" spans="1:33">
      <c r="A34" s="249"/>
      <c r="B34" s="43" t="s">
        <v>15</v>
      </c>
      <c r="C34" s="103">
        <v>31</v>
      </c>
      <c r="D34" s="43"/>
      <c r="E34" s="43"/>
      <c r="F34" s="43"/>
      <c r="G34" s="43"/>
      <c r="H34" s="43"/>
      <c r="I34" s="43"/>
      <c r="J34" s="43"/>
      <c r="K34" s="43"/>
      <c r="L34" s="43"/>
      <c r="M34" s="43"/>
      <c r="N34" s="43"/>
      <c r="O34" s="43"/>
      <c r="P34" s="127"/>
      <c r="Q34" s="126"/>
      <c r="R34" s="128"/>
      <c r="S34" s="68"/>
      <c r="T34" s="68"/>
      <c r="U34" s="68"/>
      <c r="V34" s="68"/>
      <c r="W34" s="68"/>
      <c r="X34" s="68"/>
      <c r="Y34" s="68"/>
      <c r="Z34" s="78" t="str">
        <f xml:space="preserve"> IF(LEN(D34)=0,"", '[1]General info'!$B$5 &amp; "/" &amp; RIGHT(D34,LEN(D34)-FIND("/", D34)))</f>
        <v/>
      </c>
      <c r="AA34" s="78"/>
      <c r="AB34" s="84"/>
      <c r="AC34" s="84"/>
      <c r="AD34" s="43"/>
      <c r="AE34" s="183"/>
      <c r="AF34" s="128"/>
      <c r="AG34" s="48"/>
    </row>
    <row r="35" spans="1:33">
      <c r="A35" s="249"/>
      <c r="B35" s="43" t="s">
        <v>15</v>
      </c>
      <c r="C35" s="67">
        <v>32</v>
      </c>
      <c r="D35" s="43"/>
      <c r="E35" s="43"/>
      <c r="F35" s="43"/>
      <c r="G35" s="43"/>
      <c r="H35" s="43"/>
      <c r="I35" s="43"/>
      <c r="J35" s="43"/>
      <c r="K35" s="43"/>
      <c r="L35" s="43"/>
      <c r="M35" s="43"/>
      <c r="N35" s="43"/>
      <c r="O35" s="43"/>
      <c r="P35" s="127"/>
      <c r="Q35" s="126"/>
      <c r="R35" s="128"/>
      <c r="S35" s="68"/>
      <c r="T35" s="68"/>
      <c r="U35" s="68"/>
      <c r="V35" s="68"/>
      <c r="W35" s="68"/>
      <c r="X35" s="68"/>
      <c r="Y35" s="68"/>
      <c r="Z35" s="78" t="str">
        <f xml:space="preserve"> IF(LEN(D35)=0,"", '[1]General info'!$B$5 &amp; "/" &amp; RIGHT(D35,LEN(D35)-FIND("/", D35)))</f>
        <v/>
      </c>
      <c r="AA35" s="78"/>
      <c r="AB35" s="84"/>
      <c r="AC35" s="84"/>
      <c r="AD35" s="43"/>
      <c r="AE35" s="183"/>
      <c r="AF35" s="128"/>
      <c r="AG35" s="48"/>
    </row>
    <row r="36" spans="1:33">
      <c r="A36" s="249"/>
      <c r="B36" s="43" t="s">
        <v>15</v>
      </c>
      <c r="C36" s="103">
        <v>33</v>
      </c>
      <c r="D36" s="43"/>
      <c r="E36" s="43"/>
      <c r="F36" s="43"/>
      <c r="G36" s="43"/>
      <c r="H36" s="43"/>
      <c r="I36" s="43"/>
      <c r="J36" s="43"/>
      <c r="K36" s="43"/>
      <c r="L36" s="43"/>
      <c r="M36" s="43"/>
      <c r="N36" s="43"/>
      <c r="O36" s="43"/>
      <c r="P36" s="127"/>
      <c r="Q36" s="126"/>
      <c r="R36" s="128"/>
      <c r="S36" s="68"/>
      <c r="T36" s="68"/>
      <c r="U36" s="68"/>
      <c r="V36" s="68"/>
      <c r="W36" s="68"/>
      <c r="X36" s="68"/>
      <c r="Y36" s="68"/>
      <c r="Z36" s="78" t="str">
        <f xml:space="preserve"> IF(LEN(D36)=0,"", '[1]General info'!$B$5 &amp; "/" &amp; RIGHT(D36,LEN(D36)-FIND("/", D36)))</f>
        <v/>
      </c>
      <c r="AA36" s="78"/>
      <c r="AB36" s="84"/>
      <c r="AC36" s="84"/>
      <c r="AD36" s="43"/>
      <c r="AE36" s="183"/>
      <c r="AF36" s="128"/>
      <c r="AG36" s="48"/>
    </row>
    <row r="37" spans="1:33">
      <c r="A37" s="249"/>
      <c r="B37" s="43" t="s">
        <v>15</v>
      </c>
      <c r="C37" s="67">
        <v>34</v>
      </c>
      <c r="D37" s="43"/>
      <c r="E37" s="43"/>
      <c r="F37" s="43"/>
      <c r="G37" s="43"/>
      <c r="H37" s="43"/>
      <c r="I37" s="43"/>
      <c r="J37" s="43"/>
      <c r="K37" s="43"/>
      <c r="L37" s="43"/>
      <c r="M37" s="43"/>
      <c r="N37" s="43"/>
      <c r="O37" s="43"/>
      <c r="P37" s="127"/>
      <c r="Q37" s="126"/>
      <c r="R37" s="128"/>
      <c r="S37" s="68"/>
      <c r="T37" s="68"/>
      <c r="U37" s="68"/>
      <c r="V37" s="68"/>
      <c r="W37" s="68"/>
      <c r="X37" s="68"/>
      <c r="Y37" s="68"/>
      <c r="Z37" s="78" t="str">
        <f xml:space="preserve"> IF(LEN(D37)=0,"", '[1]General info'!$B$5 &amp; "/" &amp; RIGHT(D37,LEN(D37)-FIND("/", D37)))</f>
        <v/>
      </c>
      <c r="AA37" s="78"/>
      <c r="AB37" s="84"/>
      <c r="AC37" s="84"/>
      <c r="AD37" s="43"/>
      <c r="AE37" s="183"/>
      <c r="AF37" s="128"/>
      <c r="AG37" s="48"/>
    </row>
    <row r="38" spans="1:33">
      <c r="A38" s="249"/>
      <c r="B38" s="43" t="s">
        <v>15</v>
      </c>
      <c r="C38" s="103">
        <v>35</v>
      </c>
      <c r="D38" s="43"/>
      <c r="E38" s="43"/>
      <c r="F38" s="43"/>
      <c r="G38" s="43"/>
      <c r="H38" s="43"/>
      <c r="I38" s="43"/>
      <c r="J38" s="43"/>
      <c r="K38" s="43"/>
      <c r="L38" s="43"/>
      <c r="M38" s="43"/>
      <c r="N38" s="43"/>
      <c r="O38" s="43"/>
      <c r="P38" s="127"/>
      <c r="Q38" s="126"/>
      <c r="R38" s="128"/>
      <c r="S38" s="68"/>
      <c r="T38" s="68"/>
      <c r="U38" s="68"/>
      <c r="V38" s="68"/>
      <c r="W38" s="68"/>
      <c r="X38" s="68"/>
      <c r="Y38" s="68"/>
      <c r="Z38" s="78" t="str">
        <f xml:space="preserve"> IF(LEN(D38)=0,"", '[1]General info'!$B$5 &amp; "/" &amp; RIGHT(D38,LEN(D38)-FIND("/", D38)))</f>
        <v/>
      </c>
      <c r="AA38" s="78"/>
      <c r="AB38" s="84"/>
      <c r="AC38" s="84"/>
      <c r="AD38" s="43"/>
      <c r="AE38" s="183"/>
      <c r="AF38" s="128"/>
      <c r="AG38" s="48"/>
    </row>
    <row r="39" spans="1:33">
      <c r="A39" s="249"/>
      <c r="B39" s="43" t="s">
        <v>15</v>
      </c>
      <c r="C39" s="67">
        <v>36</v>
      </c>
      <c r="D39" s="43"/>
      <c r="E39" s="43"/>
      <c r="F39" s="43"/>
      <c r="G39" s="43"/>
      <c r="H39" s="43"/>
      <c r="I39" s="43"/>
      <c r="J39" s="43"/>
      <c r="K39" s="43"/>
      <c r="L39" s="43"/>
      <c r="M39" s="43"/>
      <c r="N39" s="43"/>
      <c r="O39" s="43"/>
      <c r="P39" s="127"/>
      <c r="Q39" s="126"/>
      <c r="R39" s="128"/>
      <c r="S39" s="68"/>
      <c r="T39" s="68"/>
      <c r="U39" s="68"/>
      <c r="V39" s="68"/>
      <c r="W39" s="68"/>
      <c r="X39" s="68"/>
      <c r="Y39" s="68"/>
      <c r="Z39" s="78" t="str">
        <f xml:space="preserve"> IF(LEN(D39)=0,"", '[1]General info'!$B$5 &amp; "/" &amp; RIGHT(D39,LEN(D39)-FIND("/", D39)))</f>
        <v/>
      </c>
      <c r="AA39" s="78"/>
      <c r="AB39" s="84"/>
      <c r="AC39" s="84"/>
      <c r="AD39" s="43"/>
      <c r="AE39" s="183"/>
      <c r="AF39" s="128"/>
      <c r="AG39" s="48"/>
    </row>
    <row r="40" spans="1:33" s="55" customFormat="1">
      <c r="A40" s="249"/>
      <c r="B40" s="43" t="s">
        <v>15</v>
      </c>
      <c r="C40" s="103">
        <v>37</v>
      </c>
      <c r="D40" s="43"/>
      <c r="E40" s="43"/>
      <c r="F40" s="43"/>
      <c r="G40" s="97"/>
      <c r="H40" s="43"/>
      <c r="I40" s="43"/>
      <c r="J40" s="43"/>
      <c r="K40" s="43"/>
      <c r="L40" s="43"/>
      <c r="M40" s="43"/>
      <c r="N40" s="43"/>
      <c r="O40" s="43"/>
      <c r="P40" s="127"/>
      <c r="Q40" s="126"/>
      <c r="R40" s="128"/>
      <c r="S40" s="68"/>
      <c r="T40" s="68"/>
      <c r="U40" s="68"/>
      <c r="V40" s="68"/>
      <c r="W40" s="68"/>
      <c r="X40" s="68"/>
      <c r="Y40" s="68"/>
      <c r="Z40" s="78" t="str">
        <f xml:space="preserve"> IF(LEN(D40)=0,"", '[1]General info'!$B$5 &amp; "/" &amp; RIGHT(D40,LEN(D40)-FIND("/", D40)))</f>
        <v/>
      </c>
      <c r="AA40" s="78"/>
      <c r="AB40" s="84"/>
      <c r="AC40" s="84"/>
      <c r="AD40" s="43"/>
      <c r="AE40" s="183"/>
      <c r="AF40" s="128"/>
      <c r="AG40" s="48"/>
    </row>
    <row r="41" spans="1:33" s="55" customFormat="1">
      <c r="A41" s="249"/>
      <c r="B41" s="43" t="s">
        <v>15</v>
      </c>
      <c r="C41" s="67">
        <v>38</v>
      </c>
      <c r="D41" s="42"/>
      <c r="E41" s="42"/>
      <c r="F41" s="42"/>
      <c r="G41" s="42"/>
      <c r="H41" s="42"/>
      <c r="I41" s="43"/>
      <c r="J41" s="43"/>
      <c r="K41" s="43"/>
      <c r="L41" s="43"/>
      <c r="M41" s="43"/>
      <c r="N41" s="43"/>
      <c r="O41" s="43"/>
      <c r="P41" s="44"/>
      <c r="Q41" s="125"/>
      <c r="R41" s="43"/>
      <c r="S41" s="43"/>
      <c r="T41" s="68"/>
      <c r="U41" s="68"/>
      <c r="V41" s="68"/>
      <c r="W41" s="68"/>
      <c r="X41" s="68"/>
      <c r="Y41" s="68"/>
      <c r="Z41" s="78" t="str">
        <f xml:space="preserve"> IF(LEN(D41)=0,"", '[1]General info'!$B$5 &amp; "/" &amp; RIGHT(D41,LEN(D41)-FIND("/", D41)))</f>
        <v/>
      </c>
      <c r="AA41" s="78"/>
      <c r="AB41" s="84"/>
      <c r="AC41" s="84"/>
      <c r="AD41" s="43"/>
      <c r="AE41" s="175"/>
      <c r="AF41" s="43"/>
      <c r="AG41" s="48"/>
    </row>
    <row r="42" spans="1:33" s="55" customFormat="1" ht="13.5" thickBot="1">
      <c r="A42" s="247"/>
      <c r="B42" s="70"/>
      <c r="C42" s="69" t="s">
        <v>195</v>
      </c>
      <c r="D42" s="74"/>
      <c r="E42" s="74"/>
      <c r="F42" s="74"/>
      <c r="G42" s="74"/>
      <c r="H42" s="74"/>
      <c r="I42" s="74"/>
      <c r="J42" s="74"/>
      <c r="K42" s="74"/>
      <c r="L42" s="70"/>
      <c r="M42" s="70"/>
      <c r="N42" s="70"/>
      <c r="O42" s="70"/>
      <c r="P42" s="165"/>
      <c r="Q42" s="166"/>
      <c r="R42" s="70"/>
      <c r="S42" s="70"/>
      <c r="T42" s="83"/>
      <c r="U42" s="83"/>
      <c r="V42" s="83"/>
      <c r="W42" s="83"/>
      <c r="X42" s="83"/>
      <c r="Y42" s="83"/>
      <c r="Z42" s="81"/>
      <c r="AA42" s="81"/>
      <c r="AB42" s="83"/>
      <c r="AC42" s="83"/>
      <c r="AD42" s="70"/>
      <c r="AE42" s="176"/>
      <c r="AF42" s="70"/>
      <c r="AG42" s="121"/>
    </row>
    <row r="43" spans="1:33" ht="13.5" thickBot="1">
      <c r="P43" s="158"/>
      <c r="Q43" s="159"/>
    </row>
    <row r="44" spans="1:33">
      <c r="A44" s="259"/>
      <c r="B44" s="12"/>
      <c r="C44" s="161"/>
      <c r="D44" s="12"/>
      <c r="E44" s="12"/>
      <c r="F44" s="12"/>
      <c r="G44" s="12"/>
      <c r="H44" s="12"/>
      <c r="I44" s="21" t="s">
        <v>690</v>
      </c>
      <c r="J44" s="21" t="s">
        <v>690</v>
      </c>
      <c r="K44" s="21"/>
      <c r="L44" s="21" t="s">
        <v>196</v>
      </c>
      <c r="M44" s="21" t="s">
        <v>196</v>
      </c>
      <c r="N44" s="21"/>
      <c r="O44" s="21"/>
      <c r="P44" s="15"/>
      <c r="Q44" s="15"/>
      <c r="R44" s="15"/>
      <c r="S44" s="21"/>
      <c r="T44" s="21" t="s">
        <v>196</v>
      </c>
      <c r="U44" s="21"/>
      <c r="V44" s="21"/>
      <c r="W44" s="21"/>
      <c r="X44" s="21" t="s">
        <v>196</v>
      </c>
      <c r="Y44" s="21" t="s">
        <v>196</v>
      </c>
      <c r="Z44" s="23"/>
      <c r="AA44" s="21" t="s">
        <v>196</v>
      </c>
      <c r="AB44" s="21" t="s">
        <v>196</v>
      </c>
      <c r="AC44" s="21"/>
      <c r="AD44" s="15"/>
      <c r="AE44" s="16"/>
      <c r="AF44" s="16"/>
      <c r="AG44" s="16"/>
    </row>
    <row r="45" spans="1:33" s="29" customFormat="1" ht="9">
      <c r="A45" s="253"/>
      <c r="B45" s="31"/>
      <c r="C45" s="151"/>
      <c r="D45" s="31"/>
      <c r="E45" s="31"/>
      <c r="F45" s="31"/>
      <c r="G45" s="31"/>
      <c r="H45" s="31"/>
      <c r="I45" s="27" t="s">
        <v>596</v>
      </c>
      <c r="J45" s="27" t="s">
        <v>198</v>
      </c>
      <c r="K45" s="27"/>
      <c r="L45" s="27" t="s">
        <v>483</v>
      </c>
      <c r="M45" s="148" t="s">
        <v>485</v>
      </c>
      <c r="N45" s="27"/>
      <c r="O45" s="27"/>
      <c r="P45" s="401"/>
      <c r="Q45" s="401"/>
      <c r="R45" s="401"/>
      <c r="S45" s="27"/>
      <c r="T45" s="27" t="s">
        <v>198</v>
      </c>
      <c r="U45" s="27"/>
      <c r="V45" s="27"/>
      <c r="W45" s="27"/>
      <c r="X45" s="27" t="s">
        <v>486</v>
      </c>
      <c r="Y45" s="27" t="s">
        <v>487</v>
      </c>
      <c r="Z45" s="36"/>
      <c r="AA45" s="27" t="s">
        <v>488</v>
      </c>
      <c r="AB45" s="27" t="s">
        <v>198</v>
      </c>
      <c r="AC45" s="27"/>
      <c r="AD45" s="401"/>
      <c r="AE45" s="405"/>
      <c r="AF45" s="405"/>
      <c r="AG45" s="405"/>
    </row>
    <row r="46" spans="1:33" s="29" customFormat="1" ht="9">
      <c r="A46" s="253"/>
      <c r="B46" s="31"/>
      <c r="C46" s="151"/>
      <c r="D46" s="31"/>
      <c r="E46" s="31"/>
      <c r="F46" s="31"/>
      <c r="G46" s="31"/>
      <c r="H46" s="31"/>
      <c r="I46" s="27" t="s">
        <v>599</v>
      </c>
      <c r="J46" s="27" t="s">
        <v>88</v>
      </c>
      <c r="K46" s="27"/>
      <c r="L46" s="27" t="s">
        <v>490</v>
      </c>
      <c r="M46" s="148" t="s">
        <v>492</v>
      </c>
      <c r="N46" s="27"/>
      <c r="O46" s="27"/>
      <c r="P46" s="401"/>
      <c r="Q46" s="401"/>
      <c r="R46" s="401"/>
      <c r="S46" s="27"/>
      <c r="T46" s="27" t="s">
        <v>88</v>
      </c>
      <c r="U46" s="27"/>
      <c r="V46" s="27"/>
      <c r="W46" s="27"/>
      <c r="X46" s="27" t="s">
        <v>493</v>
      </c>
      <c r="Y46" s="27" t="s">
        <v>494</v>
      </c>
      <c r="Z46" s="36"/>
      <c r="AA46" s="27" t="s">
        <v>495</v>
      </c>
      <c r="AB46" s="27" t="s">
        <v>88</v>
      </c>
      <c r="AC46" s="27"/>
      <c r="AD46" s="401"/>
      <c r="AE46" s="405"/>
      <c r="AF46" s="405"/>
      <c r="AG46" s="405"/>
    </row>
    <row r="47" spans="1:33" s="29" customFormat="1" ht="9">
      <c r="A47" s="253"/>
      <c r="B47" s="31"/>
      <c r="C47" s="151"/>
      <c r="D47" s="31"/>
      <c r="E47" s="31"/>
      <c r="F47" s="31"/>
      <c r="G47" s="31"/>
      <c r="H47" s="31"/>
      <c r="I47" s="27" t="s">
        <v>602</v>
      </c>
      <c r="J47" s="27"/>
      <c r="K47" s="27"/>
      <c r="L47" s="27" t="s">
        <v>497</v>
      </c>
      <c r="M47" s="148" t="s">
        <v>499</v>
      </c>
      <c r="N47" s="27"/>
      <c r="O47" s="27"/>
      <c r="P47" s="401"/>
      <c r="Q47" s="401"/>
      <c r="R47" s="401"/>
      <c r="S47" s="27"/>
      <c r="T47" s="27"/>
      <c r="U47" s="27"/>
      <c r="V47" s="27"/>
      <c r="W47" s="27"/>
      <c r="X47" s="27" t="s">
        <v>500</v>
      </c>
      <c r="Y47" s="27" t="s">
        <v>501</v>
      </c>
      <c r="Z47" s="36"/>
      <c r="AA47" s="27" t="s">
        <v>502</v>
      </c>
      <c r="AB47" s="27"/>
      <c r="AC47" s="27"/>
      <c r="AD47" s="401"/>
      <c r="AE47" s="405"/>
      <c r="AF47" s="405"/>
      <c r="AG47" s="405"/>
    </row>
    <row r="48" spans="1:33" s="29" customFormat="1" ht="9">
      <c r="A48" s="253"/>
      <c r="B48" s="31"/>
      <c r="C48" s="151"/>
      <c r="D48" s="31"/>
      <c r="E48" s="31"/>
      <c r="F48" s="31"/>
      <c r="G48" s="31"/>
      <c r="H48" s="31"/>
      <c r="I48" s="27" t="s">
        <v>597</v>
      </c>
      <c r="J48" s="27"/>
      <c r="K48" s="27"/>
      <c r="L48" s="27" t="s">
        <v>504</v>
      </c>
      <c r="M48" s="149" t="s">
        <v>506</v>
      </c>
      <c r="N48" s="27"/>
      <c r="O48" s="27"/>
      <c r="P48" s="401"/>
      <c r="Q48" s="401"/>
      <c r="R48" s="401"/>
      <c r="S48" s="27"/>
      <c r="T48" s="27"/>
      <c r="U48" s="27"/>
      <c r="V48" s="27"/>
      <c r="W48" s="27"/>
      <c r="X48" s="27" t="s">
        <v>507</v>
      </c>
      <c r="Y48" s="27"/>
      <c r="Z48" s="36"/>
      <c r="AA48" s="27" t="s">
        <v>508</v>
      </c>
      <c r="AB48" s="27"/>
      <c r="AC48" s="27"/>
      <c r="AD48" s="401"/>
      <c r="AE48" s="405"/>
      <c r="AF48" s="405"/>
      <c r="AG48" s="405"/>
    </row>
    <row r="49" spans="1:33" s="29" customFormat="1" ht="9">
      <c r="A49" s="253"/>
      <c r="B49" s="31"/>
      <c r="C49" s="151"/>
      <c r="D49" s="31"/>
      <c r="E49" s="31"/>
      <c r="F49" s="31"/>
      <c r="G49" s="31"/>
      <c r="H49" s="31"/>
      <c r="I49" s="27" t="s">
        <v>598</v>
      </c>
      <c r="J49" s="27"/>
      <c r="K49" s="27"/>
      <c r="L49" s="27" t="s">
        <v>509</v>
      </c>
      <c r="M49" s="149" t="s">
        <v>511</v>
      </c>
      <c r="N49" s="27"/>
      <c r="O49" s="27"/>
      <c r="P49" s="31"/>
      <c r="Q49" s="31"/>
      <c r="R49" s="31"/>
      <c r="S49" s="27"/>
      <c r="T49" s="27"/>
      <c r="U49" s="27"/>
      <c r="V49" s="27"/>
      <c r="W49" s="27"/>
      <c r="X49" s="27"/>
      <c r="Y49" s="27"/>
      <c r="Z49" s="36"/>
      <c r="AA49" s="36" t="s">
        <v>512</v>
      </c>
      <c r="AB49" s="36"/>
      <c r="AC49" s="36"/>
      <c r="AD49" s="31"/>
      <c r="AE49" s="32"/>
      <c r="AF49" s="32"/>
      <c r="AG49" s="32"/>
    </row>
    <row r="50" spans="1:33" s="29" customFormat="1" ht="9">
      <c r="A50" s="253"/>
      <c r="B50" s="31"/>
      <c r="C50" s="151"/>
      <c r="D50" s="31"/>
      <c r="E50" s="31"/>
      <c r="F50" s="31"/>
      <c r="G50" s="31"/>
      <c r="H50" s="31"/>
      <c r="I50" s="27" t="s">
        <v>691</v>
      </c>
      <c r="J50" s="27"/>
      <c r="K50" s="27"/>
      <c r="L50" s="27" t="s">
        <v>513</v>
      </c>
      <c r="M50" s="148" t="s">
        <v>515</v>
      </c>
      <c r="N50" s="27"/>
      <c r="O50" s="27"/>
      <c r="P50" s="31"/>
      <c r="Q50" s="31"/>
      <c r="R50" s="31"/>
      <c r="S50" s="27"/>
      <c r="T50" s="27"/>
      <c r="U50" s="27"/>
      <c r="V50" s="27"/>
      <c r="W50" s="27"/>
      <c r="X50" s="27"/>
      <c r="Y50" s="27"/>
      <c r="Z50" s="36"/>
      <c r="AA50" s="36" t="s">
        <v>516</v>
      </c>
      <c r="AB50" s="36"/>
      <c r="AC50" s="36"/>
      <c r="AD50" s="31"/>
      <c r="AE50" s="32"/>
      <c r="AF50" s="32"/>
      <c r="AG50" s="32"/>
    </row>
    <row r="51" spans="1:33" s="29" customFormat="1" ht="9">
      <c r="A51" s="253"/>
      <c r="B51" s="31"/>
      <c r="C51" s="151"/>
      <c r="D51" s="31"/>
      <c r="E51" s="31"/>
      <c r="F51" s="31"/>
      <c r="G51" s="31"/>
      <c r="H51" s="31"/>
      <c r="I51" s="27" t="s">
        <v>592</v>
      </c>
      <c r="J51" s="27"/>
      <c r="K51" s="27"/>
      <c r="L51" s="27" t="s">
        <v>517</v>
      </c>
      <c r="M51" s="149" t="s">
        <v>519</v>
      </c>
      <c r="N51" s="27"/>
      <c r="O51" s="27"/>
      <c r="P51" s="31"/>
      <c r="Q51" s="31"/>
      <c r="R51" s="31"/>
      <c r="S51" s="27"/>
      <c r="T51" s="27"/>
      <c r="U51" s="27"/>
      <c r="V51" s="27"/>
      <c r="W51" s="27"/>
      <c r="X51" s="27"/>
      <c r="Y51" s="27"/>
      <c r="Z51" s="36"/>
      <c r="AA51" s="36" t="s">
        <v>520</v>
      </c>
      <c r="AB51" s="36"/>
      <c r="AC51" s="36"/>
      <c r="AD51" s="31"/>
      <c r="AE51" s="32"/>
      <c r="AF51" s="32"/>
      <c r="AG51" s="32"/>
    </row>
    <row r="52" spans="1:33" s="29" customFormat="1" ht="9">
      <c r="A52" s="253"/>
      <c r="B52" s="31"/>
      <c r="C52" s="151"/>
      <c r="D52" s="31"/>
      <c r="E52" s="31"/>
      <c r="F52" s="31"/>
      <c r="G52" s="31"/>
      <c r="H52" s="31"/>
      <c r="I52" s="27" t="s">
        <v>692</v>
      </c>
      <c r="J52" s="27"/>
      <c r="K52" s="27"/>
      <c r="L52" s="27" t="s">
        <v>521</v>
      </c>
      <c r="M52" s="148" t="s">
        <v>673</v>
      </c>
      <c r="N52" s="27"/>
      <c r="O52" s="27"/>
      <c r="P52" s="31"/>
      <c r="Q52" s="31"/>
      <c r="R52" s="31"/>
      <c r="S52" s="27"/>
      <c r="T52" s="27"/>
      <c r="U52" s="27"/>
      <c r="V52" s="27"/>
      <c r="W52" s="27"/>
      <c r="X52" s="27"/>
      <c r="Y52" s="27"/>
      <c r="Z52" s="36"/>
      <c r="AA52" s="36"/>
      <c r="AB52" s="36"/>
      <c r="AC52" s="36"/>
      <c r="AD52" s="31"/>
      <c r="AE52" s="32"/>
      <c r="AF52" s="32"/>
      <c r="AG52" s="32"/>
    </row>
    <row r="53" spans="1:33" s="29" customFormat="1" ht="9">
      <c r="A53" s="253"/>
      <c r="B53" s="31"/>
      <c r="C53" s="151"/>
      <c r="D53" s="31"/>
      <c r="E53" s="31"/>
      <c r="F53" s="31"/>
      <c r="G53" s="31"/>
      <c r="H53" s="31"/>
      <c r="I53" s="27" t="s">
        <v>693</v>
      </c>
      <c r="J53" s="27"/>
      <c r="K53" s="27"/>
      <c r="L53" s="27" t="s">
        <v>523</v>
      </c>
      <c r="M53" s="148" t="s">
        <v>522</v>
      </c>
      <c r="N53" s="27"/>
      <c r="O53" s="27"/>
      <c r="P53" s="31"/>
      <c r="Q53" s="31"/>
      <c r="R53" s="31"/>
      <c r="S53" s="27"/>
      <c r="T53" s="27"/>
      <c r="U53" s="27"/>
      <c r="V53" s="27"/>
      <c r="W53" s="27"/>
      <c r="X53" s="27"/>
      <c r="Y53" s="27"/>
      <c r="Z53" s="36"/>
      <c r="AA53" s="36"/>
      <c r="AB53" s="36"/>
      <c r="AC53" s="36"/>
      <c r="AD53" s="31"/>
      <c r="AE53" s="32"/>
      <c r="AF53" s="32"/>
      <c r="AG53" s="32"/>
    </row>
    <row r="54" spans="1:33" s="29" customFormat="1" ht="9">
      <c r="A54" s="253"/>
      <c r="B54" s="31"/>
      <c r="C54" s="151"/>
      <c r="D54" s="31"/>
      <c r="E54" s="31"/>
      <c r="F54" s="31"/>
      <c r="G54" s="31"/>
      <c r="H54" s="31"/>
      <c r="I54" s="27"/>
      <c r="J54" s="27"/>
      <c r="K54" s="27"/>
      <c r="L54" s="27" t="s">
        <v>525</v>
      </c>
      <c r="M54" s="148" t="s">
        <v>524</v>
      </c>
      <c r="N54" s="27"/>
      <c r="O54" s="27"/>
      <c r="P54" s="31"/>
      <c r="Q54" s="31"/>
      <c r="R54" s="31"/>
      <c r="S54" s="27"/>
      <c r="T54" s="27"/>
      <c r="U54" s="27"/>
      <c r="V54" s="27"/>
      <c r="W54" s="27"/>
      <c r="X54" s="27"/>
      <c r="Y54" s="27"/>
      <c r="Z54" s="36"/>
      <c r="AA54" s="36"/>
      <c r="AB54" s="36"/>
      <c r="AC54" s="36"/>
      <c r="AD54" s="31"/>
      <c r="AE54" s="32"/>
      <c r="AF54" s="32"/>
      <c r="AG54" s="32"/>
    </row>
    <row r="55" spans="1:33" s="29" customFormat="1" ht="9">
      <c r="A55" s="253"/>
      <c r="B55" s="31"/>
      <c r="C55" s="151"/>
      <c r="D55" s="31"/>
      <c r="E55" s="31"/>
      <c r="F55" s="31"/>
      <c r="G55" s="31"/>
      <c r="H55" s="31"/>
      <c r="I55" s="27"/>
      <c r="J55" s="27"/>
      <c r="K55" s="27"/>
      <c r="L55" s="27" t="s">
        <v>527</v>
      </c>
      <c r="M55" s="149" t="s">
        <v>526</v>
      </c>
      <c r="N55" s="27"/>
      <c r="O55" s="27"/>
      <c r="P55" s="31"/>
      <c r="Q55" s="31"/>
      <c r="R55" s="31"/>
      <c r="S55" s="27"/>
      <c r="T55" s="27"/>
      <c r="U55" s="27"/>
      <c r="V55" s="27"/>
      <c r="W55" s="27"/>
      <c r="X55" s="27"/>
      <c r="Y55" s="27"/>
      <c r="Z55" s="36"/>
      <c r="AA55" s="36"/>
      <c r="AB55" s="36"/>
      <c r="AC55" s="36"/>
      <c r="AD55" s="31"/>
      <c r="AE55" s="32"/>
      <c r="AF55" s="32"/>
      <c r="AG55" s="32"/>
    </row>
    <row r="56" spans="1:33" s="29" customFormat="1" ht="9">
      <c r="A56" s="253"/>
      <c r="B56" s="31"/>
      <c r="C56" s="151"/>
      <c r="D56" s="31"/>
      <c r="E56" s="31"/>
      <c r="F56" s="31"/>
      <c r="G56" s="31"/>
      <c r="H56" s="31"/>
      <c r="I56" s="27"/>
      <c r="J56" s="27"/>
      <c r="K56" s="27"/>
      <c r="L56" s="27" t="s">
        <v>530</v>
      </c>
      <c r="M56" s="149" t="s">
        <v>528</v>
      </c>
      <c r="N56" s="27"/>
      <c r="O56" s="27"/>
      <c r="P56" s="31"/>
      <c r="Q56" s="31"/>
      <c r="R56" s="31"/>
      <c r="S56" s="27"/>
      <c r="T56" s="27"/>
      <c r="U56" s="27"/>
      <c r="V56" s="27"/>
      <c r="W56" s="27"/>
      <c r="X56" s="27"/>
      <c r="Y56" s="27"/>
      <c r="Z56" s="36"/>
      <c r="AA56" s="36"/>
      <c r="AB56" s="36"/>
      <c r="AC56" s="36"/>
      <c r="AD56" s="31"/>
      <c r="AE56" s="32"/>
      <c r="AF56" s="32"/>
      <c r="AG56" s="32"/>
    </row>
    <row r="57" spans="1:33" s="14" customFormat="1" ht="9">
      <c r="A57" s="257"/>
      <c r="B57" s="26"/>
      <c r="C57" s="155"/>
      <c r="D57" s="26"/>
      <c r="E57" s="26"/>
      <c r="F57" s="26"/>
      <c r="G57" s="26"/>
      <c r="H57" s="26"/>
      <c r="I57" s="154"/>
      <c r="J57" s="154"/>
      <c r="K57" s="154"/>
      <c r="L57" s="31"/>
      <c r="M57" s="148" t="s">
        <v>531</v>
      </c>
      <c r="N57" s="31"/>
      <c r="O57" s="31"/>
      <c r="P57" s="31"/>
      <c r="Q57" s="31"/>
      <c r="R57" s="31"/>
      <c r="S57" s="31"/>
      <c r="T57" s="31"/>
      <c r="U57" s="31"/>
      <c r="V57" s="31"/>
      <c r="W57" s="31"/>
      <c r="X57" s="31"/>
      <c r="Y57" s="31"/>
      <c r="Z57" s="36"/>
      <c r="AA57" s="36"/>
      <c r="AB57" s="36"/>
      <c r="AC57" s="36"/>
      <c r="AD57" s="31"/>
      <c r="AE57" s="32"/>
      <c r="AF57" s="32"/>
      <c r="AG57" s="32"/>
    </row>
    <row r="58" spans="1:33" s="14" customFormat="1" ht="9">
      <c r="A58" s="257"/>
      <c r="B58" s="26"/>
      <c r="C58" s="155"/>
      <c r="D58" s="26"/>
      <c r="E58" s="26"/>
      <c r="F58" s="26"/>
      <c r="G58" s="26"/>
      <c r="H58" s="26"/>
      <c r="I58" s="154"/>
      <c r="J58" s="154"/>
      <c r="K58" s="154"/>
      <c r="L58" s="31"/>
      <c r="M58" s="149" t="s">
        <v>532</v>
      </c>
      <c r="N58" s="31"/>
      <c r="O58" s="31"/>
      <c r="P58" s="31"/>
      <c r="Q58" s="31"/>
      <c r="R58" s="31"/>
      <c r="S58" s="31"/>
      <c r="T58" s="31"/>
      <c r="U58" s="31"/>
      <c r="V58" s="31"/>
      <c r="W58" s="31"/>
      <c r="X58" s="31"/>
      <c r="Y58" s="31"/>
      <c r="Z58" s="36"/>
      <c r="AA58" s="36"/>
      <c r="AB58" s="36"/>
      <c r="AC58" s="36"/>
      <c r="AD58" s="31"/>
      <c r="AE58" s="32"/>
      <c r="AF58" s="32"/>
      <c r="AG58" s="32"/>
    </row>
    <row r="59" spans="1:33" s="14" customFormat="1" ht="9">
      <c r="A59" s="257"/>
      <c r="B59" s="26"/>
      <c r="C59" s="155"/>
      <c r="D59" s="26"/>
      <c r="E59" s="26"/>
      <c r="F59" s="26"/>
      <c r="G59" s="26"/>
      <c r="H59" s="26"/>
      <c r="I59" s="154"/>
      <c r="J59" s="154"/>
      <c r="K59" s="154"/>
      <c r="L59" s="31"/>
      <c r="M59" s="148" t="s">
        <v>533</v>
      </c>
      <c r="N59" s="31"/>
      <c r="O59" s="31"/>
      <c r="P59" s="31"/>
      <c r="Q59" s="31"/>
      <c r="R59" s="31"/>
      <c r="S59" s="31"/>
      <c r="T59" s="31"/>
      <c r="U59" s="31"/>
      <c r="V59" s="31"/>
      <c r="W59" s="31"/>
      <c r="X59" s="31"/>
      <c r="Y59" s="31"/>
      <c r="Z59" s="36"/>
      <c r="AA59" s="36"/>
      <c r="AB59" s="36"/>
      <c r="AC59" s="36"/>
      <c r="AD59" s="31"/>
      <c r="AE59" s="32"/>
      <c r="AF59" s="32"/>
      <c r="AG59" s="32"/>
    </row>
    <row r="60" spans="1:33" s="14" customFormat="1" ht="9">
      <c r="A60" s="257"/>
      <c r="B60" s="26"/>
      <c r="C60" s="155"/>
      <c r="D60" s="26"/>
      <c r="E60" s="26"/>
      <c r="F60" s="26"/>
      <c r="G60" s="26"/>
      <c r="H60" s="26"/>
      <c r="I60" s="154"/>
      <c r="J60" s="154"/>
      <c r="K60" s="154"/>
      <c r="L60" s="31"/>
      <c r="M60" s="148" t="s">
        <v>534</v>
      </c>
      <c r="N60" s="31"/>
      <c r="O60" s="31"/>
      <c r="P60" s="31"/>
      <c r="Q60" s="31"/>
      <c r="R60" s="31"/>
      <c r="S60" s="31"/>
      <c r="T60" s="31"/>
      <c r="U60" s="31"/>
      <c r="V60" s="31"/>
      <c r="W60" s="31"/>
      <c r="X60" s="31"/>
      <c r="Y60" s="31"/>
      <c r="Z60" s="36"/>
      <c r="AA60" s="36"/>
      <c r="AB60" s="36"/>
      <c r="AC60" s="36"/>
      <c r="AD60" s="31"/>
      <c r="AE60" s="32"/>
      <c r="AF60" s="32"/>
      <c r="AG60" s="32"/>
    </row>
    <row r="61" spans="1:33" s="14" customFormat="1" ht="9">
      <c r="A61" s="257"/>
      <c r="B61" s="26"/>
      <c r="C61" s="155"/>
      <c r="D61" s="26"/>
      <c r="E61" s="26"/>
      <c r="F61" s="26"/>
      <c r="G61" s="26"/>
      <c r="H61" s="26"/>
      <c r="I61" s="154"/>
      <c r="J61" s="154"/>
      <c r="K61" s="154"/>
      <c r="L61" s="31"/>
      <c r="M61" s="148" t="s">
        <v>535</v>
      </c>
      <c r="N61" s="31"/>
      <c r="O61" s="31"/>
      <c r="P61" s="31"/>
      <c r="Q61" s="31"/>
      <c r="R61" s="31"/>
      <c r="S61" s="31"/>
      <c r="T61" s="31"/>
      <c r="U61" s="31"/>
      <c r="V61" s="31"/>
      <c r="W61" s="31"/>
      <c r="X61" s="31"/>
      <c r="Y61" s="31"/>
      <c r="Z61" s="36"/>
      <c r="AA61" s="36"/>
      <c r="AB61" s="36"/>
      <c r="AC61" s="36"/>
      <c r="AD61" s="31"/>
      <c r="AE61" s="32"/>
      <c r="AF61" s="32"/>
      <c r="AG61" s="32"/>
    </row>
    <row r="62" spans="1:33" s="14" customFormat="1" ht="9">
      <c r="A62" s="257"/>
      <c r="B62" s="26"/>
      <c r="C62" s="155"/>
      <c r="D62" s="26"/>
      <c r="E62" s="26"/>
      <c r="F62" s="26"/>
      <c r="G62" s="26"/>
      <c r="H62" s="26"/>
      <c r="I62" s="154"/>
      <c r="J62" s="154"/>
      <c r="K62" s="154"/>
      <c r="L62" s="31"/>
      <c r="M62" s="148" t="s">
        <v>536</v>
      </c>
      <c r="N62" s="31"/>
      <c r="O62" s="31"/>
      <c r="P62" s="31"/>
      <c r="Q62" s="31"/>
      <c r="R62" s="31"/>
      <c r="S62" s="31"/>
      <c r="T62" s="31"/>
      <c r="U62" s="31"/>
      <c r="V62" s="31"/>
      <c r="W62" s="31"/>
      <c r="X62" s="31"/>
      <c r="Y62" s="31"/>
      <c r="Z62" s="36"/>
      <c r="AA62" s="36"/>
      <c r="AB62" s="36"/>
      <c r="AC62" s="36"/>
      <c r="AD62" s="31"/>
      <c r="AE62" s="32"/>
      <c r="AF62" s="32"/>
      <c r="AG62" s="32"/>
    </row>
    <row r="63" spans="1:33" s="14" customFormat="1" ht="9">
      <c r="A63" s="257"/>
      <c r="B63" s="26"/>
      <c r="C63" s="155"/>
      <c r="D63" s="26"/>
      <c r="E63" s="26"/>
      <c r="F63" s="26"/>
      <c r="G63" s="26"/>
      <c r="H63" s="26"/>
      <c r="I63" s="154"/>
      <c r="J63" s="154"/>
      <c r="K63" s="154"/>
      <c r="L63" s="31"/>
      <c r="M63" s="148" t="s">
        <v>537</v>
      </c>
      <c r="N63" s="31"/>
      <c r="O63" s="31"/>
      <c r="P63" s="31"/>
      <c r="Q63" s="31"/>
      <c r="R63" s="31"/>
      <c r="S63" s="31"/>
      <c r="T63" s="31"/>
      <c r="U63" s="31"/>
      <c r="V63" s="31"/>
      <c r="W63" s="31"/>
      <c r="X63" s="31"/>
      <c r="Y63" s="31"/>
      <c r="Z63" s="36"/>
      <c r="AA63" s="36"/>
      <c r="AB63" s="36"/>
      <c r="AC63" s="36"/>
      <c r="AD63" s="31"/>
      <c r="AE63" s="32"/>
      <c r="AF63" s="32"/>
      <c r="AG63" s="32"/>
    </row>
    <row r="64" spans="1:33" s="14" customFormat="1" ht="9">
      <c r="A64" s="257"/>
      <c r="B64" s="26"/>
      <c r="C64" s="155"/>
      <c r="D64" s="26"/>
      <c r="E64" s="26"/>
      <c r="F64" s="26"/>
      <c r="G64" s="26"/>
      <c r="H64" s="26"/>
      <c r="I64" s="154"/>
      <c r="J64" s="154"/>
      <c r="K64" s="154"/>
      <c r="L64" s="31"/>
      <c r="M64" s="148" t="s">
        <v>538</v>
      </c>
      <c r="N64" s="31"/>
      <c r="O64" s="31"/>
      <c r="P64" s="31"/>
      <c r="Q64" s="31"/>
      <c r="R64" s="31"/>
      <c r="S64" s="31"/>
      <c r="T64" s="31"/>
      <c r="U64" s="31"/>
      <c r="V64" s="31"/>
      <c r="W64" s="31"/>
      <c r="X64" s="31"/>
      <c r="Y64" s="31"/>
      <c r="Z64" s="36"/>
      <c r="AA64" s="36"/>
      <c r="AB64" s="36"/>
      <c r="AC64" s="36"/>
      <c r="AD64" s="31"/>
      <c r="AE64" s="32"/>
      <c r="AF64" s="32"/>
      <c r="AG64" s="32"/>
    </row>
    <row r="65" spans="1:33" s="14" customFormat="1" ht="9">
      <c r="A65" s="257"/>
      <c r="B65" s="26"/>
      <c r="C65" s="155"/>
      <c r="D65" s="26"/>
      <c r="E65" s="26"/>
      <c r="F65" s="26"/>
      <c r="G65" s="26"/>
      <c r="H65" s="26"/>
      <c r="I65" s="154"/>
      <c r="J65" s="154"/>
      <c r="K65" s="154"/>
      <c r="L65" s="31"/>
      <c r="M65" s="150" t="s">
        <v>539</v>
      </c>
      <c r="N65" s="31"/>
      <c r="O65" s="31"/>
      <c r="P65" s="31"/>
      <c r="Q65" s="31"/>
      <c r="R65" s="31"/>
      <c r="S65" s="31"/>
      <c r="T65" s="31"/>
      <c r="U65" s="31"/>
      <c r="V65" s="31"/>
      <c r="W65" s="31"/>
      <c r="X65" s="31"/>
      <c r="Y65" s="31"/>
      <c r="Z65" s="36"/>
      <c r="AA65" s="36"/>
      <c r="AB65" s="36"/>
      <c r="AC65" s="36"/>
      <c r="AD65" s="31"/>
      <c r="AE65" s="32"/>
      <c r="AF65" s="32"/>
      <c r="AG65" s="32"/>
    </row>
    <row r="66" spans="1:33" s="14" customFormat="1" ht="9">
      <c r="A66" s="257"/>
      <c r="B66" s="26"/>
      <c r="C66" s="155"/>
      <c r="D66" s="26"/>
      <c r="E66" s="26"/>
      <c r="F66" s="26"/>
      <c r="G66" s="26"/>
      <c r="H66" s="26"/>
      <c r="I66" s="154"/>
      <c r="J66" s="154"/>
      <c r="K66" s="154"/>
      <c r="L66" s="31"/>
      <c r="M66" s="149" t="s">
        <v>540</v>
      </c>
      <c r="N66" s="31"/>
      <c r="O66" s="31"/>
      <c r="P66" s="31"/>
      <c r="Q66" s="31"/>
      <c r="R66" s="31"/>
      <c r="S66" s="31"/>
      <c r="T66" s="31"/>
      <c r="U66" s="31"/>
      <c r="V66" s="31"/>
      <c r="W66" s="31"/>
      <c r="X66" s="31"/>
      <c r="Y66" s="31"/>
      <c r="Z66" s="36"/>
      <c r="AA66" s="36"/>
      <c r="AB66" s="36"/>
      <c r="AC66" s="36"/>
      <c r="AD66" s="31"/>
      <c r="AE66" s="32"/>
      <c r="AF66" s="32"/>
      <c r="AG66" s="32"/>
    </row>
    <row r="67" spans="1:33" s="14" customFormat="1" ht="9">
      <c r="A67" s="257"/>
      <c r="B67" s="26"/>
      <c r="C67" s="155"/>
      <c r="D67" s="26"/>
      <c r="E67" s="26"/>
      <c r="F67" s="26"/>
      <c r="G67" s="26"/>
      <c r="H67" s="26"/>
      <c r="I67" s="154"/>
      <c r="J67" s="154"/>
      <c r="K67" s="154"/>
      <c r="L67" s="31"/>
      <c r="M67" s="149" t="s">
        <v>541</v>
      </c>
      <c r="N67" s="31"/>
      <c r="O67" s="31"/>
      <c r="P67" s="31"/>
      <c r="Q67" s="31"/>
      <c r="R67" s="31"/>
      <c r="S67" s="31"/>
      <c r="T67" s="31"/>
      <c r="U67" s="31"/>
      <c r="V67" s="31"/>
      <c r="W67" s="31"/>
      <c r="X67" s="31"/>
      <c r="Y67" s="31"/>
      <c r="Z67" s="36"/>
      <c r="AA67" s="36"/>
      <c r="AB67" s="36"/>
      <c r="AC67" s="36"/>
      <c r="AD67" s="31"/>
      <c r="AE67" s="32"/>
      <c r="AF67" s="32"/>
      <c r="AG67" s="32"/>
    </row>
    <row r="68" spans="1:33" s="14" customFormat="1" ht="9">
      <c r="A68" s="257"/>
      <c r="B68" s="26"/>
      <c r="C68" s="155"/>
      <c r="D68" s="26"/>
      <c r="E68" s="26"/>
      <c r="F68" s="26"/>
      <c r="G68" s="26"/>
      <c r="H68" s="26"/>
      <c r="I68" s="154"/>
      <c r="J68" s="154"/>
      <c r="K68" s="154"/>
      <c r="L68" s="31"/>
      <c r="M68" s="148" t="s">
        <v>542</v>
      </c>
      <c r="N68" s="31"/>
      <c r="O68" s="31"/>
      <c r="P68" s="31"/>
      <c r="Q68" s="31"/>
      <c r="R68" s="31"/>
      <c r="S68" s="31"/>
      <c r="T68" s="31"/>
      <c r="U68" s="31"/>
      <c r="V68" s="31"/>
      <c r="W68" s="31"/>
      <c r="X68" s="31"/>
      <c r="Y68" s="31"/>
      <c r="Z68" s="36"/>
      <c r="AA68" s="36"/>
      <c r="AB68" s="36"/>
      <c r="AC68" s="36"/>
      <c r="AD68" s="31"/>
      <c r="AE68" s="32"/>
      <c r="AF68" s="32"/>
      <c r="AG68" s="32"/>
    </row>
    <row r="69" spans="1:33" s="14" customFormat="1" ht="9">
      <c r="A69" s="257"/>
      <c r="B69" s="26"/>
      <c r="C69" s="155"/>
      <c r="D69" s="26"/>
      <c r="E69" s="26"/>
      <c r="F69" s="26"/>
      <c r="G69" s="26"/>
      <c r="H69" s="26"/>
      <c r="I69" s="154"/>
      <c r="J69" s="154"/>
      <c r="K69" s="154"/>
      <c r="L69" s="31"/>
      <c r="M69" s="148" t="s">
        <v>543</v>
      </c>
      <c r="N69" s="31"/>
      <c r="O69" s="31"/>
      <c r="P69" s="31"/>
      <c r="Q69" s="31"/>
      <c r="R69" s="31"/>
      <c r="S69" s="31"/>
      <c r="T69" s="31"/>
      <c r="U69" s="31"/>
      <c r="V69" s="31"/>
      <c r="W69" s="31"/>
      <c r="X69" s="31"/>
      <c r="Y69" s="31"/>
      <c r="Z69" s="36"/>
      <c r="AA69" s="36"/>
      <c r="AB69" s="36"/>
      <c r="AC69" s="36"/>
      <c r="AD69" s="31"/>
      <c r="AE69" s="32"/>
      <c r="AF69" s="32"/>
      <c r="AG69" s="32"/>
    </row>
    <row r="70" spans="1:33" s="14" customFormat="1" ht="9">
      <c r="A70" s="257"/>
      <c r="B70" s="26"/>
      <c r="C70" s="155"/>
      <c r="D70" s="26"/>
      <c r="E70" s="26"/>
      <c r="F70" s="26"/>
      <c r="G70" s="26"/>
      <c r="H70" s="26"/>
      <c r="I70" s="154"/>
      <c r="J70" s="154"/>
      <c r="K70" s="154"/>
      <c r="L70" s="31"/>
      <c r="M70" s="150" t="s">
        <v>544</v>
      </c>
      <c r="N70" s="31"/>
      <c r="O70" s="31"/>
      <c r="P70" s="31"/>
      <c r="Q70" s="31"/>
      <c r="R70" s="31"/>
      <c r="S70" s="31"/>
      <c r="T70" s="31"/>
      <c r="U70" s="31"/>
      <c r="V70" s="31"/>
      <c r="W70" s="31"/>
      <c r="X70" s="31"/>
      <c r="Y70" s="31"/>
      <c r="Z70" s="36"/>
      <c r="AA70" s="36"/>
      <c r="AB70" s="36"/>
      <c r="AC70" s="36"/>
      <c r="AD70" s="31"/>
      <c r="AE70" s="32"/>
      <c r="AF70" s="32"/>
      <c r="AG70" s="32"/>
    </row>
    <row r="71" spans="1:33" s="14" customFormat="1" ht="9">
      <c r="A71" s="257"/>
      <c r="B71" s="26"/>
      <c r="C71" s="155"/>
      <c r="D71" s="26"/>
      <c r="E71" s="26"/>
      <c r="F71" s="26"/>
      <c r="G71" s="26"/>
      <c r="H71" s="26"/>
      <c r="I71" s="154"/>
      <c r="J71" s="154"/>
      <c r="K71" s="154"/>
      <c r="L71" s="31"/>
      <c r="M71" s="149" t="s">
        <v>545</v>
      </c>
      <c r="N71" s="31"/>
      <c r="O71" s="31"/>
      <c r="P71" s="31"/>
      <c r="Q71" s="31"/>
      <c r="R71" s="31"/>
      <c r="S71" s="31"/>
      <c r="T71" s="31"/>
      <c r="U71" s="31"/>
      <c r="V71" s="31"/>
      <c r="W71" s="31"/>
      <c r="X71" s="31"/>
      <c r="Y71" s="31"/>
      <c r="Z71" s="36"/>
      <c r="AA71" s="36"/>
      <c r="AB71" s="36"/>
      <c r="AC71" s="36"/>
      <c r="AD71" s="31"/>
      <c r="AE71" s="32"/>
      <c r="AF71" s="32"/>
      <c r="AG71" s="32"/>
    </row>
    <row r="72" spans="1:33" s="14" customFormat="1" ht="9">
      <c r="A72" s="257"/>
      <c r="B72" s="26"/>
      <c r="C72" s="155"/>
      <c r="D72" s="26"/>
      <c r="E72" s="26"/>
      <c r="F72" s="26"/>
      <c r="G72" s="26"/>
      <c r="H72" s="26"/>
      <c r="I72" s="154"/>
      <c r="J72" s="154"/>
      <c r="K72" s="154"/>
      <c r="L72" s="31"/>
      <c r="M72" s="149" t="s">
        <v>546</v>
      </c>
      <c r="N72" s="31"/>
      <c r="O72" s="31"/>
      <c r="P72" s="31"/>
      <c r="Q72" s="31"/>
      <c r="R72" s="31"/>
      <c r="S72" s="31"/>
      <c r="T72" s="31"/>
      <c r="U72" s="31"/>
      <c r="V72" s="31"/>
      <c r="W72" s="31"/>
      <c r="X72" s="31"/>
      <c r="Y72" s="31"/>
      <c r="Z72" s="36"/>
      <c r="AA72" s="36"/>
      <c r="AB72" s="36"/>
      <c r="AC72" s="36"/>
      <c r="AD72" s="31"/>
      <c r="AE72" s="32"/>
      <c r="AF72" s="32"/>
      <c r="AG72" s="32"/>
    </row>
    <row r="73" spans="1:33" s="14" customFormat="1" ht="9">
      <c r="A73" s="257"/>
      <c r="B73" s="26"/>
      <c r="C73" s="155"/>
      <c r="D73" s="26"/>
      <c r="E73" s="26"/>
      <c r="F73" s="26"/>
      <c r="G73" s="26"/>
      <c r="H73" s="26"/>
      <c r="I73" s="154"/>
      <c r="J73" s="154"/>
      <c r="K73" s="154"/>
      <c r="L73" s="31"/>
      <c r="M73" s="148" t="s">
        <v>547</v>
      </c>
      <c r="N73" s="31"/>
      <c r="O73" s="31"/>
      <c r="P73" s="31"/>
      <c r="Q73" s="31"/>
      <c r="R73" s="31"/>
      <c r="S73" s="31"/>
      <c r="T73" s="31"/>
      <c r="U73" s="31"/>
      <c r="V73" s="31"/>
      <c r="W73" s="31"/>
      <c r="X73" s="31"/>
      <c r="Y73" s="31"/>
      <c r="Z73" s="36"/>
      <c r="AA73" s="36"/>
      <c r="AB73" s="36"/>
      <c r="AC73" s="36"/>
      <c r="AD73" s="31"/>
      <c r="AE73" s="32"/>
      <c r="AF73" s="32"/>
      <c r="AG73" s="32"/>
    </row>
    <row r="74" spans="1:33" s="14" customFormat="1" ht="9">
      <c r="A74" s="257"/>
      <c r="B74" s="26"/>
      <c r="C74" s="155"/>
      <c r="D74" s="26"/>
      <c r="E74" s="26"/>
      <c r="F74" s="26"/>
      <c r="G74" s="26"/>
      <c r="H74" s="26"/>
      <c r="I74" s="154"/>
      <c r="J74" s="154"/>
      <c r="K74" s="154"/>
      <c r="L74" s="31"/>
      <c r="M74" s="148" t="s">
        <v>548</v>
      </c>
      <c r="N74" s="31"/>
      <c r="O74" s="31"/>
      <c r="P74" s="31"/>
      <c r="Q74" s="31"/>
      <c r="R74" s="31"/>
      <c r="S74" s="31"/>
      <c r="T74" s="31"/>
      <c r="U74" s="31"/>
      <c r="V74" s="31"/>
      <c r="W74" s="31"/>
      <c r="X74" s="31"/>
      <c r="Y74" s="31"/>
      <c r="Z74" s="36"/>
      <c r="AA74" s="36"/>
      <c r="AB74" s="36"/>
      <c r="AC74" s="36"/>
      <c r="AD74" s="31"/>
      <c r="AE74" s="32"/>
      <c r="AF74" s="32"/>
      <c r="AG74" s="32"/>
    </row>
    <row r="75" spans="1:33" s="14" customFormat="1" ht="9">
      <c r="A75" s="257"/>
      <c r="B75" s="26"/>
      <c r="C75" s="155"/>
      <c r="D75" s="26"/>
      <c r="E75" s="26"/>
      <c r="F75" s="26"/>
      <c r="G75" s="26"/>
      <c r="H75" s="26"/>
      <c r="I75" s="154"/>
      <c r="J75" s="154"/>
      <c r="K75" s="154"/>
      <c r="L75" s="31"/>
      <c r="M75" s="148" t="s">
        <v>549</v>
      </c>
      <c r="N75" s="31"/>
      <c r="O75" s="31"/>
      <c r="P75" s="31"/>
      <c r="Q75" s="31"/>
      <c r="R75" s="31"/>
      <c r="S75" s="31"/>
      <c r="T75" s="31"/>
      <c r="U75" s="31"/>
      <c r="V75" s="31"/>
      <c r="W75" s="31"/>
      <c r="X75" s="31"/>
      <c r="Y75" s="31"/>
      <c r="Z75" s="36"/>
      <c r="AA75" s="36"/>
      <c r="AB75" s="36"/>
      <c r="AC75" s="36"/>
      <c r="AD75" s="31"/>
      <c r="AE75" s="32"/>
      <c r="AF75" s="32"/>
      <c r="AG75" s="32"/>
    </row>
    <row r="76" spans="1:33" s="14" customFormat="1" ht="9">
      <c r="A76" s="257"/>
      <c r="B76" s="26"/>
      <c r="C76" s="155"/>
      <c r="D76" s="26"/>
      <c r="E76" s="26"/>
      <c r="F76" s="26"/>
      <c r="G76" s="26"/>
      <c r="H76" s="26"/>
      <c r="I76" s="154"/>
      <c r="J76" s="154"/>
      <c r="K76" s="154"/>
      <c r="L76" s="31"/>
      <c r="M76" s="148" t="s">
        <v>550</v>
      </c>
      <c r="N76" s="31"/>
      <c r="O76" s="31"/>
      <c r="P76" s="31"/>
      <c r="Q76" s="31"/>
      <c r="R76" s="31"/>
      <c r="S76" s="31"/>
      <c r="T76" s="31"/>
      <c r="U76" s="31"/>
      <c r="V76" s="31"/>
      <c r="W76" s="31"/>
      <c r="X76" s="31"/>
      <c r="Y76" s="31"/>
      <c r="Z76" s="36"/>
      <c r="AA76" s="36"/>
      <c r="AB76" s="36"/>
      <c r="AC76" s="36"/>
      <c r="AD76" s="31"/>
      <c r="AE76" s="32"/>
      <c r="AF76" s="32"/>
      <c r="AG76" s="32"/>
    </row>
    <row r="77" spans="1:33" s="14" customFormat="1" ht="9">
      <c r="A77" s="257"/>
      <c r="B77" s="26"/>
      <c r="C77" s="155"/>
      <c r="D77" s="26"/>
      <c r="E77" s="26"/>
      <c r="F77" s="26"/>
      <c r="G77" s="26"/>
      <c r="H77" s="26"/>
      <c r="I77" s="154"/>
      <c r="J77" s="154"/>
      <c r="K77" s="154"/>
      <c r="L77" s="31"/>
      <c r="M77" s="148" t="s">
        <v>551</v>
      </c>
      <c r="N77" s="31"/>
      <c r="O77" s="31"/>
      <c r="P77" s="31"/>
      <c r="Q77" s="31"/>
      <c r="R77" s="31"/>
      <c r="S77" s="31"/>
      <c r="T77" s="31"/>
      <c r="U77" s="31"/>
      <c r="V77" s="31"/>
      <c r="W77" s="31"/>
      <c r="X77" s="31"/>
      <c r="Y77" s="31"/>
      <c r="Z77" s="36"/>
      <c r="AA77" s="36"/>
      <c r="AB77" s="36"/>
      <c r="AC77" s="36"/>
      <c r="AD77" s="31"/>
      <c r="AE77" s="32"/>
      <c r="AF77" s="32"/>
      <c r="AG77" s="32"/>
    </row>
    <row r="78" spans="1:33" s="14" customFormat="1" ht="9">
      <c r="A78" s="257"/>
      <c r="B78" s="26"/>
      <c r="C78" s="155"/>
      <c r="D78" s="26"/>
      <c r="E78" s="26"/>
      <c r="F78" s="26"/>
      <c r="G78" s="26"/>
      <c r="H78" s="26"/>
      <c r="I78" s="154"/>
      <c r="J78" s="154"/>
      <c r="K78" s="154"/>
      <c r="L78" s="31"/>
      <c r="M78" s="148" t="s">
        <v>552</v>
      </c>
      <c r="N78" s="31"/>
      <c r="O78" s="31"/>
      <c r="P78" s="31"/>
      <c r="Q78" s="31"/>
      <c r="R78" s="31"/>
      <c r="S78" s="31"/>
      <c r="T78" s="31"/>
      <c r="U78" s="31"/>
      <c r="V78" s="31"/>
      <c r="W78" s="31"/>
      <c r="X78" s="31"/>
      <c r="Y78" s="31"/>
      <c r="Z78" s="36"/>
      <c r="AA78" s="36"/>
      <c r="AB78" s="36"/>
      <c r="AC78" s="36"/>
      <c r="AD78" s="31"/>
      <c r="AE78" s="32"/>
      <c r="AF78" s="32"/>
      <c r="AG78" s="32"/>
    </row>
    <row r="79" spans="1:33" s="14" customFormat="1" ht="9">
      <c r="A79" s="257"/>
      <c r="B79" s="26"/>
      <c r="C79" s="155"/>
      <c r="D79" s="26"/>
      <c r="E79" s="26"/>
      <c r="F79" s="26"/>
      <c r="G79" s="26"/>
      <c r="H79" s="26"/>
      <c r="I79" s="154"/>
      <c r="J79" s="154"/>
      <c r="K79" s="154"/>
      <c r="L79" s="31"/>
      <c r="M79" s="148" t="s">
        <v>553</v>
      </c>
      <c r="N79" s="31"/>
      <c r="O79" s="31"/>
      <c r="P79" s="31"/>
      <c r="Q79" s="31"/>
      <c r="R79" s="31"/>
      <c r="S79" s="31"/>
      <c r="T79" s="31"/>
      <c r="U79" s="31"/>
      <c r="V79" s="31"/>
      <c r="W79" s="31"/>
      <c r="X79" s="31"/>
      <c r="Y79" s="31"/>
      <c r="Z79" s="36"/>
      <c r="AA79" s="36"/>
      <c r="AB79" s="36"/>
      <c r="AC79" s="36"/>
      <c r="AD79" s="31"/>
      <c r="AE79" s="32"/>
      <c r="AF79" s="32"/>
      <c r="AG79" s="32"/>
    </row>
    <row r="80" spans="1:33" s="14" customFormat="1" ht="9">
      <c r="A80" s="257"/>
      <c r="B80" s="26"/>
      <c r="C80" s="155"/>
      <c r="D80" s="26"/>
      <c r="E80" s="26"/>
      <c r="F80" s="26"/>
      <c r="G80" s="26"/>
      <c r="H80" s="26"/>
      <c r="I80" s="154"/>
      <c r="J80" s="154"/>
      <c r="K80" s="154"/>
      <c r="L80" s="31"/>
      <c r="M80" s="148" t="s">
        <v>554</v>
      </c>
      <c r="N80" s="31"/>
      <c r="O80" s="31"/>
      <c r="P80" s="31"/>
      <c r="Q80" s="31"/>
      <c r="R80" s="31"/>
      <c r="S80" s="31"/>
      <c r="T80" s="31"/>
      <c r="U80" s="31"/>
      <c r="V80" s="31"/>
      <c r="W80" s="31"/>
      <c r="X80" s="31"/>
      <c r="Y80" s="31"/>
      <c r="Z80" s="36"/>
      <c r="AA80" s="36"/>
      <c r="AB80" s="36"/>
      <c r="AC80" s="36"/>
      <c r="AD80" s="31"/>
      <c r="AE80" s="32"/>
      <c r="AF80" s="32"/>
      <c r="AG80" s="32"/>
    </row>
    <row r="81" spans="1:33" s="14" customFormat="1" ht="9">
      <c r="A81" s="257"/>
      <c r="B81" s="26"/>
      <c r="C81" s="155"/>
      <c r="D81" s="26"/>
      <c r="E81" s="26"/>
      <c r="F81" s="26"/>
      <c r="G81" s="26"/>
      <c r="H81" s="26"/>
      <c r="I81" s="154"/>
      <c r="J81" s="154"/>
      <c r="K81" s="154"/>
      <c r="L81" s="31"/>
      <c r="M81" s="148" t="s">
        <v>555</v>
      </c>
      <c r="N81" s="31"/>
      <c r="O81" s="31"/>
      <c r="P81" s="31"/>
      <c r="Q81" s="31"/>
      <c r="R81" s="31"/>
      <c r="S81" s="31"/>
      <c r="T81" s="31"/>
      <c r="U81" s="31"/>
      <c r="V81" s="31"/>
      <c r="W81" s="31"/>
      <c r="X81" s="31"/>
      <c r="Y81" s="31"/>
      <c r="Z81" s="36"/>
      <c r="AA81" s="36"/>
      <c r="AB81" s="36"/>
      <c r="AC81" s="36"/>
      <c r="AD81" s="31"/>
      <c r="AE81" s="32"/>
      <c r="AF81" s="32"/>
      <c r="AG81" s="32"/>
    </row>
    <row r="82" spans="1:33" s="14" customFormat="1" ht="9">
      <c r="A82" s="257"/>
      <c r="B82" s="26"/>
      <c r="C82" s="155"/>
      <c r="D82" s="26"/>
      <c r="E82" s="26"/>
      <c r="F82" s="26"/>
      <c r="G82" s="26"/>
      <c r="H82" s="26"/>
      <c r="I82" s="154"/>
      <c r="J82" s="154"/>
      <c r="K82" s="154"/>
      <c r="L82" s="31"/>
      <c r="M82" s="148" t="s">
        <v>556</v>
      </c>
      <c r="N82" s="31"/>
      <c r="O82" s="31"/>
      <c r="P82" s="31"/>
      <c r="Q82" s="31"/>
      <c r="R82" s="31"/>
      <c r="S82" s="31"/>
      <c r="T82" s="31"/>
      <c r="U82" s="31"/>
      <c r="V82" s="31"/>
      <c r="W82" s="31"/>
      <c r="X82" s="31"/>
      <c r="Y82" s="31"/>
      <c r="Z82" s="36"/>
      <c r="AA82" s="36"/>
      <c r="AB82" s="36"/>
      <c r="AC82" s="36"/>
      <c r="AD82" s="31"/>
      <c r="AE82" s="32"/>
      <c r="AF82" s="32"/>
      <c r="AG82" s="32"/>
    </row>
    <row r="83" spans="1:33" s="14" customFormat="1" ht="9">
      <c r="A83" s="257"/>
      <c r="B83" s="26"/>
      <c r="C83" s="155"/>
      <c r="D83" s="26"/>
      <c r="E83" s="26"/>
      <c r="F83" s="26"/>
      <c r="G83" s="26"/>
      <c r="H83" s="26"/>
      <c r="I83" s="154"/>
      <c r="J83" s="154"/>
      <c r="K83" s="154"/>
      <c r="L83" s="31"/>
      <c r="M83" s="148" t="s">
        <v>557</v>
      </c>
      <c r="N83" s="31"/>
      <c r="O83" s="31"/>
      <c r="P83" s="31"/>
      <c r="Q83" s="31"/>
      <c r="R83" s="31"/>
      <c r="S83" s="31"/>
      <c r="T83" s="31"/>
      <c r="U83" s="31"/>
      <c r="V83" s="31"/>
      <c r="W83" s="31"/>
      <c r="X83" s="31"/>
      <c r="Y83" s="31"/>
      <c r="Z83" s="36"/>
      <c r="AA83" s="36"/>
      <c r="AB83" s="36"/>
      <c r="AC83" s="36"/>
      <c r="AD83" s="31"/>
      <c r="AE83" s="32"/>
      <c r="AF83" s="32"/>
      <c r="AG83" s="32"/>
    </row>
    <row r="84" spans="1:33" s="14" customFormat="1" ht="9">
      <c r="A84" s="257"/>
      <c r="B84" s="26"/>
      <c r="C84" s="155"/>
      <c r="D84" s="26"/>
      <c r="E84" s="26"/>
      <c r="F84" s="26"/>
      <c r="G84" s="26"/>
      <c r="H84" s="26"/>
      <c r="I84" s="154"/>
      <c r="J84" s="154"/>
      <c r="K84" s="154"/>
      <c r="L84" s="31"/>
      <c r="M84" s="148" t="s">
        <v>558</v>
      </c>
      <c r="N84" s="31"/>
      <c r="O84" s="31"/>
      <c r="P84" s="31"/>
      <c r="Q84" s="31"/>
      <c r="R84" s="31"/>
      <c r="S84" s="31"/>
      <c r="T84" s="31"/>
      <c r="U84" s="31"/>
      <c r="V84" s="31"/>
      <c r="W84" s="31"/>
      <c r="X84" s="31"/>
      <c r="Y84" s="31"/>
      <c r="Z84" s="36"/>
      <c r="AA84" s="36"/>
      <c r="AB84" s="36"/>
      <c r="AC84" s="36"/>
      <c r="AD84" s="31"/>
      <c r="AE84" s="32"/>
      <c r="AF84" s="32"/>
      <c r="AG84" s="32"/>
    </row>
    <row r="85" spans="1:33" s="14" customFormat="1" ht="9">
      <c r="A85" s="257"/>
      <c r="B85" s="26"/>
      <c r="C85" s="155"/>
      <c r="D85" s="26"/>
      <c r="E85" s="26"/>
      <c r="F85" s="26"/>
      <c r="G85" s="26"/>
      <c r="H85" s="26"/>
      <c r="I85" s="154"/>
      <c r="J85" s="154"/>
      <c r="K85" s="154"/>
      <c r="L85" s="31"/>
      <c r="M85" s="148" t="s">
        <v>559</v>
      </c>
      <c r="N85" s="31"/>
      <c r="O85" s="31"/>
      <c r="P85" s="31"/>
      <c r="Q85" s="31"/>
      <c r="R85" s="31"/>
      <c r="S85" s="31"/>
      <c r="T85" s="31"/>
      <c r="U85" s="31"/>
      <c r="V85" s="31"/>
      <c r="W85" s="31"/>
      <c r="X85" s="31"/>
      <c r="Y85" s="31"/>
      <c r="Z85" s="36"/>
      <c r="AA85" s="36"/>
      <c r="AB85" s="36"/>
      <c r="AC85" s="36"/>
      <c r="AD85" s="31"/>
      <c r="AE85" s="32"/>
      <c r="AF85" s="32"/>
      <c r="AG85" s="32"/>
    </row>
    <row r="86" spans="1:33" s="14" customFormat="1" ht="9">
      <c r="A86" s="257"/>
      <c r="B86" s="26"/>
      <c r="C86" s="155"/>
      <c r="D86" s="26"/>
      <c r="E86" s="26"/>
      <c r="F86" s="26"/>
      <c r="G86" s="26"/>
      <c r="H86" s="26"/>
      <c r="I86" s="154"/>
      <c r="J86" s="154"/>
      <c r="K86" s="154"/>
      <c r="L86" s="31"/>
      <c r="M86" s="148" t="s">
        <v>560</v>
      </c>
      <c r="N86" s="31"/>
      <c r="O86" s="31"/>
      <c r="P86" s="31"/>
      <c r="Q86" s="31"/>
      <c r="R86" s="31"/>
      <c r="S86" s="31"/>
      <c r="T86" s="31"/>
      <c r="U86" s="31"/>
      <c r="V86" s="31"/>
      <c r="W86" s="31"/>
      <c r="X86" s="31"/>
      <c r="Y86" s="31"/>
      <c r="Z86" s="36"/>
      <c r="AA86" s="36"/>
      <c r="AB86" s="36"/>
      <c r="AC86" s="36"/>
      <c r="AD86" s="31"/>
      <c r="AE86" s="32"/>
      <c r="AF86" s="32"/>
      <c r="AG86" s="32"/>
    </row>
    <row r="87" spans="1:33" s="14" customFormat="1" ht="9">
      <c r="A87" s="257"/>
      <c r="B87" s="26"/>
      <c r="C87" s="155"/>
      <c r="D87" s="26"/>
      <c r="E87" s="26"/>
      <c r="F87" s="26"/>
      <c r="G87" s="26"/>
      <c r="H87" s="26"/>
      <c r="I87" s="154"/>
      <c r="J87" s="154"/>
      <c r="K87" s="154"/>
      <c r="L87" s="31"/>
      <c r="M87" s="148" t="s">
        <v>561</v>
      </c>
      <c r="N87" s="31"/>
      <c r="O87" s="31"/>
      <c r="P87" s="31"/>
      <c r="Q87" s="31"/>
      <c r="R87" s="31"/>
      <c r="S87" s="31"/>
      <c r="T87" s="31"/>
      <c r="U87" s="31"/>
      <c r="V87" s="31"/>
      <c r="W87" s="31"/>
      <c r="X87" s="31"/>
      <c r="Y87" s="31"/>
      <c r="Z87" s="36"/>
      <c r="AA87" s="36"/>
      <c r="AB87" s="36"/>
      <c r="AC87" s="36"/>
      <c r="AD87" s="31"/>
      <c r="AE87" s="32"/>
      <c r="AF87" s="32"/>
      <c r="AG87" s="32"/>
    </row>
    <row r="88" spans="1:33" s="14" customFormat="1" ht="9">
      <c r="A88" s="257"/>
      <c r="B88" s="26"/>
      <c r="C88" s="155"/>
      <c r="D88" s="26"/>
      <c r="E88" s="26"/>
      <c r="F88" s="26"/>
      <c r="G88" s="26"/>
      <c r="H88" s="26"/>
      <c r="I88" s="154"/>
      <c r="J88" s="154"/>
      <c r="K88" s="154"/>
      <c r="L88" s="31"/>
      <c r="M88" s="148" t="s">
        <v>562</v>
      </c>
      <c r="N88" s="31"/>
      <c r="O88" s="31"/>
      <c r="P88" s="31"/>
      <c r="Q88" s="31"/>
      <c r="R88" s="31"/>
      <c r="S88" s="31"/>
      <c r="T88" s="31"/>
      <c r="U88" s="31"/>
      <c r="V88" s="31"/>
      <c r="W88" s="31"/>
      <c r="X88" s="31"/>
      <c r="Y88" s="31"/>
      <c r="Z88" s="36"/>
      <c r="AA88" s="36"/>
      <c r="AB88" s="36"/>
      <c r="AC88" s="36"/>
      <c r="AD88" s="31"/>
      <c r="AE88" s="32"/>
      <c r="AF88" s="32"/>
      <c r="AG88" s="32"/>
    </row>
    <row r="89" spans="1:33" s="14" customFormat="1" ht="9">
      <c r="A89" s="257"/>
      <c r="B89" s="26"/>
      <c r="C89" s="155"/>
      <c r="D89" s="26"/>
      <c r="E89" s="26"/>
      <c r="F89" s="26"/>
      <c r="G89" s="26"/>
      <c r="H89" s="26"/>
      <c r="I89" s="154"/>
      <c r="J89" s="154"/>
      <c r="K89" s="154"/>
      <c r="L89" s="31"/>
      <c r="M89" s="148" t="s">
        <v>563</v>
      </c>
      <c r="N89" s="31"/>
      <c r="O89" s="31"/>
      <c r="P89" s="31"/>
      <c r="Q89" s="31"/>
      <c r="R89" s="31"/>
      <c r="S89" s="31"/>
      <c r="T89" s="31"/>
      <c r="U89" s="31"/>
      <c r="V89" s="31"/>
      <c r="W89" s="31"/>
      <c r="X89" s="31"/>
      <c r="Y89" s="31"/>
      <c r="Z89" s="36"/>
      <c r="AA89" s="36"/>
      <c r="AB89" s="36"/>
      <c r="AC89" s="36"/>
      <c r="AD89" s="31"/>
      <c r="AE89" s="32"/>
      <c r="AF89" s="32"/>
      <c r="AG89" s="32"/>
    </row>
    <row r="90" spans="1:33" s="14" customFormat="1" ht="9">
      <c r="A90" s="257"/>
      <c r="B90" s="26"/>
      <c r="C90" s="155"/>
      <c r="D90" s="26"/>
      <c r="E90" s="26"/>
      <c r="F90" s="26"/>
      <c r="G90" s="26"/>
      <c r="H90" s="26"/>
      <c r="I90" s="154"/>
      <c r="J90" s="154"/>
      <c r="K90" s="154"/>
      <c r="L90" s="31"/>
      <c r="M90" s="148" t="s">
        <v>564</v>
      </c>
      <c r="N90" s="31"/>
      <c r="O90" s="31"/>
      <c r="P90" s="31"/>
      <c r="Q90" s="31"/>
      <c r="R90" s="31"/>
      <c r="S90" s="31"/>
      <c r="T90" s="31"/>
      <c r="U90" s="31"/>
      <c r="V90" s="31"/>
      <c r="W90" s="31"/>
      <c r="X90" s="31"/>
      <c r="Y90" s="31"/>
      <c r="Z90" s="36"/>
      <c r="AA90" s="36"/>
      <c r="AB90" s="36"/>
      <c r="AC90" s="36"/>
      <c r="AD90" s="31"/>
      <c r="AE90" s="32"/>
      <c r="AF90" s="32"/>
      <c r="AG90" s="32"/>
    </row>
    <row r="91" spans="1:33" s="14" customFormat="1" ht="9">
      <c r="A91" s="257"/>
      <c r="B91" s="26"/>
      <c r="C91" s="155"/>
      <c r="D91" s="26"/>
      <c r="E91" s="26"/>
      <c r="F91" s="26"/>
      <c r="G91" s="26"/>
      <c r="H91" s="26"/>
      <c r="I91" s="154"/>
      <c r="J91" s="154"/>
      <c r="K91" s="154"/>
      <c r="L91" s="31"/>
      <c r="M91" s="148" t="s">
        <v>565</v>
      </c>
      <c r="N91" s="31"/>
      <c r="O91" s="31"/>
      <c r="P91" s="31"/>
      <c r="Q91" s="31"/>
      <c r="R91" s="31"/>
      <c r="S91" s="31"/>
      <c r="T91" s="31"/>
      <c r="U91" s="31"/>
      <c r="V91" s="31"/>
      <c r="W91" s="31"/>
      <c r="X91" s="31"/>
      <c r="Y91" s="31"/>
      <c r="Z91" s="36"/>
      <c r="AA91" s="36"/>
      <c r="AB91" s="36"/>
      <c r="AC91" s="36"/>
      <c r="AD91" s="31"/>
      <c r="AE91" s="32"/>
      <c r="AF91" s="32"/>
      <c r="AG91" s="32"/>
    </row>
    <row r="92" spans="1:33" s="14" customFormat="1" ht="9">
      <c r="A92" s="257"/>
      <c r="B92" s="26"/>
      <c r="C92" s="155"/>
      <c r="D92" s="26"/>
      <c r="E92" s="26"/>
      <c r="F92" s="26"/>
      <c r="G92" s="26"/>
      <c r="H92" s="26"/>
      <c r="I92" s="154"/>
      <c r="J92" s="154"/>
      <c r="K92" s="154"/>
      <c r="L92" s="31"/>
      <c r="M92" s="148" t="s">
        <v>566</v>
      </c>
      <c r="N92" s="31"/>
      <c r="O92" s="31"/>
      <c r="P92" s="31"/>
      <c r="Q92" s="31"/>
      <c r="R92" s="31"/>
      <c r="S92" s="31"/>
      <c r="T92" s="31"/>
      <c r="U92" s="31"/>
      <c r="V92" s="31"/>
      <c r="W92" s="31"/>
      <c r="X92" s="31"/>
      <c r="Y92" s="31"/>
      <c r="Z92" s="36"/>
      <c r="AA92" s="36"/>
      <c r="AB92" s="36"/>
      <c r="AC92" s="36"/>
      <c r="AD92" s="31"/>
      <c r="AE92" s="32"/>
      <c r="AF92" s="32"/>
      <c r="AG92" s="32"/>
    </row>
    <row r="93" spans="1:33" s="14" customFormat="1" ht="9">
      <c r="A93" s="257"/>
      <c r="B93" s="26"/>
      <c r="C93" s="155"/>
      <c r="D93" s="26"/>
      <c r="E93" s="26"/>
      <c r="F93" s="26"/>
      <c r="G93" s="26"/>
      <c r="H93" s="26"/>
      <c r="I93" s="154"/>
      <c r="J93" s="154"/>
      <c r="K93" s="154"/>
      <c r="L93" s="31"/>
      <c r="M93" s="148" t="s">
        <v>567</v>
      </c>
      <c r="N93" s="31"/>
      <c r="O93" s="31"/>
      <c r="P93" s="31"/>
      <c r="Q93" s="31"/>
      <c r="R93" s="31"/>
      <c r="S93" s="31"/>
      <c r="T93" s="31"/>
      <c r="U93" s="31"/>
      <c r="V93" s="31"/>
      <c r="W93" s="31"/>
      <c r="X93" s="31"/>
      <c r="Y93" s="31"/>
      <c r="Z93" s="36"/>
      <c r="AA93" s="36"/>
      <c r="AB93" s="36"/>
      <c r="AC93" s="36"/>
      <c r="AD93" s="31"/>
      <c r="AE93" s="32"/>
      <c r="AF93" s="32"/>
      <c r="AG93" s="32"/>
    </row>
    <row r="94" spans="1:33" s="14" customFormat="1" ht="9">
      <c r="A94" s="257"/>
      <c r="B94" s="26"/>
      <c r="C94" s="155"/>
      <c r="D94" s="26"/>
      <c r="E94" s="26"/>
      <c r="F94" s="26"/>
      <c r="G94" s="26"/>
      <c r="H94" s="26"/>
      <c r="I94" s="154"/>
      <c r="J94" s="154"/>
      <c r="K94" s="154"/>
      <c r="L94" s="31"/>
      <c r="M94" s="148" t="s">
        <v>568</v>
      </c>
      <c r="N94" s="31"/>
      <c r="O94" s="31"/>
      <c r="P94" s="31"/>
      <c r="Q94" s="31"/>
      <c r="R94" s="31"/>
      <c r="S94" s="31"/>
      <c r="T94" s="31"/>
      <c r="U94" s="31"/>
      <c r="V94" s="31"/>
      <c r="W94" s="31"/>
      <c r="X94" s="31"/>
      <c r="Y94" s="31"/>
      <c r="Z94" s="36"/>
      <c r="AA94" s="36"/>
      <c r="AB94" s="36"/>
      <c r="AC94" s="36"/>
      <c r="AD94" s="31"/>
      <c r="AE94" s="32"/>
      <c r="AF94" s="32"/>
      <c r="AG94" s="32"/>
    </row>
    <row r="95" spans="1:33" s="14" customFormat="1" ht="9">
      <c r="A95" s="257"/>
      <c r="B95" s="26"/>
      <c r="C95" s="155"/>
      <c r="D95" s="26"/>
      <c r="E95" s="26"/>
      <c r="F95" s="26"/>
      <c r="G95" s="26"/>
      <c r="H95" s="26"/>
      <c r="I95" s="154"/>
      <c r="J95" s="154"/>
      <c r="K95" s="154"/>
      <c r="L95" s="31"/>
      <c r="M95" s="148" t="s">
        <v>569</v>
      </c>
      <c r="N95" s="31"/>
      <c r="O95" s="31"/>
      <c r="P95" s="31"/>
      <c r="Q95" s="31"/>
      <c r="R95" s="31"/>
      <c r="S95" s="31"/>
      <c r="T95" s="31"/>
      <c r="U95" s="31"/>
      <c r="V95" s="31"/>
      <c r="W95" s="31"/>
      <c r="X95" s="31"/>
      <c r="Y95" s="31"/>
      <c r="Z95" s="36"/>
      <c r="AA95" s="36"/>
      <c r="AB95" s="36"/>
      <c r="AC95" s="36"/>
      <c r="AD95" s="31"/>
      <c r="AE95" s="32"/>
      <c r="AF95" s="32"/>
      <c r="AG95" s="32"/>
    </row>
    <row r="96" spans="1:33" s="14" customFormat="1" ht="9">
      <c r="A96" s="257"/>
      <c r="B96" s="26"/>
      <c r="C96" s="155"/>
      <c r="D96" s="26"/>
      <c r="E96" s="26"/>
      <c r="F96" s="26"/>
      <c r="G96" s="26"/>
      <c r="H96" s="26"/>
      <c r="I96" s="154"/>
      <c r="J96" s="154"/>
      <c r="K96" s="154"/>
      <c r="L96" s="31"/>
      <c r="M96" s="148" t="s">
        <v>570</v>
      </c>
      <c r="N96" s="31"/>
      <c r="O96" s="31"/>
      <c r="P96" s="31"/>
      <c r="Q96" s="31"/>
      <c r="R96" s="31"/>
      <c r="S96" s="31"/>
      <c r="T96" s="31"/>
      <c r="U96" s="31"/>
      <c r="V96" s="31"/>
      <c r="W96" s="31"/>
      <c r="X96" s="31"/>
      <c r="Y96" s="31"/>
      <c r="Z96" s="36"/>
      <c r="AA96" s="36"/>
      <c r="AB96" s="36"/>
      <c r="AC96" s="36"/>
      <c r="AD96" s="31"/>
      <c r="AE96" s="32"/>
      <c r="AF96" s="32"/>
      <c r="AG96" s="32"/>
    </row>
    <row r="97" spans="1:33" s="14" customFormat="1" ht="9">
      <c r="A97" s="257"/>
      <c r="B97" s="26"/>
      <c r="C97" s="155"/>
      <c r="D97" s="26"/>
      <c r="E97" s="26"/>
      <c r="F97" s="26"/>
      <c r="G97" s="26"/>
      <c r="H97" s="26"/>
      <c r="I97" s="154"/>
      <c r="J97" s="154"/>
      <c r="K97" s="154"/>
      <c r="L97" s="31"/>
      <c r="M97" s="148" t="s">
        <v>571</v>
      </c>
      <c r="N97" s="31"/>
      <c r="O97" s="31"/>
      <c r="P97" s="31"/>
      <c r="Q97" s="31"/>
      <c r="R97" s="31"/>
      <c r="S97" s="31"/>
      <c r="T97" s="31"/>
      <c r="U97" s="31"/>
      <c r="V97" s="31"/>
      <c r="W97" s="31"/>
      <c r="X97" s="31"/>
      <c r="Y97" s="31"/>
      <c r="Z97" s="36"/>
      <c r="AA97" s="36"/>
      <c r="AB97" s="36"/>
      <c r="AC97" s="36"/>
      <c r="AD97" s="31"/>
      <c r="AE97" s="32"/>
      <c r="AF97" s="32"/>
      <c r="AG97" s="32"/>
    </row>
    <row r="98" spans="1:33" s="14" customFormat="1" ht="9">
      <c r="A98" s="257"/>
      <c r="B98" s="26"/>
      <c r="C98" s="155"/>
      <c r="D98" s="26"/>
      <c r="E98" s="26"/>
      <c r="F98" s="26"/>
      <c r="G98" s="26"/>
      <c r="H98" s="26"/>
      <c r="I98" s="154"/>
      <c r="J98" s="154"/>
      <c r="K98" s="154"/>
      <c r="L98" s="31"/>
      <c r="M98" s="148" t="s">
        <v>572</v>
      </c>
      <c r="N98" s="31"/>
      <c r="O98" s="31"/>
      <c r="P98" s="31"/>
      <c r="Q98" s="31"/>
      <c r="R98" s="31"/>
      <c r="S98" s="31"/>
      <c r="T98" s="31"/>
      <c r="U98" s="31"/>
      <c r="V98" s="31"/>
      <c r="W98" s="31"/>
      <c r="X98" s="31"/>
      <c r="Y98" s="31"/>
      <c r="Z98" s="36"/>
      <c r="AA98" s="36"/>
      <c r="AB98" s="36"/>
      <c r="AC98" s="36"/>
      <c r="AD98" s="31"/>
      <c r="AE98" s="32"/>
      <c r="AF98" s="32"/>
      <c r="AG98" s="32"/>
    </row>
    <row r="99" spans="1:33" s="14" customFormat="1" ht="9">
      <c r="A99" s="257"/>
      <c r="B99" s="26"/>
      <c r="C99" s="155"/>
      <c r="D99" s="26"/>
      <c r="E99" s="26"/>
      <c r="F99" s="26"/>
      <c r="G99" s="26"/>
      <c r="H99" s="26"/>
      <c r="I99" s="154"/>
      <c r="J99" s="154"/>
      <c r="K99" s="154"/>
      <c r="L99" s="31"/>
      <c r="M99" s="148" t="s">
        <v>573</v>
      </c>
      <c r="N99" s="31"/>
      <c r="O99" s="31"/>
      <c r="P99" s="31"/>
      <c r="Q99" s="31"/>
      <c r="R99" s="31"/>
      <c r="S99" s="31"/>
      <c r="T99" s="31"/>
      <c r="U99" s="31"/>
      <c r="V99" s="31"/>
      <c r="W99" s="31"/>
      <c r="X99" s="31"/>
      <c r="Y99" s="31"/>
      <c r="Z99" s="36"/>
      <c r="AA99" s="36"/>
      <c r="AB99" s="36"/>
      <c r="AC99" s="36"/>
      <c r="AD99" s="31"/>
      <c r="AE99" s="32"/>
      <c r="AF99" s="32"/>
      <c r="AG99" s="32"/>
    </row>
    <row r="100" spans="1:33" s="14" customFormat="1" ht="9">
      <c r="A100" s="257"/>
      <c r="B100" s="26"/>
      <c r="C100" s="155"/>
      <c r="D100" s="26"/>
      <c r="E100" s="26"/>
      <c r="F100" s="26"/>
      <c r="G100" s="26"/>
      <c r="H100" s="26"/>
      <c r="I100" s="154"/>
      <c r="J100" s="154"/>
      <c r="K100" s="154"/>
      <c r="L100" s="31"/>
      <c r="M100" s="148" t="s">
        <v>574</v>
      </c>
      <c r="N100" s="31"/>
      <c r="O100" s="31"/>
      <c r="P100" s="31"/>
      <c r="Q100" s="31"/>
      <c r="R100" s="31"/>
      <c r="S100" s="31"/>
      <c r="T100" s="31"/>
      <c r="U100" s="31"/>
      <c r="V100" s="31"/>
      <c r="W100" s="31"/>
      <c r="X100" s="31"/>
      <c r="Y100" s="31"/>
      <c r="Z100" s="36"/>
      <c r="AA100" s="36"/>
      <c r="AB100" s="36"/>
      <c r="AC100" s="36"/>
      <c r="AD100" s="31"/>
      <c r="AE100" s="32"/>
      <c r="AF100" s="32"/>
      <c r="AG100" s="32"/>
    </row>
    <row r="101" spans="1:33" s="14" customFormat="1" ht="9.75" thickBot="1">
      <c r="A101" s="260"/>
      <c r="B101" s="13"/>
      <c r="C101" s="160"/>
      <c r="D101" s="13"/>
      <c r="E101" s="13"/>
      <c r="F101" s="13"/>
      <c r="G101" s="13"/>
      <c r="H101" s="13"/>
      <c r="I101" s="24"/>
      <c r="J101" s="24"/>
      <c r="K101" s="24"/>
      <c r="L101" s="33"/>
      <c r="M101" s="153" t="s">
        <v>575</v>
      </c>
      <c r="N101" s="33"/>
      <c r="O101" s="33"/>
      <c r="P101" s="33"/>
      <c r="Q101" s="33"/>
      <c r="R101" s="33"/>
      <c r="S101" s="33"/>
      <c r="T101" s="33"/>
      <c r="U101" s="33"/>
      <c r="V101" s="33"/>
      <c r="W101" s="33"/>
      <c r="X101" s="33"/>
      <c r="Y101" s="33"/>
      <c r="Z101" s="22"/>
      <c r="AA101" s="22"/>
      <c r="AB101" s="22"/>
      <c r="AC101" s="22"/>
      <c r="AD101" s="33"/>
      <c r="AE101" s="35"/>
      <c r="AF101" s="35"/>
      <c r="AG101" s="35"/>
    </row>
    <row r="102" spans="1:33" ht="14.25">
      <c r="Z102" s="46"/>
      <c r="AA102" s="167"/>
      <c r="AB102" s="167"/>
      <c r="AC102" s="167"/>
    </row>
    <row r="103" spans="1:33" s="269" customFormat="1" ht="30" customHeight="1">
      <c r="A103" s="621" t="s">
        <v>350</v>
      </c>
      <c r="B103" s="622"/>
      <c r="C103" s="622"/>
      <c r="D103" s="622"/>
      <c r="E103" s="622"/>
      <c r="F103" s="622"/>
      <c r="G103" s="622"/>
      <c r="H103" s="622"/>
      <c r="I103" s="622"/>
      <c r="J103" s="622"/>
      <c r="K103" s="622"/>
      <c r="L103" s="622"/>
      <c r="M103" s="622"/>
      <c r="N103" s="622"/>
      <c r="O103" s="622"/>
      <c r="P103" s="341"/>
      <c r="Q103" s="341"/>
      <c r="R103" s="341"/>
      <c r="S103" s="341"/>
      <c r="T103" s="341"/>
      <c r="U103" s="341"/>
      <c r="V103" s="341"/>
      <c r="W103" s="341"/>
      <c r="X103" s="341"/>
      <c r="Y103" s="341"/>
      <c r="AA103" s="342"/>
      <c r="AB103" s="342"/>
      <c r="AC103" s="342"/>
      <c r="AD103" s="341"/>
      <c r="AE103" s="341"/>
      <c r="AF103" s="341"/>
    </row>
    <row r="104" spans="1:33" ht="14.25">
      <c r="A104" s="136" t="s">
        <v>64</v>
      </c>
      <c r="B104" s="136" t="s">
        <v>65</v>
      </c>
      <c r="C104" s="137" t="s">
        <v>66</v>
      </c>
      <c r="D104" s="138" t="s">
        <v>360</v>
      </c>
      <c r="E104" s="139" t="s">
        <v>694</v>
      </c>
      <c r="F104" s="139"/>
      <c r="G104" s="140" t="s">
        <v>4</v>
      </c>
      <c r="H104" s="136" t="s">
        <v>653</v>
      </c>
      <c r="I104" s="141" t="s">
        <v>695</v>
      </c>
      <c r="J104" s="625" t="s">
        <v>696</v>
      </c>
      <c r="K104" s="626"/>
      <c r="L104" s="627" t="s">
        <v>697</v>
      </c>
      <c r="M104" s="628"/>
      <c r="N104" s="628"/>
      <c r="O104" s="142" t="s">
        <v>698</v>
      </c>
      <c r="Z104" s="46"/>
      <c r="AA104" s="168"/>
      <c r="AB104" s="168"/>
      <c r="AC104" s="168"/>
    </row>
    <row r="105" spans="1:33" ht="14.25">
      <c r="A105" s="143"/>
      <c r="B105" s="143" t="s">
        <v>15</v>
      </c>
      <c r="C105" s="144">
        <v>1</v>
      </c>
      <c r="D105" s="143" t="s">
        <v>699</v>
      </c>
      <c r="E105" s="145">
        <v>0</v>
      </c>
      <c r="F105" s="145"/>
      <c r="G105" s="143" t="s">
        <v>700</v>
      </c>
      <c r="H105" s="143" t="s">
        <v>701</v>
      </c>
      <c r="I105" s="144" t="s">
        <v>671</v>
      </c>
      <c r="J105" s="623" t="s">
        <v>671</v>
      </c>
      <c r="K105" s="624"/>
      <c r="L105" s="631"/>
      <c r="M105" s="632"/>
      <c r="N105" s="633"/>
      <c r="O105" s="146">
        <v>0</v>
      </c>
      <c r="Z105" s="46"/>
      <c r="AA105" s="169"/>
      <c r="AB105" s="169"/>
      <c r="AC105" s="169"/>
    </row>
    <row r="106" spans="1:33">
      <c r="A106" s="143"/>
      <c r="B106" s="143" t="s">
        <v>15</v>
      </c>
      <c r="C106" s="144">
        <v>2</v>
      </c>
      <c r="D106" s="143" t="s">
        <v>699</v>
      </c>
      <c r="E106" s="145">
        <v>1</v>
      </c>
      <c r="F106" s="145"/>
      <c r="G106" s="143" t="s">
        <v>702</v>
      </c>
      <c r="H106" s="143" t="s">
        <v>703</v>
      </c>
      <c r="I106" s="144" t="s">
        <v>671</v>
      </c>
      <c r="J106" s="623" t="s">
        <v>671</v>
      </c>
      <c r="K106" s="624"/>
      <c r="L106" s="631"/>
      <c r="M106" s="632"/>
      <c r="N106" s="633"/>
      <c r="O106" s="147">
        <v>1</v>
      </c>
      <c r="Z106" s="46"/>
      <c r="AA106" s="46"/>
      <c r="AB106" s="46"/>
      <c r="AC106" s="46"/>
    </row>
    <row r="107" spans="1:33">
      <c r="A107" s="143"/>
      <c r="B107" s="143" t="s">
        <v>15</v>
      </c>
      <c r="C107" s="144">
        <v>3</v>
      </c>
      <c r="D107" s="143" t="s">
        <v>699</v>
      </c>
      <c r="E107" s="145">
        <v>2</v>
      </c>
      <c r="F107" s="145"/>
      <c r="G107" s="143" t="s">
        <v>704</v>
      </c>
      <c r="H107" s="143" t="s">
        <v>705</v>
      </c>
      <c r="I107" s="144" t="s">
        <v>671</v>
      </c>
      <c r="J107" s="623" t="s">
        <v>671</v>
      </c>
      <c r="K107" s="624"/>
      <c r="L107" s="631"/>
      <c r="M107" s="632"/>
      <c r="N107" s="633"/>
      <c r="O107" s="147">
        <v>2</v>
      </c>
      <c r="Z107" s="46"/>
      <c r="AA107" s="46"/>
      <c r="AB107" s="46"/>
      <c r="AC107" s="46"/>
    </row>
    <row r="108" spans="1:33">
      <c r="A108" s="143"/>
      <c r="B108" s="143" t="s">
        <v>15</v>
      </c>
      <c r="C108" s="144">
        <v>4</v>
      </c>
      <c r="D108" s="143" t="s">
        <v>699</v>
      </c>
      <c r="E108" s="145">
        <v>3</v>
      </c>
      <c r="F108" s="145"/>
      <c r="G108" s="143" t="s">
        <v>706</v>
      </c>
      <c r="H108" s="143" t="s">
        <v>707</v>
      </c>
      <c r="I108" s="144" t="s">
        <v>671</v>
      </c>
      <c r="J108" s="623" t="s">
        <v>671</v>
      </c>
      <c r="K108" s="624"/>
      <c r="L108" s="631"/>
      <c r="M108" s="632"/>
      <c r="N108" s="633"/>
      <c r="O108" s="147">
        <v>3</v>
      </c>
      <c r="Z108" s="46"/>
      <c r="AA108" s="46"/>
      <c r="AB108" s="46"/>
      <c r="AC108" s="46"/>
    </row>
    <row r="109" spans="1:33" s="269" customFormat="1" ht="30" customHeight="1">
      <c r="A109" s="629" t="s">
        <v>680</v>
      </c>
      <c r="B109" s="630"/>
      <c r="C109" s="630"/>
      <c r="D109" s="630"/>
      <c r="E109" s="630"/>
      <c r="F109" s="630"/>
      <c r="G109" s="630"/>
      <c r="H109" s="630"/>
      <c r="I109" s="630"/>
      <c r="J109" s="630"/>
      <c r="K109" s="630"/>
      <c r="L109" s="630"/>
      <c r="M109" s="630"/>
      <c r="N109" s="630"/>
      <c r="O109" s="630"/>
      <c r="P109" s="341"/>
      <c r="Q109" s="341"/>
      <c r="R109" s="341"/>
      <c r="S109" s="341"/>
      <c r="T109" s="341"/>
      <c r="U109" s="341"/>
      <c r="V109" s="341"/>
      <c r="W109" s="341"/>
      <c r="X109" s="341"/>
      <c r="Y109" s="341"/>
      <c r="AD109" s="341"/>
      <c r="AE109" s="341"/>
      <c r="AF109" s="341"/>
    </row>
    <row r="110" spans="1:33">
      <c r="A110" s="136" t="s">
        <v>64</v>
      </c>
      <c r="B110" s="136" t="s">
        <v>65</v>
      </c>
      <c r="C110" s="137" t="s">
        <v>66</v>
      </c>
      <c r="D110" s="138" t="s">
        <v>360</v>
      </c>
      <c r="E110" s="139" t="s">
        <v>694</v>
      </c>
      <c r="F110" s="139"/>
      <c r="G110" s="140" t="s">
        <v>4</v>
      </c>
      <c r="H110" s="136" t="s">
        <v>653</v>
      </c>
      <c r="I110" s="141" t="s">
        <v>695</v>
      </c>
      <c r="J110" s="625" t="s">
        <v>696</v>
      </c>
      <c r="K110" s="626"/>
      <c r="L110" s="627" t="s">
        <v>697</v>
      </c>
      <c r="M110" s="628"/>
      <c r="N110" s="628"/>
      <c r="O110" s="142" t="s">
        <v>698</v>
      </c>
      <c r="Z110" s="46"/>
      <c r="AA110" s="46"/>
      <c r="AB110" s="46"/>
      <c r="AC110" s="46"/>
    </row>
    <row r="111" spans="1:33">
      <c r="A111" s="143"/>
      <c r="B111" s="143" t="s">
        <v>15</v>
      </c>
      <c r="C111" s="144">
        <v>1</v>
      </c>
      <c r="D111" s="143" t="s">
        <v>708</v>
      </c>
      <c r="E111" s="145">
        <v>1</v>
      </c>
      <c r="F111" s="145"/>
      <c r="G111" s="143" t="s">
        <v>709</v>
      </c>
      <c r="H111" s="143" t="s">
        <v>710</v>
      </c>
      <c r="I111" s="144" t="s">
        <v>681</v>
      </c>
      <c r="J111" s="623" t="s">
        <v>168</v>
      </c>
      <c r="K111" s="624"/>
      <c r="L111" s="631"/>
      <c r="M111" s="632"/>
      <c r="N111" s="633"/>
      <c r="O111" s="146">
        <v>1</v>
      </c>
      <c r="Z111" s="46"/>
      <c r="AA111" s="46"/>
      <c r="AB111" s="46"/>
      <c r="AC111" s="46"/>
    </row>
    <row r="112" spans="1:33">
      <c r="A112" s="143"/>
      <c r="B112" s="143" t="s">
        <v>15</v>
      </c>
      <c r="C112" s="144">
        <v>2</v>
      </c>
      <c r="D112" s="143" t="s">
        <v>708</v>
      </c>
      <c r="E112" s="145">
        <v>1010</v>
      </c>
      <c r="F112" s="145"/>
      <c r="G112" s="143" t="s">
        <v>711</v>
      </c>
      <c r="H112" s="143" t="s">
        <v>712</v>
      </c>
      <c r="I112" s="144" t="s">
        <v>681</v>
      </c>
      <c r="J112" s="623" t="s">
        <v>713</v>
      </c>
      <c r="K112" s="624"/>
      <c r="L112" s="631"/>
      <c r="M112" s="632"/>
      <c r="N112" s="633"/>
      <c r="O112" s="147">
        <v>10</v>
      </c>
      <c r="Z112" s="46"/>
      <c r="AA112" s="46"/>
      <c r="AB112" s="46"/>
      <c r="AC112" s="46"/>
    </row>
    <row r="113" spans="1:29">
      <c r="A113" s="143"/>
      <c r="B113" s="143" t="s">
        <v>15</v>
      </c>
      <c r="C113" s="144">
        <v>3</v>
      </c>
      <c r="D113" s="143" t="s">
        <v>708</v>
      </c>
      <c r="E113" s="145">
        <v>1020</v>
      </c>
      <c r="F113" s="145"/>
      <c r="G113" s="143" t="s">
        <v>714</v>
      </c>
      <c r="H113" s="143" t="s">
        <v>715</v>
      </c>
      <c r="I113" s="144" t="s">
        <v>681</v>
      </c>
      <c r="J113" s="623" t="s">
        <v>713</v>
      </c>
      <c r="K113" s="624"/>
      <c r="L113" s="631"/>
      <c r="M113" s="632"/>
      <c r="N113" s="633"/>
      <c r="O113" s="147">
        <v>20</v>
      </c>
      <c r="Z113" s="46"/>
      <c r="AA113" s="46"/>
      <c r="AB113" s="46"/>
      <c r="AC113" s="46"/>
    </row>
    <row r="114" spans="1:29">
      <c r="A114" s="143"/>
      <c r="B114" s="143" t="s">
        <v>15</v>
      </c>
      <c r="C114" s="144">
        <v>4</v>
      </c>
      <c r="D114" s="143" t="s">
        <v>708</v>
      </c>
      <c r="E114" s="145">
        <v>2010</v>
      </c>
      <c r="F114" s="145"/>
      <c r="G114" s="143" t="s">
        <v>716</v>
      </c>
      <c r="H114" s="143" t="s">
        <v>717</v>
      </c>
      <c r="I114" s="144" t="s">
        <v>681</v>
      </c>
      <c r="J114" s="623" t="s">
        <v>718</v>
      </c>
      <c r="K114" s="624"/>
      <c r="L114" s="631"/>
      <c r="M114" s="632"/>
      <c r="N114" s="633"/>
      <c r="O114" s="147">
        <v>10</v>
      </c>
      <c r="Z114" s="46"/>
      <c r="AA114" s="46"/>
      <c r="AB114" s="46"/>
      <c r="AC114" s="46"/>
    </row>
    <row r="115" spans="1:29">
      <c r="A115" s="143"/>
      <c r="B115" s="143" t="s">
        <v>15</v>
      </c>
      <c r="C115" s="144">
        <v>5</v>
      </c>
      <c r="D115" s="143" t="s">
        <v>708</v>
      </c>
      <c r="E115" s="145">
        <v>3010</v>
      </c>
      <c r="F115" s="145"/>
      <c r="G115" s="143" t="s">
        <v>719</v>
      </c>
      <c r="H115" s="143" t="s">
        <v>720</v>
      </c>
      <c r="I115" s="144" t="s">
        <v>681</v>
      </c>
      <c r="J115" s="623" t="s">
        <v>721</v>
      </c>
      <c r="K115" s="624"/>
      <c r="L115" s="631"/>
      <c r="M115" s="632"/>
      <c r="N115" s="633"/>
      <c r="O115" s="147">
        <v>10</v>
      </c>
      <c r="Z115" s="46"/>
      <c r="AA115" s="46"/>
      <c r="AB115" s="46"/>
      <c r="AC115" s="46"/>
    </row>
    <row r="116" spans="1:29">
      <c r="Z116" s="46"/>
      <c r="AA116" s="46"/>
      <c r="AB116" s="46"/>
      <c r="AC116" s="46"/>
    </row>
    <row r="117" spans="1:29">
      <c r="Z117" s="46"/>
      <c r="AA117" s="46"/>
      <c r="AB117" s="46"/>
      <c r="AC117" s="46"/>
    </row>
    <row r="118" spans="1:29">
      <c r="Z118" s="46"/>
      <c r="AA118" s="46"/>
      <c r="AB118" s="46"/>
      <c r="AC118" s="46"/>
    </row>
    <row r="119" spans="1:29">
      <c r="Z119" s="46"/>
      <c r="AA119" s="46"/>
      <c r="AB119" s="46"/>
      <c r="AC119" s="46"/>
    </row>
    <row r="120" spans="1:29">
      <c r="Z120" s="46"/>
      <c r="AA120" s="46"/>
      <c r="AB120" s="46"/>
      <c r="AC120" s="46"/>
    </row>
    <row r="121" spans="1:29">
      <c r="Z121" s="46"/>
      <c r="AA121" s="46"/>
      <c r="AB121" s="46"/>
      <c r="AC121" s="46"/>
    </row>
    <row r="122" spans="1:29">
      <c r="Z122" s="46"/>
      <c r="AA122" s="46"/>
      <c r="AB122" s="46"/>
      <c r="AC122" s="46"/>
    </row>
    <row r="123" spans="1:29">
      <c r="Z123" s="46"/>
      <c r="AA123" s="46"/>
      <c r="AB123" s="46"/>
      <c r="AC123" s="46"/>
    </row>
    <row r="124" spans="1:29">
      <c r="Z124" s="46"/>
      <c r="AA124" s="46"/>
      <c r="AB124" s="46"/>
      <c r="AC124" s="46"/>
    </row>
    <row r="125" spans="1:29">
      <c r="Z125" s="46"/>
      <c r="AA125" s="46"/>
      <c r="AB125" s="46"/>
      <c r="AC125" s="46"/>
    </row>
    <row r="126" spans="1:29">
      <c r="Z126" s="46"/>
      <c r="AA126" s="46"/>
      <c r="AB126" s="46"/>
      <c r="AC126" s="46"/>
    </row>
    <row r="127" spans="1:29">
      <c r="Z127" s="46"/>
      <c r="AA127" s="46"/>
      <c r="AB127" s="46"/>
      <c r="AC127" s="46"/>
    </row>
  </sheetData>
  <autoFilter ref="A3:AG3" xr:uid="{D1B3D409-CF96-4110-B32C-9A2C6DF1A636}"/>
  <dataConsolidate/>
  <customSheetViews>
    <customSheetView guid="{8A020E3D-4D3D-11D2-BFAA-444553540000}" fitToPage="1" showRuler="0">
      <selection sqref="A1:K280"/>
      <pageMargins left="0" right="0" top="0" bottom="0" header="0" footer="0"/>
      <pageSetup paperSize="9" orientation="landscape" r:id="rId1"/>
      <headerFooter alignWithMargins="0">
        <oddHeader>&amp;L&amp;8Structures machinename
G80008-J2615-L010-A1-Zxxx&amp;R&amp;8Pharmacia &amp; Upjohn
Focus21 &amp; WSL07</oddHeader>
        <oddFooter>&amp;L&amp;P/&amp;N&amp;R&amp;8Siemens n.v. - Brussel</oddFooter>
      </headerFooter>
    </customSheetView>
    <customSheetView guid="{8A020E3E-4D3D-11D2-BFAA-444553540000}" fitToPage="1" hiddenColumns="1" showRuler="0">
      <selection sqref="A1:L280"/>
      <pageMargins left="0" right="0" top="0" bottom="0" header="0" footer="0"/>
      <pageSetup paperSize="9" orientation="landscape" r:id="rId2"/>
      <headerFooter alignWithMargins="0">
        <oddHeader>&amp;L&amp;8Structures machinename
G80008-J2615-L010-A1-Zxxx&amp;R&amp;8Pharmacia &amp; Upjohn
Focus21 &amp; WSL07</oddHeader>
        <oddFooter>&amp;L&amp;P/&amp;N&amp;R&amp;8Siemens n.v. - Brussel</oddFooter>
      </headerFooter>
    </customSheetView>
  </customSheetViews>
  <mergeCells count="24">
    <mergeCell ref="L113:N113"/>
    <mergeCell ref="L114:N114"/>
    <mergeCell ref="L115:N115"/>
    <mergeCell ref="L106:N106"/>
    <mergeCell ref="L107:N107"/>
    <mergeCell ref="L108:N108"/>
    <mergeCell ref="L111:N111"/>
    <mergeCell ref="L112:N112"/>
    <mergeCell ref="A103:O103"/>
    <mergeCell ref="J113:K113"/>
    <mergeCell ref="J114:K114"/>
    <mergeCell ref="J115:K115"/>
    <mergeCell ref="J108:K108"/>
    <mergeCell ref="J110:K110"/>
    <mergeCell ref="L110:N110"/>
    <mergeCell ref="J111:K111"/>
    <mergeCell ref="J112:K112"/>
    <mergeCell ref="A109:O109"/>
    <mergeCell ref="J107:K107"/>
    <mergeCell ref="J104:K104"/>
    <mergeCell ref="L104:N104"/>
    <mergeCell ref="J105:K105"/>
    <mergeCell ref="J106:K106"/>
    <mergeCell ref="L105:N105"/>
  </mergeCells>
  <phoneticPr fontId="0" type="noConversion"/>
  <dataValidations count="1">
    <dataValidation type="textLength" operator="lessThanOrEqual" allowBlank="1" showInputMessage="1" showErrorMessage="1" errorTitle="Graphname too long." error="The graphname should be maximum 25 characters long." sqref="AC4:AC42" xr:uid="{04349313-D453-4B29-B15F-E5927186495F}">
      <formula1>25</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3"/>
  <headerFooter alignWithMargins="0">
    <oddHeader xml:space="preserve">&amp;C&amp;"Arial,Vet"&amp;14LINE&amp;"Arial,Standaard"
LIST Visualisation and Commands&amp;RFilename: &amp;F
Date : &amp;D&amp;L&amp;9Machine Number: 
Machine Name: 
CU Number: 
VU Number: </oddHeader>
    <oddFooter>&amp;LBased on template : &amp;CVisualisationommands_CUxxxx_A4&amp;RPage &amp;P/&amp;N</oddFooter>
  </headerFooter>
  <legacyDrawing r:id="rId4"/>
  <extLst>
    <ext xmlns:x14="http://schemas.microsoft.com/office/spreadsheetml/2009/9/main" uri="{78C0D931-6437-407d-A8EE-F0AAD7539E65}">
      <x14:conditionalFormattings>
        <x14:conditionalFormatting xmlns:xm="http://schemas.microsoft.com/office/excel/2006/main">
          <x14:cfRule type="expression" priority="1" id="{2BB35BB9-009F-490A-BFE3-C037DDCBA7FF}">
            <xm:f>Help!B1209</xm:f>
            <x14:dxf>
              <fill>
                <patternFill>
                  <bgColor rgb="FFFF0000"/>
                </patternFill>
              </fill>
            </x14:dxf>
          </x14:cfRule>
          <xm:sqref>AC4:AC42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B1:H21"/>
  <sheetViews>
    <sheetView showGridLines="0" zoomScaleNormal="100" workbookViewId="0">
      <selection activeCell="B22" sqref="B22"/>
    </sheetView>
  </sheetViews>
  <sheetFormatPr defaultRowHeight="12.75"/>
  <cols>
    <col min="1" max="1" width="1.42578125" customWidth="1"/>
    <col min="2" max="2" width="25.7109375" customWidth="1"/>
    <col min="3" max="3" width="11.42578125" customWidth="1"/>
    <col min="4" max="4" width="1.42578125" customWidth="1"/>
    <col min="8" max="8" width="9.140625" hidden="1" customWidth="1"/>
  </cols>
  <sheetData>
    <row r="1" spans="2:8" ht="37.5" customHeight="1" thickBot="1"/>
    <row r="2" spans="2:8" ht="18">
      <c r="B2" s="634" t="s">
        <v>722</v>
      </c>
      <c r="C2" s="635"/>
    </row>
    <row r="3" spans="2:8" ht="14.25">
      <c r="B3" s="4" t="s">
        <v>723</v>
      </c>
      <c r="C3" s="5">
        <f>COUNTA('Bit commands'!D4:D28)-COUNTIF('Bit commands'!D4:D28,"Reserved")</f>
        <v>18</v>
      </c>
      <c r="H3" t="b">
        <v>0</v>
      </c>
    </row>
    <row r="4" spans="2:8" ht="14.25">
      <c r="B4" s="6" t="s">
        <v>724</v>
      </c>
      <c r="C4" s="7">
        <f>COUNTA('Bit info'!D4:D44)-COUNTIF('Bit info'!D4:D44,"Reserved")</f>
        <v>28</v>
      </c>
      <c r="H4" t="b">
        <v>0</v>
      </c>
    </row>
    <row r="5" spans="2:8" ht="14.25">
      <c r="B5" s="6" t="s">
        <v>353</v>
      </c>
      <c r="C5" s="7" t="e">
        <f>COUNTA(#REF!)-COUNTIF(#REF!,"Reserved")-COUNTIF(#REF!,"N/A")</f>
        <v>#REF!</v>
      </c>
      <c r="H5" s="46"/>
    </row>
    <row r="6" spans="2:8" ht="14.25">
      <c r="B6" s="6" t="s">
        <v>725</v>
      </c>
      <c r="C6" s="7" t="e">
        <f>COUNTA(#REF!)-COUNTIF(#REF!,"Reserved")-COUNTIF(#REF!,"N/A")</f>
        <v>#REF!</v>
      </c>
    </row>
    <row r="7" spans="2:8" ht="14.25">
      <c r="B7" s="6" t="s">
        <v>726</v>
      </c>
      <c r="C7" s="7">
        <f>COUNTA('Motor (6 bytes)'!G4:G5012)-COUNTIF('Motor (6 bytes)'!G4:G5012,"Reserved")-COUNTIF('Motor (6 bytes)'!G4:G5012,"N/A")</f>
        <v>0</v>
      </c>
    </row>
    <row r="8" spans="2:8" ht="14.25">
      <c r="B8" s="6" t="s">
        <v>447</v>
      </c>
      <c r="C8" s="7">
        <f>COUNTA(Valve!G4:G5014)-COUNTIF(Valve!G4:G5014,"Reserved")-COUNTIF(Valve!G4:G5014,"N/A")</f>
        <v>0</v>
      </c>
      <c r="F8" s="46"/>
    </row>
    <row r="9" spans="2:8" ht="14.25">
      <c r="B9" s="6" t="s">
        <v>727</v>
      </c>
      <c r="C9" s="7">
        <f>COUNTA('Motor (48 bytes)'!G4:G4989)-COUNTIF('Motor (48 bytes)'!G4:G4989,"Reserved")-COUNTIF('Motor (48 bytes)'!G4:G4989,"N/A")</f>
        <v>0</v>
      </c>
      <c r="E9" s="46"/>
      <c r="F9" s="46"/>
    </row>
    <row r="10" spans="2:8" ht="14.25">
      <c r="B10" s="6" t="s">
        <v>510</v>
      </c>
      <c r="C10" s="7">
        <f>COUNTA(Measurement!G4:G5026)-COUNTIF(Measurement!G4:G5026,"Reserved")-COUNTIF(Measurement!G4:G5026,"N/A")</f>
        <v>0</v>
      </c>
    </row>
    <row r="11" spans="2:8" ht="14.25">
      <c r="B11" s="6" t="s">
        <v>728</v>
      </c>
      <c r="C11" s="7">
        <f>COUNTA('Input value'!G4:G5016)-COUNTIF('Input value'!G4:G5016,"Reserved")-COUNTIF('Input value'!G4:G5016,"N/A")</f>
        <v>1</v>
      </c>
    </row>
    <row r="12" spans="2:8" ht="14.25">
      <c r="B12" s="6" t="s">
        <v>729</v>
      </c>
      <c r="C12" s="7">
        <f>COUNTA(Controller!G4:G5016)-COUNTIF(Controller!G4:G5016,"Reserved")-COUNTIF(Controller!G4:G5016,"N/A")</f>
        <v>0</v>
      </c>
    </row>
    <row r="13" spans="2:8" ht="14.25">
      <c r="B13" s="8" t="s">
        <v>730</v>
      </c>
      <c r="C13" s="9">
        <f>COUNTA('Output values'!G4:G5077)-COUNTIF('Output values'!G4:G5077,"Reserved")-COUNTIF('Output values'!G4:G5077,"N/A")</f>
        <v>16</v>
      </c>
    </row>
    <row r="14" spans="2:8" ht="15.75" thickBot="1">
      <c r="B14" s="11" t="s">
        <v>731</v>
      </c>
      <c r="C14" s="10" t="e">
        <f>SUM(C3:C13)</f>
        <v>#REF!</v>
      </c>
    </row>
    <row r="15" spans="2:8" ht="7.5" customHeight="1"/>
    <row r="16" spans="2:8" ht="36" customHeight="1">
      <c r="B16" s="636" t="s">
        <v>732</v>
      </c>
      <c r="C16" s="636"/>
    </row>
    <row r="21" spans="2:2" ht="255">
      <c r="B21" s="551" t="s">
        <v>733</v>
      </c>
    </row>
  </sheetData>
  <mergeCells count="2">
    <mergeCell ref="B2:C2"/>
    <mergeCell ref="B16:C16"/>
  </mergeCells>
  <phoneticPr fontId="0" type="noConversion"/>
  <pageMargins left="0.75" right="0.75" top="1" bottom="1" header="0.5" footer="0.5"/>
  <pageSetup paperSize="8" orientation="landscape" verticalDpi="200" r:id="rId1"/>
  <headerFooter alignWithMargins="0">
    <oddHeader>&amp;C&amp;"Arial,Vet"&amp;14LINE&amp;"Arial,Standaard"
LIST Visualisation and Commands&amp;RFilename: &amp;F
Date : &amp;D&amp;L&amp;9Machine Number : xxxxxxxx
Machine Name : Machine Name
CU Number : yyyy
VU Number : zzzz</oddHeader>
    <oddFooter>&amp;LBased on template : &amp;CVisualisationommands_CUxxxx_A4&amp;RPage &amp;P/&amp;N</oddFooter>
  </headerFooter>
  <drawing r:id="rId2"/>
  <legacyDrawing r:id="rId3"/>
  <controls>
    <mc:AlternateContent xmlns:mc="http://schemas.openxmlformats.org/markup-compatibility/2006">
      <mc:Choice Requires="x14">
        <control shapeId="30732" r:id="rId4" name="CommandButton1">
          <controlPr defaultSize="0" autoLine="0" autoPict="0" r:id="rId5">
            <anchor>
              <from>
                <xdr:col>4</xdr:col>
                <xdr:colOff>133350</xdr:colOff>
                <xdr:row>4</xdr:row>
                <xdr:rowOff>123825</xdr:rowOff>
              </from>
              <to>
                <xdr:col>6</xdr:col>
                <xdr:colOff>257175</xdr:colOff>
                <xdr:row>6</xdr:row>
                <xdr:rowOff>171450</xdr:rowOff>
              </to>
            </anchor>
          </controlPr>
        </control>
      </mc:Choice>
      <mc:Fallback>
        <control shapeId="30732" r:id="rId4" name="CommandButton1"/>
      </mc:Fallback>
    </mc:AlternateContent>
    <mc:AlternateContent xmlns:mc="http://schemas.openxmlformats.org/markup-compatibility/2006">
      <mc:Choice Requires="x14">
        <control shapeId="30726" r:id="rId6" name="Check Box 6">
          <controlPr defaultSize="0" autoFill="0" autoLine="0" autoPict="0" altText="Checkbox6">
            <anchor>
              <from>
                <xdr:col>4</xdr:col>
                <xdr:colOff>76200</xdr:colOff>
                <xdr:row>2</xdr:row>
                <xdr:rowOff>152400</xdr:rowOff>
              </from>
              <to>
                <xdr:col>6</xdr:col>
                <xdr:colOff>457200</xdr:colOff>
                <xdr:row>4</xdr:row>
                <xdr:rowOff>85725</xdr:rowOff>
              </to>
            </anchor>
          </controlPr>
        </control>
      </mc:Choice>
    </mc:AlternateContent>
    <mc:AlternateContent xmlns:mc="http://schemas.openxmlformats.org/markup-compatibility/2006">
      <mc:Choice Requires="x14">
        <control shapeId="30730" r:id="rId7" name="Check Box 10">
          <controlPr defaultSize="0" autoFill="0" autoLine="0" autoPict="0">
            <anchor moveWithCells="1">
              <from>
                <xdr:col>4</xdr:col>
                <xdr:colOff>76200</xdr:colOff>
                <xdr:row>1</xdr:row>
                <xdr:rowOff>180975</xdr:rowOff>
              </from>
              <to>
                <xdr:col>7</xdr:col>
                <xdr:colOff>0</xdr:colOff>
                <xdr:row>3</xdr:row>
                <xdr:rowOff>47625</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844E-60BD-4B55-B526-18F0456FFB6C}">
  <sheetPr codeName="Sheet16">
    <pageSetUpPr fitToPage="1"/>
  </sheetPr>
  <dimension ref="A1:D39"/>
  <sheetViews>
    <sheetView showGridLines="0" tabSelected="1" zoomScaleNormal="100" workbookViewId="0">
      <selection activeCell="D26" sqref="D26"/>
    </sheetView>
  </sheetViews>
  <sheetFormatPr defaultColWidth="9.140625" defaultRowHeight="12.75"/>
  <cols>
    <col min="1" max="1" width="7.5703125" style="215" customWidth="1"/>
    <col min="2" max="2" width="22.140625" style="215" customWidth="1"/>
    <col min="3" max="3" width="13.5703125" style="215" customWidth="1"/>
    <col min="4" max="4" width="95.85546875" style="210" customWidth="1"/>
    <col min="5" max="16384" width="9.140625" style="60"/>
  </cols>
  <sheetData>
    <row r="1" spans="1:4" s="210" customFormat="1" ht="20.25">
      <c r="A1" s="207" t="s">
        <v>734</v>
      </c>
      <c r="B1" s="208"/>
      <c r="C1" s="208"/>
      <c r="D1" s="209"/>
    </row>
    <row r="2" spans="1:4" ht="21" thickBot="1">
      <c r="A2" s="211"/>
      <c r="B2" s="212"/>
      <c r="C2" s="212"/>
      <c r="D2" s="209"/>
    </row>
    <row r="3" spans="1:4" s="215" customFormat="1" ht="30" customHeight="1">
      <c r="A3" s="213" t="s">
        <v>65</v>
      </c>
      <c r="B3" s="214" t="s">
        <v>2</v>
      </c>
      <c r="C3" s="214" t="s">
        <v>3</v>
      </c>
      <c r="D3" s="214" t="s">
        <v>4</v>
      </c>
    </row>
    <row r="4" spans="1:4">
      <c r="A4" s="198" t="s">
        <v>15</v>
      </c>
      <c r="B4" s="198" t="s">
        <v>735</v>
      </c>
      <c r="C4" s="199"/>
      <c r="D4" s="216" t="s">
        <v>736</v>
      </c>
    </row>
    <row r="5" spans="1:4">
      <c r="A5" s="198" t="s">
        <v>737</v>
      </c>
      <c r="B5" s="198" t="s">
        <v>738</v>
      </c>
      <c r="C5" s="199">
        <v>43438</v>
      </c>
      <c r="D5" s="216" t="s">
        <v>739</v>
      </c>
    </row>
    <row r="6" spans="1:4">
      <c r="A6" s="198" t="s">
        <v>740</v>
      </c>
      <c r="B6" s="198" t="s">
        <v>741</v>
      </c>
      <c r="C6" s="199">
        <v>43887</v>
      </c>
      <c r="D6" s="217" t="s">
        <v>742</v>
      </c>
    </row>
    <row r="7" spans="1:4" ht="38.25">
      <c r="A7" s="198" t="s">
        <v>357</v>
      </c>
      <c r="B7" s="198" t="s">
        <v>738</v>
      </c>
      <c r="C7" s="199">
        <v>43977</v>
      </c>
      <c r="D7" s="217" t="s">
        <v>743</v>
      </c>
    </row>
    <row r="8" spans="1:4">
      <c r="A8" s="198"/>
      <c r="B8" s="198" t="s">
        <v>735</v>
      </c>
      <c r="C8" s="199">
        <v>43993</v>
      </c>
      <c r="D8" s="218"/>
    </row>
    <row r="9" spans="1:4">
      <c r="A9" s="198" t="s">
        <v>744</v>
      </c>
      <c r="B9" s="198" t="s">
        <v>735</v>
      </c>
      <c r="C9" s="199">
        <v>44083</v>
      </c>
      <c r="D9" s="219" t="s">
        <v>745</v>
      </c>
    </row>
    <row r="10" spans="1:4" ht="178.5">
      <c r="A10" s="198" t="s">
        <v>746</v>
      </c>
      <c r="B10" s="198" t="s">
        <v>735</v>
      </c>
      <c r="C10" s="199">
        <v>44322</v>
      </c>
      <c r="D10" s="220" t="s">
        <v>747</v>
      </c>
    </row>
    <row r="11" spans="1:4">
      <c r="A11" s="198" t="s">
        <v>748</v>
      </c>
      <c r="B11" s="198" t="s">
        <v>735</v>
      </c>
      <c r="C11" s="199">
        <v>44490</v>
      </c>
      <c r="D11" s="219" t="s">
        <v>749</v>
      </c>
    </row>
    <row r="12" spans="1:4" ht="38.25">
      <c r="A12" s="198" t="s">
        <v>750</v>
      </c>
      <c r="B12" s="198" t="s">
        <v>735</v>
      </c>
      <c r="C12" s="199">
        <v>44572</v>
      </c>
      <c r="D12" s="221" t="s">
        <v>751</v>
      </c>
    </row>
    <row r="13" spans="1:4" ht="51">
      <c r="A13" s="198" t="s">
        <v>752</v>
      </c>
      <c r="B13" s="198" t="s">
        <v>741</v>
      </c>
      <c r="C13" s="199">
        <v>44575</v>
      </c>
      <c r="D13" s="218" t="s">
        <v>753</v>
      </c>
    </row>
    <row r="14" spans="1:4" ht="38.25">
      <c r="A14" s="198" t="s">
        <v>754</v>
      </c>
      <c r="B14" s="198" t="s">
        <v>735</v>
      </c>
      <c r="C14" s="199">
        <v>44581</v>
      </c>
      <c r="D14" s="221" t="s">
        <v>755</v>
      </c>
    </row>
    <row r="15" spans="1:4" ht="38.25">
      <c r="A15" s="198" t="s">
        <v>754</v>
      </c>
      <c r="B15" s="198" t="s">
        <v>741</v>
      </c>
      <c r="C15" s="199">
        <v>44589</v>
      </c>
      <c r="D15" s="221" t="s">
        <v>756</v>
      </c>
    </row>
    <row r="16" spans="1:4" ht="114.75">
      <c r="A16" s="198" t="s">
        <v>757</v>
      </c>
      <c r="B16" s="198" t="s">
        <v>735</v>
      </c>
      <c r="C16" s="199">
        <v>44683</v>
      </c>
      <c r="D16" s="221" t="s">
        <v>758</v>
      </c>
    </row>
    <row r="17" spans="1:4" ht="38.25">
      <c r="A17" s="198" t="s">
        <v>759</v>
      </c>
      <c r="B17" s="198" t="s">
        <v>760</v>
      </c>
      <c r="C17" s="199">
        <v>44827</v>
      </c>
      <c r="D17" s="221" t="s">
        <v>761</v>
      </c>
    </row>
    <row r="18" spans="1:4">
      <c r="A18" s="198" t="s">
        <v>762</v>
      </c>
      <c r="B18" s="198" t="s">
        <v>760</v>
      </c>
      <c r="C18" s="199">
        <v>44838</v>
      </c>
      <c r="D18" s="221" t="s">
        <v>763</v>
      </c>
    </row>
    <row r="19" spans="1:4" ht="51">
      <c r="A19" s="198" t="s">
        <v>762</v>
      </c>
      <c r="B19" s="434" t="s">
        <v>764</v>
      </c>
      <c r="C19" s="199">
        <v>45016</v>
      </c>
      <c r="D19" s="221" t="s">
        <v>765</v>
      </c>
    </row>
    <row r="20" spans="1:4" ht="51">
      <c r="A20" s="198" t="s">
        <v>766</v>
      </c>
      <c r="B20" s="434" t="s">
        <v>764</v>
      </c>
      <c r="C20" s="199">
        <v>45182</v>
      </c>
      <c r="D20" s="221" t="s">
        <v>767</v>
      </c>
    </row>
    <row r="21" spans="1:4">
      <c r="A21" s="198" t="s">
        <v>768</v>
      </c>
      <c r="B21" s="198" t="s">
        <v>769</v>
      </c>
      <c r="C21" s="199">
        <v>45363</v>
      </c>
      <c r="D21" s="508" t="s">
        <v>770</v>
      </c>
    </row>
    <row r="22" spans="1:4" ht="127.5">
      <c r="A22" s="198" t="s">
        <v>771</v>
      </c>
      <c r="B22" s="198" t="s">
        <v>769</v>
      </c>
      <c r="C22" s="199">
        <v>45672</v>
      </c>
      <c r="D22" s="516" t="s">
        <v>772</v>
      </c>
    </row>
    <row r="23" spans="1:4" ht="15">
      <c r="D23" s="515"/>
    </row>
    <row r="24" spans="1:4" ht="15">
      <c r="D24" s="515"/>
    </row>
    <row r="27" spans="1:4" ht="33.75" customHeight="1"/>
    <row r="39" ht="7.5" customHeight="1"/>
  </sheetData>
  <sheetProtection formatCells="0" formatColumns="0" formatRows="0" insertColumns="0" insertRows="0" insertHyperlinks="0" deleteColumns="0" deleteRows="0" sort="0" autoFilter="0" pivotTables="0"/>
  <pageMargins left="0.74803149606299213" right="0.74803149606299213" top="1.2204724409448819" bottom="0.98425196850393704" header="0.51181102362204722" footer="0.51181102362204722"/>
  <pageSetup paperSize="9" scale="81" orientation="landscape" verticalDpi="200" r:id="rId1"/>
  <headerFooter alignWithMargins="0">
    <oddHeader>&amp;C&amp;"Arial,Vet"&amp;14LINE&amp;"Arial,Standaard"
LIST Visualisation and Commands&amp;RFilename: &amp;F
Date : &amp;D&amp;L&amp;9Machine Number : xxxxxxxx
Machine Name : Machine Name
CU Number : yyyy
VU Number : zzzz</oddHeader>
    <oddFooter>&amp;LBased on template : &amp;CVisualisationommands_CUxxxx_A4&amp;RPage &amp;P/&amp;N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94E82-2643-4C85-A202-1620F33EC418}">
  <sheetPr codeName="Sheet14"/>
  <dimension ref="A1:C1605"/>
  <sheetViews>
    <sheetView workbookViewId="0">
      <selection activeCell="A5" sqref="A5"/>
    </sheetView>
  </sheetViews>
  <sheetFormatPr defaultRowHeight="12.75"/>
  <cols>
    <col min="1" max="16384" width="9.140625" style="435"/>
  </cols>
  <sheetData>
    <row r="1" spans="1:3">
      <c r="C1" s="435" t="s">
        <v>773</v>
      </c>
    </row>
    <row r="2" spans="1:3">
      <c r="B2" s="435" t="b">
        <f t="shared" ref="B2:B65" si="0">IF(A2=0,FALSE,(COUNTIF(A:A,A2)&gt;10))</f>
        <v>0</v>
      </c>
    </row>
    <row r="3" spans="1:3">
      <c r="B3" s="435" t="b">
        <f t="shared" si="0"/>
        <v>0</v>
      </c>
    </row>
    <row r="4" spans="1:3">
      <c r="B4" s="435" t="b">
        <f t="shared" si="0"/>
        <v>0</v>
      </c>
    </row>
    <row r="5" spans="1:3">
      <c r="A5" s="435" cm="1">
        <f t="array" ref="A5:A26">HIST_Graphname_Motor</f>
        <v>0</v>
      </c>
      <c r="B5" s="435" t="b">
        <f t="shared" si="0"/>
        <v>0</v>
      </c>
    </row>
    <row r="6" spans="1:3">
      <c r="A6" s="435">
        <v>0</v>
      </c>
      <c r="B6" s="435" t="b">
        <f t="shared" si="0"/>
        <v>0</v>
      </c>
    </row>
    <row r="7" spans="1:3">
      <c r="A7" s="435">
        <v>0</v>
      </c>
      <c r="B7" s="435" t="b">
        <f t="shared" si="0"/>
        <v>0</v>
      </c>
    </row>
    <row r="8" spans="1:3">
      <c r="A8" s="435">
        <v>0</v>
      </c>
      <c r="B8" s="435" t="b">
        <f t="shared" si="0"/>
        <v>0</v>
      </c>
    </row>
    <row r="9" spans="1:3">
      <c r="A9" s="435">
        <v>0</v>
      </c>
      <c r="B9" s="435" t="b">
        <f t="shared" si="0"/>
        <v>0</v>
      </c>
    </row>
    <row r="10" spans="1:3">
      <c r="A10" s="435">
        <v>0</v>
      </c>
      <c r="B10" s="435" t="b">
        <f t="shared" si="0"/>
        <v>0</v>
      </c>
    </row>
    <row r="11" spans="1:3">
      <c r="A11" s="435">
        <v>0</v>
      </c>
      <c r="B11" s="435" t="b">
        <f t="shared" si="0"/>
        <v>0</v>
      </c>
    </row>
    <row r="12" spans="1:3">
      <c r="A12" s="435">
        <v>0</v>
      </c>
      <c r="B12" s="435" t="b">
        <f t="shared" si="0"/>
        <v>0</v>
      </c>
    </row>
    <row r="13" spans="1:3">
      <c r="A13" s="435">
        <v>0</v>
      </c>
      <c r="B13" s="435" t="b">
        <f t="shared" si="0"/>
        <v>0</v>
      </c>
    </row>
    <row r="14" spans="1:3">
      <c r="A14" s="435">
        <v>0</v>
      </c>
      <c r="B14" s="435" t="b">
        <f t="shared" si="0"/>
        <v>0</v>
      </c>
    </row>
    <row r="15" spans="1:3">
      <c r="A15" s="435">
        <v>0</v>
      </c>
      <c r="B15" s="435" t="b">
        <f t="shared" si="0"/>
        <v>0</v>
      </c>
    </row>
    <row r="16" spans="1:3">
      <c r="A16" s="435">
        <v>0</v>
      </c>
      <c r="B16" s="435" t="b">
        <f t="shared" si="0"/>
        <v>0</v>
      </c>
    </row>
    <row r="17" spans="1:2">
      <c r="A17" s="435">
        <v>0</v>
      </c>
      <c r="B17" s="435" t="b">
        <f t="shared" si="0"/>
        <v>0</v>
      </c>
    </row>
    <row r="18" spans="1:2">
      <c r="A18" s="435">
        <v>0</v>
      </c>
      <c r="B18" s="435" t="b">
        <f t="shared" si="0"/>
        <v>0</v>
      </c>
    </row>
    <row r="19" spans="1:2">
      <c r="A19" s="435">
        <v>0</v>
      </c>
      <c r="B19" s="435" t="b">
        <f t="shared" si="0"/>
        <v>0</v>
      </c>
    </row>
    <row r="20" spans="1:2">
      <c r="A20" s="435">
        <v>0</v>
      </c>
      <c r="B20" s="435" t="b">
        <f t="shared" si="0"/>
        <v>0</v>
      </c>
    </row>
    <row r="21" spans="1:2">
      <c r="A21" s="435">
        <v>0</v>
      </c>
      <c r="B21" s="435" t="b">
        <f t="shared" si="0"/>
        <v>0</v>
      </c>
    </row>
    <row r="22" spans="1:2">
      <c r="A22" s="435">
        <v>0</v>
      </c>
      <c r="B22" s="435" t="b">
        <f t="shared" si="0"/>
        <v>0</v>
      </c>
    </row>
    <row r="23" spans="1:2">
      <c r="A23" s="435">
        <v>0</v>
      </c>
      <c r="B23" s="435" t="b">
        <f t="shared" si="0"/>
        <v>0</v>
      </c>
    </row>
    <row r="24" spans="1:2">
      <c r="A24" s="435">
        <v>0</v>
      </c>
      <c r="B24" s="435" t="b">
        <f t="shared" si="0"/>
        <v>0</v>
      </c>
    </row>
    <row r="25" spans="1:2">
      <c r="A25" s="435">
        <v>0</v>
      </c>
      <c r="B25" s="435" t="b">
        <f t="shared" si="0"/>
        <v>0</v>
      </c>
    </row>
    <row r="26" spans="1:2">
      <c r="A26" s="435">
        <v>0</v>
      </c>
      <c r="B26" s="435" t="b">
        <f t="shared" si="0"/>
        <v>0</v>
      </c>
    </row>
    <row r="27" spans="1:2">
      <c r="B27" s="435" t="b">
        <f t="shared" si="0"/>
        <v>0</v>
      </c>
    </row>
    <row r="28" spans="1:2">
      <c r="B28" s="435" t="b">
        <f t="shared" si="0"/>
        <v>0</v>
      </c>
    </row>
    <row r="29" spans="1:2">
      <c r="B29" s="435" t="b">
        <f t="shared" si="0"/>
        <v>0</v>
      </c>
    </row>
    <row r="30" spans="1:2">
      <c r="B30" s="435" t="b">
        <f t="shared" si="0"/>
        <v>0</v>
      </c>
    </row>
    <row r="31" spans="1:2">
      <c r="B31" s="435" t="b">
        <f t="shared" si="0"/>
        <v>0</v>
      </c>
    </row>
    <row r="32" spans="1:2">
      <c r="B32" s="435" t="b">
        <f t="shared" si="0"/>
        <v>0</v>
      </c>
    </row>
    <row r="33" spans="2:2">
      <c r="B33" s="435" t="b">
        <f t="shared" si="0"/>
        <v>0</v>
      </c>
    </row>
    <row r="34" spans="2:2">
      <c r="B34" s="435" t="b">
        <f t="shared" si="0"/>
        <v>0</v>
      </c>
    </row>
    <row r="35" spans="2:2">
      <c r="B35" s="435" t="b">
        <f t="shared" si="0"/>
        <v>0</v>
      </c>
    </row>
    <row r="36" spans="2:2">
      <c r="B36" s="435" t="b">
        <f t="shared" si="0"/>
        <v>0</v>
      </c>
    </row>
    <row r="37" spans="2:2">
      <c r="B37" s="435" t="b">
        <f t="shared" si="0"/>
        <v>0</v>
      </c>
    </row>
    <row r="38" spans="2:2">
      <c r="B38" s="435" t="b">
        <f t="shared" si="0"/>
        <v>0</v>
      </c>
    </row>
    <row r="39" spans="2:2">
      <c r="B39" s="435" t="b">
        <f t="shared" si="0"/>
        <v>0</v>
      </c>
    </row>
    <row r="40" spans="2:2">
      <c r="B40" s="435" t="b">
        <f t="shared" si="0"/>
        <v>0</v>
      </c>
    </row>
    <row r="41" spans="2:2">
      <c r="B41" s="435" t="b">
        <f t="shared" si="0"/>
        <v>0</v>
      </c>
    </row>
    <row r="42" spans="2:2">
      <c r="B42" s="435" t="b">
        <f t="shared" si="0"/>
        <v>0</v>
      </c>
    </row>
    <row r="43" spans="2:2">
      <c r="B43" s="435" t="b">
        <f t="shared" si="0"/>
        <v>0</v>
      </c>
    </row>
    <row r="44" spans="2:2">
      <c r="B44" s="435" t="b">
        <f t="shared" si="0"/>
        <v>0</v>
      </c>
    </row>
    <row r="45" spans="2:2">
      <c r="B45" s="435" t="b">
        <f t="shared" si="0"/>
        <v>0</v>
      </c>
    </row>
    <row r="46" spans="2:2">
      <c r="B46" s="435" t="b">
        <f t="shared" si="0"/>
        <v>0</v>
      </c>
    </row>
    <row r="47" spans="2:2">
      <c r="B47" s="435" t="b">
        <f t="shared" si="0"/>
        <v>0</v>
      </c>
    </row>
    <row r="48" spans="2:2">
      <c r="B48" s="435" t="b">
        <f t="shared" si="0"/>
        <v>0</v>
      </c>
    </row>
    <row r="49" spans="2:2">
      <c r="B49" s="435" t="b">
        <f t="shared" si="0"/>
        <v>0</v>
      </c>
    </row>
    <row r="50" spans="2:2">
      <c r="B50" s="435" t="b">
        <f t="shared" si="0"/>
        <v>0</v>
      </c>
    </row>
    <row r="51" spans="2:2">
      <c r="B51" s="435" t="b">
        <f t="shared" si="0"/>
        <v>0</v>
      </c>
    </row>
    <row r="52" spans="2:2">
      <c r="B52" s="435" t="b">
        <f t="shared" si="0"/>
        <v>0</v>
      </c>
    </row>
    <row r="53" spans="2:2">
      <c r="B53" s="435" t="b">
        <f t="shared" si="0"/>
        <v>0</v>
      </c>
    </row>
    <row r="54" spans="2:2">
      <c r="B54" s="435" t="b">
        <f t="shared" si="0"/>
        <v>0</v>
      </c>
    </row>
    <row r="55" spans="2:2">
      <c r="B55" s="435" t="b">
        <f t="shared" si="0"/>
        <v>0</v>
      </c>
    </row>
    <row r="56" spans="2:2">
      <c r="B56" s="435" t="b">
        <f t="shared" si="0"/>
        <v>0</v>
      </c>
    </row>
    <row r="57" spans="2:2">
      <c r="B57" s="435" t="b">
        <f t="shared" si="0"/>
        <v>0</v>
      </c>
    </row>
    <row r="58" spans="2:2">
      <c r="B58" s="435" t="b">
        <f t="shared" si="0"/>
        <v>0</v>
      </c>
    </row>
    <row r="59" spans="2:2">
      <c r="B59" s="435" t="b">
        <f t="shared" si="0"/>
        <v>0</v>
      </c>
    </row>
    <row r="60" spans="2:2">
      <c r="B60" s="435" t="b">
        <f t="shared" si="0"/>
        <v>0</v>
      </c>
    </row>
    <row r="61" spans="2:2">
      <c r="B61" s="435" t="b">
        <f t="shared" si="0"/>
        <v>0</v>
      </c>
    </row>
    <row r="62" spans="2:2">
      <c r="B62" s="435" t="b">
        <f t="shared" si="0"/>
        <v>0</v>
      </c>
    </row>
    <row r="63" spans="2:2">
      <c r="B63" s="435" t="b">
        <f t="shared" si="0"/>
        <v>0</v>
      </c>
    </row>
    <row r="64" spans="2:2">
      <c r="B64" s="435" t="b">
        <f t="shared" si="0"/>
        <v>0</v>
      </c>
    </row>
    <row r="65" spans="2:2">
      <c r="B65" s="435" t="b">
        <f t="shared" si="0"/>
        <v>0</v>
      </c>
    </row>
    <row r="66" spans="2:2">
      <c r="B66" s="435" t="b">
        <f t="shared" ref="B66:B129" si="1">IF(A66=0,FALSE,(COUNTIF(A:A,A66)&gt;10))</f>
        <v>0</v>
      </c>
    </row>
    <row r="67" spans="2:2">
      <c r="B67" s="435" t="b">
        <f t="shared" si="1"/>
        <v>0</v>
      </c>
    </row>
    <row r="68" spans="2:2">
      <c r="B68" s="435" t="b">
        <f t="shared" si="1"/>
        <v>0</v>
      </c>
    </row>
    <row r="69" spans="2:2">
      <c r="B69" s="435" t="b">
        <f t="shared" si="1"/>
        <v>0</v>
      </c>
    </row>
    <row r="70" spans="2:2">
      <c r="B70" s="435" t="b">
        <f t="shared" si="1"/>
        <v>0</v>
      </c>
    </row>
    <row r="71" spans="2:2">
      <c r="B71" s="435" t="b">
        <f t="shared" si="1"/>
        <v>0</v>
      </c>
    </row>
    <row r="72" spans="2:2">
      <c r="B72" s="435" t="b">
        <f t="shared" si="1"/>
        <v>0</v>
      </c>
    </row>
    <row r="73" spans="2:2">
      <c r="B73" s="435" t="b">
        <f t="shared" si="1"/>
        <v>0</v>
      </c>
    </row>
    <row r="74" spans="2:2">
      <c r="B74" s="435" t="b">
        <f t="shared" si="1"/>
        <v>0</v>
      </c>
    </row>
    <row r="75" spans="2:2">
      <c r="B75" s="435" t="b">
        <f t="shared" si="1"/>
        <v>0</v>
      </c>
    </row>
    <row r="76" spans="2:2">
      <c r="B76" s="435" t="b">
        <f t="shared" si="1"/>
        <v>0</v>
      </c>
    </row>
    <row r="77" spans="2:2">
      <c r="B77" s="435" t="b">
        <f t="shared" si="1"/>
        <v>0</v>
      </c>
    </row>
    <row r="78" spans="2:2">
      <c r="B78" s="435" t="b">
        <f t="shared" si="1"/>
        <v>0</v>
      </c>
    </row>
    <row r="79" spans="2:2">
      <c r="B79" s="435" t="b">
        <f t="shared" si="1"/>
        <v>0</v>
      </c>
    </row>
    <row r="80" spans="2:2">
      <c r="B80" s="435" t="b">
        <f t="shared" si="1"/>
        <v>0</v>
      </c>
    </row>
    <row r="81" spans="2:2">
      <c r="B81" s="435" t="b">
        <f t="shared" si="1"/>
        <v>0</v>
      </c>
    </row>
    <row r="82" spans="2:2">
      <c r="B82" s="435" t="b">
        <f t="shared" si="1"/>
        <v>0</v>
      </c>
    </row>
    <row r="83" spans="2:2">
      <c r="B83" s="435" t="b">
        <f t="shared" si="1"/>
        <v>0</v>
      </c>
    </row>
    <row r="84" spans="2:2">
      <c r="B84" s="435" t="b">
        <f t="shared" si="1"/>
        <v>0</v>
      </c>
    </row>
    <row r="85" spans="2:2">
      <c r="B85" s="435" t="b">
        <f t="shared" si="1"/>
        <v>0</v>
      </c>
    </row>
    <row r="86" spans="2:2">
      <c r="B86" s="435" t="b">
        <f t="shared" si="1"/>
        <v>0</v>
      </c>
    </row>
    <row r="87" spans="2:2">
      <c r="B87" s="435" t="b">
        <f t="shared" si="1"/>
        <v>0</v>
      </c>
    </row>
    <row r="88" spans="2:2">
      <c r="B88" s="435" t="b">
        <f t="shared" si="1"/>
        <v>0</v>
      </c>
    </row>
    <row r="89" spans="2:2">
      <c r="B89" s="435" t="b">
        <f t="shared" si="1"/>
        <v>0</v>
      </c>
    </row>
    <row r="90" spans="2:2">
      <c r="B90" s="435" t="b">
        <f t="shared" si="1"/>
        <v>0</v>
      </c>
    </row>
    <row r="91" spans="2:2">
      <c r="B91" s="435" t="b">
        <f t="shared" si="1"/>
        <v>0</v>
      </c>
    </row>
    <row r="92" spans="2:2">
      <c r="B92" s="435" t="b">
        <f t="shared" si="1"/>
        <v>0</v>
      </c>
    </row>
    <row r="93" spans="2:2">
      <c r="B93" s="435" t="b">
        <f t="shared" si="1"/>
        <v>0</v>
      </c>
    </row>
    <row r="94" spans="2:2">
      <c r="B94" s="435" t="b">
        <f t="shared" si="1"/>
        <v>0</v>
      </c>
    </row>
    <row r="95" spans="2:2">
      <c r="B95" s="435" t="b">
        <f t="shared" si="1"/>
        <v>0</v>
      </c>
    </row>
    <row r="96" spans="2:2">
      <c r="B96" s="435" t="b">
        <f t="shared" si="1"/>
        <v>0</v>
      </c>
    </row>
    <row r="97" spans="2:2">
      <c r="B97" s="435" t="b">
        <f t="shared" si="1"/>
        <v>0</v>
      </c>
    </row>
    <row r="98" spans="2:2">
      <c r="B98" s="435" t="b">
        <f t="shared" si="1"/>
        <v>0</v>
      </c>
    </row>
    <row r="99" spans="2:2">
      <c r="B99" s="435" t="b">
        <f t="shared" si="1"/>
        <v>0</v>
      </c>
    </row>
    <row r="100" spans="2:2">
      <c r="B100" s="435" t="b">
        <f t="shared" si="1"/>
        <v>0</v>
      </c>
    </row>
    <row r="101" spans="2:2">
      <c r="B101" s="435" t="b">
        <f t="shared" si="1"/>
        <v>0</v>
      </c>
    </row>
    <row r="102" spans="2:2">
      <c r="B102" s="435" t="b">
        <f t="shared" si="1"/>
        <v>0</v>
      </c>
    </row>
    <row r="103" spans="2:2">
      <c r="B103" s="435" t="b">
        <f t="shared" si="1"/>
        <v>0</v>
      </c>
    </row>
    <row r="104" spans="2:2">
      <c r="B104" s="435" t="b">
        <f t="shared" si="1"/>
        <v>0</v>
      </c>
    </row>
    <row r="105" spans="2:2">
      <c r="B105" s="435" t="b">
        <f t="shared" si="1"/>
        <v>0</v>
      </c>
    </row>
    <row r="106" spans="2:2">
      <c r="B106" s="435" t="b">
        <f t="shared" si="1"/>
        <v>0</v>
      </c>
    </row>
    <row r="107" spans="2:2">
      <c r="B107" s="435" t="b">
        <f t="shared" si="1"/>
        <v>0</v>
      </c>
    </row>
    <row r="108" spans="2:2">
      <c r="B108" s="435" t="b">
        <f t="shared" si="1"/>
        <v>0</v>
      </c>
    </row>
    <row r="109" spans="2:2">
      <c r="B109" s="435" t="b">
        <f t="shared" si="1"/>
        <v>0</v>
      </c>
    </row>
    <row r="110" spans="2:2">
      <c r="B110" s="435" t="b">
        <f t="shared" si="1"/>
        <v>0</v>
      </c>
    </row>
    <row r="111" spans="2:2">
      <c r="B111" s="435" t="b">
        <f t="shared" si="1"/>
        <v>0</v>
      </c>
    </row>
    <row r="112" spans="2:2">
      <c r="B112" s="435" t="b">
        <f t="shared" si="1"/>
        <v>0</v>
      </c>
    </row>
    <row r="113" spans="2:2">
      <c r="B113" s="435" t="b">
        <f t="shared" si="1"/>
        <v>0</v>
      </c>
    </row>
    <row r="114" spans="2:2">
      <c r="B114" s="435" t="b">
        <f t="shared" si="1"/>
        <v>0</v>
      </c>
    </row>
    <row r="115" spans="2:2">
      <c r="B115" s="435" t="b">
        <f t="shared" si="1"/>
        <v>0</v>
      </c>
    </row>
    <row r="116" spans="2:2">
      <c r="B116" s="435" t="b">
        <f t="shared" si="1"/>
        <v>0</v>
      </c>
    </row>
    <row r="117" spans="2:2">
      <c r="B117" s="435" t="b">
        <f t="shared" si="1"/>
        <v>0</v>
      </c>
    </row>
    <row r="118" spans="2:2">
      <c r="B118" s="435" t="b">
        <f t="shared" si="1"/>
        <v>0</v>
      </c>
    </row>
    <row r="119" spans="2:2">
      <c r="B119" s="435" t="b">
        <f t="shared" si="1"/>
        <v>0</v>
      </c>
    </row>
    <row r="120" spans="2:2">
      <c r="B120" s="435" t="b">
        <f t="shared" si="1"/>
        <v>0</v>
      </c>
    </row>
    <row r="121" spans="2:2">
      <c r="B121" s="435" t="b">
        <f t="shared" si="1"/>
        <v>0</v>
      </c>
    </row>
    <row r="122" spans="2:2">
      <c r="B122" s="435" t="b">
        <f t="shared" si="1"/>
        <v>0</v>
      </c>
    </row>
    <row r="123" spans="2:2">
      <c r="B123" s="435" t="b">
        <f t="shared" si="1"/>
        <v>0</v>
      </c>
    </row>
    <row r="124" spans="2:2">
      <c r="B124" s="435" t="b">
        <f t="shared" si="1"/>
        <v>0</v>
      </c>
    </row>
    <row r="125" spans="2:2">
      <c r="B125" s="435" t="b">
        <f t="shared" si="1"/>
        <v>0</v>
      </c>
    </row>
    <row r="126" spans="2:2">
      <c r="B126" s="435" t="b">
        <f t="shared" si="1"/>
        <v>0</v>
      </c>
    </row>
    <row r="127" spans="2:2">
      <c r="B127" s="435" t="b">
        <f t="shared" si="1"/>
        <v>0</v>
      </c>
    </row>
    <row r="128" spans="2:2">
      <c r="B128" s="435" t="b">
        <f t="shared" si="1"/>
        <v>0</v>
      </c>
    </row>
    <row r="129" spans="2:2">
      <c r="B129" s="435" t="b">
        <f t="shared" si="1"/>
        <v>0</v>
      </c>
    </row>
    <row r="130" spans="2:2">
      <c r="B130" s="435" t="b">
        <f t="shared" ref="B130:B193" si="2">IF(A130=0,FALSE,(COUNTIF(A:A,A130)&gt;10))</f>
        <v>0</v>
      </c>
    </row>
    <row r="131" spans="2:2">
      <c r="B131" s="435" t="b">
        <f t="shared" si="2"/>
        <v>0</v>
      </c>
    </row>
    <row r="132" spans="2:2">
      <c r="B132" s="435" t="b">
        <f t="shared" si="2"/>
        <v>0</v>
      </c>
    </row>
    <row r="133" spans="2:2">
      <c r="B133" s="435" t="b">
        <f t="shared" si="2"/>
        <v>0</v>
      </c>
    </row>
    <row r="134" spans="2:2">
      <c r="B134" s="435" t="b">
        <f t="shared" si="2"/>
        <v>0</v>
      </c>
    </row>
    <row r="135" spans="2:2">
      <c r="B135" s="435" t="b">
        <f t="shared" si="2"/>
        <v>0</v>
      </c>
    </row>
    <row r="136" spans="2:2">
      <c r="B136" s="435" t="b">
        <f t="shared" si="2"/>
        <v>0</v>
      </c>
    </row>
    <row r="137" spans="2:2">
      <c r="B137" s="435" t="b">
        <f t="shared" si="2"/>
        <v>0</v>
      </c>
    </row>
    <row r="138" spans="2:2">
      <c r="B138" s="435" t="b">
        <f t="shared" si="2"/>
        <v>0</v>
      </c>
    </row>
    <row r="139" spans="2:2">
      <c r="B139" s="435" t="b">
        <f t="shared" si="2"/>
        <v>0</v>
      </c>
    </row>
    <row r="140" spans="2:2">
      <c r="B140" s="435" t="b">
        <f t="shared" si="2"/>
        <v>0</v>
      </c>
    </row>
    <row r="141" spans="2:2">
      <c r="B141" s="435" t="b">
        <f t="shared" si="2"/>
        <v>0</v>
      </c>
    </row>
    <row r="142" spans="2:2">
      <c r="B142" s="435" t="b">
        <f t="shared" si="2"/>
        <v>0</v>
      </c>
    </row>
    <row r="143" spans="2:2">
      <c r="B143" s="435" t="b">
        <f t="shared" si="2"/>
        <v>0</v>
      </c>
    </row>
    <row r="144" spans="2:2">
      <c r="B144" s="435" t="b">
        <f t="shared" si="2"/>
        <v>0</v>
      </c>
    </row>
    <row r="145" spans="2:2">
      <c r="B145" s="435" t="b">
        <f t="shared" si="2"/>
        <v>0</v>
      </c>
    </row>
    <row r="146" spans="2:2">
      <c r="B146" s="435" t="b">
        <f t="shared" si="2"/>
        <v>0</v>
      </c>
    </row>
    <row r="147" spans="2:2">
      <c r="B147" s="435" t="b">
        <f t="shared" si="2"/>
        <v>0</v>
      </c>
    </row>
    <row r="148" spans="2:2">
      <c r="B148" s="435" t="b">
        <f t="shared" si="2"/>
        <v>0</v>
      </c>
    </row>
    <row r="149" spans="2:2">
      <c r="B149" s="435" t="b">
        <f t="shared" si="2"/>
        <v>0</v>
      </c>
    </row>
    <row r="150" spans="2:2">
      <c r="B150" s="435" t="b">
        <f t="shared" si="2"/>
        <v>0</v>
      </c>
    </row>
    <row r="151" spans="2:2">
      <c r="B151" s="435" t="b">
        <f t="shared" si="2"/>
        <v>0</v>
      </c>
    </row>
    <row r="152" spans="2:2">
      <c r="B152" s="435" t="b">
        <f t="shared" si="2"/>
        <v>0</v>
      </c>
    </row>
    <row r="153" spans="2:2">
      <c r="B153" s="435" t="b">
        <f t="shared" si="2"/>
        <v>0</v>
      </c>
    </row>
    <row r="154" spans="2:2">
      <c r="B154" s="435" t="b">
        <f t="shared" si="2"/>
        <v>0</v>
      </c>
    </row>
    <row r="155" spans="2:2">
      <c r="B155" s="435" t="b">
        <f t="shared" si="2"/>
        <v>0</v>
      </c>
    </row>
    <row r="156" spans="2:2">
      <c r="B156" s="435" t="b">
        <f t="shared" si="2"/>
        <v>0</v>
      </c>
    </row>
    <row r="157" spans="2:2">
      <c r="B157" s="435" t="b">
        <f t="shared" si="2"/>
        <v>0</v>
      </c>
    </row>
    <row r="158" spans="2:2">
      <c r="B158" s="435" t="b">
        <f t="shared" si="2"/>
        <v>0</v>
      </c>
    </row>
    <row r="159" spans="2:2">
      <c r="B159" s="435" t="b">
        <f t="shared" si="2"/>
        <v>0</v>
      </c>
    </row>
    <row r="160" spans="2:2">
      <c r="B160" s="435" t="b">
        <f t="shared" si="2"/>
        <v>0</v>
      </c>
    </row>
    <row r="161" spans="2:2">
      <c r="B161" s="435" t="b">
        <f t="shared" si="2"/>
        <v>0</v>
      </c>
    </row>
    <row r="162" spans="2:2">
      <c r="B162" s="435" t="b">
        <f t="shared" si="2"/>
        <v>0</v>
      </c>
    </row>
    <row r="163" spans="2:2">
      <c r="B163" s="435" t="b">
        <f t="shared" si="2"/>
        <v>0</v>
      </c>
    </row>
    <row r="164" spans="2:2">
      <c r="B164" s="435" t="b">
        <f t="shared" si="2"/>
        <v>0</v>
      </c>
    </row>
    <row r="165" spans="2:2">
      <c r="B165" s="435" t="b">
        <f t="shared" si="2"/>
        <v>0</v>
      </c>
    </row>
    <row r="166" spans="2:2">
      <c r="B166" s="435" t="b">
        <f t="shared" si="2"/>
        <v>0</v>
      </c>
    </row>
    <row r="167" spans="2:2">
      <c r="B167" s="435" t="b">
        <f t="shared" si="2"/>
        <v>0</v>
      </c>
    </row>
    <row r="168" spans="2:2">
      <c r="B168" s="435" t="b">
        <f t="shared" si="2"/>
        <v>0</v>
      </c>
    </row>
    <row r="169" spans="2:2">
      <c r="B169" s="435" t="b">
        <f t="shared" si="2"/>
        <v>0</v>
      </c>
    </row>
    <row r="170" spans="2:2">
      <c r="B170" s="435" t="b">
        <f t="shared" si="2"/>
        <v>0</v>
      </c>
    </row>
    <row r="171" spans="2:2">
      <c r="B171" s="435" t="b">
        <f t="shared" si="2"/>
        <v>0</v>
      </c>
    </row>
    <row r="172" spans="2:2">
      <c r="B172" s="435" t="b">
        <f t="shared" si="2"/>
        <v>0</v>
      </c>
    </row>
    <row r="173" spans="2:2">
      <c r="B173" s="435" t="b">
        <f t="shared" si="2"/>
        <v>0</v>
      </c>
    </row>
    <row r="174" spans="2:2">
      <c r="B174" s="435" t="b">
        <f t="shared" si="2"/>
        <v>0</v>
      </c>
    </row>
    <row r="175" spans="2:2">
      <c r="B175" s="435" t="b">
        <f t="shared" si="2"/>
        <v>0</v>
      </c>
    </row>
    <row r="176" spans="2:2">
      <c r="B176" s="435" t="b">
        <f t="shared" si="2"/>
        <v>0</v>
      </c>
    </row>
    <row r="177" spans="2:2">
      <c r="B177" s="435" t="b">
        <f t="shared" si="2"/>
        <v>0</v>
      </c>
    </row>
    <row r="178" spans="2:2">
      <c r="B178" s="435" t="b">
        <f t="shared" si="2"/>
        <v>0</v>
      </c>
    </row>
    <row r="179" spans="2:2">
      <c r="B179" s="435" t="b">
        <f t="shared" si="2"/>
        <v>0</v>
      </c>
    </row>
    <row r="180" spans="2:2">
      <c r="B180" s="435" t="b">
        <f t="shared" si="2"/>
        <v>0</v>
      </c>
    </row>
    <row r="181" spans="2:2">
      <c r="B181" s="435" t="b">
        <f t="shared" si="2"/>
        <v>0</v>
      </c>
    </row>
    <row r="182" spans="2:2">
      <c r="B182" s="435" t="b">
        <f t="shared" si="2"/>
        <v>0</v>
      </c>
    </row>
    <row r="183" spans="2:2">
      <c r="B183" s="435" t="b">
        <f t="shared" si="2"/>
        <v>0</v>
      </c>
    </row>
    <row r="184" spans="2:2">
      <c r="B184" s="435" t="b">
        <f t="shared" si="2"/>
        <v>0</v>
      </c>
    </row>
    <row r="185" spans="2:2">
      <c r="B185" s="435" t="b">
        <f t="shared" si="2"/>
        <v>0</v>
      </c>
    </row>
    <row r="186" spans="2:2">
      <c r="B186" s="435" t="b">
        <f t="shared" si="2"/>
        <v>0</v>
      </c>
    </row>
    <row r="187" spans="2:2">
      <c r="B187" s="435" t="b">
        <f t="shared" si="2"/>
        <v>0</v>
      </c>
    </row>
    <row r="188" spans="2:2">
      <c r="B188" s="435" t="b">
        <f t="shared" si="2"/>
        <v>0</v>
      </c>
    </row>
    <row r="189" spans="2:2">
      <c r="B189" s="435" t="b">
        <f t="shared" si="2"/>
        <v>0</v>
      </c>
    </row>
    <row r="190" spans="2:2">
      <c r="B190" s="435" t="b">
        <f t="shared" si="2"/>
        <v>0</v>
      </c>
    </row>
    <row r="191" spans="2:2">
      <c r="B191" s="435" t="b">
        <f t="shared" si="2"/>
        <v>0</v>
      </c>
    </row>
    <row r="192" spans="2:2">
      <c r="B192" s="435" t="b">
        <f t="shared" si="2"/>
        <v>0</v>
      </c>
    </row>
    <row r="193" spans="2:2">
      <c r="B193" s="435" t="b">
        <f t="shared" si="2"/>
        <v>0</v>
      </c>
    </row>
    <row r="194" spans="2:2">
      <c r="B194" s="435" t="b">
        <f t="shared" ref="B194:B257" si="3">IF(A194=0,FALSE,(COUNTIF(A:A,A194)&gt;10))</f>
        <v>0</v>
      </c>
    </row>
    <row r="195" spans="2:2">
      <c r="B195" s="435" t="b">
        <f t="shared" si="3"/>
        <v>0</v>
      </c>
    </row>
    <row r="196" spans="2:2">
      <c r="B196" s="435" t="b">
        <f t="shared" si="3"/>
        <v>0</v>
      </c>
    </row>
    <row r="197" spans="2:2">
      <c r="B197" s="435" t="b">
        <f t="shared" si="3"/>
        <v>0</v>
      </c>
    </row>
    <row r="198" spans="2:2">
      <c r="B198" s="435" t="b">
        <f t="shared" si="3"/>
        <v>0</v>
      </c>
    </row>
    <row r="199" spans="2:2">
      <c r="B199" s="435" t="b">
        <f t="shared" si="3"/>
        <v>0</v>
      </c>
    </row>
    <row r="200" spans="2:2">
      <c r="B200" s="435" t="b">
        <f t="shared" si="3"/>
        <v>0</v>
      </c>
    </row>
    <row r="201" spans="2:2">
      <c r="B201" s="435" t="b">
        <f t="shared" si="3"/>
        <v>0</v>
      </c>
    </row>
    <row r="202" spans="2:2">
      <c r="B202" s="435" t="b">
        <f t="shared" si="3"/>
        <v>0</v>
      </c>
    </row>
    <row r="203" spans="2:2">
      <c r="B203" s="435" t="b">
        <f t="shared" si="3"/>
        <v>0</v>
      </c>
    </row>
    <row r="204" spans="2:2">
      <c r="B204" s="435" t="b">
        <f t="shared" si="3"/>
        <v>0</v>
      </c>
    </row>
    <row r="205" spans="2:2">
      <c r="B205" s="435" t="b">
        <f t="shared" si="3"/>
        <v>0</v>
      </c>
    </row>
    <row r="206" spans="2:2">
      <c r="B206" s="435" t="b">
        <f t="shared" si="3"/>
        <v>0</v>
      </c>
    </row>
    <row r="207" spans="2:2">
      <c r="B207" s="435" t="b">
        <f t="shared" si="3"/>
        <v>0</v>
      </c>
    </row>
    <row r="208" spans="2:2">
      <c r="B208" s="435" t="b">
        <f t="shared" si="3"/>
        <v>0</v>
      </c>
    </row>
    <row r="209" spans="2:2">
      <c r="B209" s="435" t="b">
        <f t="shared" si="3"/>
        <v>0</v>
      </c>
    </row>
    <row r="210" spans="2:2">
      <c r="B210" s="435" t="b">
        <f t="shared" si="3"/>
        <v>0</v>
      </c>
    </row>
    <row r="211" spans="2:2">
      <c r="B211" s="435" t="b">
        <f t="shared" si="3"/>
        <v>0</v>
      </c>
    </row>
    <row r="212" spans="2:2">
      <c r="B212" s="435" t="b">
        <f t="shared" si="3"/>
        <v>0</v>
      </c>
    </row>
    <row r="213" spans="2:2">
      <c r="B213" s="435" t="b">
        <f t="shared" si="3"/>
        <v>0</v>
      </c>
    </row>
    <row r="214" spans="2:2">
      <c r="B214" s="435" t="b">
        <f t="shared" si="3"/>
        <v>0</v>
      </c>
    </row>
    <row r="215" spans="2:2">
      <c r="B215" s="435" t="b">
        <f t="shared" si="3"/>
        <v>0</v>
      </c>
    </row>
    <row r="216" spans="2:2">
      <c r="B216" s="435" t="b">
        <f t="shared" si="3"/>
        <v>0</v>
      </c>
    </row>
    <row r="217" spans="2:2">
      <c r="B217" s="435" t="b">
        <f t="shared" si="3"/>
        <v>0</v>
      </c>
    </row>
    <row r="218" spans="2:2">
      <c r="B218" s="435" t="b">
        <f t="shared" si="3"/>
        <v>0</v>
      </c>
    </row>
    <row r="219" spans="2:2">
      <c r="B219" s="435" t="b">
        <f t="shared" si="3"/>
        <v>0</v>
      </c>
    </row>
    <row r="220" spans="2:2">
      <c r="B220" s="435" t="b">
        <f t="shared" si="3"/>
        <v>0</v>
      </c>
    </row>
    <row r="221" spans="2:2">
      <c r="B221" s="435" t="b">
        <f t="shared" si="3"/>
        <v>0</v>
      </c>
    </row>
    <row r="222" spans="2:2">
      <c r="B222" s="435" t="b">
        <f t="shared" si="3"/>
        <v>0</v>
      </c>
    </row>
    <row r="223" spans="2:2">
      <c r="B223" s="435" t="b">
        <f t="shared" si="3"/>
        <v>0</v>
      </c>
    </row>
    <row r="224" spans="2:2">
      <c r="B224" s="435" t="b">
        <f t="shared" si="3"/>
        <v>0</v>
      </c>
    </row>
    <row r="225" spans="2:2">
      <c r="B225" s="435" t="b">
        <f t="shared" si="3"/>
        <v>0</v>
      </c>
    </row>
    <row r="226" spans="2:2">
      <c r="B226" s="435" t="b">
        <f t="shared" si="3"/>
        <v>0</v>
      </c>
    </row>
    <row r="227" spans="2:2">
      <c r="B227" s="435" t="b">
        <f t="shared" si="3"/>
        <v>0</v>
      </c>
    </row>
    <row r="228" spans="2:2">
      <c r="B228" s="435" t="b">
        <f t="shared" si="3"/>
        <v>0</v>
      </c>
    </row>
    <row r="229" spans="2:2">
      <c r="B229" s="435" t="b">
        <f t="shared" si="3"/>
        <v>0</v>
      </c>
    </row>
    <row r="230" spans="2:2">
      <c r="B230" s="435" t="b">
        <f t="shared" si="3"/>
        <v>0</v>
      </c>
    </row>
    <row r="231" spans="2:2">
      <c r="B231" s="435" t="b">
        <f t="shared" si="3"/>
        <v>0</v>
      </c>
    </row>
    <row r="232" spans="2:2">
      <c r="B232" s="435" t="b">
        <f t="shared" si="3"/>
        <v>0</v>
      </c>
    </row>
    <row r="233" spans="2:2">
      <c r="B233" s="435" t="b">
        <f t="shared" si="3"/>
        <v>0</v>
      </c>
    </row>
    <row r="234" spans="2:2">
      <c r="B234" s="435" t="b">
        <f t="shared" si="3"/>
        <v>0</v>
      </c>
    </row>
    <row r="235" spans="2:2">
      <c r="B235" s="435" t="b">
        <f t="shared" si="3"/>
        <v>0</v>
      </c>
    </row>
    <row r="236" spans="2:2">
      <c r="B236" s="435" t="b">
        <f t="shared" si="3"/>
        <v>0</v>
      </c>
    </row>
    <row r="237" spans="2:2">
      <c r="B237" s="435" t="b">
        <f t="shared" si="3"/>
        <v>0</v>
      </c>
    </row>
    <row r="238" spans="2:2">
      <c r="B238" s="435" t="b">
        <f t="shared" si="3"/>
        <v>0</v>
      </c>
    </row>
    <row r="239" spans="2:2">
      <c r="B239" s="435" t="b">
        <f t="shared" si="3"/>
        <v>0</v>
      </c>
    </row>
    <row r="240" spans="2:2">
      <c r="B240" s="435" t="b">
        <f t="shared" si="3"/>
        <v>0</v>
      </c>
    </row>
    <row r="241" spans="2:2">
      <c r="B241" s="435" t="b">
        <f t="shared" si="3"/>
        <v>0</v>
      </c>
    </row>
    <row r="242" spans="2:2">
      <c r="B242" s="435" t="b">
        <f t="shared" si="3"/>
        <v>0</v>
      </c>
    </row>
    <row r="243" spans="2:2">
      <c r="B243" s="435" t="b">
        <f t="shared" si="3"/>
        <v>0</v>
      </c>
    </row>
    <row r="244" spans="2:2">
      <c r="B244" s="435" t="b">
        <f t="shared" si="3"/>
        <v>0</v>
      </c>
    </row>
    <row r="245" spans="2:2">
      <c r="B245" s="435" t="b">
        <f t="shared" si="3"/>
        <v>0</v>
      </c>
    </row>
    <row r="246" spans="2:2">
      <c r="B246" s="435" t="b">
        <f t="shared" si="3"/>
        <v>0</v>
      </c>
    </row>
    <row r="247" spans="2:2">
      <c r="B247" s="435" t="b">
        <f t="shared" si="3"/>
        <v>0</v>
      </c>
    </row>
    <row r="248" spans="2:2">
      <c r="B248" s="435" t="b">
        <f t="shared" si="3"/>
        <v>0</v>
      </c>
    </row>
    <row r="249" spans="2:2">
      <c r="B249" s="435" t="b">
        <f t="shared" si="3"/>
        <v>0</v>
      </c>
    </row>
    <row r="250" spans="2:2">
      <c r="B250" s="435" t="b">
        <f t="shared" si="3"/>
        <v>0</v>
      </c>
    </row>
    <row r="251" spans="2:2">
      <c r="B251" s="435" t="b">
        <f t="shared" si="3"/>
        <v>0</v>
      </c>
    </row>
    <row r="252" spans="2:2">
      <c r="B252" s="435" t="b">
        <f t="shared" si="3"/>
        <v>0</v>
      </c>
    </row>
    <row r="253" spans="2:2">
      <c r="B253" s="435" t="b">
        <f t="shared" si="3"/>
        <v>0</v>
      </c>
    </row>
    <row r="254" spans="2:2">
      <c r="B254" s="435" t="b">
        <f t="shared" si="3"/>
        <v>0</v>
      </c>
    </row>
    <row r="255" spans="2:2">
      <c r="B255" s="435" t="b">
        <f t="shared" si="3"/>
        <v>0</v>
      </c>
    </row>
    <row r="256" spans="2:2">
      <c r="B256" s="435" t="b">
        <f t="shared" si="3"/>
        <v>0</v>
      </c>
    </row>
    <row r="257" spans="2:2">
      <c r="B257" s="435" t="b">
        <f t="shared" si="3"/>
        <v>0</v>
      </c>
    </row>
    <row r="258" spans="2:2">
      <c r="B258" s="435" t="b">
        <f t="shared" ref="B258:B321" si="4">IF(A258=0,FALSE,(COUNTIF(A:A,A258)&gt;10))</f>
        <v>0</v>
      </c>
    </row>
    <row r="259" spans="2:2">
      <c r="B259" s="435" t="b">
        <f t="shared" si="4"/>
        <v>0</v>
      </c>
    </row>
    <row r="260" spans="2:2">
      <c r="B260" s="435" t="b">
        <f t="shared" si="4"/>
        <v>0</v>
      </c>
    </row>
    <row r="261" spans="2:2">
      <c r="B261" s="435" t="b">
        <f t="shared" si="4"/>
        <v>0</v>
      </c>
    </row>
    <row r="262" spans="2:2">
      <c r="B262" s="435" t="b">
        <f t="shared" si="4"/>
        <v>0</v>
      </c>
    </row>
    <row r="263" spans="2:2">
      <c r="B263" s="435" t="b">
        <f t="shared" si="4"/>
        <v>0</v>
      </c>
    </row>
    <row r="264" spans="2:2">
      <c r="B264" s="435" t="b">
        <f t="shared" si="4"/>
        <v>0</v>
      </c>
    </row>
    <row r="265" spans="2:2">
      <c r="B265" s="435" t="b">
        <f t="shared" si="4"/>
        <v>0</v>
      </c>
    </row>
    <row r="266" spans="2:2">
      <c r="B266" s="435" t="b">
        <f t="shared" si="4"/>
        <v>0</v>
      </c>
    </row>
    <row r="267" spans="2:2">
      <c r="B267" s="435" t="b">
        <f t="shared" si="4"/>
        <v>0</v>
      </c>
    </row>
    <row r="268" spans="2:2">
      <c r="B268" s="435" t="b">
        <f t="shared" si="4"/>
        <v>0</v>
      </c>
    </row>
    <row r="269" spans="2:2">
      <c r="B269" s="435" t="b">
        <f t="shared" si="4"/>
        <v>0</v>
      </c>
    </row>
    <row r="270" spans="2:2">
      <c r="B270" s="435" t="b">
        <f t="shared" si="4"/>
        <v>0</v>
      </c>
    </row>
    <row r="271" spans="2:2">
      <c r="B271" s="435" t="b">
        <f t="shared" si="4"/>
        <v>0</v>
      </c>
    </row>
    <row r="272" spans="2:2">
      <c r="B272" s="435" t="b">
        <f t="shared" si="4"/>
        <v>0</v>
      </c>
    </row>
    <row r="273" spans="2:2">
      <c r="B273" s="435" t="b">
        <f t="shared" si="4"/>
        <v>0</v>
      </c>
    </row>
    <row r="274" spans="2:2">
      <c r="B274" s="435" t="b">
        <f t="shared" si="4"/>
        <v>0</v>
      </c>
    </row>
    <row r="275" spans="2:2">
      <c r="B275" s="435" t="b">
        <f t="shared" si="4"/>
        <v>0</v>
      </c>
    </row>
    <row r="276" spans="2:2">
      <c r="B276" s="435" t="b">
        <f t="shared" si="4"/>
        <v>0</v>
      </c>
    </row>
    <row r="277" spans="2:2">
      <c r="B277" s="435" t="b">
        <f t="shared" si="4"/>
        <v>0</v>
      </c>
    </row>
    <row r="278" spans="2:2">
      <c r="B278" s="435" t="b">
        <f t="shared" si="4"/>
        <v>0</v>
      </c>
    </row>
    <row r="279" spans="2:2">
      <c r="B279" s="435" t="b">
        <f t="shared" si="4"/>
        <v>0</v>
      </c>
    </row>
    <row r="280" spans="2:2">
      <c r="B280" s="435" t="b">
        <f t="shared" si="4"/>
        <v>0</v>
      </c>
    </row>
    <row r="281" spans="2:2">
      <c r="B281" s="435" t="b">
        <f t="shared" si="4"/>
        <v>0</v>
      </c>
    </row>
    <row r="282" spans="2:2">
      <c r="B282" s="435" t="b">
        <f t="shared" si="4"/>
        <v>0</v>
      </c>
    </row>
    <row r="283" spans="2:2">
      <c r="B283" s="435" t="b">
        <f t="shared" si="4"/>
        <v>0</v>
      </c>
    </row>
    <row r="284" spans="2:2">
      <c r="B284" s="435" t="b">
        <f t="shared" si="4"/>
        <v>0</v>
      </c>
    </row>
    <row r="285" spans="2:2">
      <c r="B285" s="435" t="b">
        <f t="shared" si="4"/>
        <v>0</v>
      </c>
    </row>
    <row r="286" spans="2:2">
      <c r="B286" s="435" t="b">
        <f t="shared" si="4"/>
        <v>0</v>
      </c>
    </row>
    <row r="287" spans="2:2">
      <c r="B287" s="435" t="b">
        <f t="shared" si="4"/>
        <v>0</v>
      </c>
    </row>
    <row r="288" spans="2:2">
      <c r="B288" s="435" t="b">
        <f t="shared" si="4"/>
        <v>0</v>
      </c>
    </row>
    <row r="289" spans="2:2">
      <c r="B289" s="435" t="b">
        <f t="shared" si="4"/>
        <v>0</v>
      </c>
    </row>
    <row r="290" spans="2:2">
      <c r="B290" s="435" t="b">
        <f t="shared" si="4"/>
        <v>0</v>
      </c>
    </row>
    <row r="291" spans="2:2">
      <c r="B291" s="435" t="b">
        <f t="shared" si="4"/>
        <v>0</v>
      </c>
    </row>
    <row r="292" spans="2:2">
      <c r="B292" s="435" t="b">
        <f t="shared" si="4"/>
        <v>0</v>
      </c>
    </row>
    <row r="293" spans="2:2">
      <c r="B293" s="435" t="b">
        <f t="shared" si="4"/>
        <v>0</v>
      </c>
    </row>
    <row r="294" spans="2:2">
      <c r="B294" s="435" t="b">
        <f t="shared" si="4"/>
        <v>0</v>
      </c>
    </row>
    <row r="295" spans="2:2">
      <c r="B295" s="435" t="b">
        <f t="shared" si="4"/>
        <v>0</v>
      </c>
    </row>
    <row r="296" spans="2:2">
      <c r="B296" s="435" t="b">
        <f t="shared" si="4"/>
        <v>0</v>
      </c>
    </row>
    <row r="297" spans="2:2">
      <c r="B297" s="435" t="b">
        <f t="shared" si="4"/>
        <v>0</v>
      </c>
    </row>
    <row r="298" spans="2:2">
      <c r="B298" s="435" t="b">
        <f t="shared" si="4"/>
        <v>0</v>
      </c>
    </row>
    <row r="299" spans="2:2">
      <c r="B299" s="435" t="b">
        <f t="shared" si="4"/>
        <v>0</v>
      </c>
    </row>
    <row r="300" spans="2:2">
      <c r="B300" s="435" t="b">
        <f t="shared" si="4"/>
        <v>0</v>
      </c>
    </row>
    <row r="301" spans="2:2">
      <c r="B301" s="435" t="b">
        <f t="shared" si="4"/>
        <v>0</v>
      </c>
    </row>
    <row r="302" spans="2:2">
      <c r="B302" s="435" t="b">
        <f t="shared" si="4"/>
        <v>0</v>
      </c>
    </row>
    <row r="303" spans="2:2">
      <c r="B303" s="435" t="b">
        <f t="shared" si="4"/>
        <v>0</v>
      </c>
    </row>
    <row r="304" spans="2:2">
      <c r="B304" s="435" t="b">
        <f t="shared" si="4"/>
        <v>0</v>
      </c>
    </row>
    <row r="305" spans="2:2">
      <c r="B305" s="435" t="b">
        <f t="shared" si="4"/>
        <v>0</v>
      </c>
    </row>
    <row r="306" spans="2:2">
      <c r="B306" s="435" t="b">
        <f t="shared" si="4"/>
        <v>0</v>
      </c>
    </row>
    <row r="307" spans="2:2">
      <c r="B307" s="435" t="b">
        <f t="shared" si="4"/>
        <v>0</v>
      </c>
    </row>
    <row r="308" spans="2:2">
      <c r="B308" s="435" t="b">
        <f t="shared" si="4"/>
        <v>0</v>
      </c>
    </row>
    <row r="309" spans="2:2">
      <c r="B309" s="435" t="b">
        <f t="shared" si="4"/>
        <v>0</v>
      </c>
    </row>
    <row r="310" spans="2:2">
      <c r="B310" s="435" t="b">
        <f t="shared" si="4"/>
        <v>0</v>
      </c>
    </row>
    <row r="311" spans="2:2">
      <c r="B311" s="435" t="b">
        <f t="shared" si="4"/>
        <v>0</v>
      </c>
    </row>
    <row r="312" spans="2:2">
      <c r="B312" s="435" t="b">
        <f t="shared" si="4"/>
        <v>0</v>
      </c>
    </row>
    <row r="313" spans="2:2">
      <c r="B313" s="435" t="b">
        <f t="shared" si="4"/>
        <v>0</v>
      </c>
    </row>
    <row r="314" spans="2:2">
      <c r="B314" s="435" t="b">
        <f t="shared" si="4"/>
        <v>0</v>
      </c>
    </row>
    <row r="315" spans="2:2">
      <c r="B315" s="435" t="b">
        <f t="shared" si="4"/>
        <v>0</v>
      </c>
    </row>
    <row r="316" spans="2:2">
      <c r="B316" s="435" t="b">
        <f t="shared" si="4"/>
        <v>0</v>
      </c>
    </row>
    <row r="317" spans="2:2">
      <c r="B317" s="435" t="b">
        <f t="shared" si="4"/>
        <v>0</v>
      </c>
    </row>
    <row r="318" spans="2:2">
      <c r="B318" s="435" t="b">
        <f t="shared" si="4"/>
        <v>0</v>
      </c>
    </row>
    <row r="319" spans="2:2">
      <c r="B319" s="435" t="b">
        <f t="shared" si="4"/>
        <v>0</v>
      </c>
    </row>
    <row r="320" spans="2:2">
      <c r="B320" s="435" t="b">
        <f t="shared" si="4"/>
        <v>0</v>
      </c>
    </row>
    <row r="321" spans="2:2">
      <c r="B321" s="435" t="b">
        <f t="shared" si="4"/>
        <v>0</v>
      </c>
    </row>
    <row r="322" spans="2:2">
      <c r="B322" s="435" t="b">
        <f t="shared" ref="B322:B385" si="5">IF(A322=0,FALSE,(COUNTIF(A:A,A322)&gt;10))</f>
        <v>0</v>
      </c>
    </row>
    <row r="323" spans="2:2">
      <c r="B323" s="435" t="b">
        <f t="shared" si="5"/>
        <v>0</v>
      </c>
    </row>
    <row r="324" spans="2:2">
      <c r="B324" s="435" t="b">
        <f t="shared" si="5"/>
        <v>0</v>
      </c>
    </row>
    <row r="325" spans="2:2">
      <c r="B325" s="435" t="b">
        <f t="shared" si="5"/>
        <v>0</v>
      </c>
    </row>
    <row r="326" spans="2:2">
      <c r="B326" s="435" t="b">
        <f t="shared" si="5"/>
        <v>0</v>
      </c>
    </row>
    <row r="327" spans="2:2">
      <c r="B327" s="435" t="b">
        <f t="shared" si="5"/>
        <v>0</v>
      </c>
    </row>
    <row r="328" spans="2:2">
      <c r="B328" s="435" t="b">
        <f t="shared" si="5"/>
        <v>0</v>
      </c>
    </row>
    <row r="329" spans="2:2">
      <c r="B329" s="435" t="b">
        <f t="shared" si="5"/>
        <v>0</v>
      </c>
    </row>
    <row r="330" spans="2:2">
      <c r="B330" s="435" t="b">
        <f t="shared" si="5"/>
        <v>0</v>
      </c>
    </row>
    <row r="331" spans="2:2">
      <c r="B331" s="435" t="b">
        <f t="shared" si="5"/>
        <v>0</v>
      </c>
    </row>
    <row r="332" spans="2:2">
      <c r="B332" s="435" t="b">
        <f t="shared" si="5"/>
        <v>0</v>
      </c>
    </row>
    <row r="333" spans="2:2">
      <c r="B333" s="435" t="b">
        <f t="shared" si="5"/>
        <v>0</v>
      </c>
    </row>
    <row r="334" spans="2:2">
      <c r="B334" s="435" t="b">
        <f t="shared" si="5"/>
        <v>0</v>
      </c>
    </row>
    <row r="335" spans="2:2">
      <c r="B335" s="435" t="b">
        <f t="shared" si="5"/>
        <v>0</v>
      </c>
    </row>
    <row r="336" spans="2:2">
      <c r="B336" s="435" t="b">
        <f t="shared" si="5"/>
        <v>0</v>
      </c>
    </row>
    <row r="337" spans="2:2">
      <c r="B337" s="435" t="b">
        <f t="shared" si="5"/>
        <v>0</v>
      </c>
    </row>
    <row r="338" spans="2:2">
      <c r="B338" s="435" t="b">
        <f t="shared" si="5"/>
        <v>0</v>
      </c>
    </row>
    <row r="339" spans="2:2">
      <c r="B339" s="435" t="b">
        <f t="shared" si="5"/>
        <v>0</v>
      </c>
    </row>
    <row r="340" spans="2:2">
      <c r="B340" s="435" t="b">
        <f t="shared" si="5"/>
        <v>0</v>
      </c>
    </row>
    <row r="341" spans="2:2">
      <c r="B341" s="435" t="b">
        <f t="shared" si="5"/>
        <v>0</v>
      </c>
    </row>
    <row r="342" spans="2:2">
      <c r="B342" s="435" t="b">
        <f t="shared" si="5"/>
        <v>0</v>
      </c>
    </row>
    <row r="343" spans="2:2">
      <c r="B343" s="435" t="b">
        <f t="shared" si="5"/>
        <v>0</v>
      </c>
    </row>
    <row r="344" spans="2:2">
      <c r="B344" s="435" t="b">
        <f t="shared" si="5"/>
        <v>0</v>
      </c>
    </row>
    <row r="345" spans="2:2">
      <c r="B345" s="435" t="b">
        <f t="shared" si="5"/>
        <v>0</v>
      </c>
    </row>
    <row r="346" spans="2:2">
      <c r="B346" s="435" t="b">
        <f t="shared" si="5"/>
        <v>0</v>
      </c>
    </row>
    <row r="347" spans="2:2">
      <c r="B347" s="435" t="b">
        <f t="shared" si="5"/>
        <v>0</v>
      </c>
    </row>
    <row r="348" spans="2:2">
      <c r="B348" s="435" t="b">
        <f t="shared" si="5"/>
        <v>0</v>
      </c>
    </row>
    <row r="349" spans="2:2">
      <c r="B349" s="435" t="b">
        <f t="shared" si="5"/>
        <v>0</v>
      </c>
    </row>
    <row r="350" spans="2:2">
      <c r="B350" s="435" t="b">
        <f t="shared" si="5"/>
        <v>0</v>
      </c>
    </row>
    <row r="351" spans="2:2">
      <c r="B351" s="435" t="b">
        <f t="shared" si="5"/>
        <v>0</v>
      </c>
    </row>
    <row r="352" spans="2:2">
      <c r="B352" s="435" t="b">
        <f t="shared" si="5"/>
        <v>0</v>
      </c>
    </row>
    <row r="353" spans="2:2">
      <c r="B353" s="435" t="b">
        <f t="shared" si="5"/>
        <v>0</v>
      </c>
    </row>
    <row r="354" spans="2:2">
      <c r="B354" s="435" t="b">
        <f t="shared" si="5"/>
        <v>0</v>
      </c>
    </row>
    <row r="355" spans="2:2">
      <c r="B355" s="435" t="b">
        <f t="shared" si="5"/>
        <v>0</v>
      </c>
    </row>
    <row r="356" spans="2:2">
      <c r="B356" s="435" t="b">
        <f t="shared" si="5"/>
        <v>0</v>
      </c>
    </row>
    <row r="357" spans="2:2">
      <c r="B357" s="435" t="b">
        <f t="shared" si="5"/>
        <v>0</v>
      </c>
    </row>
    <row r="358" spans="2:2">
      <c r="B358" s="435" t="b">
        <f t="shared" si="5"/>
        <v>0</v>
      </c>
    </row>
    <row r="359" spans="2:2">
      <c r="B359" s="435" t="b">
        <f t="shared" si="5"/>
        <v>0</v>
      </c>
    </row>
    <row r="360" spans="2:2">
      <c r="B360" s="435" t="b">
        <f t="shared" si="5"/>
        <v>0</v>
      </c>
    </row>
    <row r="361" spans="2:2">
      <c r="B361" s="435" t="b">
        <f t="shared" si="5"/>
        <v>0</v>
      </c>
    </row>
    <row r="362" spans="2:2">
      <c r="B362" s="435" t="b">
        <f t="shared" si="5"/>
        <v>0</v>
      </c>
    </row>
    <row r="363" spans="2:2">
      <c r="B363" s="435" t="b">
        <f t="shared" si="5"/>
        <v>0</v>
      </c>
    </row>
    <row r="364" spans="2:2">
      <c r="B364" s="435" t="b">
        <f t="shared" si="5"/>
        <v>0</v>
      </c>
    </row>
    <row r="365" spans="2:2">
      <c r="B365" s="435" t="b">
        <f t="shared" si="5"/>
        <v>0</v>
      </c>
    </row>
    <row r="366" spans="2:2">
      <c r="B366" s="435" t="b">
        <f t="shared" si="5"/>
        <v>0</v>
      </c>
    </row>
    <row r="367" spans="2:2">
      <c r="B367" s="435" t="b">
        <f t="shared" si="5"/>
        <v>0</v>
      </c>
    </row>
    <row r="368" spans="2:2">
      <c r="B368" s="435" t="b">
        <f t="shared" si="5"/>
        <v>0</v>
      </c>
    </row>
    <row r="369" spans="2:2">
      <c r="B369" s="435" t="b">
        <f t="shared" si="5"/>
        <v>0</v>
      </c>
    </row>
    <row r="370" spans="2:2">
      <c r="B370" s="435" t="b">
        <f t="shared" si="5"/>
        <v>0</v>
      </c>
    </row>
    <row r="371" spans="2:2">
      <c r="B371" s="435" t="b">
        <f t="shared" si="5"/>
        <v>0</v>
      </c>
    </row>
    <row r="372" spans="2:2">
      <c r="B372" s="435" t="b">
        <f t="shared" si="5"/>
        <v>0</v>
      </c>
    </row>
    <row r="373" spans="2:2">
      <c r="B373" s="435" t="b">
        <f t="shared" si="5"/>
        <v>0</v>
      </c>
    </row>
    <row r="374" spans="2:2">
      <c r="B374" s="435" t="b">
        <f t="shared" si="5"/>
        <v>0</v>
      </c>
    </row>
    <row r="375" spans="2:2">
      <c r="B375" s="435" t="b">
        <f t="shared" si="5"/>
        <v>0</v>
      </c>
    </row>
    <row r="376" spans="2:2">
      <c r="B376" s="435" t="b">
        <f t="shared" si="5"/>
        <v>0</v>
      </c>
    </row>
    <row r="377" spans="2:2">
      <c r="B377" s="435" t="b">
        <f t="shared" si="5"/>
        <v>0</v>
      </c>
    </row>
    <row r="378" spans="2:2">
      <c r="B378" s="435" t="b">
        <f t="shared" si="5"/>
        <v>0</v>
      </c>
    </row>
    <row r="379" spans="2:2">
      <c r="B379" s="435" t="b">
        <f t="shared" si="5"/>
        <v>0</v>
      </c>
    </row>
    <row r="380" spans="2:2">
      <c r="B380" s="435" t="b">
        <f t="shared" si="5"/>
        <v>0</v>
      </c>
    </row>
    <row r="381" spans="2:2">
      <c r="B381" s="435" t="b">
        <f t="shared" si="5"/>
        <v>0</v>
      </c>
    </row>
    <row r="382" spans="2:2">
      <c r="B382" s="435" t="b">
        <f t="shared" si="5"/>
        <v>0</v>
      </c>
    </row>
    <row r="383" spans="2:2">
      <c r="B383" s="435" t="b">
        <f t="shared" si="5"/>
        <v>0</v>
      </c>
    </row>
    <row r="384" spans="2:2">
      <c r="B384" s="435" t="b">
        <f t="shared" si="5"/>
        <v>0</v>
      </c>
    </row>
    <row r="385" spans="2:2">
      <c r="B385" s="435" t="b">
        <f t="shared" si="5"/>
        <v>0</v>
      </c>
    </row>
    <row r="386" spans="2:2">
      <c r="B386" s="435" t="b">
        <f t="shared" ref="B386:B449" si="6">IF(A386=0,FALSE,(COUNTIF(A:A,A386)&gt;10))</f>
        <v>0</v>
      </c>
    </row>
    <row r="387" spans="2:2">
      <c r="B387" s="435" t="b">
        <f t="shared" si="6"/>
        <v>0</v>
      </c>
    </row>
    <row r="388" spans="2:2">
      <c r="B388" s="435" t="b">
        <f t="shared" si="6"/>
        <v>0</v>
      </c>
    </row>
    <row r="389" spans="2:2">
      <c r="B389" s="435" t="b">
        <f t="shared" si="6"/>
        <v>0</v>
      </c>
    </row>
    <row r="390" spans="2:2">
      <c r="B390" s="435" t="b">
        <f t="shared" si="6"/>
        <v>0</v>
      </c>
    </row>
    <row r="391" spans="2:2">
      <c r="B391" s="435" t="b">
        <f t="shared" si="6"/>
        <v>0</v>
      </c>
    </row>
    <row r="392" spans="2:2">
      <c r="B392" s="435" t="b">
        <f t="shared" si="6"/>
        <v>0</v>
      </c>
    </row>
    <row r="393" spans="2:2">
      <c r="B393" s="435" t="b">
        <f t="shared" si="6"/>
        <v>0</v>
      </c>
    </row>
    <row r="394" spans="2:2">
      <c r="B394" s="435" t="b">
        <f t="shared" si="6"/>
        <v>0</v>
      </c>
    </row>
    <row r="395" spans="2:2">
      <c r="B395" s="435" t="b">
        <f t="shared" si="6"/>
        <v>0</v>
      </c>
    </row>
    <row r="396" spans="2:2">
      <c r="B396" s="435" t="b">
        <f t="shared" si="6"/>
        <v>0</v>
      </c>
    </row>
    <row r="397" spans="2:2">
      <c r="B397" s="435" t="b">
        <f t="shared" si="6"/>
        <v>0</v>
      </c>
    </row>
    <row r="398" spans="2:2">
      <c r="B398" s="435" t="b">
        <f t="shared" si="6"/>
        <v>0</v>
      </c>
    </row>
    <row r="399" spans="2:2">
      <c r="B399" s="435" t="b">
        <f t="shared" si="6"/>
        <v>0</v>
      </c>
    </row>
    <row r="400" spans="2:2">
      <c r="B400" s="435" t="b">
        <f t="shared" si="6"/>
        <v>0</v>
      </c>
    </row>
    <row r="401" spans="1:3">
      <c r="B401" s="435" t="b">
        <f t="shared" si="6"/>
        <v>0</v>
      </c>
    </row>
    <row r="402" spans="1:3">
      <c r="B402" s="435" t="b">
        <f t="shared" si="6"/>
        <v>0</v>
      </c>
      <c r="C402" s="435" t="s">
        <v>510</v>
      </c>
    </row>
    <row r="403" spans="1:3">
      <c r="B403" s="435" t="b">
        <f t="shared" si="6"/>
        <v>0</v>
      </c>
    </row>
    <row r="404" spans="1:3">
      <c r="B404" s="435" t="b">
        <f t="shared" si="6"/>
        <v>0</v>
      </c>
    </row>
    <row r="405" spans="1:3">
      <c r="B405" s="435" t="b">
        <f t="shared" si="6"/>
        <v>0</v>
      </c>
    </row>
    <row r="406" spans="1:3">
      <c r="A406" s="435" cm="1">
        <f t="array" ref="A406:A437">HIST_Graphname_Meas</f>
        <v>0</v>
      </c>
      <c r="B406" s="435" t="b">
        <f t="shared" si="6"/>
        <v>0</v>
      </c>
    </row>
    <row r="407" spans="1:3">
      <c r="A407" s="435">
        <v>0</v>
      </c>
      <c r="B407" s="435" t="b">
        <f t="shared" si="6"/>
        <v>0</v>
      </c>
    </row>
    <row r="408" spans="1:3">
      <c r="A408" s="435">
        <v>0</v>
      </c>
      <c r="B408" s="435" t="b">
        <f t="shared" si="6"/>
        <v>0</v>
      </c>
    </row>
    <row r="409" spans="1:3">
      <c r="A409" s="435">
        <v>0</v>
      </c>
      <c r="B409" s="435" t="b">
        <f t="shared" si="6"/>
        <v>0</v>
      </c>
    </row>
    <row r="410" spans="1:3">
      <c r="A410" s="435">
        <v>0</v>
      </c>
      <c r="B410" s="435" t="b">
        <f t="shared" si="6"/>
        <v>0</v>
      </c>
    </row>
    <row r="411" spans="1:3">
      <c r="A411" s="435">
        <v>0</v>
      </c>
      <c r="B411" s="435" t="b">
        <f t="shared" si="6"/>
        <v>0</v>
      </c>
    </row>
    <row r="412" spans="1:3">
      <c r="A412" s="435">
        <v>0</v>
      </c>
      <c r="B412" s="435" t="b">
        <f t="shared" si="6"/>
        <v>0</v>
      </c>
    </row>
    <row r="413" spans="1:3">
      <c r="A413" s="435">
        <v>0</v>
      </c>
      <c r="B413" s="435" t="b">
        <f t="shared" si="6"/>
        <v>0</v>
      </c>
    </row>
    <row r="414" spans="1:3">
      <c r="A414" s="435">
        <v>0</v>
      </c>
      <c r="B414" s="435" t="b">
        <f t="shared" si="6"/>
        <v>0</v>
      </c>
    </row>
    <row r="415" spans="1:3">
      <c r="A415" s="435">
        <v>0</v>
      </c>
      <c r="B415" s="435" t="b">
        <f t="shared" si="6"/>
        <v>0</v>
      </c>
    </row>
    <row r="416" spans="1:3">
      <c r="A416" s="435">
        <v>0</v>
      </c>
      <c r="B416" s="435" t="b">
        <f t="shared" si="6"/>
        <v>0</v>
      </c>
    </row>
    <row r="417" spans="1:2">
      <c r="A417" s="435">
        <v>0</v>
      </c>
      <c r="B417" s="435" t="b">
        <f t="shared" si="6"/>
        <v>0</v>
      </c>
    </row>
    <row r="418" spans="1:2">
      <c r="A418" s="435">
        <v>0</v>
      </c>
      <c r="B418" s="435" t="b">
        <f t="shared" si="6"/>
        <v>0</v>
      </c>
    </row>
    <row r="419" spans="1:2">
      <c r="A419" s="435">
        <v>0</v>
      </c>
      <c r="B419" s="435" t="b">
        <f t="shared" si="6"/>
        <v>0</v>
      </c>
    </row>
    <row r="420" spans="1:2">
      <c r="A420" s="435">
        <v>0</v>
      </c>
      <c r="B420" s="435" t="b">
        <f t="shared" si="6"/>
        <v>0</v>
      </c>
    </row>
    <row r="421" spans="1:2">
      <c r="A421" s="435">
        <v>0</v>
      </c>
      <c r="B421" s="435" t="b">
        <f t="shared" si="6"/>
        <v>0</v>
      </c>
    </row>
    <row r="422" spans="1:2">
      <c r="A422" s="435">
        <v>0</v>
      </c>
      <c r="B422" s="435" t="b">
        <f t="shared" si="6"/>
        <v>0</v>
      </c>
    </row>
    <row r="423" spans="1:2">
      <c r="A423" s="435">
        <v>0</v>
      </c>
      <c r="B423" s="435" t="b">
        <f t="shared" si="6"/>
        <v>0</v>
      </c>
    </row>
    <row r="424" spans="1:2">
      <c r="A424" s="435">
        <v>0</v>
      </c>
      <c r="B424" s="435" t="b">
        <f t="shared" si="6"/>
        <v>0</v>
      </c>
    </row>
    <row r="425" spans="1:2">
      <c r="A425" s="435">
        <v>0</v>
      </c>
      <c r="B425" s="435" t="b">
        <f t="shared" si="6"/>
        <v>0</v>
      </c>
    </row>
    <row r="426" spans="1:2">
      <c r="A426" s="435">
        <v>0</v>
      </c>
      <c r="B426" s="435" t="b">
        <f t="shared" si="6"/>
        <v>0</v>
      </c>
    </row>
    <row r="427" spans="1:2">
      <c r="A427" s="435">
        <v>0</v>
      </c>
      <c r="B427" s="435" t="b">
        <f t="shared" si="6"/>
        <v>0</v>
      </c>
    </row>
    <row r="428" spans="1:2">
      <c r="A428" s="435">
        <v>0</v>
      </c>
      <c r="B428" s="435" t="b">
        <f t="shared" si="6"/>
        <v>0</v>
      </c>
    </row>
    <row r="429" spans="1:2">
      <c r="A429" s="435">
        <v>0</v>
      </c>
      <c r="B429" s="435" t="b">
        <f t="shared" si="6"/>
        <v>0</v>
      </c>
    </row>
    <row r="430" spans="1:2">
      <c r="A430" s="435">
        <v>0</v>
      </c>
      <c r="B430" s="435" t="b">
        <f t="shared" si="6"/>
        <v>0</v>
      </c>
    </row>
    <row r="431" spans="1:2">
      <c r="A431" s="435">
        <v>0</v>
      </c>
      <c r="B431" s="435" t="b">
        <f t="shared" si="6"/>
        <v>0</v>
      </c>
    </row>
    <row r="432" spans="1:2">
      <c r="A432" s="435">
        <v>0</v>
      </c>
      <c r="B432" s="435" t="b">
        <f t="shared" si="6"/>
        <v>0</v>
      </c>
    </row>
    <row r="433" spans="1:2">
      <c r="A433" s="435">
        <v>0</v>
      </c>
      <c r="B433" s="435" t="b">
        <f t="shared" si="6"/>
        <v>0</v>
      </c>
    </row>
    <row r="434" spans="1:2">
      <c r="A434" s="435">
        <v>0</v>
      </c>
      <c r="B434" s="435" t="b">
        <f t="shared" si="6"/>
        <v>0</v>
      </c>
    </row>
    <row r="435" spans="1:2">
      <c r="A435" s="435">
        <v>0</v>
      </c>
      <c r="B435" s="435" t="b">
        <f t="shared" si="6"/>
        <v>0</v>
      </c>
    </row>
    <row r="436" spans="1:2">
      <c r="A436" s="435">
        <v>0</v>
      </c>
      <c r="B436" s="435" t="b">
        <f t="shared" si="6"/>
        <v>0</v>
      </c>
    </row>
    <row r="437" spans="1:2">
      <c r="A437" s="435">
        <v>0</v>
      </c>
      <c r="B437" s="435" t="b">
        <f t="shared" si="6"/>
        <v>0</v>
      </c>
    </row>
    <row r="438" spans="1:2">
      <c r="B438" s="435" t="b">
        <f t="shared" si="6"/>
        <v>0</v>
      </c>
    </row>
    <row r="439" spans="1:2">
      <c r="B439" s="435" t="b">
        <f t="shared" si="6"/>
        <v>0</v>
      </c>
    </row>
    <row r="440" spans="1:2">
      <c r="B440" s="435" t="b">
        <f t="shared" si="6"/>
        <v>0</v>
      </c>
    </row>
    <row r="441" spans="1:2">
      <c r="B441" s="435" t="b">
        <f t="shared" si="6"/>
        <v>0</v>
      </c>
    </row>
    <row r="442" spans="1:2">
      <c r="B442" s="435" t="b">
        <f t="shared" si="6"/>
        <v>0</v>
      </c>
    </row>
    <row r="443" spans="1:2">
      <c r="B443" s="435" t="b">
        <f t="shared" si="6"/>
        <v>0</v>
      </c>
    </row>
    <row r="444" spans="1:2">
      <c r="B444" s="435" t="b">
        <f t="shared" si="6"/>
        <v>0</v>
      </c>
    </row>
    <row r="445" spans="1:2">
      <c r="B445" s="435" t="b">
        <f t="shared" si="6"/>
        <v>0</v>
      </c>
    </row>
    <row r="446" spans="1:2">
      <c r="B446" s="435" t="b">
        <f t="shared" si="6"/>
        <v>0</v>
      </c>
    </row>
    <row r="447" spans="1:2">
      <c r="B447" s="435" t="b">
        <f t="shared" si="6"/>
        <v>0</v>
      </c>
    </row>
    <row r="448" spans="1:2">
      <c r="B448" s="435" t="b">
        <f t="shared" si="6"/>
        <v>0</v>
      </c>
    </row>
    <row r="449" spans="2:2">
      <c r="B449" s="435" t="b">
        <f t="shared" si="6"/>
        <v>0</v>
      </c>
    </row>
    <row r="450" spans="2:2">
      <c r="B450" s="435" t="b">
        <f t="shared" ref="B450:B513" si="7">IF(A450=0,FALSE,(COUNTIF(A:A,A450)&gt;10))</f>
        <v>0</v>
      </c>
    </row>
    <row r="451" spans="2:2">
      <c r="B451" s="435" t="b">
        <f t="shared" si="7"/>
        <v>0</v>
      </c>
    </row>
    <row r="452" spans="2:2">
      <c r="B452" s="435" t="b">
        <f t="shared" si="7"/>
        <v>0</v>
      </c>
    </row>
    <row r="453" spans="2:2">
      <c r="B453" s="435" t="b">
        <f t="shared" si="7"/>
        <v>0</v>
      </c>
    </row>
    <row r="454" spans="2:2">
      <c r="B454" s="435" t="b">
        <f t="shared" si="7"/>
        <v>0</v>
      </c>
    </row>
    <row r="455" spans="2:2">
      <c r="B455" s="435" t="b">
        <f t="shared" si="7"/>
        <v>0</v>
      </c>
    </row>
    <row r="456" spans="2:2">
      <c r="B456" s="435" t="b">
        <f t="shared" si="7"/>
        <v>0</v>
      </c>
    </row>
    <row r="457" spans="2:2">
      <c r="B457" s="435" t="b">
        <f t="shared" si="7"/>
        <v>0</v>
      </c>
    </row>
    <row r="458" spans="2:2">
      <c r="B458" s="435" t="b">
        <f t="shared" si="7"/>
        <v>0</v>
      </c>
    </row>
    <row r="459" spans="2:2">
      <c r="B459" s="435" t="b">
        <f t="shared" si="7"/>
        <v>0</v>
      </c>
    </row>
    <row r="460" spans="2:2">
      <c r="B460" s="435" t="b">
        <f t="shared" si="7"/>
        <v>0</v>
      </c>
    </row>
    <row r="461" spans="2:2">
      <c r="B461" s="435" t="b">
        <f t="shared" si="7"/>
        <v>0</v>
      </c>
    </row>
    <row r="462" spans="2:2">
      <c r="B462" s="435" t="b">
        <f t="shared" si="7"/>
        <v>0</v>
      </c>
    </row>
    <row r="463" spans="2:2">
      <c r="B463" s="435" t="b">
        <f t="shared" si="7"/>
        <v>0</v>
      </c>
    </row>
    <row r="464" spans="2:2">
      <c r="B464" s="435" t="b">
        <f t="shared" si="7"/>
        <v>0</v>
      </c>
    </row>
    <row r="465" spans="2:2">
      <c r="B465" s="435" t="b">
        <f t="shared" si="7"/>
        <v>0</v>
      </c>
    </row>
    <row r="466" spans="2:2">
      <c r="B466" s="435" t="b">
        <f t="shared" si="7"/>
        <v>0</v>
      </c>
    </row>
    <row r="467" spans="2:2">
      <c r="B467" s="435" t="b">
        <f t="shared" si="7"/>
        <v>0</v>
      </c>
    </row>
    <row r="468" spans="2:2">
      <c r="B468" s="435" t="b">
        <f t="shared" si="7"/>
        <v>0</v>
      </c>
    </row>
    <row r="469" spans="2:2">
      <c r="B469" s="435" t="b">
        <f t="shared" si="7"/>
        <v>0</v>
      </c>
    </row>
    <row r="470" spans="2:2">
      <c r="B470" s="435" t="b">
        <f t="shared" si="7"/>
        <v>0</v>
      </c>
    </row>
    <row r="471" spans="2:2">
      <c r="B471" s="435" t="b">
        <f t="shared" si="7"/>
        <v>0</v>
      </c>
    </row>
    <row r="472" spans="2:2">
      <c r="B472" s="435" t="b">
        <f t="shared" si="7"/>
        <v>0</v>
      </c>
    </row>
    <row r="473" spans="2:2">
      <c r="B473" s="435" t="b">
        <f t="shared" si="7"/>
        <v>0</v>
      </c>
    </row>
    <row r="474" spans="2:2">
      <c r="B474" s="435" t="b">
        <f t="shared" si="7"/>
        <v>0</v>
      </c>
    </row>
    <row r="475" spans="2:2">
      <c r="B475" s="435" t="b">
        <f t="shared" si="7"/>
        <v>0</v>
      </c>
    </row>
    <row r="476" spans="2:2">
      <c r="B476" s="435" t="b">
        <f t="shared" si="7"/>
        <v>0</v>
      </c>
    </row>
    <row r="477" spans="2:2">
      <c r="B477" s="435" t="b">
        <f t="shared" si="7"/>
        <v>0</v>
      </c>
    </row>
    <row r="478" spans="2:2">
      <c r="B478" s="435" t="b">
        <f t="shared" si="7"/>
        <v>0</v>
      </c>
    </row>
    <row r="479" spans="2:2">
      <c r="B479" s="435" t="b">
        <f t="shared" si="7"/>
        <v>0</v>
      </c>
    </row>
    <row r="480" spans="2:2">
      <c r="B480" s="435" t="b">
        <f t="shared" si="7"/>
        <v>0</v>
      </c>
    </row>
    <row r="481" spans="2:2">
      <c r="B481" s="435" t="b">
        <f t="shared" si="7"/>
        <v>0</v>
      </c>
    </row>
    <row r="482" spans="2:2">
      <c r="B482" s="435" t="b">
        <f t="shared" si="7"/>
        <v>0</v>
      </c>
    </row>
    <row r="483" spans="2:2">
      <c r="B483" s="435" t="b">
        <f t="shared" si="7"/>
        <v>0</v>
      </c>
    </row>
    <row r="484" spans="2:2">
      <c r="B484" s="435" t="b">
        <f t="shared" si="7"/>
        <v>0</v>
      </c>
    </row>
    <row r="485" spans="2:2">
      <c r="B485" s="435" t="b">
        <f t="shared" si="7"/>
        <v>0</v>
      </c>
    </row>
    <row r="486" spans="2:2">
      <c r="B486" s="435" t="b">
        <f t="shared" si="7"/>
        <v>0</v>
      </c>
    </row>
    <row r="487" spans="2:2">
      <c r="B487" s="435" t="b">
        <f t="shared" si="7"/>
        <v>0</v>
      </c>
    </row>
    <row r="488" spans="2:2">
      <c r="B488" s="435" t="b">
        <f t="shared" si="7"/>
        <v>0</v>
      </c>
    </row>
    <row r="489" spans="2:2">
      <c r="B489" s="435" t="b">
        <f t="shared" si="7"/>
        <v>0</v>
      </c>
    </row>
    <row r="490" spans="2:2">
      <c r="B490" s="435" t="b">
        <f t="shared" si="7"/>
        <v>0</v>
      </c>
    </row>
    <row r="491" spans="2:2">
      <c r="B491" s="435" t="b">
        <f t="shared" si="7"/>
        <v>0</v>
      </c>
    </row>
    <row r="492" spans="2:2">
      <c r="B492" s="435" t="b">
        <f t="shared" si="7"/>
        <v>0</v>
      </c>
    </row>
    <row r="493" spans="2:2">
      <c r="B493" s="435" t="b">
        <f t="shared" si="7"/>
        <v>0</v>
      </c>
    </row>
    <row r="494" spans="2:2">
      <c r="B494" s="435" t="b">
        <f t="shared" si="7"/>
        <v>0</v>
      </c>
    </row>
    <row r="495" spans="2:2">
      <c r="B495" s="435" t="b">
        <f t="shared" si="7"/>
        <v>0</v>
      </c>
    </row>
    <row r="496" spans="2:2">
      <c r="B496" s="435" t="b">
        <f t="shared" si="7"/>
        <v>0</v>
      </c>
    </row>
    <row r="497" spans="2:2">
      <c r="B497" s="435" t="b">
        <f t="shared" si="7"/>
        <v>0</v>
      </c>
    </row>
    <row r="498" spans="2:2">
      <c r="B498" s="435" t="b">
        <f t="shared" si="7"/>
        <v>0</v>
      </c>
    </row>
    <row r="499" spans="2:2">
      <c r="B499" s="435" t="b">
        <f t="shared" si="7"/>
        <v>0</v>
      </c>
    </row>
    <row r="500" spans="2:2">
      <c r="B500" s="435" t="b">
        <f t="shared" si="7"/>
        <v>0</v>
      </c>
    </row>
    <row r="501" spans="2:2">
      <c r="B501" s="435" t="b">
        <f t="shared" si="7"/>
        <v>0</v>
      </c>
    </row>
    <row r="502" spans="2:2">
      <c r="B502" s="435" t="b">
        <f t="shared" si="7"/>
        <v>0</v>
      </c>
    </row>
    <row r="503" spans="2:2">
      <c r="B503" s="435" t="b">
        <f t="shared" si="7"/>
        <v>0</v>
      </c>
    </row>
    <row r="504" spans="2:2">
      <c r="B504" s="435" t="b">
        <f t="shared" si="7"/>
        <v>0</v>
      </c>
    </row>
    <row r="505" spans="2:2">
      <c r="B505" s="435" t="b">
        <f t="shared" si="7"/>
        <v>0</v>
      </c>
    </row>
    <row r="506" spans="2:2">
      <c r="B506" s="435" t="b">
        <f t="shared" si="7"/>
        <v>0</v>
      </c>
    </row>
    <row r="507" spans="2:2">
      <c r="B507" s="435" t="b">
        <f t="shared" si="7"/>
        <v>0</v>
      </c>
    </row>
    <row r="508" spans="2:2">
      <c r="B508" s="435" t="b">
        <f t="shared" si="7"/>
        <v>0</v>
      </c>
    </row>
    <row r="509" spans="2:2">
      <c r="B509" s="435" t="b">
        <f t="shared" si="7"/>
        <v>0</v>
      </c>
    </row>
    <row r="510" spans="2:2">
      <c r="B510" s="435" t="b">
        <f t="shared" si="7"/>
        <v>0</v>
      </c>
    </row>
    <row r="511" spans="2:2">
      <c r="B511" s="435" t="b">
        <f t="shared" si="7"/>
        <v>0</v>
      </c>
    </row>
    <row r="512" spans="2:2">
      <c r="B512" s="435" t="b">
        <f t="shared" si="7"/>
        <v>0</v>
      </c>
    </row>
    <row r="513" spans="2:2">
      <c r="B513" s="435" t="b">
        <f t="shared" si="7"/>
        <v>0</v>
      </c>
    </row>
    <row r="514" spans="2:2">
      <c r="B514" s="435" t="b">
        <f t="shared" ref="B514:B577" si="8">IF(A514=0,FALSE,(COUNTIF(A:A,A514)&gt;10))</f>
        <v>0</v>
      </c>
    </row>
    <row r="515" spans="2:2">
      <c r="B515" s="435" t="b">
        <f t="shared" si="8"/>
        <v>0</v>
      </c>
    </row>
    <row r="516" spans="2:2">
      <c r="B516" s="435" t="b">
        <f t="shared" si="8"/>
        <v>0</v>
      </c>
    </row>
    <row r="517" spans="2:2">
      <c r="B517" s="435" t="b">
        <f t="shared" si="8"/>
        <v>0</v>
      </c>
    </row>
    <row r="518" spans="2:2">
      <c r="B518" s="435" t="b">
        <f t="shared" si="8"/>
        <v>0</v>
      </c>
    </row>
    <row r="519" spans="2:2">
      <c r="B519" s="435" t="b">
        <f t="shared" si="8"/>
        <v>0</v>
      </c>
    </row>
    <row r="520" spans="2:2">
      <c r="B520" s="435" t="b">
        <f t="shared" si="8"/>
        <v>0</v>
      </c>
    </row>
    <row r="521" spans="2:2">
      <c r="B521" s="435" t="b">
        <f t="shared" si="8"/>
        <v>0</v>
      </c>
    </row>
    <row r="522" spans="2:2">
      <c r="B522" s="435" t="b">
        <f t="shared" si="8"/>
        <v>0</v>
      </c>
    </row>
    <row r="523" spans="2:2">
      <c r="B523" s="435" t="b">
        <f t="shared" si="8"/>
        <v>0</v>
      </c>
    </row>
    <row r="524" spans="2:2">
      <c r="B524" s="435" t="b">
        <f t="shared" si="8"/>
        <v>0</v>
      </c>
    </row>
    <row r="525" spans="2:2">
      <c r="B525" s="435" t="b">
        <f t="shared" si="8"/>
        <v>0</v>
      </c>
    </row>
    <row r="526" spans="2:2">
      <c r="B526" s="435" t="b">
        <f t="shared" si="8"/>
        <v>0</v>
      </c>
    </row>
    <row r="527" spans="2:2">
      <c r="B527" s="435" t="b">
        <f t="shared" si="8"/>
        <v>0</v>
      </c>
    </row>
    <row r="528" spans="2:2">
      <c r="B528" s="435" t="b">
        <f t="shared" si="8"/>
        <v>0</v>
      </c>
    </row>
    <row r="529" spans="2:2">
      <c r="B529" s="435" t="b">
        <f t="shared" si="8"/>
        <v>0</v>
      </c>
    </row>
    <row r="530" spans="2:2">
      <c r="B530" s="435" t="b">
        <f t="shared" si="8"/>
        <v>0</v>
      </c>
    </row>
    <row r="531" spans="2:2">
      <c r="B531" s="435" t="b">
        <f t="shared" si="8"/>
        <v>0</v>
      </c>
    </row>
    <row r="532" spans="2:2">
      <c r="B532" s="435" t="b">
        <f t="shared" si="8"/>
        <v>0</v>
      </c>
    </row>
    <row r="533" spans="2:2">
      <c r="B533" s="435" t="b">
        <f t="shared" si="8"/>
        <v>0</v>
      </c>
    </row>
    <row r="534" spans="2:2">
      <c r="B534" s="435" t="b">
        <f t="shared" si="8"/>
        <v>0</v>
      </c>
    </row>
    <row r="535" spans="2:2">
      <c r="B535" s="435" t="b">
        <f t="shared" si="8"/>
        <v>0</v>
      </c>
    </row>
    <row r="536" spans="2:2">
      <c r="B536" s="435" t="b">
        <f t="shared" si="8"/>
        <v>0</v>
      </c>
    </row>
    <row r="537" spans="2:2">
      <c r="B537" s="435" t="b">
        <f t="shared" si="8"/>
        <v>0</v>
      </c>
    </row>
    <row r="538" spans="2:2">
      <c r="B538" s="435" t="b">
        <f t="shared" si="8"/>
        <v>0</v>
      </c>
    </row>
    <row r="539" spans="2:2">
      <c r="B539" s="435" t="b">
        <f t="shared" si="8"/>
        <v>0</v>
      </c>
    </row>
    <row r="540" spans="2:2">
      <c r="B540" s="435" t="b">
        <f t="shared" si="8"/>
        <v>0</v>
      </c>
    </row>
    <row r="541" spans="2:2">
      <c r="B541" s="435" t="b">
        <f t="shared" si="8"/>
        <v>0</v>
      </c>
    </row>
    <row r="542" spans="2:2">
      <c r="B542" s="435" t="b">
        <f t="shared" si="8"/>
        <v>0</v>
      </c>
    </row>
    <row r="543" spans="2:2">
      <c r="B543" s="435" t="b">
        <f t="shared" si="8"/>
        <v>0</v>
      </c>
    </row>
    <row r="544" spans="2:2">
      <c r="B544" s="435" t="b">
        <f t="shared" si="8"/>
        <v>0</v>
      </c>
    </row>
    <row r="545" spans="2:2">
      <c r="B545" s="435" t="b">
        <f t="shared" si="8"/>
        <v>0</v>
      </c>
    </row>
    <row r="546" spans="2:2">
      <c r="B546" s="435" t="b">
        <f t="shared" si="8"/>
        <v>0</v>
      </c>
    </row>
    <row r="547" spans="2:2">
      <c r="B547" s="435" t="b">
        <f t="shared" si="8"/>
        <v>0</v>
      </c>
    </row>
    <row r="548" spans="2:2">
      <c r="B548" s="435" t="b">
        <f t="shared" si="8"/>
        <v>0</v>
      </c>
    </row>
    <row r="549" spans="2:2">
      <c r="B549" s="435" t="b">
        <f t="shared" si="8"/>
        <v>0</v>
      </c>
    </row>
    <row r="550" spans="2:2">
      <c r="B550" s="435" t="b">
        <f t="shared" si="8"/>
        <v>0</v>
      </c>
    </row>
    <row r="551" spans="2:2">
      <c r="B551" s="435" t="b">
        <f t="shared" si="8"/>
        <v>0</v>
      </c>
    </row>
    <row r="552" spans="2:2">
      <c r="B552" s="435" t="b">
        <f t="shared" si="8"/>
        <v>0</v>
      </c>
    </row>
    <row r="553" spans="2:2">
      <c r="B553" s="435" t="b">
        <f t="shared" si="8"/>
        <v>0</v>
      </c>
    </row>
    <row r="554" spans="2:2">
      <c r="B554" s="435" t="b">
        <f t="shared" si="8"/>
        <v>0</v>
      </c>
    </row>
    <row r="555" spans="2:2">
      <c r="B555" s="435" t="b">
        <f t="shared" si="8"/>
        <v>0</v>
      </c>
    </row>
    <row r="556" spans="2:2">
      <c r="B556" s="435" t="b">
        <f t="shared" si="8"/>
        <v>0</v>
      </c>
    </row>
    <row r="557" spans="2:2">
      <c r="B557" s="435" t="b">
        <f t="shared" si="8"/>
        <v>0</v>
      </c>
    </row>
    <row r="558" spans="2:2">
      <c r="B558" s="435" t="b">
        <f t="shared" si="8"/>
        <v>0</v>
      </c>
    </row>
    <row r="559" spans="2:2">
      <c r="B559" s="435" t="b">
        <f t="shared" si="8"/>
        <v>0</v>
      </c>
    </row>
    <row r="560" spans="2:2">
      <c r="B560" s="435" t="b">
        <f t="shared" si="8"/>
        <v>0</v>
      </c>
    </row>
    <row r="561" spans="2:2">
      <c r="B561" s="435" t="b">
        <f t="shared" si="8"/>
        <v>0</v>
      </c>
    </row>
    <row r="562" spans="2:2">
      <c r="B562" s="435" t="b">
        <f t="shared" si="8"/>
        <v>0</v>
      </c>
    </row>
    <row r="563" spans="2:2">
      <c r="B563" s="435" t="b">
        <f t="shared" si="8"/>
        <v>0</v>
      </c>
    </row>
    <row r="564" spans="2:2">
      <c r="B564" s="435" t="b">
        <f t="shared" si="8"/>
        <v>0</v>
      </c>
    </row>
    <row r="565" spans="2:2">
      <c r="B565" s="435" t="b">
        <f t="shared" si="8"/>
        <v>0</v>
      </c>
    </row>
    <row r="566" spans="2:2">
      <c r="B566" s="435" t="b">
        <f t="shared" si="8"/>
        <v>0</v>
      </c>
    </row>
    <row r="567" spans="2:2">
      <c r="B567" s="435" t="b">
        <f t="shared" si="8"/>
        <v>0</v>
      </c>
    </row>
    <row r="568" spans="2:2">
      <c r="B568" s="435" t="b">
        <f t="shared" si="8"/>
        <v>0</v>
      </c>
    </row>
    <row r="569" spans="2:2">
      <c r="B569" s="435" t="b">
        <f t="shared" si="8"/>
        <v>0</v>
      </c>
    </row>
    <row r="570" spans="2:2">
      <c r="B570" s="435" t="b">
        <f t="shared" si="8"/>
        <v>0</v>
      </c>
    </row>
    <row r="571" spans="2:2">
      <c r="B571" s="435" t="b">
        <f t="shared" si="8"/>
        <v>0</v>
      </c>
    </row>
    <row r="572" spans="2:2">
      <c r="B572" s="435" t="b">
        <f t="shared" si="8"/>
        <v>0</v>
      </c>
    </row>
    <row r="573" spans="2:2">
      <c r="B573" s="435" t="b">
        <f t="shared" si="8"/>
        <v>0</v>
      </c>
    </row>
    <row r="574" spans="2:2">
      <c r="B574" s="435" t="b">
        <f t="shared" si="8"/>
        <v>0</v>
      </c>
    </row>
    <row r="575" spans="2:2">
      <c r="B575" s="435" t="b">
        <f t="shared" si="8"/>
        <v>0</v>
      </c>
    </row>
    <row r="576" spans="2:2">
      <c r="B576" s="435" t="b">
        <f t="shared" si="8"/>
        <v>0</v>
      </c>
    </row>
    <row r="577" spans="2:2">
      <c r="B577" s="435" t="b">
        <f t="shared" si="8"/>
        <v>0</v>
      </c>
    </row>
    <row r="578" spans="2:2">
      <c r="B578" s="435" t="b">
        <f t="shared" ref="B578:B641" si="9">IF(A578=0,FALSE,(COUNTIF(A:A,A578)&gt;10))</f>
        <v>0</v>
      </c>
    </row>
    <row r="579" spans="2:2">
      <c r="B579" s="435" t="b">
        <f t="shared" si="9"/>
        <v>0</v>
      </c>
    </row>
    <row r="580" spans="2:2">
      <c r="B580" s="435" t="b">
        <f t="shared" si="9"/>
        <v>0</v>
      </c>
    </row>
    <row r="581" spans="2:2">
      <c r="B581" s="435" t="b">
        <f t="shared" si="9"/>
        <v>0</v>
      </c>
    </row>
    <row r="582" spans="2:2">
      <c r="B582" s="435" t="b">
        <f t="shared" si="9"/>
        <v>0</v>
      </c>
    </row>
    <row r="583" spans="2:2">
      <c r="B583" s="435" t="b">
        <f t="shared" si="9"/>
        <v>0</v>
      </c>
    </row>
    <row r="584" spans="2:2">
      <c r="B584" s="435" t="b">
        <f t="shared" si="9"/>
        <v>0</v>
      </c>
    </row>
    <row r="585" spans="2:2">
      <c r="B585" s="435" t="b">
        <f t="shared" si="9"/>
        <v>0</v>
      </c>
    </row>
    <row r="586" spans="2:2">
      <c r="B586" s="435" t="b">
        <f t="shared" si="9"/>
        <v>0</v>
      </c>
    </row>
    <row r="587" spans="2:2">
      <c r="B587" s="435" t="b">
        <f t="shared" si="9"/>
        <v>0</v>
      </c>
    </row>
    <row r="588" spans="2:2">
      <c r="B588" s="435" t="b">
        <f t="shared" si="9"/>
        <v>0</v>
      </c>
    </row>
    <row r="589" spans="2:2">
      <c r="B589" s="435" t="b">
        <f t="shared" si="9"/>
        <v>0</v>
      </c>
    </row>
    <row r="590" spans="2:2">
      <c r="B590" s="435" t="b">
        <f t="shared" si="9"/>
        <v>0</v>
      </c>
    </row>
    <row r="591" spans="2:2">
      <c r="B591" s="435" t="b">
        <f t="shared" si="9"/>
        <v>0</v>
      </c>
    </row>
    <row r="592" spans="2:2">
      <c r="B592" s="435" t="b">
        <f t="shared" si="9"/>
        <v>0</v>
      </c>
    </row>
    <row r="593" spans="2:2">
      <c r="B593" s="435" t="b">
        <f t="shared" si="9"/>
        <v>0</v>
      </c>
    </row>
    <row r="594" spans="2:2">
      <c r="B594" s="435" t="b">
        <f t="shared" si="9"/>
        <v>0</v>
      </c>
    </row>
    <row r="595" spans="2:2">
      <c r="B595" s="435" t="b">
        <f t="shared" si="9"/>
        <v>0</v>
      </c>
    </row>
    <row r="596" spans="2:2">
      <c r="B596" s="435" t="b">
        <f t="shared" si="9"/>
        <v>0</v>
      </c>
    </row>
    <row r="597" spans="2:2">
      <c r="B597" s="435" t="b">
        <f t="shared" si="9"/>
        <v>0</v>
      </c>
    </row>
    <row r="598" spans="2:2">
      <c r="B598" s="435" t="b">
        <f t="shared" si="9"/>
        <v>0</v>
      </c>
    </row>
    <row r="599" spans="2:2">
      <c r="B599" s="435" t="b">
        <f t="shared" si="9"/>
        <v>0</v>
      </c>
    </row>
    <row r="600" spans="2:2">
      <c r="B600" s="435" t="b">
        <f t="shared" si="9"/>
        <v>0</v>
      </c>
    </row>
    <row r="601" spans="2:2">
      <c r="B601" s="435" t="b">
        <f t="shared" si="9"/>
        <v>0</v>
      </c>
    </row>
    <row r="602" spans="2:2">
      <c r="B602" s="435" t="b">
        <f t="shared" si="9"/>
        <v>0</v>
      </c>
    </row>
    <row r="603" spans="2:2">
      <c r="B603" s="435" t="b">
        <f t="shared" si="9"/>
        <v>0</v>
      </c>
    </row>
    <row r="604" spans="2:2">
      <c r="B604" s="435" t="b">
        <f t="shared" si="9"/>
        <v>0</v>
      </c>
    </row>
    <row r="605" spans="2:2">
      <c r="B605" s="435" t="b">
        <f t="shared" si="9"/>
        <v>0</v>
      </c>
    </row>
    <row r="606" spans="2:2">
      <c r="B606" s="435" t="b">
        <f t="shared" si="9"/>
        <v>0</v>
      </c>
    </row>
    <row r="607" spans="2:2">
      <c r="B607" s="435" t="b">
        <f t="shared" si="9"/>
        <v>0</v>
      </c>
    </row>
    <row r="608" spans="2:2">
      <c r="B608" s="435" t="b">
        <f t="shared" si="9"/>
        <v>0</v>
      </c>
    </row>
    <row r="609" spans="2:2">
      <c r="B609" s="435" t="b">
        <f t="shared" si="9"/>
        <v>0</v>
      </c>
    </row>
    <row r="610" spans="2:2">
      <c r="B610" s="435" t="b">
        <f t="shared" si="9"/>
        <v>0</v>
      </c>
    </row>
    <row r="611" spans="2:2">
      <c r="B611" s="435" t="b">
        <f t="shared" si="9"/>
        <v>0</v>
      </c>
    </row>
    <row r="612" spans="2:2">
      <c r="B612" s="435" t="b">
        <f t="shared" si="9"/>
        <v>0</v>
      </c>
    </row>
    <row r="613" spans="2:2">
      <c r="B613" s="435" t="b">
        <f t="shared" si="9"/>
        <v>0</v>
      </c>
    </row>
    <row r="614" spans="2:2">
      <c r="B614" s="435" t="b">
        <f t="shared" si="9"/>
        <v>0</v>
      </c>
    </row>
    <row r="615" spans="2:2">
      <c r="B615" s="435" t="b">
        <f t="shared" si="9"/>
        <v>0</v>
      </c>
    </row>
    <row r="616" spans="2:2">
      <c r="B616" s="435" t="b">
        <f t="shared" si="9"/>
        <v>0</v>
      </c>
    </row>
    <row r="617" spans="2:2">
      <c r="B617" s="435" t="b">
        <f t="shared" si="9"/>
        <v>0</v>
      </c>
    </row>
    <row r="618" spans="2:2">
      <c r="B618" s="435" t="b">
        <f t="shared" si="9"/>
        <v>0</v>
      </c>
    </row>
    <row r="619" spans="2:2">
      <c r="B619" s="435" t="b">
        <f t="shared" si="9"/>
        <v>0</v>
      </c>
    </row>
    <row r="620" spans="2:2">
      <c r="B620" s="435" t="b">
        <f t="shared" si="9"/>
        <v>0</v>
      </c>
    </row>
    <row r="621" spans="2:2">
      <c r="B621" s="435" t="b">
        <f t="shared" si="9"/>
        <v>0</v>
      </c>
    </row>
    <row r="622" spans="2:2">
      <c r="B622" s="435" t="b">
        <f t="shared" si="9"/>
        <v>0</v>
      </c>
    </row>
    <row r="623" spans="2:2">
      <c r="B623" s="435" t="b">
        <f t="shared" si="9"/>
        <v>0</v>
      </c>
    </row>
    <row r="624" spans="2:2">
      <c r="B624" s="435" t="b">
        <f t="shared" si="9"/>
        <v>0</v>
      </c>
    </row>
    <row r="625" spans="2:2">
      <c r="B625" s="435" t="b">
        <f t="shared" si="9"/>
        <v>0</v>
      </c>
    </row>
    <row r="626" spans="2:2">
      <c r="B626" s="435" t="b">
        <f t="shared" si="9"/>
        <v>0</v>
      </c>
    </row>
    <row r="627" spans="2:2">
      <c r="B627" s="435" t="b">
        <f t="shared" si="9"/>
        <v>0</v>
      </c>
    </row>
    <row r="628" spans="2:2">
      <c r="B628" s="435" t="b">
        <f t="shared" si="9"/>
        <v>0</v>
      </c>
    </row>
    <row r="629" spans="2:2">
      <c r="B629" s="435" t="b">
        <f t="shared" si="9"/>
        <v>0</v>
      </c>
    </row>
    <row r="630" spans="2:2">
      <c r="B630" s="435" t="b">
        <f t="shared" si="9"/>
        <v>0</v>
      </c>
    </row>
    <row r="631" spans="2:2">
      <c r="B631" s="435" t="b">
        <f t="shared" si="9"/>
        <v>0</v>
      </c>
    </row>
    <row r="632" spans="2:2">
      <c r="B632" s="435" t="b">
        <f t="shared" si="9"/>
        <v>0</v>
      </c>
    </row>
    <row r="633" spans="2:2">
      <c r="B633" s="435" t="b">
        <f t="shared" si="9"/>
        <v>0</v>
      </c>
    </row>
    <row r="634" spans="2:2">
      <c r="B634" s="435" t="b">
        <f t="shared" si="9"/>
        <v>0</v>
      </c>
    </row>
    <row r="635" spans="2:2">
      <c r="B635" s="435" t="b">
        <f t="shared" si="9"/>
        <v>0</v>
      </c>
    </row>
    <row r="636" spans="2:2">
      <c r="B636" s="435" t="b">
        <f t="shared" si="9"/>
        <v>0</v>
      </c>
    </row>
    <row r="637" spans="2:2">
      <c r="B637" s="435" t="b">
        <f t="shared" si="9"/>
        <v>0</v>
      </c>
    </row>
    <row r="638" spans="2:2">
      <c r="B638" s="435" t="b">
        <f t="shared" si="9"/>
        <v>0</v>
      </c>
    </row>
    <row r="639" spans="2:2">
      <c r="B639" s="435" t="b">
        <f t="shared" si="9"/>
        <v>0</v>
      </c>
    </row>
    <row r="640" spans="2:2">
      <c r="B640" s="435" t="b">
        <f t="shared" si="9"/>
        <v>0</v>
      </c>
    </row>
    <row r="641" spans="2:2">
      <c r="B641" s="435" t="b">
        <f t="shared" si="9"/>
        <v>0</v>
      </c>
    </row>
    <row r="642" spans="2:2">
      <c r="B642" s="435" t="b">
        <f t="shared" ref="B642:B705" si="10">IF(A642=0,FALSE,(COUNTIF(A:A,A642)&gt;10))</f>
        <v>0</v>
      </c>
    </row>
    <row r="643" spans="2:2">
      <c r="B643" s="435" t="b">
        <f t="shared" si="10"/>
        <v>0</v>
      </c>
    </row>
    <row r="644" spans="2:2">
      <c r="B644" s="435" t="b">
        <f t="shared" si="10"/>
        <v>0</v>
      </c>
    </row>
    <row r="645" spans="2:2">
      <c r="B645" s="435" t="b">
        <f t="shared" si="10"/>
        <v>0</v>
      </c>
    </row>
    <row r="646" spans="2:2">
      <c r="B646" s="435" t="b">
        <f t="shared" si="10"/>
        <v>0</v>
      </c>
    </row>
    <row r="647" spans="2:2">
      <c r="B647" s="435" t="b">
        <f t="shared" si="10"/>
        <v>0</v>
      </c>
    </row>
    <row r="648" spans="2:2">
      <c r="B648" s="435" t="b">
        <f t="shared" si="10"/>
        <v>0</v>
      </c>
    </row>
    <row r="649" spans="2:2">
      <c r="B649" s="435" t="b">
        <f t="shared" si="10"/>
        <v>0</v>
      </c>
    </row>
    <row r="650" spans="2:2">
      <c r="B650" s="435" t="b">
        <f t="shared" si="10"/>
        <v>0</v>
      </c>
    </row>
    <row r="651" spans="2:2">
      <c r="B651" s="435" t="b">
        <f t="shared" si="10"/>
        <v>0</v>
      </c>
    </row>
    <row r="652" spans="2:2">
      <c r="B652" s="435" t="b">
        <f t="shared" si="10"/>
        <v>0</v>
      </c>
    </row>
    <row r="653" spans="2:2">
      <c r="B653" s="435" t="b">
        <f t="shared" si="10"/>
        <v>0</v>
      </c>
    </row>
    <row r="654" spans="2:2">
      <c r="B654" s="435" t="b">
        <f t="shared" si="10"/>
        <v>0</v>
      </c>
    </row>
    <row r="655" spans="2:2">
      <c r="B655" s="435" t="b">
        <f t="shared" si="10"/>
        <v>0</v>
      </c>
    </row>
    <row r="656" spans="2:2">
      <c r="B656" s="435" t="b">
        <f t="shared" si="10"/>
        <v>0</v>
      </c>
    </row>
    <row r="657" spans="2:2">
      <c r="B657" s="435" t="b">
        <f t="shared" si="10"/>
        <v>0</v>
      </c>
    </row>
    <row r="658" spans="2:2">
      <c r="B658" s="435" t="b">
        <f t="shared" si="10"/>
        <v>0</v>
      </c>
    </row>
    <row r="659" spans="2:2">
      <c r="B659" s="435" t="b">
        <f t="shared" si="10"/>
        <v>0</v>
      </c>
    </row>
    <row r="660" spans="2:2">
      <c r="B660" s="435" t="b">
        <f t="shared" si="10"/>
        <v>0</v>
      </c>
    </row>
    <row r="661" spans="2:2">
      <c r="B661" s="435" t="b">
        <f t="shared" si="10"/>
        <v>0</v>
      </c>
    </row>
    <row r="662" spans="2:2">
      <c r="B662" s="435" t="b">
        <f t="shared" si="10"/>
        <v>0</v>
      </c>
    </row>
    <row r="663" spans="2:2">
      <c r="B663" s="435" t="b">
        <f t="shared" si="10"/>
        <v>0</v>
      </c>
    </row>
    <row r="664" spans="2:2">
      <c r="B664" s="435" t="b">
        <f t="shared" si="10"/>
        <v>0</v>
      </c>
    </row>
    <row r="665" spans="2:2">
      <c r="B665" s="435" t="b">
        <f t="shared" si="10"/>
        <v>0</v>
      </c>
    </row>
    <row r="666" spans="2:2">
      <c r="B666" s="435" t="b">
        <f t="shared" si="10"/>
        <v>0</v>
      </c>
    </row>
    <row r="667" spans="2:2">
      <c r="B667" s="435" t="b">
        <f t="shared" si="10"/>
        <v>0</v>
      </c>
    </row>
    <row r="668" spans="2:2">
      <c r="B668" s="435" t="b">
        <f t="shared" si="10"/>
        <v>0</v>
      </c>
    </row>
    <row r="669" spans="2:2">
      <c r="B669" s="435" t="b">
        <f t="shared" si="10"/>
        <v>0</v>
      </c>
    </row>
    <row r="670" spans="2:2">
      <c r="B670" s="435" t="b">
        <f t="shared" si="10"/>
        <v>0</v>
      </c>
    </row>
    <row r="671" spans="2:2">
      <c r="B671" s="435" t="b">
        <f t="shared" si="10"/>
        <v>0</v>
      </c>
    </row>
    <row r="672" spans="2:2">
      <c r="B672" s="435" t="b">
        <f t="shared" si="10"/>
        <v>0</v>
      </c>
    </row>
    <row r="673" spans="2:2">
      <c r="B673" s="435" t="b">
        <f t="shared" si="10"/>
        <v>0</v>
      </c>
    </row>
    <row r="674" spans="2:2">
      <c r="B674" s="435" t="b">
        <f t="shared" si="10"/>
        <v>0</v>
      </c>
    </row>
    <row r="675" spans="2:2">
      <c r="B675" s="435" t="b">
        <f t="shared" si="10"/>
        <v>0</v>
      </c>
    </row>
    <row r="676" spans="2:2">
      <c r="B676" s="435" t="b">
        <f t="shared" si="10"/>
        <v>0</v>
      </c>
    </row>
    <row r="677" spans="2:2">
      <c r="B677" s="435" t="b">
        <f t="shared" si="10"/>
        <v>0</v>
      </c>
    </row>
    <row r="678" spans="2:2">
      <c r="B678" s="435" t="b">
        <f t="shared" si="10"/>
        <v>0</v>
      </c>
    </row>
    <row r="679" spans="2:2">
      <c r="B679" s="435" t="b">
        <f t="shared" si="10"/>
        <v>0</v>
      </c>
    </row>
    <row r="680" spans="2:2">
      <c r="B680" s="435" t="b">
        <f t="shared" si="10"/>
        <v>0</v>
      </c>
    </row>
    <row r="681" spans="2:2">
      <c r="B681" s="435" t="b">
        <f t="shared" si="10"/>
        <v>0</v>
      </c>
    </row>
    <row r="682" spans="2:2">
      <c r="B682" s="435" t="b">
        <f t="shared" si="10"/>
        <v>0</v>
      </c>
    </row>
    <row r="683" spans="2:2">
      <c r="B683" s="435" t="b">
        <f t="shared" si="10"/>
        <v>0</v>
      </c>
    </row>
    <row r="684" spans="2:2">
      <c r="B684" s="435" t="b">
        <f t="shared" si="10"/>
        <v>0</v>
      </c>
    </row>
    <row r="685" spans="2:2">
      <c r="B685" s="435" t="b">
        <f t="shared" si="10"/>
        <v>0</v>
      </c>
    </row>
    <row r="686" spans="2:2">
      <c r="B686" s="435" t="b">
        <f t="shared" si="10"/>
        <v>0</v>
      </c>
    </row>
    <row r="687" spans="2:2">
      <c r="B687" s="435" t="b">
        <f t="shared" si="10"/>
        <v>0</v>
      </c>
    </row>
    <row r="688" spans="2:2">
      <c r="B688" s="435" t="b">
        <f t="shared" si="10"/>
        <v>0</v>
      </c>
    </row>
    <row r="689" spans="2:2">
      <c r="B689" s="435" t="b">
        <f t="shared" si="10"/>
        <v>0</v>
      </c>
    </row>
    <row r="690" spans="2:2">
      <c r="B690" s="435" t="b">
        <f t="shared" si="10"/>
        <v>0</v>
      </c>
    </row>
    <row r="691" spans="2:2">
      <c r="B691" s="435" t="b">
        <f t="shared" si="10"/>
        <v>0</v>
      </c>
    </row>
    <row r="692" spans="2:2">
      <c r="B692" s="435" t="b">
        <f t="shared" si="10"/>
        <v>0</v>
      </c>
    </row>
    <row r="693" spans="2:2">
      <c r="B693" s="435" t="b">
        <f t="shared" si="10"/>
        <v>0</v>
      </c>
    </row>
    <row r="694" spans="2:2">
      <c r="B694" s="435" t="b">
        <f t="shared" si="10"/>
        <v>0</v>
      </c>
    </row>
    <row r="695" spans="2:2">
      <c r="B695" s="435" t="b">
        <f t="shared" si="10"/>
        <v>0</v>
      </c>
    </row>
    <row r="696" spans="2:2">
      <c r="B696" s="435" t="b">
        <f t="shared" si="10"/>
        <v>0</v>
      </c>
    </row>
    <row r="697" spans="2:2">
      <c r="B697" s="435" t="b">
        <f t="shared" si="10"/>
        <v>0</v>
      </c>
    </row>
    <row r="698" spans="2:2">
      <c r="B698" s="435" t="b">
        <f t="shared" si="10"/>
        <v>0</v>
      </c>
    </row>
    <row r="699" spans="2:2">
      <c r="B699" s="435" t="b">
        <f t="shared" si="10"/>
        <v>0</v>
      </c>
    </row>
    <row r="700" spans="2:2">
      <c r="B700" s="435" t="b">
        <f t="shared" si="10"/>
        <v>0</v>
      </c>
    </row>
    <row r="701" spans="2:2">
      <c r="B701" s="435" t="b">
        <f t="shared" si="10"/>
        <v>0</v>
      </c>
    </row>
    <row r="702" spans="2:2">
      <c r="B702" s="435" t="b">
        <f t="shared" si="10"/>
        <v>0</v>
      </c>
    </row>
    <row r="703" spans="2:2">
      <c r="B703" s="435" t="b">
        <f t="shared" si="10"/>
        <v>0</v>
      </c>
    </row>
    <row r="704" spans="2:2">
      <c r="B704" s="435" t="b">
        <f t="shared" si="10"/>
        <v>0</v>
      </c>
    </row>
    <row r="705" spans="2:2">
      <c r="B705" s="435" t="b">
        <f t="shared" si="10"/>
        <v>0</v>
      </c>
    </row>
    <row r="706" spans="2:2">
      <c r="B706" s="435" t="b">
        <f t="shared" ref="B706:B769" si="11">IF(A706=0,FALSE,(COUNTIF(A:A,A706)&gt;10))</f>
        <v>0</v>
      </c>
    </row>
    <row r="707" spans="2:2">
      <c r="B707" s="435" t="b">
        <f t="shared" si="11"/>
        <v>0</v>
      </c>
    </row>
    <row r="708" spans="2:2">
      <c r="B708" s="435" t="b">
        <f t="shared" si="11"/>
        <v>0</v>
      </c>
    </row>
    <row r="709" spans="2:2">
      <c r="B709" s="435" t="b">
        <f t="shared" si="11"/>
        <v>0</v>
      </c>
    </row>
    <row r="710" spans="2:2">
      <c r="B710" s="435" t="b">
        <f t="shared" si="11"/>
        <v>0</v>
      </c>
    </row>
    <row r="711" spans="2:2">
      <c r="B711" s="435" t="b">
        <f t="shared" si="11"/>
        <v>0</v>
      </c>
    </row>
    <row r="712" spans="2:2">
      <c r="B712" s="435" t="b">
        <f t="shared" si="11"/>
        <v>0</v>
      </c>
    </row>
    <row r="713" spans="2:2">
      <c r="B713" s="435" t="b">
        <f t="shared" si="11"/>
        <v>0</v>
      </c>
    </row>
    <row r="714" spans="2:2">
      <c r="B714" s="435" t="b">
        <f t="shared" si="11"/>
        <v>0</v>
      </c>
    </row>
    <row r="715" spans="2:2">
      <c r="B715" s="435" t="b">
        <f t="shared" si="11"/>
        <v>0</v>
      </c>
    </row>
    <row r="716" spans="2:2">
      <c r="B716" s="435" t="b">
        <f t="shared" si="11"/>
        <v>0</v>
      </c>
    </row>
    <row r="717" spans="2:2">
      <c r="B717" s="435" t="b">
        <f t="shared" si="11"/>
        <v>0</v>
      </c>
    </row>
    <row r="718" spans="2:2">
      <c r="B718" s="435" t="b">
        <f t="shared" si="11"/>
        <v>0</v>
      </c>
    </row>
    <row r="719" spans="2:2">
      <c r="B719" s="435" t="b">
        <f t="shared" si="11"/>
        <v>0</v>
      </c>
    </row>
    <row r="720" spans="2:2">
      <c r="B720" s="435" t="b">
        <f t="shared" si="11"/>
        <v>0</v>
      </c>
    </row>
    <row r="721" spans="2:2">
      <c r="B721" s="435" t="b">
        <f t="shared" si="11"/>
        <v>0</v>
      </c>
    </row>
    <row r="722" spans="2:2">
      <c r="B722" s="435" t="b">
        <f t="shared" si="11"/>
        <v>0</v>
      </c>
    </row>
    <row r="723" spans="2:2">
      <c r="B723" s="435" t="b">
        <f t="shared" si="11"/>
        <v>0</v>
      </c>
    </row>
    <row r="724" spans="2:2">
      <c r="B724" s="435" t="b">
        <f t="shared" si="11"/>
        <v>0</v>
      </c>
    </row>
    <row r="725" spans="2:2">
      <c r="B725" s="435" t="b">
        <f t="shared" si="11"/>
        <v>0</v>
      </c>
    </row>
    <row r="726" spans="2:2">
      <c r="B726" s="435" t="b">
        <f t="shared" si="11"/>
        <v>0</v>
      </c>
    </row>
    <row r="727" spans="2:2">
      <c r="B727" s="435" t="b">
        <f t="shared" si="11"/>
        <v>0</v>
      </c>
    </row>
    <row r="728" spans="2:2">
      <c r="B728" s="435" t="b">
        <f t="shared" si="11"/>
        <v>0</v>
      </c>
    </row>
    <row r="729" spans="2:2">
      <c r="B729" s="435" t="b">
        <f t="shared" si="11"/>
        <v>0</v>
      </c>
    </row>
    <row r="730" spans="2:2">
      <c r="B730" s="435" t="b">
        <f t="shared" si="11"/>
        <v>0</v>
      </c>
    </row>
    <row r="731" spans="2:2">
      <c r="B731" s="435" t="b">
        <f t="shared" si="11"/>
        <v>0</v>
      </c>
    </row>
    <row r="732" spans="2:2">
      <c r="B732" s="435" t="b">
        <f t="shared" si="11"/>
        <v>0</v>
      </c>
    </row>
    <row r="733" spans="2:2">
      <c r="B733" s="435" t="b">
        <f t="shared" si="11"/>
        <v>0</v>
      </c>
    </row>
    <row r="734" spans="2:2">
      <c r="B734" s="435" t="b">
        <f t="shared" si="11"/>
        <v>0</v>
      </c>
    </row>
    <row r="735" spans="2:2">
      <c r="B735" s="435" t="b">
        <f t="shared" si="11"/>
        <v>0</v>
      </c>
    </row>
    <row r="736" spans="2:2">
      <c r="B736" s="435" t="b">
        <f t="shared" si="11"/>
        <v>0</v>
      </c>
    </row>
    <row r="737" spans="2:2">
      <c r="B737" s="435" t="b">
        <f t="shared" si="11"/>
        <v>0</v>
      </c>
    </row>
    <row r="738" spans="2:2">
      <c r="B738" s="435" t="b">
        <f t="shared" si="11"/>
        <v>0</v>
      </c>
    </row>
    <row r="739" spans="2:2">
      <c r="B739" s="435" t="b">
        <f t="shared" si="11"/>
        <v>0</v>
      </c>
    </row>
    <row r="740" spans="2:2">
      <c r="B740" s="435" t="b">
        <f t="shared" si="11"/>
        <v>0</v>
      </c>
    </row>
    <row r="741" spans="2:2">
      <c r="B741" s="435" t="b">
        <f t="shared" si="11"/>
        <v>0</v>
      </c>
    </row>
    <row r="742" spans="2:2">
      <c r="B742" s="435" t="b">
        <f t="shared" si="11"/>
        <v>0</v>
      </c>
    </row>
    <row r="743" spans="2:2">
      <c r="B743" s="435" t="b">
        <f t="shared" si="11"/>
        <v>0</v>
      </c>
    </row>
    <row r="744" spans="2:2">
      <c r="B744" s="435" t="b">
        <f t="shared" si="11"/>
        <v>0</v>
      </c>
    </row>
    <row r="745" spans="2:2">
      <c r="B745" s="435" t="b">
        <f t="shared" si="11"/>
        <v>0</v>
      </c>
    </row>
    <row r="746" spans="2:2">
      <c r="B746" s="435" t="b">
        <f t="shared" si="11"/>
        <v>0</v>
      </c>
    </row>
    <row r="747" spans="2:2">
      <c r="B747" s="435" t="b">
        <f t="shared" si="11"/>
        <v>0</v>
      </c>
    </row>
    <row r="748" spans="2:2">
      <c r="B748" s="435" t="b">
        <f t="shared" si="11"/>
        <v>0</v>
      </c>
    </row>
    <row r="749" spans="2:2">
      <c r="B749" s="435" t="b">
        <f t="shared" si="11"/>
        <v>0</v>
      </c>
    </row>
    <row r="750" spans="2:2">
      <c r="B750" s="435" t="b">
        <f t="shared" si="11"/>
        <v>0</v>
      </c>
    </row>
    <row r="751" spans="2:2">
      <c r="B751" s="435" t="b">
        <f t="shared" si="11"/>
        <v>0</v>
      </c>
    </row>
    <row r="752" spans="2:2">
      <c r="B752" s="435" t="b">
        <f t="shared" si="11"/>
        <v>0</v>
      </c>
    </row>
    <row r="753" spans="2:2">
      <c r="B753" s="435" t="b">
        <f t="shared" si="11"/>
        <v>0</v>
      </c>
    </row>
    <row r="754" spans="2:2">
      <c r="B754" s="435" t="b">
        <f t="shared" si="11"/>
        <v>0</v>
      </c>
    </row>
    <row r="755" spans="2:2">
      <c r="B755" s="435" t="b">
        <f t="shared" si="11"/>
        <v>0</v>
      </c>
    </row>
    <row r="756" spans="2:2">
      <c r="B756" s="435" t="b">
        <f t="shared" si="11"/>
        <v>0</v>
      </c>
    </row>
    <row r="757" spans="2:2">
      <c r="B757" s="435" t="b">
        <f t="shared" si="11"/>
        <v>0</v>
      </c>
    </row>
    <row r="758" spans="2:2">
      <c r="B758" s="435" t="b">
        <f t="shared" si="11"/>
        <v>0</v>
      </c>
    </row>
    <row r="759" spans="2:2">
      <c r="B759" s="435" t="b">
        <f t="shared" si="11"/>
        <v>0</v>
      </c>
    </row>
    <row r="760" spans="2:2">
      <c r="B760" s="435" t="b">
        <f t="shared" si="11"/>
        <v>0</v>
      </c>
    </row>
    <row r="761" spans="2:2">
      <c r="B761" s="435" t="b">
        <f t="shared" si="11"/>
        <v>0</v>
      </c>
    </row>
    <row r="762" spans="2:2">
      <c r="B762" s="435" t="b">
        <f t="shared" si="11"/>
        <v>0</v>
      </c>
    </row>
    <row r="763" spans="2:2">
      <c r="B763" s="435" t="b">
        <f t="shared" si="11"/>
        <v>0</v>
      </c>
    </row>
    <row r="764" spans="2:2">
      <c r="B764" s="435" t="b">
        <f t="shared" si="11"/>
        <v>0</v>
      </c>
    </row>
    <row r="765" spans="2:2">
      <c r="B765" s="435" t="b">
        <f t="shared" si="11"/>
        <v>0</v>
      </c>
    </row>
    <row r="766" spans="2:2">
      <c r="B766" s="435" t="b">
        <f t="shared" si="11"/>
        <v>0</v>
      </c>
    </row>
    <row r="767" spans="2:2">
      <c r="B767" s="435" t="b">
        <f t="shared" si="11"/>
        <v>0</v>
      </c>
    </row>
    <row r="768" spans="2:2">
      <c r="B768" s="435" t="b">
        <f t="shared" si="11"/>
        <v>0</v>
      </c>
    </row>
    <row r="769" spans="2:2">
      <c r="B769" s="435" t="b">
        <f t="shared" si="11"/>
        <v>0</v>
      </c>
    </row>
    <row r="770" spans="2:2">
      <c r="B770" s="435" t="b">
        <f t="shared" ref="B770:B833" si="12">IF(A770=0,FALSE,(COUNTIF(A:A,A770)&gt;10))</f>
        <v>0</v>
      </c>
    </row>
    <row r="771" spans="2:2">
      <c r="B771" s="435" t="b">
        <f t="shared" si="12"/>
        <v>0</v>
      </c>
    </row>
    <row r="772" spans="2:2">
      <c r="B772" s="435" t="b">
        <f t="shared" si="12"/>
        <v>0</v>
      </c>
    </row>
    <row r="773" spans="2:2">
      <c r="B773" s="435" t="b">
        <f t="shared" si="12"/>
        <v>0</v>
      </c>
    </row>
    <row r="774" spans="2:2">
      <c r="B774" s="435" t="b">
        <f t="shared" si="12"/>
        <v>0</v>
      </c>
    </row>
    <row r="775" spans="2:2">
      <c r="B775" s="435" t="b">
        <f t="shared" si="12"/>
        <v>0</v>
      </c>
    </row>
    <row r="776" spans="2:2">
      <c r="B776" s="435" t="b">
        <f t="shared" si="12"/>
        <v>0</v>
      </c>
    </row>
    <row r="777" spans="2:2">
      <c r="B777" s="435" t="b">
        <f t="shared" si="12"/>
        <v>0</v>
      </c>
    </row>
    <row r="778" spans="2:2">
      <c r="B778" s="435" t="b">
        <f t="shared" si="12"/>
        <v>0</v>
      </c>
    </row>
    <row r="779" spans="2:2">
      <c r="B779" s="435" t="b">
        <f t="shared" si="12"/>
        <v>0</v>
      </c>
    </row>
    <row r="780" spans="2:2">
      <c r="B780" s="435" t="b">
        <f t="shared" si="12"/>
        <v>0</v>
      </c>
    </row>
    <row r="781" spans="2:2">
      <c r="B781" s="435" t="b">
        <f t="shared" si="12"/>
        <v>0</v>
      </c>
    </row>
    <row r="782" spans="2:2">
      <c r="B782" s="435" t="b">
        <f t="shared" si="12"/>
        <v>0</v>
      </c>
    </row>
    <row r="783" spans="2:2">
      <c r="B783" s="435" t="b">
        <f t="shared" si="12"/>
        <v>0</v>
      </c>
    </row>
    <row r="784" spans="2:2">
      <c r="B784" s="435" t="b">
        <f t="shared" si="12"/>
        <v>0</v>
      </c>
    </row>
    <row r="785" spans="2:2">
      <c r="B785" s="435" t="b">
        <f t="shared" si="12"/>
        <v>0</v>
      </c>
    </row>
    <row r="786" spans="2:2">
      <c r="B786" s="435" t="b">
        <f t="shared" si="12"/>
        <v>0</v>
      </c>
    </row>
    <row r="787" spans="2:2">
      <c r="B787" s="435" t="b">
        <f t="shared" si="12"/>
        <v>0</v>
      </c>
    </row>
    <row r="788" spans="2:2">
      <c r="B788" s="435" t="b">
        <f t="shared" si="12"/>
        <v>0</v>
      </c>
    </row>
    <row r="789" spans="2:2">
      <c r="B789" s="435" t="b">
        <f t="shared" si="12"/>
        <v>0</v>
      </c>
    </row>
    <row r="790" spans="2:2">
      <c r="B790" s="435" t="b">
        <f t="shared" si="12"/>
        <v>0</v>
      </c>
    </row>
    <row r="791" spans="2:2">
      <c r="B791" s="435" t="b">
        <f t="shared" si="12"/>
        <v>0</v>
      </c>
    </row>
    <row r="792" spans="2:2">
      <c r="B792" s="435" t="b">
        <f t="shared" si="12"/>
        <v>0</v>
      </c>
    </row>
    <row r="793" spans="2:2">
      <c r="B793" s="435" t="b">
        <f t="shared" si="12"/>
        <v>0</v>
      </c>
    </row>
    <row r="794" spans="2:2">
      <c r="B794" s="435" t="b">
        <f t="shared" si="12"/>
        <v>0</v>
      </c>
    </row>
    <row r="795" spans="2:2">
      <c r="B795" s="435" t="b">
        <f t="shared" si="12"/>
        <v>0</v>
      </c>
    </row>
    <row r="796" spans="2:2">
      <c r="B796" s="435" t="b">
        <f t="shared" si="12"/>
        <v>0</v>
      </c>
    </row>
    <row r="797" spans="2:2">
      <c r="B797" s="435" t="b">
        <f t="shared" si="12"/>
        <v>0</v>
      </c>
    </row>
    <row r="798" spans="2:2">
      <c r="B798" s="435" t="b">
        <f t="shared" si="12"/>
        <v>0</v>
      </c>
    </row>
    <row r="799" spans="2:2">
      <c r="B799" s="435" t="b">
        <f t="shared" si="12"/>
        <v>0</v>
      </c>
    </row>
    <row r="800" spans="2:2">
      <c r="B800" s="435" t="b">
        <f t="shared" si="12"/>
        <v>0</v>
      </c>
    </row>
    <row r="801" spans="1:3">
      <c r="B801" s="435" t="b">
        <f t="shared" si="12"/>
        <v>0</v>
      </c>
    </row>
    <row r="802" spans="1:3">
      <c r="B802" s="435" t="b">
        <f t="shared" si="12"/>
        <v>0</v>
      </c>
    </row>
    <row r="803" spans="1:3">
      <c r="B803" s="435" t="b">
        <f t="shared" si="12"/>
        <v>0</v>
      </c>
    </row>
    <row r="804" spans="1:3">
      <c r="A804" s="552"/>
      <c r="B804" s="435" t="b">
        <f t="shared" si="12"/>
        <v>0</v>
      </c>
      <c r="C804" s="552" t="s">
        <v>729</v>
      </c>
    </row>
    <row r="805" spans="1:3">
      <c r="B805" s="435" t="b">
        <f t="shared" si="12"/>
        <v>0</v>
      </c>
    </row>
    <row r="806" spans="1:3">
      <c r="B806" s="435" t="b">
        <f t="shared" si="12"/>
        <v>0</v>
      </c>
    </row>
    <row r="807" spans="1:3">
      <c r="B807" s="435" t="b">
        <f t="shared" si="12"/>
        <v>0</v>
      </c>
    </row>
    <row r="808" spans="1:3">
      <c r="A808" s="435" cm="1">
        <f t="array" ref="A808:A829">HIST_Graphname_Controller</f>
        <v>0</v>
      </c>
      <c r="B808" s="435" t="b">
        <f t="shared" si="12"/>
        <v>0</v>
      </c>
    </row>
    <row r="809" spans="1:3">
      <c r="A809" s="435">
        <v>0</v>
      </c>
      <c r="B809" s="435" t="b">
        <f t="shared" si="12"/>
        <v>0</v>
      </c>
    </row>
    <row r="810" spans="1:3">
      <c r="A810" s="435">
        <v>0</v>
      </c>
      <c r="B810" s="435" t="b">
        <f t="shared" si="12"/>
        <v>0</v>
      </c>
    </row>
    <row r="811" spans="1:3">
      <c r="A811" s="435">
        <v>0</v>
      </c>
      <c r="B811" s="435" t="b">
        <f t="shared" si="12"/>
        <v>0</v>
      </c>
    </row>
    <row r="812" spans="1:3">
      <c r="A812" s="435">
        <v>0</v>
      </c>
      <c r="B812" s="435" t="b">
        <f t="shared" si="12"/>
        <v>0</v>
      </c>
    </row>
    <row r="813" spans="1:3">
      <c r="A813" s="435">
        <v>0</v>
      </c>
      <c r="B813" s="435" t="b">
        <f t="shared" si="12"/>
        <v>0</v>
      </c>
    </row>
    <row r="814" spans="1:3">
      <c r="A814" s="435">
        <v>0</v>
      </c>
      <c r="B814" s="435" t="b">
        <f t="shared" si="12"/>
        <v>0</v>
      </c>
    </row>
    <row r="815" spans="1:3">
      <c r="A815" s="435">
        <v>0</v>
      </c>
      <c r="B815" s="435" t="b">
        <f t="shared" si="12"/>
        <v>0</v>
      </c>
    </row>
    <row r="816" spans="1:3">
      <c r="A816" s="435">
        <v>0</v>
      </c>
      <c r="B816" s="435" t="b">
        <f t="shared" si="12"/>
        <v>0</v>
      </c>
    </row>
    <row r="817" spans="1:2">
      <c r="A817" s="435">
        <v>0</v>
      </c>
      <c r="B817" s="435" t="b">
        <f t="shared" si="12"/>
        <v>0</v>
      </c>
    </row>
    <row r="818" spans="1:2">
      <c r="A818" s="435">
        <v>0</v>
      </c>
      <c r="B818" s="435" t="b">
        <f t="shared" si="12"/>
        <v>0</v>
      </c>
    </row>
    <row r="819" spans="1:2">
      <c r="A819" s="435">
        <v>0</v>
      </c>
      <c r="B819" s="435" t="b">
        <f t="shared" si="12"/>
        <v>0</v>
      </c>
    </row>
    <row r="820" spans="1:2">
      <c r="A820" s="435">
        <v>0</v>
      </c>
      <c r="B820" s="435" t="b">
        <f t="shared" si="12"/>
        <v>0</v>
      </c>
    </row>
    <row r="821" spans="1:2">
      <c r="A821" s="435">
        <v>0</v>
      </c>
      <c r="B821" s="435" t="b">
        <f t="shared" si="12"/>
        <v>0</v>
      </c>
    </row>
    <row r="822" spans="1:2">
      <c r="A822" s="435">
        <v>0</v>
      </c>
      <c r="B822" s="435" t="b">
        <f t="shared" si="12"/>
        <v>0</v>
      </c>
    </row>
    <row r="823" spans="1:2">
      <c r="A823" s="435">
        <v>0</v>
      </c>
      <c r="B823" s="435" t="b">
        <f t="shared" si="12"/>
        <v>0</v>
      </c>
    </row>
    <row r="824" spans="1:2">
      <c r="A824" s="435">
        <v>0</v>
      </c>
      <c r="B824" s="435" t="b">
        <f t="shared" si="12"/>
        <v>0</v>
      </c>
    </row>
    <row r="825" spans="1:2">
      <c r="A825" s="435">
        <v>0</v>
      </c>
      <c r="B825" s="435" t="b">
        <f t="shared" si="12"/>
        <v>0</v>
      </c>
    </row>
    <row r="826" spans="1:2">
      <c r="A826" s="435">
        <v>0</v>
      </c>
      <c r="B826" s="435" t="b">
        <f t="shared" si="12"/>
        <v>0</v>
      </c>
    </row>
    <row r="827" spans="1:2">
      <c r="A827" s="435">
        <v>0</v>
      </c>
      <c r="B827" s="435" t="b">
        <f t="shared" si="12"/>
        <v>0</v>
      </c>
    </row>
    <row r="828" spans="1:2">
      <c r="A828" s="435">
        <v>0</v>
      </c>
      <c r="B828" s="435" t="b">
        <f t="shared" si="12"/>
        <v>0</v>
      </c>
    </row>
    <row r="829" spans="1:2">
      <c r="A829" s="435">
        <v>0</v>
      </c>
      <c r="B829" s="435" t="b">
        <f t="shared" si="12"/>
        <v>0</v>
      </c>
    </row>
    <row r="830" spans="1:2">
      <c r="B830" s="435" t="b">
        <f t="shared" si="12"/>
        <v>0</v>
      </c>
    </row>
    <row r="831" spans="1:2">
      <c r="B831" s="435" t="b">
        <f t="shared" si="12"/>
        <v>0</v>
      </c>
    </row>
    <row r="832" spans="1:2">
      <c r="B832" s="435" t="b">
        <f t="shared" si="12"/>
        <v>0</v>
      </c>
    </row>
    <row r="833" spans="2:2">
      <c r="B833" s="435" t="b">
        <f t="shared" si="12"/>
        <v>0</v>
      </c>
    </row>
    <row r="834" spans="2:2">
      <c r="B834" s="435" t="b">
        <f t="shared" ref="B834:B897" si="13">IF(A834=0,FALSE,(COUNTIF(A:A,A834)&gt;10))</f>
        <v>0</v>
      </c>
    </row>
    <row r="835" spans="2:2">
      <c r="B835" s="435" t="b">
        <f t="shared" si="13"/>
        <v>0</v>
      </c>
    </row>
    <row r="836" spans="2:2">
      <c r="B836" s="435" t="b">
        <f t="shared" si="13"/>
        <v>0</v>
      </c>
    </row>
    <row r="837" spans="2:2">
      <c r="B837" s="435" t="b">
        <f t="shared" si="13"/>
        <v>0</v>
      </c>
    </row>
    <row r="838" spans="2:2">
      <c r="B838" s="435" t="b">
        <f t="shared" si="13"/>
        <v>0</v>
      </c>
    </row>
    <row r="839" spans="2:2">
      <c r="B839" s="435" t="b">
        <f t="shared" si="13"/>
        <v>0</v>
      </c>
    </row>
    <row r="840" spans="2:2">
      <c r="B840" s="435" t="b">
        <f t="shared" si="13"/>
        <v>0</v>
      </c>
    </row>
    <row r="841" spans="2:2">
      <c r="B841" s="435" t="b">
        <f t="shared" si="13"/>
        <v>0</v>
      </c>
    </row>
    <row r="842" spans="2:2">
      <c r="B842" s="435" t="b">
        <f t="shared" si="13"/>
        <v>0</v>
      </c>
    </row>
    <row r="843" spans="2:2">
      <c r="B843" s="435" t="b">
        <f t="shared" si="13"/>
        <v>0</v>
      </c>
    </row>
    <row r="844" spans="2:2">
      <c r="B844" s="435" t="b">
        <f t="shared" si="13"/>
        <v>0</v>
      </c>
    </row>
    <row r="845" spans="2:2">
      <c r="B845" s="435" t="b">
        <f t="shared" si="13"/>
        <v>0</v>
      </c>
    </row>
    <row r="846" spans="2:2">
      <c r="B846" s="435" t="b">
        <f t="shared" si="13"/>
        <v>0</v>
      </c>
    </row>
    <row r="847" spans="2:2">
      <c r="B847" s="435" t="b">
        <f t="shared" si="13"/>
        <v>0</v>
      </c>
    </row>
    <row r="848" spans="2:2">
      <c r="B848" s="435" t="b">
        <f t="shared" si="13"/>
        <v>0</v>
      </c>
    </row>
    <row r="849" spans="2:2">
      <c r="B849" s="435" t="b">
        <f t="shared" si="13"/>
        <v>0</v>
      </c>
    </row>
    <row r="850" spans="2:2">
      <c r="B850" s="435" t="b">
        <f t="shared" si="13"/>
        <v>0</v>
      </c>
    </row>
    <row r="851" spans="2:2">
      <c r="B851" s="435" t="b">
        <f t="shared" si="13"/>
        <v>0</v>
      </c>
    </row>
    <row r="852" spans="2:2">
      <c r="B852" s="435" t="b">
        <f t="shared" si="13"/>
        <v>0</v>
      </c>
    </row>
    <row r="853" spans="2:2">
      <c r="B853" s="435" t="b">
        <f t="shared" si="13"/>
        <v>0</v>
      </c>
    </row>
    <row r="854" spans="2:2">
      <c r="B854" s="435" t="b">
        <f t="shared" si="13"/>
        <v>0</v>
      </c>
    </row>
    <row r="855" spans="2:2">
      <c r="B855" s="435" t="b">
        <f t="shared" si="13"/>
        <v>0</v>
      </c>
    </row>
    <row r="856" spans="2:2">
      <c r="B856" s="435" t="b">
        <f t="shared" si="13"/>
        <v>0</v>
      </c>
    </row>
    <row r="857" spans="2:2">
      <c r="B857" s="435" t="b">
        <f t="shared" si="13"/>
        <v>0</v>
      </c>
    </row>
    <row r="858" spans="2:2">
      <c r="B858" s="435" t="b">
        <f t="shared" si="13"/>
        <v>0</v>
      </c>
    </row>
    <row r="859" spans="2:2">
      <c r="B859" s="435" t="b">
        <f t="shared" si="13"/>
        <v>0</v>
      </c>
    </row>
    <row r="860" spans="2:2">
      <c r="B860" s="435" t="b">
        <f t="shared" si="13"/>
        <v>0</v>
      </c>
    </row>
    <row r="861" spans="2:2">
      <c r="B861" s="435" t="b">
        <f t="shared" si="13"/>
        <v>0</v>
      </c>
    </row>
    <row r="862" spans="2:2">
      <c r="B862" s="435" t="b">
        <f t="shared" si="13"/>
        <v>0</v>
      </c>
    </row>
    <row r="863" spans="2:2">
      <c r="B863" s="435" t="b">
        <f t="shared" si="13"/>
        <v>0</v>
      </c>
    </row>
    <row r="864" spans="2:2">
      <c r="B864" s="435" t="b">
        <f t="shared" si="13"/>
        <v>0</v>
      </c>
    </row>
    <row r="865" spans="2:2">
      <c r="B865" s="435" t="b">
        <f t="shared" si="13"/>
        <v>0</v>
      </c>
    </row>
    <row r="866" spans="2:2">
      <c r="B866" s="435" t="b">
        <f t="shared" si="13"/>
        <v>0</v>
      </c>
    </row>
    <row r="867" spans="2:2">
      <c r="B867" s="435" t="b">
        <f t="shared" si="13"/>
        <v>0</v>
      </c>
    </row>
    <row r="868" spans="2:2">
      <c r="B868" s="435" t="b">
        <f t="shared" si="13"/>
        <v>0</v>
      </c>
    </row>
    <row r="869" spans="2:2">
      <c r="B869" s="435" t="b">
        <f t="shared" si="13"/>
        <v>0</v>
      </c>
    </row>
    <row r="870" spans="2:2">
      <c r="B870" s="435" t="b">
        <f t="shared" si="13"/>
        <v>0</v>
      </c>
    </row>
    <row r="871" spans="2:2">
      <c r="B871" s="435" t="b">
        <f t="shared" si="13"/>
        <v>0</v>
      </c>
    </row>
    <row r="872" spans="2:2">
      <c r="B872" s="435" t="b">
        <f t="shared" si="13"/>
        <v>0</v>
      </c>
    </row>
    <row r="873" spans="2:2">
      <c r="B873" s="435" t="b">
        <f t="shared" si="13"/>
        <v>0</v>
      </c>
    </row>
    <row r="874" spans="2:2">
      <c r="B874" s="435" t="b">
        <f t="shared" si="13"/>
        <v>0</v>
      </c>
    </row>
    <row r="875" spans="2:2">
      <c r="B875" s="435" t="b">
        <f t="shared" si="13"/>
        <v>0</v>
      </c>
    </row>
    <row r="876" spans="2:2">
      <c r="B876" s="435" t="b">
        <f t="shared" si="13"/>
        <v>0</v>
      </c>
    </row>
    <row r="877" spans="2:2">
      <c r="B877" s="435" t="b">
        <f t="shared" si="13"/>
        <v>0</v>
      </c>
    </row>
    <row r="878" spans="2:2">
      <c r="B878" s="435" t="b">
        <f t="shared" si="13"/>
        <v>0</v>
      </c>
    </row>
    <row r="879" spans="2:2">
      <c r="B879" s="435" t="b">
        <f t="shared" si="13"/>
        <v>0</v>
      </c>
    </row>
    <row r="880" spans="2:2">
      <c r="B880" s="435" t="b">
        <f t="shared" si="13"/>
        <v>0</v>
      </c>
    </row>
    <row r="881" spans="2:2">
      <c r="B881" s="435" t="b">
        <f t="shared" si="13"/>
        <v>0</v>
      </c>
    </row>
    <row r="882" spans="2:2">
      <c r="B882" s="435" t="b">
        <f t="shared" si="13"/>
        <v>0</v>
      </c>
    </row>
    <row r="883" spans="2:2">
      <c r="B883" s="435" t="b">
        <f t="shared" si="13"/>
        <v>0</v>
      </c>
    </row>
    <row r="884" spans="2:2">
      <c r="B884" s="435" t="b">
        <f t="shared" si="13"/>
        <v>0</v>
      </c>
    </row>
    <row r="885" spans="2:2">
      <c r="B885" s="435" t="b">
        <f t="shared" si="13"/>
        <v>0</v>
      </c>
    </row>
    <row r="886" spans="2:2">
      <c r="B886" s="435" t="b">
        <f t="shared" si="13"/>
        <v>0</v>
      </c>
    </row>
    <row r="887" spans="2:2">
      <c r="B887" s="435" t="b">
        <f t="shared" si="13"/>
        <v>0</v>
      </c>
    </row>
    <row r="888" spans="2:2">
      <c r="B888" s="435" t="b">
        <f t="shared" si="13"/>
        <v>0</v>
      </c>
    </row>
    <row r="889" spans="2:2">
      <c r="B889" s="435" t="b">
        <f t="shared" si="13"/>
        <v>0</v>
      </c>
    </row>
    <row r="890" spans="2:2">
      <c r="B890" s="435" t="b">
        <f t="shared" si="13"/>
        <v>0</v>
      </c>
    </row>
    <row r="891" spans="2:2">
      <c r="B891" s="435" t="b">
        <f t="shared" si="13"/>
        <v>0</v>
      </c>
    </row>
    <row r="892" spans="2:2">
      <c r="B892" s="435" t="b">
        <f t="shared" si="13"/>
        <v>0</v>
      </c>
    </row>
    <row r="893" spans="2:2">
      <c r="B893" s="435" t="b">
        <f t="shared" si="13"/>
        <v>0</v>
      </c>
    </row>
    <row r="894" spans="2:2">
      <c r="B894" s="435" t="b">
        <f t="shared" si="13"/>
        <v>0</v>
      </c>
    </row>
    <row r="895" spans="2:2">
      <c r="B895" s="435" t="b">
        <f t="shared" si="13"/>
        <v>0</v>
      </c>
    </row>
    <row r="896" spans="2:2">
      <c r="B896" s="435" t="b">
        <f t="shared" si="13"/>
        <v>0</v>
      </c>
    </row>
    <row r="897" spans="2:2">
      <c r="B897" s="435" t="b">
        <f t="shared" si="13"/>
        <v>0</v>
      </c>
    </row>
    <row r="898" spans="2:2">
      <c r="B898" s="435" t="b">
        <f t="shared" ref="B898:B961" si="14">IF(A898=0,FALSE,(COUNTIF(A:A,A898)&gt;10))</f>
        <v>0</v>
      </c>
    </row>
    <row r="899" spans="2:2">
      <c r="B899" s="435" t="b">
        <f t="shared" si="14"/>
        <v>0</v>
      </c>
    </row>
    <row r="900" spans="2:2">
      <c r="B900" s="435" t="b">
        <f t="shared" si="14"/>
        <v>0</v>
      </c>
    </row>
    <row r="901" spans="2:2">
      <c r="B901" s="435" t="b">
        <f t="shared" si="14"/>
        <v>0</v>
      </c>
    </row>
    <row r="902" spans="2:2">
      <c r="B902" s="435" t="b">
        <f t="shared" si="14"/>
        <v>0</v>
      </c>
    </row>
    <row r="903" spans="2:2">
      <c r="B903" s="435" t="b">
        <f t="shared" si="14"/>
        <v>0</v>
      </c>
    </row>
    <row r="904" spans="2:2">
      <c r="B904" s="435" t="b">
        <f t="shared" si="14"/>
        <v>0</v>
      </c>
    </row>
    <row r="905" spans="2:2">
      <c r="B905" s="435" t="b">
        <f t="shared" si="14"/>
        <v>0</v>
      </c>
    </row>
    <row r="906" spans="2:2">
      <c r="B906" s="435" t="b">
        <f t="shared" si="14"/>
        <v>0</v>
      </c>
    </row>
    <row r="907" spans="2:2">
      <c r="B907" s="435" t="b">
        <f t="shared" si="14"/>
        <v>0</v>
      </c>
    </row>
    <row r="908" spans="2:2">
      <c r="B908" s="435" t="b">
        <f t="shared" si="14"/>
        <v>0</v>
      </c>
    </row>
    <row r="909" spans="2:2">
      <c r="B909" s="435" t="b">
        <f t="shared" si="14"/>
        <v>0</v>
      </c>
    </row>
    <row r="910" spans="2:2">
      <c r="B910" s="435" t="b">
        <f t="shared" si="14"/>
        <v>0</v>
      </c>
    </row>
    <row r="911" spans="2:2">
      <c r="B911" s="435" t="b">
        <f t="shared" si="14"/>
        <v>0</v>
      </c>
    </row>
    <row r="912" spans="2:2">
      <c r="B912" s="435" t="b">
        <f t="shared" si="14"/>
        <v>0</v>
      </c>
    </row>
    <row r="913" spans="2:2">
      <c r="B913" s="435" t="b">
        <f t="shared" si="14"/>
        <v>0</v>
      </c>
    </row>
    <row r="914" spans="2:2">
      <c r="B914" s="435" t="b">
        <f t="shared" si="14"/>
        <v>0</v>
      </c>
    </row>
    <row r="915" spans="2:2">
      <c r="B915" s="435" t="b">
        <f t="shared" si="14"/>
        <v>0</v>
      </c>
    </row>
    <row r="916" spans="2:2">
      <c r="B916" s="435" t="b">
        <f t="shared" si="14"/>
        <v>0</v>
      </c>
    </row>
    <row r="917" spans="2:2">
      <c r="B917" s="435" t="b">
        <f t="shared" si="14"/>
        <v>0</v>
      </c>
    </row>
    <row r="918" spans="2:2">
      <c r="B918" s="435" t="b">
        <f t="shared" si="14"/>
        <v>0</v>
      </c>
    </row>
    <row r="919" spans="2:2">
      <c r="B919" s="435" t="b">
        <f t="shared" si="14"/>
        <v>0</v>
      </c>
    </row>
    <row r="920" spans="2:2">
      <c r="B920" s="435" t="b">
        <f t="shared" si="14"/>
        <v>0</v>
      </c>
    </row>
    <row r="921" spans="2:2">
      <c r="B921" s="435" t="b">
        <f t="shared" si="14"/>
        <v>0</v>
      </c>
    </row>
    <row r="922" spans="2:2">
      <c r="B922" s="435" t="b">
        <f t="shared" si="14"/>
        <v>0</v>
      </c>
    </row>
    <row r="923" spans="2:2">
      <c r="B923" s="435" t="b">
        <f t="shared" si="14"/>
        <v>0</v>
      </c>
    </row>
    <row r="924" spans="2:2">
      <c r="B924" s="435" t="b">
        <f t="shared" si="14"/>
        <v>0</v>
      </c>
    </row>
    <row r="925" spans="2:2">
      <c r="B925" s="435" t="b">
        <f t="shared" si="14"/>
        <v>0</v>
      </c>
    </row>
    <row r="926" spans="2:2">
      <c r="B926" s="435" t="b">
        <f t="shared" si="14"/>
        <v>0</v>
      </c>
    </row>
    <row r="927" spans="2:2">
      <c r="B927" s="435" t="b">
        <f t="shared" si="14"/>
        <v>0</v>
      </c>
    </row>
    <row r="928" spans="2:2">
      <c r="B928" s="435" t="b">
        <f t="shared" si="14"/>
        <v>0</v>
      </c>
    </row>
    <row r="929" spans="2:2">
      <c r="B929" s="435" t="b">
        <f t="shared" si="14"/>
        <v>0</v>
      </c>
    </row>
    <row r="930" spans="2:2">
      <c r="B930" s="435" t="b">
        <f t="shared" si="14"/>
        <v>0</v>
      </c>
    </row>
    <row r="931" spans="2:2">
      <c r="B931" s="435" t="b">
        <f t="shared" si="14"/>
        <v>0</v>
      </c>
    </row>
    <row r="932" spans="2:2">
      <c r="B932" s="435" t="b">
        <f t="shared" si="14"/>
        <v>0</v>
      </c>
    </row>
    <row r="933" spans="2:2">
      <c r="B933" s="435" t="b">
        <f t="shared" si="14"/>
        <v>0</v>
      </c>
    </row>
    <row r="934" spans="2:2">
      <c r="B934" s="435" t="b">
        <f t="shared" si="14"/>
        <v>0</v>
      </c>
    </row>
    <row r="935" spans="2:2">
      <c r="B935" s="435" t="b">
        <f t="shared" si="14"/>
        <v>0</v>
      </c>
    </row>
    <row r="936" spans="2:2">
      <c r="B936" s="435" t="b">
        <f t="shared" si="14"/>
        <v>0</v>
      </c>
    </row>
    <row r="937" spans="2:2">
      <c r="B937" s="435" t="b">
        <f t="shared" si="14"/>
        <v>0</v>
      </c>
    </row>
    <row r="938" spans="2:2">
      <c r="B938" s="435" t="b">
        <f t="shared" si="14"/>
        <v>0</v>
      </c>
    </row>
    <row r="939" spans="2:2">
      <c r="B939" s="435" t="b">
        <f t="shared" si="14"/>
        <v>0</v>
      </c>
    </row>
    <row r="940" spans="2:2">
      <c r="B940" s="435" t="b">
        <f t="shared" si="14"/>
        <v>0</v>
      </c>
    </row>
    <row r="941" spans="2:2">
      <c r="B941" s="435" t="b">
        <f t="shared" si="14"/>
        <v>0</v>
      </c>
    </row>
    <row r="942" spans="2:2">
      <c r="B942" s="435" t="b">
        <f t="shared" si="14"/>
        <v>0</v>
      </c>
    </row>
    <row r="943" spans="2:2">
      <c r="B943" s="435" t="b">
        <f t="shared" si="14"/>
        <v>0</v>
      </c>
    </row>
    <row r="944" spans="2:2">
      <c r="B944" s="435" t="b">
        <f t="shared" si="14"/>
        <v>0</v>
      </c>
    </row>
    <row r="945" spans="2:2">
      <c r="B945" s="435" t="b">
        <f t="shared" si="14"/>
        <v>0</v>
      </c>
    </row>
    <row r="946" spans="2:2">
      <c r="B946" s="435" t="b">
        <f t="shared" si="14"/>
        <v>0</v>
      </c>
    </row>
    <row r="947" spans="2:2">
      <c r="B947" s="435" t="b">
        <f t="shared" si="14"/>
        <v>0</v>
      </c>
    </row>
    <row r="948" spans="2:2">
      <c r="B948" s="435" t="b">
        <f t="shared" si="14"/>
        <v>0</v>
      </c>
    </row>
    <row r="949" spans="2:2">
      <c r="B949" s="435" t="b">
        <f t="shared" si="14"/>
        <v>0</v>
      </c>
    </row>
    <row r="950" spans="2:2">
      <c r="B950" s="435" t="b">
        <f t="shared" si="14"/>
        <v>0</v>
      </c>
    </row>
    <row r="951" spans="2:2">
      <c r="B951" s="435" t="b">
        <f t="shared" si="14"/>
        <v>0</v>
      </c>
    </row>
    <row r="952" spans="2:2">
      <c r="B952" s="435" t="b">
        <f t="shared" si="14"/>
        <v>0</v>
      </c>
    </row>
    <row r="953" spans="2:2">
      <c r="B953" s="435" t="b">
        <f t="shared" si="14"/>
        <v>0</v>
      </c>
    </row>
    <row r="954" spans="2:2">
      <c r="B954" s="435" t="b">
        <f t="shared" si="14"/>
        <v>0</v>
      </c>
    </row>
    <row r="955" spans="2:2">
      <c r="B955" s="435" t="b">
        <f t="shared" si="14"/>
        <v>0</v>
      </c>
    </row>
    <row r="956" spans="2:2">
      <c r="B956" s="435" t="b">
        <f t="shared" si="14"/>
        <v>0</v>
      </c>
    </row>
    <row r="957" spans="2:2">
      <c r="B957" s="435" t="b">
        <f t="shared" si="14"/>
        <v>0</v>
      </c>
    </row>
    <row r="958" spans="2:2">
      <c r="B958" s="435" t="b">
        <f t="shared" si="14"/>
        <v>0</v>
      </c>
    </row>
    <row r="959" spans="2:2">
      <c r="B959" s="435" t="b">
        <f t="shared" si="14"/>
        <v>0</v>
      </c>
    </row>
    <row r="960" spans="2:2">
      <c r="B960" s="435" t="b">
        <f t="shared" si="14"/>
        <v>0</v>
      </c>
    </row>
    <row r="961" spans="2:2">
      <c r="B961" s="435" t="b">
        <f t="shared" si="14"/>
        <v>0</v>
      </c>
    </row>
    <row r="962" spans="2:2">
      <c r="B962" s="435" t="b">
        <f t="shared" ref="B962:B1025" si="15">IF(A962=0,FALSE,(COUNTIF(A:A,A962)&gt;10))</f>
        <v>0</v>
      </c>
    </row>
    <row r="963" spans="2:2">
      <c r="B963" s="435" t="b">
        <f t="shared" si="15"/>
        <v>0</v>
      </c>
    </row>
    <row r="964" spans="2:2">
      <c r="B964" s="435" t="b">
        <f t="shared" si="15"/>
        <v>0</v>
      </c>
    </row>
    <row r="965" spans="2:2">
      <c r="B965" s="435" t="b">
        <f t="shared" si="15"/>
        <v>0</v>
      </c>
    </row>
    <row r="966" spans="2:2">
      <c r="B966" s="435" t="b">
        <f t="shared" si="15"/>
        <v>0</v>
      </c>
    </row>
    <row r="967" spans="2:2">
      <c r="B967" s="435" t="b">
        <f t="shared" si="15"/>
        <v>0</v>
      </c>
    </row>
    <row r="968" spans="2:2">
      <c r="B968" s="435" t="b">
        <f t="shared" si="15"/>
        <v>0</v>
      </c>
    </row>
    <row r="969" spans="2:2">
      <c r="B969" s="435" t="b">
        <f t="shared" si="15"/>
        <v>0</v>
      </c>
    </row>
    <row r="970" spans="2:2">
      <c r="B970" s="435" t="b">
        <f t="shared" si="15"/>
        <v>0</v>
      </c>
    </row>
    <row r="971" spans="2:2">
      <c r="B971" s="435" t="b">
        <f t="shared" si="15"/>
        <v>0</v>
      </c>
    </row>
    <row r="972" spans="2:2">
      <c r="B972" s="435" t="b">
        <f t="shared" si="15"/>
        <v>0</v>
      </c>
    </row>
    <row r="973" spans="2:2">
      <c r="B973" s="435" t="b">
        <f t="shared" si="15"/>
        <v>0</v>
      </c>
    </row>
    <row r="974" spans="2:2">
      <c r="B974" s="435" t="b">
        <f t="shared" si="15"/>
        <v>0</v>
      </c>
    </row>
    <row r="975" spans="2:2">
      <c r="B975" s="435" t="b">
        <f t="shared" si="15"/>
        <v>0</v>
      </c>
    </row>
    <row r="976" spans="2:2">
      <c r="B976" s="435" t="b">
        <f t="shared" si="15"/>
        <v>0</v>
      </c>
    </row>
    <row r="977" spans="2:2">
      <c r="B977" s="435" t="b">
        <f t="shared" si="15"/>
        <v>0</v>
      </c>
    </row>
    <row r="978" spans="2:2">
      <c r="B978" s="435" t="b">
        <f t="shared" si="15"/>
        <v>0</v>
      </c>
    </row>
    <row r="979" spans="2:2">
      <c r="B979" s="435" t="b">
        <f t="shared" si="15"/>
        <v>0</v>
      </c>
    </row>
    <row r="980" spans="2:2">
      <c r="B980" s="435" t="b">
        <f t="shared" si="15"/>
        <v>0</v>
      </c>
    </row>
    <row r="981" spans="2:2">
      <c r="B981" s="435" t="b">
        <f t="shared" si="15"/>
        <v>0</v>
      </c>
    </row>
    <row r="982" spans="2:2">
      <c r="B982" s="435" t="b">
        <f t="shared" si="15"/>
        <v>0</v>
      </c>
    </row>
    <row r="983" spans="2:2">
      <c r="B983" s="435" t="b">
        <f t="shared" si="15"/>
        <v>0</v>
      </c>
    </row>
    <row r="984" spans="2:2">
      <c r="B984" s="435" t="b">
        <f t="shared" si="15"/>
        <v>0</v>
      </c>
    </row>
    <row r="985" spans="2:2">
      <c r="B985" s="435" t="b">
        <f t="shared" si="15"/>
        <v>0</v>
      </c>
    </row>
    <row r="986" spans="2:2">
      <c r="B986" s="435" t="b">
        <f t="shared" si="15"/>
        <v>0</v>
      </c>
    </row>
    <row r="987" spans="2:2">
      <c r="B987" s="435" t="b">
        <f t="shared" si="15"/>
        <v>0</v>
      </c>
    </row>
    <row r="988" spans="2:2">
      <c r="B988" s="435" t="b">
        <f t="shared" si="15"/>
        <v>0</v>
      </c>
    </row>
    <row r="989" spans="2:2">
      <c r="B989" s="435" t="b">
        <f t="shared" si="15"/>
        <v>0</v>
      </c>
    </row>
    <row r="990" spans="2:2">
      <c r="B990" s="435" t="b">
        <f t="shared" si="15"/>
        <v>0</v>
      </c>
    </row>
    <row r="991" spans="2:2">
      <c r="B991" s="435" t="b">
        <f t="shared" si="15"/>
        <v>0</v>
      </c>
    </row>
    <row r="992" spans="2:2">
      <c r="B992" s="435" t="b">
        <f t="shared" si="15"/>
        <v>0</v>
      </c>
    </row>
    <row r="993" spans="2:2">
      <c r="B993" s="435" t="b">
        <f t="shared" si="15"/>
        <v>0</v>
      </c>
    </row>
    <row r="994" spans="2:2">
      <c r="B994" s="435" t="b">
        <f t="shared" si="15"/>
        <v>0</v>
      </c>
    </row>
    <row r="995" spans="2:2">
      <c r="B995" s="435" t="b">
        <f t="shared" si="15"/>
        <v>0</v>
      </c>
    </row>
    <row r="996" spans="2:2">
      <c r="B996" s="435" t="b">
        <f t="shared" si="15"/>
        <v>0</v>
      </c>
    </row>
    <row r="997" spans="2:2">
      <c r="B997" s="435" t="b">
        <f t="shared" si="15"/>
        <v>0</v>
      </c>
    </row>
    <row r="998" spans="2:2">
      <c r="B998" s="435" t="b">
        <f t="shared" si="15"/>
        <v>0</v>
      </c>
    </row>
    <row r="999" spans="2:2">
      <c r="B999" s="435" t="b">
        <f t="shared" si="15"/>
        <v>0</v>
      </c>
    </row>
    <row r="1000" spans="2:2">
      <c r="B1000" s="435" t="b">
        <f t="shared" si="15"/>
        <v>0</v>
      </c>
    </row>
    <row r="1001" spans="2:2">
      <c r="B1001" s="435" t="b">
        <f t="shared" si="15"/>
        <v>0</v>
      </c>
    </row>
    <row r="1002" spans="2:2">
      <c r="B1002" s="435" t="b">
        <f t="shared" si="15"/>
        <v>0</v>
      </c>
    </row>
    <row r="1003" spans="2:2">
      <c r="B1003" s="435" t="b">
        <f t="shared" si="15"/>
        <v>0</v>
      </c>
    </row>
    <row r="1004" spans="2:2">
      <c r="B1004" s="435" t="b">
        <f t="shared" si="15"/>
        <v>0</v>
      </c>
    </row>
    <row r="1005" spans="2:2">
      <c r="B1005" s="435" t="b">
        <f t="shared" si="15"/>
        <v>0</v>
      </c>
    </row>
    <row r="1006" spans="2:2">
      <c r="B1006" s="435" t="b">
        <f t="shared" si="15"/>
        <v>0</v>
      </c>
    </row>
    <row r="1007" spans="2:2">
      <c r="B1007" s="435" t="b">
        <f t="shared" si="15"/>
        <v>0</v>
      </c>
    </row>
    <row r="1008" spans="2:2">
      <c r="B1008" s="435" t="b">
        <f t="shared" si="15"/>
        <v>0</v>
      </c>
    </row>
    <row r="1009" spans="2:2">
      <c r="B1009" s="435" t="b">
        <f t="shared" si="15"/>
        <v>0</v>
      </c>
    </row>
    <row r="1010" spans="2:2">
      <c r="B1010" s="435" t="b">
        <f t="shared" si="15"/>
        <v>0</v>
      </c>
    </row>
    <row r="1011" spans="2:2">
      <c r="B1011" s="435" t="b">
        <f t="shared" si="15"/>
        <v>0</v>
      </c>
    </row>
    <row r="1012" spans="2:2">
      <c r="B1012" s="435" t="b">
        <f t="shared" si="15"/>
        <v>0</v>
      </c>
    </row>
    <row r="1013" spans="2:2">
      <c r="B1013" s="435" t="b">
        <f t="shared" si="15"/>
        <v>0</v>
      </c>
    </row>
    <row r="1014" spans="2:2">
      <c r="B1014" s="435" t="b">
        <f t="shared" si="15"/>
        <v>0</v>
      </c>
    </row>
    <row r="1015" spans="2:2">
      <c r="B1015" s="435" t="b">
        <f t="shared" si="15"/>
        <v>0</v>
      </c>
    </row>
    <row r="1016" spans="2:2">
      <c r="B1016" s="435" t="b">
        <f t="shared" si="15"/>
        <v>0</v>
      </c>
    </row>
    <row r="1017" spans="2:2">
      <c r="B1017" s="435" t="b">
        <f t="shared" si="15"/>
        <v>0</v>
      </c>
    </row>
    <row r="1018" spans="2:2">
      <c r="B1018" s="435" t="b">
        <f t="shared" si="15"/>
        <v>0</v>
      </c>
    </row>
    <row r="1019" spans="2:2">
      <c r="B1019" s="435" t="b">
        <f t="shared" si="15"/>
        <v>0</v>
      </c>
    </row>
    <row r="1020" spans="2:2">
      <c r="B1020" s="435" t="b">
        <f t="shared" si="15"/>
        <v>0</v>
      </c>
    </row>
    <row r="1021" spans="2:2">
      <c r="B1021" s="435" t="b">
        <f t="shared" si="15"/>
        <v>0</v>
      </c>
    </row>
    <row r="1022" spans="2:2">
      <c r="B1022" s="435" t="b">
        <f t="shared" si="15"/>
        <v>0</v>
      </c>
    </row>
    <row r="1023" spans="2:2">
      <c r="B1023" s="435" t="b">
        <f t="shared" si="15"/>
        <v>0</v>
      </c>
    </row>
    <row r="1024" spans="2:2">
      <c r="B1024" s="435" t="b">
        <f t="shared" si="15"/>
        <v>0</v>
      </c>
    </row>
    <row r="1025" spans="2:2">
      <c r="B1025" s="435" t="b">
        <f t="shared" si="15"/>
        <v>0</v>
      </c>
    </row>
    <row r="1026" spans="2:2">
      <c r="B1026" s="435" t="b">
        <f t="shared" ref="B1026:B1089" si="16">IF(A1026=0,FALSE,(COUNTIF(A:A,A1026)&gt;10))</f>
        <v>0</v>
      </c>
    </row>
    <row r="1027" spans="2:2">
      <c r="B1027" s="435" t="b">
        <f t="shared" si="16"/>
        <v>0</v>
      </c>
    </row>
    <row r="1028" spans="2:2">
      <c r="B1028" s="435" t="b">
        <f t="shared" si="16"/>
        <v>0</v>
      </c>
    </row>
    <row r="1029" spans="2:2">
      <c r="B1029" s="435" t="b">
        <f t="shared" si="16"/>
        <v>0</v>
      </c>
    </row>
    <row r="1030" spans="2:2">
      <c r="B1030" s="435" t="b">
        <f t="shared" si="16"/>
        <v>0</v>
      </c>
    </row>
    <row r="1031" spans="2:2">
      <c r="B1031" s="435" t="b">
        <f t="shared" si="16"/>
        <v>0</v>
      </c>
    </row>
    <row r="1032" spans="2:2">
      <c r="B1032" s="435" t="b">
        <f t="shared" si="16"/>
        <v>0</v>
      </c>
    </row>
    <row r="1033" spans="2:2">
      <c r="B1033" s="435" t="b">
        <f t="shared" si="16"/>
        <v>0</v>
      </c>
    </row>
    <row r="1034" spans="2:2">
      <c r="B1034" s="435" t="b">
        <f t="shared" si="16"/>
        <v>0</v>
      </c>
    </row>
    <row r="1035" spans="2:2">
      <c r="B1035" s="435" t="b">
        <f t="shared" si="16"/>
        <v>0</v>
      </c>
    </row>
    <row r="1036" spans="2:2">
      <c r="B1036" s="435" t="b">
        <f t="shared" si="16"/>
        <v>0</v>
      </c>
    </row>
    <row r="1037" spans="2:2">
      <c r="B1037" s="435" t="b">
        <f t="shared" si="16"/>
        <v>0</v>
      </c>
    </row>
    <row r="1038" spans="2:2">
      <c r="B1038" s="435" t="b">
        <f t="shared" si="16"/>
        <v>0</v>
      </c>
    </row>
    <row r="1039" spans="2:2">
      <c r="B1039" s="435" t="b">
        <f t="shared" si="16"/>
        <v>0</v>
      </c>
    </row>
    <row r="1040" spans="2:2">
      <c r="B1040" s="435" t="b">
        <f t="shared" si="16"/>
        <v>0</v>
      </c>
    </row>
    <row r="1041" spans="2:2">
      <c r="B1041" s="435" t="b">
        <f t="shared" si="16"/>
        <v>0</v>
      </c>
    </row>
    <row r="1042" spans="2:2">
      <c r="B1042" s="435" t="b">
        <f t="shared" si="16"/>
        <v>0</v>
      </c>
    </row>
    <row r="1043" spans="2:2">
      <c r="B1043" s="435" t="b">
        <f t="shared" si="16"/>
        <v>0</v>
      </c>
    </row>
    <row r="1044" spans="2:2">
      <c r="B1044" s="435" t="b">
        <f t="shared" si="16"/>
        <v>0</v>
      </c>
    </row>
    <row r="1045" spans="2:2">
      <c r="B1045" s="435" t="b">
        <f t="shared" si="16"/>
        <v>0</v>
      </c>
    </row>
    <row r="1046" spans="2:2">
      <c r="B1046" s="435" t="b">
        <f t="shared" si="16"/>
        <v>0</v>
      </c>
    </row>
    <row r="1047" spans="2:2">
      <c r="B1047" s="435" t="b">
        <f t="shared" si="16"/>
        <v>0</v>
      </c>
    </row>
    <row r="1048" spans="2:2">
      <c r="B1048" s="435" t="b">
        <f t="shared" si="16"/>
        <v>0</v>
      </c>
    </row>
    <row r="1049" spans="2:2">
      <c r="B1049" s="435" t="b">
        <f t="shared" si="16"/>
        <v>0</v>
      </c>
    </row>
    <row r="1050" spans="2:2">
      <c r="B1050" s="435" t="b">
        <f t="shared" si="16"/>
        <v>0</v>
      </c>
    </row>
    <row r="1051" spans="2:2">
      <c r="B1051" s="435" t="b">
        <f t="shared" si="16"/>
        <v>0</v>
      </c>
    </row>
    <row r="1052" spans="2:2">
      <c r="B1052" s="435" t="b">
        <f t="shared" si="16"/>
        <v>0</v>
      </c>
    </row>
    <row r="1053" spans="2:2">
      <c r="B1053" s="435" t="b">
        <f t="shared" si="16"/>
        <v>0</v>
      </c>
    </row>
    <row r="1054" spans="2:2">
      <c r="B1054" s="435" t="b">
        <f t="shared" si="16"/>
        <v>0</v>
      </c>
    </row>
    <row r="1055" spans="2:2">
      <c r="B1055" s="435" t="b">
        <f t="shared" si="16"/>
        <v>0</v>
      </c>
    </row>
    <row r="1056" spans="2:2">
      <c r="B1056" s="435" t="b">
        <f t="shared" si="16"/>
        <v>0</v>
      </c>
    </row>
    <row r="1057" spans="2:2">
      <c r="B1057" s="435" t="b">
        <f t="shared" si="16"/>
        <v>0</v>
      </c>
    </row>
    <row r="1058" spans="2:2">
      <c r="B1058" s="435" t="b">
        <f t="shared" si="16"/>
        <v>0</v>
      </c>
    </row>
    <row r="1059" spans="2:2">
      <c r="B1059" s="435" t="b">
        <f t="shared" si="16"/>
        <v>0</v>
      </c>
    </row>
    <row r="1060" spans="2:2">
      <c r="B1060" s="435" t="b">
        <f t="shared" si="16"/>
        <v>0</v>
      </c>
    </row>
    <row r="1061" spans="2:2">
      <c r="B1061" s="435" t="b">
        <f t="shared" si="16"/>
        <v>0</v>
      </c>
    </row>
    <row r="1062" spans="2:2">
      <c r="B1062" s="435" t="b">
        <f t="shared" si="16"/>
        <v>0</v>
      </c>
    </row>
    <row r="1063" spans="2:2">
      <c r="B1063" s="435" t="b">
        <f t="shared" si="16"/>
        <v>0</v>
      </c>
    </row>
    <row r="1064" spans="2:2">
      <c r="B1064" s="435" t="b">
        <f t="shared" si="16"/>
        <v>0</v>
      </c>
    </row>
    <row r="1065" spans="2:2">
      <c r="B1065" s="435" t="b">
        <f t="shared" si="16"/>
        <v>0</v>
      </c>
    </row>
    <row r="1066" spans="2:2">
      <c r="B1066" s="435" t="b">
        <f t="shared" si="16"/>
        <v>0</v>
      </c>
    </row>
    <row r="1067" spans="2:2">
      <c r="B1067" s="435" t="b">
        <f t="shared" si="16"/>
        <v>0</v>
      </c>
    </row>
    <row r="1068" spans="2:2">
      <c r="B1068" s="435" t="b">
        <f t="shared" si="16"/>
        <v>0</v>
      </c>
    </row>
    <row r="1069" spans="2:2">
      <c r="B1069" s="435" t="b">
        <f t="shared" si="16"/>
        <v>0</v>
      </c>
    </row>
    <row r="1070" spans="2:2">
      <c r="B1070" s="435" t="b">
        <f t="shared" si="16"/>
        <v>0</v>
      </c>
    </row>
    <row r="1071" spans="2:2">
      <c r="B1071" s="435" t="b">
        <f t="shared" si="16"/>
        <v>0</v>
      </c>
    </row>
    <row r="1072" spans="2:2">
      <c r="B1072" s="435" t="b">
        <f t="shared" si="16"/>
        <v>0</v>
      </c>
    </row>
    <row r="1073" spans="2:2">
      <c r="B1073" s="435" t="b">
        <f t="shared" si="16"/>
        <v>0</v>
      </c>
    </row>
    <row r="1074" spans="2:2">
      <c r="B1074" s="435" t="b">
        <f t="shared" si="16"/>
        <v>0</v>
      </c>
    </row>
    <row r="1075" spans="2:2">
      <c r="B1075" s="435" t="b">
        <f t="shared" si="16"/>
        <v>0</v>
      </c>
    </row>
    <row r="1076" spans="2:2">
      <c r="B1076" s="435" t="b">
        <f t="shared" si="16"/>
        <v>0</v>
      </c>
    </row>
    <row r="1077" spans="2:2">
      <c r="B1077" s="435" t="b">
        <f t="shared" si="16"/>
        <v>0</v>
      </c>
    </row>
    <row r="1078" spans="2:2">
      <c r="B1078" s="435" t="b">
        <f t="shared" si="16"/>
        <v>0</v>
      </c>
    </row>
    <row r="1079" spans="2:2">
      <c r="B1079" s="435" t="b">
        <f t="shared" si="16"/>
        <v>0</v>
      </c>
    </row>
    <row r="1080" spans="2:2">
      <c r="B1080" s="435" t="b">
        <f t="shared" si="16"/>
        <v>0</v>
      </c>
    </row>
    <row r="1081" spans="2:2">
      <c r="B1081" s="435" t="b">
        <f t="shared" si="16"/>
        <v>0</v>
      </c>
    </row>
    <row r="1082" spans="2:2">
      <c r="B1082" s="435" t="b">
        <f t="shared" si="16"/>
        <v>0</v>
      </c>
    </row>
    <row r="1083" spans="2:2">
      <c r="B1083" s="435" t="b">
        <f t="shared" si="16"/>
        <v>0</v>
      </c>
    </row>
    <row r="1084" spans="2:2">
      <c r="B1084" s="435" t="b">
        <f t="shared" si="16"/>
        <v>0</v>
      </c>
    </row>
    <row r="1085" spans="2:2">
      <c r="B1085" s="435" t="b">
        <f t="shared" si="16"/>
        <v>0</v>
      </c>
    </row>
    <row r="1086" spans="2:2">
      <c r="B1086" s="435" t="b">
        <f t="shared" si="16"/>
        <v>0</v>
      </c>
    </row>
    <row r="1087" spans="2:2">
      <c r="B1087" s="435" t="b">
        <f t="shared" si="16"/>
        <v>0</v>
      </c>
    </row>
    <row r="1088" spans="2:2">
      <c r="B1088" s="435" t="b">
        <f t="shared" si="16"/>
        <v>0</v>
      </c>
    </row>
    <row r="1089" spans="2:2">
      <c r="B1089" s="435" t="b">
        <f t="shared" si="16"/>
        <v>0</v>
      </c>
    </row>
    <row r="1090" spans="2:2">
      <c r="B1090" s="435" t="b">
        <f t="shared" ref="B1090:B1153" si="17">IF(A1090=0,FALSE,(COUNTIF(A:A,A1090)&gt;10))</f>
        <v>0</v>
      </c>
    </row>
    <row r="1091" spans="2:2">
      <c r="B1091" s="435" t="b">
        <f t="shared" si="17"/>
        <v>0</v>
      </c>
    </row>
    <row r="1092" spans="2:2">
      <c r="B1092" s="435" t="b">
        <f t="shared" si="17"/>
        <v>0</v>
      </c>
    </row>
    <row r="1093" spans="2:2">
      <c r="B1093" s="435" t="b">
        <f t="shared" si="17"/>
        <v>0</v>
      </c>
    </row>
    <row r="1094" spans="2:2">
      <c r="B1094" s="435" t="b">
        <f t="shared" si="17"/>
        <v>0</v>
      </c>
    </row>
    <row r="1095" spans="2:2">
      <c r="B1095" s="435" t="b">
        <f t="shared" si="17"/>
        <v>0</v>
      </c>
    </row>
    <row r="1096" spans="2:2">
      <c r="B1096" s="435" t="b">
        <f t="shared" si="17"/>
        <v>0</v>
      </c>
    </row>
    <row r="1097" spans="2:2">
      <c r="B1097" s="435" t="b">
        <f t="shared" si="17"/>
        <v>0</v>
      </c>
    </row>
    <row r="1098" spans="2:2">
      <c r="B1098" s="435" t="b">
        <f t="shared" si="17"/>
        <v>0</v>
      </c>
    </row>
    <row r="1099" spans="2:2">
      <c r="B1099" s="435" t="b">
        <f t="shared" si="17"/>
        <v>0</v>
      </c>
    </row>
    <row r="1100" spans="2:2">
      <c r="B1100" s="435" t="b">
        <f t="shared" si="17"/>
        <v>0</v>
      </c>
    </row>
    <row r="1101" spans="2:2">
      <c r="B1101" s="435" t="b">
        <f t="shared" si="17"/>
        <v>0</v>
      </c>
    </row>
    <row r="1102" spans="2:2">
      <c r="B1102" s="435" t="b">
        <f t="shared" si="17"/>
        <v>0</v>
      </c>
    </row>
    <row r="1103" spans="2:2">
      <c r="B1103" s="435" t="b">
        <f t="shared" si="17"/>
        <v>0</v>
      </c>
    </row>
    <row r="1104" spans="2:2">
      <c r="B1104" s="435" t="b">
        <f t="shared" si="17"/>
        <v>0</v>
      </c>
    </row>
    <row r="1105" spans="2:2">
      <c r="B1105" s="435" t="b">
        <f t="shared" si="17"/>
        <v>0</v>
      </c>
    </row>
    <row r="1106" spans="2:2">
      <c r="B1106" s="435" t="b">
        <f t="shared" si="17"/>
        <v>0</v>
      </c>
    </row>
    <row r="1107" spans="2:2">
      <c r="B1107" s="435" t="b">
        <f t="shared" si="17"/>
        <v>0</v>
      </c>
    </row>
    <row r="1108" spans="2:2">
      <c r="B1108" s="435" t="b">
        <f t="shared" si="17"/>
        <v>0</v>
      </c>
    </row>
    <row r="1109" spans="2:2">
      <c r="B1109" s="435" t="b">
        <f t="shared" si="17"/>
        <v>0</v>
      </c>
    </row>
    <row r="1110" spans="2:2">
      <c r="B1110" s="435" t="b">
        <f t="shared" si="17"/>
        <v>0</v>
      </c>
    </row>
    <row r="1111" spans="2:2">
      <c r="B1111" s="435" t="b">
        <f t="shared" si="17"/>
        <v>0</v>
      </c>
    </row>
    <row r="1112" spans="2:2">
      <c r="B1112" s="435" t="b">
        <f t="shared" si="17"/>
        <v>0</v>
      </c>
    </row>
    <row r="1113" spans="2:2">
      <c r="B1113" s="435" t="b">
        <f t="shared" si="17"/>
        <v>0</v>
      </c>
    </row>
    <row r="1114" spans="2:2">
      <c r="B1114" s="435" t="b">
        <f t="shared" si="17"/>
        <v>0</v>
      </c>
    </row>
    <row r="1115" spans="2:2">
      <c r="B1115" s="435" t="b">
        <f t="shared" si="17"/>
        <v>0</v>
      </c>
    </row>
    <row r="1116" spans="2:2">
      <c r="B1116" s="435" t="b">
        <f t="shared" si="17"/>
        <v>0</v>
      </c>
    </row>
    <row r="1117" spans="2:2">
      <c r="B1117" s="435" t="b">
        <f t="shared" si="17"/>
        <v>0</v>
      </c>
    </row>
    <row r="1118" spans="2:2">
      <c r="B1118" s="435" t="b">
        <f t="shared" si="17"/>
        <v>0</v>
      </c>
    </row>
    <row r="1119" spans="2:2">
      <c r="B1119" s="435" t="b">
        <f t="shared" si="17"/>
        <v>0</v>
      </c>
    </row>
    <row r="1120" spans="2:2">
      <c r="B1120" s="435" t="b">
        <f t="shared" si="17"/>
        <v>0</v>
      </c>
    </row>
    <row r="1121" spans="2:2">
      <c r="B1121" s="435" t="b">
        <f t="shared" si="17"/>
        <v>0</v>
      </c>
    </row>
    <row r="1122" spans="2:2">
      <c r="B1122" s="435" t="b">
        <f t="shared" si="17"/>
        <v>0</v>
      </c>
    </row>
    <row r="1123" spans="2:2">
      <c r="B1123" s="435" t="b">
        <f t="shared" si="17"/>
        <v>0</v>
      </c>
    </row>
    <row r="1124" spans="2:2">
      <c r="B1124" s="435" t="b">
        <f t="shared" si="17"/>
        <v>0</v>
      </c>
    </row>
    <row r="1125" spans="2:2">
      <c r="B1125" s="435" t="b">
        <f t="shared" si="17"/>
        <v>0</v>
      </c>
    </row>
    <row r="1126" spans="2:2">
      <c r="B1126" s="435" t="b">
        <f t="shared" si="17"/>
        <v>0</v>
      </c>
    </row>
    <row r="1127" spans="2:2">
      <c r="B1127" s="435" t="b">
        <f t="shared" si="17"/>
        <v>0</v>
      </c>
    </row>
    <row r="1128" spans="2:2">
      <c r="B1128" s="435" t="b">
        <f t="shared" si="17"/>
        <v>0</v>
      </c>
    </row>
    <row r="1129" spans="2:2">
      <c r="B1129" s="435" t="b">
        <f t="shared" si="17"/>
        <v>0</v>
      </c>
    </row>
    <row r="1130" spans="2:2">
      <c r="B1130" s="435" t="b">
        <f t="shared" si="17"/>
        <v>0</v>
      </c>
    </row>
    <row r="1131" spans="2:2">
      <c r="B1131" s="435" t="b">
        <f t="shared" si="17"/>
        <v>0</v>
      </c>
    </row>
    <row r="1132" spans="2:2">
      <c r="B1132" s="435" t="b">
        <f t="shared" si="17"/>
        <v>0</v>
      </c>
    </row>
    <row r="1133" spans="2:2">
      <c r="B1133" s="435" t="b">
        <f t="shared" si="17"/>
        <v>0</v>
      </c>
    </row>
    <row r="1134" spans="2:2">
      <c r="B1134" s="435" t="b">
        <f t="shared" si="17"/>
        <v>0</v>
      </c>
    </row>
    <row r="1135" spans="2:2">
      <c r="B1135" s="435" t="b">
        <f t="shared" si="17"/>
        <v>0</v>
      </c>
    </row>
    <row r="1136" spans="2:2">
      <c r="B1136" s="435" t="b">
        <f t="shared" si="17"/>
        <v>0</v>
      </c>
    </row>
    <row r="1137" spans="2:2">
      <c r="B1137" s="435" t="b">
        <f t="shared" si="17"/>
        <v>0</v>
      </c>
    </row>
    <row r="1138" spans="2:2">
      <c r="B1138" s="435" t="b">
        <f t="shared" si="17"/>
        <v>0</v>
      </c>
    </row>
    <row r="1139" spans="2:2">
      <c r="B1139" s="435" t="b">
        <f t="shared" si="17"/>
        <v>0</v>
      </c>
    </row>
    <row r="1140" spans="2:2">
      <c r="B1140" s="435" t="b">
        <f t="shared" si="17"/>
        <v>0</v>
      </c>
    </row>
    <row r="1141" spans="2:2">
      <c r="B1141" s="435" t="b">
        <f t="shared" si="17"/>
        <v>0</v>
      </c>
    </row>
    <row r="1142" spans="2:2">
      <c r="B1142" s="435" t="b">
        <f t="shared" si="17"/>
        <v>0</v>
      </c>
    </row>
    <row r="1143" spans="2:2">
      <c r="B1143" s="435" t="b">
        <f t="shared" si="17"/>
        <v>0</v>
      </c>
    </row>
    <row r="1144" spans="2:2">
      <c r="B1144" s="435" t="b">
        <f t="shared" si="17"/>
        <v>0</v>
      </c>
    </row>
    <row r="1145" spans="2:2">
      <c r="B1145" s="435" t="b">
        <f t="shared" si="17"/>
        <v>0</v>
      </c>
    </row>
    <row r="1146" spans="2:2">
      <c r="B1146" s="435" t="b">
        <f t="shared" si="17"/>
        <v>0</v>
      </c>
    </row>
    <row r="1147" spans="2:2">
      <c r="B1147" s="435" t="b">
        <f t="shared" si="17"/>
        <v>0</v>
      </c>
    </row>
    <row r="1148" spans="2:2">
      <c r="B1148" s="435" t="b">
        <f t="shared" si="17"/>
        <v>0</v>
      </c>
    </row>
    <row r="1149" spans="2:2">
      <c r="B1149" s="435" t="b">
        <f t="shared" si="17"/>
        <v>0</v>
      </c>
    </row>
    <row r="1150" spans="2:2">
      <c r="B1150" s="435" t="b">
        <f t="shared" si="17"/>
        <v>0</v>
      </c>
    </row>
    <row r="1151" spans="2:2">
      <c r="B1151" s="435" t="b">
        <f t="shared" si="17"/>
        <v>0</v>
      </c>
    </row>
    <row r="1152" spans="2:2">
      <c r="B1152" s="435" t="b">
        <f t="shared" si="17"/>
        <v>0</v>
      </c>
    </row>
    <row r="1153" spans="2:2">
      <c r="B1153" s="435" t="b">
        <f t="shared" si="17"/>
        <v>0</v>
      </c>
    </row>
    <row r="1154" spans="2:2">
      <c r="B1154" s="435" t="b">
        <f t="shared" ref="B1154:B1217" si="18">IF(A1154=0,FALSE,(COUNTIF(A:A,A1154)&gt;10))</f>
        <v>0</v>
      </c>
    </row>
    <row r="1155" spans="2:2">
      <c r="B1155" s="435" t="b">
        <f t="shared" si="18"/>
        <v>0</v>
      </c>
    </row>
    <row r="1156" spans="2:2">
      <c r="B1156" s="435" t="b">
        <f t="shared" si="18"/>
        <v>0</v>
      </c>
    </row>
    <row r="1157" spans="2:2">
      <c r="B1157" s="435" t="b">
        <f t="shared" si="18"/>
        <v>0</v>
      </c>
    </row>
    <row r="1158" spans="2:2">
      <c r="B1158" s="435" t="b">
        <f t="shared" si="18"/>
        <v>0</v>
      </c>
    </row>
    <row r="1159" spans="2:2">
      <c r="B1159" s="435" t="b">
        <f t="shared" si="18"/>
        <v>0</v>
      </c>
    </row>
    <row r="1160" spans="2:2">
      <c r="B1160" s="435" t="b">
        <f t="shared" si="18"/>
        <v>0</v>
      </c>
    </row>
    <row r="1161" spans="2:2">
      <c r="B1161" s="435" t="b">
        <f t="shared" si="18"/>
        <v>0</v>
      </c>
    </row>
    <row r="1162" spans="2:2">
      <c r="B1162" s="435" t="b">
        <f t="shared" si="18"/>
        <v>0</v>
      </c>
    </row>
    <row r="1163" spans="2:2">
      <c r="B1163" s="435" t="b">
        <f t="shared" si="18"/>
        <v>0</v>
      </c>
    </row>
    <row r="1164" spans="2:2">
      <c r="B1164" s="435" t="b">
        <f t="shared" si="18"/>
        <v>0</v>
      </c>
    </row>
    <row r="1165" spans="2:2">
      <c r="B1165" s="435" t="b">
        <f t="shared" si="18"/>
        <v>0</v>
      </c>
    </row>
    <row r="1166" spans="2:2">
      <c r="B1166" s="435" t="b">
        <f t="shared" si="18"/>
        <v>0</v>
      </c>
    </row>
    <row r="1167" spans="2:2">
      <c r="B1167" s="435" t="b">
        <f t="shared" si="18"/>
        <v>0</v>
      </c>
    </row>
    <row r="1168" spans="2:2">
      <c r="B1168" s="435" t="b">
        <f t="shared" si="18"/>
        <v>0</v>
      </c>
    </row>
    <row r="1169" spans="2:2">
      <c r="B1169" s="435" t="b">
        <f t="shared" si="18"/>
        <v>0</v>
      </c>
    </row>
    <row r="1170" spans="2:2">
      <c r="B1170" s="435" t="b">
        <f t="shared" si="18"/>
        <v>0</v>
      </c>
    </row>
    <row r="1171" spans="2:2">
      <c r="B1171" s="435" t="b">
        <f t="shared" si="18"/>
        <v>0</v>
      </c>
    </row>
    <row r="1172" spans="2:2">
      <c r="B1172" s="435" t="b">
        <f t="shared" si="18"/>
        <v>0</v>
      </c>
    </row>
    <row r="1173" spans="2:2">
      <c r="B1173" s="435" t="b">
        <f t="shared" si="18"/>
        <v>0</v>
      </c>
    </row>
    <row r="1174" spans="2:2">
      <c r="B1174" s="435" t="b">
        <f t="shared" si="18"/>
        <v>0</v>
      </c>
    </row>
    <row r="1175" spans="2:2">
      <c r="B1175" s="435" t="b">
        <f t="shared" si="18"/>
        <v>0</v>
      </c>
    </row>
    <row r="1176" spans="2:2">
      <c r="B1176" s="435" t="b">
        <f t="shared" si="18"/>
        <v>0</v>
      </c>
    </row>
    <row r="1177" spans="2:2">
      <c r="B1177" s="435" t="b">
        <f t="shared" si="18"/>
        <v>0</v>
      </c>
    </row>
    <row r="1178" spans="2:2">
      <c r="B1178" s="435" t="b">
        <f t="shared" si="18"/>
        <v>0</v>
      </c>
    </row>
    <row r="1179" spans="2:2">
      <c r="B1179" s="435" t="b">
        <f t="shared" si="18"/>
        <v>0</v>
      </c>
    </row>
    <row r="1180" spans="2:2">
      <c r="B1180" s="435" t="b">
        <f t="shared" si="18"/>
        <v>0</v>
      </c>
    </row>
    <row r="1181" spans="2:2">
      <c r="B1181" s="435" t="b">
        <f t="shared" si="18"/>
        <v>0</v>
      </c>
    </row>
    <row r="1182" spans="2:2">
      <c r="B1182" s="435" t="b">
        <f t="shared" si="18"/>
        <v>0</v>
      </c>
    </row>
    <row r="1183" spans="2:2">
      <c r="B1183" s="435" t="b">
        <f t="shared" si="18"/>
        <v>0</v>
      </c>
    </row>
    <row r="1184" spans="2:2">
      <c r="B1184" s="435" t="b">
        <f t="shared" si="18"/>
        <v>0</v>
      </c>
    </row>
    <row r="1185" spans="2:2">
      <c r="B1185" s="435" t="b">
        <f t="shared" si="18"/>
        <v>0</v>
      </c>
    </row>
    <row r="1186" spans="2:2">
      <c r="B1186" s="435" t="b">
        <f t="shared" si="18"/>
        <v>0</v>
      </c>
    </row>
    <row r="1187" spans="2:2">
      <c r="B1187" s="435" t="b">
        <f t="shared" si="18"/>
        <v>0</v>
      </c>
    </row>
    <row r="1188" spans="2:2">
      <c r="B1188" s="435" t="b">
        <f t="shared" si="18"/>
        <v>0</v>
      </c>
    </row>
    <row r="1189" spans="2:2">
      <c r="B1189" s="435" t="b">
        <f t="shared" si="18"/>
        <v>0</v>
      </c>
    </row>
    <row r="1190" spans="2:2">
      <c r="B1190" s="435" t="b">
        <f t="shared" si="18"/>
        <v>0</v>
      </c>
    </row>
    <row r="1191" spans="2:2">
      <c r="B1191" s="435" t="b">
        <f t="shared" si="18"/>
        <v>0</v>
      </c>
    </row>
    <row r="1192" spans="2:2">
      <c r="B1192" s="435" t="b">
        <f t="shared" si="18"/>
        <v>0</v>
      </c>
    </row>
    <row r="1193" spans="2:2">
      <c r="B1193" s="435" t="b">
        <f t="shared" si="18"/>
        <v>0</v>
      </c>
    </row>
    <row r="1194" spans="2:2">
      <c r="B1194" s="435" t="b">
        <f t="shared" si="18"/>
        <v>0</v>
      </c>
    </row>
    <row r="1195" spans="2:2">
      <c r="B1195" s="435" t="b">
        <f t="shared" si="18"/>
        <v>0</v>
      </c>
    </row>
    <row r="1196" spans="2:2">
      <c r="B1196" s="435" t="b">
        <f t="shared" si="18"/>
        <v>0</v>
      </c>
    </row>
    <row r="1197" spans="2:2">
      <c r="B1197" s="435" t="b">
        <f t="shared" si="18"/>
        <v>0</v>
      </c>
    </row>
    <row r="1198" spans="2:2">
      <c r="B1198" s="435" t="b">
        <f t="shared" si="18"/>
        <v>0</v>
      </c>
    </row>
    <row r="1199" spans="2:2">
      <c r="B1199" s="435" t="b">
        <f t="shared" si="18"/>
        <v>0</v>
      </c>
    </row>
    <row r="1200" spans="2:2">
      <c r="B1200" s="435" t="b">
        <f t="shared" si="18"/>
        <v>0</v>
      </c>
    </row>
    <row r="1201" spans="1:3">
      <c r="B1201" s="435" t="b">
        <f t="shared" si="18"/>
        <v>0</v>
      </c>
    </row>
    <row r="1202" spans="1:3">
      <c r="B1202" s="435" t="b">
        <f t="shared" si="18"/>
        <v>0</v>
      </c>
    </row>
    <row r="1203" spans="1:3">
      <c r="B1203" s="435" t="b">
        <f t="shared" si="18"/>
        <v>0</v>
      </c>
    </row>
    <row r="1204" spans="1:3">
      <c r="B1204" s="435" t="b">
        <f t="shared" si="18"/>
        <v>0</v>
      </c>
    </row>
    <row r="1205" spans="1:3">
      <c r="A1205" s="552"/>
      <c r="B1205" s="435" t="b">
        <f t="shared" si="18"/>
        <v>0</v>
      </c>
      <c r="C1205" s="552" t="s">
        <v>643</v>
      </c>
    </row>
    <row r="1206" spans="1:3">
      <c r="B1206" s="435" t="b">
        <f t="shared" si="18"/>
        <v>0</v>
      </c>
    </row>
    <row r="1207" spans="1:3">
      <c r="B1207" s="435" t="b">
        <f t="shared" si="18"/>
        <v>0</v>
      </c>
    </row>
    <row r="1208" spans="1:3">
      <c r="B1208" s="435" t="b">
        <f t="shared" si="18"/>
        <v>0</v>
      </c>
    </row>
    <row r="1209" spans="1:3">
      <c r="A1209" s="435" cm="1">
        <f t="array" ref="A1209:A1248">HIST_Graphname_Output</f>
        <v>0</v>
      </c>
      <c r="B1209" s="435" t="b">
        <f t="shared" si="18"/>
        <v>0</v>
      </c>
    </row>
    <row r="1210" spans="1:3">
      <c r="A1210" s="435">
        <v>0</v>
      </c>
      <c r="B1210" s="435" t="b">
        <f t="shared" si="18"/>
        <v>0</v>
      </c>
    </row>
    <row r="1211" spans="1:3">
      <c r="A1211" s="435">
        <v>0</v>
      </c>
      <c r="B1211" s="435" t="b">
        <f t="shared" si="18"/>
        <v>0</v>
      </c>
    </row>
    <row r="1212" spans="1:3">
      <c r="A1212" s="435">
        <v>0</v>
      </c>
      <c r="B1212" s="435" t="b">
        <f t="shared" si="18"/>
        <v>0</v>
      </c>
    </row>
    <row r="1213" spans="1:3">
      <c r="A1213" s="435">
        <v>0</v>
      </c>
      <c r="B1213" s="435" t="b">
        <f t="shared" si="18"/>
        <v>0</v>
      </c>
    </row>
    <row r="1214" spans="1:3">
      <c r="A1214" s="435">
        <v>0</v>
      </c>
      <c r="B1214" s="435" t="b">
        <f t="shared" si="18"/>
        <v>0</v>
      </c>
    </row>
    <row r="1215" spans="1:3">
      <c r="A1215" s="435">
        <v>0</v>
      </c>
      <c r="B1215" s="435" t="b">
        <f t="shared" si="18"/>
        <v>0</v>
      </c>
    </row>
    <row r="1216" spans="1:3">
      <c r="A1216" s="435">
        <v>0</v>
      </c>
      <c r="B1216" s="435" t="b">
        <f t="shared" si="18"/>
        <v>0</v>
      </c>
    </row>
    <row r="1217" spans="1:2">
      <c r="A1217" s="435">
        <v>0</v>
      </c>
      <c r="B1217" s="435" t="b">
        <f t="shared" si="18"/>
        <v>0</v>
      </c>
    </row>
    <row r="1218" spans="1:2">
      <c r="A1218" s="435">
        <v>0</v>
      </c>
      <c r="B1218" s="435" t="b">
        <f t="shared" ref="B1218:B1281" si="19">IF(A1218=0,FALSE,(COUNTIF(A:A,A1218)&gt;10))</f>
        <v>0</v>
      </c>
    </row>
    <row r="1219" spans="1:2">
      <c r="A1219" s="435">
        <v>0</v>
      </c>
      <c r="B1219" s="435" t="b">
        <f t="shared" si="19"/>
        <v>0</v>
      </c>
    </row>
    <row r="1220" spans="1:2">
      <c r="A1220" s="435">
        <v>0</v>
      </c>
      <c r="B1220" s="435" t="b">
        <f t="shared" si="19"/>
        <v>0</v>
      </c>
    </row>
    <row r="1221" spans="1:2">
      <c r="A1221" s="435">
        <v>0</v>
      </c>
      <c r="B1221" s="435" t="b">
        <f t="shared" si="19"/>
        <v>0</v>
      </c>
    </row>
    <row r="1222" spans="1:2">
      <c r="A1222" s="435">
        <v>0</v>
      </c>
      <c r="B1222" s="435" t="b">
        <f t="shared" si="19"/>
        <v>0</v>
      </c>
    </row>
    <row r="1223" spans="1:2">
      <c r="A1223" s="435">
        <v>0</v>
      </c>
      <c r="B1223" s="435" t="b">
        <f t="shared" si="19"/>
        <v>0</v>
      </c>
    </row>
    <row r="1224" spans="1:2">
      <c r="A1224" s="435">
        <v>0</v>
      </c>
      <c r="B1224" s="435" t="b">
        <f t="shared" si="19"/>
        <v>0</v>
      </c>
    </row>
    <row r="1225" spans="1:2">
      <c r="A1225" s="435">
        <v>0</v>
      </c>
      <c r="B1225" s="435" t="b">
        <f t="shared" si="19"/>
        <v>0</v>
      </c>
    </row>
    <row r="1226" spans="1:2">
      <c r="A1226" s="435">
        <v>0</v>
      </c>
      <c r="B1226" s="435" t="b">
        <f t="shared" si="19"/>
        <v>0</v>
      </c>
    </row>
    <row r="1227" spans="1:2">
      <c r="A1227" s="435">
        <v>0</v>
      </c>
      <c r="B1227" s="435" t="b">
        <f t="shared" si="19"/>
        <v>0</v>
      </c>
    </row>
    <row r="1228" spans="1:2">
      <c r="A1228" s="435">
        <v>0</v>
      </c>
      <c r="B1228" s="435" t="b">
        <f t="shared" si="19"/>
        <v>0</v>
      </c>
    </row>
    <row r="1229" spans="1:2">
      <c r="A1229" s="435">
        <v>0</v>
      </c>
      <c r="B1229" s="435" t="b">
        <f t="shared" si="19"/>
        <v>0</v>
      </c>
    </row>
    <row r="1230" spans="1:2">
      <c r="A1230" s="435">
        <v>0</v>
      </c>
      <c r="B1230" s="435" t="b">
        <f t="shared" si="19"/>
        <v>0</v>
      </c>
    </row>
    <row r="1231" spans="1:2">
      <c r="A1231" s="435">
        <v>0</v>
      </c>
      <c r="B1231" s="435" t="b">
        <f t="shared" si="19"/>
        <v>0</v>
      </c>
    </row>
    <row r="1232" spans="1:2">
      <c r="A1232" s="435">
        <v>0</v>
      </c>
      <c r="B1232" s="435" t="b">
        <f t="shared" si="19"/>
        <v>0</v>
      </c>
    </row>
    <row r="1233" spans="1:2">
      <c r="A1233" s="435">
        <v>0</v>
      </c>
      <c r="B1233" s="435" t="b">
        <f t="shared" si="19"/>
        <v>0</v>
      </c>
    </row>
    <row r="1234" spans="1:2">
      <c r="A1234" s="435">
        <v>0</v>
      </c>
      <c r="B1234" s="435" t="b">
        <f t="shared" si="19"/>
        <v>0</v>
      </c>
    </row>
    <row r="1235" spans="1:2">
      <c r="A1235" s="435">
        <v>0</v>
      </c>
      <c r="B1235" s="435" t="b">
        <f t="shared" si="19"/>
        <v>0</v>
      </c>
    </row>
    <row r="1236" spans="1:2">
      <c r="A1236" s="435">
        <v>0</v>
      </c>
      <c r="B1236" s="435" t="b">
        <f t="shared" si="19"/>
        <v>0</v>
      </c>
    </row>
    <row r="1237" spans="1:2">
      <c r="A1237" s="435">
        <v>0</v>
      </c>
      <c r="B1237" s="435" t="b">
        <f t="shared" si="19"/>
        <v>0</v>
      </c>
    </row>
    <row r="1238" spans="1:2">
      <c r="A1238" s="435">
        <v>0</v>
      </c>
      <c r="B1238" s="435" t="b">
        <f t="shared" si="19"/>
        <v>0</v>
      </c>
    </row>
    <row r="1239" spans="1:2">
      <c r="A1239" s="435">
        <v>0</v>
      </c>
      <c r="B1239" s="435" t="b">
        <f t="shared" si="19"/>
        <v>0</v>
      </c>
    </row>
    <row r="1240" spans="1:2">
      <c r="A1240" s="435">
        <v>0</v>
      </c>
      <c r="B1240" s="435" t="b">
        <f t="shared" si="19"/>
        <v>0</v>
      </c>
    </row>
    <row r="1241" spans="1:2">
      <c r="A1241" s="435">
        <v>0</v>
      </c>
      <c r="B1241" s="435" t="b">
        <f t="shared" si="19"/>
        <v>0</v>
      </c>
    </row>
    <row r="1242" spans="1:2">
      <c r="A1242" s="435">
        <v>0</v>
      </c>
      <c r="B1242" s="435" t="b">
        <f t="shared" si="19"/>
        <v>0</v>
      </c>
    </row>
    <row r="1243" spans="1:2">
      <c r="A1243" s="435">
        <v>0</v>
      </c>
      <c r="B1243" s="435" t="b">
        <f t="shared" si="19"/>
        <v>0</v>
      </c>
    </row>
    <row r="1244" spans="1:2">
      <c r="A1244" s="435">
        <v>0</v>
      </c>
      <c r="B1244" s="435" t="b">
        <f t="shared" si="19"/>
        <v>0</v>
      </c>
    </row>
    <row r="1245" spans="1:2">
      <c r="A1245" s="435">
        <v>0</v>
      </c>
      <c r="B1245" s="435" t="b">
        <f t="shared" si="19"/>
        <v>0</v>
      </c>
    </row>
    <row r="1246" spans="1:2">
      <c r="A1246" s="435">
        <v>0</v>
      </c>
      <c r="B1246" s="435" t="b">
        <f t="shared" si="19"/>
        <v>0</v>
      </c>
    </row>
    <row r="1247" spans="1:2">
      <c r="A1247" s="435">
        <v>0</v>
      </c>
      <c r="B1247" s="435" t="b">
        <f t="shared" si="19"/>
        <v>0</v>
      </c>
    </row>
    <row r="1248" spans="1:2">
      <c r="A1248" s="435">
        <v>0</v>
      </c>
      <c r="B1248" s="435" t="b">
        <f t="shared" si="19"/>
        <v>0</v>
      </c>
    </row>
    <row r="1249" spans="2:2">
      <c r="B1249" s="435" t="b">
        <f t="shared" si="19"/>
        <v>0</v>
      </c>
    </row>
    <row r="1250" spans="2:2">
      <c r="B1250" s="435" t="b">
        <f t="shared" si="19"/>
        <v>0</v>
      </c>
    </row>
    <row r="1251" spans="2:2">
      <c r="B1251" s="435" t="b">
        <f t="shared" si="19"/>
        <v>0</v>
      </c>
    </row>
    <row r="1252" spans="2:2">
      <c r="B1252" s="435" t="b">
        <f t="shared" si="19"/>
        <v>0</v>
      </c>
    </row>
    <row r="1253" spans="2:2">
      <c r="B1253" s="435" t="b">
        <f t="shared" si="19"/>
        <v>0</v>
      </c>
    </row>
    <row r="1254" spans="2:2">
      <c r="B1254" s="435" t="b">
        <f t="shared" si="19"/>
        <v>0</v>
      </c>
    </row>
    <row r="1255" spans="2:2">
      <c r="B1255" s="435" t="b">
        <f t="shared" si="19"/>
        <v>0</v>
      </c>
    </row>
    <row r="1256" spans="2:2">
      <c r="B1256" s="435" t="b">
        <f t="shared" si="19"/>
        <v>0</v>
      </c>
    </row>
    <row r="1257" spans="2:2">
      <c r="B1257" s="435" t="b">
        <f t="shared" si="19"/>
        <v>0</v>
      </c>
    </row>
    <row r="1258" spans="2:2">
      <c r="B1258" s="435" t="b">
        <f t="shared" si="19"/>
        <v>0</v>
      </c>
    </row>
    <row r="1259" spans="2:2">
      <c r="B1259" s="435" t="b">
        <f t="shared" si="19"/>
        <v>0</v>
      </c>
    </row>
    <row r="1260" spans="2:2">
      <c r="B1260" s="435" t="b">
        <f t="shared" si="19"/>
        <v>0</v>
      </c>
    </row>
    <row r="1261" spans="2:2">
      <c r="B1261" s="435" t="b">
        <f t="shared" si="19"/>
        <v>0</v>
      </c>
    </row>
    <row r="1262" spans="2:2">
      <c r="B1262" s="435" t="b">
        <f t="shared" si="19"/>
        <v>0</v>
      </c>
    </row>
    <row r="1263" spans="2:2">
      <c r="B1263" s="435" t="b">
        <f t="shared" si="19"/>
        <v>0</v>
      </c>
    </row>
    <row r="1264" spans="2:2">
      <c r="B1264" s="435" t="b">
        <f t="shared" si="19"/>
        <v>0</v>
      </c>
    </row>
    <row r="1265" spans="2:2">
      <c r="B1265" s="435" t="b">
        <f t="shared" si="19"/>
        <v>0</v>
      </c>
    </row>
    <row r="1266" spans="2:2">
      <c r="B1266" s="435" t="b">
        <f t="shared" si="19"/>
        <v>0</v>
      </c>
    </row>
    <row r="1267" spans="2:2">
      <c r="B1267" s="435" t="b">
        <f t="shared" si="19"/>
        <v>0</v>
      </c>
    </row>
    <row r="1268" spans="2:2">
      <c r="B1268" s="435" t="b">
        <f t="shared" si="19"/>
        <v>0</v>
      </c>
    </row>
    <row r="1269" spans="2:2">
      <c r="B1269" s="435" t="b">
        <f t="shared" si="19"/>
        <v>0</v>
      </c>
    </row>
    <row r="1270" spans="2:2">
      <c r="B1270" s="435" t="b">
        <f t="shared" si="19"/>
        <v>0</v>
      </c>
    </row>
    <row r="1271" spans="2:2">
      <c r="B1271" s="435" t="b">
        <f t="shared" si="19"/>
        <v>0</v>
      </c>
    </row>
    <row r="1272" spans="2:2">
      <c r="B1272" s="435" t="b">
        <f t="shared" si="19"/>
        <v>0</v>
      </c>
    </row>
    <row r="1273" spans="2:2">
      <c r="B1273" s="435" t="b">
        <f t="shared" si="19"/>
        <v>0</v>
      </c>
    </row>
    <row r="1274" spans="2:2">
      <c r="B1274" s="435" t="b">
        <f t="shared" si="19"/>
        <v>0</v>
      </c>
    </row>
    <row r="1275" spans="2:2">
      <c r="B1275" s="435" t="b">
        <f t="shared" si="19"/>
        <v>0</v>
      </c>
    </row>
    <row r="1276" spans="2:2">
      <c r="B1276" s="435" t="b">
        <f t="shared" si="19"/>
        <v>0</v>
      </c>
    </row>
    <row r="1277" spans="2:2">
      <c r="B1277" s="435" t="b">
        <f t="shared" si="19"/>
        <v>0</v>
      </c>
    </row>
    <row r="1278" spans="2:2">
      <c r="B1278" s="435" t="b">
        <f t="shared" si="19"/>
        <v>0</v>
      </c>
    </row>
    <row r="1279" spans="2:2">
      <c r="B1279" s="435" t="b">
        <f t="shared" si="19"/>
        <v>0</v>
      </c>
    </row>
    <row r="1280" spans="2:2">
      <c r="B1280" s="435" t="b">
        <f t="shared" si="19"/>
        <v>0</v>
      </c>
    </row>
    <row r="1281" spans="2:2">
      <c r="B1281" s="435" t="b">
        <f t="shared" si="19"/>
        <v>0</v>
      </c>
    </row>
    <row r="1282" spans="2:2">
      <c r="B1282" s="435" t="b">
        <f t="shared" ref="B1282:B1345" si="20">IF(A1282=0,FALSE,(COUNTIF(A:A,A1282)&gt;10))</f>
        <v>0</v>
      </c>
    </row>
    <row r="1283" spans="2:2">
      <c r="B1283" s="435" t="b">
        <f t="shared" si="20"/>
        <v>0</v>
      </c>
    </row>
    <row r="1284" spans="2:2">
      <c r="B1284" s="435" t="b">
        <f t="shared" si="20"/>
        <v>0</v>
      </c>
    </row>
    <row r="1285" spans="2:2">
      <c r="B1285" s="435" t="b">
        <f t="shared" si="20"/>
        <v>0</v>
      </c>
    </row>
    <row r="1286" spans="2:2">
      <c r="B1286" s="435" t="b">
        <f t="shared" si="20"/>
        <v>0</v>
      </c>
    </row>
    <row r="1287" spans="2:2">
      <c r="B1287" s="435" t="b">
        <f t="shared" si="20"/>
        <v>0</v>
      </c>
    </row>
    <row r="1288" spans="2:2">
      <c r="B1288" s="435" t="b">
        <f t="shared" si="20"/>
        <v>0</v>
      </c>
    </row>
    <row r="1289" spans="2:2">
      <c r="B1289" s="435" t="b">
        <f t="shared" si="20"/>
        <v>0</v>
      </c>
    </row>
    <row r="1290" spans="2:2">
      <c r="B1290" s="435" t="b">
        <f t="shared" si="20"/>
        <v>0</v>
      </c>
    </row>
    <row r="1291" spans="2:2">
      <c r="B1291" s="435" t="b">
        <f t="shared" si="20"/>
        <v>0</v>
      </c>
    </row>
    <row r="1292" spans="2:2">
      <c r="B1292" s="435" t="b">
        <f t="shared" si="20"/>
        <v>0</v>
      </c>
    </row>
    <row r="1293" spans="2:2">
      <c r="B1293" s="435" t="b">
        <f t="shared" si="20"/>
        <v>0</v>
      </c>
    </row>
    <row r="1294" spans="2:2">
      <c r="B1294" s="435" t="b">
        <f t="shared" si="20"/>
        <v>0</v>
      </c>
    </row>
    <row r="1295" spans="2:2">
      <c r="B1295" s="435" t="b">
        <f t="shared" si="20"/>
        <v>0</v>
      </c>
    </row>
    <row r="1296" spans="2:2">
      <c r="B1296" s="435" t="b">
        <f t="shared" si="20"/>
        <v>0</v>
      </c>
    </row>
    <row r="1297" spans="2:2">
      <c r="B1297" s="435" t="b">
        <f t="shared" si="20"/>
        <v>0</v>
      </c>
    </row>
    <row r="1298" spans="2:2">
      <c r="B1298" s="435" t="b">
        <f t="shared" si="20"/>
        <v>0</v>
      </c>
    </row>
    <row r="1299" spans="2:2">
      <c r="B1299" s="435" t="b">
        <f t="shared" si="20"/>
        <v>0</v>
      </c>
    </row>
    <row r="1300" spans="2:2">
      <c r="B1300" s="435" t="b">
        <f t="shared" si="20"/>
        <v>0</v>
      </c>
    </row>
    <row r="1301" spans="2:2">
      <c r="B1301" s="435" t="b">
        <f t="shared" si="20"/>
        <v>0</v>
      </c>
    </row>
    <row r="1302" spans="2:2">
      <c r="B1302" s="435" t="b">
        <f t="shared" si="20"/>
        <v>0</v>
      </c>
    </row>
    <row r="1303" spans="2:2">
      <c r="B1303" s="435" t="b">
        <f t="shared" si="20"/>
        <v>0</v>
      </c>
    </row>
    <row r="1304" spans="2:2">
      <c r="B1304" s="435" t="b">
        <f t="shared" si="20"/>
        <v>0</v>
      </c>
    </row>
    <row r="1305" spans="2:2">
      <c r="B1305" s="435" t="b">
        <f t="shared" si="20"/>
        <v>0</v>
      </c>
    </row>
    <row r="1306" spans="2:2">
      <c r="B1306" s="435" t="b">
        <f t="shared" si="20"/>
        <v>0</v>
      </c>
    </row>
    <row r="1307" spans="2:2">
      <c r="B1307" s="435" t="b">
        <f t="shared" si="20"/>
        <v>0</v>
      </c>
    </row>
    <row r="1308" spans="2:2">
      <c r="B1308" s="435" t="b">
        <f t="shared" si="20"/>
        <v>0</v>
      </c>
    </row>
    <row r="1309" spans="2:2">
      <c r="B1309" s="435" t="b">
        <f t="shared" si="20"/>
        <v>0</v>
      </c>
    </row>
    <row r="1310" spans="2:2">
      <c r="B1310" s="435" t="b">
        <f t="shared" si="20"/>
        <v>0</v>
      </c>
    </row>
    <row r="1311" spans="2:2">
      <c r="B1311" s="435" t="b">
        <f t="shared" si="20"/>
        <v>0</v>
      </c>
    </row>
    <row r="1312" spans="2:2">
      <c r="B1312" s="435" t="b">
        <f t="shared" si="20"/>
        <v>0</v>
      </c>
    </row>
    <row r="1313" spans="2:2">
      <c r="B1313" s="435" t="b">
        <f t="shared" si="20"/>
        <v>0</v>
      </c>
    </row>
    <row r="1314" spans="2:2">
      <c r="B1314" s="435" t="b">
        <f t="shared" si="20"/>
        <v>0</v>
      </c>
    </row>
    <row r="1315" spans="2:2">
      <c r="B1315" s="435" t="b">
        <f t="shared" si="20"/>
        <v>0</v>
      </c>
    </row>
    <row r="1316" spans="2:2">
      <c r="B1316" s="435" t="b">
        <f t="shared" si="20"/>
        <v>0</v>
      </c>
    </row>
    <row r="1317" spans="2:2">
      <c r="B1317" s="435" t="b">
        <f t="shared" si="20"/>
        <v>0</v>
      </c>
    </row>
    <row r="1318" spans="2:2">
      <c r="B1318" s="435" t="b">
        <f t="shared" si="20"/>
        <v>0</v>
      </c>
    </row>
    <row r="1319" spans="2:2">
      <c r="B1319" s="435" t="b">
        <f t="shared" si="20"/>
        <v>0</v>
      </c>
    </row>
    <row r="1320" spans="2:2">
      <c r="B1320" s="435" t="b">
        <f t="shared" si="20"/>
        <v>0</v>
      </c>
    </row>
    <row r="1321" spans="2:2">
      <c r="B1321" s="435" t="b">
        <f t="shared" si="20"/>
        <v>0</v>
      </c>
    </row>
    <row r="1322" spans="2:2">
      <c r="B1322" s="435" t="b">
        <f t="shared" si="20"/>
        <v>0</v>
      </c>
    </row>
    <row r="1323" spans="2:2">
      <c r="B1323" s="435" t="b">
        <f t="shared" si="20"/>
        <v>0</v>
      </c>
    </row>
    <row r="1324" spans="2:2">
      <c r="B1324" s="435" t="b">
        <f t="shared" si="20"/>
        <v>0</v>
      </c>
    </row>
    <row r="1325" spans="2:2">
      <c r="B1325" s="435" t="b">
        <f t="shared" si="20"/>
        <v>0</v>
      </c>
    </row>
    <row r="1326" spans="2:2">
      <c r="B1326" s="435" t="b">
        <f t="shared" si="20"/>
        <v>0</v>
      </c>
    </row>
    <row r="1327" spans="2:2">
      <c r="B1327" s="435" t="b">
        <f t="shared" si="20"/>
        <v>0</v>
      </c>
    </row>
    <row r="1328" spans="2:2">
      <c r="B1328" s="435" t="b">
        <f t="shared" si="20"/>
        <v>0</v>
      </c>
    </row>
    <row r="1329" spans="2:2">
      <c r="B1329" s="435" t="b">
        <f t="shared" si="20"/>
        <v>0</v>
      </c>
    </row>
    <row r="1330" spans="2:2">
      <c r="B1330" s="435" t="b">
        <f t="shared" si="20"/>
        <v>0</v>
      </c>
    </row>
    <row r="1331" spans="2:2">
      <c r="B1331" s="435" t="b">
        <f t="shared" si="20"/>
        <v>0</v>
      </c>
    </row>
    <row r="1332" spans="2:2">
      <c r="B1332" s="435" t="b">
        <f t="shared" si="20"/>
        <v>0</v>
      </c>
    </row>
    <row r="1333" spans="2:2">
      <c r="B1333" s="435" t="b">
        <f t="shared" si="20"/>
        <v>0</v>
      </c>
    </row>
    <row r="1334" spans="2:2">
      <c r="B1334" s="435" t="b">
        <f t="shared" si="20"/>
        <v>0</v>
      </c>
    </row>
    <row r="1335" spans="2:2">
      <c r="B1335" s="435" t="b">
        <f t="shared" si="20"/>
        <v>0</v>
      </c>
    </row>
    <row r="1336" spans="2:2">
      <c r="B1336" s="435" t="b">
        <f t="shared" si="20"/>
        <v>0</v>
      </c>
    </row>
    <row r="1337" spans="2:2">
      <c r="B1337" s="435" t="b">
        <f t="shared" si="20"/>
        <v>0</v>
      </c>
    </row>
    <row r="1338" spans="2:2">
      <c r="B1338" s="435" t="b">
        <f t="shared" si="20"/>
        <v>0</v>
      </c>
    </row>
    <row r="1339" spans="2:2">
      <c r="B1339" s="435" t="b">
        <f t="shared" si="20"/>
        <v>0</v>
      </c>
    </row>
    <row r="1340" spans="2:2">
      <c r="B1340" s="435" t="b">
        <f t="shared" si="20"/>
        <v>0</v>
      </c>
    </row>
    <row r="1341" spans="2:2">
      <c r="B1341" s="435" t="b">
        <f t="shared" si="20"/>
        <v>0</v>
      </c>
    </row>
    <row r="1342" spans="2:2">
      <c r="B1342" s="435" t="b">
        <f t="shared" si="20"/>
        <v>0</v>
      </c>
    </row>
    <row r="1343" spans="2:2">
      <c r="B1343" s="435" t="b">
        <f t="shared" si="20"/>
        <v>0</v>
      </c>
    </row>
    <row r="1344" spans="2:2">
      <c r="B1344" s="435" t="b">
        <f t="shared" si="20"/>
        <v>0</v>
      </c>
    </row>
    <row r="1345" spans="2:2">
      <c r="B1345" s="435" t="b">
        <f t="shared" si="20"/>
        <v>0</v>
      </c>
    </row>
    <row r="1346" spans="2:2">
      <c r="B1346" s="435" t="b">
        <f t="shared" ref="B1346:B1409" si="21">IF(A1346=0,FALSE,(COUNTIF(A:A,A1346)&gt;10))</f>
        <v>0</v>
      </c>
    </row>
    <row r="1347" spans="2:2">
      <c r="B1347" s="435" t="b">
        <f t="shared" si="21"/>
        <v>0</v>
      </c>
    </row>
    <row r="1348" spans="2:2">
      <c r="B1348" s="435" t="b">
        <f t="shared" si="21"/>
        <v>0</v>
      </c>
    </row>
    <row r="1349" spans="2:2">
      <c r="B1349" s="435" t="b">
        <f t="shared" si="21"/>
        <v>0</v>
      </c>
    </row>
    <row r="1350" spans="2:2">
      <c r="B1350" s="435" t="b">
        <f t="shared" si="21"/>
        <v>0</v>
      </c>
    </row>
    <row r="1351" spans="2:2">
      <c r="B1351" s="435" t="b">
        <f t="shared" si="21"/>
        <v>0</v>
      </c>
    </row>
    <row r="1352" spans="2:2">
      <c r="B1352" s="435" t="b">
        <f t="shared" si="21"/>
        <v>0</v>
      </c>
    </row>
    <row r="1353" spans="2:2">
      <c r="B1353" s="435" t="b">
        <f t="shared" si="21"/>
        <v>0</v>
      </c>
    </row>
    <row r="1354" spans="2:2">
      <c r="B1354" s="435" t="b">
        <f t="shared" si="21"/>
        <v>0</v>
      </c>
    </row>
    <row r="1355" spans="2:2">
      <c r="B1355" s="435" t="b">
        <f t="shared" si="21"/>
        <v>0</v>
      </c>
    </row>
    <row r="1356" spans="2:2">
      <c r="B1356" s="435" t="b">
        <f t="shared" si="21"/>
        <v>0</v>
      </c>
    </row>
    <row r="1357" spans="2:2">
      <c r="B1357" s="435" t="b">
        <f t="shared" si="21"/>
        <v>0</v>
      </c>
    </row>
    <row r="1358" spans="2:2">
      <c r="B1358" s="435" t="b">
        <f t="shared" si="21"/>
        <v>0</v>
      </c>
    </row>
    <row r="1359" spans="2:2">
      <c r="B1359" s="435" t="b">
        <f t="shared" si="21"/>
        <v>0</v>
      </c>
    </row>
    <row r="1360" spans="2:2">
      <c r="B1360" s="435" t="b">
        <f t="shared" si="21"/>
        <v>0</v>
      </c>
    </row>
    <row r="1361" spans="2:2">
      <c r="B1361" s="435" t="b">
        <f t="shared" si="21"/>
        <v>0</v>
      </c>
    </row>
    <row r="1362" spans="2:2">
      <c r="B1362" s="435" t="b">
        <f t="shared" si="21"/>
        <v>0</v>
      </c>
    </row>
    <row r="1363" spans="2:2">
      <c r="B1363" s="435" t="b">
        <f t="shared" si="21"/>
        <v>0</v>
      </c>
    </row>
    <row r="1364" spans="2:2">
      <c r="B1364" s="435" t="b">
        <f t="shared" si="21"/>
        <v>0</v>
      </c>
    </row>
    <row r="1365" spans="2:2">
      <c r="B1365" s="435" t="b">
        <f t="shared" si="21"/>
        <v>0</v>
      </c>
    </row>
    <row r="1366" spans="2:2">
      <c r="B1366" s="435" t="b">
        <f t="shared" si="21"/>
        <v>0</v>
      </c>
    </row>
    <row r="1367" spans="2:2">
      <c r="B1367" s="435" t="b">
        <f t="shared" si="21"/>
        <v>0</v>
      </c>
    </row>
    <row r="1368" spans="2:2">
      <c r="B1368" s="435" t="b">
        <f t="shared" si="21"/>
        <v>0</v>
      </c>
    </row>
    <row r="1369" spans="2:2">
      <c r="B1369" s="435" t="b">
        <f t="shared" si="21"/>
        <v>0</v>
      </c>
    </row>
    <row r="1370" spans="2:2">
      <c r="B1370" s="435" t="b">
        <f t="shared" si="21"/>
        <v>0</v>
      </c>
    </row>
    <row r="1371" spans="2:2">
      <c r="B1371" s="435" t="b">
        <f t="shared" si="21"/>
        <v>0</v>
      </c>
    </row>
    <row r="1372" spans="2:2">
      <c r="B1372" s="435" t="b">
        <f t="shared" si="21"/>
        <v>0</v>
      </c>
    </row>
    <row r="1373" spans="2:2">
      <c r="B1373" s="435" t="b">
        <f t="shared" si="21"/>
        <v>0</v>
      </c>
    </row>
    <row r="1374" spans="2:2">
      <c r="B1374" s="435" t="b">
        <f t="shared" si="21"/>
        <v>0</v>
      </c>
    </row>
    <row r="1375" spans="2:2">
      <c r="B1375" s="435" t="b">
        <f t="shared" si="21"/>
        <v>0</v>
      </c>
    </row>
    <row r="1376" spans="2:2">
      <c r="B1376" s="435" t="b">
        <f t="shared" si="21"/>
        <v>0</v>
      </c>
    </row>
    <row r="1377" spans="2:2">
      <c r="B1377" s="435" t="b">
        <f t="shared" si="21"/>
        <v>0</v>
      </c>
    </row>
    <row r="1378" spans="2:2">
      <c r="B1378" s="435" t="b">
        <f t="shared" si="21"/>
        <v>0</v>
      </c>
    </row>
    <row r="1379" spans="2:2">
      <c r="B1379" s="435" t="b">
        <f t="shared" si="21"/>
        <v>0</v>
      </c>
    </row>
    <row r="1380" spans="2:2">
      <c r="B1380" s="435" t="b">
        <f t="shared" si="21"/>
        <v>0</v>
      </c>
    </row>
    <row r="1381" spans="2:2">
      <c r="B1381" s="435" t="b">
        <f t="shared" si="21"/>
        <v>0</v>
      </c>
    </row>
    <row r="1382" spans="2:2">
      <c r="B1382" s="435" t="b">
        <f t="shared" si="21"/>
        <v>0</v>
      </c>
    </row>
    <row r="1383" spans="2:2">
      <c r="B1383" s="435" t="b">
        <f t="shared" si="21"/>
        <v>0</v>
      </c>
    </row>
    <row r="1384" spans="2:2">
      <c r="B1384" s="435" t="b">
        <f t="shared" si="21"/>
        <v>0</v>
      </c>
    </row>
    <row r="1385" spans="2:2">
      <c r="B1385" s="435" t="b">
        <f t="shared" si="21"/>
        <v>0</v>
      </c>
    </row>
    <row r="1386" spans="2:2">
      <c r="B1386" s="435" t="b">
        <f t="shared" si="21"/>
        <v>0</v>
      </c>
    </row>
    <row r="1387" spans="2:2">
      <c r="B1387" s="435" t="b">
        <f t="shared" si="21"/>
        <v>0</v>
      </c>
    </row>
    <row r="1388" spans="2:2">
      <c r="B1388" s="435" t="b">
        <f t="shared" si="21"/>
        <v>0</v>
      </c>
    </row>
    <row r="1389" spans="2:2">
      <c r="B1389" s="435" t="b">
        <f t="shared" si="21"/>
        <v>0</v>
      </c>
    </row>
    <row r="1390" spans="2:2">
      <c r="B1390" s="435" t="b">
        <f t="shared" si="21"/>
        <v>0</v>
      </c>
    </row>
    <row r="1391" spans="2:2">
      <c r="B1391" s="435" t="b">
        <f t="shared" si="21"/>
        <v>0</v>
      </c>
    </row>
    <row r="1392" spans="2:2">
      <c r="B1392" s="435" t="b">
        <f t="shared" si="21"/>
        <v>0</v>
      </c>
    </row>
    <row r="1393" spans="2:2">
      <c r="B1393" s="435" t="b">
        <f t="shared" si="21"/>
        <v>0</v>
      </c>
    </row>
    <row r="1394" spans="2:2">
      <c r="B1394" s="435" t="b">
        <f t="shared" si="21"/>
        <v>0</v>
      </c>
    </row>
    <row r="1395" spans="2:2">
      <c r="B1395" s="435" t="b">
        <f t="shared" si="21"/>
        <v>0</v>
      </c>
    </row>
    <row r="1396" spans="2:2">
      <c r="B1396" s="435" t="b">
        <f t="shared" si="21"/>
        <v>0</v>
      </c>
    </row>
    <row r="1397" spans="2:2">
      <c r="B1397" s="435" t="b">
        <f t="shared" si="21"/>
        <v>0</v>
      </c>
    </row>
    <row r="1398" spans="2:2">
      <c r="B1398" s="435" t="b">
        <f t="shared" si="21"/>
        <v>0</v>
      </c>
    </row>
    <row r="1399" spans="2:2">
      <c r="B1399" s="435" t="b">
        <f t="shared" si="21"/>
        <v>0</v>
      </c>
    </row>
    <row r="1400" spans="2:2">
      <c r="B1400" s="435" t="b">
        <f t="shared" si="21"/>
        <v>0</v>
      </c>
    </row>
    <row r="1401" spans="2:2">
      <c r="B1401" s="435" t="b">
        <f t="shared" si="21"/>
        <v>0</v>
      </c>
    </row>
    <row r="1402" spans="2:2">
      <c r="B1402" s="435" t="b">
        <f t="shared" si="21"/>
        <v>0</v>
      </c>
    </row>
    <row r="1403" spans="2:2">
      <c r="B1403" s="435" t="b">
        <f t="shared" si="21"/>
        <v>0</v>
      </c>
    </row>
    <row r="1404" spans="2:2">
      <c r="B1404" s="435" t="b">
        <f t="shared" si="21"/>
        <v>0</v>
      </c>
    </row>
    <row r="1405" spans="2:2">
      <c r="B1405" s="435" t="b">
        <f t="shared" si="21"/>
        <v>0</v>
      </c>
    </row>
    <row r="1406" spans="2:2">
      <c r="B1406" s="435" t="b">
        <f t="shared" si="21"/>
        <v>0</v>
      </c>
    </row>
    <row r="1407" spans="2:2">
      <c r="B1407" s="435" t="b">
        <f t="shared" si="21"/>
        <v>0</v>
      </c>
    </row>
    <row r="1408" spans="2:2">
      <c r="B1408" s="435" t="b">
        <f t="shared" si="21"/>
        <v>0</v>
      </c>
    </row>
    <row r="1409" spans="2:2">
      <c r="B1409" s="435" t="b">
        <f t="shared" si="21"/>
        <v>0</v>
      </c>
    </row>
    <row r="1410" spans="2:2">
      <c r="B1410" s="435" t="b">
        <f t="shared" ref="B1410:B1473" si="22">IF(A1410=0,FALSE,(COUNTIF(A:A,A1410)&gt;10))</f>
        <v>0</v>
      </c>
    </row>
    <row r="1411" spans="2:2">
      <c r="B1411" s="435" t="b">
        <f t="shared" si="22"/>
        <v>0</v>
      </c>
    </row>
    <row r="1412" spans="2:2">
      <c r="B1412" s="435" t="b">
        <f t="shared" si="22"/>
        <v>0</v>
      </c>
    </row>
    <row r="1413" spans="2:2">
      <c r="B1413" s="435" t="b">
        <f t="shared" si="22"/>
        <v>0</v>
      </c>
    </row>
    <row r="1414" spans="2:2">
      <c r="B1414" s="435" t="b">
        <f t="shared" si="22"/>
        <v>0</v>
      </c>
    </row>
    <row r="1415" spans="2:2">
      <c r="B1415" s="435" t="b">
        <f t="shared" si="22"/>
        <v>0</v>
      </c>
    </row>
    <row r="1416" spans="2:2">
      <c r="B1416" s="435" t="b">
        <f t="shared" si="22"/>
        <v>0</v>
      </c>
    </row>
    <row r="1417" spans="2:2">
      <c r="B1417" s="435" t="b">
        <f t="shared" si="22"/>
        <v>0</v>
      </c>
    </row>
    <row r="1418" spans="2:2">
      <c r="B1418" s="435" t="b">
        <f t="shared" si="22"/>
        <v>0</v>
      </c>
    </row>
    <row r="1419" spans="2:2">
      <c r="B1419" s="435" t="b">
        <f t="shared" si="22"/>
        <v>0</v>
      </c>
    </row>
    <row r="1420" spans="2:2">
      <c r="B1420" s="435" t="b">
        <f t="shared" si="22"/>
        <v>0</v>
      </c>
    </row>
    <row r="1421" spans="2:2">
      <c r="B1421" s="435" t="b">
        <f t="shared" si="22"/>
        <v>0</v>
      </c>
    </row>
    <row r="1422" spans="2:2">
      <c r="B1422" s="435" t="b">
        <f t="shared" si="22"/>
        <v>0</v>
      </c>
    </row>
    <row r="1423" spans="2:2">
      <c r="B1423" s="435" t="b">
        <f t="shared" si="22"/>
        <v>0</v>
      </c>
    </row>
    <row r="1424" spans="2:2">
      <c r="B1424" s="435" t="b">
        <f t="shared" si="22"/>
        <v>0</v>
      </c>
    </row>
    <row r="1425" spans="2:2">
      <c r="B1425" s="435" t="b">
        <f t="shared" si="22"/>
        <v>0</v>
      </c>
    </row>
    <row r="1426" spans="2:2">
      <c r="B1426" s="435" t="b">
        <f t="shared" si="22"/>
        <v>0</v>
      </c>
    </row>
    <row r="1427" spans="2:2">
      <c r="B1427" s="435" t="b">
        <f t="shared" si="22"/>
        <v>0</v>
      </c>
    </row>
    <row r="1428" spans="2:2">
      <c r="B1428" s="435" t="b">
        <f t="shared" si="22"/>
        <v>0</v>
      </c>
    </row>
    <row r="1429" spans="2:2">
      <c r="B1429" s="435" t="b">
        <f t="shared" si="22"/>
        <v>0</v>
      </c>
    </row>
    <row r="1430" spans="2:2">
      <c r="B1430" s="435" t="b">
        <f t="shared" si="22"/>
        <v>0</v>
      </c>
    </row>
    <row r="1431" spans="2:2">
      <c r="B1431" s="435" t="b">
        <f t="shared" si="22"/>
        <v>0</v>
      </c>
    </row>
    <row r="1432" spans="2:2">
      <c r="B1432" s="435" t="b">
        <f t="shared" si="22"/>
        <v>0</v>
      </c>
    </row>
    <row r="1433" spans="2:2">
      <c r="B1433" s="435" t="b">
        <f t="shared" si="22"/>
        <v>0</v>
      </c>
    </row>
    <row r="1434" spans="2:2">
      <c r="B1434" s="435" t="b">
        <f t="shared" si="22"/>
        <v>0</v>
      </c>
    </row>
    <row r="1435" spans="2:2">
      <c r="B1435" s="435" t="b">
        <f t="shared" si="22"/>
        <v>0</v>
      </c>
    </row>
    <row r="1436" spans="2:2">
      <c r="B1436" s="435" t="b">
        <f t="shared" si="22"/>
        <v>0</v>
      </c>
    </row>
    <row r="1437" spans="2:2">
      <c r="B1437" s="435" t="b">
        <f t="shared" si="22"/>
        <v>0</v>
      </c>
    </row>
    <row r="1438" spans="2:2">
      <c r="B1438" s="435" t="b">
        <f t="shared" si="22"/>
        <v>0</v>
      </c>
    </row>
    <row r="1439" spans="2:2">
      <c r="B1439" s="435" t="b">
        <f t="shared" si="22"/>
        <v>0</v>
      </c>
    </row>
    <row r="1440" spans="2:2">
      <c r="B1440" s="435" t="b">
        <f t="shared" si="22"/>
        <v>0</v>
      </c>
    </row>
    <row r="1441" spans="2:2">
      <c r="B1441" s="435" t="b">
        <f t="shared" si="22"/>
        <v>0</v>
      </c>
    </row>
    <row r="1442" spans="2:2">
      <c r="B1442" s="435" t="b">
        <f t="shared" si="22"/>
        <v>0</v>
      </c>
    </row>
    <row r="1443" spans="2:2">
      <c r="B1443" s="435" t="b">
        <f t="shared" si="22"/>
        <v>0</v>
      </c>
    </row>
    <row r="1444" spans="2:2">
      <c r="B1444" s="435" t="b">
        <f t="shared" si="22"/>
        <v>0</v>
      </c>
    </row>
    <row r="1445" spans="2:2">
      <c r="B1445" s="435" t="b">
        <f t="shared" si="22"/>
        <v>0</v>
      </c>
    </row>
    <row r="1446" spans="2:2">
      <c r="B1446" s="435" t="b">
        <f t="shared" si="22"/>
        <v>0</v>
      </c>
    </row>
    <row r="1447" spans="2:2">
      <c r="B1447" s="435" t="b">
        <f t="shared" si="22"/>
        <v>0</v>
      </c>
    </row>
    <row r="1448" spans="2:2">
      <c r="B1448" s="435" t="b">
        <f t="shared" si="22"/>
        <v>0</v>
      </c>
    </row>
    <row r="1449" spans="2:2">
      <c r="B1449" s="435" t="b">
        <f t="shared" si="22"/>
        <v>0</v>
      </c>
    </row>
    <row r="1450" spans="2:2">
      <c r="B1450" s="435" t="b">
        <f t="shared" si="22"/>
        <v>0</v>
      </c>
    </row>
    <row r="1451" spans="2:2">
      <c r="B1451" s="435" t="b">
        <f t="shared" si="22"/>
        <v>0</v>
      </c>
    </row>
    <row r="1452" spans="2:2">
      <c r="B1452" s="435" t="b">
        <f t="shared" si="22"/>
        <v>0</v>
      </c>
    </row>
    <row r="1453" spans="2:2">
      <c r="B1453" s="435" t="b">
        <f t="shared" si="22"/>
        <v>0</v>
      </c>
    </row>
    <row r="1454" spans="2:2">
      <c r="B1454" s="435" t="b">
        <f t="shared" si="22"/>
        <v>0</v>
      </c>
    </row>
    <row r="1455" spans="2:2">
      <c r="B1455" s="435" t="b">
        <f t="shared" si="22"/>
        <v>0</v>
      </c>
    </row>
    <row r="1456" spans="2:2">
      <c r="B1456" s="435" t="b">
        <f t="shared" si="22"/>
        <v>0</v>
      </c>
    </row>
    <row r="1457" spans="2:2">
      <c r="B1457" s="435" t="b">
        <f t="shared" si="22"/>
        <v>0</v>
      </c>
    </row>
    <row r="1458" spans="2:2">
      <c r="B1458" s="435" t="b">
        <f t="shared" si="22"/>
        <v>0</v>
      </c>
    </row>
    <row r="1459" spans="2:2">
      <c r="B1459" s="435" t="b">
        <f t="shared" si="22"/>
        <v>0</v>
      </c>
    </row>
    <row r="1460" spans="2:2">
      <c r="B1460" s="435" t="b">
        <f t="shared" si="22"/>
        <v>0</v>
      </c>
    </row>
    <row r="1461" spans="2:2">
      <c r="B1461" s="435" t="b">
        <f t="shared" si="22"/>
        <v>0</v>
      </c>
    </row>
    <row r="1462" spans="2:2">
      <c r="B1462" s="435" t="b">
        <f t="shared" si="22"/>
        <v>0</v>
      </c>
    </row>
    <row r="1463" spans="2:2">
      <c r="B1463" s="435" t="b">
        <f t="shared" si="22"/>
        <v>0</v>
      </c>
    </row>
    <row r="1464" spans="2:2">
      <c r="B1464" s="435" t="b">
        <f t="shared" si="22"/>
        <v>0</v>
      </c>
    </row>
    <row r="1465" spans="2:2">
      <c r="B1465" s="435" t="b">
        <f t="shared" si="22"/>
        <v>0</v>
      </c>
    </row>
    <row r="1466" spans="2:2">
      <c r="B1466" s="435" t="b">
        <f t="shared" si="22"/>
        <v>0</v>
      </c>
    </row>
    <row r="1467" spans="2:2">
      <c r="B1467" s="435" t="b">
        <f t="shared" si="22"/>
        <v>0</v>
      </c>
    </row>
    <row r="1468" spans="2:2">
      <c r="B1468" s="435" t="b">
        <f t="shared" si="22"/>
        <v>0</v>
      </c>
    </row>
    <row r="1469" spans="2:2">
      <c r="B1469" s="435" t="b">
        <f t="shared" si="22"/>
        <v>0</v>
      </c>
    </row>
    <row r="1470" spans="2:2">
      <c r="B1470" s="435" t="b">
        <f t="shared" si="22"/>
        <v>0</v>
      </c>
    </row>
    <row r="1471" spans="2:2">
      <c r="B1471" s="435" t="b">
        <f t="shared" si="22"/>
        <v>0</v>
      </c>
    </row>
    <row r="1472" spans="2:2">
      <c r="B1472" s="435" t="b">
        <f t="shared" si="22"/>
        <v>0</v>
      </c>
    </row>
    <row r="1473" spans="2:2">
      <c r="B1473" s="435" t="b">
        <f t="shared" si="22"/>
        <v>0</v>
      </c>
    </row>
    <row r="1474" spans="2:2">
      <c r="B1474" s="435" t="b">
        <f t="shared" ref="B1474:B1537" si="23">IF(A1474=0,FALSE,(COUNTIF(A:A,A1474)&gt;10))</f>
        <v>0</v>
      </c>
    </row>
    <row r="1475" spans="2:2">
      <c r="B1475" s="435" t="b">
        <f t="shared" si="23"/>
        <v>0</v>
      </c>
    </row>
    <row r="1476" spans="2:2">
      <c r="B1476" s="435" t="b">
        <f t="shared" si="23"/>
        <v>0</v>
      </c>
    </row>
    <row r="1477" spans="2:2">
      <c r="B1477" s="435" t="b">
        <f t="shared" si="23"/>
        <v>0</v>
      </c>
    </row>
    <row r="1478" spans="2:2">
      <c r="B1478" s="435" t="b">
        <f t="shared" si="23"/>
        <v>0</v>
      </c>
    </row>
    <row r="1479" spans="2:2">
      <c r="B1479" s="435" t="b">
        <f t="shared" si="23"/>
        <v>0</v>
      </c>
    </row>
    <row r="1480" spans="2:2">
      <c r="B1480" s="435" t="b">
        <f t="shared" si="23"/>
        <v>0</v>
      </c>
    </row>
    <row r="1481" spans="2:2">
      <c r="B1481" s="435" t="b">
        <f t="shared" si="23"/>
        <v>0</v>
      </c>
    </row>
    <row r="1482" spans="2:2">
      <c r="B1482" s="435" t="b">
        <f t="shared" si="23"/>
        <v>0</v>
      </c>
    </row>
    <row r="1483" spans="2:2">
      <c r="B1483" s="435" t="b">
        <f t="shared" si="23"/>
        <v>0</v>
      </c>
    </row>
    <row r="1484" spans="2:2">
      <c r="B1484" s="435" t="b">
        <f t="shared" si="23"/>
        <v>0</v>
      </c>
    </row>
    <row r="1485" spans="2:2">
      <c r="B1485" s="435" t="b">
        <f t="shared" si="23"/>
        <v>0</v>
      </c>
    </row>
    <row r="1486" spans="2:2">
      <c r="B1486" s="435" t="b">
        <f t="shared" si="23"/>
        <v>0</v>
      </c>
    </row>
    <row r="1487" spans="2:2">
      <c r="B1487" s="435" t="b">
        <f t="shared" si="23"/>
        <v>0</v>
      </c>
    </row>
    <row r="1488" spans="2:2">
      <c r="B1488" s="435" t="b">
        <f t="shared" si="23"/>
        <v>0</v>
      </c>
    </row>
    <row r="1489" spans="2:2">
      <c r="B1489" s="435" t="b">
        <f t="shared" si="23"/>
        <v>0</v>
      </c>
    </row>
    <row r="1490" spans="2:2">
      <c r="B1490" s="435" t="b">
        <f t="shared" si="23"/>
        <v>0</v>
      </c>
    </row>
    <row r="1491" spans="2:2">
      <c r="B1491" s="435" t="b">
        <f t="shared" si="23"/>
        <v>0</v>
      </c>
    </row>
    <row r="1492" spans="2:2">
      <c r="B1492" s="435" t="b">
        <f t="shared" si="23"/>
        <v>0</v>
      </c>
    </row>
    <row r="1493" spans="2:2">
      <c r="B1493" s="435" t="b">
        <f t="shared" si="23"/>
        <v>0</v>
      </c>
    </row>
    <row r="1494" spans="2:2">
      <c r="B1494" s="435" t="b">
        <f t="shared" si="23"/>
        <v>0</v>
      </c>
    </row>
    <row r="1495" spans="2:2">
      <c r="B1495" s="435" t="b">
        <f t="shared" si="23"/>
        <v>0</v>
      </c>
    </row>
    <row r="1496" spans="2:2">
      <c r="B1496" s="435" t="b">
        <f t="shared" si="23"/>
        <v>0</v>
      </c>
    </row>
    <row r="1497" spans="2:2">
      <c r="B1497" s="435" t="b">
        <f t="shared" si="23"/>
        <v>0</v>
      </c>
    </row>
    <row r="1498" spans="2:2">
      <c r="B1498" s="435" t="b">
        <f t="shared" si="23"/>
        <v>0</v>
      </c>
    </row>
    <row r="1499" spans="2:2">
      <c r="B1499" s="435" t="b">
        <f t="shared" si="23"/>
        <v>0</v>
      </c>
    </row>
    <row r="1500" spans="2:2">
      <c r="B1500" s="435" t="b">
        <f t="shared" si="23"/>
        <v>0</v>
      </c>
    </row>
    <row r="1501" spans="2:2">
      <c r="B1501" s="435" t="b">
        <f t="shared" si="23"/>
        <v>0</v>
      </c>
    </row>
    <row r="1502" spans="2:2">
      <c r="B1502" s="435" t="b">
        <f t="shared" si="23"/>
        <v>0</v>
      </c>
    </row>
    <row r="1503" spans="2:2">
      <c r="B1503" s="435" t="b">
        <f t="shared" si="23"/>
        <v>0</v>
      </c>
    </row>
    <row r="1504" spans="2:2">
      <c r="B1504" s="435" t="b">
        <f t="shared" si="23"/>
        <v>0</v>
      </c>
    </row>
    <row r="1505" spans="2:2">
      <c r="B1505" s="435" t="b">
        <f t="shared" si="23"/>
        <v>0</v>
      </c>
    </row>
    <row r="1506" spans="2:2">
      <c r="B1506" s="435" t="b">
        <f t="shared" si="23"/>
        <v>0</v>
      </c>
    </row>
    <row r="1507" spans="2:2">
      <c r="B1507" s="435" t="b">
        <f t="shared" si="23"/>
        <v>0</v>
      </c>
    </row>
    <row r="1508" spans="2:2">
      <c r="B1508" s="435" t="b">
        <f t="shared" si="23"/>
        <v>0</v>
      </c>
    </row>
    <row r="1509" spans="2:2">
      <c r="B1509" s="435" t="b">
        <f t="shared" si="23"/>
        <v>0</v>
      </c>
    </row>
    <row r="1510" spans="2:2">
      <c r="B1510" s="435" t="b">
        <f t="shared" si="23"/>
        <v>0</v>
      </c>
    </row>
    <row r="1511" spans="2:2">
      <c r="B1511" s="435" t="b">
        <f t="shared" si="23"/>
        <v>0</v>
      </c>
    </row>
    <row r="1512" spans="2:2">
      <c r="B1512" s="435" t="b">
        <f t="shared" si="23"/>
        <v>0</v>
      </c>
    </row>
    <row r="1513" spans="2:2">
      <c r="B1513" s="435" t="b">
        <f t="shared" si="23"/>
        <v>0</v>
      </c>
    </row>
    <row r="1514" spans="2:2">
      <c r="B1514" s="435" t="b">
        <f t="shared" si="23"/>
        <v>0</v>
      </c>
    </row>
    <row r="1515" spans="2:2">
      <c r="B1515" s="435" t="b">
        <f t="shared" si="23"/>
        <v>0</v>
      </c>
    </row>
    <row r="1516" spans="2:2">
      <c r="B1516" s="435" t="b">
        <f t="shared" si="23"/>
        <v>0</v>
      </c>
    </row>
    <row r="1517" spans="2:2">
      <c r="B1517" s="435" t="b">
        <f t="shared" si="23"/>
        <v>0</v>
      </c>
    </row>
    <row r="1518" spans="2:2">
      <c r="B1518" s="435" t="b">
        <f t="shared" si="23"/>
        <v>0</v>
      </c>
    </row>
    <row r="1519" spans="2:2">
      <c r="B1519" s="435" t="b">
        <f t="shared" si="23"/>
        <v>0</v>
      </c>
    </row>
    <row r="1520" spans="2:2">
      <c r="B1520" s="435" t="b">
        <f t="shared" si="23"/>
        <v>0</v>
      </c>
    </row>
    <row r="1521" spans="2:2">
      <c r="B1521" s="435" t="b">
        <f t="shared" si="23"/>
        <v>0</v>
      </c>
    </row>
    <row r="1522" spans="2:2">
      <c r="B1522" s="435" t="b">
        <f t="shared" si="23"/>
        <v>0</v>
      </c>
    </row>
    <row r="1523" spans="2:2">
      <c r="B1523" s="435" t="b">
        <f t="shared" si="23"/>
        <v>0</v>
      </c>
    </row>
    <row r="1524" spans="2:2">
      <c r="B1524" s="435" t="b">
        <f t="shared" si="23"/>
        <v>0</v>
      </c>
    </row>
    <row r="1525" spans="2:2">
      <c r="B1525" s="435" t="b">
        <f t="shared" si="23"/>
        <v>0</v>
      </c>
    </row>
    <row r="1526" spans="2:2">
      <c r="B1526" s="435" t="b">
        <f t="shared" si="23"/>
        <v>0</v>
      </c>
    </row>
    <row r="1527" spans="2:2">
      <c r="B1527" s="435" t="b">
        <f t="shared" si="23"/>
        <v>0</v>
      </c>
    </row>
    <row r="1528" spans="2:2">
      <c r="B1528" s="435" t="b">
        <f t="shared" si="23"/>
        <v>0</v>
      </c>
    </row>
    <row r="1529" spans="2:2">
      <c r="B1529" s="435" t="b">
        <f t="shared" si="23"/>
        <v>0</v>
      </c>
    </row>
    <row r="1530" spans="2:2">
      <c r="B1530" s="435" t="b">
        <f t="shared" si="23"/>
        <v>0</v>
      </c>
    </row>
    <row r="1531" spans="2:2">
      <c r="B1531" s="435" t="b">
        <f t="shared" si="23"/>
        <v>0</v>
      </c>
    </row>
    <row r="1532" spans="2:2">
      <c r="B1532" s="435" t="b">
        <f t="shared" si="23"/>
        <v>0</v>
      </c>
    </row>
    <row r="1533" spans="2:2">
      <c r="B1533" s="435" t="b">
        <f t="shared" si="23"/>
        <v>0</v>
      </c>
    </row>
    <row r="1534" spans="2:2">
      <c r="B1534" s="435" t="b">
        <f t="shared" si="23"/>
        <v>0</v>
      </c>
    </row>
    <row r="1535" spans="2:2">
      <c r="B1535" s="435" t="b">
        <f t="shared" si="23"/>
        <v>0</v>
      </c>
    </row>
    <row r="1536" spans="2:2">
      <c r="B1536" s="435" t="b">
        <f t="shared" si="23"/>
        <v>0</v>
      </c>
    </row>
    <row r="1537" spans="2:2">
      <c r="B1537" s="435" t="b">
        <f t="shared" si="23"/>
        <v>0</v>
      </c>
    </row>
    <row r="1538" spans="2:2">
      <c r="B1538" s="435" t="b">
        <f t="shared" ref="B1538:B1601" si="24">IF(A1538=0,FALSE,(COUNTIF(A:A,A1538)&gt;10))</f>
        <v>0</v>
      </c>
    </row>
    <row r="1539" spans="2:2">
      <c r="B1539" s="435" t="b">
        <f t="shared" si="24"/>
        <v>0</v>
      </c>
    </row>
    <row r="1540" spans="2:2">
      <c r="B1540" s="435" t="b">
        <f t="shared" si="24"/>
        <v>0</v>
      </c>
    </row>
    <row r="1541" spans="2:2">
      <c r="B1541" s="435" t="b">
        <f t="shared" si="24"/>
        <v>0</v>
      </c>
    </row>
    <row r="1542" spans="2:2">
      <c r="B1542" s="435" t="b">
        <f t="shared" si="24"/>
        <v>0</v>
      </c>
    </row>
    <row r="1543" spans="2:2">
      <c r="B1543" s="435" t="b">
        <f t="shared" si="24"/>
        <v>0</v>
      </c>
    </row>
    <row r="1544" spans="2:2">
      <c r="B1544" s="435" t="b">
        <f t="shared" si="24"/>
        <v>0</v>
      </c>
    </row>
    <row r="1545" spans="2:2">
      <c r="B1545" s="435" t="b">
        <f t="shared" si="24"/>
        <v>0</v>
      </c>
    </row>
    <row r="1546" spans="2:2">
      <c r="B1546" s="435" t="b">
        <f t="shared" si="24"/>
        <v>0</v>
      </c>
    </row>
    <row r="1547" spans="2:2">
      <c r="B1547" s="435" t="b">
        <f t="shared" si="24"/>
        <v>0</v>
      </c>
    </row>
    <row r="1548" spans="2:2">
      <c r="B1548" s="435" t="b">
        <f t="shared" si="24"/>
        <v>0</v>
      </c>
    </row>
    <row r="1549" spans="2:2">
      <c r="B1549" s="435" t="b">
        <f t="shared" si="24"/>
        <v>0</v>
      </c>
    </row>
    <row r="1550" spans="2:2">
      <c r="B1550" s="435" t="b">
        <f t="shared" si="24"/>
        <v>0</v>
      </c>
    </row>
    <row r="1551" spans="2:2">
      <c r="B1551" s="435" t="b">
        <f t="shared" si="24"/>
        <v>0</v>
      </c>
    </row>
    <row r="1552" spans="2:2">
      <c r="B1552" s="435" t="b">
        <f t="shared" si="24"/>
        <v>0</v>
      </c>
    </row>
    <row r="1553" spans="2:2">
      <c r="B1553" s="435" t="b">
        <f t="shared" si="24"/>
        <v>0</v>
      </c>
    </row>
    <row r="1554" spans="2:2">
      <c r="B1554" s="435" t="b">
        <f t="shared" si="24"/>
        <v>0</v>
      </c>
    </row>
    <row r="1555" spans="2:2">
      <c r="B1555" s="435" t="b">
        <f t="shared" si="24"/>
        <v>0</v>
      </c>
    </row>
    <row r="1556" spans="2:2">
      <c r="B1556" s="435" t="b">
        <f t="shared" si="24"/>
        <v>0</v>
      </c>
    </row>
    <row r="1557" spans="2:2">
      <c r="B1557" s="435" t="b">
        <f t="shared" si="24"/>
        <v>0</v>
      </c>
    </row>
    <row r="1558" spans="2:2">
      <c r="B1558" s="435" t="b">
        <f t="shared" si="24"/>
        <v>0</v>
      </c>
    </row>
    <row r="1559" spans="2:2">
      <c r="B1559" s="435" t="b">
        <f t="shared" si="24"/>
        <v>0</v>
      </c>
    </row>
    <row r="1560" spans="2:2">
      <c r="B1560" s="435" t="b">
        <f t="shared" si="24"/>
        <v>0</v>
      </c>
    </row>
    <row r="1561" spans="2:2">
      <c r="B1561" s="435" t="b">
        <f t="shared" si="24"/>
        <v>0</v>
      </c>
    </row>
    <row r="1562" spans="2:2">
      <c r="B1562" s="435" t="b">
        <f t="shared" si="24"/>
        <v>0</v>
      </c>
    </row>
    <row r="1563" spans="2:2">
      <c r="B1563" s="435" t="b">
        <f t="shared" si="24"/>
        <v>0</v>
      </c>
    </row>
    <row r="1564" spans="2:2">
      <c r="B1564" s="435" t="b">
        <f t="shared" si="24"/>
        <v>0</v>
      </c>
    </row>
    <row r="1565" spans="2:2">
      <c r="B1565" s="435" t="b">
        <f t="shared" si="24"/>
        <v>0</v>
      </c>
    </row>
    <row r="1566" spans="2:2">
      <c r="B1566" s="435" t="b">
        <f t="shared" si="24"/>
        <v>0</v>
      </c>
    </row>
    <row r="1567" spans="2:2">
      <c r="B1567" s="435" t="b">
        <f t="shared" si="24"/>
        <v>0</v>
      </c>
    </row>
    <row r="1568" spans="2:2">
      <c r="B1568" s="435" t="b">
        <f t="shared" si="24"/>
        <v>0</v>
      </c>
    </row>
    <row r="1569" spans="2:2">
      <c r="B1569" s="435" t="b">
        <f t="shared" si="24"/>
        <v>0</v>
      </c>
    </row>
    <row r="1570" spans="2:2">
      <c r="B1570" s="435" t="b">
        <f t="shared" si="24"/>
        <v>0</v>
      </c>
    </row>
    <row r="1571" spans="2:2">
      <c r="B1571" s="435" t="b">
        <f t="shared" si="24"/>
        <v>0</v>
      </c>
    </row>
    <row r="1572" spans="2:2">
      <c r="B1572" s="435" t="b">
        <f t="shared" si="24"/>
        <v>0</v>
      </c>
    </row>
    <row r="1573" spans="2:2">
      <c r="B1573" s="435" t="b">
        <f t="shared" si="24"/>
        <v>0</v>
      </c>
    </row>
    <row r="1574" spans="2:2">
      <c r="B1574" s="435" t="b">
        <f t="shared" si="24"/>
        <v>0</v>
      </c>
    </row>
    <row r="1575" spans="2:2">
      <c r="B1575" s="435" t="b">
        <f t="shared" si="24"/>
        <v>0</v>
      </c>
    </row>
    <row r="1576" spans="2:2">
      <c r="B1576" s="435" t="b">
        <f t="shared" si="24"/>
        <v>0</v>
      </c>
    </row>
    <row r="1577" spans="2:2">
      <c r="B1577" s="435" t="b">
        <f t="shared" si="24"/>
        <v>0</v>
      </c>
    </row>
    <row r="1578" spans="2:2">
      <c r="B1578" s="435" t="b">
        <f t="shared" si="24"/>
        <v>0</v>
      </c>
    </row>
    <row r="1579" spans="2:2">
      <c r="B1579" s="435" t="b">
        <f t="shared" si="24"/>
        <v>0</v>
      </c>
    </row>
    <row r="1580" spans="2:2">
      <c r="B1580" s="435" t="b">
        <f t="shared" si="24"/>
        <v>0</v>
      </c>
    </row>
    <row r="1581" spans="2:2">
      <c r="B1581" s="435" t="b">
        <f t="shared" si="24"/>
        <v>0</v>
      </c>
    </row>
    <row r="1582" spans="2:2">
      <c r="B1582" s="435" t="b">
        <f t="shared" si="24"/>
        <v>0</v>
      </c>
    </row>
    <row r="1583" spans="2:2">
      <c r="B1583" s="435" t="b">
        <f t="shared" si="24"/>
        <v>0</v>
      </c>
    </row>
    <row r="1584" spans="2:2">
      <c r="B1584" s="435" t="b">
        <f t="shared" si="24"/>
        <v>0</v>
      </c>
    </row>
    <row r="1585" spans="2:2">
      <c r="B1585" s="435" t="b">
        <f t="shared" si="24"/>
        <v>0</v>
      </c>
    </row>
    <row r="1586" spans="2:2">
      <c r="B1586" s="435" t="b">
        <f t="shared" si="24"/>
        <v>0</v>
      </c>
    </row>
    <row r="1587" spans="2:2">
      <c r="B1587" s="435" t="b">
        <f t="shared" si="24"/>
        <v>0</v>
      </c>
    </row>
    <row r="1588" spans="2:2">
      <c r="B1588" s="435" t="b">
        <f t="shared" si="24"/>
        <v>0</v>
      </c>
    </row>
    <row r="1589" spans="2:2">
      <c r="B1589" s="435" t="b">
        <f t="shared" si="24"/>
        <v>0</v>
      </c>
    </row>
    <row r="1590" spans="2:2">
      <c r="B1590" s="435" t="b">
        <f t="shared" si="24"/>
        <v>0</v>
      </c>
    </row>
    <row r="1591" spans="2:2">
      <c r="B1591" s="435" t="b">
        <f t="shared" si="24"/>
        <v>0</v>
      </c>
    </row>
    <row r="1592" spans="2:2">
      <c r="B1592" s="435" t="b">
        <f t="shared" si="24"/>
        <v>0</v>
      </c>
    </row>
    <row r="1593" spans="2:2">
      <c r="B1593" s="435" t="b">
        <f t="shared" si="24"/>
        <v>0</v>
      </c>
    </row>
    <row r="1594" spans="2:2">
      <c r="B1594" s="435" t="b">
        <f t="shared" si="24"/>
        <v>0</v>
      </c>
    </row>
    <row r="1595" spans="2:2">
      <c r="B1595" s="435" t="b">
        <f t="shared" si="24"/>
        <v>0</v>
      </c>
    </row>
    <row r="1596" spans="2:2">
      <c r="B1596" s="435" t="b">
        <f t="shared" si="24"/>
        <v>0</v>
      </c>
    </row>
    <row r="1597" spans="2:2">
      <c r="B1597" s="435" t="b">
        <f t="shared" si="24"/>
        <v>0</v>
      </c>
    </row>
    <row r="1598" spans="2:2">
      <c r="B1598" s="435" t="b">
        <f t="shared" si="24"/>
        <v>0</v>
      </c>
    </row>
    <row r="1599" spans="2:2">
      <c r="B1599" s="435" t="b">
        <f t="shared" si="24"/>
        <v>0</v>
      </c>
    </row>
    <row r="1600" spans="2:2">
      <c r="B1600" s="435" t="b">
        <f t="shared" si="24"/>
        <v>0</v>
      </c>
    </row>
    <row r="1601" spans="2:2">
      <c r="B1601" s="435" t="b">
        <f t="shared" si="24"/>
        <v>0</v>
      </c>
    </row>
    <row r="1602" spans="2:2">
      <c r="B1602" s="435" t="b">
        <f t="shared" ref="B1602:B1605" si="25">IF(A1602=0,FALSE,(COUNTIF(A:A,A1602)&gt;10))</f>
        <v>0</v>
      </c>
    </row>
    <row r="1603" spans="2:2">
      <c r="B1603" s="435" t="b">
        <f t="shared" si="25"/>
        <v>0</v>
      </c>
    </row>
    <row r="1604" spans="2:2">
      <c r="B1604" s="435" t="b">
        <f t="shared" si="25"/>
        <v>0</v>
      </c>
    </row>
    <row r="1605" spans="2:2">
      <c r="B1605" s="435" t="b">
        <f t="shared" si="25"/>
        <v>0</v>
      </c>
    </row>
  </sheetData>
  <conditionalFormatting sqref="L2:L401">
    <cfRule type="expression" dxfId="0" priority="1">
      <formula>E2</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8B0AA3A-C65D-4170-ABF3-3C18E024B432}"/>
</file>

<file path=customXml/itemProps2.xml><?xml version="1.0" encoding="utf-8"?>
<ds:datastoreItem xmlns:ds="http://schemas.openxmlformats.org/officeDocument/2006/customXml" ds:itemID="{C8A5F6AA-BED4-4D59-B990-0D3F0D9CF7EC}"/>
</file>

<file path=customXml/itemProps3.xml><?xml version="1.0" encoding="utf-8"?>
<ds:datastoreItem xmlns:ds="http://schemas.openxmlformats.org/officeDocument/2006/customXml" ds:itemID="{471A5501-E81A-482D-8B31-58311BE2C9C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dc:creator>
  <cp:keywords/>
  <dc:description/>
  <cp:lastModifiedBy>Bresseleers, Nick</cp:lastModifiedBy>
  <cp:revision/>
  <dcterms:created xsi:type="dcterms:W3CDTF">1997-11-24T14:12:18Z</dcterms:created>
  <dcterms:modified xsi:type="dcterms:W3CDTF">2025-02-25T13:13:29Z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umber">
    <vt:lpwstr>xxxxxxxx</vt:lpwstr>
  </property>
  <property fmtid="{D5CDD505-2E9C-101B-9397-08002B2CF9AE}" pid="3" name="Machine Name">
    <vt:lpwstr>Machine Name</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MSIP_Label_68f72598-90ab-4748-9618-88402b5e95d2_Enabled">
    <vt:lpwstr>true</vt:lpwstr>
  </property>
  <property fmtid="{D5CDD505-2E9C-101B-9397-08002B2CF9AE}" pid="8" name="MSIP_Label_68f72598-90ab-4748-9618-88402b5e95d2_SetDate">
    <vt:lpwstr>2023-03-31T08:26:12Z</vt:lpwstr>
  </property>
  <property fmtid="{D5CDD505-2E9C-101B-9397-08002B2CF9AE}" pid="9" name="MSIP_Label_68f72598-90ab-4748-9618-88402b5e95d2_Method">
    <vt:lpwstr>Privileged</vt:lpwstr>
  </property>
  <property fmtid="{D5CDD505-2E9C-101B-9397-08002B2CF9AE}" pid="10" name="MSIP_Label_68f72598-90ab-4748-9618-88402b5e95d2_Name">
    <vt:lpwstr>68f72598-90ab-4748-9618-88402b5e95d2</vt:lpwstr>
  </property>
  <property fmtid="{D5CDD505-2E9C-101B-9397-08002B2CF9AE}" pid="11" name="MSIP_Label_68f72598-90ab-4748-9618-88402b5e95d2_SiteId">
    <vt:lpwstr>7a916015-20ae-4ad1-9170-eefd915e9272</vt:lpwstr>
  </property>
  <property fmtid="{D5CDD505-2E9C-101B-9397-08002B2CF9AE}" pid="12" name="MSIP_Label_68f72598-90ab-4748-9618-88402b5e95d2_ActionId">
    <vt:lpwstr>182c0677-3c62-488b-a62f-ded255ae03a5</vt:lpwstr>
  </property>
  <property fmtid="{D5CDD505-2E9C-101B-9397-08002B2CF9AE}" pid="13" name="MSIP_Label_68f72598-90ab-4748-9618-88402b5e95d2_ContentBits">
    <vt:lpwstr>0</vt:lpwstr>
  </property>
  <property fmtid="{D5CDD505-2E9C-101B-9397-08002B2CF9AE}" pid="14" name="MediaServiceImageTags">
    <vt:lpwstr/>
  </property>
</Properties>
</file>